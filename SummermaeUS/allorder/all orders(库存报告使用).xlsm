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allorders!$A$1:$AG$1101</definedName>
    <definedName name="_xlnm._FilterDatabase" localSheetId="2" hidden="1">库存报告使用数据处理!$B$3:$B$409</definedName>
    <definedName name="_xlnm._FilterDatabase" localSheetId="4" hidden="1">'父SKU-单价'!$A$1:$B$272</definedName>
  </definedNames>
  <calcPr calcId="144525" concurrentCalc="0"/>
</workbook>
</file>

<file path=xl/sharedStrings.xml><?xml version="1.0" encoding="utf-8"?>
<sst xmlns="http://schemas.openxmlformats.org/spreadsheetml/2006/main" count="5851">
  <si>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</si>
  <si>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</si>
  <si>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</si>
  <si>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</si>
  <si>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</si>
  <si>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</si>
  <si>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</si>
  <si>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</si>
  <si>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</si>
  <si>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</si>
  <si>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</si>
  <si>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</si>
  <si>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</si>
  <si>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</si>
  <si>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</si>
  <si>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</si>
  <si>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</si>
  <si>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</si>
  <si>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</si>
  <si>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</si>
  <si>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</si>
  <si>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</si>
  <si>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</si>
  <si>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</si>
  <si>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</si>
  <si>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</si>
  <si>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</si>
  <si>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</si>
  <si>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</si>
  <si>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</si>
  <si>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112-8217102-2689001</t>
  </si>
  <si>
    <t>2018-07-30T23:36:11+00:00</t>
  </si>
  <si>
    <t>2018-08-01T00:36:19+00:00</t>
  </si>
  <si>
    <t>Shipped</t>
  </si>
  <si>
    <t>Amazon</t>
  </si>
  <si>
    <t>Amazon.com</t>
  </si>
  <si>
    <t>SecondDay</t>
  </si>
  <si>
    <t>Summer Mae Women's Yellow/Orange Lace Mesh Swimwear Two Piece Halter Tankini Top &amp; Bottom</t>
  </si>
  <si>
    <t>YZ-ZQFT1816-Y0-5X</t>
  </si>
  <si>
    <t>B073XGJC5S</t>
  </si>
  <si>
    <t>USD</t>
  </si>
  <si>
    <t>Newport</t>
  </si>
  <si>
    <t>PA</t>
  </si>
  <si>
    <t>US</t>
  </si>
  <si>
    <t>111-7478344-8852247</t>
  </si>
  <si>
    <t>2018-07-30T23:05:37+00:00</t>
  </si>
  <si>
    <t>2018-07-31T15:26:56+00:00</t>
  </si>
  <si>
    <t>Summer Mae Women Plus Size Ethnic Printed Splicing Casual Pocket Dress</t>
  </si>
  <si>
    <t>LYQ-ZQ3550-PI-M</t>
  </si>
  <si>
    <t>B072MF4D46</t>
  </si>
  <si>
    <t>Flint</t>
  </si>
  <si>
    <t>MI</t>
  </si>
  <si>
    <t>112-7484760-7275463</t>
  </si>
  <si>
    <t>2018-07-30T23:00:17+00:00</t>
  </si>
  <si>
    <t>2018-07-31T06:00:59+00:00</t>
  </si>
  <si>
    <t>Summer Mae Women's Sexy Bandage Bikini Set Push-up Padded 2 Piece Swimsuit Swimwear,Orange, Size Large</t>
  </si>
  <si>
    <t>YZ-HMBKN17015-OR-L</t>
  </si>
  <si>
    <t>B072L84WMS</t>
  </si>
  <si>
    <t>SANTA CLARA</t>
  </si>
  <si>
    <t>CA</t>
  </si>
  <si>
    <t>95054-3409</t>
  </si>
  <si>
    <t>112-5158122-6612244</t>
  </si>
  <si>
    <t>2018-07-30T22:12:34+00:00</t>
  </si>
  <si>
    <t>2018-07-31T16:20:45+00:00</t>
  </si>
  <si>
    <t>NextDay</t>
  </si>
  <si>
    <t>Summer Mae Women's Black Mesh One Piece Vintage Swimsuit Halter Swimwear</t>
  </si>
  <si>
    <t>YZ-ZQBL03-K0-L</t>
  </si>
  <si>
    <t>B01MYM265E</t>
  </si>
  <si>
    <t>FALLS CHURCH</t>
  </si>
  <si>
    <t>VA</t>
  </si>
  <si>
    <t>22043-2831</t>
  </si>
  <si>
    <t>114-3013065-5152230</t>
  </si>
  <si>
    <t>2018-07-30T22:02:17+00:00</t>
  </si>
  <si>
    <t>2018-08-01T05:22:00+00:00</t>
  </si>
  <si>
    <t>LYQ-ZQ3550-E0-L</t>
  </si>
  <si>
    <t>B071FZX594</t>
  </si>
  <si>
    <t>MONTROSE</t>
  </si>
  <si>
    <t>CO</t>
  </si>
  <si>
    <t>81401-3762</t>
  </si>
  <si>
    <t>111-2350314-5342663</t>
  </si>
  <si>
    <t>2018-07-30T21:11:43+00:00</t>
  </si>
  <si>
    <t>2018-08-01T02:23:34+00:00</t>
  </si>
  <si>
    <t>YZ-ZQFT1816-O0-4X</t>
  </si>
  <si>
    <t>B073XGWPDJ</t>
  </si>
  <si>
    <t>OVILLA</t>
  </si>
  <si>
    <t>TX</t>
  </si>
  <si>
    <t>75154-5601</t>
  </si>
  <si>
    <t>111-9559151-8850662</t>
  </si>
  <si>
    <t>2018-07-30T21:11:41+00:00</t>
  </si>
  <si>
    <t>2018-08-01T01:27:24+00:00</t>
  </si>
  <si>
    <t>Women One Piece High Cut Deep V-Neck Halter Swimsuit Lace Mesh Vintage Swimwear Black</t>
  </si>
  <si>
    <t>YZ-SUZQ388-K0-M</t>
  </si>
  <si>
    <t>B07BPWRCZZ</t>
  </si>
  <si>
    <t>PATERSON</t>
  </si>
  <si>
    <t>NJ</t>
  </si>
  <si>
    <t>07503-2604</t>
  </si>
  <si>
    <t>114-2621586-7118602</t>
  </si>
  <si>
    <t>2018-07-30T20:51:14+00:00</t>
  </si>
  <si>
    <t>2018-07-30T20:51:48+00:00</t>
  </si>
  <si>
    <t>Cancelled</t>
  </si>
  <si>
    <t>111-3892691-1695403</t>
  </si>
  <si>
    <t>2018-07-30T19:47:30+00:00</t>
  </si>
  <si>
    <t>2018-08-02T00:55:22+00:00</t>
  </si>
  <si>
    <t>Womens Knitted Long Sweater Dress Tunic Black L</t>
  </si>
  <si>
    <t>LYQ-ZQ2973-K0-L</t>
  </si>
  <si>
    <t>B075DYJSB8</t>
  </si>
  <si>
    <t>BRIGHTON</t>
  </si>
  <si>
    <t>48114-9655</t>
  </si>
  <si>
    <t>114-3694906-1629000</t>
  </si>
  <si>
    <t>2018-07-30T19:42:17+00:00</t>
  </si>
  <si>
    <t>2018-08-01T21:21:53+00:00</t>
  </si>
  <si>
    <t>Summer Mae Women long Sleeve Loose Clothing Elbow Patch Casual Dress Heather Grey</t>
  </si>
  <si>
    <t>LYQ-ZQ456-E0-S</t>
  </si>
  <si>
    <t>B01LASSISG</t>
  </si>
  <si>
    <t>WARRIOR</t>
  </si>
  <si>
    <t>AL</t>
  </si>
  <si>
    <t>35180-4911</t>
  </si>
  <si>
    <t>112-8691882-7755445</t>
  </si>
  <si>
    <t>2018-07-30T19:07:39+00:00</t>
  </si>
  <si>
    <t>2018-07-31T04:44:05+00:00</t>
  </si>
  <si>
    <t>Summer Mae Womens One Piece Floral Lace Swimwear Printed Multi-Rope Harness Bathing Suit</t>
  </si>
  <si>
    <t>YZ-HM1728-ZL-XL</t>
  </si>
  <si>
    <t>B071DV9G8Z</t>
  </si>
  <si>
    <t>POWHATAN</t>
  </si>
  <si>
    <t>23139-6515</t>
  </si>
  <si>
    <t>Women One Piece Swimsuit Deep V-Neck Pattern Swimwear Cross-Back High Cut Monokini Bathing Suits Pink L</t>
  </si>
  <si>
    <t>YZ-HM1727-Pi-L</t>
  </si>
  <si>
    <t>B06WGVW1TW</t>
  </si>
  <si>
    <t>114-9561965-1005826</t>
  </si>
  <si>
    <t>2018-07-30T18:31:47+00:00</t>
  </si>
  <si>
    <t>2018-07-31T08:33:00+00:00</t>
  </si>
  <si>
    <t>Women One Piece Swimsuit Deep V-Neck Pattern Swimwear Cross-Back High Cut Monokini Bathing Suits Pink XL</t>
  </si>
  <si>
    <t>YZ-HM1727-Pi-XL</t>
  </si>
  <si>
    <t>B06WRXM3GY</t>
  </si>
  <si>
    <t>NEPTUNE BEACH</t>
  </si>
  <si>
    <t>FL</t>
  </si>
  <si>
    <t>32266-6158</t>
  </si>
  <si>
    <t>111-0300453-7983453</t>
  </si>
  <si>
    <t>2018-07-30T18:08:47+00:00</t>
  </si>
  <si>
    <t>2018-08-01T09:13:55+00:00</t>
  </si>
  <si>
    <t>YZ-SUZQ388-K0-XL</t>
  </si>
  <si>
    <t>B07BPW5ZSV</t>
  </si>
  <si>
    <t>PITTSBORO</t>
  </si>
  <si>
    <t>NC</t>
  </si>
  <si>
    <t>27312-9892</t>
  </si>
  <si>
    <t>111-2887081-9797806</t>
  </si>
  <si>
    <t>2018-07-30T18:08:29+00:00</t>
  </si>
  <si>
    <t>2018-08-01T06:41:46+00:00</t>
  </si>
  <si>
    <t>YZ-ZQBL03-K0-XL</t>
  </si>
  <si>
    <t>B01N1ELDWA</t>
  </si>
  <si>
    <t>ANAHEIM</t>
  </si>
  <si>
    <t>92805-5709</t>
  </si>
  <si>
    <t>113-0663006-3591457</t>
  </si>
  <si>
    <t>2018-07-30T18:05:13+00:00</t>
  </si>
  <si>
    <t>2018-07-31T06:26:09+00:00</t>
  </si>
  <si>
    <t>Summer Mae Women's Blue Mesh One Piece Vintage Swimsuit Tank Swimwear</t>
  </si>
  <si>
    <t>YZ-ZQBL03-R2-2XL</t>
  </si>
  <si>
    <t>B0792TD85L</t>
  </si>
  <si>
    <t>SYLMAR</t>
  </si>
  <si>
    <t>114-9590376-4719405</t>
  </si>
  <si>
    <t>2018-07-30T17:20:32+00:00</t>
  </si>
  <si>
    <t>2018-08-01T02:25:53+00:00</t>
  </si>
  <si>
    <t>YZ-ZQFT1816-O0-M</t>
  </si>
  <si>
    <t>B073XH9RWZ</t>
  </si>
  <si>
    <t>MOKENA</t>
  </si>
  <si>
    <t>IL</t>
  </si>
  <si>
    <t>60448-8479</t>
  </si>
  <si>
    <t>111-5804110-0672210</t>
  </si>
  <si>
    <t>2018-07-30T16:18:46+00:00</t>
  </si>
  <si>
    <t>2018-08-01T20:13:24+00:00</t>
  </si>
  <si>
    <t>Summer Mae Women's One Piece Bathing Suit Tankini Swimdress Cover up Swimsuit 5XL</t>
  </si>
  <si>
    <t>YZ-ZQ1521BL5XL</t>
  </si>
  <si>
    <t>B01GJPBHRY</t>
  </si>
  <si>
    <t>LAUREL</t>
  </si>
  <si>
    <t>MD</t>
  </si>
  <si>
    <t>20707-6890</t>
  </si>
  <si>
    <t>Summer Mae Women's One Piece Bathing Suit Tankini Swimdress Cover up Swimsuit XL</t>
  </si>
  <si>
    <t>YZ-ZQ1521KF5XL</t>
  </si>
  <si>
    <t>B01I2I95SO</t>
  </si>
  <si>
    <t>111-5298216-4146619</t>
  </si>
  <si>
    <t>2018-07-30T16:08:59+00:00</t>
  </si>
  <si>
    <t>2018-07-30T16:11:06+00:00</t>
  </si>
  <si>
    <t>LAKELAND</t>
  </si>
  <si>
    <t>33813-4439</t>
  </si>
  <si>
    <t>111-7467146-6485002</t>
  </si>
  <si>
    <t>2018-07-30T15:42:22+00:00</t>
  </si>
  <si>
    <t>2018-07-31T06:28:07+00:00</t>
  </si>
  <si>
    <t>San Jose</t>
  </si>
  <si>
    <t>113-8992006-6023454</t>
  </si>
  <si>
    <t>2018-07-30T15:41:27+00:00</t>
  </si>
  <si>
    <t>2018-08-01T08:46:34+00:00</t>
  </si>
  <si>
    <t>YZ-SUZQ388-K0-XS</t>
  </si>
  <si>
    <t>B07BPSHDV6</t>
  </si>
  <si>
    <t>APPLE VALLEY</t>
  </si>
  <si>
    <t>MN</t>
  </si>
  <si>
    <t>55124-8429</t>
  </si>
  <si>
    <t>114-8639780-4959414</t>
  </si>
  <si>
    <t>2018-07-30T15:39:14+00:00</t>
  </si>
  <si>
    <t>2018-07-30T22:17:38+00:00</t>
  </si>
  <si>
    <t>Women One Piece Swimsuit Deep V-Neck Pattern Swimwear Cross-Back High Cut Monokini Bathing Suits Pink S</t>
  </si>
  <si>
    <t>YZ-HM1727-Pi-S</t>
  </si>
  <si>
    <t>B06VYFC3HZ</t>
  </si>
  <si>
    <t>HADDON HEIGHTS</t>
  </si>
  <si>
    <t>08035-1116</t>
  </si>
  <si>
    <t>114-8803322-4957017</t>
  </si>
  <si>
    <t>2018-07-30T15:23:55+00:00</t>
  </si>
  <si>
    <t>2018-07-31T17:44:00+00:00</t>
  </si>
  <si>
    <t>Summer Mae Women's One Piece Bathing Suit Tankini Swimdress Cover up Swimsuit 3XL</t>
  </si>
  <si>
    <t>YZ-ZQ1521GF3XL</t>
  </si>
  <si>
    <t>B01GJPD7PY</t>
  </si>
  <si>
    <t>DORAL</t>
  </si>
  <si>
    <t>33126-1014</t>
  </si>
  <si>
    <t>113-8002466-7443463</t>
  </si>
  <si>
    <t>2018-07-30T15:08:43+00:00</t>
  </si>
  <si>
    <t>2018-07-31T04:40:36+00:00</t>
  </si>
  <si>
    <t>Women One Piece Swimsuit Deep V-Neck Pattern Swimwear Cross-Back High Cut Monokini Bathing Suits Pink 3XL</t>
  </si>
  <si>
    <t>YZ-HM1727-Pi-3XL</t>
  </si>
  <si>
    <t>B06XRW7ZB3</t>
  </si>
  <si>
    <t>GOODYEAR</t>
  </si>
  <si>
    <t>AZ</t>
  </si>
  <si>
    <t>85395-7190</t>
  </si>
  <si>
    <t>111-5098374-8506669</t>
  </si>
  <si>
    <t>2018-07-30T14:38:26+00:00</t>
  </si>
  <si>
    <t>2018-07-31T19:49:31+00:00</t>
  </si>
  <si>
    <t>YZ-ZQFT1816-Y0-M</t>
  </si>
  <si>
    <t>B073XHDS44</t>
  </si>
  <si>
    <t>SPRINGFIELD GARDENS</t>
  </si>
  <si>
    <t>NY</t>
  </si>
  <si>
    <t>11413-4010</t>
  </si>
  <si>
    <t>111-2367036-7802666</t>
  </si>
  <si>
    <t>2018-07-30T14:32:59+00:00</t>
  </si>
  <si>
    <t>2018-08-01T04:23:21+00:00</t>
  </si>
  <si>
    <t>Summer Mae Women's Black Mesh One Piece Vintage Swimsuit Tank Swimwear</t>
  </si>
  <si>
    <t>YZ-ZQBL03-K0-2X</t>
  </si>
  <si>
    <t>B071L9XNCJ</t>
  </si>
  <si>
    <t>huntington beach</t>
  </si>
  <si>
    <t>ca</t>
  </si>
  <si>
    <t>113-2327835-2398644</t>
  </si>
  <si>
    <t>2018-07-30T13:51:34+00:00</t>
  </si>
  <si>
    <t>2018-08-04T06:16:42+00:00</t>
  </si>
  <si>
    <t>YZ-ZQFT1816-O0-2X</t>
  </si>
  <si>
    <t>B073XHCMCV</t>
  </si>
  <si>
    <t>CORTLANDT MANOR</t>
  </si>
  <si>
    <t>10567-1067</t>
  </si>
  <si>
    <t>111-3587275-2559401</t>
  </si>
  <si>
    <t>2018-07-30T13:07:13+00:00</t>
  </si>
  <si>
    <t>2018-08-01T02:25:51+00:00</t>
  </si>
  <si>
    <t>Women One Piece Swimsuit Deep V-Neck Pattern Swimwear Cross-Back High Cut Monokini Bathing Suits Pink M</t>
  </si>
  <si>
    <t>YZ-HM1727-Pi-M</t>
  </si>
  <si>
    <t>B06W5JMC3G</t>
  </si>
  <si>
    <t>DOYLESTOWN</t>
  </si>
  <si>
    <t>18901-7009</t>
  </si>
  <si>
    <t>114-9710159-1790610</t>
  </si>
  <si>
    <t>2018-07-30T12:22:57+00:00</t>
  </si>
  <si>
    <t>2018-08-01T00:41:20+00:00</t>
  </si>
  <si>
    <t>One Piece Mesh Swimsuit Classic Strappy V Neck Monokini Swimwear</t>
  </si>
  <si>
    <t>YZ-SUBL03-K0-M</t>
  </si>
  <si>
    <t>B07DNXW5SB</t>
  </si>
  <si>
    <t>STATEN ISLAND</t>
  </si>
  <si>
    <t>112-0443528-0750668</t>
  </si>
  <si>
    <t>2018-07-30T12:14:46+00:00</t>
  </si>
  <si>
    <t>2018-07-30T19:02:40+00:00</t>
  </si>
  <si>
    <t>Women Lace Long Sleeve Tunic Top Blouse Loose Dress</t>
  </si>
  <si>
    <t>LYQ-ZQ1117-E0-M</t>
  </si>
  <si>
    <t>B075ZQJC1V</t>
  </si>
  <si>
    <t>OCEAN SPRINGS</t>
  </si>
  <si>
    <t>MS</t>
  </si>
  <si>
    <t>39564-7032</t>
  </si>
  <si>
    <t>VPC-1-34776721 Coupon</t>
  </si>
  <si>
    <t>111-5964891-8278637</t>
  </si>
  <si>
    <t>2018-07-30T08:32:54+00:00</t>
  </si>
  <si>
    <t>2018-07-31T21:40:52+00:00</t>
  </si>
  <si>
    <t>Talladega</t>
  </si>
  <si>
    <t>Al</t>
  </si>
  <si>
    <t>113-7308281-2422649</t>
  </si>
  <si>
    <t>2018-07-31T23:23:15+00:00</t>
  </si>
  <si>
    <t>2018-08-20T00:12:07+00:00</t>
  </si>
  <si>
    <t>YZ-SUBL03-K0-L</t>
  </si>
  <si>
    <t>B07DNXGR2H</t>
  </si>
  <si>
    <t>FAR ROCKAWAY</t>
  </si>
  <si>
    <t>11691-1703</t>
  </si>
  <si>
    <t>111-0233116-5173025</t>
  </si>
  <si>
    <t>2018-07-31T23:09:05+00:00</t>
  </si>
  <si>
    <t>2018-08-04T19:49:50+00:00</t>
  </si>
  <si>
    <t>YZ-SUZQ388-K0-L</t>
  </si>
  <si>
    <t>B07CCMGJKF</t>
  </si>
  <si>
    <t>ATLANTA</t>
  </si>
  <si>
    <t>GA</t>
  </si>
  <si>
    <t>30324-2519</t>
  </si>
  <si>
    <t>114-3216369-6041862</t>
  </si>
  <si>
    <t>2018-07-31T21:58:39+00:00</t>
  </si>
  <si>
    <t>2018-08-01T22:29:13+00:00</t>
  </si>
  <si>
    <t>Expedited</t>
  </si>
  <si>
    <t>YZ-HM1728-ZL-L</t>
  </si>
  <si>
    <t>B071DV9DK1</t>
  </si>
  <si>
    <t>Zug</t>
  </si>
  <si>
    <t>CH</t>
  </si>
  <si>
    <t>111-8054553-2593840</t>
  </si>
  <si>
    <t>2018-07-31T21:58:04+00:00</t>
  </si>
  <si>
    <t>2018-08-02T19:33:50+00:00</t>
  </si>
  <si>
    <t>YZ-SUBL03-K0-S</t>
  </si>
  <si>
    <t>B07DNWTWYZ</t>
  </si>
  <si>
    <t>RIVERSIDE</t>
  </si>
  <si>
    <t>92509-7803</t>
  </si>
  <si>
    <t>111-8235032-3351463</t>
  </si>
  <si>
    <t>2018-07-31T21:49:19+00:00</t>
  </si>
  <si>
    <t>2018-08-03T06:20:51+00:00</t>
  </si>
  <si>
    <t>Summer Mae Women Plus Black Mesh Split Swimwear Two Piece Halter Tankini Swimdress</t>
  </si>
  <si>
    <t>YZ-ZQQ9217-K0-5X</t>
  </si>
  <si>
    <t>B07BVLVJCR</t>
  </si>
  <si>
    <t>HAYWARD</t>
  </si>
  <si>
    <t>94541-4432</t>
  </si>
  <si>
    <t>113-8879990-0598614</t>
  </si>
  <si>
    <t>2018-07-31T19:57:41+00:00</t>
  </si>
  <si>
    <t>2018-08-01T04:38:11+00:00</t>
  </si>
  <si>
    <t>YZ-ZQ1521GF5XL</t>
  </si>
  <si>
    <t>B01GJPDY52</t>
  </si>
  <si>
    <t>SLEEPY HOLLOW</t>
  </si>
  <si>
    <t>10591-1317</t>
  </si>
  <si>
    <t>112-8634003-8566667</t>
  </si>
  <si>
    <t>2018-07-31T19:11:25+00:00</t>
  </si>
  <si>
    <t>2018-08-01T09:26:36+00:00</t>
  </si>
  <si>
    <t>WAUKESHA</t>
  </si>
  <si>
    <t>WI</t>
  </si>
  <si>
    <t>53189-9378</t>
  </si>
  <si>
    <t>111-6606756-1605063</t>
  </si>
  <si>
    <t>2018-07-31T18:11:45+00:00</t>
  </si>
  <si>
    <t>2018-08-01T00:32:11+00:00</t>
  </si>
  <si>
    <t>Summer Mae Women's One Piece Bathing Suit Tankini Swimdress Cover up Swimsuit 2XL</t>
  </si>
  <si>
    <t>YZ-ZQ1521WP2XL</t>
  </si>
  <si>
    <t>B01GJPBMDI</t>
  </si>
  <si>
    <t>COLBERT</t>
  </si>
  <si>
    <t>30628-1726</t>
  </si>
  <si>
    <t>113-2154773-9494667</t>
  </si>
  <si>
    <t>2018-07-31T17:42:08+00:00</t>
  </si>
  <si>
    <t>2018-08-07T06:42:16+00:00</t>
  </si>
  <si>
    <t>Standard</t>
  </si>
  <si>
    <t>LYQ-ZQ3550-E0-XL</t>
  </si>
  <si>
    <t>B071FZWWBS</t>
  </si>
  <si>
    <t>Katsrin</t>
  </si>
  <si>
    <t>Israel</t>
  </si>
  <si>
    <t>114-8085723-5811427</t>
  </si>
  <si>
    <t>2018-07-31T17:36:38+00:00</t>
  </si>
  <si>
    <t>2018-08-01T07:34:04+00:00</t>
  </si>
  <si>
    <t>Allston</t>
  </si>
  <si>
    <t>MA</t>
  </si>
  <si>
    <t>114-6165984-3833040</t>
  </si>
  <si>
    <t>2018-07-31T17:30:16+00:00</t>
  </si>
  <si>
    <t>2018-08-04T06:13:19+00:00</t>
  </si>
  <si>
    <t>NORTH HILLS</t>
  </si>
  <si>
    <t>91343-1940</t>
  </si>
  <si>
    <t>113-3844283-6693860</t>
  </si>
  <si>
    <t>2018-07-31T17:18:39+00:00</t>
  </si>
  <si>
    <t>2018-08-02T03:45:26+00:00</t>
  </si>
  <si>
    <t>YZ-ZQ1521WP3XL</t>
  </si>
  <si>
    <t>B01GJPBNN2</t>
  </si>
  <si>
    <t>DALTON</t>
  </si>
  <si>
    <t>OH</t>
  </si>
  <si>
    <t>44618-9185</t>
  </si>
  <si>
    <t>112-1550548-6456268</t>
  </si>
  <si>
    <t>2018-07-31T15:53:40+00:00</t>
  </si>
  <si>
    <t>2018-08-01T04:27:09+00:00</t>
  </si>
  <si>
    <t>BROOKLYN</t>
  </si>
  <si>
    <t>11223-4639</t>
  </si>
  <si>
    <t>112-6915070-8972245</t>
  </si>
  <si>
    <t>2018-07-31T15:50:21+00:00</t>
  </si>
  <si>
    <t>2018-08-01T00:27:46+00:00</t>
  </si>
  <si>
    <t>ORANGE</t>
  </si>
  <si>
    <t>07050-1005</t>
  </si>
  <si>
    <t>112-1245830-6581824</t>
  </si>
  <si>
    <t>2018-07-31T15:32:57+00:00</t>
  </si>
  <si>
    <t>2018-08-01T04:24:49+00:00</t>
  </si>
  <si>
    <t>LOS ANGELES</t>
  </si>
  <si>
    <t>90025-5319</t>
  </si>
  <si>
    <t>113-8799373-8185029</t>
  </si>
  <si>
    <t>2018-07-31T14:53:50+00:00</t>
  </si>
  <si>
    <t>2018-07-31T22:16:30+00:00</t>
  </si>
  <si>
    <t>CLAYTON</t>
  </si>
  <si>
    <t>DE</t>
  </si>
  <si>
    <t>19938-3530</t>
  </si>
  <si>
    <t>114-3076002-5442601</t>
  </si>
  <si>
    <t>2018-07-31T14:46:34+00:00</t>
  </si>
  <si>
    <t>2018-07-31T23:44:17+00:00</t>
  </si>
  <si>
    <t>New York</t>
  </si>
  <si>
    <t>Ny</t>
  </si>
  <si>
    <t>112-9500701-0815456</t>
  </si>
  <si>
    <t>2018-07-31T14:23:43+00:00</t>
  </si>
  <si>
    <t>2018-08-01T16:32:12+00:00</t>
  </si>
  <si>
    <t>Summer Mae Women's One Piece Bathing Suit Tankini Swimdress Cover up Swimsuit 4XL</t>
  </si>
  <si>
    <t>YZ-ZQ1521RF4XL</t>
  </si>
  <si>
    <t>B01GJPCTJO</t>
  </si>
  <si>
    <t>EVANSVILLE</t>
  </si>
  <si>
    <t>IN</t>
  </si>
  <si>
    <t>47714-5348</t>
  </si>
  <si>
    <t>112-6618170-1210653</t>
  </si>
  <si>
    <t>2018-07-31T14:21:48+00:00</t>
  </si>
  <si>
    <t>2018-08-01T09:23:41+00:00</t>
  </si>
  <si>
    <t>TAMPA</t>
  </si>
  <si>
    <t>33624-6924</t>
  </si>
  <si>
    <t>113-0072940-4315412</t>
  </si>
  <si>
    <t>2018-07-31T14:12:28+00:00</t>
  </si>
  <si>
    <t>2018-08-02T00:26:08+00:00</t>
  </si>
  <si>
    <t>BOUND BROOK</t>
  </si>
  <si>
    <t>08805-1332</t>
  </si>
  <si>
    <t>111-1028628-4570639</t>
  </si>
  <si>
    <t>2018-07-31T13:31:18+00:00</t>
  </si>
  <si>
    <t>2018-08-01T01:48:11+00:00</t>
  </si>
  <si>
    <t>Summer Mae One Piece Floral Lace Swimwear Printed Multi-Rope Harness Bikini</t>
  </si>
  <si>
    <t>YZ-HM1728-ZL-S-New</t>
  </si>
  <si>
    <t>B078TCMCWF</t>
  </si>
  <si>
    <t>SAN ANTONIO</t>
  </si>
  <si>
    <t>78250-5023</t>
  </si>
  <si>
    <t>111-4574099-1877066</t>
  </si>
  <si>
    <t>2018-07-31T09:16:43+00:00</t>
  </si>
  <si>
    <t>2018-08-02T04:01:10+00:00</t>
  </si>
  <si>
    <t>portsmouth</t>
  </si>
  <si>
    <t>va</t>
  </si>
  <si>
    <t>112-4453718-5616254</t>
  </si>
  <si>
    <t>2018-07-31T05:59:25+00:00</t>
  </si>
  <si>
    <t>2018-08-02T03:13:58+00:00</t>
  </si>
  <si>
    <t>YZ-ZQBL03-R2-M</t>
  </si>
  <si>
    <t>B0792T7FW3</t>
  </si>
  <si>
    <t>SOUDERTON</t>
  </si>
  <si>
    <t>18964-1964</t>
  </si>
  <si>
    <t>111-7524582-3419443</t>
  </si>
  <si>
    <t>2018-07-31T05:55:35+00:00</t>
  </si>
  <si>
    <t>2018-08-02T20:54:06+00:00</t>
  </si>
  <si>
    <t>YZ-SUBL03-K0-XS</t>
  </si>
  <si>
    <t>B07DNX562P</t>
  </si>
  <si>
    <t>SAN FRANCISCO</t>
  </si>
  <si>
    <t>94108-3606</t>
  </si>
  <si>
    <t>111-6353128-1303428</t>
  </si>
  <si>
    <t>2018-07-31T05:30:41+00:00</t>
  </si>
  <si>
    <t>2018-07-31T22:45:30+00:00</t>
  </si>
  <si>
    <t>YZ-ZQ1521BFXL</t>
  </si>
  <si>
    <t>B01GJPCZZ2</t>
  </si>
  <si>
    <t>AMARILLO</t>
  </si>
  <si>
    <t>79107-8023</t>
  </si>
  <si>
    <t>111-3328464-7423430</t>
  </si>
  <si>
    <t>2018-07-31T05:05:53+00:00</t>
  </si>
  <si>
    <t>2018-08-01T19:37:52+00:00</t>
  </si>
  <si>
    <t>N MERRICK</t>
  </si>
  <si>
    <t>11566-1201</t>
  </si>
  <si>
    <t>114-2348310-0183408</t>
  </si>
  <si>
    <t>2018-07-31T03:47:59+00:00</t>
  </si>
  <si>
    <t>2018-08-01T16:17:43+00:00</t>
  </si>
  <si>
    <t>Cordova</t>
  </si>
  <si>
    <t>TN</t>
  </si>
  <si>
    <t>113-6776497-9698622</t>
  </si>
  <si>
    <t>2018-07-31T03:47:46+00:00</t>
  </si>
  <si>
    <t>2018-08-01T08:27:58+00:00</t>
  </si>
  <si>
    <t>Baton Rouge</t>
  </si>
  <si>
    <t>LA</t>
  </si>
  <si>
    <t>111-5107261-1805856</t>
  </si>
  <si>
    <t>2018-07-31T03:39:26+00:00</t>
  </si>
  <si>
    <t>2018-08-03T07:40:26+00:00</t>
  </si>
  <si>
    <t>Women One Piece High Cut Deep V-Neck Halter Swimsuit Lace Vintage Swimwear White</t>
  </si>
  <si>
    <t>YZ-SUZQ388-W0-XS</t>
  </si>
  <si>
    <t>B07D2YC55G</t>
  </si>
  <si>
    <t>Unshipped</t>
  </si>
  <si>
    <t>TAUNTON</t>
  </si>
  <si>
    <t>02780-3011</t>
  </si>
  <si>
    <t>113-7592294-8061049</t>
  </si>
  <si>
    <t>2018-07-31T03:10:10+00:00</t>
  </si>
  <si>
    <t>2018-07-31T22:47:42+00:00</t>
  </si>
  <si>
    <t>YZ-HM1728-ZL-M</t>
  </si>
  <si>
    <t>B071DV9D1Q</t>
  </si>
  <si>
    <t>DALLAS</t>
  </si>
  <si>
    <t>75214-6104</t>
  </si>
  <si>
    <t>111-8590581-4175449</t>
  </si>
  <si>
    <t>2018-07-31T02:19:51+00:00</t>
  </si>
  <si>
    <t>2018-08-01T09:51:34+00:00</t>
  </si>
  <si>
    <t>Summer Mae Women's Sexy Bandage Bikini Set Push-up Padded 2 Piece Swimsuit Swimwear</t>
  </si>
  <si>
    <t>YZ-HMBKN17015-OR-M</t>
  </si>
  <si>
    <t>B071VD3X3X</t>
  </si>
  <si>
    <t>REYNOLDSVILLE</t>
  </si>
  <si>
    <t>15851-1219</t>
  </si>
  <si>
    <t>112-7077190-1361012</t>
  </si>
  <si>
    <t>2018-07-31T02:12:12+00:00</t>
  </si>
  <si>
    <t>2018-07-31T17:33:44+00:00</t>
  </si>
  <si>
    <t>LOOP</t>
  </si>
  <si>
    <t>112-6575124-2811429</t>
  </si>
  <si>
    <t>2018-07-31T02:10:34+00:00</t>
  </si>
  <si>
    <t>2018-08-01T07:31:16+00:00</t>
  </si>
  <si>
    <t>112-2221805-4196213</t>
  </si>
  <si>
    <t>2018-07-31T01:45:57+00:00</t>
  </si>
  <si>
    <t>2018-08-02T01:24:38+00:00</t>
  </si>
  <si>
    <t>WEST BABYLON</t>
  </si>
  <si>
    <t>NEW YORK</t>
  </si>
  <si>
    <t>11704-3550</t>
  </si>
  <si>
    <t>114-7528549-9579451</t>
  </si>
  <si>
    <t>2018-07-31T01:37:38+00:00</t>
  </si>
  <si>
    <t>2018-08-01T00:16:02+00:00</t>
  </si>
  <si>
    <t>10591-2202</t>
  </si>
  <si>
    <t>111-2173538-0286666</t>
  </si>
  <si>
    <t>2018-07-31T00:24:43+00:00</t>
  </si>
  <si>
    <t>2018-07-31T19:59:22+00:00</t>
  </si>
  <si>
    <t>One Piece Mesh Swimsuit Classic Strappy V Neck Monokini Swimwear Pink</t>
  </si>
  <si>
    <t>YZ-SUZQBL03-R2-2X</t>
  </si>
  <si>
    <t>B07D49GLC3</t>
  </si>
  <si>
    <t>Woodbridge</t>
  </si>
  <si>
    <t>New Jersey</t>
  </si>
  <si>
    <t>111-9316490-2216263</t>
  </si>
  <si>
    <t>2018-08-01T23:54:16+00:00</t>
  </si>
  <si>
    <t>2018-08-04T23:28:55+00:00</t>
  </si>
  <si>
    <t>YZ-ZQ1521WP5XL</t>
  </si>
  <si>
    <t>B01GJPBRLK</t>
  </si>
  <si>
    <t>QUINCY</t>
  </si>
  <si>
    <t>02169-4915</t>
  </si>
  <si>
    <t>113-1527655-0613025</t>
  </si>
  <si>
    <t>2018-08-01T23:18:12+00:00</t>
  </si>
  <si>
    <t>2018-08-04T20:44:34+00:00</t>
  </si>
  <si>
    <t>ROANOKE</t>
  </si>
  <si>
    <t>24012-6527</t>
  </si>
  <si>
    <t>US Core Free Shipping Promotion A3JU1FCINF5SD0</t>
  </si>
  <si>
    <t>114-1681813-6201858</t>
  </si>
  <si>
    <t>2018-08-01T23:05:38+00:00</t>
  </si>
  <si>
    <t>2018-08-01T23:11:28+00:00</t>
  </si>
  <si>
    <t>jerusalem</t>
  </si>
  <si>
    <t>israel</t>
  </si>
  <si>
    <t>114-6438871-0510605</t>
  </si>
  <si>
    <t>2018-08-01T22:31:18+00:00</t>
  </si>
  <si>
    <t>2018-08-03T00:50:45+00:00</t>
  </si>
  <si>
    <t>YZ-ZQFT1816-Y0-XL</t>
  </si>
  <si>
    <t>B073XJK24D</t>
  </si>
  <si>
    <t>WELLINGTON</t>
  </si>
  <si>
    <t>33449-8018</t>
  </si>
  <si>
    <t>112-5821336-0021815</t>
  </si>
  <si>
    <t>2018-08-01T22:21:48+00:00</t>
  </si>
  <si>
    <t>2018-08-04T08:25:36+00:00</t>
  </si>
  <si>
    <t>YPSILANTI</t>
  </si>
  <si>
    <t>48198-7001</t>
  </si>
  <si>
    <t>114-0583414-0152227</t>
  </si>
  <si>
    <t>2018-08-01T22:10:33+00:00</t>
  </si>
  <si>
    <t>2018-08-02T03:52:34+00:00</t>
  </si>
  <si>
    <t>ALSIP</t>
  </si>
  <si>
    <t>60803-3503</t>
  </si>
  <si>
    <t>112-3736307-6622650</t>
  </si>
  <si>
    <t>2018-08-01T21:39:46+00:00</t>
  </si>
  <si>
    <t>2018-08-02T19:19:24+00:00</t>
  </si>
  <si>
    <t>YZ-SUZQ388-K0-S</t>
  </si>
  <si>
    <t>B07C97VM95</t>
  </si>
  <si>
    <t>BATON ROUGE</t>
  </si>
  <si>
    <t>70820-6525</t>
  </si>
  <si>
    <t>114-3073234-1685032</t>
  </si>
  <si>
    <t>2018-08-01T20:46:14+00:00</t>
  </si>
  <si>
    <t>2018-08-04T16:39:59+00:00</t>
  </si>
  <si>
    <t>EAST HAMPTON</t>
  </si>
  <si>
    <t>11937-4230</t>
  </si>
  <si>
    <t>113-8083163-2336213</t>
  </si>
  <si>
    <t>2018-08-01T20:21:03+00:00</t>
  </si>
  <si>
    <t>2018-08-02T02:50:53+00:00</t>
  </si>
  <si>
    <t>33606-3766</t>
  </si>
  <si>
    <t>114-7182887-3720204</t>
  </si>
  <si>
    <t>2018-08-01T20:20:01+00:00</t>
  </si>
  <si>
    <t>2018-08-04T19:11:18+00:00</t>
  </si>
  <si>
    <t>COLTON</t>
  </si>
  <si>
    <t>92324-1956</t>
  </si>
  <si>
    <t>114-1897107-7213804</t>
  </si>
  <si>
    <t>2018-08-01T20:17:25+00:00</t>
  </si>
  <si>
    <t>2018-08-02T19:25:23+00:00</t>
  </si>
  <si>
    <t>KNOXVILLE</t>
  </si>
  <si>
    <t>37932-1123</t>
  </si>
  <si>
    <t>114-1333720-6061853</t>
  </si>
  <si>
    <t>2018-08-01T19:57:54+00:00</t>
  </si>
  <si>
    <t>2018-08-03T05:23:16+00:00</t>
  </si>
  <si>
    <t>Summer Mae Women's Off The Shoulder Frill Geometric Striped One Piece Bathing Suit Bikini</t>
  </si>
  <si>
    <t>YZ-HM111-YH-S</t>
  </si>
  <si>
    <t>B071GQNCYS</t>
  </si>
  <si>
    <t>LAS VEGAS</t>
  </si>
  <si>
    <t>NV</t>
  </si>
  <si>
    <t>89183-3563</t>
  </si>
  <si>
    <t>113-0303977-8566659</t>
  </si>
  <si>
    <t>2018-08-01T19:55:33+00:00</t>
  </si>
  <si>
    <t>2018-08-04T08:31:02+00:00</t>
  </si>
  <si>
    <t>Atlanta</t>
  </si>
  <si>
    <t>113-3087179-3812245</t>
  </si>
  <si>
    <t>2018-08-01T17:59:07+00:00</t>
  </si>
  <si>
    <t>2018-08-02T14:55:32+00:00</t>
  </si>
  <si>
    <t>BLOOMINGTON</t>
  </si>
  <si>
    <t>61705-6603</t>
  </si>
  <si>
    <t>111-2512463-2836265</t>
  </si>
  <si>
    <t>2018-08-01T17:19:01+00:00</t>
  </si>
  <si>
    <t>2018-08-02T21:36:13+00:00</t>
  </si>
  <si>
    <t>BRONX</t>
  </si>
  <si>
    <t>10469-5618</t>
  </si>
  <si>
    <t>114-1821641-9472222</t>
  </si>
  <si>
    <t>2018-08-01T16:48:19+00:00</t>
  </si>
  <si>
    <t>2018-08-03T16:35:33+00:00</t>
  </si>
  <si>
    <t>Summer Mae Women Sexy Leaves Print Lace Up Padding One Piece Monokini Swimsuit Bikini</t>
  </si>
  <si>
    <t>YZ-HM7035-DJG0-S</t>
  </si>
  <si>
    <t>B07214KML1</t>
  </si>
  <si>
    <t>Collinsville</t>
  </si>
  <si>
    <t>62234-4945</t>
  </si>
  <si>
    <t>112-9654051-1449853</t>
  </si>
  <si>
    <t>2018-08-01T16:43:22+00:00</t>
  </si>
  <si>
    <t>2018-08-04T23:38:58+00:00</t>
  </si>
  <si>
    <t>Louisa</t>
  </si>
  <si>
    <t>Virginia</t>
  </si>
  <si>
    <t>113-9979403-4109055</t>
  </si>
  <si>
    <t>2018-08-01T16:39:59+00:00</t>
  </si>
  <si>
    <t>2018-08-03T02:26:15+00:00</t>
  </si>
  <si>
    <t>YZ-ZQFT1816-O0-L</t>
  </si>
  <si>
    <t>B073XH5765</t>
  </si>
  <si>
    <t>PHILADELPHIA</t>
  </si>
  <si>
    <t>19145-5810</t>
  </si>
  <si>
    <t>114-8587095-4016207</t>
  </si>
  <si>
    <t>2018-08-01T16:38:55+00:00</t>
  </si>
  <si>
    <t>2018-08-06T01:44:15+00:00</t>
  </si>
  <si>
    <t>YZ-HMBKN17015-K0-XL</t>
  </si>
  <si>
    <t>B0727W8HKN</t>
  </si>
  <si>
    <t>Santiago</t>
  </si>
  <si>
    <t>Regi髇 metropolitana</t>
  </si>
  <si>
    <t>CL</t>
  </si>
  <si>
    <t>114-7654199-9506647</t>
  </si>
  <si>
    <t>2018-08-01T16:36:02+00:00</t>
  </si>
  <si>
    <t>2018-08-01T22:37:43+00:00</t>
  </si>
  <si>
    <t>Women One Piece Swimsuit Deep V-Neck Pattern Swimwear Cross-Back High Cut Monokini Bathing Suits Pink 2XL</t>
  </si>
  <si>
    <t>YZ-HM1727-Pi-2XL</t>
  </si>
  <si>
    <t>B06XRGKYBC</t>
  </si>
  <si>
    <t>Clermont</t>
  </si>
  <si>
    <t>34711-8137</t>
  </si>
  <si>
    <t>112-6009664-8269053</t>
  </si>
  <si>
    <t>2018-08-01T16:20:57+00:00</t>
  </si>
  <si>
    <t>2018-08-04T15:40:21+00:00</t>
  </si>
  <si>
    <t>Daphne</t>
  </si>
  <si>
    <t>al</t>
  </si>
  <si>
    <t>112-0776255-2782628</t>
  </si>
  <si>
    <t>2018-08-01T15:55:06+00:00</t>
  </si>
  <si>
    <t>2018-08-01T21:40:37+00:00</t>
  </si>
  <si>
    <t>SOUTH RIVER</t>
  </si>
  <si>
    <t>08882-1085</t>
  </si>
  <si>
    <t>113-2386509-1083405</t>
  </si>
  <si>
    <t>2018-08-01T15:49:12+00:00</t>
  </si>
  <si>
    <t>2018-08-02T00:17:16+00:00</t>
  </si>
  <si>
    <t>LAKE JACKSON</t>
  </si>
  <si>
    <t>77566-4163</t>
  </si>
  <si>
    <t>113-2056399-2429811</t>
  </si>
  <si>
    <t>2018-08-01T15:06:09+00:00</t>
  </si>
  <si>
    <t>2018-08-05T22:36:50+00:00</t>
  </si>
  <si>
    <t>BUENA PARK</t>
  </si>
  <si>
    <t>90620-3713</t>
  </si>
  <si>
    <t>112-1952371-9741065</t>
  </si>
  <si>
    <t>2018-08-01T14:57:42+00:00</t>
  </si>
  <si>
    <t>2018-08-02T01:48:18+00:00</t>
  </si>
  <si>
    <t>ISLE OF PALMS</t>
  </si>
  <si>
    <t>SC</t>
  </si>
  <si>
    <t>29451-2882</t>
  </si>
  <si>
    <t>114-2360809-9950647</t>
  </si>
  <si>
    <t>2018-08-01T14:49:57+00:00</t>
  </si>
  <si>
    <t>2018-08-04T22:38:34+00:00</t>
  </si>
  <si>
    <t>BETHESDA</t>
  </si>
  <si>
    <t>20814-4209</t>
  </si>
  <si>
    <t>111-8532958-6188236</t>
  </si>
  <si>
    <t>2018-08-01T14:18:41+00:00</t>
  </si>
  <si>
    <t>2018-08-05T18:40:47+00:00</t>
  </si>
  <si>
    <t>30309-1096</t>
  </si>
  <si>
    <t>113-6432810-4249053</t>
  </si>
  <si>
    <t>2018-08-01T13:21:48+00:00</t>
  </si>
  <si>
    <t>2018-08-04T16:39:20+00:00</t>
  </si>
  <si>
    <t>Belmar</t>
  </si>
  <si>
    <t>112-0069807-7041875</t>
  </si>
  <si>
    <t>2018-08-01T13:04:50+00:00</t>
  </si>
  <si>
    <t>2018-08-02T19:32:11+00:00</t>
  </si>
  <si>
    <t>YZ-ZQBL03-B0-XL</t>
  </si>
  <si>
    <t>B06ZXSMH66</t>
  </si>
  <si>
    <t>SAN MARINO</t>
  </si>
  <si>
    <t>91108-2837</t>
  </si>
  <si>
    <t>113-8019575-3789014</t>
  </si>
  <si>
    <t>2018-08-01T12:35:52+00:00</t>
  </si>
  <si>
    <t>2018-08-02T03:46:01+00:00</t>
  </si>
  <si>
    <t>MIDDLEBURG</t>
  </si>
  <si>
    <t>32068-6130</t>
  </si>
  <si>
    <t>114-9183601-4239445</t>
  </si>
  <si>
    <t>2018-08-01T11:55:55+00:00</t>
  </si>
  <si>
    <t>2018-08-05T00:58:08+00:00</t>
  </si>
  <si>
    <t>WEST CHESTER</t>
  </si>
  <si>
    <t>45069-3065</t>
  </si>
  <si>
    <t>114-6642392-5650600</t>
  </si>
  <si>
    <t>2018-08-01T10:00:29+00:00</t>
  </si>
  <si>
    <t>2018-08-02T01:29:13+00:00</t>
  </si>
  <si>
    <t>PERTH AMBOY</t>
  </si>
  <si>
    <t>08861-3905</t>
  </si>
  <si>
    <t>113-5095021-8750600</t>
  </si>
  <si>
    <t>2018-08-01T09:47:59+00:00</t>
  </si>
  <si>
    <t>2018-08-05T00:41:47+00:00</t>
  </si>
  <si>
    <t>94122-2618</t>
  </si>
  <si>
    <t>112-2363220-9491412</t>
  </si>
  <si>
    <t>2018-08-01T09:22:12+00:00</t>
  </si>
  <si>
    <t>2018-08-05T00:26:10+00:00</t>
  </si>
  <si>
    <t>Lilburn</t>
  </si>
  <si>
    <t>GEORGIA</t>
  </si>
  <si>
    <t>113-1652552-0477010</t>
  </si>
  <si>
    <t>2018-08-01T08:51:54+00:00</t>
  </si>
  <si>
    <t>2018-08-01T22:26:58+00:00</t>
  </si>
  <si>
    <t>HILLSBOROUGH</t>
  </si>
  <si>
    <t>08844-5204</t>
  </si>
  <si>
    <t>111-2881078-6182610</t>
  </si>
  <si>
    <t>2018-08-01T06:59:42+00:00</t>
  </si>
  <si>
    <t>2018-08-01T16:32:23+00:00</t>
  </si>
  <si>
    <t>YZ-ZQ1521GW4XL</t>
  </si>
  <si>
    <t>B01GJPB7DS</t>
  </si>
  <si>
    <t>20724-1903</t>
  </si>
  <si>
    <t>111-2620527-5725004</t>
  </si>
  <si>
    <t>2018-08-01T05:53:25+00:00</t>
  </si>
  <si>
    <t>2018-08-01T19:23:37+00:00</t>
  </si>
  <si>
    <t>GARDENA</t>
  </si>
  <si>
    <t>90249-3900</t>
  </si>
  <si>
    <t>113-7913321-9085809</t>
  </si>
  <si>
    <t>2018-08-01T03:38:58+00:00</t>
  </si>
  <si>
    <t>2018-08-05T01:22:15+00:00</t>
  </si>
  <si>
    <t>Cliffside Park</t>
  </si>
  <si>
    <t>113-7073096-6331465</t>
  </si>
  <si>
    <t>2018-08-01T02:31:54+00:00</t>
  </si>
  <si>
    <t>2018-08-03T09:55:52+00:00</t>
  </si>
  <si>
    <t>RANCHO CUCAMONGA</t>
  </si>
  <si>
    <t>91701-5058</t>
  </si>
  <si>
    <t>113-4516864-9210607</t>
  </si>
  <si>
    <t>2018-08-01T01:46:01+00:00</t>
  </si>
  <si>
    <t>2018-08-01T14:26:31+00:00</t>
  </si>
  <si>
    <t>ANTIOCH</t>
  </si>
  <si>
    <t>37013-4027</t>
  </si>
  <si>
    <t>112-1435274-5881841</t>
  </si>
  <si>
    <t>2018-08-01T01:19:39+00:00</t>
  </si>
  <si>
    <t>2018-08-04T17:00:34+00:00</t>
  </si>
  <si>
    <t>LYQ-ZQ3550-PI-3X</t>
  </si>
  <si>
    <t>B071JLRTDQ</t>
  </si>
  <si>
    <t>Dover</t>
  </si>
  <si>
    <t>Oklahoma</t>
  </si>
  <si>
    <t>112-8028636-3645815</t>
  </si>
  <si>
    <t>2018-08-01T01:14:36+00:00</t>
  </si>
  <si>
    <t>2018-08-01T21:50:18+00:00</t>
  </si>
  <si>
    <t>BISMARCK</t>
  </si>
  <si>
    <t>ND</t>
  </si>
  <si>
    <t>58503-9175</t>
  </si>
  <si>
    <t>112-6219021-3758614</t>
  </si>
  <si>
    <t>2018-08-01T00:35:46+00:00</t>
  </si>
  <si>
    <t>2018-08-01T00:42:09+00:00</t>
  </si>
  <si>
    <t>MIRAMAR</t>
  </si>
  <si>
    <t>33025-4124</t>
  </si>
  <si>
    <t>111-0388665-4346669</t>
  </si>
  <si>
    <t>2018-08-01T00:17:18+00:00</t>
  </si>
  <si>
    <t>2018-08-03T02:33:39+00:00</t>
  </si>
  <si>
    <t>Summer Mae Plus Size Diamond Blouson Plus Size Swimwear Tankini US 14-16</t>
  </si>
  <si>
    <t>YZ-ZQSG16121R03XL</t>
  </si>
  <si>
    <t>B01MA5X2Y4</t>
  </si>
  <si>
    <t>SEVERN</t>
  </si>
  <si>
    <t>21144-2617</t>
  </si>
  <si>
    <t>114-1709361-9724224</t>
  </si>
  <si>
    <t>2018-08-02T23:01:16+00:00</t>
  </si>
  <si>
    <t>2018-08-03T10:03:11+00:00</t>
  </si>
  <si>
    <t>San Diego</t>
  </si>
  <si>
    <t>114-6184542-3485058</t>
  </si>
  <si>
    <t>2018-08-02T22:55:03+00:00</t>
  </si>
  <si>
    <t>2018-08-03T16:27:39+00:00</t>
  </si>
  <si>
    <t>SEVERNA PARK</t>
  </si>
  <si>
    <t>21146-3241</t>
  </si>
  <si>
    <t>112-8394188-4369804</t>
  </si>
  <si>
    <t>2018-08-02T21:54:47+00:00</t>
  </si>
  <si>
    <t>2018-08-03T10:26:57+00:00</t>
  </si>
  <si>
    <t>PATASKALA</t>
  </si>
  <si>
    <t>OHIO</t>
  </si>
  <si>
    <t>43062-9244</t>
  </si>
  <si>
    <t>113-3537083-7076255</t>
  </si>
  <si>
    <t>2018-08-02T21:24:23+00:00</t>
  </si>
  <si>
    <t>2018-08-04T04:27:13+00:00</t>
  </si>
  <si>
    <t>WORCESTER</t>
  </si>
  <si>
    <t>01604-1406</t>
  </si>
  <si>
    <t>112-4499077-7497804</t>
  </si>
  <si>
    <t>2018-08-02T20:35:40+00:00</t>
  </si>
  <si>
    <t>2018-08-04T22:40:57+00:00</t>
  </si>
  <si>
    <t>YZ-ZQBL03-K0-M</t>
  </si>
  <si>
    <t>B01N74K227</t>
  </si>
  <si>
    <t>ALBUQUERQUE</t>
  </si>
  <si>
    <t>NM</t>
  </si>
  <si>
    <t>87107-4732</t>
  </si>
  <si>
    <t>113-4315604-0752241</t>
  </si>
  <si>
    <t>2018-08-02T18:50:24+00:00</t>
  </si>
  <si>
    <t>2018-08-05T19:13:12+00:00</t>
  </si>
  <si>
    <t>SACRAMENTO</t>
  </si>
  <si>
    <t>95822-1620</t>
  </si>
  <si>
    <t>112-6601860-3980231</t>
  </si>
  <si>
    <t>2018-08-02T17:47:22+00:00</t>
  </si>
  <si>
    <t>2018-08-04T19:40:56+00:00</t>
  </si>
  <si>
    <t>YZ-ZQFT1816-O0-XL</t>
  </si>
  <si>
    <t>B073XHCN93</t>
  </si>
  <si>
    <t>NORTH ARLINGTON</t>
  </si>
  <si>
    <t>07031-6313</t>
  </si>
  <si>
    <t>112-3650504-1197819</t>
  </si>
  <si>
    <t>2018-08-02T17:01:03+00:00</t>
  </si>
  <si>
    <t>2018-08-03T06:44:01+00:00</t>
  </si>
  <si>
    <t>SAN DIEGO</t>
  </si>
  <si>
    <t>92104-4413</t>
  </si>
  <si>
    <t>114-7570439-8533028</t>
  </si>
  <si>
    <t>2018-08-02T16:48:59+00:00</t>
  </si>
  <si>
    <t>2018-08-05T01:47:57+00:00</t>
  </si>
  <si>
    <t>STURGIS</t>
  </si>
  <si>
    <t>49091-8703</t>
  </si>
  <si>
    <t>114-6616455-0428225</t>
  </si>
  <si>
    <t>2018-08-02T16:40:38+00:00</t>
  </si>
  <si>
    <t>2018-08-05T12:42:51+00:00</t>
  </si>
  <si>
    <t>MIAMI</t>
  </si>
  <si>
    <t>33166-2679</t>
  </si>
  <si>
    <t>113-7618696-3169845</t>
  </si>
  <si>
    <t>2018-08-02T16:18:23+00:00</t>
  </si>
  <si>
    <t>2018-08-02T22:32:05+00:00</t>
  </si>
  <si>
    <t>YZ-HM111-K0-M</t>
  </si>
  <si>
    <t>B06XWQGYFH</t>
  </si>
  <si>
    <t>Wyckoff</t>
  </si>
  <si>
    <t>07481-3207</t>
  </si>
  <si>
    <t>112-5836615-9941852</t>
  </si>
  <si>
    <t>2018-08-02T16:05:07+00:00</t>
  </si>
  <si>
    <t>2018-08-03T14:34:16+00:00</t>
  </si>
  <si>
    <t>YZ-ZQBL03-B0-2XL</t>
  </si>
  <si>
    <t>B0792THM1S</t>
  </si>
  <si>
    <t>Woodmere</t>
  </si>
  <si>
    <t>112-8493138-0093018</t>
  </si>
  <si>
    <t>2018-08-02T15:57:28+00:00</t>
  </si>
  <si>
    <t>2018-08-04T06:10:18+00:00</t>
  </si>
  <si>
    <t>PLAYA DEL REY</t>
  </si>
  <si>
    <t>90293-8656</t>
  </si>
  <si>
    <t>113-6093484-8892255</t>
  </si>
  <si>
    <t>2018-08-02T15:32:11+00:00</t>
  </si>
  <si>
    <t>2018-08-03T03:12:15+00:00</t>
  </si>
  <si>
    <t>staten island</t>
  </si>
  <si>
    <t>112-0053001-7633844</t>
  </si>
  <si>
    <t>2018-08-02T15:27:16+00:00</t>
  </si>
  <si>
    <t>2018-08-02T22:38:48+00:00</t>
  </si>
  <si>
    <t>WILSON</t>
  </si>
  <si>
    <t>AR</t>
  </si>
  <si>
    <t>72395-1302</t>
  </si>
  <si>
    <t>113-3945175-6507448</t>
  </si>
  <si>
    <t>2018-08-02T15:26:39+00:00</t>
  </si>
  <si>
    <t>2018-08-05T09:21:00+00:00</t>
  </si>
  <si>
    <t>BLAIRSVILLE</t>
  </si>
  <si>
    <t>15717-1104</t>
  </si>
  <si>
    <t>111-6613179-4733056</t>
  </si>
  <si>
    <t>2018-08-02T14:43:49+00:00</t>
  </si>
  <si>
    <t>2018-08-05T22:02:20+00:00</t>
  </si>
  <si>
    <t>YZ-SUZQBL03-K0-3X</t>
  </si>
  <si>
    <t>B07C2ZZPZ6</t>
  </si>
  <si>
    <t>GOLTRY</t>
  </si>
  <si>
    <t>OK</t>
  </si>
  <si>
    <t>73739-0096</t>
  </si>
  <si>
    <t>112-6903538-3653025</t>
  </si>
  <si>
    <t>2018-08-02T14:23:47+00:00</t>
  </si>
  <si>
    <t>2018-08-04T16:29:55+00:00</t>
  </si>
  <si>
    <t>Valley Park</t>
  </si>
  <si>
    <t>MO</t>
  </si>
  <si>
    <t>111-5353718-3320269</t>
  </si>
  <si>
    <t>2018-08-02T13:46:33+00:00</t>
  </si>
  <si>
    <t>2018-08-06T07:32:43+00:00</t>
  </si>
  <si>
    <t>PITTSBURGH</t>
  </si>
  <si>
    <t>15228-2233</t>
  </si>
  <si>
    <t>111-5950142-0826646</t>
  </si>
  <si>
    <t>2018-08-02T12:44:47+00:00</t>
  </si>
  <si>
    <t>2018-08-08T23:35:05+00:00</t>
  </si>
  <si>
    <t>IRON STATION</t>
  </si>
  <si>
    <t>28080-9249</t>
  </si>
  <si>
    <t>114-4600219-2021843</t>
  </si>
  <si>
    <t>2018-08-02T11:55:10+00:00</t>
  </si>
  <si>
    <t>2018-08-03T04:41:19+00:00</t>
  </si>
  <si>
    <t>Womens Knitted Long Sweater Dress Tunic Khaki L</t>
  </si>
  <si>
    <t>LYQ-ZQ2973-KQ-L</t>
  </si>
  <si>
    <t>B01LY4R9YJ</t>
  </si>
  <si>
    <t>OXFORD</t>
  </si>
  <si>
    <t>CT</t>
  </si>
  <si>
    <t>06478-1586</t>
  </si>
  <si>
    <t>114-1694941-9392233</t>
  </si>
  <si>
    <t>2018-08-02T07:45:00+00:00</t>
  </si>
  <si>
    <t>2018-08-03T10:36:34+00:00</t>
  </si>
  <si>
    <t>austintown</t>
  </si>
  <si>
    <t>113-8662455-3839439</t>
  </si>
  <si>
    <t>2018-08-02T07:28:54+00:00</t>
  </si>
  <si>
    <t>2018-08-05T15:01:43+00:00</t>
  </si>
  <si>
    <t>113-4923928-1900252</t>
  </si>
  <si>
    <t>2018-08-02T06:57:56+00:00</t>
  </si>
  <si>
    <t>2018-08-02T08:58:13+00:00</t>
  </si>
  <si>
    <t>111-3790730-4380259</t>
  </si>
  <si>
    <t>2018-08-02T06:32:42+00:00</t>
  </si>
  <si>
    <t>2018-08-03T04:27:21+00:00</t>
  </si>
  <si>
    <t>KIRKLAND</t>
  </si>
  <si>
    <t>WA</t>
  </si>
  <si>
    <t>98033-4902</t>
  </si>
  <si>
    <t>114-8689827-8868236</t>
  </si>
  <si>
    <t>2018-08-02T05:25:45+00:00</t>
  </si>
  <si>
    <t>2018-08-05T11:30:22+00:00</t>
  </si>
  <si>
    <t>112-3938911-6255417</t>
  </si>
  <si>
    <t>2018-08-02T04:48:43+00:00</t>
  </si>
  <si>
    <t>2018-08-02T05:20:19+00:00</t>
  </si>
  <si>
    <t>OLYMPIA</t>
  </si>
  <si>
    <t>98506-4122</t>
  </si>
  <si>
    <t>113-7321098-5999458</t>
  </si>
  <si>
    <t>2018-08-02T04:10:21+00:00</t>
  </si>
  <si>
    <t>2018-08-04T23:43:47+00:00</t>
  </si>
  <si>
    <t>Austin</t>
  </si>
  <si>
    <t>Texas</t>
  </si>
  <si>
    <t>111-1529898-0773826</t>
  </si>
  <si>
    <t>2018-08-02T03:54:53+00:00</t>
  </si>
  <si>
    <t>2018-08-04T20:47:52+00:00</t>
  </si>
  <si>
    <t>Summer Mae Women's Sexy Colorful One Piece Beachwear Bikini Monokini Swimsuit</t>
  </si>
  <si>
    <t>YZ-SM-HM30CH-L</t>
  </si>
  <si>
    <t>B01M5JZGEH</t>
  </si>
  <si>
    <t>SCOTTSDALE</t>
  </si>
  <si>
    <t>85259-3090</t>
  </si>
  <si>
    <t>111-6938798-9787415</t>
  </si>
  <si>
    <t>2018-08-02T02:22:47+00:00</t>
  </si>
  <si>
    <t>2018-08-03T06:28:14+00:00</t>
  </si>
  <si>
    <t>ELIZABETHTOWN</t>
  </si>
  <si>
    <t>NORTH CAROLINA</t>
  </si>
  <si>
    <t>28337-6302</t>
  </si>
  <si>
    <t>112-3418374-6261840</t>
  </si>
  <si>
    <t>2018-08-02T02:08:11+00:00</t>
  </si>
  <si>
    <t>2018-08-03T07:22:29+00:00</t>
  </si>
  <si>
    <t>YAKIMA</t>
  </si>
  <si>
    <t>98902-1293</t>
  </si>
  <si>
    <t>114-8905287-7315436</t>
  </si>
  <si>
    <t>2018-08-02T01:46:31+00:00</t>
  </si>
  <si>
    <t>2018-08-03T07:41:00+00:00</t>
  </si>
  <si>
    <t>YZ-ZQ1521BL3XL</t>
  </si>
  <si>
    <t>B01GJPB6J8</t>
  </si>
  <si>
    <t>ALDIE</t>
  </si>
  <si>
    <t>20105-5536</t>
  </si>
  <si>
    <t>113-6341028-6002621</t>
  </si>
  <si>
    <t>2018-08-02T01:39:21+00:00</t>
  </si>
  <si>
    <t>2018-08-04T00:52:27+00:00</t>
  </si>
  <si>
    <t>LA GRANGE</t>
  </si>
  <si>
    <t>78945-2744</t>
  </si>
  <si>
    <t>113-9296428-2937822</t>
  </si>
  <si>
    <t>2018-08-02T01:32:28+00:00</t>
  </si>
  <si>
    <t>2018-08-03T08:41:19+00:00</t>
  </si>
  <si>
    <t>CHICOPEE</t>
  </si>
  <si>
    <t>01013-2853</t>
  </si>
  <si>
    <t>112-6902502-1421842</t>
  </si>
  <si>
    <t>2018-08-02T01:26:14+00:00</t>
  </si>
  <si>
    <t>2018-08-07T21:27:05+00:00</t>
  </si>
  <si>
    <t>SUNNYVALE</t>
  </si>
  <si>
    <t>CALIFORNIA</t>
  </si>
  <si>
    <t>94087-5161</t>
  </si>
  <si>
    <t>114-9227319-0022667</t>
  </si>
  <si>
    <t>2018-08-02T00:19:20+00:00</t>
  </si>
  <si>
    <t>2018-08-02T01:55:35+00:00</t>
  </si>
  <si>
    <t>S01-3463921-2669029</t>
  </si>
  <si>
    <t>xi832yA994</t>
  </si>
  <si>
    <t>2018-08-03T02:34:39+00:00</t>
  </si>
  <si>
    <t>2018-08-17T15:22:47+00:00</t>
  </si>
  <si>
    <t>Non-Amazon</t>
  </si>
  <si>
    <t>Summer Mae Backless One Piece Monokini Halter Pad Bikini Swimsuits Swimwear L NavyBlue</t>
  </si>
  <si>
    <t>YZ-ZQ112B0XL</t>
  </si>
  <si>
    <t>B01GCGA6TU</t>
  </si>
  <si>
    <t>113-7335189-6221032</t>
  </si>
  <si>
    <t>2018-08-03T22:24:09+00:00</t>
  </si>
  <si>
    <t>2018-08-05T05:22:23+00:00</t>
  </si>
  <si>
    <t>Wayne</t>
  </si>
  <si>
    <t>MAINE</t>
  </si>
  <si>
    <t>04284-3508</t>
  </si>
  <si>
    <t>111-6535556-0623444</t>
  </si>
  <si>
    <t>2018-08-03T22:02:06+00:00</t>
  </si>
  <si>
    <t>2018-08-05T01:26:45+00:00</t>
  </si>
  <si>
    <t>YZ-SUZQ388-W0-XL</t>
  </si>
  <si>
    <t>B07D32N4L4</t>
  </si>
  <si>
    <t>19144-2023</t>
  </si>
  <si>
    <t>111-2641176-5151432</t>
  </si>
  <si>
    <t>2018-08-03T20:32:29+00:00</t>
  </si>
  <si>
    <t>2018-08-05T12:24:05+00:00</t>
  </si>
  <si>
    <t>Summer Mae Women's Heart Pattern Patchwork Knitted Sweater Round Neck Loose Pullover</t>
  </si>
  <si>
    <t>LYQ-ZQPC01-P0-S</t>
  </si>
  <si>
    <t>B075QFSJCK</t>
  </si>
  <si>
    <t>SALEM</t>
  </si>
  <si>
    <t>UT</t>
  </si>
  <si>
    <t>84653-5011</t>
  </si>
  <si>
    <t>112-2660674-0847464</t>
  </si>
  <si>
    <t>2018-08-03T18:43:01+00:00</t>
  </si>
  <si>
    <t>2018-08-04T23:24:39+00:00</t>
  </si>
  <si>
    <t>Key Largo</t>
  </si>
  <si>
    <t>112-1648117-9677024</t>
  </si>
  <si>
    <t>2018-08-03T18:12:16+00:00</t>
  </si>
  <si>
    <t>2018-08-04T07:45:32+00:00</t>
  </si>
  <si>
    <t>Centereach</t>
  </si>
  <si>
    <t>114-1884351-9543446</t>
  </si>
  <si>
    <t>2018-08-03T18:10:26+00:00</t>
  </si>
  <si>
    <t>2018-08-04T21:43:32+00:00</t>
  </si>
  <si>
    <t>32068-8793</t>
  </si>
  <si>
    <t>112-3955132-0624218</t>
  </si>
  <si>
    <t>2018-08-03T17:32:16+00:00</t>
  </si>
  <si>
    <t>2018-08-05T21:30:13+00:00</t>
  </si>
  <si>
    <t>HANAHAN</t>
  </si>
  <si>
    <t>29410-8261</t>
  </si>
  <si>
    <t>114-1451145-4347413</t>
  </si>
  <si>
    <t>2018-08-03T17:11:58+00:00</t>
  </si>
  <si>
    <t>2018-08-04T16:28:04+00:00</t>
  </si>
  <si>
    <t>sharon hill</t>
  </si>
  <si>
    <t>pennsylvania</t>
  </si>
  <si>
    <t>113-6298372-3587411</t>
  </si>
  <si>
    <t>2018-08-03T16:22:57+00:00</t>
  </si>
  <si>
    <t>2018-08-05T08:14:57+00:00</t>
  </si>
  <si>
    <t>112-3314227-8324265</t>
  </si>
  <si>
    <t>2018-08-03T16:18:50+00:00</t>
  </si>
  <si>
    <t>2018-08-05T06:24:19+00:00</t>
  </si>
  <si>
    <t>MORRO BAY</t>
  </si>
  <si>
    <t>93442-2423</t>
  </si>
  <si>
    <t>114-5690039-1134658</t>
  </si>
  <si>
    <t>2018-08-03T16:02:18+00:00</t>
  </si>
  <si>
    <t>2018-08-04T16:53:47+00:00</t>
  </si>
  <si>
    <t>FRESNO</t>
  </si>
  <si>
    <t>112-9791920-5865806</t>
  </si>
  <si>
    <t>2018-08-03T15:17:51+00:00</t>
  </si>
  <si>
    <t>2018-08-05T06:26:55+00:00</t>
  </si>
  <si>
    <t>ANNAPOLIS</t>
  </si>
  <si>
    <t>21401-2433</t>
  </si>
  <si>
    <t>114-5860405-6724240</t>
  </si>
  <si>
    <t>2018-08-03T15:02:15+00:00</t>
  </si>
  <si>
    <t>2018-08-08T20:13:22+00:00</t>
  </si>
  <si>
    <t>Springfield Gardens</t>
  </si>
  <si>
    <t>113-7659027-3863430</t>
  </si>
  <si>
    <t>2018-08-03T11:26:36+00:00</t>
  </si>
  <si>
    <t>2018-08-05T06:43:57+00:00</t>
  </si>
  <si>
    <t>ELLAVILLE</t>
  </si>
  <si>
    <t>31806-7439</t>
  </si>
  <si>
    <t>113-6877109-8274648</t>
  </si>
  <si>
    <t>2018-08-03T03:43:47+00:00</t>
  </si>
  <si>
    <t>2018-08-04T19:05:50+00:00</t>
  </si>
  <si>
    <t>YZ-ZQ1521RL4XL</t>
  </si>
  <si>
    <t>B01GJPC03E</t>
  </si>
  <si>
    <t>KETTLE FALLS</t>
  </si>
  <si>
    <t>99141-8797</t>
  </si>
  <si>
    <t>112-0693402-5230601</t>
  </si>
  <si>
    <t>2018-08-03T03:39:47+00:00</t>
  </si>
  <si>
    <t>2018-08-04T06:18:50+00:00</t>
  </si>
  <si>
    <t>Summer Mae Women's Plus Size V-Neck Gradient Lace Beach Dress</t>
  </si>
  <si>
    <t>SHJ-ZQLS12-K0-XL</t>
  </si>
  <si>
    <t>B071S45R26</t>
  </si>
  <si>
    <t>LA PUENTE</t>
  </si>
  <si>
    <t>California</t>
  </si>
  <si>
    <t>113-8235417-1165031</t>
  </si>
  <si>
    <t>2018-08-03T03:00:57+00:00</t>
  </si>
  <si>
    <t>2018-08-05T21:32:13+00:00</t>
  </si>
  <si>
    <t>MARRERO</t>
  </si>
  <si>
    <t>112-4193223-4738640</t>
  </si>
  <si>
    <t>2018-08-03T02:53:17+00:00</t>
  </si>
  <si>
    <t>2018-08-04T23:17:38+00:00</t>
  </si>
  <si>
    <t>FISHERS</t>
  </si>
  <si>
    <t>46037-6512</t>
  </si>
  <si>
    <t>114-6768252-4457833</t>
  </si>
  <si>
    <t>2018-08-03T02:40:51+00:00</t>
  </si>
  <si>
    <t>2018-08-04T21:52:22+00:00</t>
  </si>
  <si>
    <t>33198-1534</t>
  </si>
  <si>
    <t>113-8310448-7189057</t>
  </si>
  <si>
    <t>2018-08-03T02:26:59+00:00</t>
  </si>
  <si>
    <t>2018-08-04T15:29:50+00:00</t>
  </si>
  <si>
    <t>YZ-ZQFT1816-Y0-2X</t>
  </si>
  <si>
    <t>B073XJ1L2G</t>
  </si>
  <si>
    <t>SOUTH JORDAN</t>
  </si>
  <si>
    <t>84095-9062</t>
  </si>
  <si>
    <t>111-0453744-0309812</t>
  </si>
  <si>
    <t>2018-08-03T02:22:47+00:00</t>
  </si>
  <si>
    <t>2018-08-04T08:58:10+00:00</t>
  </si>
  <si>
    <t>BUDA</t>
  </si>
  <si>
    <t>78610-3244</t>
  </si>
  <si>
    <t>112-7485521-7632235</t>
  </si>
  <si>
    <t>2018-08-03T02:22:37+00:00</t>
  </si>
  <si>
    <t>2018-08-04T06:28:11+00:00</t>
  </si>
  <si>
    <t>CHICO</t>
  </si>
  <si>
    <t>95926-2233</t>
  </si>
  <si>
    <t>111-8034746-3292262</t>
  </si>
  <si>
    <t>2018-08-03T02:20:19+00:00</t>
  </si>
  <si>
    <t>2018-08-06T02:28:32+00:00</t>
  </si>
  <si>
    <t>11214-3669</t>
  </si>
  <si>
    <t>111-6908368-5693822</t>
  </si>
  <si>
    <t>2018-08-03T01:27:34+00:00</t>
  </si>
  <si>
    <t>2018-08-03T10:28:25+00:00</t>
  </si>
  <si>
    <t>Summer Mae Women's Lace Up Front V Neck Long Sleeve Knit Sweater Dress Top</t>
  </si>
  <si>
    <t>LYQ-HM1205-BR-XL</t>
  </si>
  <si>
    <t>B01M9G5R04</t>
  </si>
  <si>
    <t>NASHVILLE</t>
  </si>
  <si>
    <t>37201-2235</t>
  </si>
  <si>
    <t>114-9357442-4162624</t>
  </si>
  <si>
    <t>2018-08-03T00:59:47+00:00</t>
  </si>
  <si>
    <t>2018-08-04T23:35:52+00:00</t>
  </si>
  <si>
    <t>Summer Mae Kids Girls Boys Stylish Warm Plaid Scarf Gorgeous Wrap Shawl</t>
  </si>
  <si>
    <t>WJ-ZQ650-C11</t>
  </si>
  <si>
    <t>B01M22BQTJ</t>
  </si>
  <si>
    <t>MC CLURE</t>
  </si>
  <si>
    <t>62957-9767</t>
  </si>
  <si>
    <t>112-2953665-0046657</t>
  </si>
  <si>
    <t>2018-08-03T00:41:34+00:00</t>
  </si>
  <si>
    <t>2018-08-04T04:24:05+00:00</t>
  </si>
  <si>
    <t>SAN GABRIEL</t>
  </si>
  <si>
    <t>91775-2051</t>
  </si>
  <si>
    <t>114-9526521-5724222</t>
  </si>
  <si>
    <t>2018-08-04T23:58:19+00:00</t>
  </si>
  <si>
    <t>2018-08-06T04:33:08+00:00</t>
  </si>
  <si>
    <t>YZ-ZQFT1816-Y0-L</t>
  </si>
  <si>
    <t>B073XH8KDN</t>
  </si>
  <si>
    <t>Hayward</t>
  </si>
  <si>
    <t>Ca</t>
  </si>
  <si>
    <t>112-3097286-9077839</t>
  </si>
  <si>
    <t>2018-08-04T23:33:20+00:00</t>
  </si>
  <si>
    <t>2018-08-05T19:01:23+00:00</t>
  </si>
  <si>
    <t>MANAKIN SABOT</t>
  </si>
  <si>
    <t>23103-2150</t>
  </si>
  <si>
    <t>112-4213761-4341841</t>
  </si>
  <si>
    <t>2018-08-04T23:06:24+00:00</t>
  </si>
  <si>
    <t>2018-08-05T16:29:44+00:00</t>
  </si>
  <si>
    <t>Hamilton</t>
  </si>
  <si>
    <t>113-5861500-2589045</t>
  </si>
  <si>
    <t>2018-08-04T20:51:01+00:00</t>
  </si>
  <si>
    <t>2018-08-07T08:25:38+00:00</t>
  </si>
  <si>
    <t>PORTLAND</t>
  </si>
  <si>
    <t>06480-1622</t>
  </si>
  <si>
    <t>111-7014060-7525055</t>
  </si>
  <si>
    <t>2018-08-04T19:15:17+00:00</t>
  </si>
  <si>
    <t>2018-08-06T07:56:22+00:00</t>
  </si>
  <si>
    <t>Bloomfield</t>
  </si>
  <si>
    <t>IA</t>
  </si>
  <si>
    <t>114-3686183-7409842</t>
  </si>
  <si>
    <t>2018-08-04T19:10:25+00:00</t>
  </si>
  <si>
    <t>2018-08-15T00:43:57+00:00</t>
  </si>
  <si>
    <t>LYQ-ZQ3550-E0-5X</t>
  </si>
  <si>
    <t>B071ZYZ4WT</t>
  </si>
  <si>
    <t>MABANK</t>
  </si>
  <si>
    <t>75156-9057</t>
  </si>
  <si>
    <t>114-0789083-5361023</t>
  </si>
  <si>
    <t>2018-08-04T18:03:18+00:00</t>
  </si>
  <si>
    <t>2018-08-07T20:25:25+00:00</t>
  </si>
  <si>
    <t>WARNER</t>
  </si>
  <si>
    <t>NH</t>
  </si>
  <si>
    <t>03278-6426</t>
  </si>
  <si>
    <t>114-6437171-5981039</t>
  </si>
  <si>
    <t>2018-08-04T17:15:16+00:00</t>
  </si>
  <si>
    <t>2018-08-06T06:32:30+00:00</t>
  </si>
  <si>
    <t>Summer Mae Women's V-Neck Watermelon Print One Piece Swimsuit</t>
  </si>
  <si>
    <t>YZ-ZQZY456-R0-L</t>
  </si>
  <si>
    <t>B072N57JLZ</t>
  </si>
  <si>
    <t>MONTEBELLO</t>
  </si>
  <si>
    <t>90640-5912</t>
  </si>
  <si>
    <t>111-0465589-0380243</t>
  </si>
  <si>
    <t>2018-08-04T16:30:00+00:00</t>
  </si>
  <si>
    <t>2018-08-11T08:13:34+00:00</t>
  </si>
  <si>
    <t>Summer Mae Women's Plus Size Swim Dress Printed-Hem Ruffled Swimwear</t>
  </si>
  <si>
    <t>YZ-ZQ15827B05XL</t>
  </si>
  <si>
    <t>B01M63S2EX</t>
  </si>
  <si>
    <t>BOCA RATON</t>
  </si>
  <si>
    <t>33486-8461</t>
  </si>
  <si>
    <t>113-5564437-3309863</t>
  </si>
  <si>
    <t>2018-08-04T16:12:58+00:00</t>
  </si>
  <si>
    <t>2018-08-06T02:47:25+00:00</t>
  </si>
  <si>
    <t>37912-2830</t>
  </si>
  <si>
    <t>113-8382262-3601819</t>
  </si>
  <si>
    <t>2018-08-04T15:43:38+00:00</t>
  </si>
  <si>
    <t>2018-08-07T22:27:07+00:00</t>
  </si>
  <si>
    <t>Brooklyn</t>
  </si>
  <si>
    <t>111-0456619-3325840</t>
  </si>
  <si>
    <t>2018-08-04T15:31:22+00:00</t>
  </si>
  <si>
    <t>2018-08-05T16:18:27+00:00</t>
  </si>
  <si>
    <t>Chicago</t>
  </si>
  <si>
    <t>Illinois</t>
  </si>
  <si>
    <t>111-8693137-0378664</t>
  </si>
  <si>
    <t>2018-08-04T14:44:56+00:00</t>
  </si>
  <si>
    <t>2018-08-05T08:28:43+00:00</t>
  </si>
  <si>
    <t>PLEASANT VALLEY</t>
  </si>
  <si>
    <t>12569-7341</t>
  </si>
  <si>
    <t>114-9346479-1701062</t>
  </si>
  <si>
    <t>2018-08-04T13:07:13+00:00</t>
  </si>
  <si>
    <t>2018-08-08T00:57:42+00:00</t>
  </si>
  <si>
    <t>WILMINGTON</t>
  </si>
  <si>
    <t>28411-9217</t>
  </si>
  <si>
    <t>112-9231678-4157000</t>
  </si>
  <si>
    <t>2018-08-04T06:46:08+00:00</t>
  </si>
  <si>
    <t>2018-08-08T04:24:16+00:00</t>
  </si>
  <si>
    <t>YZ-SUBL03-B0-XL</t>
  </si>
  <si>
    <t>B07DNZRXKL</t>
  </si>
  <si>
    <t>WESTMINSTER</t>
  </si>
  <si>
    <t>92683-7037</t>
  </si>
  <si>
    <t>112-8766310-6078618</t>
  </si>
  <si>
    <t>2018-08-04T05:45:09+00:00</t>
  </si>
  <si>
    <t>2018-08-05T06:30:58+00:00</t>
  </si>
  <si>
    <t>WINNETKA</t>
  </si>
  <si>
    <t>91306-1108</t>
  </si>
  <si>
    <t>111-7458440-5383437</t>
  </si>
  <si>
    <t>2018-08-04T05:18:25+00:00</t>
  </si>
  <si>
    <t>2018-08-04T19:30:25+00:00</t>
  </si>
  <si>
    <t>LYQ-ZQ3550-PI-2X</t>
  </si>
  <si>
    <t>B071FZX1KP</t>
  </si>
  <si>
    <t>UPLAND</t>
  </si>
  <si>
    <t>91786-3388</t>
  </si>
  <si>
    <t>114-7663375-3481030</t>
  </si>
  <si>
    <t>2018-08-04T04:44:06+00:00</t>
  </si>
  <si>
    <t>2018-08-04T15:25:59+00:00</t>
  </si>
  <si>
    <t>LUFKIN</t>
  </si>
  <si>
    <t>75901-8905</t>
  </si>
  <si>
    <t>112-9434814-5166667</t>
  </si>
  <si>
    <t>2018-08-04T04:34:15+00:00</t>
  </si>
  <si>
    <t>2018-08-05T02:39:58+00:00</t>
  </si>
  <si>
    <t>FLORIDA</t>
  </si>
  <si>
    <t>112-5424420-7564207</t>
  </si>
  <si>
    <t>2018-08-04T04:06:15+00:00</t>
  </si>
  <si>
    <t>2018-08-06T20:10:26+00:00</t>
  </si>
  <si>
    <t>Women One Piece Swimsuit Deep V-Neck Pattern Swimwear Cross-Back High Cut Monokini Bathing Suits Pink 5XL</t>
  </si>
  <si>
    <t>YZ-HM1727-Pi-5XL</t>
  </si>
  <si>
    <t>B06XRVQGKC</t>
  </si>
  <si>
    <t>BRISTOL</t>
  </si>
  <si>
    <t>24202-3687</t>
  </si>
  <si>
    <t>113-5977249-8874612</t>
  </si>
  <si>
    <t>2018-08-04T04:05:48+00:00</t>
  </si>
  <si>
    <t>2018-08-05T16:37:14+00:00</t>
  </si>
  <si>
    <t>LYQ-ZQ3550-E0-4X</t>
  </si>
  <si>
    <t>B071FZW8CS</t>
  </si>
  <si>
    <t>ROCKHOLDS</t>
  </si>
  <si>
    <t>KY</t>
  </si>
  <si>
    <t>40759-9503</t>
  </si>
  <si>
    <t>113-6245495-1772252</t>
  </si>
  <si>
    <t>2018-08-04T03:42:20+00:00</t>
  </si>
  <si>
    <t>2018-08-06T12:36:23+00:00</t>
  </si>
  <si>
    <t>KELSO</t>
  </si>
  <si>
    <t>98626-5346</t>
  </si>
  <si>
    <t>114-7082793-6632249</t>
  </si>
  <si>
    <t>2018-08-04T03:07:05+00:00</t>
  </si>
  <si>
    <t>2018-08-05T07:19:04+00:00</t>
  </si>
  <si>
    <t>Upland</t>
  </si>
  <si>
    <t>111-0149331-7922657</t>
  </si>
  <si>
    <t>2018-08-04T02:28:37+00:00</t>
  </si>
  <si>
    <t>2018-08-05T19:35:00+00:00</t>
  </si>
  <si>
    <t>Summer Mae Women's One Piece Bathing Suit Tankini Swimdress Cover Up Swimsuit S(US size:4-6), Tag size: 2XL</t>
  </si>
  <si>
    <t>YZ-ZQ1521RM2XL</t>
  </si>
  <si>
    <t>B01GJPCGZ6</t>
  </si>
  <si>
    <t>NORTHBRIDGE</t>
  </si>
  <si>
    <t>01534-1241</t>
  </si>
  <si>
    <t>114-7452417-0439424</t>
  </si>
  <si>
    <t>2018-08-04T02:10:19+00:00</t>
  </si>
  <si>
    <t>2018-08-08T22:30:23+00:00</t>
  </si>
  <si>
    <t>NORTH BAY VILLAGE</t>
  </si>
  <si>
    <t>33141-3380</t>
  </si>
  <si>
    <t>112-7398507-9832206</t>
  </si>
  <si>
    <t>2018-08-04T01:12:00+00:00</t>
  </si>
  <si>
    <t>2018-08-08T04:38:08+00:00</t>
  </si>
  <si>
    <t>YZ-SUBL03-B0-S</t>
  </si>
  <si>
    <t>B07DNXLPTS</t>
  </si>
  <si>
    <t>INCLINE VILLAGE</t>
  </si>
  <si>
    <t>89451-8501</t>
  </si>
  <si>
    <t>112-3385295-2613014</t>
  </si>
  <si>
    <t>2018-08-04T01:08:52+00:00</t>
  </si>
  <si>
    <t>2018-08-04T10:31:12+00:00</t>
  </si>
  <si>
    <t>NORTH BALDWIN</t>
  </si>
  <si>
    <t>11510-2324</t>
  </si>
  <si>
    <t>113-6555429-4318650</t>
  </si>
  <si>
    <t>2018-08-04T00:41:43+00:00</t>
  </si>
  <si>
    <t>2018-08-07T04:18:28+00:00</t>
  </si>
  <si>
    <t>YZ-SUZQ388-W0-M</t>
  </si>
  <si>
    <t>B07D35DJ26</t>
  </si>
  <si>
    <t>94102-4206</t>
  </si>
  <si>
    <t>113-5720564-4449064</t>
  </si>
  <si>
    <t>2018-08-04T00:34:43+00:00</t>
  </si>
  <si>
    <t>2018-08-05T02:26:42+00:00</t>
  </si>
  <si>
    <t>UPPER MARLBORO</t>
  </si>
  <si>
    <t>20774-1300</t>
  </si>
  <si>
    <t>113-1084268-0397022</t>
  </si>
  <si>
    <t>2018-08-04T00:22:10+00:00</t>
  </si>
  <si>
    <t>2018-08-05T08:32:56+00:00</t>
  </si>
  <si>
    <t>SAN LEANDRO</t>
  </si>
  <si>
    <t>94577-2319</t>
  </si>
  <si>
    <t>113-1050267-3008232</t>
  </si>
  <si>
    <t>2018-08-05T23:34:19+00:00</t>
  </si>
  <si>
    <t>2018-08-07T02:28:06+00:00</t>
  </si>
  <si>
    <t>AURORA</t>
  </si>
  <si>
    <t>60503-7330</t>
  </si>
  <si>
    <t>111-3852220-4051401</t>
  </si>
  <si>
    <t>2018-08-05T23:28:46+00:00</t>
  </si>
  <si>
    <t>2018-08-08T18:59:28+00:00</t>
  </si>
  <si>
    <t>LYQ-ZQ3550-E0-2X</t>
  </si>
  <si>
    <t>B072JT4NS9</t>
  </si>
  <si>
    <t>GRANGER</t>
  </si>
  <si>
    <t>46530-7541</t>
  </si>
  <si>
    <t>114-7957696-7866627</t>
  </si>
  <si>
    <t>2018-08-05T23:06:30+00:00</t>
  </si>
  <si>
    <t>2018-08-06T09:32:17+00:00</t>
  </si>
  <si>
    <t>19803-5104</t>
  </si>
  <si>
    <t>113-1498912-3189023</t>
  </si>
  <si>
    <t>2018-08-05T20:57:11+00:00</t>
  </si>
  <si>
    <t>2018-08-07T04:17:28+00:00</t>
  </si>
  <si>
    <t>YZ-SUZQ388-W0-L</t>
  </si>
  <si>
    <t>B07D33PXF9</t>
  </si>
  <si>
    <t>EL DORADO HILLS</t>
  </si>
  <si>
    <t>95762-5557</t>
  </si>
  <si>
    <t>112-8628070-9501013</t>
  </si>
  <si>
    <t>2018-08-05T20:30:22+00:00</t>
  </si>
  <si>
    <t>2018-08-06T20:29:30+00:00</t>
  </si>
  <si>
    <t>WOMEN'S BOUTIQUE Summer Mae Women's Yellow/Orange Lace Mesh Swimwear Two Piece Halter Tankini Top &amp; Bottom</t>
  </si>
  <si>
    <t>YZ-ZQFT1816-O0-S</t>
  </si>
  <si>
    <t>B073XHGJDM</t>
  </si>
  <si>
    <t>ALEXANDRIA</t>
  </si>
  <si>
    <t>22310-5162</t>
  </si>
  <si>
    <t>111-1072268-1644244</t>
  </si>
  <si>
    <t>2018-08-05T19:03:44+00:00</t>
  </si>
  <si>
    <t>2018-08-18T10:24:21+00:00</t>
  </si>
  <si>
    <t>Summer Mae Women's Attractive Floral Print One Piece Swimsuit Adjustable Swimwear</t>
  </si>
  <si>
    <t>YZ-ZQadn1601-B1-M</t>
  </si>
  <si>
    <t>B01M366E1Z</t>
  </si>
  <si>
    <t>APO</t>
  </si>
  <si>
    <t>AE</t>
  </si>
  <si>
    <t>113-6289471-1492246</t>
  </si>
  <si>
    <t>2018-08-05T18:32:21+00:00</t>
  </si>
  <si>
    <t>2018-08-07T03:24:51+00:00</t>
  </si>
  <si>
    <t>Bennettsville</t>
  </si>
  <si>
    <t>sc</t>
  </si>
  <si>
    <t>114-7103511-7569824</t>
  </si>
  <si>
    <t>2018-08-05T17:55:47+00:00</t>
  </si>
  <si>
    <t>2018-08-08T06:24:06+00:00</t>
  </si>
  <si>
    <t>10461-5122</t>
  </si>
  <si>
    <t>113-5778551-5270606</t>
  </si>
  <si>
    <t>2018-08-05T17:05:27+00:00</t>
  </si>
  <si>
    <t>2018-08-06T14:44:29+00:00</t>
  </si>
  <si>
    <t>YZ-ZQ1521BL2XL</t>
  </si>
  <si>
    <t>B01GJPB4DQ</t>
  </si>
  <si>
    <t>PLANO</t>
  </si>
  <si>
    <t>75025-5910</t>
  </si>
  <si>
    <t>111-4842901-3210633</t>
  </si>
  <si>
    <t>2018-08-05T16:54:16+00:00</t>
  </si>
  <si>
    <t>2018-08-07T04:33:03+00:00</t>
  </si>
  <si>
    <t>85255-9056</t>
  </si>
  <si>
    <t>114-8924699-7029849</t>
  </si>
  <si>
    <t>2018-08-05T16:18:55+00:00</t>
  </si>
  <si>
    <t>2018-08-06T01:40:51+00:00</t>
  </si>
  <si>
    <t>10302-2425</t>
  </si>
  <si>
    <t>113-6831043-3618660</t>
  </si>
  <si>
    <t>2018-08-05T15:27:11+00:00</t>
  </si>
  <si>
    <t>2018-08-07T22:51:48+00:00</t>
  </si>
  <si>
    <t>SUGAR HILL</t>
  </si>
  <si>
    <t>30518-7435</t>
  </si>
  <si>
    <t>112-3618496-9108202</t>
  </si>
  <si>
    <t>2018-08-05T15:08:54+00:00</t>
  </si>
  <si>
    <t>2018-08-06T01:43:15+00:00</t>
  </si>
  <si>
    <t>Summer Mae Women's Sexy Crochet Tunic Hollow Out Cover-ups Beachwear Bikini Dress White</t>
  </si>
  <si>
    <t>SJ-HM1995-W0</t>
  </si>
  <si>
    <t>B01GFM5LEQ</t>
  </si>
  <si>
    <t>Southport</t>
  </si>
  <si>
    <t>Ct</t>
  </si>
  <si>
    <t>111-9584376-5224220</t>
  </si>
  <si>
    <t>2018-08-05T14:51:33+00:00</t>
  </si>
  <si>
    <t>2018-08-06T03:20:51+00:00</t>
  </si>
  <si>
    <t>BIGFORK</t>
  </si>
  <si>
    <t>MT</t>
  </si>
  <si>
    <t>59911-3614</t>
  </si>
  <si>
    <t>114-9314972-4957021</t>
  </si>
  <si>
    <t>2018-08-05T14:43:57+00:00</t>
  </si>
  <si>
    <t>2018-08-06T23:51:53+00:00</t>
  </si>
  <si>
    <t>Womens Knitted Long Sweater Dress Tunic Khaki M</t>
  </si>
  <si>
    <t>LYQ-ZQ2973-KQ-M</t>
  </si>
  <si>
    <t>B01LXHBU2Q</t>
  </si>
  <si>
    <t>MERIDIAN</t>
  </si>
  <si>
    <t>ID</t>
  </si>
  <si>
    <t>83642-4847</t>
  </si>
  <si>
    <t>Womens Knitted Long Sweater Dress Tunic Grey M</t>
  </si>
  <si>
    <t>LYQ-ZQ2973-E0-M</t>
  </si>
  <si>
    <t>B01LWI58YH</t>
  </si>
  <si>
    <t>114-2507525-2633042</t>
  </si>
  <si>
    <t>2018-08-05T14:31:03+00:00</t>
  </si>
  <si>
    <t>2018-08-07T09:10:55+00:00</t>
  </si>
  <si>
    <t>VENETIA</t>
  </si>
  <si>
    <t>15367-1041</t>
  </si>
  <si>
    <t>111-6070541-2643436</t>
  </si>
  <si>
    <t>2018-08-05T14:22:40+00:00</t>
  </si>
  <si>
    <t>2018-08-05T14:32:30+00:00</t>
  </si>
  <si>
    <t>10457-7908</t>
  </si>
  <si>
    <t>112-5074684-0751432</t>
  </si>
  <si>
    <t>2018-08-05T08:21:38+00:00</t>
  </si>
  <si>
    <t>2018-08-15T06:12:39+00:00</t>
  </si>
  <si>
    <t>SHJ-ZQLS12-K0-L</t>
  </si>
  <si>
    <t>B07286PW93</t>
  </si>
  <si>
    <t>Oceanside</t>
  </si>
  <si>
    <t>111-7872531-1609810</t>
  </si>
  <si>
    <t>2018-08-05T05:06:08+00:00</t>
  </si>
  <si>
    <t>2018-08-10T17:34:20+00:00</t>
  </si>
  <si>
    <t>Womens Knitted Long Sweater Dress Tunic Black XL</t>
  </si>
  <si>
    <t>LYQ-ZQ2973-K0-XL</t>
  </si>
  <si>
    <t>B075DRB3ZD</t>
  </si>
  <si>
    <t>BROOKLYN CENTER</t>
  </si>
  <si>
    <t>55430-2726</t>
  </si>
  <si>
    <t>113-8819865-6042602</t>
  </si>
  <si>
    <t>2018-08-05T03:37:32+00:00</t>
  </si>
  <si>
    <t>2018-08-06T16:35:48+00:00</t>
  </si>
  <si>
    <t>NEW HYDE PARK</t>
  </si>
  <si>
    <t>11040-5528</t>
  </si>
  <si>
    <t>111-3361181-1501804</t>
  </si>
  <si>
    <t>2018-08-05T03:26:26+00:00</t>
  </si>
  <si>
    <t>2018-08-05T21:36:11+00:00</t>
  </si>
  <si>
    <t>miami</t>
  </si>
  <si>
    <t>fl</t>
  </si>
  <si>
    <t>114-6510374-0765848</t>
  </si>
  <si>
    <t>2018-08-05T03:14:19+00:00</t>
  </si>
  <si>
    <t>2018-08-06T02:53:05+00:00</t>
  </si>
  <si>
    <t>GAHANNA</t>
  </si>
  <si>
    <t>43230-1740</t>
  </si>
  <si>
    <t>112-0221321-9037014</t>
  </si>
  <si>
    <t>2018-08-05T02:45:21+00:00</t>
  </si>
  <si>
    <t>2018-08-07T03:27:36+00:00</t>
  </si>
  <si>
    <t>LYQ-ZQPC01-B0-S</t>
  </si>
  <si>
    <t>B075QG34Q6</t>
  </si>
  <si>
    <t>RICHMOND HILL</t>
  </si>
  <si>
    <t>11418-3473</t>
  </si>
  <si>
    <t>114-4023400-5694636</t>
  </si>
  <si>
    <t>2018-08-05T01:51:03+00:00</t>
  </si>
  <si>
    <t>2018-08-07T23:23:29+00:00</t>
  </si>
  <si>
    <t>33142-7231</t>
  </si>
  <si>
    <t>111-7893586-4825822</t>
  </si>
  <si>
    <t>2018-08-05T01:04:56+00:00</t>
  </si>
  <si>
    <t>2018-08-05T10:23:06+00:00</t>
  </si>
  <si>
    <t>WAKEFIELD</t>
  </si>
  <si>
    <t>01880-3702</t>
  </si>
  <si>
    <t>112-8418587-9217855</t>
  </si>
  <si>
    <t>2018-08-05T00:04:25+00:00</t>
  </si>
  <si>
    <t>2018-08-05T21:58:38+00:00</t>
  </si>
  <si>
    <t>WILSONVILLE</t>
  </si>
  <si>
    <t>OR</t>
  </si>
  <si>
    <t>97070-7375</t>
  </si>
  <si>
    <t>112-2644625-4385037</t>
  </si>
  <si>
    <t>2018-08-06T22:49:16+00:00</t>
  </si>
  <si>
    <t>2018-08-11T17:21:19+00:00</t>
  </si>
  <si>
    <t>HOUSTON</t>
  </si>
  <si>
    <t>77010-3084</t>
  </si>
  <si>
    <t>113-9240459-3869815</t>
  </si>
  <si>
    <t>2018-08-06T22:14:27+00:00</t>
  </si>
  <si>
    <t>2018-08-08T06:24:59+00:00</t>
  </si>
  <si>
    <t>San jose</t>
  </si>
  <si>
    <t>113-0153236-9621801</t>
  </si>
  <si>
    <t>2018-08-06T21:42:04+00:00</t>
  </si>
  <si>
    <t>2018-08-07T09:23:18+00:00</t>
  </si>
  <si>
    <t>NEW ROCHELLE</t>
  </si>
  <si>
    <t>10804-1304</t>
  </si>
  <si>
    <t>114-0736476-7412227</t>
  </si>
  <si>
    <t>2018-08-06T21:07:19+00:00</t>
  </si>
  <si>
    <t>2018-08-07T23:22:45+00:00</t>
  </si>
  <si>
    <t>Summer Mae Womens Plus Size Back Polka Dot Classic 2 Pc Plus Size Tankini L</t>
  </si>
  <si>
    <t>YZ-ZQ789K0XL</t>
  </si>
  <si>
    <t>B01H7076HA</t>
  </si>
  <si>
    <t>HOMESTEAD</t>
  </si>
  <si>
    <t>33032-3104</t>
  </si>
  <si>
    <t>114-6388061-5570635</t>
  </si>
  <si>
    <t>2018-08-06T20:40:40+00:00</t>
  </si>
  <si>
    <t>2018-08-09T22:01:46+00:00</t>
  </si>
  <si>
    <t>Kamuela</t>
  </si>
  <si>
    <t>HI</t>
  </si>
  <si>
    <t>96743-8531</t>
  </si>
  <si>
    <t>111-9662647-6955434</t>
  </si>
  <si>
    <t>2018-08-06T20:25:30+00:00</t>
  </si>
  <si>
    <t>2018-08-07T22:27:26+00:00</t>
  </si>
  <si>
    <t>DRAPER</t>
  </si>
  <si>
    <t>84020-1418</t>
  </si>
  <si>
    <t>114-3532166-0573836</t>
  </si>
  <si>
    <t>2018-08-06T20:13:01+00:00</t>
  </si>
  <si>
    <t>2018-08-07T08:48:38+00:00</t>
  </si>
  <si>
    <t>YZ-ZQ1521RL3XL</t>
  </si>
  <si>
    <t>B01GJPBY22</t>
  </si>
  <si>
    <t>DECATUR</t>
  </si>
  <si>
    <t>30030-2026</t>
  </si>
  <si>
    <t>113-2642457-5603468</t>
  </si>
  <si>
    <t>2018-08-06T19:46:06+00:00</t>
  </si>
  <si>
    <t>2018-08-08T08:40:58+00:00</t>
  </si>
  <si>
    <t>85395-6470</t>
  </si>
  <si>
    <t>113-1168142-4429818</t>
  </si>
  <si>
    <t>2018-08-06T19:44:42+00:00</t>
  </si>
  <si>
    <t>2018-08-08T01:50:41+00:00</t>
  </si>
  <si>
    <t>COOPER</t>
  </si>
  <si>
    <t>75432-5715</t>
  </si>
  <si>
    <t>113-1533118-3994663</t>
  </si>
  <si>
    <t>2018-08-06T19:29:23+00:00</t>
  </si>
  <si>
    <t>2018-08-08T00:19:11+00:00</t>
  </si>
  <si>
    <t>Westport</t>
  </si>
  <si>
    <t>114-2687828-7325819</t>
  </si>
  <si>
    <t>2018-08-06T19:22:31+00:00</t>
  </si>
  <si>
    <t>2018-08-07T23:24:38+00:00</t>
  </si>
  <si>
    <t>Coral Springs</t>
  </si>
  <si>
    <t>Florida</t>
  </si>
  <si>
    <t>111-7457444-3316216</t>
  </si>
  <si>
    <t>2018-08-06T19:09:05+00:00</t>
  </si>
  <si>
    <t>2018-08-09T03:09:17+00:00</t>
  </si>
  <si>
    <t>SARANAC</t>
  </si>
  <si>
    <t>48881-8774</t>
  </si>
  <si>
    <t>111-6280768-5113023</t>
  </si>
  <si>
    <t>2018-08-06T18:57:50+00:00</t>
  </si>
  <si>
    <t>2018-08-07T19:41:10+00:00</t>
  </si>
  <si>
    <t>YZ-SUZQ388-W0-S</t>
  </si>
  <si>
    <t>B07D322V4M</t>
  </si>
  <si>
    <t>FEDERAL WAY</t>
  </si>
  <si>
    <t>98023-6438</t>
  </si>
  <si>
    <t>113-9320341-0069025</t>
  </si>
  <si>
    <t>2018-08-06T18:19:19+00:00</t>
  </si>
  <si>
    <t>2018-08-08T01:26:40+00:00</t>
  </si>
  <si>
    <t>YZ-ZQ1521WP4XL</t>
  </si>
  <si>
    <t>B01GJPBP4E</t>
  </si>
  <si>
    <t>07504-1922</t>
  </si>
  <si>
    <t>112-2401397-9357843</t>
  </si>
  <si>
    <t>2018-08-06T18:02:34+00:00</t>
  </si>
  <si>
    <t>2018-08-07T20:07:14+00:00</t>
  </si>
  <si>
    <t>YZ-ZQ1521GW5XL</t>
  </si>
  <si>
    <t>B01GJPBG4I</t>
  </si>
  <si>
    <t>COSTA MESA</t>
  </si>
  <si>
    <t>92626-4601</t>
  </si>
  <si>
    <t>111-6049017-3446663</t>
  </si>
  <si>
    <t>2018-08-06T16:43:39+00:00</t>
  </si>
  <si>
    <t>2018-08-07T07:22:50+00:00</t>
  </si>
  <si>
    <t>Houston</t>
  </si>
  <si>
    <t>111-0446578-7791432</t>
  </si>
  <si>
    <t>2018-08-06T16:40:22+00:00</t>
  </si>
  <si>
    <t>2018-08-09T20:45:38+00:00</t>
  </si>
  <si>
    <t>REISTERSTOWN</t>
  </si>
  <si>
    <t>21136-6275</t>
  </si>
  <si>
    <t>111-3821927-2737854</t>
  </si>
  <si>
    <t>2018-08-06T16:32:59+00:00</t>
  </si>
  <si>
    <t>2018-08-06T23:00:20+00:00</t>
  </si>
  <si>
    <t>RALEIGH</t>
  </si>
  <si>
    <t>27605-1287</t>
  </si>
  <si>
    <t>113-7861562-9329804</t>
  </si>
  <si>
    <t>2018-08-06T16:12:55+00:00</t>
  </si>
  <si>
    <t>2018-08-08T06:07:57+00:00</t>
  </si>
  <si>
    <t>TUSTIN</t>
  </si>
  <si>
    <t>92782-6523</t>
  </si>
  <si>
    <t>112-3173729-5752267</t>
  </si>
  <si>
    <t>2018-08-06T15:37:55+00:00</t>
  </si>
  <si>
    <t>2018-08-07T16:16:15+00:00</t>
  </si>
  <si>
    <t>PALOS HILLS</t>
  </si>
  <si>
    <t>60465-1604</t>
  </si>
  <si>
    <t>113-0389831-5532247</t>
  </si>
  <si>
    <t>2018-08-06T15:12:40+00:00</t>
  </si>
  <si>
    <t>2018-08-08T01:33:18+00:00</t>
  </si>
  <si>
    <t>MILFORD</t>
  </si>
  <si>
    <t>18337-7642</t>
  </si>
  <si>
    <t>112-4715205-2492227</t>
  </si>
  <si>
    <t>2018-08-06T15:04:02+00:00</t>
  </si>
  <si>
    <t>2018-08-06T22:37:29+00:00</t>
  </si>
  <si>
    <t>DELAND</t>
  </si>
  <si>
    <t>32720-0842</t>
  </si>
  <si>
    <t>111-0178055-7109008</t>
  </si>
  <si>
    <t>2018-08-06T14:59:51+00:00</t>
  </si>
  <si>
    <t>2018-08-07T20:09:14+00:00</t>
  </si>
  <si>
    <t>WATERLOO</t>
  </si>
  <si>
    <t>53594-1446</t>
  </si>
  <si>
    <t>112-7488078-2501015</t>
  </si>
  <si>
    <t>2018-08-06T13:13:00+00:00</t>
  </si>
  <si>
    <t>2018-08-07T21:49:54+00:00</t>
  </si>
  <si>
    <t>Charleston</t>
  </si>
  <si>
    <t>29412-4524</t>
  </si>
  <si>
    <t>111-4174328-3419441</t>
  </si>
  <si>
    <t>2018-08-06T12:57:10+00:00</t>
  </si>
  <si>
    <t>2018-08-09T06:39:26+00:00</t>
  </si>
  <si>
    <t>HAMPSTEAD</t>
  </si>
  <si>
    <t>MARYLAND</t>
  </si>
  <si>
    <t>21074-1206</t>
  </si>
  <si>
    <t>113-3398577-0165015</t>
  </si>
  <si>
    <t>2018-08-06T12:29:35+00:00</t>
  </si>
  <si>
    <t>2018-08-11T02:57:09+00:00</t>
  </si>
  <si>
    <t>BELTON</t>
  </si>
  <si>
    <t>29627-8836</t>
  </si>
  <si>
    <t>114-4420030-8329025</t>
  </si>
  <si>
    <t>2018-08-06T11:57:31+00:00</t>
  </si>
  <si>
    <t>2018-08-07T23:09:37+00:00</t>
  </si>
  <si>
    <t>AUBURN</t>
  </si>
  <si>
    <t>13021-2729</t>
  </si>
  <si>
    <t>111-2650294-0509062</t>
  </si>
  <si>
    <t>2018-08-06T11:23:25+00:00</t>
  </si>
  <si>
    <t>2018-08-06T21:34:02+00:00</t>
  </si>
  <si>
    <t>77007-2788</t>
  </si>
  <si>
    <t>111-1917334-7049004</t>
  </si>
  <si>
    <t>2018-08-06T08:34:19+00:00</t>
  </si>
  <si>
    <t>2018-08-07T00:13:23+00:00</t>
  </si>
  <si>
    <t>LYQ-ZQPC01-ZL-M</t>
  </si>
  <si>
    <t>B075QGJ6CW</t>
  </si>
  <si>
    <t>MONMOUTH JUNCTION</t>
  </si>
  <si>
    <t>08852-2028</t>
  </si>
  <si>
    <t>111-9331723-9363447</t>
  </si>
  <si>
    <t>2018-08-06T05:59:04+00:00</t>
  </si>
  <si>
    <t>2018-08-07T20:30:35+00:00</t>
  </si>
  <si>
    <t>CORUNNA</t>
  </si>
  <si>
    <t>48817-9796</t>
  </si>
  <si>
    <t>113-6233686-5903448</t>
  </si>
  <si>
    <t>2018-08-06T04:32:53+00:00</t>
  </si>
  <si>
    <t>2018-08-07T06:47:47+00:00</t>
  </si>
  <si>
    <t>LODI</t>
  </si>
  <si>
    <t>95240-0928</t>
  </si>
  <si>
    <t>114-3777129-0290612</t>
  </si>
  <si>
    <t>2018-08-06T04:01:06+00:00</t>
  </si>
  <si>
    <t>2018-08-07T04:18:25+00:00</t>
  </si>
  <si>
    <t>LONG BEACH</t>
  </si>
  <si>
    <t>90810-1704</t>
  </si>
  <si>
    <t>114-1825795-4688203</t>
  </si>
  <si>
    <t>2018-08-06T02:39:34+00:00</t>
  </si>
  <si>
    <t>2018-08-07T02:52:13+00:00</t>
  </si>
  <si>
    <t>Aubrey</t>
  </si>
  <si>
    <t>114-6126916-4758628</t>
  </si>
  <si>
    <t>2018-08-06T02:30:26+00:00</t>
  </si>
  <si>
    <t>2018-08-07T06:44:08+00:00</t>
  </si>
  <si>
    <t>ROHNERT PARK</t>
  </si>
  <si>
    <t>94928-3273</t>
  </si>
  <si>
    <t>113-9735186-8009004</t>
  </si>
  <si>
    <t>2018-08-06T01:48:31+00:00</t>
  </si>
  <si>
    <t>2018-08-09T13:20:41+00:00</t>
  </si>
  <si>
    <t>PHOENIX</t>
  </si>
  <si>
    <t>85040-3492</t>
  </si>
  <si>
    <t>114-9409412-9089801</t>
  </si>
  <si>
    <t>2018-08-06T01:43:07+00:00</t>
  </si>
  <si>
    <t>2018-08-07T02:51:09+00:00</t>
  </si>
  <si>
    <t>ARLINGTON</t>
  </si>
  <si>
    <t>76005-1126</t>
  </si>
  <si>
    <t>114-3272204-9573814</t>
  </si>
  <si>
    <t>2018-08-06T01:25:12+00:00</t>
  </si>
  <si>
    <t>2018-08-07T03:17:25+00:00</t>
  </si>
  <si>
    <t>77004-4130</t>
  </si>
  <si>
    <t>113-9485319-2067451</t>
  </si>
  <si>
    <t>2018-08-06T00:58:28+00:00</t>
  </si>
  <si>
    <t>2018-08-07T09:35:51+00:00</t>
  </si>
  <si>
    <t>11229-1426</t>
  </si>
  <si>
    <t>114-4951689-6917867</t>
  </si>
  <si>
    <t>2018-08-06T00:44:45+00:00</t>
  </si>
  <si>
    <t>2018-08-06T06:47:21+00:00</t>
  </si>
  <si>
    <t>YZ-ZQ1521BF2XL</t>
  </si>
  <si>
    <t>B01GJPD21S</t>
  </si>
  <si>
    <t>Lancaster</t>
  </si>
  <si>
    <t>112-2707216-2873831</t>
  </si>
  <si>
    <t>2018-08-06T00:38:15+00:00</t>
  </si>
  <si>
    <t>2018-08-06T21:29:57+00:00</t>
  </si>
  <si>
    <t>CUTLER BAY</t>
  </si>
  <si>
    <t>33157-6804</t>
  </si>
  <si>
    <t>114-9178853-8608239</t>
  </si>
  <si>
    <t>2018-08-06T00:09:28+00:00</t>
  </si>
  <si>
    <t>2018-08-06T19:03:26+00:00</t>
  </si>
  <si>
    <t>LINDEN</t>
  </si>
  <si>
    <t>07036-2339</t>
  </si>
  <si>
    <t>111-2098995-0489856</t>
  </si>
  <si>
    <t>2018-08-06T00:00:13+00:00</t>
  </si>
  <si>
    <t>2018-08-06T16:33:17+00:00</t>
  </si>
  <si>
    <t>Summer Mae Women Plus Size Mesh Swimwear Two Piece Halter Tankini Swimdress Cover up</t>
  </si>
  <si>
    <t>YZ-ZQQ9227-K0-M</t>
  </si>
  <si>
    <t>B071HV4WLH</t>
  </si>
  <si>
    <t>OKLAHOMA CITY</t>
  </si>
  <si>
    <t>OKLAHOMA</t>
  </si>
  <si>
    <t>73170-3427</t>
  </si>
  <si>
    <t>111-7008605-2081859</t>
  </si>
  <si>
    <t>2018-08-07T23:38:17+00:00</t>
  </si>
  <si>
    <t>2018-08-10T02:29:40+00:00</t>
  </si>
  <si>
    <t>Women Lace Dress Long Sleeve Loose Tunic Tops Stitching Casual Blouses Burgundy XXL</t>
  </si>
  <si>
    <t>LYQ-ZQ1117-BD-2XL</t>
  </si>
  <si>
    <t>B077GS3C1X</t>
  </si>
  <si>
    <t>BURLESON</t>
  </si>
  <si>
    <t>76028-0403</t>
  </si>
  <si>
    <t>113-5048685-4749027</t>
  </si>
  <si>
    <t>2018-08-07T22:17:16+00:00</t>
  </si>
  <si>
    <t>2018-08-09T08:31:36+00:00</t>
  </si>
  <si>
    <t>YZ-SUBL03-B0-M</t>
  </si>
  <si>
    <t>B07DNY8PJY</t>
  </si>
  <si>
    <t>UTICA</t>
  </si>
  <si>
    <t>13502-5640</t>
  </si>
  <si>
    <t>113-5204432-4985024</t>
  </si>
  <si>
    <t>2018-08-07T22:14:25+00:00</t>
  </si>
  <si>
    <t>2018-08-08T22:33:46+00:00</t>
  </si>
  <si>
    <t>11229-6356</t>
  </si>
  <si>
    <t>112-5623462-5761802</t>
  </si>
  <si>
    <t>2018-08-07T21:45:19+00:00</t>
  </si>
  <si>
    <t>2018-08-08T23:21:18+00:00</t>
  </si>
  <si>
    <t>WEST PALM BEACH</t>
  </si>
  <si>
    <t>33407-6426</t>
  </si>
  <si>
    <t>112-6068368-4440259</t>
  </si>
  <si>
    <t>2018-08-07T21:45:08+00:00</t>
  </si>
  <si>
    <t>2018-08-09T20:07:58+00:00</t>
  </si>
  <si>
    <t>GAITHERSBURG</t>
  </si>
  <si>
    <t>20878-6544</t>
  </si>
  <si>
    <t>114-9085354-1161819</t>
  </si>
  <si>
    <t>2018-08-07T21:25:10+00:00</t>
  </si>
  <si>
    <t>2018-08-08T15:36:47+00:00</t>
  </si>
  <si>
    <t>FARMINGTON HILLS</t>
  </si>
  <si>
    <t>48334-2659</t>
  </si>
  <si>
    <t>113-8118206-4753069</t>
  </si>
  <si>
    <t>2018-08-07T21:25:09+00:00</t>
  </si>
  <si>
    <t>2018-08-08T19:14:46+00:00</t>
  </si>
  <si>
    <t>Windermere</t>
  </si>
  <si>
    <t>Fl</t>
  </si>
  <si>
    <t>112-4232407-2974650</t>
  </si>
  <si>
    <t>2018-08-07T21:16:45+00:00</t>
  </si>
  <si>
    <t>2018-08-08T07:32:15+00:00</t>
  </si>
  <si>
    <t>RAMSEY</t>
  </si>
  <si>
    <t>55303-3856</t>
  </si>
  <si>
    <t>112-1375254-8834620</t>
  </si>
  <si>
    <t>2018-08-07T21:07:52+00:00</t>
  </si>
  <si>
    <t>2018-08-10T02:31:06+00:00</t>
  </si>
  <si>
    <t>RICHMOND</t>
  </si>
  <si>
    <t>23226-3733</t>
  </si>
  <si>
    <t>111-4677763-8795441</t>
  </si>
  <si>
    <t>2018-08-07T20:41:12+00:00</t>
  </si>
  <si>
    <t>2018-08-08T23:21:25+00:00</t>
  </si>
  <si>
    <t>75235-8088</t>
  </si>
  <si>
    <t>112-6086882-4533060</t>
  </si>
  <si>
    <t>2018-08-07T20:37:30+00:00</t>
  </si>
  <si>
    <t>2018-08-09T07:24:53+00:00</t>
  </si>
  <si>
    <t>PORT ST LUCIE</t>
  </si>
  <si>
    <t>34953-4541</t>
  </si>
  <si>
    <t>113-8649448-9142660</t>
  </si>
  <si>
    <t>2018-08-07T19:49:38+00:00</t>
  </si>
  <si>
    <t>2018-08-08T22:30:19+00:00</t>
  </si>
  <si>
    <t>YZ-ZQFT1816-Y0-S</t>
  </si>
  <si>
    <t>B073XJM9N5</t>
  </si>
  <si>
    <t>CAMAS</t>
  </si>
  <si>
    <t>98607-1625</t>
  </si>
  <si>
    <t>111-9978324-2585034</t>
  </si>
  <si>
    <t>2018-08-07T18:48:06+00:00</t>
  </si>
  <si>
    <t>2018-08-08T23:18:41+00:00</t>
  </si>
  <si>
    <t>GEORGETOWN</t>
  </si>
  <si>
    <t>78628-1216</t>
  </si>
  <si>
    <t>112-1630807-4814613</t>
  </si>
  <si>
    <t>2018-08-07T18:29:23+00:00</t>
  </si>
  <si>
    <t>2018-08-08T09:40:39+00:00</t>
  </si>
  <si>
    <t>REVERE</t>
  </si>
  <si>
    <t>02151-3809</t>
  </si>
  <si>
    <t>113-5972542-8449808</t>
  </si>
  <si>
    <t>2018-08-07T18:08:38+00:00</t>
  </si>
  <si>
    <t>2018-08-14T09:38:19+00:00</t>
  </si>
  <si>
    <t>47404-9531</t>
  </si>
  <si>
    <t>113-4276620-8739432</t>
  </si>
  <si>
    <t>2018-08-07T17:49:22+00:00</t>
  </si>
  <si>
    <t>2018-08-09T09:39:25+00:00</t>
  </si>
  <si>
    <t>111-4923973-9840200</t>
  </si>
  <si>
    <t>2018-08-07T17:05:56+00:00</t>
  </si>
  <si>
    <t>2018-08-08T20:08:08+00:00</t>
  </si>
  <si>
    <t>Summer Mae Chiffon Short Sleeve V-Neck Dress Knee Length Ruched Dress For Women OR M</t>
  </si>
  <si>
    <t>LYQ-LY064-OR-M</t>
  </si>
  <si>
    <t>B01MZ944E4</t>
  </si>
  <si>
    <t>Ashland</t>
  </si>
  <si>
    <t>113-6515921-7737818</t>
  </si>
  <si>
    <t>2018-08-07T16:51:59+00:00</t>
  </si>
  <si>
    <t>2018-08-08T08:33:20+00:00</t>
  </si>
  <si>
    <t>PARK RIDGE</t>
  </si>
  <si>
    <t>60068-3756</t>
  </si>
  <si>
    <t>112-8572974-5477048</t>
  </si>
  <si>
    <t>2018-08-07T16:34:23+00:00</t>
  </si>
  <si>
    <t>2018-08-09T16:25:53+00:00</t>
  </si>
  <si>
    <t>CROWN POINT</t>
  </si>
  <si>
    <t>46307-2373</t>
  </si>
  <si>
    <t>113-8241376-8579449</t>
  </si>
  <si>
    <t>2018-08-08T09:39:51+00:00</t>
  </si>
  <si>
    <t>LINDENHURST</t>
  </si>
  <si>
    <t>112-4649774-0076257</t>
  </si>
  <si>
    <t>2018-08-07T15:37:34+00:00</t>
  </si>
  <si>
    <t>2018-08-08T02:47:14+00:00</t>
  </si>
  <si>
    <t>YZ-SUBL03-R2-M</t>
  </si>
  <si>
    <t>B07DNX211T</t>
  </si>
  <si>
    <t>PLAINFIELD</t>
  </si>
  <si>
    <t>07060-1923</t>
  </si>
  <si>
    <t>111-6447726-7163407</t>
  </si>
  <si>
    <t>2018-08-07T15:23:09+00:00</t>
  </si>
  <si>
    <t>2018-08-08T07:01:03+00:00</t>
  </si>
  <si>
    <t>CHILLICOTHE</t>
  </si>
  <si>
    <t>61523-9063</t>
  </si>
  <si>
    <t>111-3347898-4842655</t>
  </si>
  <si>
    <t>2018-08-07T15:21:25+00:00</t>
  </si>
  <si>
    <t>2018-08-07T20:13:02+00:00</t>
  </si>
  <si>
    <t>113-0916066-2547463</t>
  </si>
  <si>
    <t>2018-08-07T14:29:12+00:00</t>
  </si>
  <si>
    <t>2018-08-09T02:08:26+00:00</t>
  </si>
  <si>
    <t>90805-4601</t>
  </si>
  <si>
    <t>112-9121129-6026633</t>
  </si>
  <si>
    <t>2018-08-07T14:10:33+00:00</t>
  </si>
  <si>
    <t>2018-08-08T16:27:25+00:00</t>
  </si>
  <si>
    <t>TANEYTOWN</t>
  </si>
  <si>
    <t>21787-2199</t>
  </si>
  <si>
    <t>112-3340156-1440256</t>
  </si>
  <si>
    <t>2018-08-07T13:18:48+00:00</t>
  </si>
  <si>
    <t>2018-08-08T07:34:08+00:00</t>
  </si>
  <si>
    <t>CENTEREACH</t>
  </si>
  <si>
    <t>11720-1007</t>
  </si>
  <si>
    <t>112-9728829-5150615</t>
  </si>
  <si>
    <t>2018-08-07T12:14:36+00:00</t>
  </si>
  <si>
    <t>2018-08-08T03:11:07+00:00</t>
  </si>
  <si>
    <t>Womens Knitted Long Sweater Dress Tunic Burgundy XXL</t>
  </si>
  <si>
    <t>LYQ-ZQ2973-BD-2XL</t>
  </si>
  <si>
    <t>B01MTTW6NH</t>
  </si>
  <si>
    <t>Troy</t>
  </si>
  <si>
    <t>114-5097445-3266647</t>
  </si>
  <si>
    <t>2018-08-07T11:32:31+00:00</t>
  </si>
  <si>
    <t>2018-08-08T09:46:14+00:00</t>
  </si>
  <si>
    <t>BERWICK</t>
  </si>
  <si>
    <t>ME</t>
  </si>
  <si>
    <t>03901-2154</t>
  </si>
  <si>
    <t>113-2179796-7071421</t>
  </si>
  <si>
    <t>2018-08-07T11:32:04+00:00</t>
  </si>
  <si>
    <t>2018-08-08T09:35:01+00:00</t>
  </si>
  <si>
    <t>MILWAUKEE</t>
  </si>
  <si>
    <t>53210-1719</t>
  </si>
  <si>
    <t>111-1061815-5264213</t>
  </si>
  <si>
    <t>2018-08-07T11:17:24+00:00</t>
  </si>
  <si>
    <t>2018-08-08T20:50:47+00:00</t>
  </si>
  <si>
    <t>YZ-SUBL03-R2-S</t>
  </si>
  <si>
    <t>B07DNXLQ64</t>
  </si>
  <si>
    <t>COLCHESTER</t>
  </si>
  <si>
    <t>06415-1287</t>
  </si>
  <si>
    <t>114-9397386-1437005</t>
  </si>
  <si>
    <t>2018-08-07T08:15:25+00:00</t>
  </si>
  <si>
    <t>2018-08-09T06:50:51+00:00</t>
  </si>
  <si>
    <t>SANTA MONICA</t>
  </si>
  <si>
    <t>90405-2042</t>
  </si>
  <si>
    <t>113-7668434-4955411</t>
  </si>
  <si>
    <t>2018-08-07T06:32:27+00:00</t>
  </si>
  <si>
    <t>2018-08-08T04:27:08+00:00</t>
  </si>
  <si>
    <t>OAKDALE</t>
  </si>
  <si>
    <t>95361-3584</t>
  </si>
  <si>
    <t>114-9739451-6001032</t>
  </si>
  <si>
    <t>2018-08-07T05:06:03+00:00</t>
  </si>
  <si>
    <t>2018-08-08T09:24:12+00:00</t>
  </si>
  <si>
    <t>Summer Mae Chiffon Short Sleeve V-Neck Dress Knee Length Ruched Dress For Women K0 3XL</t>
  </si>
  <si>
    <t>LYQ-LY064-K0-3XL</t>
  </si>
  <si>
    <t>B01MY7KV6H</t>
  </si>
  <si>
    <t>SAN JOSE</t>
  </si>
  <si>
    <t>95125-4810</t>
  </si>
  <si>
    <t>114-9181642-1616264</t>
  </si>
  <si>
    <t>2018-08-07T03:35:46+00:00</t>
  </si>
  <si>
    <t>2018-08-09T20:05:14+00:00</t>
  </si>
  <si>
    <t>NORTH EASTON</t>
  </si>
  <si>
    <t>02356-1335</t>
  </si>
  <si>
    <t>111-6312517-2198639</t>
  </si>
  <si>
    <t>2018-08-07T03:11:44+00:00</t>
  </si>
  <si>
    <t>2018-08-07T20:05:52+00:00</t>
  </si>
  <si>
    <t>90002-1222</t>
  </si>
  <si>
    <t>112-6781719-7201820</t>
  </si>
  <si>
    <t>2018-08-07T03:10:21+00:00</t>
  </si>
  <si>
    <t>2018-08-14T02:23:15+00:00</t>
  </si>
  <si>
    <t>VIENNA</t>
  </si>
  <si>
    <t>22181-3048</t>
  </si>
  <si>
    <t>113-6963178-0173008</t>
  </si>
  <si>
    <t>2018-08-07T02:56:49+00:00</t>
  </si>
  <si>
    <t>2018-08-07T23:05:20+00:00</t>
  </si>
  <si>
    <t>27527-6602</t>
  </si>
  <si>
    <t>112-4690887-5649852</t>
  </si>
  <si>
    <t>2018-08-07T02:44:14+00:00</t>
  </si>
  <si>
    <t>2018-08-08T20:39:10+00:00</t>
  </si>
  <si>
    <t>Leonardo</t>
  </si>
  <si>
    <t>111-1951585-4606649</t>
  </si>
  <si>
    <t>2018-08-07T02:16:39+00:00</t>
  </si>
  <si>
    <t>2018-08-09T20:22:05+00:00</t>
  </si>
  <si>
    <t>07502-1411</t>
  </si>
  <si>
    <t>113-7046155-3365009</t>
  </si>
  <si>
    <t>2018-08-07T01:31:08+00:00</t>
  </si>
  <si>
    <t>2018-08-07T21:29:11+00:00</t>
  </si>
  <si>
    <t>LIVERMORE</t>
  </si>
  <si>
    <t>94551-6457</t>
  </si>
  <si>
    <t>111-7175223-9363459</t>
  </si>
  <si>
    <t>2018-08-07T01:21:45+00:00</t>
  </si>
  <si>
    <t>2018-08-08T03:41:45+00:00</t>
  </si>
  <si>
    <t>10001-2157</t>
  </si>
  <si>
    <t>112-3423475-9720233</t>
  </si>
  <si>
    <t>2018-08-07T01:05:51+00:00</t>
  </si>
  <si>
    <t>2018-08-08T03:16:56+00:00</t>
  </si>
  <si>
    <t>CANTON</t>
  </si>
  <si>
    <t>48187-2703</t>
  </si>
  <si>
    <t>114-4726649-9555439</t>
  </si>
  <si>
    <t>2018-08-08T23:51:10+00:00</t>
  </si>
  <si>
    <t>2018-08-11T18:32:58+00:00</t>
  </si>
  <si>
    <t>GOSHEN</t>
  </si>
  <si>
    <t>03752-3310</t>
  </si>
  <si>
    <t>114-9190830-4059421</t>
  </si>
  <si>
    <t>2018-08-08T23:00:38+00:00</t>
  </si>
  <si>
    <t>2018-08-10T02:34:54+00:00</t>
  </si>
  <si>
    <t>SUITLAND</t>
  </si>
  <si>
    <t>20746-2669</t>
  </si>
  <si>
    <t>112-2133414-7045058</t>
  </si>
  <si>
    <t>2018-08-08T22:51:42+00:00</t>
  </si>
  <si>
    <t>2018-08-09T23:46:36+00:00</t>
  </si>
  <si>
    <t>AUSTIN</t>
  </si>
  <si>
    <t>78756-1227</t>
  </si>
  <si>
    <t>113-3632398-0998605</t>
  </si>
  <si>
    <t>2018-08-08T22:28:08+00:00</t>
  </si>
  <si>
    <t>2018-08-09T05:08:42+00:00</t>
  </si>
  <si>
    <t>LYQ-ZQPC01-BD-M</t>
  </si>
  <si>
    <t>B075QFRYJF</t>
  </si>
  <si>
    <t>Edmonds</t>
  </si>
  <si>
    <t>112-6054161-5498635</t>
  </si>
  <si>
    <t>2018-08-08T21:22:53+00:00</t>
  </si>
  <si>
    <t>2018-08-09T02:43:31+00:00</t>
  </si>
  <si>
    <t>TOBYHANNA</t>
  </si>
  <si>
    <t>18466-3117</t>
  </si>
  <si>
    <t>113-8048786-9794639</t>
  </si>
  <si>
    <t>2018-08-08T21:19:11+00:00</t>
  </si>
  <si>
    <t>2018-08-11T04:29:03+00:00</t>
  </si>
  <si>
    <t>SPARKS</t>
  </si>
  <si>
    <t>89436-9068</t>
  </si>
  <si>
    <t>112-3137718-7997018</t>
  </si>
  <si>
    <t>2018-08-08T20:59:01+00:00</t>
  </si>
  <si>
    <t>2018-08-09T19:22:17+00:00</t>
  </si>
  <si>
    <t>Harbor City</t>
  </si>
  <si>
    <t>90710-1160</t>
  </si>
  <si>
    <t>112-6585460-2937839</t>
  </si>
  <si>
    <t>2018-08-08T20:58:27+00:00</t>
  </si>
  <si>
    <t>2018-08-09T03:30:36+00:00</t>
  </si>
  <si>
    <t>Seattle</t>
  </si>
  <si>
    <t>114-9515668-7305804</t>
  </si>
  <si>
    <t>2018-08-08T20:05:21+00:00</t>
  </si>
  <si>
    <t>2018-08-09T22:09:42+00:00</t>
  </si>
  <si>
    <t>Pelham</t>
  </si>
  <si>
    <t>114-8089989-7401817</t>
  </si>
  <si>
    <t>2018-08-08T20:04:21+00:00</t>
  </si>
  <si>
    <t>2018-08-09T23:42:50+00:00</t>
  </si>
  <si>
    <t>33135-1220</t>
  </si>
  <si>
    <t>113-9005237-6490638</t>
  </si>
  <si>
    <t>2018-08-08T19:14:51+00:00</t>
  </si>
  <si>
    <t>2018-08-10T06:44:14+00:00</t>
  </si>
  <si>
    <t>MENTONE</t>
  </si>
  <si>
    <t>92359-1503</t>
  </si>
  <si>
    <t>113-8521792-2285842</t>
  </si>
  <si>
    <t>2018-08-08T18:42:00+00:00</t>
  </si>
  <si>
    <t>2018-08-10T02:47:24+00:00</t>
  </si>
  <si>
    <t>MANHASSET</t>
  </si>
  <si>
    <t>11030-4198</t>
  </si>
  <si>
    <t>113-1774453-8073068</t>
  </si>
  <si>
    <t>2018-08-08T18:29:33+00:00</t>
  </si>
  <si>
    <t>2018-08-09T04:26:19+00:00</t>
  </si>
  <si>
    <t>TUCSON</t>
  </si>
  <si>
    <t>85719-2662</t>
  </si>
  <si>
    <t>113-9722898-5753826</t>
  </si>
  <si>
    <t>2018-08-08T18:28:01+00:00</t>
  </si>
  <si>
    <t>2018-08-08T18:39:20+00:00</t>
  </si>
  <si>
    <t>11040-1318</t>
  </si>
  <si>
    <t>111-8333029-8657021</t>
  </si>
  <si>
    <t>2018-08-08T17:34:16+00:00</t>
  </si>
  <si>
    <t>2018-08-09T09:19:37+00:00</t>
  </si>
  <si>
    <t>YZ-ZQBL03-K0-3X</t>
  </si>
  <si>
    <t>B073GLS8H2</t>
  </si>
  <si>
    <t>Poway</t>
  </si>
  <si>
    <t>92064-3943</t>
  </si>
  <si>
    <t>112-6450726-7095455</t>
  </si>
  <si>
    <t>2018-08-08T17:26:15+00:00</t>
  </si>
  <si>
    <t>2018-08-10T00:09:44+00:00</t>
  </si>
  <si>
    <t>53207-3713</t>
  </si>
  <si>
    <t>111-5857368-3499408</t>
  </si>
  <si>
    <t>2018-08-08T17:15:27+00:00</t>
  </si>
  <si>
    <t>2018-08-08T22:37:54+00:00</t>
  </si>
  <si>
    <t>HIALEAH</t>
  </si>
  <si>
    <t>33015-5045</t>
  </si>
  <si>
    <t>111-1637483-2541814</t>
  </si>
  <si>
    <t>2018-08-08T17:10:54+00:00</t>
  </si>
  <si>
    <t>2018-08-08T22:27:48+00:00</t>
  </si>
  <si>
    <t>113-2179194-0262646</t>
  </si>
  <si>
    <t>2018-08-08T15:59:17+00:00</t>
  </si>
  <si>
    <t>2018-08-08T22:39:56+00:00</t>
  </si>
  <si>
    <t>WASHINGTON</t>
  </si>
  <si>
    <t>DC</t>
  </si>
  <si>
    <t>20009-2527</t>
  </si>
  <si>
    <t>114-4055134-8833042</t>
  </si>
  <si>
    <t>2018-08-08T15:39:19+00:00</t>
  </si>
  <si>
    <t>2018-08-09T04:34:01+00:00</t>
  </si>
  <si>
    <t>11211-7354</t>
  </si>
  <si>
    <t>114-1075710-9231421</t>
  </si>
  <si>
    <t>2018-08-08T15:09:18+00:00</t>
  </si>
  <si>
    <t>2018-08-11T15:14:09+00:00</t>
  </si>
  <si>
    <t>Womens Knitted Long Sweater Dress Tunic Beige M</t>
  </si>
  <si>
    <t>LYQ-ZQ2973-W1-M</t>
  </si>
  <si>
    <t>B01LXT1NL3</t>
  </si>
  <si>
    <t>WARRENVILLE</t>
  </si>
  <si>
    <t>60555-1907</t>
  </si>
  <si>
    <t>113-4748141-5841056</t>
  </si>
  <si>
    <t>2018-08-08T14:41:05+00:00</t>
  </si>
  <si>
    <t>2018-08-09T08:26:03+00:00</t>
  </si>
  <si>
    <t>YZ-ZQQ9227-K0-XL</t>
  </si>
  <si>
    <t>B0716XWMWZ</t>
  </si>
  <si>
    <t>CORPUS CHRISTI</t>
  </si>
  <si>
    <t>78418-6946</t>
  </si>
  <si>
    <t>111-4577641-6320235</t>
  </si>
  <si>
    <t>2018-08-08T14:33:00+00:00</t>
  </si>
  <si>
    <t>2018-08-15T23:54:37+00:00</t>
  </si>
  <si>
    <t>ELKHART</t>
  </si>
  <si>
    <t>46514-5441</t>
  </si>
  <si>
    <t>111-7335765-2514652</t>
  </si>
  <si>
    <t>2018-08-08T13:17:41+00:00</t>
  </si>
  <si>
    <t>2018-08-08T21:32:01+00:00</t>
  </si>
  <si>
    <t>RAYNHAM</t>
  </si>
  <si>
    <t>02767-1133</t>
  </si>
  <si>
    <t>112-4706333-1978650</t>
  </si>
  <si>
    <t>2018-08-08T06:48:41+00:00</t>
  </si>
  <si>
    <t>2018-08-09T01:54:09+00:00</t>
  </si>
  <si>
    <t>LAKE CHARLES</t>
  </si>
  <si>
    <t>70605-2546</t>
  </si>
  <si>
    <t>113-3599867-0565837</t>
  </si>
  <si>
    <t>2018-08-08T06:34:32+00:00</t>
  </si>
  <si>
    <t>2018-08-09T02:23:58+00:00</t>
  </si>
  <si>
    <t>23231-1300</t>
  </si>
  <si>
    <t>111-6450069-4161008</t>
  </si>
  <si>
    <t>2018-08-08T05:47:43+00:00</t>
  </si>
  <si>
    <t>2018-08-08T22:39:49+00:00</t>
  </si>
  <si>
    <t>PARAMOUNT</t>
  </si>
  <si>
    <t>90723-3966</t>
  </si>
  <si>
    <t>113-6446422-0498612</t>
  </si>
  <si>
    <t>2018-08-08T05:02:01+00:00</t>
  </si>
  <si>
    <t>2018-08-09T03:21:25+00:00</t>
  </si>
  <si>
    <t>MOUNT VERNON</t>
  </si>
  <si>
    <t>98273-3265</t>
  </si>
  <si>
    <t>114-6004753-7700249</t>
  </si>
  <si>
    <t>2018-08-08T04:40:30+00:00</t>
  </si>
  <si>
    <t>2018-08-09T07:26:36+00:00</t>
  </si>
  <si>
    <t>FLAGSTAFF</t>
  </si>
  <si>
    <t>86005-3734</t>
  </si>
  <si>
    <t>112-9480748-7680238</t>
  </si>
  <si>
    <t>2018-08-08T02:52:17+00:00</t>
  </si>
  <si>
    <t>2018-08-12T00:28:00+00:00</t>
  </si>
  <si>
    <t>YZ-ZQ1521RM4XL</t>
  </si>
  <si>
    <t>B01GJPCKIO</t>
  </si>
  <si>
    <t>89113-3657</t>
  </si>
  <si>
    <t>YZ-ZQ1521BF4XL</t>
  </si>
  <si>
    <t>B01GJPD8YY</t>
  </si>
  <si>
    <t>113-0403896-1425816</t>
  </si>
  <si>
    <t>2018-08-08T02:44:45+00:00</t>
  </si>
  <si>
    <t>2018-08-08T17:39:43+00:00</t>
  </si>
  <si>
    <t>111-8394188-1422639</t>
  </si>
  <si>
    <t>2018-08-08T01:08:35+00:00</t>
  </si>
  <si>
    <t>2018-08-08T14:19:49+00:00</t>
  </si>
  <si>
    <t>LYQ-ZQ3550-E0-S</t>
  </si>
  <si>
    <t>B071ZYZ988</t>
  </si>
  <si>
    <t>HERNANDO</t>
  </si>
  <si>
    <t>38632-6794</t>
  </si>
  <si>
    <t>113-8100835-0049825</t>
  </si>
  <si>
    <t>2018-08-08T00:58:37+00:00</t>
  </si>
  <si>
    <t>2018-08-09T22:32:05+00:00</t>
  </si>
  <si>
    <t>COLUMBIA</t>
  </si>
  <si>
    <t>29205-1950</t>
  </si>
  <si>
    <t>113-0803268-6273057</t>
  </si>
  <si>
    <t>2018-08-08T00:27:34+00:00</t>
  </si>
  <si>
    <t>2018-08-08T15:10:13+00:00</t>
  </si>
  <si>
    <t>Windham</t>
  </si>
  <si>
    <t>112-4328092-1917828</t>
  </si>
  <si>
    <t>2018-08-09T23:20:35+00:00</t>
  </si>
  <si>
    <t>2018-08-14T16:04:56+00:00</t>
  </si>
  <si>
    <t>95834-2521</t>
  </si>
  <si>
    <t>112-2304001-0431458</t>
  </si>
  <si>
    <t>2018-08-09T22:46:16+00:00</t>
  </si>
  <si>
    <t>2018-08-12T12:18:38+00:00</t>
  </si>
  <si>
    <t>Summer Mae Women's One Piece Bathing Suit Tankini Swimdress Cover up Swimsuit M</t>
  </si>
  <si>
    <t>YZ-ZQ1521KF3XL</t>
  </si>
  <si>
    <t>B01I2I96ME</t>
  </si>
  <si>
    <t>SALT LAKE CITY</t>
  </si>
  <si>
    <t>84121-6234</t>
  </si>
  <si>
    <t>113-7717516-0625863</t>
  </si>
  <si>
    <t>2018-08-09T22:03:00+00:00</t>
  </si>
  <si>
    <t>2018-08-11T01:29:16+00:00</t>
  </si>
  <si>
    <t>33125-4344</t>
  </si>
  <si>
    <t>114-7836339-9909810</t>
  </si>
  <si>
    <t>2018-08-09T21:46:36+00:00</t>
  </si>
  <si>
    <t>2018-08-10T07:31:10+00:00</t>
  </si>
  <si>
    <t>Boston</t>
  </si>
  <si>
    <t>111-4287584-5909026</t>
  </si>
  <si>
    <t>2018-08-09T21:44:46+00:00</t>
  </si>
  <si>
    <t>2018-08-11T02:05:04+00:00</t>
  </si>
  <si>
    <t>89108-2860</t>
  </si>
  <si>
    <t>113-8958551-2692217</t>
  </si>
  <si>
    <t>2018-08-09T21:21:30+00:00</t>
  </si>
  <si>
    <t>2018-08-13T10:50:07+00:00</t>
  </si>
  <si>
    <t>OREGON</t>
  </si>
  <si>
    <t>97212-2302</t>
  </si>
  <si>
    <t>111-3128250-0012234</t>
  </si>
  <si>
    <t>2018-08-09T20:34:08+00:00</t>
  </si>
  <si>
    <t>2018-08-10T03:05:50+00:00</t>
  </si>
  <si>
    <t>LAVERGNE</t>
  </si>
  <si>
    <t>37086-5267</t>
  </si>
  <si>
    <t>114-4103497-2429028</t>
  </si>
  <si>
    <t>2018-08-09T19:19:11+00:00</t>
  </si>
  <si>
    <t>2018-08-11T04:26:15+00:00</t>
  </si>
  <si>
    <t>YZ-SUZQBL03-B0-S</t>
  </si>
  <si>
    <t>B07C2THD9D</t>
  </si>
  <si>
    <t>CHULA VISTA</t>
  </si>
  <si>
    <t>91915-1411</t>
  </si>
  <si>
    <t>113-4802152-1991426</t>
  </si>
  <si>
    <t>2018-08-09T18:57:42+00:00</t>
  </si>
  <si>
    <t>2018-08-10T19:28:52+00:00</t>
  </si>
  <si>
    <t>Santee</t>
  </si>
  <si>
    <t>112-5305748-0677843</t>
  </si>
  <si>
    <t>2018-08-09T18:15:02+00:00</t>
  </si>
  <si>
    <t>2018-08-11T06:38:17+00:00</t>
  </si>
  <si>
    <t>KANNAPOLIS</t>
  </si>
  <si>
    <t>28081-8119</t>
  </si>
  <si>
    <t>113-3689250-1721854</t>
  </si>
  <si>
    <t>2018-08-09T18:08:00+00:00</t>
  </si>
  <si>
    <t>2018-08-11T08:41:19+00:00</t>
  </si>
  <si>
    <t>Summer Joy Women's Plus Size Ruched Printing Shorts Bikini Set</t>
  </si>
  <si>
    <t>YZ-JY5694-K0-L</t>
  </si>
  <si>
    <t>B01M3PZ1R5</t>
  </si>
  <si>
    <t>Tucson</t>
  </si>
  <si>
    <t>111-7008580-5042635</t>
  </si>
  <si>
    <t>2018-08-09T18:02:48+00:00</t>
  </si>
  <si>
    <t>2018-08-10T10:33:15+00:00</t>
  </si>
  <si>
    <t>CHARLOTTE</t>
  </si>
  <si>
    <t>28262-1429</t>
  </si>
  <si>
    <t>113-5390842-6790662</t>
  </si>
  <si>
    <t>2018-08-09T18:02:22+00:00</t>
  </si>
  <si>
    <t>2018-08-10T15:39:07+00:00</t>
  </si>
  <si>
    <t>SAINT LOUIS</t>
  </si>
  <si>
    <t>63104-3959</t>
  </si>
  <si>
    <t>114-7360376-1715413</t>
  </si>
  <si>
    <t>2018-08-09T17:28:51+00:00</t>
  </si>
  <si>
    <t>2018-08-10T00:58:35+00:00</t>
  </si>
  <si>
    <t>Women One Piece Swimsuit Deep V-Neck Pattern Swimwear Cross-Back High Cut Monokini Bathing Suits Pink 4XL</t>
  </si>
  <si>
    <t>YZ-HM1727-Pi-4XL</t>
  </si>
  <si>
    <t>B06XRVQKRT</t>
  </si>
  <si>
    <t>WATERTOWN</t>
  </si>
  <si>
    <t>53094-4569</t>
  </si>
  <si>
    <t>114-5237399-4019421</t>
  </si>
  <si>
    <t>2018-08-09T17:25:27+00:00</t>
  </si>
  <si>
    <t>2018-08-10T03:11:34+00:00</t>
  </si>
  <si>
    <t>113-7858638-6357033</t>
  </si>
  <si>
    <t>2018-08-09T17:16:44+00:00</t>
  </si>
  <si>
    <t>2018-08-10T02:38:14+00:00</t>
  </si>
  <si>
    <t>YZ-ZQBL03-B0-3XL</t>
  </si>
  <si>
    <t>B0792TB9G8</t>
  </si>
  <si>
    <t>MIDDLE RIVER</t>
  </si>
  <si>
    <t>21220-4624</t>
  </si>
  <si>
    <t>111-2584971-6557065</t>
  </si>
  <si>
    <t>2018-08-09T17:14:57+00:00</t>
  </si>
  <si>
    <t>2018-08-10T04:25:30+00:00</t>
  </si>
  <si>
    <t>114-6738953-4289811</t>
  </si>
  <si>
    <t>2018-08-09T16:51:25+00:00</t>
  </si>
  <si>
    <t>2018-08-10T21:15:02+00:00</t>
  </si>
  <si>
    <t>Womens Knitted Long Sweater Dress Tunic Burgundy S</t>
  </si>
  <si>
    <t>LYQ-ZQ2973-BD-S</t>
  </si>
  <si>
    <t>B01LWI564H</t>
  </si>
  <si>
    <t>CHAPMANVILLE</t>
  </si>
  <si>
    <t>WV</t>
  </si>
  <si>
    <t>25508-7609</t>
  </si>
  <si>
    <t>112-2562552-2076260</t>
  </si>
  <si>
    <t>2018-08-09T16:32:41+00:00</t>
  </si>
  <si>
    <t>2018-08-09T21:42:36+00:00</t>
  </si>
  <si>
    <t>CHESAPEAKE</t>
  </si>
  <si>
    <t>23323-1828</t>
  </si>
  <si>
    <t>112-1826449-1017002</t>
  </si>
  <si>
    <t>2018-08-09T16:28:34+00:00</t>
  </si>
  <si>
    <t>2018-08-09T21:32:30+00:00</t>
  </si>
  <si>
    <t>111-7990672-6105830</t>
  </si>
  <si>
    <t>2018-08-09T16:28:08+00:00</t>
  </si>
  <si>
    <t>2018-08-14T22:44:55+00:00</t>
  </si>
  <si>
    <t>Hialeah</t>
  </si>
  <si>
    <t>113-2928315-2099430</t>
  </si>
  <si>
    <t>2018-08-09T15:02:26+00:00</t>
  </si>
  <si>
    <t>2018-08-13T07:39:01+00:00</t>
  </si>
  <si>
    <t>ELIZABETH</t>
  </si>
  <si>
    <t>07208-3544</t>
  </si>
  <si>
    <t>112-8788853-5426602</t>
  </si>
  <si>
    <t>2018-08-09T14:30:42+00:00</t>
  </si>
  <si>
    <t>2018-08-11T15:29:34+00:00</t>
  </si>
  <si>
    <t>112-1853847-2036257</t>
  </si>
  <si>
    <t>2018-08-09T13:38:07+00:00</t>
  </si>
  <si>
    <t>2018-08-18T06:29:26+00:00</t>
  </si>
  <si>
    <t>Nes Zyona</t>
  </si>
  <si>
    <t>112-7049411-6577866</t>
  </si>
  <si>
    <t>2018-08-09T12:25:30+00:00</t>
  </si>
  <si>
    <t>2018-08-09T21:22:26+00:00</t>
  </si>
  <si>
    <t>MIDVALE</t>
  </si>
  <si>
    <t>83645-5022</t>
  </si>
  <si>
    <t>111-2669083-6522648</t>
  </si>
  <si>
    <t>2018-08-09T12:12:06+00:00</t>
  </si>
  <si>
    <t>2018-08-11T00:27:11+00:00</t>
  </si>
  <si>
    <t>07036-3654</t>
  </si>
  <si>
    <t>113-7842309-8421801</t>
  </si>
  <si>
    <t>2018-08-09T12:11:04+00:00</t>
  </si>
  <si>
    <t>2018-08-10T07:33:29+00:00</t>
  </si>
  <si>
    <t>111-5126348-8377805</t>
  </si>
  <si>
    <t>2018-08-09T10:26:04+00:00</t>
  </si>
  <si>
    <t>2018-08-11T04:24:28+00:00</t>
  </si>
  <si>
    <t>Riverside</t>
  </si>
  <si>
    <t>112-2822892-1639423</t>
  </si>
  <si>
    <t>2018-08-09T07:53:47+00:00</t>
  </si>
  <si>
    <t>2018-08-10T04:31:35+00:00</t>
  </si>
  <si>
    <t>92131-2032</t>
  </si>
  <si>
    <t>114-8363632-7921845</t>
  </si>
  <si>
    <t>2018-08-09T05:55:36+00:00</t>
  </si>
  <si>
    <t>2018-08-11T06:12:22+00:00</t>
  </si>
  <si>
    <t>CASTRO VALLEY</t>
  </si>
  <si>
    <t>94552-1907</t>
  </si>
  <si>
    <t>112-8502697-0261021</t>
  </si>
  <si>
    <t>2018-08-09T05:27:59+00:00</t>
  </si>
  <si>
    <t>2018-08-10T18:24:45+00:00</t>
  </si>
  <si>
    <t>LEWISTON</t>
  </si>
  <si>
    <t>83501-0747</t>
  </si>
  <si>
    <t>113-2869329-7941843</t>
  </si>
  <si>
    <t>2018-08-09T03:56:35+00:00</t>
  </si>
  <si>
    <t>2018-08-10T14:20:41+00:00</t>
  </si>
  <si>
    <t>flagstaff</t>
  </si>
  <si>
    <t>113-2229524-9446606</t>
  </si>
  <si>
    <t>2018-08-09T03:05:32+00:00</t>
  </si>
  <si>
    <t>2018-08-10T15:40:57+00:00</t>
  </si>
  <si>
    <t>CLINTON TOWNSHIP</t>
  </si>
  <si>
    <t>48038-3737</t>
  </si>
  <si>
    <t>111-9793490-3713825</t>
  </si>
  <si>
    <t>2018-08-09T03:04:58+00:00</t>
  </si>
  <si>
    <t>2018-08-09T21:31:38+00:00</t>
  </si>
  <si>
    <t>MINNEAPOLIS</t>
  </si>
  <si>
    <t>55407-3003</t>
  </si>
  <si>
    <t>113-3640025-8913853</t>
  </si>
  <si>
    <t>2018-08-09T02:56:15+00:00</t>
  </si>
  <si>
    <t>2018-08-12T00:42:40+00:00</t>
  </si>
  <si>
    <t>chicago</t>
  </si>
  <si>
    <t>113-0686695-4068219</t>
  </si>
  <si>
    <t>2018-08-09T02:43:15+00:00</t>
  </si>
  <si>
    <t>2018-08-10T08:26:23+00:00</t>
  </si>
  <si>
    <t>GARNER</t>
  </si>
  <si>
    <t>113-2305438-9021827</t>
  </si>
  <si>
    <t>2018-08-09T02:15:25+00:00</t>
  </si>
  <si>
    <t>2018-08-09T23:43:01+00:00</t>
  </si>
  <si>
    <t>78249-2260</t>
  </si>
  <si>
    <t>114-5949411-9242636</t>
  </si>
  <si>
    <t>2018-08-09T02:11:45+00:00</t>
  </si>
  <si>
    <t>2018-08-10T02:39:09+00:00</t>
  </si>
  <si>
    <t>20772-3755</t>
  </si>
  <si>
    <t>114-2652139-7667423</t>
  </si>
  <si>
    <t>2018-08-09T02:04:43+00:00</t>
  </si>
  <si>
    <t>2018-08-16T04:17:07+00:00</t>
  </si>
  <si>
    <t>Merchant</t>
  </si>
  <si>
    <t>Summer Mae Women's High Neck Green Leaves Print Lace Up One Piece Monokini Swimsuit</t>
  </si>
  <si>
    <t>YZ-HM1757-Pi-XL-GM</t>
  </si>
  <si>
    <t>B072JXZ2R9</t>
  </si>
  <si>
    <t>10007-3602</t>
  </si>
  <si>
    <t>112-6504259-8807446</t>
  </si>
  <si>
    <t>2018-08-09T01:48:30+00:00</t>
  </si>
  <si>
    <t>2018-08-09T09:39:13+00:00</t>
  </si>
  <si>
    <t>YZ-ZQ1521BLXL</t>
  </si>
  <si>
    <t>B01GJPB23I</t>
  </si>
  <si>
    <t>Falling Waters</t>
  </si>
  <si>
    <t>111-5518269-4051424</t>
  </si>
  <si>
    <t>2018-08-09T01:33:09+00:00</t>
  </si>
  <si>
    <t>2018-08-09T09:49:24+00:00</t>
  </si>
  <si>
    <t>TULSA</t>
  </si>
  <si>
    <t>74133-4229</t>
  </si>
  <si>
    <t>113-9234683-7141036</t>
  </si>
  <si>
    <t>2018-08-09T01:22:24+00:00</t>
  </si>
  <si>
    <t>2018-08-09T07:27:37+00:00</t>
  </si>
  <si>
    <t>CANFIELD</t>
  </si>
  <si>
    <t>44406-1679</t>
  </si>
  <si>
    <t>112-5837887-7532256</t>
  </si>
  <si>
    <t>2018-08-09T00:58:47+00:00</t>
  </si>
  <si>
    <t>2018-08-10T01:25:14+00:00</t>
  </si>
  <si>
    <t>33027-5443</t>
  </si>
  <si>
    <t>S01-7078559-9578626</t>
  </si>
  <si>
    <t>xi8a2tg812</t>
  </si>
  <si>
    <t>2018-08-10T02:29:18+00:00</t>
  </si>
  <si>
    <t>2018-08-22T07:32:51+00:00</t>
  </si>
  <si>
    <t>112-3575387-6925845</t>
  </si>
  <si>
    <t>2018-08-10T23:51:22+00:00</t>
  </si>
  <si>
    <t>2018-08-11T23:51:11+00:00</t>
  </si>
  <si>
    <t>SOUTH PRINCE GEORGE</t>
  </si>
  <si>
    <t>VIRGINIA</t>
  </si>
  <si>
    <t>23805-7859</t>
  </si>
  <si>
    <t>111-6698026-4053057</t>
  </si>
  <si>
    <t>2018-08-10T21:46:27+00:00</t>
  </si>
  <si>
    <t>2018-08-11T06:34:14+00:00</t>
  </si>
  <si>
    <t>Womens Knitted Long Sweater Dress Tunic Green M</t>
  </si>
  <si>
    <t>LYQ-ZQ2973-G0-M</t>
  </si>
  <si>
    <t>B075DVVKVY</t>
  </si>
  <si>
    <t>LENOIR CITY</t>
  </si>
  <si>
    <t>37771-3625</t>
  </si>
  <si>
    <t>111-1991468-3582620</t>
  </si>
  <si>
    <t>2018-08-10T21:34:56+00:00</t>
  </si>
  <si>
    <t>2018-08-13T15:06:41+00:00</t>
  </si>
  <si>
    <t>Charlotte</t>
  </si>
  <si>
    <t>north carolina</t>
  </si>
  <si>
    <t>113-9817777-9369052</t>
  </si>
  <si>
    <t>2018-08-10T21:09:40+00:00</t>
  </si>
  <si>
    <t>2018-08-14T04:03:22+00:00</t>
  </si>
  <si>
    <t>ATTICA</t>
  </si>
  <si>
    <t>48412-9724</t>
  </si>
  <si>
    <t>114-4612904-3723424</t>
  </si>
  <si>
    <t>2018-08-10T20:52:25+00:00</t>
  </si>
  <si>
    <t>2018-08-12T05:34:11+00:00</t>
  </si>
  <si>
    <t>29229-9614</t>
  </si>
  <si>
    <t>112-8912467-1775402</t>
  </si>
  <si>
    <t>2018-08-10T20:13:24+00:00</t>
  </si>
  <si>
    <t>2018-08-11T15:27:25+00:00</t>
  </si>
  <si>
    <t>BATTLE CREEK</t>
  </si>
  <si>
    <t>49015-4042</t>
  </si>
  <si>
    <t>113-4778437-1165825</t>
  </si>
  <si>
    <t>2018-08-10T19:47:31+00:00</t>
  </si>
  <si>
    <t>2018-08-12T02:32:31+00:00</t>
  </si>
  <si>
    <t>Summer Mae 50s Elegant Inspired Retro Vintage One Piece Pin Up Monokinis Swimsuit, Blue Floral, 3XL ASIAN/14-16 (US)</t>
  </si>
  <si>
    <t>YZ-ZQ1617-BH-3XL</t>
  </si>
  <si>
    <t>B01MS460RR</t>
  </si>
  <si>
    <t>Cherry Hill</t>
  </si>
  <si>
    <t>113-2389458-5193863</t>
  </si>
  <si>
    <t>2018-08-10T19:38:16+00:00</t>
  </si>
  <si>
    <t>2018-08-11T21:53:18+00:00</t>
  </si>
  <si>
    <t>112-9952459-9206666</t>
  </si>
  <si>
    <t>2018-08-10T18:07:04+00:00</t>
  </si>
  <si>
    <t>2018-08-11T06:38:08+00:00</t>
  </si>
  <si>
    <t>Lawrence</t>
  </si>
  <si>
    <t>Kansas</t>
  </si>
  <si>
    <t>112-9988297-0808259</t>
  </si>
  <si>
    <t>2018-08-10T18:01:55+00:00</t>
  </si>
  <si>
    <t>2018-08-14T20:53:36+00:00</t>
  </si>
  <si>
    <t>114-6424177-0610630</t>
  </si>
  <si>
    <t>2018-08-10T16:08:22+00:00</t>
  </si>
  <si>
    <t>2018-08-11T16:35:51+00:00</t>
  </si>
  <si>
    <t>Louisville</t>
  </si>
  <si>
    <t>112-5278992-5642653</t>
  </si>
  <si>
    <t>2018-08-10T15:35:52+00:00</t>
  </si>
  <si>
    <t>2018-08-11T06:21:59+00:00</t>
  </si>
  <si>
    <t>Womens Knitted Long Sweater Dress Tunic Navy M</t>
  </si>
  <si>
    <t>LYQ-ZQ2973-ZL-M</t>
  </si>
  <si>
    <t>B075F2BYYZ</t>
  </si>
  <si>
    <t>KAUKAUNA</t>
  </si>
  <si>
    <t>54130-2174</t>
  </si>
  <si>
    <t>114-6671464-2304245</t>
  </si>
  <si>
    <t>2018-08-10T15:28:26+00:00</t>
  </si>
  <si>
    <t>2018-08-11T07:50:08+00:00</t>
  </si>
  <si>
    <t>UNION BEACH</t>
  </si>
  <si>
    <t>07735-3021</t>
  </si>
  <si>
    <t>113-7160039-7889064</t>
  </si>
  <si>
    <t>2018-08-10T15:27:26+00:00</t>
  </si>
  <si>
    <t>2018-08-11T00:53:21+00:00</t>
  </si>
  <si>
    <t>laurel</t>
  </si>
  <si>
    <t>Maryland</t>
  </si>
  <si>
    <t>114-3222649-4306640</t>
  </si>
  <si>
    <t>2018-08-10T14:11:03+00:00</t>
  </si>
  <si>
    <t>2018-08-12T15:57:47+00:00</t>
  </si>
  <si>
    <t>MEMPHIS</t>
  </si>
  <si>
    <t>38118-4038</t>
  </si>
  <si>
    <t>113-4359540-9969856</t>
  </si>
  <si>
    <t>2018-08-10T13:01:53+00:00</t>
  </si>
  <si>
    <t>2018-08-11T23:57:07+00:00</t>
  </si>
  <si>
    <t>33172-2191</t>
  </si>
  <si>
    <t>113-5282430-3669014</t>
  </si>
  <si>
    <t>2018-08-10T11:40:40+00:00</t>
  </si>
  <si>
    <t>2018-08-12T04:19:08+00:00</t>
  </si>
  <si>
    <t>49015-3877</t>
  </si>
  <si>
    <t>111-4899854-1864242</t>
  </si>
  <si>
    <t>2018-08-10T11:21:58+00:00</t>
  </si>
  <si>
    <t>2018-08-13T03:55:27+00:00</t>
  </si>
  <si>
    <t>77067-4416</t>
  </si>
  <si>
    <t>114-1495397-2332223</t>
  </si>
  <si>
    <t>2018-08-10T07:12:00+00:00</t>
  </si>
  <si>
    <t>2018-08-11T00:31:55+00:00</t>
  </si>
  <si>
    <t>Womens Knitted Long Sweater Dress Tunic Khaki XL</t>
  </si>
  <si>
    <t>LYQ-ZQ2973-KQ-XL</t>
  </si>
  <si>
    <t>B01M0328CI</t>
  </si>
  <si>
    <t>HUMBOLDT</t>
  </si>
  <si>
    <t>86329-0361</t>
  </si>
  <si>
    <t>Womens Knitted Long Sweater Dress Tunic Navy XL</t>
  </si>
  <si>
    <t>LYQ-ZQ2973-ZL-XL</t>
  </si>
  <si>
    <t>B075DX6NTH</t>
  </si>
  <si>
    <t>Womens Knitted Long Sweater Dress Tunic Beige XL</t>
  </si>
  <si>
    <t>LYQ-ZQ2973-W1-XL</t>
  </si>
  <si>
    <t>B01M0Q1U1V</t>
  </si>
  <si>
    <t>114-6297640-2254601</t>
  </si>
  <si>
    <t>2018-08-10T07:03:09+00:00</t>
  </si>
  <si>
    <t>2018-08-10T21:34:51+00:00</t>
  </si>
  <si>
    <t>112-2808000-2090668</t>
  </si>
  <si>
    <t>2018-08-10T05:35:12+00:00</t>
  </si>
  <si>
    <t>2018-08-10T19:24:11+00:00</t>
  </si>
  <si>
    <t>HIGHLAND</t>
  </si>
  <si>
    <t>92346-4728</t>
  </si>
  <si>
    <t>112-7749955-3241065</t>
  </si>
  <si>
    <t>2018-08-10T04:29:17+00:00</t>
  </si>
  <si>
    <t>2018-08-11T16:34:29+00:00</t>
  </si>
  <si>
    <t>113-3992403-8918625</t>
  </si>
  <si>
    <t>2018-08-10T03:56:29+00:00</t>
  </si>
  <si>
    <t>2018-08-13T08:33:30+00:00</t>
  </si>
  <si>
    <t>Summer Mae Women's Plus Size Padded Vintage Printing Halter High Waisted Bikini Set</t>
  </si>
  <si>
    <t>YZ-JY2526-R0-2XL</t>
  </si>
  <si>
    <t>B01N4L3QB1</t>
  </si>
  <si>
    <t>JACKSONVILLE</t>
  </si>
  <si>
    <t>32244-3178</t>
  </si>
  <si>
    <t>112-3690480-1040236</t>
  </si>
  <si>
    <t>2018-08-10T01:34:35+00:00</t>
  </si>
  <si>
    <t>2018-08-11T02:36:23+00:00</t>
  </si>
  <si>
    <t>TONGANOXIE</t>
  </si>
  <si>
    <t>KS</t>
  </si>
  <si>
    <t>66086-8933</t>
  </si>
  <si>
    <t>111-6504191-0213059</t>
  </si>
  <si>
    <t>2018-08-10T01:10:59+00:00</t>
  </si>
  <si>
    <t>2018-08-10T01:13:38+00:00</t>
  </si>
  <si>
    <t>YUCAIPA</t>
  </si>
  <si>
    <t>92399-1551</t>
  </si>
  <si>
    <t>114-0926471-1189829</t>
  </si>
  <si>
    <t>2018-08-11T23:52:35+00:00</t>
  </si>
  <si>
    <t>2018-08-13T20:37:46+00:00</t>
  </si>
  <si>
    <t>SHEPHERD</t>
  </si>
  <si>
    <t>59079-4319</t>
  </si>
  <si>
    <t>114-4514477-0280236</t>
  </si>
  <si>
    <t>2018-08-11T22:24:36+00:00</t>
  </si>
  <si>
    <t>2018-08-14T03:01:22+00:00</t>
  </si>
  <si>
    <t>Binghamton</t>
  </si>
  <si>
    <t>111-4083485-6667468</t>
  </si>
  <si>
    <t>2018-08-11T22:03:40+00:00</t>
  </si>
  <si>
    <t>2018-08-13T07:47:22+00:00</t>
  </si>
  <si>
    <t>CHICAGO</t>
  </si>
  <si>
    <t>60656-1378</t>
  </si>
  <si>
    <t>113-1451001-4997851</t>
  </si>
  <si>
    <t>2018-08-11T21:29:41+00:00</t>
  </si>
  <si>
    <t>2018-08-12T16:41:12+00:00</t>
  </si>
  <si>
    <t>ALTAMONTE SPRINGS</t>
  </si>
  <si>
    <t>32701-5831</t>
  </si>
  <si>
    <t>113-5866936-6123449</t>
  </si>
  <si>
    <t>2018-08-11T21:21:00+00:00</t>
  </si>
  <si>
    <t>2018-08-13T19:39:39+00:00</t>
  </si>
  <si>
    <t>YZ-SUZQBL03-B0-2X</t>
  </si>
  <si>
    <t>B07C2SKKBG</t>
  </si>
  <si>
    <t>ZACHARY</t>
  </si>
  <si>
    <t>70791-4459</t>
  </si>
  <si>
    <t>112-4175134-9905061</t>
  </si>
  <si>
    <t>2018-08-11T21:16:29+00:00</t>
  </si>
  <si>
    <t>2018-08-13T22:43:27+00:00</t>
  </si>
  <si>
    <t>Knoxville</t>
  </si>
  <si>
    <t>Tennessee</t>
  </si>
  <si>
    <t>113-3307299-1850617</t>
  </si>
  <si>
    <t>2018-08-11T21:00:17+00:00</t>
  </si>
  <si>
    <t>2018-08-14T16:59:19+00:00</t>
  </si>
  <si>
    <t>112-6661321-3572266</t>
  </si>
  <si>
    <t>2018-08-11T18:48:11+00:00</t>
  </si>
  <si>
    <t>2018-08-13T01:26:26+00:00</t>
  </si>
  <si>
    <t>92064-1742</t>
  </si>
  <si>
    <t>111-4035949-7155411</t>
  </si>
  <si>
    <t>2018-08-11T18:43:25+00:00</t>
  </si>
  <si>
    <t>2018-08-13T01:12:13+00:00</t>
  </si>
  <si>
    <t>TIMPSON</t>
  </si>
  <si>
    <t>75975-2100</t>
  </si>
  <si>
    <t>113-6865125-0384232</t>
  </si>
  <si>
    <t>2018-08-11T17:40:59+00:00</t>
  </si>
  <si>
    <t>2018-08-15T19:57:20+00:00</t>
  </si>
  <si>
    <t>Womens Knitted Long Sweater Dress Tunic Black S</t>
  </si>
  <si>
    <t>LYQ-ZQ2973-K0-S</t>
  </si>
  <si>
    <t>B075DSPS1B</t>
  </si>
  <si>
    <t>HAMPTON BAYS</t>
  </si>
  <si>
    <t>11946-2511</t>
  </si>
  <si>
    <t>Womens Knitted Long Sweater Dress Tunic Grey S</t>
  </si>
  <si>
    <t>LYQ-ZQ2973-E0-S</t>
  </si>
  <si>
    <t>B01M0ES8Z0</t>
  </si>
  <si>
    <t>113-9928767-8564216</t>
  </si>
  <si>
    <t>2018-08-11T16:26:29+00:00</t>
  </si>
  <si>
    <t>2018-08-13T19:11:06+00:00</t>
  </si>
  <si>
    <t>HOPE VALLEY</t>
  </si>
  <si>
    <t>RI</t>
  </si>
  <si>
    <t>02832-1289</t>
  </si>
  <si>
    <t>113-2349898-8019461</t>
  </si>
  <si>
    <t>2018-08-11T16:00:18+00:00</t>
  </si>
  <si>
    <t>2018-08-12T08:24:26+00:00</t>
  </si>
  <si>
    <t>113-8447587-4931448</t>
  </si>
  <si>
    <t>2018-08-11T15:46:59+00:00</t>
  </si>
  <si>
    <t>2018-08-12T18:51:07+00:00</t>
  </si>
  <si>
    <t>OCEAN CITY</t>
  </si>
  <si>
    <t>21842-7752</t>
  </si>
  <si>
    <t>114-9345866-6269820</t>
  </si>
  <si>
    <t>2018-08-11T15:37:05+00:00</t>
  </si>
  <si>
    <t>2018-08-12T02:29:56+00:00</t>
  </si>
  <si>
    <t>EAST HANOVER</t>
  </si>
  <si>
    <t>07936-2950</t>
  </si>
  <si>
    <t>113-3947460-3022664</t>
  </si>
  <si>
    <t>2018-08-11T14:58:13+00:00</t>
  </si>
  <si>
    <t>2018-08-12T23:22:14+00:00</t>
  </si>
  <si>
    <t>HOLLYWOOD</t>
  </si>
  <si>
    <t>33024-2022</t>
  </si>
  <si>
    <t>112-3633708-5171447</t>
  </si>
  <si>
    <t>2018-08-11T13:51:40+00:00</t>
  </si>
  <si>
    <t>2018-08-12T04:19:13+00:00</t>
  </si>
  <si>
    <t>MIDDLETOWN</t>
  </si>
  <si>
    <t>10940-5412</t>
  </si>
  <si>
    <t>114-4111499-9781016</t>
  </si>
  <si>
    <t>2018-08-11T13:47:22+00:00</t>
  </si>
  <si>
    <t>2018-08-12T17:11:28+00:00</t>
  </si>
  <si>
    <t>BELLWOOD</t>
  </si>
  <si>
    <t>60104-1349</t>
  </si>
  <si>
    <t>114-2554031-4718659</t>
  </si>
  <si>
    <t>2018-08-11T13:41:08+00:00</t>
  </si>
  <si>
    <t>2018-08-12T04:32:11+00:00</t>
  </si>
  <si>
    <t>WHITE PLAINS</t>
  </si>
  <si>
    <t>10607-1225</t>
  </si>
  <si>
    <t>111-0772105-4291455</t>
  </si>
  <si>
    <t>2018-08-11T13:13:55+00:00</t>
  </si>
  <si>
    <t>2018-08-13T16:31:30+00:00</t>
  </si>
  <si>
    <t>LENA</t>
  </si>
  <si>
    <t>112-3413875-0360261</t>
  </si>
  <si>
    <t>2018-08-11T05:58:23+00:00</t>
  </si>
  <si>
    <t>2018-08-15T14:38:21+00:00</t>
  </si>
  <si>
    <t>YZ-HM111-K0-XL</t>
  </si>
  <si>
    <t>B06XWQSHYX</t>
  </si>
  <si>
    <t>LOUISVILLE</t>
  </si>
  <si>
    <t>KENTUCKY</t>
  </si>
  <si>
    <t>40205-1412</t>
  </si>
  <si>
    <t>114-6925028-7110667</t>
  </si>
  <si>
    <t>2018-08-11T04:37:13+00:00</t>
  </si>
  <si>
    <t>94114-3226</t>
  </si>
  <si>
    <t>114-9056291-1536254</t>
  </si>
  <si>
    <t>2018-08-11T04:27:57+00:00</t>
  </si>
  <si>
    <t>2018-08-11T21:49:31+00:00</t>
  </si>
  <si>
    <t>SAN ANGELO</t>
  </si>
  <si>
    <t>76904-6205</t>
  </si>
  <si>
    <t>112-9286600-9577840</t>
  </si>
  <si>
    <t>2018-08-11T04:19:51+00:00</t>
  </si>
  <si>
    <t>2018-08-12T06:35:30+00:00</t>
  </si>
  <si>
    <t>MUKILTEO</t>
  </si>
  <si>
    <t>98275-3626</t>
  </si>
  <si>
    <t>113-6173768-9221046</t>
  </si>
  <si>
    <t>2018-08-11T02:43:16+00:00</t>
  </si>
  <si>
    <t>2018-08-12T20:21:08+00:00</t>
  </si>
  <si>
    <t>10461-5726</t>
  </si>
  <si>
    <t>111-2664246-4175459</t>
  </si>
  <si>
    <t>2018-08-11T02:22:09+00:00</t>
  </si>
  <si>
    <t>2018-08-12T07:46:09+00:00</t>
  </si>
  <si>
    <t>20003-4116</t>
  </si>
  <si>
    <t>112-4913470-6144225</t>
  </si>
  <si>
    <t>2018-08-11T02:16:52+00:00</t>
  </si>
  <si>
    <t>2018-08-12T13:28:58+00:00</t>
  </si>
  <si>
    <t>Womens Knitted Long Sweater Dress Tunic Green XL</t>
  </si>
  <si>
    <t>LYQ-ZQ2973-G0-XL</t>
  </si>
  <si>
    <t>B075DQ1SJZ</t>
  </si>
  <si>
    <t>LEETONIA</t>
  </si>
  <si>
    <t>44431-9750</t>
  </si>
  <si>
    <t>112-0189262-3971448</t>
  </si>
  <si>
    <t>2018-08-11T01:37:56+00:00</t>
  </si>
  <si>
    <t>2018-08-12T04:28:23+00:00</t>
  </si>
  <si>
    <t>85705-4365</t>
  </si>
  <si>
    <t>111-4829574-7485859</t>
  </si>
  <si>
    <t>2018-08-11T01:28:22+00:00</t>
  </si>
  <si>
    <t>2018-08-13T03:32:44+00:00</t>
  </si>
  <si>
    <t>33033-5118</t>
  </si>
  <si>
    <t>S01-0343613-9092408</t>
  </si>
  <si>
    <t>f19f43ae8270c053</t>
  </si>
  <si>
    <t>2018-08-12T11:33:01+00:00</t>
  </si>
  <si>
    <t>2018-08-14T00:21:28+00:00</t>
  </si>
  <si>
    <t>Waterbury</t>
  </si>
  <si>
    <t>112-9313492-1217833</t>
  </si>
  <si>
    <t>2018-08-12T23:06:40+00:00</t>
  </si>
  <si>
    <t>2018-08-14T01:53:41+00:00</t>
  </si>
  <si>
    <t>LYQ-HM1205-BR-L</t>
  </si>
  <si>
    <t>B01M29W1XF</t>
  </si>
  <si>
    <t>78418-6629</t>
  </si>
  <si>
    <t>113-1328218-9863465</t>
  </si>
  <si>
    <t>2018-08-12T22:36:01+00:00</t>
  </si>
  <si>
    <t>2018-08-16T03:54:28+00:00</t>
  </si>
  <si>
    <t>ANKENY</t>
  </si>
  <si>
    <t>IOWA</t>
  </si>
  <si>
    <t>50023-8878</t>
  </si>
  <si>
    <t>114-8413109-2021849</t>
  </si>
  <si>
    <t>2018-08-12T21:50:18+00:00</t>
  </si>
  <si>
    <t>2018-08-13T23:05:52+00:00</t>
  </si>
  <si>
    <t>WILLIAMSTOWN</t>
  </si>
  <si>
    <t>08094-4532</t>
  </si>
  <si>
    <t>112-0959839-0870607</t>
  </si>
  <si>
    <t>2018-08-12T20:27:12+00:00</t>
  </si>
  <si>
    <t>2018-08-13T22:52:06+00:00</t>
  </si>
  <si>
    <t>LYQ-ZQ1117-E0-XL</t>
  </si>
  <si>
    <t>B075ZQ96Y9</t>
  </si>
  <si>
    <t>Salisbury</t>
  </si>
  <si>
    <t>Md</t>
  </si>
  <si>
    <t>113-8597974-4261809</t>
  </si>
  <si>
    <t>2018-08-12T19:24:08+00:00</t>
  </si>
  <si>
    <t>2018-08-13T22:12:19+00:00</t>
  </si>
  <si>
    <t>20772-6424</t>
  </si>
  <si>
    <t>113-1658036-1254608</t>
  </si>
  <si>
    <t>2018-08-12T19:22:58+00:00</t>
  </si>
  <si>
    <t>2018-08-14T06:47:35+00:00</t>
  </si>
  <si>
    <t>SANTA FE</t>
  </si>
  <si>
    <t>114-0436665-2913022</t>
  </si>
  <si>
    <t>2018-08-12T19:18:31+00:00</t>
  </si>
  <si>
    <t>2018-08-13T06:23:21+00:00</t>
  </si>
  <si>
    <t>ASHBURN</t>
  </si>
  <si>
    <t>20147-5128</t>
  </si>
  <si>
    <t>112-5965235-8490663</t>
  </si>
  <si>
    <t>2018-08-12T18:53:06+00:00</t>
  </si>
  <si>
    <t>2018-08-13T10:32:21+00:00</t>
  </si>
  <si>
    <t>38134-4745</t>
  </si>
  <si>
    <t>111-2577262-6385841</t>
  </si>
  <si>
    <t>2018-08-12T18:35:13+00:00</t>
  </si>
  <si>
    <t>2018-08-14T01:28:45+00:00</t>
  </si>
  <si>
    <t>BARTLESVILLE</t>
  </si>
  <si>
    <t>74006-7701</t>
  </si>
  <si>
    <t>113-8388997-4113847</t>
  </si>
  <si>
    <t>2018-08-12T18:23:12+00:00</t>
  </si>
  <si>
    <t>2018-08-13T19:20:14+00:00</t>
  </si>
  <si>
    <t>Tarzana</t>
  </si>
  <si>
    <t>114-6499722-5129855</t>
  </si>
  <si>
    <t>2018-08-12T17:58:15+00:00</t>
  </si>
  <si>
    <t>2018-08-15T17:35:34+00:00</t>
  </si>
  <si>
    <t>YZ-ZQ1521RF3XL</t>
  </si>
  <si>
    <t>B01GJPCQQK</t>
  </si>
  <si>
    <t>111-3345588-3791452</t>
  </si>
  <si>
    <t>2018-08-12T17:45:23+00:00</t>
  </si>
  <si>
    <t>2018-08-13T19:16:26+00:00</t>
  </si>
  <si>
    <t>Summer Mae Women's Plus Size Swimwear One Piece Spirit Swimsuit Purple and Pink</t>
  </si>
  <si>
    <t>YZ-ZQ17958P0-5XL</t>
  </si>
  <si>
    <t>B01M7P6REV</t>
  </si>
  <si>
    <t>Dyersburg</t>
  </si>
  <si>
    <t>113-1445780-5890603</t>
  </si>
  <si>
    <t>2018-08-12T17:31:10+00:00</t>
  </si>
  <si>
    <t>2018-08-14T22:22:46+00:00</t>
  </si>
  <si>
    <t>BURBANK</t>
  </si>
  <si>
    <t>60459-1207</t>
  </si>
  <si>
    <t>111-2041161-7582617</t>
  </si>
  <si>
    <t>2018-08-12T17:05:20+00:00</t>
  </si>
  <si>
    <t>2018-08-17T08:03:16+00:00</t>
  </si>
  <si>
    <t>YZ-ZQBL03-R2-XL</t>
  </si>
  <si>
    <t>B0792TY4YT</t>
  </si>
  <si>
    <t>77067-2025</t>
  </si>
  <si>
    <t>112-2469654-2639402</t>
  </si>
  <si>
    <t>2018-08-12T16:55:26+00:00</t>
  </si>
  <si>
    <t>2018-08-13T08:24:41+00:00</t>
  </si>
  <si>
    <t>ROMOLAND</t>
  </si>
  <si>
    <t>92585-9346</t>
  </si>
  <si>
    <t>112-0566872-6107468</t>
  </si>
  <si>
    <t>2018-08-12T16:29:02+00:00</t>
  </si>
  <si>
    <t>2018-08-14T09:01:38+00:00</t>
  </si>
  <si>
    <t>33012-6322</t>
  </si>
  <si>
    <t>114-0559150-0503443</t>
  </si>
  <si>
    <t>2018-08-12T16:24:20+00:00</t>
  </si>
  <si>
    <t>2018-08-13T03:18:04+00:00</t>
  </si>
  <si>
    <t>YZ-ZQ1521RM3XL</t>
  </si>
  <si>
    <t>B01GJPCIL8</t>
  </si>
  <si>
    <t>FREMONT</t>
  </si>
  <si>
    <t>94538-3220</t>
  </si>
  <si>
    <t>113-7054904-1935461</t>
  </si>
  <si>
    <t>2018-08-12T16:05:34+00:00</t>
  </si>
  <si>
    <t>2018-08-14T05:59:07+00:00</t>
  </si>
  <si>
    <t>112-5810498-0324238</t>
  </si>
  <si>
    <t>2018-08-12T15:39:56+00:00</t>
  </si>
  <si>
    <t>2018-08-14T07:26:42+00:00</t>
  </si>
  <si>
    <t>Summer Mae Women's Oversized Knitted Sweater Long Sleeve V-neck Loose Pullover Tunic</t>
  </si>
  <si>
    <t>LYQ-ZQD390-G0-S</t>
  </si>
  <si>
    <t>B075MBJY9Z</t>
  </si>
  <si>
    <t>Andrews</t>
  </si>
  <si>
    <t>29510-8033</t>
  </si>
  <si>
    <t>Summer Mae 50s Elegant Inspired Retro Vintage One Piece Pin Up Monokinis Swimsuit,Red and Floral,Small(US size:4-6)</t>
  </si>
  <si>
    <t>YZ-ZQ1617-BH-M</t>
  </si>
  <si>
    <t>B01MR2SNCF</t>
  </si>
  <si>
    <t>113-3527586-3809801</t>
  </si>
  <si>
    <t>2018-08-12T15:25:43+00:00</t>
  </si>
  <si>
    <t>2018-08-14T02:21:43+00:00</t>
  </si>
  <si>
    <t>SOUTH BEND</t>
  </si>
  <si>
    <t>46614-6559</t>
  </si>
  <si>
    <t>111-4147555-7617045</t>
  </si>
  <si>
    <t>2018-08-12T14:57:04+00:00</t>
  </si>
  <si>
    <t>2018-08-12T23:25:59+00:00</t>
  </si>
  <si>
    <t>33014-4766</t>
  </si>
  <si>
    <t>114-9281698-0781021</t>
  </si>
  <si>
    <t>2018-08-12T14:25:06+00:00</t>
  </si>
  <si>
    <t>2018-08-14T01:25:25+00:00</t>
  </si>
  <si>
    <t>COPIAGUE</t>
  </si>
  <si>
    <t>11726-1109</t>
  </si>
  <si>
    <t>112-4406256-2068257</t>
  </si>
  <si>
    <t>2018-08-12T13:54:21+00:00</t>
  </si>
  <si>
    <t>2018-08-13T02:06:29+00:00</t>
  </si>
  <si>
    <t>YZ-ZQBL03-B0-S</t>
  </si>
  <si>
    <t>B06ZYY38PQ</t>
  </si>
  <si>
    <t>FORT LEE</t>
  </si>
  <si>
    <t>07024-4204</t>
  </si>
  <si>
    <t>113-1224226-7297814</t>
  </si>
  <si>
    <t>2018-08-12T06:45:06+00:00</t>
  </si>
  <si>
    <t>2018-08-15T07:13:35+00:00</t>
  </si>
  <si>
    <t>DISTRICT HEIGHTS</t>
  </si>
  <si>
    <t>20747-2861</t>
  </si>
  <si>
    <t>114-9970026-5533823</t>
  </si>
  <si>
    <t>2018-08-12T02:46:56+00:00</t>
  </si>
  <si>
    <t>2018-08-13T06:39:07+00:00</t>
  </si>
  <si>
    <t>SANTA ROSA</t>
  </si>
  <si>
    <t>95405-8456</t>
  </si>
  <si>
    <t>112-9156235-6838628</t>
  </si>
  <si>
    <t>2018-08-12T02:33:55+00:00</t>
  </si>
  <si>
    <t>2018-08-13T09:32:04+00:00</t>
  </si>
  <si>
    <t>Summer Mae Women's Summer Boho Strapess Banana Leaves Print Wrap Pockets Maxi Dress</t>
  </si>
  <si>
    <t>LYQ-ZQ1669-B0-XL</t>
  </si>
  <si>
    <t>B073S5CYWG</t>
  </si>
  <si>
    <t>LAGRANGEVILLE</t>
  </si>
  <si>
    <t>12540-6024</t>
  </si>
  <si>
    <t>111-5014291-3075433</t>
  </si>
  <si>
    <t>2018-08-12T02:14:17+00:00</t>
  </si>
  <si>
    <t>2018-08-13T08:28:02+00:00</t>
  </si>
  <si>
    <t>Miami</t>
  </si>
  <si>
    <t>111-2958129-1257052</t>
  </si>
  <si>
    <t>2018-08-12T00:41:43+00:00</t>
  </si>
  <si>
    <t>2018-08-13T03:36:38+00:00</t>
  </si>
  <si>
    <t>GERMANTOWN</t>
  </si>
  <si>
    <t>111-9672931-8516233</t>
  </si>
  <si>
    <t>2018-08-12T00:36:14+00:00</t>
  </si>
  <si>
    <t>2018-08-13T16:33:31+00:00</t>
  </si>
  <si>
    <t>COTTAGE GROVE</t>
  </si>
  <si>
    <t>53527-9384</t>
  </si>
  <si>
    <t>112-4701057-6048220</t>
  </si>
  <si>
    <t>2018-08-13T21:54:38+00:00</t>
  </si>
  <si>
    <t>2018-08-14T22:28:16+00:00</t>
  </si>
  <si>
    <t>BEAUMONT</t>
  </si>
  <si>
    <t>77706-7083</t>
  </si>
  <si>
    <t>113-5030816-3497045</t>
  </si>
  <si>
    <t>2018-08-13T21:23:16+00:00</t>
  </si>
  <si>
    <t>2018-08-14T07:34:12+00:00</t>
  </si>
  <si>
    <t>NORTH BRUNSWICK</t>
  </si>
  <si>
    <t>08902-5503</t>
  </si>
  <si>
    <t>111-8137808-2565046</t>
  </si>
  <si>
    <t>2018-08-13T20:57:54+00:00</t>
  </si>
  <si>
    <t>2018-08-15T02:25:49+00:00</t>
  </si>
  <si>
    <t>Women Lace Dress Long Sleeve Loose Tunic Tops Stitching Casual Blouses Coffee XXL</t>
  </si>
  <si>
    <t>LYQ-ZQ1117-C0-2XL</t>
  </si>
  <si>
    <t>B077GRD45J</t>
  </si>
  <si>
    <t>111-3948365-8371405</t>
  </si>
  <si>
    <t>2018-08-13T19:17:56+00:00</t>
  </si>
  <si>
    <t>IMPERIAL</t>
  </si>
  <si>
    <t>63052-1459</t>
  </si>
  <si>
    <t>113-4060594-1874631</t>
  </si>
  <si>
    <t>2018-08-13T19:13:46+00:00</t>
  </si>
  <si>
    <t>2018-08-15T09:34:48+00:00</t>
  </si>
  <si>
    <t>89156-6075</t>
  </si>
  <si>
    <t>111-5655409-6452240</t>
  </si>
  <si>
    <t>2018-08-13T19:08:25+00:00</t>
  </si>
  <si>
    <t>2018-08-15T06:06:07+00:00</t>
  </si>
  <si>
    <t>ESCONDIDO</t>
  </si>
  <si>
    <t>92026-1020</t>
  </si>
  <si>
    <t>112-2120670-4905815</t>
  </si>
  <si>
    <t>2018-08-13T18:11:17+00:00</t>
  </si>
  <si>
    <t>2018-08-15T09:43:07+00:00</t>
  </si>
  <si>
    <t>77002-1560</t>
  </si>
  <si>
    <t>113-6807408-7197006</t>
  </si>
  <si>
    <t>2018-08-13T16:53:24+00:00</t>
  </si>
  <si>
    <t>2018-08-14T14:19:49+00:00</t>
  </si>
  <si>
    <t>Owensboro</t>
  </si>
  <si>
    <t>Kentucky</t>
  </si>
  <si>
    <t>114-8220321-8141015</t>
  </si>
  <si>
    <t>2018-08-13T16:05:11+00:00</t>
  </si>
  <si>
    <t>2018-08-14T22:32:19+00:00</t>
  </si>
  <si>
    <t>MUNSTER</t>
  </si>
  <si>
    <t>46321-4316</t>
  </si>
  <si>
    <t>112-9141497-4364236</t>
  </si>
  <si>
    <t>2018-08-13T15:13:18+00:00</t>
  </si>
  <si>
    <t>2018-08-17T01:34:21+00:00</t>
  </si>
  <si>
    <t>Womens Knitted Long Sweater Dress Tunic Beige S</t>
  </si>
  <si>
    <t>LYQ-ZQ2973-W1-S</t>
  </si>
  <si>
    <t>B01LXHBWVD</t>
  </si>
  <si>
    <t>N RICHLND HLS</t>
  </si>
  <si>
    <t>76180-1539</t>
  </si>
  <si>
    <t>Womens Knitted Long Sweater Dress Tunic Purplish Red S</t>
  </si>
  <si>
    <t>LYQ-ZQ2973-P0-S</t>
  </si>
  <si>
    <t>B075F354DH</t>
  </si>
  <si>
    <t>111-0804506-7754653</t>
  </si>
  <si>
    <t>2018-08-13T14:19:12+00:00</t>
  </si>
  <si>
    <t>2018-08-14T16:41:56+00:00</t>
  </si>
  <si>
    <t>INDIANAPOLIS</t>
  </si>
  <si>
    <t>46224-6195</t>
  </si>
  <si>
    <t>111-7348249-3078607</t>
  </si>
  <si>
    <t>2018-08-13T13:40:40+00:00</t>
  </si>
  <si>
    <t>2018-08-14T09:21:01+00:00</t>
  </si>
  <si>
    <t>AMHERST</t>
  </si>
  <si>
    <t>14226-3053</t>
  </si>
  <si>
    <t>111-1402577-2787407</t>
  </si>
  <si>
    <t>2018-08-13T13:24:33+00:00</t>
  </si>
  <si>
    <t>2018-08-14T21:46:12+00:00</t>
  </si>
  <si>
    <t>Womens Knitted Long Sweater Dress Tunic Green S</t>
  </si>
  <si>
    <t>LYQ-ZQ2973-G0-S</t>
  </si>
  <si>
    <t>B075DTZMV1</t>
  </si>
  <si>
    <t>TRUMBULL</t>
  </si>
  <si>
    <t>06611-2437</t>
  </si>
  <si>
    <t>114-2249535-1150647</t>
  </si>
  <si>
    <t>2018-08-13T11:17:26+00:00</t>
  </si>
  <si>
    <t>2018-08-14T02:58:11+00:00</t>
  </si>
  <si>
    <t>28081-9238</t>
  </si>
  <si>
    <t>114-7481179-6605855</t>
  </si>
  <si>
    <t>2018-08-13T09:49:44+00:00</t>
  </si>
  <si>
    <t>2018-08-15T04:00:39+00:00</t>
  </si>
  <si>
    <t>CHADDS FORD</t>
  </si>
  <si>
    <t>19317-8919</t>
  </si>
  <si>
    <t>112-0454170-0407466</t>
  </si>
  <si>
    <t>2018-08-13T07:29:03+00:00</t>
  </si>
  <si>
    <t>2018-08-15T08:23:44+00:00</t>
  </si>
  <si>
    <t>90041-4002</t>
  </si>
  <si>
    <t>112-2069157-4959400</t>
  </si>
  <si>
    <t>2018-08-13T03:58:13+00:00</t>
  </si>
  <si>
    <t>2018-08-14T19:25:42+00:00</t>
  </si>
  <si>
    <t>90008-1013</t>
  </si>
  <si>
    <t>114-3622789-9191462</t>
  </si>
  <si>
    <t>2018-08-13T02:22:54+00:00</t>
  </si>
  <si>
    <t>2018-08-14T23:05:49+00:00</t>
  </si>
  <si>
    <t>BOISE</t>
  </si>
  <si>
    <t>83709-1930</t>
  </si>
  <si>
    <t>111-9119754-1791446</t>
  </si>
  <si>
    <t>2018-08-13T01:52:31+00:00</t>
  </si>
  <si>
    <t>2018-08-13T11:43:47+00:00</t>
  </si>
  <si>
    <t>40229-5444</t>
  </si>
  <si>
    <t>112-0226433-5697848</t>
  </si>
  <si>
    <t>2018-08-13T00:44:33+00:00</t>
  </si>
  <si>
    <t>2018-08-14T01:06:46+00:00</t>
  </si>
  <si>
    <t>NIAGARA FALLS</t>
  </si>
  <si>
    <t>14304-2605</t>
  </si>
  <si>
    <t>111-4633603-2257821</t>
  </si>
  <si>
    <t>2018-08-13T00:28:40+00:00</t>
  </si>
  <si>
    <t>2018-08-13T09:34:07+00:00</t>
  </si>
  <si>
    <t>GOLDSBORO</t>
  </si>
  <si>
    <t>27534-8225</t>
  </si>
  <si>
    <t>113-1096754-5443426</t>
  </si>
  <si>
    <t>2018-08-13T00:24:00+00:00</t>
  </si>
  <si>
    <t>2018-08-14T17:09:24+00:00</t>
  </si>
  <si>
    <t>WALDORF</t>
  </si>
  <si>
    <t>20602-4174</t>
  </si>
  <si>
    <t>S01-8266271-4996236</t>
  </si>
  <si>
    <t>2611-BD-2X</t>
  </si>
  <si>
    <t>2018-08-14T12:24:04+00:00</t>
  </si>
  <si>
    <t>2018-08-21T23:33:50+00:00</t>
  </si>
  <si>
    <t>Summer Mae Women Plus Size V-neck Tunic Top Long Sleeve Solid Chiffon Shirt Blouse Burgundy</t>
  </si>
  <si>
    <t>LYQ-ZQTN2611-BD-2X</t>
  </si>
  <si>
    <t>B07548R8JT</t>
  </si>
  <si>
    <t>S01-8655739-1895412</t>
  </si>
  <si>
    <t>2611-PI-2X</t>
  </si>
  <si>
    <t>2018-08-14T12:23:33+00:00</t>
  </si>
  <si>
    <t>2018-08-21T23:16:29+00:00</t>
  </si>
  <si>
    <t>Summer Mae Women Plus Size V-Neck Tunic Top Long Sleeve Solid Chiffon Shirt Blouse Pink</t>
  </si>
  <si>
    <t>LYQ-ZQTN2611-PI-2X</t>
  </si>
  <si>
    <t>B075487SJS</t>
  </si>
  <si>
    <t>S01-1558835-0037868</t>
  </si>
  <si>
    <t>2611-PI-3X</t>
  </si>
  <si>
    <t>2018-08-14T12:23:03+00:00</t>
  </si>
  <si>
    <t>2018-08-17T19:01:46+00:00</t>
  </si>
  <si>
    <t>Summer Mae Women Plus Size V-neck Tunic Top Long Sleeve Solid Chiffon Shirt Blouse Pink</t>
  </si>
  <si>
    <t>LYQ-ZQTN2611-PI-3X</t>
  </si>
  <si>
    <t>B07547DJVV</t>
  </si>
  <si>
    <t>S01-0819788-8000208</t>
  </si>
  <si>
    <t>2611-PI-5X</t>
  </si>
  <si>
    <t>2018-08-14T12:22:34+00:00</t>
  </si>
  <si>
    <t>2018-08-15T10:28:01+00:00</t>
  </si>
  <si>
    <t>LYQ-ZQTN2611-PI-5X</t>
  </si>
  <si>
    <t>B075474WTH</t>
  </si>
  <si>
    <t>S01-8853309-8046642</t>
  </si>
  <si>
    <t>2611-PI-XL</t>
  </si>
  <si>
    <t>2018-08-14T12:22:05+00:00</t>
  </si>
  <si>
    <t>2018-08-19T22:57:55+00:00</t>
  </si>
  <si>
    <t>LYQ-ZQTN2611-PI-XL</t>
  </si>
  <si>
    <t>B07547GGF1</t>
  </si>
  <si>
    <t>S01-0992533-4707421</t>
  </si>
  <si>
    <t>1001-B0-2X</t>
  </si>
  <si>
    <t>2018-08-14T12:21:25+00:00</t>
  </si>
  <si>
    <t>2018-08-22T03:16:00+00:00</t>
  </si>
  <si>
    <t>Long Sleeve Lace Dress A Line Casual Tunic Mini Dress Blue US 18W</t>
  </si>
  <si>
    <t>LYQ-1001-B0-2XL</t>
  </si>
  <si>
    <t>B0777GVVG3</t>
  </si>
  <si>
    <t>S01-6982135-9796235</t>
  </si>
  <si>
    <t>1001-B0-L</t>
  </si>
  <si>
    <t>2018-08-14T12:20:50+00:00</t>
  </si>
  <si>
    <t>2018-08-15T06:20:30+00:00</t>
  </si>
  <si>
    <t>Summer Mae Long Sleeve Lace Dress A Line Casual Tunic Mini Dress Blue US 12-14</t>
  </si>
  <si>
    <t>LYQ-1001-B0-L</t>
  </si>
  <si>
    <t>B0777F31HR</t>
  </si>
  <si>
    <t>S01-2646188-5529014</t>
  </si>
  <si>
    <t>1001-B0-M</t>
  </si>
  <si>
    <t>2018-08-14T12:20:22+00:00</t>
  </si>
  <si>
    <t>2018-08-16T06:58:50+00:00</t>
  </si>
  <si>
    <t>Long Sleeve Lace Dress A Line Casual Tunic Mini Dress Blue US 8-10</t>
  </si>
  <si>
    <t>LYQ-1001-B0-M</t>
  </si>
  <si>
    <t>B0777JTZQW</t>
  </si>
  <si>
    <t>S01-0954588-9085869</t>
  </si>
  <si>
    <t>1001-B0-XL</t>
  </si>
  <si>
    <t>2018-08-14T12:19:56+00:00</t>
  </si>
  <si>
    <t>2018-08-19T23:25:22+00:00</t>
  </si>
  <si>
    <t>Long Sleeve Lace Dress A Line Casual Tunic Mini Dress Blue US 16-18</t>
  </si>
  <si>
    <t>LYQ-1001-B0-XL</t>
  </si>
  <si>
    <t>B0777F9T9H</t>
  </si>
  <si>
    <t>S01-0592476-8144216</t>
  </si>
  <si>
    <t>1001-B0-XS</t>
  </si>
  <si>
    <t>2018-08-14T12:19:21+00:00</t>
  </si>
  <si>
    <t>2018-08-16T02:22:22+00:00</t>
  </si>
  <si>
    <t>Long Sleeve Lace Dress A Line Casual Tunic Mini Dress Blue US 0-2</t>
  </si>
  <si>
    <t>LYQ-1001-B0-XS</t>
  </si>
  <si>
    <t>B0777FG5F3</t>
  </si>
  <si>
    <t>S01-0075755-4049013</t>
  </si>
  <si>
    <t>1001-G0-XS</t>
  </si>
  <si>
    <t>2018-08-14T12:18:47+00:00</t>
  </si>
  <si>
    <t>2018-08-20T23:27:35+00:00</t>
  </si>
  <si>
    <t>Summer Mae Long Sleeve Lace Dress A Line Casual Tunic Mini Green Dress XS</t>
  </si>
  <si>
    <t>LYQ-1001-G0-XS</t>
  </si>
  <si>
    <t>B0777LB6ZK</t>
  </si>
  <si>
    <t>S01-4800226-4281820</t>
  </si>
  <si>
    <t>1001-G7-2X</t>
  </si>
  <si>
    <t>2018-08-14T12:18:16+00:00</t>
  </si>
  <si>
    <t>2018-08-22T03:17:57+00:00</t>
  </si>
  <si>
    <t>Long Sleeve Lace Dress A Line Casual Tunic Mini Dress Army Green US 18W</t>
  </si>
  <si>
    <t>LYQ-1001-G7-2XL</t>
  </si>
  <si>
    <t>B0777BRRF9</t>
  </si>
  <si>
    <t>S01-7949182-5097033</t>
  </si>
  <si>
    <t>1001-G7-M</t>
  </si>
  <si>
    <t>2018-08-14T12:17:48+00:00</t>
  </si>
  <si>
    <t>2018-08-21T23:33:25+00:00</t>
  </si>
  <si>
    <t>Summer Mae Long Sleeve Lace Dress A Line Casual Tunic Mini Dress Army Green US 8-10</t>
  </si>
  <si>
    <t>LYQ-1001-G7-M</t>
  </si>
  <si>
    <t>B0777DPRZ8</t>
  </si>
  <si>
    <t>S01-8097419-0507446</t>
  </si>
  <si>
    <t>1001-G7-S</t>
  </si>
  <si>
    <t>2018-08-14T12:17:16+00:00</t>
  </si>
  <si>
    <t>2018-08-22T03:23:28+00:00</t>
  </si>
  <si>
    <t>Long Sleeve Lace Dress A Line Casual Tunic Mini Dress Army Green US 4-6</t>
  </si>
  <si>
    <t>LYQ-1001-G7-S</t>
  </si>
  <si>
    <t>B0777H6HZP</t>
  </si>
  <si>
    <t>S01-3761271-8694621</t>
  </si>
  <si>
    <t>1001-G7-XS</t>
  </si>
  <si>
    <t>2018-08-14T12:16:42+00:00</t>
  </si>
  <si>
    <t>2018-08-17T10:32:19+00:00</t>
  </si>
  <si>
    <t>Summer Mae Long Sleeve Lace Dress A Line Casual Tunic Mini Dress Army Green US 0-2</t>
  </si>
  <si>
    <t>LYQ-1001-G7-XS</t>
  </si>
  <si>
    <t>B0777M2SSK</t>
  </si>
  <si>
    <t>S01-5587961-3319412</t>
  </si>
  <si>
    <t>1001-K0-M</t>
  </si>
  <si>
    <t>2018-08-14T12:15:56+00:00</t>
  </si>
  <si>
    <t>2018-08-16T06:36:34+00:00</t>
  </si>
  <si>
    <t>Long Sleeve Lace Dress A Line Casual Tunic Mini Dress Black US 8-10</t>
  </si>
  <si>
    <t>LYQ-1001-K0-M</t>
  </si>
  <si>
    <t>B0777KRF6G</t>
  </si>
  <si>
    <t>S01-7852954-6166620</t>
  </si>
  <si>
    <t>1001-K0-S</t>
  </si>
  <si>
    <t>2018-08-14T12:15:28+00:00</t>
  </si>
  <si>
    <t>2018-08-16T02:38:48+00:00</t>
  </si>
  <si>
    <t>Long Sleeve Lace Dress A Line Casual Tunic Mini Dress Black US 4-6</t>
  </si>
  <si>
    <t>LYQ-1001-K0-S</t>
  </si>
  <si>
    <t>B0777GWWNL</t>
  </si>
  <si>
    <t>S01-3846791-7111449</t>
  </si>
  <si>
    <t>1001-N0-L</t>
  </si>
  <si>
    <t>2018-08-14T12:14:58+00:00</t>
  </si>
  <si>
    <t>2018-08-15T10:21:36+00:00</t>
  </si>
  <si>
    <t>Long Sleeve Lace Dress A Line Casual Tunic Mini Dress Brown US 12-14</t>
  </si>
  <si>
    <t>LYQ-1001-N0-L</t>
  </si>
  <si>
    <t>B077782WBB</t>
  </si>
  <si>
    <t>S01-7124597-9677054</t>
  </si>
  <si>
    <t>1001-N0-S</t>
  </si>
  <si>
    <t>2018-08-14T12:14:22+00:00</t>
  </si>
  <si>
    <t>2018-08-20T23:16:20+00:00</t>
  </si>
  <si>
    <t>Summer Mae Long Sleeve Lace Dress A Line Casual Tunic Mini Dress Brown US 4-6</t>
  </si>
  <si>
    <t>LYQ-1001-N0-S</t>
  </si>
  <si>
    <t>B0777JP85J</t>
  </si>
  <si>
    <t>S01-7461478-9344210</t>
  </si>
  <si>
    <t>1001-N0-XL</t>
  </si>
  <si>
    <t>2018-08-14T12:13:33+00:00</t>
  </si>
  <si>
    <t>2018-08-19T23:16:51+00:00</t>
  </si>
  <si>
    <t>Long Sleeve Lace Dress A Line Casual Tunic Mini Dress Brown US 16-18</t>
  </si>
  <si>
    <t>LYQ-1001-N0-XL</t>
  </si>
  <si>
    <t>B0777KY2MV</t>
  </si>
  <si>
    <t>S01-2674672-6089021</t>
  </si>
  <si>
    <t>1001P0-2X</t>
  </si>
  <si>
    <t>2018-08-14T12:12:55+00:00</t>
  </si>
  <si>
    <t>2018-08-19T23:30:35+00:00</t>
  </si>
  <si>
    <t>Women's Stitching Lace Dress A Line Casual Tunic Mini Purple Dress 2XL</t>
  </si>
  <si>
    <t>LYQ-1001New-P0-2XL</t>
  </si>
  <si>
    <t>B0789F983Z</t>
  </si>
  <si>
    <t>S01-6912516-4954656</t>
  </si>
  <si>
    <t>1001P0-L</t>
  </si>
  <si>
    <t>2018-08-14T12:12:22+00:00</t>
  </si>
  <si>
    <t>2018-08-22T23:13:24+00:00</t>
  </si>
  <si>
    <t>Summer Mae Women's Stitching Lace Dress A Line Casual Tunic Mini Purple Dress L</t>
  </si>
  <si>
    <t>LYQ-1001New-P0-L</t>
  </si>
  <si>
    <t>B0789FVCFX</t>
  </si>
  <si>
    <t>S01-6753250-1580229</t>
  </si>
  <si>
    <t>1001P0-M</t>
  </si>
  <si>
    <t>2018-08-14T12:11:49+00:00</t>
  </si>
  <si>
    <t>2018-08-19T19:13:32+00:00</t>
  </si>
  <si>
    <t>Summer Mae Women's Stitching Lace Dress A Line Casual Tunic Mini Purple Dress M</t>
  </si>
  <si>
    <t>LYQ-1001New-P0-M</t>
  </si>
  <si>
    <t>B0789GR5XL</t>
  </si>
  <si>
    <t>S01-3712712-3615402</t>
  </si>
  <si>
    <t>1001P0-S</t>
  </si>
  <si>
    <t>2018-08-14T12:11:17+00:00</t>
  </si>
  <si>
    <t>2018-08-19T23:48:58+00:00</t>
  </si>
  <si>
    <t>Summer Mae Women's Stitching Lace Dress A Line Casual Tunic Mini Purple Dress S</t>
  </si>
  <si>
    <t>LYQ-1001New-P0-S</t>
  </si>
  <si>
    <t>B0789G37HF</t>
  </si>
  <si>
    <t>S01-2466758-9325019</t>
  </si>
  <si>
    <t>1001P0-XL</t>
  </si>
  <si>
    <t>2018-08-14T12:10:46+00:00</t>
  </si>
  <si>
    <t>2018-08-22T19:35:51+00:00</t>
  </si>
  <si>
    <t>Women's Stitching Lace Dress A Line Casual Tunic Mini Purple Dress XL</t>
  </si>
  <si>
    <t>LYQ-1001New-P0-XL</t>
  </si>
  <si>
    <t>B0789HNYYF</t>
  </si>
  <si>
    <t>S01-8682977-7973868</t>
  </si>
  <si>
    <t>1001P0-XS</t>
  </si>
  <si>
    <t>2018-08-14T12:09:56+00:00</t>
  </si>
  <si>
    <t>2018-08-19T19:19:58+00:00</t>
  </si>
  <si>
    <t>Women's Stitching Lace Dress A Line Casual Tunic Mini Purple Dress XS</t>
  </si>
  <si>
    <t>LYQ-1001New-P0-XS</t>
  </si>
  <si>
    <t>B0789GWZ7R</t>
  </si>
  <si>
    <t>S01-9015706-6290622</t>
  </si>
  <si>
    <t>1001-P0-L</t>
  </si>
  <si>
    <t>2018-08-14T12:09:04+00:00</t>
  </si>
  <si>
    <t>2018-08-16T02:44:56+00:00</t>
  </si>
  <si>
    <t>Long Sleeve Lace Dress A Line Casual Tunic Mini Purple Dress L</t>
  </si>
  <si>
    <t>LYQ-1001-P0-L</t>
  </si>
  <si>
    <t>B0777DP49T</t>
  </si>
  <si>
    <t>S01-4582322-8863457</t>
  </si>
  <si>
    <t>1001-P0-M</t>
  </si>
  <si>
    <t>2018-08-14T12:08:16+00:00</t>
  </si>
  <si>
    <t>2018-08-21T19:21:12+00:00</t>
  </si>
  <si>
    <t>Summer Mae Long Sleeve Lace Dress A Line Casual Tunic Mini Purple Dress M</t>
  </si>
  <si>
    <t>LYQ-1001-P0-M</t>
  </si>
  <si>
    <t>B0777L43KP</t>
  </si>
  <si>
    <t>S01-8228973-4281001</t>
  </si>
  <si>
    <t>1001-P0-S</t>
  </si>
  <si>
    <t>2018-08-14T12:07:37+00:00</t>
  </si>
  <si>
    <t>2018-08-16T02:34:19+00:00</t>
  </si>
  <si>
    <t>Long Sleeve Lace Dress A Line Casual Tunic Mini Purple Dress S</t>
  </si>
  <si>
    <t>LYQ-1001-P0-S</t>
  </si>
  <si>
    <t>B0777CQWCV</t>
  </si>
  <si>
    <t>S01-0402858-9017061</t>
  </si>
  <si>
    <t>1001-P0-XL</t>
  </si>
  <si>
    <t>2018-08-14T11:04:39+00:00</t>
  </si>
  <si>
    <t>2018-08-16T02:03:17+00:00</t>
  </si>
  <si>
    <t>Summer Mae Long Sleeve Lace Dress A Line Casual Tunic Mini Purple Dress XL</t>
  </si>
  <si>
    <t>LYQ-1001-P0-XL</t>
  </si>
  <si>
    <t>B07778JRS9</t>
  </si>
  <si>
    <t>S01-2314736-3275464</t>
  </si>
  <si>
    <t>1001-P0-XS</t>
  </si>
  <si>
    <t>2018-08-14T11:04:06+00:00</t>
  </si>
  <si>
    <t>2018-08-16T14:22:00+00:00</t>
  </si>
  <si>
    <t>Summer Mae Long Sleeve Lace Dress A Line Casual Tunic Mini Purple Dress XS</t>
  </si>
  <si>
    <t>LYQ-1001-P0-XS</t>
  </si>
  <si>
    <t>B0777MZQLP</t>
  </si>
  <si>
    <t>S01-1636053-2655405</t>
  </si>
  <si>
    <t>1001-R0-2X</t>
  </si>
  <si>
    <t>2018-08-14T11:02:20+00:00</t>
  </si>
  <si>
    <t>2018-08-19T22:52:11+00:00</t>
  </si>
  <si>
    <t>Long Sleeve Lace Dress A Line Casual Tunic Mini Red Dress US 18W</t>
  </si>
  <si>
    <t>LYQ-1001-R0-2XL</t>
  </si>
  <si>
    <t>B0777FB3HW</t>
  </si>
  <si>
    <t>S01-5011582-9601808</t>
  </si>
  <si>
    <t>1001-R0-M</t>
  </si>
  <si>
    <t>2018-08-14T11:01:47+00:00</t>
  </si>
  <si>
    <t>2018-08-21T06:54:32+00:00</t>
  </si>
  <si>
    <t>Long Sleeve Lace Dress A Line Casual Tunic Mini Red Dress US 8-10</t>
  </si>
  <si>
    <t>LYQ-1001-R0-M</t>
  </si>
  <si>
    <t>B0777L43KM</t>
  </si>
  <si>
    <t>S01-8859246-1198623</t>
  </si>
  <si>
    <t>1001-R0-XS</t>
  </si>
  <si>
    <t>2018-08-14T10:59:34+00:00</t>
  </si>
  <si>
    <t>2018-08-21T22:29:28+00:00</t>
  </si>
  <si>
    <t>Summer Mae Long Sleeve Lace Dress A Line Casual Tunic Mini Red Dress US 0-2</t>
  </si>
  <si>
    <t>LYQ-1001-R0-XS</t>
  </si>
  <si>
    <t>B0777C1FYN</t>
  </si>
  <si>
    <t>S01-0549438-0833807</t>
  </si>
  <si>
    <t>1001W0-2X</t>
  </si>
  <si>
    <t>2018-08-14T10:59:01+00:00</t>
  </si>
  <si>
    <t>2018-08-15T05:42:58+00:00</t>
  </si>
  <si>
    <t>Long Sleeve Lace Dress A Line Casual Tunic Mini White Dress 2XL</t>
  </si>
  <si>
    <t>LYQ-1001-W0-2XL</t>
  </si>
  <si>
    <t>B0777H7826</t>
  </si>
  <si>
    <t>S01-9267032-6337822</t>
  </si>
  <si>
    <t>1001-R0-S</t>
  </si>
  <si>
    <t>2018-08-14T10:58:06+00:00</t>
  </si>
  <si>
    <t>2018-08-17T05:48:32+00:00</t>
  </si>
  <si>
    <t>Summer Mae Long Sleeve Lace Dress A Line Casual Tunic Mini Red Dress US 4-6</t>
  </si>
  <si>
    <t>LYQ-1001-R0-S</t>
  </si>
  <si>
    <t>B0777JDLP8</t>
  </si>
  <si>
    <t>S01-5429654-3669868</t>
  </si>
  <si>
    <t>1001-W0-2X</t>
  </si>
  <si>
    <t>2018-08-14T10:56:45+00:00</t>
  </si>
  <si>
    <t>2018-08-14T10:58:09+00:00</t>
  </si>
  <si>
    <t>S01-1281407-7003456</t>
  </si>
  <si>
    <t>1001-W0-L</t>
  </si>
  <si>
    <t>2018-08-14T10:56:07+00:00</t>
  </si>
  <si>
    <t>2018-08-16T01:42:11+00:00</t>
  </si>
  <si>
    <t>Long Sleeve Lace Dress A Line Casual Tunic Mini White Dress L</t>
  </si>
  <si>
    <t>LYQ-1001-W0-L</t>
  </si>
  <si>
    <t>B0777F1BV6</t>
  </si>
  <si>
    <t>S01-3438708-2027410</t>
  </si>
  <si>
    <t>1001-W0-M</t>
  </si>
  <si>
    <t>2018-08-14T10:55:30+00:00</t>
  </si>
  <si>
    <t>2018-08-15T21:42:51+00:00</t>
  </si>
  <si>
    <t>Long Sleeve Lace Dress A Line Casual Tunic Mini White Dress M</t>
  </si>
  <si>
    <t>LYQ-1001-W0-M</t>
  </si>
  <si>
    <t>B0777F7ZK9</t>
  </si>
  <si>
    <t>S01-1316661-6030660</t>
  </si>
  <si>
    <t>1001-W0-XL</t>
  </si>
  <si>
    <t>2018-08-14T10:55:02+00:00</t>
  </si>
  <si>
    <t>2018-08-19T22:21:55+00:00</t>
  </si>
  <si>
    <t>Summer Mae Long Sleeve Lace Dress A Line Casual Tunic Mini White Dress XL</t>
  </si>
  <si>
    <t>LYQ-1001-W0-XL</t>
  </si>
  <si>
    <t>B0777JDW3Z</t>
  </si>
  <si>
    <t>S01-0708193-7761811</t>
  </si>
  <si>
    <t>1001-Z0-2X</t>
  </si>
  <si>
    <t>2018-08-14T10:54:23+00:00</t>
  </si>
  <si>
    <t>2018-08-22T02:33:29+00:00</t>
  </si>
  <si>
    <t>Long Sleeve Lace Dress A Line Casual Tunic Mini Dress Violet 2XL</t>
  </si>
  <si>
    <t>LYQ-1001-Z0-2XL</t>
  </si>
  <si>
    <t>B0777K2GXR</t>
  </si>
  <si>
    <t>S01-7304790-5000265</t>
  </si>
  <si>
    <t>1001-Z0-M</t>
  </si>
  <si>
    <t>2018-08-14T10:34:25+00:00</t>
  </si>
  <si>
    <t>2018-08-16T05:37:15+00:00</t>
  </si>
  <si>
    <t>Long Sleeve Lace Dress A Line Casual Tunic Mini Dress Violet M</t>
  </si>
  <si>
    <t>LYQ-1001-Z0-M</t>
  </si>
  <si>
    <t>B0777JXDMP</t>
  </si>
  <si>
    <t>S01-3034875-6613051</t>
  </si>
  <si>
    <t>1001-Z0-S</t>
  </si>
  <si>
    <t>2018-08-14T10:31:57+00:00</t>
  </si>
  <si>
    <t>2018-08-15T05:23:14+00:00</t>
  </si>
  <si>
    <t>Summer Mae Long Sleeve Lace Dress A Line Casual Tunic Mini Dress Violet S</t>
  </si>
  <si>
    <t>LYQ-1001-Z0-S</t>
  </si>
  <si>
    <t>B0777L24S5</t>
  </si>
  <si>
    <t>S01-1313194-1197031</t>
  </si>
  <si>
    <t>205-BR-L</t>
  </si>
  <si>
    <t>2018-08-14T10:14:27+00:00</t>
  </si>
  <si>
    <t>2018-08-17T01:13:19+00:00</t>
  </si>
  <si>
    <t>S01-4900076-4830628</t>
  </si>
  <si>
    <t>205-BR-M</t>
  </si>
  <si>
    <t>2018-08-14T10:13:33+00:00</t>
  </si>
  <si>
    <t>2018-08-21T01:58:58+00:00</t>
  </si>
  <si>
    <t>LYQ-HM1205-BR-M</t>
  </si>
  <si>
    <t>B01MPXO3HC</t>
  </si>
  <si>
    <t>S01-8588467-4279406</t>
  </si>
  <si>
    <t>205-BR-XL</t>
  </si>
  <si>
    <t>2018-08-14T10:11:56+00:00</t>
  </si>
  <si>
    <t>2018-08-22T02:07:21+00:00</t>
  </si>
  <si>
    <t>S01-6824664-1795423</t>
  </si>
  <si>
    <t>205-K0-S</t>
  </si>
  <si>
    <t>2018-08-14T10:11:09+00:00</t>
  </si>
  <si>
    <t>2018-08-22T09:25:25+00:00</t>
  </si>
  <si>
    <t>LYQ-HM1205-K0-S</t>
  </si>
  <si>
    <t>B07433FQ65</t>
  </si>
  <si>
    <t>S01-5667571-8292217</t>
  </si>
  <si>
    <t>205-KH-M</t>
  </si>
  <si>
    <t>2018-08-14T10:09:40+00:00</t>
  </si>
  <si>
    <t>2018-08-16T01:11:14+00:00</t>
  </si>
  <si>
    <t>LYQ-HM1205-KH-M</t>
  </si>
  <si>
    <t>B01M8NN6DC</t>
  </si>
  <si>
    <t>S01-6929338-6262654</t>
  </si>
  <si>
    <t>205-KH-S</t>
  </si>
  <si>
    <t>2018-08-14T10:08:59+00:00</t>
  </si>
  <si>
    <t>2018-08-22T01:47:48+00:00</t>
  </si>
  <si>
    <t>LYQ-HM1205-KH-S</t>
  </si>
  <si>
    <t>B01MCYYCOC</t>
  </si>
  <si>
    <t>S01-8481132-2529048</t>
  </si>
  <si>
    <t>205-W0-M</t>
  </si>
  <si>
    <t>2018-08-14T10:08:26+00:00</t>
  </si>
  <si>
    <t>2018-08-22T01:54:42+00:00</t>
  </si>
  <si>
    <t>LYQ-HM1205-W0-M</t>
  </si>
  <si>
    <t>B01M4OHRH9</t>
  </si>
  <si>
    <t>S01-3821763-1441841</t>
  </si>
  <si>
    <t>205-W0-S</t>
  </si>
  <si>
    <t>2018-08-14T10:07:51+00:00</t>
  </si>
  <si>
    <t>2018-08-22T05:47:27+00:00</t>
  </si>
  <si>
    <t>LYQ-HM1205-W0-S</t>
  </si>
  <si>
    <t>B01M69CL5T</t>
  </si>
  <si>
    <t>S01-1154087-4357028</t>
  </si>
  <si>
    <t>1741-W0-L</t>
  </si>
  <si>
    <t>2018-08-14T09:57:20+00:00</t>
  </si>
  <si>
    <t>2018-08-21T01:36:56+00:00</t>
  </si>
  <si>
    <t>Summer Mae Women Long Sleeve Solid Irregular Button Casual Loose T-Shirt Tunic Top Dress</t>
  </si>
  <si>
    <t>LYQ-ZQS1741-W0-L</t>
  </si>
  <si>
    <t>B075FPB5TN</t>
  </si>
  <si>
    <t>S01-5235003-1409046</t>
  </si>
  <si>
    <t>1741-G7-L</t>
  </si>
  <si>
    <t>2018-08-14T09:56:29+00:00</t>
  </si>
  <si>
    <t>2018-08-16T04:29:10+00:00</t>
  </si>
  <si>
    <t>LYQ-ZQS1741-G7-L</t>
  </si>
  <si>
    <t>B075FPKCBK</t>
  </si>
  <si>
    <t>S01-0209626-6229850</t>
  </si>
  <si>
    <t>1741-G7-M</t>
  </si>
  <si>
    <t>2018-08-14T09:55:43+00:00</t>
  </si>
  <si>
    <t>2018-08-18T09:12:29+00:00</t>
  </si>
  <si>
    <t>LYQ-ZQS1741-G7-M</t>
  </si>
  <si>
    <t>B075FSBGCN</t>
  </si>
  <si>
    <t>S01-0164958-1361003</t>
  </si>
  <si>
    <t>1741-G7-S</t>
  </si>
  <si>
    <t>2018-08-14T09:55:12+00:00</t>
  </si>
  <si>
    <t>2018-08-16T04:58:27+00:00</t>
  </si>
  <si>
    <t>LYQ-ZQS1741-G7-S</t>
  </si>
  <si>
    <t>B075FSK3ZF</t>
  </si>
  <si>
    <t>S01-1329298-5769863</t>
  </si>
  <si>
    <t>1741-G7-XL</t>
  </si>
  <si>
    <t>2018-08-14T09:54:38+00:00</t>
  </si>
  <si>
    <t>2018-08-20T05:44:22+00:00</t>
  </si>
  <si>
    <t>LYQ-ZQS1741-G7-XL</t>
  </si>
  <si>
    <t>B075FRVWPL</t>
  </si>
  <si>
    <t>S01-6635477-0373836</t>
  </si>
  <si>
    <t>1741-K0-L</t>
  </si>
  <si>
    <t>2018-08-14T09:54:03+00:00</t>
  </si>
  <si>
    <t>2018-08-19T21:10:02+00:00</t>
  </si>
  <si>
    <t>LYQ-ZQS1741-K0-L</t>
  </si>
  <si>
    <t>B075FRZ96H</t>
  </si>
  <si>
    <t>S01-2134080-9386654</t>
  </si>
  <si>
    <t>1741-K0-M</t>
  </si>
  <si>
    <t>2018-08-14T09:53:24+00:00</t>
  </si>
  <si>
    <t>2018-08-15T00:04:09+00:00</t>
  </si>
  <si>
    <t>LYQ-ZQS1741-K0-M</t>
  </si>
  <si>
    <t>B075FRN818</t>
  </si>
  <si>
    <t>S01-9748463-7342629</t>
  </si>
  <si>
    <t>1741-K0-S</t>
  </si>
  <si>
    <t>2018-08-14T09:52:31+00:00</t>
  </si>
  <si>
    <t>2018-08-22T05:16:28+00:00</t>
  </si>
  <si>
    <t>LYQ-ZQS1741-K0-S</t>
  </si>
  <si>
    <t>B075FT71MF</t>
  </si>
  <si>
    <t>S01-9976874-3802619</t>
  </si>
  <si>
    <t>ZQ650-C11</t>
  </si>
  <si>
    <t>2018-08-14T09:43:45+00:00</t>
  </si>
  <si>
    <t>2018-08-22T01:32:50+00:00</t>
  </si>
  <si>
    <t>S01-3947370-6457862</t>
  </si>
  <si>
    <t>ZQ650-C8</t>
  </si>
  <si>
    <t>2018-08-14T09:43:03+00:00</t>
  </si>
  <si>
    <t>2018-08-22T05:00:42+00:00</t>
  </si>
  <si>
    <t>WJ-ZQ650-C8</t>
  </si>
  <si>
    <t>B01MAUCEHQ</t>
  </si>
  <si>
    <t>S01-6464590-0901858</t>
  </si>
  <si>
    <t>ZQ650-C1</t>
  </si>
  <si>
    <t>2018-08-14T09:42:36+00:00</t>
  </si>
  <si>
    <t>2018-08-22T01:30:56+00:00</t>
  </si>
  <si>
    <t>WJ-ZQ650-C1</t>
  </si>
  <si>
    <t>B01MF4FR0N</t>
  </si>
  <si>
    <t>S01-9829241-4730663</t>
  </si>
  <si>
    <t>ZQ650-C9</t>
  </si>
  <si>
    <t>2018-08-14T09:41:54+00:00</t>
  </si>
  <si>
    <t>2018-08-20T13:21:44+00:00</t>
  </si>
  <si>
    <t>WJ-ZQ650-C9</t>
  </si>
  <si>
    <t>B01M2UYD3I</t>
  </si>
  <si>
    <t>S01-6299651-5625026</t>
  </si>
  <si>
    <t>ZQ650-C3</t>
  </si>
  <si>
    <t>2018-08-14T09:41:19+00:00</t>
  </si>
  <si>
    <t>2018-08-19T20:54:04+00:00</t>
  </si>
  <si>
    <t>WJ-ZQ650-C3</t>
  </si>
  <si>
    <t>B01MA1KLWC</t>
  </si>
  <si>
    <t>S01-3284612-6750615</t>
  </si>
  <si>
    <t>ZQ650-C4</t>
  </si>
  <si>
    <t>2018-08-14T09:40:49+00:00</t>
  </si>
  <si>
    <t>2018-08-15T04:10:25+00:00</t>
  </si>
  <si>
    <t>WJ-ZQ650-C4</t>
  </si>
  <si>
    <t>B01M2UYFMQ</t>
  </si>
  <si>
    <t>S01-7045679-5279416</t>
  </si>
  <si>
    <t>ZQ650-C10</t>
  </si>
  <si>
    <t>2018-08-14T09:40:20+00:00</t>
  </si>
  <si>
    <t>2018-08-22T01:30:55+00:00</t>
  </si>
  <si>
    <t>WJ-ZQ650-C10</t>
  </si>
  <si>
    <t>B01MECQ070</t>
  </si>
  <si>
    <t>S01-5938969-9124202</t>
  </si>
  <si>
    <t>ZQ650-C5</t>
  </si>
  <si>
    <t>2018-08-14T09:39:10+00:00</t>
  </si>
  <si>
    <t>2018-08-17T20:44:15+00:00</t>
  </si>
  <si>
    <t>WJ-ZQ650-C5</t>
  </si>
  <si>
    <t>B01M2UY9B7</t>
  </si>
  <si>
    <t>S01-0176065-1229064</t>
  </si>
  <si>
    <t>ZQ650-C7</t>
  </si>
  <si>
    <t>2018-08-14T09:38:30+00:00</t>
  </si>
  <si>
    <t>2018-08-21T08:59:53+00:00</t>
  </si>
  <si>
    <t>WJ-ZQ650-C7</t>
  </si>
  <si>
    <t>B01MAUCETC</t>
  </si>
  <si>
    <t>S01-2803674-6152214</t>
  </si>
  <si>
    <t>ZQ650-C6</t>
  </si>
  <si>
    <t>2018-08-14T09:37:57+00:00</t>
  </si>
  <si>
    <t>2018-08-19T21:08:13+00:00</t>
  </si>
  <si>
    <t>WJ-ZQ650-C6</t>
  </si>
  <si>
    <t>B01MCRDA4D</t>
  </si>
  <si>
    <t>S01-1113492-0785049</t>
  </si>
  <si>
    <t>8200-FB-XL</t>
  </si>
  <si>
    <t>2018-08-14T09:36:17+00:00</t>
  </si>
  <si>
    <t>2018-08-22T01:15:17+00:00</t>
  </si>
  <si>
    <t>Women's V-Neck Long Sleeves Wrap Waist Long Kimono Maxi Dress Blue and White XL</t>
  </si>
  <si>
    <t>LYQ-ZQ8200-FB-XL</t>
  </si>
  <si>
    <t>B01LZI8LDE</t>
  </si>
  <si>
    <t>S01-0347725-2553073</t>
  </si>
  <si>
    <t>8200-FB-S</t>
  </si>
  <si>
    <t>2018-08-14T09:33:19+00:00</t>
  </si>
  <si>
    <t>2018-08-19T00:59:14+00:00</t>
  </si>
  <si>
    <t>Women's V-Neck Long Sleeves Wrap Waist Long Kimono Maxi Dress Blue and White S</t>
  </si>
  <si>
    <t>LYQ-ZQ8200-FB-S</t>
  </si>
  <si>
    <t>B01LYUSTJT</t>
  </si>
  <si>
    <t>S01-6174239-0872266</t>
  </si>
  <si>
    <t>8200-P0-XL</t>
  </si>
  <si>
    <t>2018-08-14T09:32:46+00:00</t>
  </si>
  <si>
    <t>2018-08-22T01:25:06+00:00</t>
  </si>
  <si>
    <t>Women's V-Neck Long Sleeves Wrap Waist Long Kimono Maxi Dress Purple XL</t>
  </si>
  <si>
    <t>LYQ-ZQ8200-P0-XL</t>
  </si>
  <si>
    <t>B01LX89686</t>
  </si>
  <si>
    <t>S01-4521755-0160242</t>
  </si>
  <si>
    <t>8200-K0-XL</t>
  </si>
  <si>
    <t>2018-08-14T09:31:49+00:00</t>
  </si>
  <si>
    <t>2018-08-20T01:04:32+00:00</t>
  </si>
  <si>
    <t>Women's V-Neck Long Sleeves Wrap Waist Long Kimono Maxi Dress Black and White XL</t>
  </si>
  <si>
    <t>LYQ-ZQ8200-K0-XL</t>
  </si>
  <si>
    <t>B0734VXSD6</t>
  </si>
  <si>
    <t>S01-9272363-6241014</t>
  </si>
  <si>
    <t>8200-K0-L</t>
  </si>
  <si>
    <t>2018-08-14T09:30:26+00:00</t>
  </si>
  <si>
    <t>2018-08-19T05:25:33+00:00</t>
  </si>
  <si>
    <t>Women's V-Neck Long Sleeves Wrap Waist Long Kimono Maxi Dress Black and White L</t>
  </si>
  <si>
    <t>LYQ-ZQ8200-K0-L</t>
  </si>
  <si>
    <t>B0734TVMF1</t>
  </si>
  <si>
    <t>S01-4564430-5160226</t>
  </si>
  <si>
    <t>8200-K0-M</t>
  </si>
  <si>
    <t>2018-08-14T09:29:32+00:00</t>
  </si>
  <si>
    <t>2018-08-17T16:20:45+00:00</t>
  </si>
  <si>
    <t>Women's V-Neck Long Sleeves Wrap Waist Long Kimono Maxi Dress Black and White M</t>
  </si>
  <si>
    <t>LYQ-ZQ8200-K0-M</t>
  </si>
  <si>
    <t>B0734V8QLP</t>
  </si>
  <si>
    <t>S01-1798163-6302606</t>
  </si>
  <si>
    <t>8200-K0-S</t>
  </si>
  <si>
    <t>2018-08-14T09:27:53+00:00</t>
  </si>
  <si>
    <t>2018-08-19T20:53:11+00:00</t>
  </si>
  <si>
    <t>Women's V-Neck Long Sleeves Wrap Waist Long Kimono Maxi Dress Black and White S</t>
  </si>
  <si>
    <t>LYQ-ZQ8200-K0-S</t>
  </si>
  <si>
    <t>B0734TK7GF</t>
  </si>
  <si>
    <t>S01-6265958-5120239</t>
  </si>
  <si>
    <t>1117-B0-L</t>
  </si>
  <si>
    <t>2018-08-14T09:25:26+00:00</t>
  </si>
  <si>
    <t>2018-08-15T03:35:29+00:00</t>
  </si>
  <si>
    <t>LYQ-ZQ1117-B0-L</t>
  </si>
  <si>
    <t>B075ZQJC1K</t>
  </si>
  <si>
    <t>S01-7238529-0608200</t>
  </si>
  <si>
    <t>1117-B0-M</t>
  </si>
  <si>
    <t>2018-08-14T09:24:23+00:00</t>
  </si>
  <si>
    <t>2018-08-18T00:40:37+00:00</t>
  </si>
  <si>
    <t>LYQ-ZQ1117-B0-M</t>
  </si>
  <si>
    <t>B075ZRBHC3</t>
  </si>
  <si>
    <t>S01-7961410-9565031</t>
  </si>
  <si>
    <t>1117-B0-S</t>
  </si>
  <si>
    <t>2018-08-14T09:23:51+00:00</t>
  </si>
  <si>
    <t>2018-08-16T04:05:57+00:00</t>
  </si>
  <si>
    <t>LYQ-ZQ1117-B0-S</t>
  </si>
  <si>
    <t>B075ZPXY11</t>
  </si>
  <si>
    <t>S01-6820272-5790628</t>
  </si>
  <si>
    <t>1117-B0-XL</t>
  </si>
  <si>
    <t>2018-08-14T09:22:53+00:00</t>
  </si>
  <si>
    <t>2018-08-18T04:35:18+00:00</t>
  </si>
  <si>
    <t>LYQ-ZQ1117-B0-XL</t>
  </si>
  <si>
    <t>B075ZQRB44</t>
  </si>
  <si>
    <t>S01-0104703-4077060</t>
  </si>
  <si>
    <t>1117-BD-2X</t>
  </si>
  <si>
    <t>2018-08-14T09:22:26+00:00</t>
  </si>
  <si>
    <t>2018-08-17T20:42:29+00:00</t>
  </si>
  <si>
    <t>S01-0863575-3074655</t>
  </si>
  <si>
    <t>1117-BD-L</t>
  </si>
  <si>
    <t>2018-08-14T09:19:15+00:00</t>
  </si>
  <si>
    <t>2018-08-21T00:54:22+00:00</t>
  </si>
  <si>
    <t>LYQ-ZQ1117-BD-L</t>
  </si>
  <si>
    <t>B075ZQBS8N</t>
  </si>
  <si>
    <t>S01-3010444-5765032</t>
  </si>
  <si>
    <t>1117-BD-M</t>
  </si>
  <si>
    <t>2018-08-14T09:18:43+00:00</t>
  </si>
  <si>
    <t>2018-08-21T01:03:51+00:00</t>
  </si>
  <si>
    <t>LYQ-ZQ1117-BD-M</t>
  </si>
  <si>
    <t>B075ZQDPWY</t>
  </si>
  <si>
    <t>S01-7732558-7465858</t>
  </si>
  <si>
    <t>1117-BD-S</t>
  </si>
  <si>
    <t>2018-08-14T09:18:11+00:00</t>
  </si>
  <si>
    <t>2018-08-19T21:06:08+00:00</t>
  </si>
  <si>
    <t>LYQ-ZQ1117-BD-S</t>
  </si>
  <si>
    <t>B075ZR64XY</t>
  </si>
  <si>
    <t>S01-2948289-9634623</t>
  </si>
  <si>
    <t>1117-BD-XL</t>
  </si>
  <si>
    <t>2018-08-14T09:17:34+00:00</t>
  </si>
  <si>
    <t>2018-08-22T04:43:17+00:00</t>
  </si>
  <si>
    <t>LYQ-ZQ1117-BD-XL</t>
  </si>
  <si>
    <t>B075ZQJDVC</t>
  </si>
  <si>
    <t>S01-3287593-3110652</t>
  </si>
  <si>
    <t>1117-C0-2X</t>
  </si>
  <si>
    <t>2018-08-14T09:16:46+00:00</t>
  </si>
  <si>
    <t>2018-08-17T20:34:03+00:00</t>
  </si>
  <si>
    <t>S01-3201354-1746628</t>
  </si>
  <si>
    <t>1117-C0-L</t>
  </si>
  <si>
    <t>2018-08-14T09:15:49+00:00</t>
  </si>
  <si>
    <t>2018-08-15T03:35:28+00:00</t>
  </si>
  <si>
    <t>LYQ-ZQ1117-C0-L</t>
  </si>
  <si>
    <t>B075ZQJC1R</t>
  </si>
  <si>
    <t>S01-4505745-2127413</t>
  </si>
  <si>
    <t>1117-C0-M</t>
  </si>
  <si>
    <t>2018-08-14T09:14:53+00:00</t>
  </si>
  <si>
    <t>2018-08-20T04:43:44+00:00</t>
  </si>
  <si>
    <t>LYQ-ZQ1117-C0-M</t>
  </si>
  <si>
    <t>B075ZQJC1P</t>
  </si>
  <si>
    <t>S01-3009424-0077828</t>
  </si>
  <si>
    <t>1117-C0-S</t>
  </si>
  <si>
    <t>2018-08-14T09:14:05+00:00</t>
  </si>
  <si>
    <t>2018-08-22T04:25:17+00:00</t>
  </si>
  <si>
    <t>LYQ-ZQ1117-C0-S</t>
  </si>
  <si>
    <t>B075ZZXCGZ</t>
  </si>
  <si>
    <t>S01-1752676-3841043</t>
  </si>
  <si>
    <t>1117-C0-XL</t>
  </si>
  <si>
    <t>2018-08-14T09:13:26+00:00</t>
  </si>
  <si>
    <t>2018-08-15T07:20:55+00:00</t>
  </si>
  <si>
    <t>LYQ-ZQ1117-C0-XL</t>
  </si>
  <si>
    <t>B075ZR659T</t>
  </si>
  <si>
    <t>S01-3772120-9135461</t>
  </si>
  <si>
    <t>1117-E0-2X</t>
  </si>
  <si>
    <t>2018-08-14T09:11:13+00:00</t>
  </si>
  <si>
    <t>2018-08-16T11:58:48+00:00</t>
  </si>
  <si>
    <t>LYQ-ZQ1117-E0-2XL</t>
  </si>
  <si>
    <t>B077GRQ13K</t>
  </si>
  <si>
    <t>S01-5022496-1103405</t>
  </si>
  <si>
    <t>1117-E0-L</t>
  </si>
  <si>
    <t>2018-08-14T09:09:54+00:00</t>
  </si>
  <si>
    <t>2018-08-22T04:28:23+00:00</t>
  </si>
  <si>
    <t>LYQ-ZQ1117-E0-L</t>
  </si>
  <si>
    <t>B075ZR29P4</t>
  </si>
  <si>
    <t>S01-8838796-5305000</t>
  </si>
  <si>
    <t>1117-E0-M</t>
  </si>
  <si>
    <t>2018-08-14T09:08:19+00:00</t>
  </si>
  <si>
    <t>2018-08-20T00:58:19+00:00</t>
  </si>
  <si>
    <t>S01-2873590-8397864</t>
  </si>
  <si>
    <t>1117-G7-2X</t>
  </si>
  <si>
    <t>2018-08-14T09:02:26+00:00</t>
  </si>
  <si>
    <t>2018-08-22T04:22:57+00:00</t>
  </si>
  <si>
    <t>LYQ-ZQ1117-G7-2XL</t>
  </si>
  <si>
    <t>B077GRMXK8</t>
  </si>
  <si>
    <t>S01-2739377-2767428</t>
  </si>
  <si>
    <t>1117-G7-L</t>
  </si>
  <si>
    <t>2018-08-14T09:00:48+00:00</t>
  </si>
  <si>
    <t>2018-08-19T20:15:52+00:00</t>
  </si>
  <si>
    <t>LYQ-ZQ1117-G7-L</t>
  </si>
  <si>
    <t>B075ZRHZK5</t>
  </si>
  <si>
    <t>S01-9734012-7821865</t>
  </si>
  <si>
    <t>1117-G7-M</t>
  </si>
  <si>
    <t>2018-08-14T08:59:51+00:00</t>
  </si>
  <si>
    <t>2018-08-22T00:20:01+00:00</t>
  </si>
  <si>
    <t>LYQ-ZQ1117-G7-M</t>
  </si>
  <si>
    <t>B075ZQSQ1X</t>
  </si>
  <si>
    <t>S01-0497226-0093868</t>
  </si>
  <si>
    <t>1117-G7-S</t>
  </si>
  <si>
    <t>2018-08-14T08:59:05+00:00</t>
  </si>
  <si>
    <t>2018-08-21T00:13:40+00:00</t>
  </si>
  <si>
    <t>LYQ-ZQ1117-G7-S</t>
  </si>
  <si>
    <t>B075ZRSKHP</t>
  </si>
  <si>
    <t>S01-9600876-6619410</t>
  </si>
  <si>
    <t>1117-G7-XL</t>
  </si>
  <si>
    <t>2018-08-14T08:58:17+00:00</t>
  </si>
  <si>
    <t>2018-08-18T04:11:02+00:00</t>
  </si>
  <si>
    <t>LYQ-ZQ1117-G7-XL</t>
  </si>
  <si>
    <t>B075ZRMSHF</t>
  </si>
  <si>
    <t>S01-9798170-5557841</t>
  </si>
  <si>
    <t>1117-K0-2X</t>
  </si>
  <si>
    <t>2018-08-14T08:57:21+00:00</t>
  </si>
  <si>
    <t>2018-08-18T00:21:01+00:00</t>
  </si>
  <si>
    <t>LYQ-ZQ1117-K0-2XL</t>
  </si>
  <si>
    <t>B077GRN54F</t>
  </si>
  <si>
    <t>S01-1961829-3771421</t>
  </si>
  <si>
    <t>1117-K0-L</t>
  </si>
  <si>
    <t>2018-08-14T08:56:41+00:00</t>
  </si>
  <si>
    <t>2018-08-18T07:46:22+00:00</t>
  </si>
  <si>
    <t>LYQ-ZQ1117-K0-L</t>
  </si>
  <si>
    <t>B0759SMCZL</t>
  </si>
  <si>
    <t>S01-9450212-9961008</t>
  </si>
  <si>
    <t>1117-K0-M</t>
  </si>
  <si>
    <t>2018-08-14T08:52:21+00:00</t>
  </si>
  <si>
    <t>2018-08-22T04:08:15+00:00</t>
  </si>
  <si>
    <t>LYQ-ZQ1117-K0-M</t>
  </si>
  <si>
    <t>B0759HJLBJ</t>
  </si>
  <si>
    <t>S01-5644600-9508222</t>
  </si>
  <si>
    <t>1117-K0-S</t>
  </si>
  <si>
    <t>2018-08-14T08:51:50+00:00</t>
  </si>
  <si>
    <t>2018-08-22T00:19:28+00:00</t>
  </si>
  <si>
    <t>LYQ-ZQ1117-K0-S</t>
  </si>
  <si>
    <t>B0759N5P24</t>
  </si>
  <si>
    <t>S01-7069619-5271428</t>
  </si>
  <si>
    <t>1117-K0-XL</t>
  </si>
  <si>
    <t>2018-08-14T08:51:05+00:00</t>
  </si>
  <si>
    <t>2018-08-22T16:14:00+00:00</t>
  </si>
  <si>
    <t>LYQ-ZQ1117-K0-XL</t>
  </si>
  <si>
    <t>B0759GNDPX</t>
  </si>
  <si>
    <t>S01-5096473-8478602</t>
  </si>
  <si>
    <t>1117-KQ-M</t>
  </si>
  <si>
    <t>2018-08-14T08:50:32+00:00</t>
  </si>
  <si>
    <t>2018-08-21T00:02:31+00:00</t>
  </si>
  <si>
    <t>LYQ-ZQ1117-KQ-M</t>
  </si>
  <si>
    <t>B0759HSQBZ</t>
  </si>
  <si>
    <t>S01-0642405-8321050</t>
  </si>
  <si>
    <t>1117-KQ-S</t>
  </si>
  <si>
    <t>2018-08-14T08:49:58+00:00</t>
  </si>
  <si>
    <t>2018-08-16T03:21:28+00:00</t>
  </si>
  <si>
    <t>LYQ-ZQ1117-KQ-S</t>
  </si>
  <si>
    <t>B0759PF567</t>
  </si>
  <si>
    <t>S01-8876867-7157051</t>
  </si>
  <si>
    <t>973-BD-2XL</t>
  </si>
  <si>
    <t>2018-08-14T08:47:38+00:00</t>
  </si>
  <si>
    <t>2018-08-21T00:16:38+00:00</t>
  </si>
  <si>
    <t>S01-4832626-9541008</t>
  </si>
  <si>
    <t>973-BD-L</t>
  </si>
  <si>
    <t>2018-08-14T08:47:06+00:00</t>
  </si>
  <si>
    <t>2018-08-21T20:27:19+00:00</t>
  </si>
  <si>
    <t>Womens Knitted Long Sweater Dress Tunic Burgundy L</t>
  </si>
  <si>
    <t>LYQ-ZQ2973-BD-L</t>
  </si>
  <si>
    <t>B01LX5LAQB</t>
  </si>
  <si>
    <t>S01-7365293-5639458</t>
  </si>
  <si>
    <t>973-BD-S</t>
  </si>
  <si>
    <t>2018-08-14T08:46:33+00:00</t>
  </si>
  <si>
    <t>2018-08-21T04:02:05+00:00</t>
  </si>
  <si>
    <t>S01-3031061-4137060</t>
  </si>
  <si>
    <t>973-E0-2XL</t>
  </si>
  <si>
    <t>2018-08-14T08:45:58+00:00</t>
  </si>
  <si>
    <t>2018-08-22T00:07:58+00:00</t>
  </si>
  <si>
    <t>Womens Knitted Long Sweater Dress Tunic Grey XXL</t>
  </si>
  <si>
    <t>LYQ-ZQ2973-E0-2XL</t>
  </si>
  <si>
    <t>B01MSSER4Z</t>
  </si>
  <si>
    <t>S01-4822434-8638654</t>
  </si>
  <si>
    <t>973-E0-S</t>
  </si>
  <si>
    <t>2018-08-14T08:45:23+00:00</t>
  </si>
  <si>
    <t>2018-08-21T23:56:30+00:00</t>
  </si>
  <si>
    <t>S01-6109956-1019451</t>
  </si>
  <si>
    <t>973-G0-L</t>
  </si>
  <si>
    <t>2018-08-14T08:44:48+00:00</t>
  </si>
  <si>
    <t>2018-08-22T03:57:15+00:00</t>
  </si>
  <si>
    <t>Womens Knitted Long Sweater Dress Tunic Green L</t>
  </si>
  <si>
    <t>LYQ-ZQ2973-G0-L</t>
  </si>
  <si>
    <t>B075F3X74H</t>
  </si>
  <si>
    <t>S01-0463411-8419414</t>
  </si>
  <si>
    <t>973-G0-M</t>
  </si>
  <si>
    <t>2018-08-14T08:44:15+00:00</t>
  </si>
  <si>
    <t>2018-08-20T16:14:41+00:00</t>
  </si>
  <si>
    <t>S01-9375375-9313825</t>
  </si>
  <si>
    <t>973-G0-S</t>
  </si>
  <si>
    <t>2018-08-14T08:43:40+00:00</t>
  </si>
  <si>
    <t>2018-08-22T00:12:30+00:00</t>
  </si>
  <si>
    <t>S01-0063686-1163464</t>
  </si>
  <si>
    <t>973-G0-XL</t>
  </si>
  <si>
    <t>2018-08-14T08:43:10+00:00</t>
  </si>
  <si>
    <t>2018-08-22T12:04:58+00:00</t>
  </si>
  <si>
    <t>S01-1684893-7916263</t>
  </si>
  <si>
    <t>973-K0-L</t>
  </si>
  <si>
    <t>2018-08-14T08:42:15+00:00</t>
  </si>
  <si>
    <t>2018-08-20T20:08:19+00:00</t>
  </si>
  <si>
    <t>S01-2235490-1749809</t>
  </si>
  <si>
    <t>973-K0-M</t>
  </si>
  <si>
    <t>2018-08-14T08:41:44+00:00</t>
  </si>
  <si>
    <t>2018-08-21T23:42:41+00:00</t>
  </si>
  <si>
    <t>Womens Knitted Long Sweater Dress Tunic Black M</t>
  </si>
  <si>
    <t>LYQ-ZQ2973-K0-M</t>
  </si>
  <si>
    <t>B075F1391S</t>
  </si>
  <si>
    <t>S01-2342696-5867458</t>
  </si>
  <si>
    <t>973-KQ-L</t>
  </si>
  <si>
    <t>2018-08-14T08:41:10+00:00</t>
  </si>
  <si>
    <t>2018-08-18T03:54:00+00:00</t>
  </si>
  <si>
    <t>S01-5957316-1786621</t>
  </si>
  <si>
    <t>973-KQ-M</t>
  </si>
  <si>
    <t>2018-08-14T08:40:41+00:00</t>
  </si>
  <si>
    <t>2018-08-20T23:39:48+00:00</t>
  </si>
  <si>
    <t>S01-9538445-6042632</t>
  </si>
  <si>
    <t>973-P0-2XL</t>
  </si>
  <si>
    <t>2018-08-14T08:39:26+00:00</t>
  </si>
  <si>
    <t>2018-08-22T03:57:43+00:00</t>
  </si>
  <si>
    <t>Womens Knitted Long Sweater Dress Tunic Purplish Red XXL</t>
  </si>
  <si>
    <t>LYQ-ZQ2973-P0-2XL</t>
  </si>
  <si>
    <t>B075SCX9V6</t>
  </si>
  <si>
    <t>S01-5925312-9711443</t>
  </si>
  <si>
    <t>973-P0-L</t>
  </si>
  <si>
    <t>2018-08-14T08:38:54+00:00</t>
  </si>
  <si>
    <t>2018-08-19T03:26:51+00:00</t>
  </si>
  <si>
    <t>Womens Knitted Long Sweater Dress Tunic Purplish Red L</t>
  </si>
  <si>
    <t>LYQ-ZQ2973-P0-L</t>
  </si>
  <si>
    <t>B075DYGP3N</t>
  </si>
  <si>
    <t>S01-8174217-9357062</t>
  </si>
  <si>
    <t>973-P0-XL</t>
  </si>
  <si>
    <t>2018-08-14T08:38:10+00:00</t>
  </si>
  <si>
    <t>2018-08-16T03:00:15+00:00</t>
  </si>
  <si>
    <t>Womens Knitted Long Sweater Dress Tunic Purplish Red XL</t>
  </si>
  <si>
    <t>LYQ-ZQ2973-P0-XL</t>
  </si>
  <si>
    <t>B075DY2GNT</t>
  </si>
  <si>
    <t>S01-3141956-6783450</t>
  </si>
  <si>
    <t>973-W1-L</t>
  </si>
  <si>
    <t>2018-08-14T08:37:38+00:00</t>
  </si>
  <si>
    <t>2018-08-18T03:29:58+00:00</t>
  </si>
  <si>
    <t>Womens Knitted Long Sweater Dress Tunic Beige L</t>
  </si>
  <si>
    <t>LYQ-ZQ2973-W1-L</t>
  </si>
  <si>
    <t>B01LZREQ3F</t>
  </si>
  <si>
    <t>S01-5056498-5819425</t>
  </si>
  <si>
    <t>973-W1-M</t>
  </si>
  <si>
    <t>2018-08-14T08:37:06+00:00</t>
  </si>
  <si>
    <t>2018-08-21T23:51:06+00:00</t>
  </si>
  <si>
    <t>S01-8935447-0870616</t>
  </si>
  <si>
    <t>973-W1-S</t>
  </si>
  <si>
    <t>2018-08-14T08:36:22+00:00</t>
  </si>
  <si>
    <t>2018-08-20T23:42:37+00:00</t>
  </si>
  <si>
    <t>S01-4371955-6470647</t>
  </si>
  <si>
    <t>973-ZL-M</t>
  </si>
  <si>
    <t>2018-08-14T08:35:48+00:00</t>
  </si>
  <si>
    <t>2018-08-21T08:06:38+00:00</t>
  </si>
  <si>
    <t>S01-7973738-6407449</t>
  </si>
  <si>
    <t>973-ZL-S</t>
  </si>
  <si>
    <t>2018-08-14T08:34:45+00:00</t>
  </si>
  <si>
    <t>2018-08-21T03:57:25+00:00</t>
  </si>
  <si>
    <t>Womens Knitted Long Sweater Dress Tunic Navy S</t>
  </si>
  <si>
    <t>LYQ-ZQ2973-ZL-S</t>
  </si>
  <si>
    <t>B075DZZT79</t>
  </si>
  <si>
    <t>S01-7288226-6650626</t>
  </si>
  <si>
    <t>973-ZL-XL</t>
  </si>
  <si>
    <t>2018-08-14T08:32:32+00:00</t>
  </si>
  <si>
    <t>2018-08-21T23:37:24+00:00</t>
  </si>
  <si>
    <t>113-8582447-0382650</t>
  </si>
  <si>
    <t>2018-08-14T23:56:39+00:00</t>
  </si>
  <si>
    <t>2018-08-16T01:29:04+00:00</t>
  </si>
  <si>
    <t>HILLSDALE</t>
  </si>
  <si>
    <t>07642-2102</t>
  </si>
  <si>
    <t>112-7754618-0972237</t>
  </si>
  <si>
    <t>2018-08-14T21:14:58+00:00</t>
  </si>
  <si>
    <t>2018-08-15T21:35:29+00:00</t>
  </si>
  <si>
    <t>RIVERVIEW</t>
  </si>
  <si>
    <t>33579-6505</t>
  </si>
  <si>
    <t>111-4227795-2005050</t>
  </si>
  <si>
    <t>2018-08-14T19:48:48+00:00</t>
  </si>
  <si>
    <t>2018-08-16T23:39:33+00:00</t>
  </si>
  <si>
    <t>78744-8723</t>
  </si>
  <si>
    <t>113-4623317-6927433</t>
  </si>
  <si>
    <t>2018-08-14T19:45:11+00:00</t>
  </si>
  <si>
    <t>2018-08-19T12:40:50+00:00</t>
  </si>
  <si>
    <t>SOUTH GATE</t>
  </si>
  <si>
    <t>90280-6707</t>
  </si>
  <si>
    <t>114-4283862-6109067</t>
  </si>
  <si>
    <t>2018-08-14T19:44:48+00:00</t>
  </si>
  <si>
    <t>2018-08-15T22:34:06+00:00</t>
  </si>
  <si>
    <t>New Rochelle</t>
  </si>
  <si>
    <t>114-3637327-0546613</t>
  </si>
  <si>
    <t>2018-08-14T18:39:57+00:00</t>
  </si>
  <si>
    <t>2018-08-16T06:40:16+00:00</t>
  </si>
  <si>
    <t>the villages</t>
  </si>
  <si>
    <t>florida</t>
  </si>
  <si>
    <t>113-3925511-8137806</t>
  </si>
  <si>
    <t>2018-08-14T17:33:34+00:00</t>
  </si>
  <si>
    <t>2018-08-16T04:57:17+00:00</t>
  </si>
  <si>
    <t>HULL</t>
  </si>
  <si>
    <t>02045-1338</t>
  </si>
  <si>
    <t>112-4712053-6002656</t>
  </si>
  <si>
    <t>2018-08-14T16:30:11+00:00</t>
  </si>
  <si>
    <t>2018-08-15T14:35:52+00:00</t>
  </si>
  <si>
    <t>19709-7802</t>
  </si>
  <si>
    <t>113-4174851-5161842</t>
  </si>
  <si>
    <t>2018-08-14T15:56:29+00:00</t>
  </si>
  <si>
    <t>2018-08-20T21:41:00+00:00</t>
  </si>
  <si>
    <t>Anahola</t>
  </si>
  <si>
    <t>Hawaii</t>
  </si>
  <si>
    <t>111-3874138-2833027</t>
  </si>
  <si>
    <t>2018-08-14T15:37:29+00:00</t>
  </si>
  <si>
    <t>2018-08-15T06:40:52+00:00</t>
  </si>
  <si>
    <t>MAPLE VALLEY</t>
  </si>
  <si>
    <t>98038-6104</t>
  </si>
  <si>
    <t>111-5612643-9102650</t>
  </si>
  <si>
    <t>2018-08-14T15:05:02+00:00</t>
  </si>
  <si>
    <t>2018-08-15T04:32:20+00:00</t>
  </si>
  <si>
    <t>FREDERICKSBURG</t>
  </si>
  <si>
    <t>22406-6304</t>
  </si>
  <si>
    <t>113-1472570-9390647</t>
  </si>
  <si>
    <t>2018-08-14T14:35:07+00:00</t>
  </si>
  <si>
    <t>2018-08-15T19:06:23+00:00</t>
  </si>
  <si>
    <t>113-7840494-9673847</t>
  </si>
  <si>
    <t>2018-08-14T14:03:53+00:00</t>
  </si>
  <si>
    <t>2018-08-15T03:14:55+00:00</t>
  </si>
  <si>
    <t>GREEN BAY</t>
  </si>
  <si>
    <t>54304-5758</t>
  </si>
  <si>
    <t>112-3469931-1427445</t>
  </si>
  <si>
    <t>2018-08-14T13:21:06+00:00</t>
  </si>
  <si>
    <t>2018-08-14T22:53:58+00:00</t>
  </si>
  <si>
    <t>DORCHESTER CENTER</t>
  </si>
  <si>
    <t>02124-2901</t>
  </si>
  <si>
    <t>112-9307594-1795447</t>
  </si>
  <si>
    <t>2018-08-14T12:08:19+00:00</t>
  </si>
  <si>
    <t>2018-08-15T08:35:41+00:00</t>
  </si>
  <si>
    <t>BOWIE</t>
  </si>
  <si>
    <t>20720-4850</t>
  </si>
  <si>
    <t>111-7464314-3829069</t>
  </si>
  <si>
    <t>2018-08-14T12:03:28+00:00</t>
  </si>
  <si>
    <t>2018-08-14T20:35:37+00:00</t>
  </si>
  <si>
    <t>28412-7676</t>
  </si>
  <si>
    <t>114-6888720-8627400</t>
  </si>
  <si>
    <t>2018-08-14T07:28:21+00:00</t>
  </si>
  <si>
    <t>2018-08-15T00:05:29+00:00</t>
  </si>
  <si>
    <t>11205-2426</t>
  </si>
  <si>
    <t>113-6368606-8248211</t>
  </si>
  <si>
    <t>2018-08-14T07:07:05+00:00</t>
  </si>
  <si>
    <t>SANTA ANA</t>
  </si>
  <si>
    <t>92707-5934</t>
  </si>
  <si>
    <t>111-7388276-3585808</t>
  </si>
  <si>
    <t>2018-08-14T06:33:03+00:00</t>
  </si>
  <si>
    <t>2018-08-14T19:53:47+00:00</t>
  </si>
  <si>
    <t>Summer Mae Women's Plus Size Harbor Slit Shoulder Beach Dress</t>
  </si>
  <si>
    <t>SHJ-ZQLS01-B0-3XL</t>
  </si>
  <si>
    <t>B01LXD9QIS</t>
  </si>
  <si>
    <t>EAST RUTHERFORD</t>
  </si>
  <si>
    <t>07073-2124</t>
  </si>
  <si>
    <t>111-8781187-8014616</t>
  </si>
  <si>
    <t>2018-08-14T05:00:00+00:00</t>
  </si>
  <si>
    <t>2018-08-15T05:40:40+00:00</t>
  </si>
  <si>
    <t>113-8369123-3782646</t>
  </si>
  <si>
    <t>2018-08-14T04:47:00+00:00</t>
  </si>
  <si>
    <t>2018-08-16T01:28:29+00:00</t>
  </si>
  <si>
    <t>YZ-ZQBL03-R2-L</t>
  </si>
  <si>
    <t>B0792SSMZK</t>
  </si>
  <si>
    <t>AIRMONT</t>
  </si>
  <si>
    <t>10952-4301</t>
  </si>
  <si>
    <t>112-8835814-7703461</t>
  </si>
  <si>
    <t>2018-08-14T04:33:36+00:00</t>
  </si>
  <si>
    <t>2018-08-14T22:36:05+00:00</t>
  </si>
  <si>
    <t>MERAUX</t>
  </si>
  <si>
    <t>70075-8030</t>
  </si>
  <si>
    <t>113-1362056-5659437</t>
  </si>
  <si>
    <t>2018-08-14T03:40:35+00:00</t>
  </si>
  <si>
    <t>2018-08-17T21:15:35+00:00</t>
  </si>
  <si>
    <t>33122-1615</t>
  </si>
  <si>
    <t>114-2409238-7228210</t>
  </si>
  <si>
    <t>2018-08-14T03:26:11+00:00</t>
  </si>
  <si>
    <t>2018-08-18T21:57:34+00:00</t>
  </si>
  <si>
    <t>Delano</t>
  </si>
  <si>
    <t>112-6108056-0561005</t>
  </si>
  <si>
    <t>2018-08-14T02:44:48+00:00</t>
  </si>
  <si>
    <t>2018-08-15T06:21:26+00:00</t>
  </si>
  <si>
    <t>KANSAS CITY</t>
  </si>
  <si>
    <t>66106-3229</t>
  </si>
  <si>
    <t>111-3792223-9143414</t>
  </si>
  <si>
    <t>2018-08-14T02:41:35+00:00</t>
  </si>
  <si>
    <t>2018-08-16T05:42:21+00:00</t>
  </si>
  <si>
    <t>Summer Mae Women American Stars and Stripes Flag Open-Back Red White Blue Tankini Top &amp; Bottom</t>
  </si>
  <si>
    <t>YZ-SUZQ598-R0-3XL</t>
  </si>
  <si>
    <t>B07BMQRTNW</t>
  </si>
  <si>
    <t>SMITHVILLE</t>
  </si>
  <si>
    <t>64089-8167</t>
  </si>
  <si>
    <t>113-8184360-2840263</t>
  </si>
  <si>
    <t>2018-08-14T02:29:37+00:00</t>
  </si>
  <si>
    <t>2018-08-15T04:34:46+00:00</t>
  </si>
  <si>
    <t>112-0173421-7360231</t>
  </si>
  <si>
    <t>2018-08-14T02:28:46+00:00</t>
  </si>
  <si>
    <t>2018-08-15T05:15:31+00:00</t>
  </si>
  <si>
    <t>CARSON CITY</t>
  </si>
  <si>
    <t>89703-4818</t>
  </si>
  <si>
    <t>112-6238019-7887461</t>
  </si>
  <si>
    <t>2018-08-14T02:01:59+00:00</t>
  </si>
  <si>
    <t>2018-08-15T20:27:27+00:00</t>
  </si>
  <si>
    <t>TURLOCK</t>
  </si>
  <si>
    <t>95382-1776</t>
  </si>
  <si>
    <t>111-7532136-5345057</t>
  </si>
  <si>
    <t>2018-08-14T01:48:07+00:00</t>
  </si>
  <si>
    <t>2018-08-14T22:25:30+00:00</t>
  </si>
  <si>
    <t>60605-3451</t>
  </si>
  <si>
    <t>111-2149863-2720212</t>
  </si>
  <si>
    <t>2018-08-14T01:44:25+00:00</t>
  </si>
  <si>
    <t>2018-08-14T21:40:00+00:00</t>
  </si>
  <si>
    <t>33141-4101</t>
  </si>
  <si>
    <t>113-3378177-0920232</t>
  </si>
  <si>
    <t>2018-08-14T01:39:28+00:00</t>
  </si>
  <si>
    <t>2018-08-15T03:30:53+00:00</t>
  </si>
  <si>
    <t>92105-3942</t>
  </si>
  <si>
    <t>112-7725111-3010665</t>
  </si>
  <si>
    <t>2018-08-14T01:10:11+00:00</t>
  </si>
  <si>
    <t>2018-08-14T22:29:24+00:00</t>
  </si>
  <si>
    <t>GRAND PRAIRIE</t>
  </si>
  <si>
    <t>75052-1904</t>
  </si>
  <si>
    <t>112-2433073-2205859</t>
  </si>
  <si>
    <t>2018-08-14T00:48:29+00:00</t>
  </si>
  <si>
    <t>2018-08-15T07:21:11+00:00</t>
  </si>
  <si>
    <t>22203-4091</t>
  </si>
  <si>
    <t>111-0395814-3499453</t>
  </si>
  <si>
    <t>2018-08-14T00:25:52+00:00</t>
  </si>
  <si>
    <t>2018-08-16T23:24:00+00:00</t>
  </si>
  <si>
    <t>S01-7955212-7393844</t>
  </si>
  <si>
    <t>6287-B0-L</t>
  </si>
  <si>
    <t>2018-08-15T05:57:43+00:00</t>
  </si>
  <si>
    <t>2018-08-16T08:56:12+00:00</t>
  </si>
  <si>
    <t>Summer Mae Women's Sexy Cut Out Cold Shoulder Solid Color T-shirt Swing Dress With Pockets Blue Large</t>
  </si>
  <si>
    <t>LYQ-CL6287-B0-L</t>
  </si>
  <si>
    <t>B0748FQTDN</t>
  </si>
  <si>
    <t>S01-6710998-1613030</t>
  </si>
  <si>
    <t>6287-FB-L</t>
  </si>
  <si>
    <t>2018-08-15T05:57:02+00:00</t>
  </si>
  <si>
    <t>2018-08-16T09:04:55+00:00</t>
  </si>
  <si>
    <t>Summer Mae Women's Sexy Cut Out Cold Shoulder Solid Color T-shirt Swing Dress With Pockets Sapphire Blue Large</t>
  </si>
  <si>
    <t>LYQ-CL6287-FB-L</t>
  </si>
  <si>
    <t>B0748FMXDW</t>
  </si>
  <si>
    <t>S01-3573746-7861034</t>
  </si>
  <si>
    <t>6287-G7-L</t>
  </si>
  <si>
    <t>2018-08-15T05:56:17+00:00</t>
  </si>
  <si>
    <t>2018-08-16T06:12:47+00:00</t>
  </si>
  <si>
    <t>Summer Mae Women's Sexy Cut Out Cold Shoulder Solid Color T-shirt Swing Dress With Pockets Army Green Large</t>
  </si>
  <si>
    <t>LYQ-CL6287-G7-L</t>
  </si>
  <si>
    <t>B0748FGBZZ</t>
  </si>
  <si>
    <t>S01-0144753-6109828</t>
  </si>
  <si>
    <t>6287-G7-M</t>
  </si>
  <si>
    <t>2018-08-15T05:51:17+00:00</t>
  </si>
  <si>
    <t>2018-08-16T01:04:42+00:00</t>
  </si>
  <si>
    <t>Summer Mae Women's Sexy Cut Out Cold Shoulder Solid Color T-shirt Swing Dress With Pockets Army Green Medium</t>
  </si>
  <si>
    <t>LYQ-CL6287-G7-M</t>
  </si>
  <si>
    <t>B0748G9CH7</t>
  </si>
  <si>
    <t>S01-2190229-0988208</t>
  </si>
  <si>
    <t>3811-E0-2X</t>
  </si>
  <si>
    <t>2018-08-15T05:50:24+00:00</t>
  </si>
  <si>
    <t>2018-08-17T21:52:07+00:00</t>
  </si>
  <si>
    <t>Summer Mae Women Plus Size Black/Grey Turtleneck Long Sleeve Tunic Sweater Dress</t>
  </si>
  <si>
    <t>LYQ-ZQMB3811-E0-2X</t>
  </si>
  <si>
    <t>B0753FD8N6</t>
  </si>
  <si>
    <t>S01-9640260-4782603</t>
  </si>
  <si>
    <t>3811-E0-3X</t>
  </si>
  <si>
    <t>2018-08-15T05:49:29+00:00</t>
  </si>
  <si>
    <t>2018-08-23T01:36:50+00:00</t>
  </si>
  <si>
    <t>LYQ-ZQMB3811-E0-3X</t>
  </si>
  <si>
    <t>B0753CJL7F</t>
  </si>
  <si>
    <t>S01-3871557-6311434</t>
  </si>
  <si>
    <t>3811-E0-XL</t>
  </si>
  <si>
    <t>2018-08-15T05:48:43+00:00</t>
  </si>
  <si>
    <t>2018-08-19T21:32:01+00:00</t>
  </si>
  <si>
    <t>LYQ-ZQMB3811-E0-XL</t>
  </si>
  <si>
    <t>B0753BXSXM</t>
  </si>
  <si>
    <t>S01-2951699-4759412</t>
  </si>
  <si>
    <t>1616-CF</t>
  </si>
  <si>
    <t>2018-08-15T05:47:54+00:00</t>
  </si>
  <si>
    <t>2018-08-17T20:55:39+00:00</t>
  </si>
  <si>
    <t>Summer Mae Men's Stars Knit Warm Cap Velvet Slouchy Beanie Hat</t>
  </si>
  <si>
    <t>MZ-JY1616-CF</t>
  </si>
  <si>
    <t>B01LZDLADE</t>
  </si>
  <si>
    <t>S01-4114678-5353068</t>
  </si>
  <si>
    <t>1616-R0</t>
  </si>
  <si>
    <t>2018-08-15T05:47:05+00:00</t>
  </si>
  <si>
    <t>2018-08-18T01:36:12+00:00</t>
  </si>
  <si>
    <t>MZ-JY1616-R0</t>
  </si>
  <si>
    <t>B01LZ1Z414</t>
  </si>
  <si>
    <t>S01-4183059-1301031</t>
  </si>
  <si>
    <t>1616-ZL</t>
  </si>
  <si>
    <t>2018-08-15T05:46:22+00:00</t>
  </si>
  <si>
    <t>2018-08-17T21:26:42+00:00</t>
  </si>
  <si>
    <t>MZ-JY1616-ZL</t>
  </si>
  <si>
    <t>B01LWRZHVZ</t>
  </si>
  <si>
    <t>S01-3251398-4969819</t>
  </si>
  <si>
    <t>1616-KH</t>
  </si>
  <si>
    <t>2018-08-15T05:45:32+00:00</t>
  </si>
  <si>
    <t>2018-08-19T21:55:09+00:00</t>
  </si>
  <si>
    <t>MZ-JY1616-KH</t>
  </si>
  <si>
    <t>B01LZ1Z3TP</t>
  </si>
  <si>
    <t>S01-2254798-3605065</t>
  </si>
  <si>
    <t>64-SY-4XL</t>
  </si>
  <si>
    <t>2018-08-15T05:43:12+00:00</t>
  </si>
  <si>
    <t>2018-08-21T01:32:24+00:00</t>
  </si>
  <si>
    <t>Summer Mae Women's Plus-Size Tonal Leaf Swim Dress Two Piece Swimsuit 4XL</t>
  </si>
  <si>
    <t>YZ-HM174164-SY-4XL</t>
  </si>
  <si>
    <t>B01MZ4I332</t>
  </si>
  <si>
    <t>S01-0699993-9149023</t>
  </si>
  <si>
    <t>64-SY-XL</t>
  </si>
  <si>
    <t>2018-08-15T05:42:10+00:00</t>
  </si>
  <si>
    <t>2018-08-21T01:34:06+00:00</t>
  </si>
  <si>
    <t>Summer Mae Women's Plus-Size Tonal Leaf Swim Dress Two Piece Swimsuit XL</t>
  </si>
  <si>
    <t>YZ-HM174164-SY-XL</t>
  </si>
  <si>
    <t>B01MR0QBC4</t>
  </si>
  <si>
    <t>S01-1767103-5020246</t>
  </si>
  <si>
    <t>64-SY-3XL</t>
  </si>
  <si>
    <t>2018-08-15T05:41:25+00:00</t>
  </si>
  <si>
    <t>2018-08-20T22:01:39+00:00</t>
  </si>
  <si>
    <t>Summer Mae Women's Plus-Size Tonal Leaf Swim Dress Two Piece Swimsuit 3XL</t>
  </si>
  <si>
    <t>YZ-HM174164-SY-3XL</t>
  </si>
  <si>
    <t>B01NH0VOD4</t>
  </si>
  <si>
    <t>S01-4020371-7139466</t>
  </si>
  <si>
    <t>64-SY-2XL</t>
  </si>
  <si>
    <t>2018-08-15T05:40:33+00:00</t>
  </si>
  <si>
    <t>2018-08-20T21:17:44+00:00</t>
  </si>
  <si>
    <t>Summer Mae Women's Plus-Size Tonal Leaf Swim Dress Two Piece Swimsuit 2XL</t>
  </si>
  <si>
    <t>YZ-HM174164-SY-2XL</t>
  </si>
  <si>
    <t>B01N6LKJIY</t>
  </si>
  <si>
    <t>S01-7732551-6930616</t>
  </si>
  <si>
    <t>19758-K0-5</t>
  </si>
  <si>
    <t>2018-08-15T05:39:38+00:00</t>
  </si>
  <si>
    <t>2018-08-16T04:31:26+00:00</t>
  </si>
  <si>
    <t>Summer Mae Women's Plus Size Halter V-Neck Stripes Swimwear One Piece Swimsuit</t>
  </si>
  <si>
    <t>YZ-ZQ19758-K0-5XL</t>
  </si>
  <si>
    <t>B01N3OVJCL</t>
  </si>
  <si>
    <t>S01-1599629-3608253</t>
  </si>
  <si>
    <t>19758-K0-4</t>
  </si>
  <si>
    <t>2018-08-15T05:38:50+00:00</t>
  </si>
  <si>
    <t>2018-08-18T05:02:21+00:00</t>
  </si>
  <si>
    <t>YZ-ZQ19758-K0-4XL</t>
  </si>
  <si>
    <t>B01N01UI76</t>
  </si>
  <si>
    <t>S01-5578411-2071414</t>
  </si>
  <si>
    <t>19758-K0-M</t>
  </si>
  <si>
    <t>2018-08-15T05:37:51+00:00</t>
  </si>
  <si>
    <t>2018-08-21T01:33:11+00:00</t>
  </si>
  <si>
    <t>YZ-ZQ19758-K0-M</t>
  </si>
  <si>
    <t>B01MTJWG2A</t>
  </si>
  <si>
    <t>S01-1990868-8255413</t>
  </si>
  <si>
    <t>19758-K0-X</t>
  </si>
  <si>
    <t>2018-08-15T05:37:06+00:00</t>
  </si>
  <si>
    <t>2018-08-23T02:03:12+00:00</t>
  </si>
  <si>
    <t>YZ-ZQ19758-K0-XL</t>
  </si>
  <si>
    <t>B01MQFD56D</t>
  </si>
  <si>
    <t>S01-7657195-8017855</t>
  </si>
  <si>
    <t>19758-K0-2</t>
  </si>
  <si>
    <t>2018-08-15T05:36:23+00:00</t>
  </si>
  <si>
    <t>2018-08-18T01:33:49+00:00</t>
  </si>
  <si>
    <t>YZ-ZQ19758-K0-2XL</t>
  </si>
  <si>
    <t>B01N3S4VXV</t>
  </si>
  <si>
    <t>S01-3584330-3381838</t>
  </si>
  <si>
    <t>19758-K0-L</t>
  </si>
  <si>
    <t>2018-08-15T05:35:35+00:00</t>
  </si>
  <si>
    <t>2018-08-21T01:17:32+00:00</t>
  </si>
  <si>
    <t>YZ-ZQ19758-K0-L</t>
  </si>
  <si>
    <t>B01N0A39UA</t>
  </si>
  <si>
    <t>S01-4541738-7932233</t>
  </si>
  <si>
    <t>7777R012</t>
  </si>
  <si>
    <t>2018-08-15T05:34:46+00:00</t>
  </si>
  <si>
    <t>2018-08-21T01:43:48+00:00</t>
  </si>
  <si>
    <t>Summer Mae Women's Plus Size Swimdress One Piece Cover Up Swimsuit Tankini Beachwear</t>
  </si>
  <si>
    <t>YZ-ZQ7777R012</t>
  </si>
  <si>
    <t>B01N2BADBU</t>
  </si>
  <si>
    <t>S01-5298597-2336206</t>
  </si>
  <si>
    <t>7777R018</t>
  </si>
  <si>
    <t>2018-08-15T05:33:52+00:00</t>
  </si>
  <si>
    <t>2018-08-17T04:43:37+00:00</t>
  </si>
  <si>
    <t>YZ-ZQ7777R018</t>
  </si>
  <si>
    <t>B01MYH3XG5</t>
  </si>
  <si>
    <t>S01-3305157-4099469</t>
  </si>
  <si>
    <t>7777B018</t>
  </si>
  <si>
    <t>2018-08-15T05:32:56+00:00</t>
  </si>
  <si>
    <t>2018-08-16T08:35:26+00:00</t>
  </si>
  <si>
    <t>YZ-ZQ7777B018</t>
  </si>
  <si>
    <t>B01MV36PGF</t>
  </si>
  <si>
    <t>S01-3284563-6555458</t>
  </si>
  <si>
    <t>ZQ6667ZL46</t>
  </si>
  <si>
    <t>2018-08-15T04:01:34+00:00</t>
  </si>
  <si>
    <t>2018-08-25T23:59:10+00:00</t>
  </si>
  <si>
    <t>Summer Mae Women's Plus Size Swimdress One Piece Cover Up Swimsuit Tankini Beachwear 46 Navyblue</t>
  </si>
  <si>
    <t>YZ-ZQ6667ZL46</t>
  </si>
  <si>
    <t>B01GFMMG80</t>
  </si>
  <si>
    <t>S01-3312915-6305001</t>
  </si>
  <si>
    <t>WA1-K0-M</t>
  </si>
  <si>
    <t>2018-08-15T04:00:55+00:00</t>
  </si>
  <si>
    <t>2018-08-20T19:09:18+00:00</t>
  </si>
  <si>
    <t>Summer Mae Women's Plus Size Black Striped Two Piece Tankini Push up Top &amp; Bottom</t>
  </si>
  <si>
    <t>YZ-ZQTWA1-K0-M</t>
  </si>
  <si>
    <t>B072F2P9BN</t>
  </si>
  <si>
    <t>S01-7151988-1335425</t>
  </si>
  <si>
    <t>WA1-K0-S</t>
  </si>
  <si>
    <t>2018-08-15T04:00:13+00:00</t>
  </si>
  <si>
    <t>2018-08-21T03:18:10+00:00</t>
  </si>
  <si>
    <t>YZ-ZQTWA1-K0-S</t>
  </si>
  <si>
    <t>B0722NGPT8</t>
  </si>
  <si>
    <t>S01-9485197-2701868</t>
  </si>
  <si>
    <t>TWA1-K0-4X</t>
  </si>
  <si>
    <t>2018-08-15T03:59:07+00:00</t>
  </si>
  <si>
    <t>2018-08-18T07:19:22+00:00</t>
  </si>
  <si>
    <t>YZ-ZQTWA1-K0-4X</t>
  </si>
  <si>
    <t>B0711BYGBJ</t>
  </si>
  <si>
    <t>S01-2708393-2369807</t>
  </si>
  <si>
    <t>8867-B0-M</t>
  </si>
  <si>
    <t>2018-08-15T03:58:28+00:00</t>
  </si>
  <si>
    <t>2018-08-21T15:22:21+00:00</t>
  </si>
  <si>
    <t>Summer Mae Women's Blue Flare Print One Piece Swimsuit Ruffle Swimwear</t>
  </si>
  <si>
    <t>YZ-ZQ8867-B0-M</t>
  </si>
  <si>
    <t>B01MDUUIF8</t>
  </si>
  <si>
    <t>S01-0519967-8451402</t>
  </si>
  <si>
    <t>8867-B0-L</t>
  </si>
  <si>
    <t>2018-08-15T03:57:43+00:00</t>
  </si>
  <si>
    <t>2018-08-22T18:53:10+00:00</t>
  </si>
  <si>
    <t>YZ-ZQ8867-B0-L</t>
  </si>
  <si>
    <t>B01MG8TRFZ</t>
  </si>
  <si>
    <t>S01-0905300-6656263</t>
  </si>
  <si>
    <t>912-K0-S</t>
  </si>
  <si>
    <t>2018-08-15T03:56:53+00:00</t>
  </si>
  <si>
    <t>2018-08-16T10:42:36+00:00</t>
  </si>
  <si>
    <t>Summer Bay Women's Solid Color Off Shoulder Ruffle One Piece Swimsuit High Cut Chic Bikini</t>
  </si>
  <si>
    <t>YZ-CL912-K0-S</t>
  </si>
  <si>
    <t>B072R3C18F</t>
  </si>
  <si>
    <t>S01-3487557-3670620</t>
  </si>
  <si>
    <t>912-W0-M</t>
  </si>
  <si>
    <t>2018-08-15T03:56:12+00:00</t>
  </si>
  <si>
    <t>2018-08-20T23:43:59+00:00</t>
  </si>
  <si>
    <t>YZ-CL912-W0-M</t>
  </si>
  <si>
    <t>B072R1HHMD</t>
  </si>
  <si>
    <t>S01-5482678-8596236</t>
  </si>
  <si>
    <t>912-FB-XL</t>
  </si>
  <si>
    <t>2018-08-15T03:55:31+00:00</t>
  </si>
  <si>
    <t>2018-08-22T14:51:39+00:00</t>
  </si>
  <si>
    <t>YZ-CL912-FB-XL</t>
  </si>
  <si>
    <t>B071X8ZZVZ</t>
  </si>
  <si>
    <t>S01-0062898-3801069</t>
  </si>
  <si>
    <t>912-BS-M</t>
  </si>
  <si>
    <t>2018-08-15T03:54:45+00:00</t>
  </si>
  <si>
    <t>2018-08-19T23:10:18+00:00</t>
  </si>
  <si>
    <t>Summer Mae Women's Printed Long Sleeve UV Protection Rash Guard Swimwear Beachwear...</t>
  </si>
  <si>
    <t>YZ-CL912-BS-M</t>
  </si>
  <si>
    <t>B071X91XB2</t>
  </si>
  <si>
    <t>S01-2863878-1849849</t>
  </si>
  <si>
    <t>912-BS-L</t>
  </si>
  <si>
    <t>2018-08-15T03:53:25+00:00</t>
  </si>
  <si>
    <t>2018-08-23T06:45:59+00:00</t>
  </si>
  <si>
    <t>YZ-CL912-BS-L</t>
  </si>
  <si>
    <t>B072R2LJVG</t>
  </si>
  <si>
    <t>S01-7237426-0277808</t>
  </si>
  <si>
    <t>1519-K0-5X</t>
  </si>
  <si>
    <t>2018-08-15T03:52:22+00:00</t>
  </si>
  <si>
    <t>2018-08-23T03:00:59+00:00</t>
  </si>
  <si>
    <t>Summer Mae Women's Plus Size Striped Two Piece Black Bowknot Tankini Tank Top &amp; Bottom</t>
  </si>
  <si>
    <t>YZ-ZQ1519-K0-5X</t>
  </si>
  <si>
    <t>B071GQZJ9X</t>
  </si>
  <si>
    <t>S01-0836049-7903430</t>
  </si>
  <si>
    <t>1519-K0-4X</t>
  </si>
  <si>
    <t>2018-08-15T03:51:37+00:00</t>
  </si>
  <si>
    <t>2018-08-17T06:51:22+00:00</t>
  </si>
  <si>
    <t>YZ-ZQ1519-K0-4X</t>
  </si>
  <si>
    <t>B072N5C21N</t>
  </si>
  <si>
    <t>S01-2246058-4397846</t>
  </si>
  <si>
    <t>1519-K0-M</t>
  </si>
  <si>
    <t>2018-08-15T03:49:57+00:00</t>
  </si>
  <si>
    <t>2018-08-19T22:12:55+00:00</t>
  </si>
  <si>
    <t>YZ-ZQ1519-K0-M</t>
  </si>
  <si>
    <t>B0721Q4VHJ</t>
  </si>
  <si>
    <t>S01-3250761-7593823</t>
  </si>
  <si>
    <t>1519-K0-S</t>
  </si>
  <si>
    <t>2018-08-15T03:49:05+00:00</t>
  </si>
  <si>
    <t>2018-08-18T06:34:35+00:00</t>
  </si>
  <si>
    <t>YZ-ZQ1519-K0-S</t>
  </si>
  <si>
    <t>B072R2D57G</t>
  </si>
  <si>
    <t>S01-9695995-4079423</t>
  </si>
  <si>
    <t>26-R0-4XL</t>
  </si>
  <si>
    <t>2018-08-15T03:48:06+00:00</t>
  </si>
  <si>
    <t>2018-08-19T22:32:59+00:00</t>
  </si>
  <si>
    <t>YZ-JY2526-R0-4XL</t>
  </si>
  <si>
    <t>B01N1ZLVZB</t>
  </si>
  <si>
    <t>S01-2255732-4706650</t>
  </si>
  <si>
    <t>26-R0-2XL</t>
  </si>
  <si>
    <t>2018-08-15T03:46:46+00:00</t>
  </si>
  <si>
    <t>2018-08-23T02:22:53+00:00</t>
  </si>
  <si>
    <t>S01-3097592-3498640</t>
  </si>
  <si>
    <t>26-R0-3XL</t>
  </si>
  <si>
    <t>2018-08-15T03:45:20+00:00</t>
  </si>
  <si>
    <t>2018-08-21T06:47:26+00:00</t>
  </si>
  <si>
    <t>YZ-JY2526-R0-3XL</t>
  </si>
  <si>
    <t>B01MT6CBRR</t>
  </si>
  <si>
    <t>S01-1148652-6389829</t>
  </si>
  <si>
    <t>7889-R0-1X</t>
  </si>
  <si>
    <t>2018-08-15T03:44:09+00:00</t>
  </si>
  <si>
    <t>2018-08-19T22:38:30+00:00</t>
  </si>
  <si>
    <t>Summer Bay Women's Plus Size Swim Mesh High Neck One Piece Swimsuit</t>
  </si>
  <si>
    <t>YZ-HM7889-R0-1X</t>
  </si>
  <si>
    <t>B071VSGVFX</t>
  </si>
  <si>
    <t>S01-5495269-6762648</t>
  </si>
  <si>
    <t>7889-R0-5X</t>
  </si>
  <si>
    <t>2018-08-15T03:41:41+00:00</t>
  </si>
  <si>
    <t>2018-08-21T09:56:34+00:00</t>
  </si>
  <si>
    <t>YZ-HM7889-R0-5X</t>
  </si>
  <si>
    <t>B071S6ZVDW</t>
  </si>
  <si>
    <t>S01-1432577-0935451</t>
  </si>
  <si>
    <t>7889-B0-1X</t>
  </si>
  <si>
    <t>2018-08-15T03:40:19+00:00</t>
  </si>
  <si>
    <t>2018-08-23T02:12:14+00:00</t>
  </si>
  <si>
    <t>YZ-HM7889-B0-1X</t>
  </si>
  <si>
    <t>B071LG1GCV</t>
  </si>
  <si>
    <t>S01-8187326-6594638</t>
  </si>
  <si>
    <t>7889-B0-2X</t>
  </si>
  <si>
    <t>2018-08-15T03:39:31+00:00</t>
  </si>
  <si>
    <t>2018-08-21T02:10:47+00:00</t>
  </si>
  <si>
    <t>YZ-HM7889-B0-2X</t>
  </si>
  <si>
    <t>B0723428Q9</t>
  </si>
  <si>
    <t>S01-6719393-0616242</t>
  </si>
  <si>
    <t>241-DS-M</t>
  </si>
  <si>
    <t>2018-08-15T03:38:30+00:00</t>
  </si>
  <si>
    <t>2018-08-22T02:24:29+00:00</t>
  </si>
  <si>
    <t>Summer Mae Women's Halter Neck Wrap One Piece Padded Tankini Swimsuit Monokini Swimwear Grey M</t>
  </si>
  <si>
    <t>YZ-HM241-DS-M</t>
  </si>
  <si>
    <t>B01HZ2XQSI</t>
  </si>
  <si>
    <t>S01-9905291-9155409</t>
  </si>
  <si>
    <t>241-G0-2XL</t>
  </si>
  <si>
    <t>2018-08-15T03:37:45+00:00</t>
  </si>
  <si>
    <t>2018-08-17T18:06:53+00:00</t>
  </si>
  <si>
    <t>Summer Mae Women's Halter Neck Wrap One Piece Padded Tankini Swimsuit Monokini Swimwear</t>
  </si>
  <si>
    <t>YZ-HM241-G0-2XL</t>
  </si>
  <si>
    <t>B01MF9PTOL</t>
  </si>
  <si>
    <t>S01-0404615-6990617</t>
  </si>
  <si>
    <t>HM241-G0-L</t>
  </si>
  <si>
    <t>2018-08-15T03:36:31+00:00</t>
  </si>
  <si>
    <t>2018-08-23T01:59:50+00:00</t>
  </si>
  <si>
    <t>Summer Mae Womens Halter Neck Wrap One Piece Padded Tankini Swimsuit Monokini Swimwear,Arm Green(halter),L(US size:6-8)</t>
  </si>
  <si>
    <t>YZ-HM241-G0-L</t>
  </si>
  <si>
    <t>B01MCW20WY</t>
  </si>
  <si>
    <t>S01-0014131-8441803</t>
  </si>
  <si>
    <t>HM241-G0-S</t>
  </si>
  <si>
    <t>2018-08-15T03:35:38+00:00</t>
  </si>
  <si>
    <t>2018-08-23T01:52:00+00:00</t>
  </si>
  <si>
    <t>YZ-HM241-G0-S</t>
  </si>
  <si>
    <t>B01MF97PBG</t>
  </si>
  <si>
    <t>S01-3140244-2997861</t>
  </si>
  <si>
    <t>HM241-R0-M</t>
  </si>
  <si>
    <t>2018-08-15T03:34:49+00:00</t>
  </si>
  <si>
    <t>2018-08-22T18:16:25+00:00</t>
  </si>
  <si>
    <t>YZ-HM241-R0-M</t>
  </si>
  <si>
    <t>B01MAZ1FP5</t>
  </si>
  <si>
    <t>S01-7296048-8817846</t>
  </si>
  <si>
    <t>HM241-R0-S</t>
  </si>
  <si>
    <t>2018-08-15T03:33:57+00:00</t>
  </si>
  <si>
    <t>2018-08-22T18:06:49+00:00</t>
  </si>
  <si>
    <t>YZ-HM241-R0-S</t>
  </si>
  <si>
    <t>B01MFA53BD</t>
  </si>
  <si>
    <t>S01-1600994-2795433</t>
  </si>
  <si>
    <t>241-R0-XL</t>
  </si>
  <si>
    <t>2018-08-15T03:33:01+00:00</t>
  </si>
  <si>
    <t>2018-08-23T01:41:51+00:00</t>
  </si>
  <si>
    <t>YZ-HM241-R0-XL</t>
  </si>
  <si>
    <t>B01MFA54OG</t>
  </si>
  <si>
    <t>S01-4069234-1722602</t>
  </si>
  <si>
    <t>HM241-SH-L</t>
  </si>
  <si>
    <t>2018-08-15T03:32:08+00:00</t>
  </si>
  <si>
    <t>2018-08-21T06:07:13+00:00</t>
  </si>
  <si>
    <t>YZ-HM241-SH-L</t>
  </si>
  <si>
    <t>B01IMU4KQE</t>
  </si>
  <si>
    <t>S01-6379020-0088237</t>
  </si>
  <si>
    <t>ZQ6189B046</t>
  </si>
  <si>
    <t>2018-08-15T03:31:10+00:00</t>
  </si>
  <si>
    <t>2018-08-21T05:57:06+00:00</t>
  </si>
  <si>
    <t>Summer Mae Women's Plus Size Retro Floral Two Pieces Tankini Top &amp; Bottom Swimsuit 46 Blue</t>
  </si>
  <si>
    <t>YZ-ZQ6189B046</t>
  </si>
  <si>
    <t>B01H6DXCB2</t>
  </si>
  <si>
    <t>S01-1636471-1995427</t>
  </si>
  <si>
    <t>ZQ6189B048</t>
  </si>
  <si>
    <t>2018-08-15T03:29:02+00:00</t>
  </si>
  <si>
    <t>2018-08-18T01:38:40+00:00</t>
  </si>
  <si>
    <t>Summer Mae Women's Plus Size Retro Floral Two Pieces Tankini Top &amp; Bottom Swimsuit 48 Blue</t>
  </si>
  <si>
    <t>YZ-ZQ6189B048</t>
  </si>
  <si>
    <t>B01H6DXCVW</t>
  </si>
  <si>
    <t>S01-1908693-9900200</t>
  </si>
  <si>
    <t>ZQ6189B050</t>
  </si>
  <si>
    <t>2018-08-15T03:28:18+00:00</t>
  </si>
  <si>
    <t>2018-08-15T20:38:11+00:00</t>
  </si>
  <si>
    <t>Summer Mae Women's Plus Size Retro Floral Two Pieces Tankini Top &amp; Bottom Swimsuit 50 Blue</t>
  </si>
  <si>
    <t>YZ-ZQ6189B050</t>
  </si>
  <si>
    <t>B01H6DXDHA</t>
  </si>
  <si>
    <t>S01-5270768-8703459</t>
  </si>
  <si>
    <t>015-OR-XL</t>
  </si>
  <si>
    <t>2018-08-15T03:26:11+00:00</t>
  </si>
  <si>
    <t>2018-08-16T21:22:44+00:00</t>
  </si>
  <si>
    <t>YZ-HMBKN17015-OR-XL</t>
  </si>
  <si>
    <t>B072HN8VX9</t>
  </si>
  <si>
    <t>S01-0104526-9918633</t>
  </si>
  <si>
    <t>ZQ6189B052</t>
  </si>
  <si>
    <t>2018-08-15T03:24:34+00:00</t>
  </si>
  <si>
    <t>2018-08-21T02:21:07+00:00</t>
  </si>
  <si>
    <t>Summer Mae Women's Plus Size Retro Floral Two Pieces Tankini Top &amp; Bottom Swimsuit 52 Blue</t>
  </si>
  <si>
    <t>YZ-ZQ6189B052</t>
  </si>
  <si>
    <t>B01H6DXE1U</t>
  </si>
  <si>
    <t>S01-6870095-4330604</t>
  </si>
  <si>
    <t>ZQ6189B054</t>
  </si>
  <si>
    <t>2018-08-15T03:23:43+00:00</t>
  </si>
  <si>
    <t>2018-08-22T17:50:27+00:00</t>
  </si>
  <si>
    <t>Summer Mae Women's Plus Size Retro Floral Two Pieces Tankini Top &amp; Bottom Swimsuit 54 Blue</t>
  </si>
  <si>
    <t>YZ-ZQ6189B054</t>
  </si>
  <si>
    <t>B01H6DX8YI</t>
  </si>
  <si>
    <t>S01-9925143-3504226</t>
  </si>
  <si>
    <t>ZQ6189G046</t>
  </si>
  <si>
    <t>2018-08-15T03:22:47+00:00</t>
  </si>
  <si>
    <t>2018-08-18T05:12:42+00:00</t>
  </si>
  <si>
    <t>Summer Mae Women's Plus Size Retro Floral Two Pieces Tankini Top &amp; Bottom Swimsuit 46 Green</t>
  </si>
  <si>
    <t>YZ-ZQ6189G046</t>
  </si>
  <si>
    <t>B01H6E6ZPG</t>
  </si>
  <si>
    <t>S01-1501771-2625003</t>
  </si>
  <si>
    <t>ZQ6189G048</t>
  </si>
  <si>
    <t>2018-08-15T03:21:51+00:00</t>
  </si>
  <si>
    <t>2018-08-20T01:37:33+00:00</t>
  </si>
  <si>
    <t>Summer Mae Women's Plus Size Retro Floral Two Pieces Tankini Top &amp; Bottom Swimsuit 48 Green</t>
  </si>
  <si>
    <t>YZ-ZQ6189G048</t>
  </si>
  <si>
    <t>B01H6DXCGM</t>
  </si>
  <si>
    <t>S01-0575856-2158660</t>
  </si>
  <si>
    <t>ZQ6189G050</t>
  </si>
  <si>
    <t>2018-08-15T03:21:06+00:00</t>
  </si>
  <si>
    <t>2018-08-23T01:58:27+00:00</t>
  </si>
  <si>
    <t>Summer Mae Women's Plus Size Retro Floral Two Pieces Tankini Top &amp; Bottom Swimsuit 50 Green</t>
  </si>
  <si>
    <t>YZ-ZQ6189G050</t>
  </si>
  <si>
    <t>B01H6DXCYE</t>
  </si>
  <si>
    <t>S01-7810991-8904250</t>
  </si>
  <si>
    <t>ZQ6189G052</t>
  </si>
  <si>
    <t>2018-08-15T03:16:42+00:00</t>
  </si>
  <si>
    <t>2018-08-18T09:28:02+00:00</t>
  </si>
  <si>
    <t>Summer Mae Women's Plus Size Retro Floral Two Pieces Tankini Top &amp; Bottom Swimsuit 52 Green</t>
  </si>
  <si>
    <t>YZ-ZQ6189G052</t>
  </si>
  <si>
    <t>B01H6DXDIO</t>
  </si>
  <si>
    <t>S01-0700206-9572239</t>
  </si>
  <si>
    <t>ZQ6189P050</t>
  </si>
  <si>
    <t>2018-08-15T03:15:53+00:00</t>
  </si>
  <si>
    <t>2018-08-23T01:27:23+00:00</t>
  </si>
  <si>
    <t>Summer Mae Women's Plus Size Retro Floral Two Pieces Tankini Top &amp; Bottom Swimsuit 50 Purple</t>
  </si>
  <si>
    <t>YZ-ZQ6189P050</t>
  </si>
  <si>
    <t>B01H6DXAP0</t>
  </si>
  <si>
    <t>S01-8553296-4864229</t>
  </si>
  <si>
    <t>7015-K0-XL</t>
  </si>
  <si>
    <t>2018-08-15T03:14:16+00:00</t>
  </si>
  <si>
    <t>2018-08-17T00:19:30+00:00</t>
  </si>
  <si>
    <t>S01-4172307-0751446</t>
  </si>
  <si>
    <t>7015-OR-L</t>
  </si>
  <si>
    <t>2018-08-15T03:11:10+00:00</t>
  </si>
  <si>
    <t>2018-08-21T01:24:58+00:00</t>
  </si>
  <si>
    <t>S01-2320259-7520209</t>
  </si>
  <si>
    <t>7015-OR-XL</t>
  </si>
  <si>
    <t>2018-08-15T03:08:03+00:00</t>
  </si>
  <si>
    <t>2018-08-15T03:12:34+00:00</t>
  </si>
  <si>
    <t>S01-1621503-3213028</t>
  </si>
  <si>
    <t>30-B0YH-M</t>
  </si>
  <si>
    <t>2018-08-15T03:06:52+00:00</t>
  </si>
  <si>
    <t>2018-08-18T08:27:30+00:00</t>
  </si>
  <si>
    <t>Women's Front Cross Printing Bottom Halter Bikini Set</t>
  </si>
  <si>
    <t>YZ-HMBKN30-B0YH-M</t>
  </si>
  <si>
    <t>B06XSQCDV5</t>
  </si>
  <si>
    <t>S01-0905206-3329816</t>
  </si>
  <si>
    <t>30-B0YH-S</t>
  </si>
  <si>
    <t>2018-08-15T03:05:47+00:00</t>
  </si>
  <si>
    <t>2018-08-23T05:01:26+00:00</t>
  </si>
  <si>
    <t>YZ-HMBKN30-B0YH-S</t>
  </si>
  <si>
    <t>B06XSNCK1P</t>
  </si>
  <si>
    <t>S01-0197280-9013859</t>
  </si>
  <si>
    <t>30-B0YH-XL</t>
  </si>
  <si>
    <t>2018-08-15T03:04:57+00:00</t>
  </si>
  <si>
    <t>2018-08-23T04:48:13+00:00</t>
  </si>
  <si>
    <t>Women's Front Cross Printing Bottom Halter Bikini Set Color: Blue With Floral Bottom Size:XL</t>
  </si>
  <si>
    <t>YZ-HMBKN30-B0YH-XL</t>
  </si>
  <si>
    <t>B06XSNJZ8L</t>
  </si>
  <si>
    <t>S01-4037723-9712250</t>
  </si>
  <si>
    <t>30-K0-M</t>
  </si>
  <si>
    <t>2018-08-15T03:03:29+00:00</t>
  </si>
  <si>
    <t>2018-08-23T04:44:14+00:00</t>
  </si>
  <si>
    <t>YZ-HMBKN30-K0-M</t>
  </si>
  <si>
    <t>B06XSHBCWZ</t>
  </si>
  <si>
    <t>S01-1022310-1737850</t>
  </si>
  <si>
    <t>30-K0-S</t>
  </si>
  <si>
    <t>2018-08-15T03:02:40+00:00</t>
  </si>
  <si>
    <t>2018-08-21T04:44:11+00:00</t>
  </si>
  <si>
    <t>YZ-HMBKN30-K0-S</t>
  </si>
  <si>
    <t>B06XSWRDZX</t>
  </si>
  <si>
    <t>S01-2876352-9449847</t>
  </si>
  <si>
    <t>30-K0YH-L</t>
  </si>
  <si>
    <t>2018-08-15T03:01:47+00:00</t>
  </si>
  <si>
    <t>2018-08-16T19:55:48+00:00</t>
  </si>
  <si>
    <t>YZ-HMBKN30-K0YH-L</t>
  </si>
  <si>
    <t>B06XSZDHF6</t>
  </si>
  <si>
    <t>S01-5283557-6298652</t>
  </si>
  <si>
    <t>30-K0YH-M</t>
  </si>
  <si>
    <t>2018-08-15T03:00:53+00:00</t>
  </si>
  <si>
    <t>2018-08-23T00:58:40+00:00</t>
  </si>
  <si>
    <t>YZ-HMBKN30-K0YH-M</t>
  </si>
  <si>
    <t>B06XSZCYJ3</t>
  </si>
  <si>
    <t>S01-8809856-1635464</t>
  </si>
  <si>
    <t>30-K0YH-S</t>
  </si>
  <si>
    <t>2018-08-15T02:59:57+00:00</t>
  </si>
  <si>
    <t>2018-08-20T00:12:13+00:00</t>
  </si>
  <si>
    <t>YZ-HMBKN30-K0YH-S</t>
  </si>
  <si>
    <t>B06XSYXTSJ</t>
  </si>
  <si>
    <t>S01-2757939-6102645</t>
  </si>
  <si>
    <t>30-K0YH-XL</t>
  </si>
  <si>
    <t>2018-08-15T02:59:04+00:00</t>
  </si>
  <si>
    <t>2018-08-23T05:05:12+00:00</t>
  </si>
  <si>
    <t>YZ-HMBKN30-K0YH-XL</t>
  </si>
  <si>
    <t>B06XSWPWK4</t>
  </si>
  <si>
    <t>S01-2956134-3873843</t>
  </si>
  <si>
    <t>BKN30-PI-L</t>
  </si>
  <si>
    <t>2018-08-15T02:57:07+00:00</t>
  </si>
  <si>
    <t>2018-08-23T00:14:43+00:00</t>
  </si>
  <si>
    <t>YZ-HMBKN30-PI-L</t>
  </si>
  <si>
    <t>B06XSZDDYQ</t>
  </si>
  <si>
    <t>S01-2025454-2698661</t>
  </si>
  <si>
    <t>BKN30-PI-M</t>
  </si>
  <si>
    <t>2018-08-15T02:56:12+00:00</t>
  </si>
  <si>
    <t>2018-08-18T08:10:56+00:00</t>
  </si>
  <si>
    <t>YZ-HMBKN30-PI-M</t>
  </si>
  <si>
    <t>B06XSWRDZY</t>
  </si>
  <si>
    <t>S01-7290427-0369811</t>
  </si>
  <si>
    <t>BKN30-PI-S</t>
  </si>
  <si>
    <t>2018-08-15T02:55:18+00:00</t>
  </si>
  <si>
    <t>2018-08-18T21:00:01+00:00</t>
  </si>
  <si>
    <t>YZ-HMBKN30-PI-S</t>
  </si>
  <si>
    <t>B06XSFJG3Z</t>
  </si>
  <si>
    <t>S01-5596027-6324240</t>
  </si>
  <si>
    <t>BKN30-PI-X</t>
  </si>
  <si>
    <t>2018-08-15T02:54:26+00:00</t>
  </si>
  <si>
    <t>2018-08-23T00:13:50+00:00</t>
  </si>
  <si>
    <t>YZ-HMBKN30-PI-XL</t>
  </si>
  <si>
    <t>B06XSSMMLJ</t>
  </si>
  <si>
    <t>S01-9470026-5002601</t>
  </si>
  <si>
    <t>BKN30-WR-L</t>
  </si>
  <si>
    <t>2018-08-15T02:53:29+00:00</t>
  </si>
  <si>
    <t>2018-08-21T04:16:38+00:00</t>
  </si>
  <si>
    <t>YZ-HMBKN30-WR-L</t>
  </si>
  <si>
    <t>B06XSNGL26</t>
  </si>
  <si>
    <t>S01-2311372-9315452</t>
  </si>
  <si>
    <t>BKN30-WR-X</t>
  </si>
  <si>
    <t>2018-08-15T02:52:37+00:00</t>
  </si>
  <si>
    <t>2018-08-23T04:02:24+00:00</t>
  </si>
  <si>
    <t>YZ-HMBKN30-WR-XL</t>
  </si>
  <si>
    <t>B06XSSG9RZ</t>
  </si>
  <si>
    <t>S01-7588240-8535411</t>
  </si>
  <si>
    <t>BKN30-ZL-L</t>
  </si>
  <si>
    <t>2018-08-15T02:50:33+00:00</t>
  </si>
  <si>
    <t>2018-08-22T16:07:18+00:00</t>
  </si>
  <si>
    <t>YZ-HMBKN30-ZL-L</t>
  </si>
  <si>
    <t>B06XSP3TCT</t>
  </si>
  <si>
    <t>S01-2992769-8009004</t>
  </si>
  <si>
    <t>BKN30-ZL-M</t>
  </si>
  <si>
    <t>2018-08-15T02:48:16+00:00</t>
  </si>
  <si>
    <t>2018-08-20T00:24:02+00:00</t>
  </si>
  <si>
    <t>YZ-HMBKN30-ZL-M</t>
  </si>
  <si>
    <t>B06XSSJB6H</t>
  </si>
  <si>
    <t>S01-9176743-9801065</t>
  </si>
  <si>
    <t>VS-W0-S</t>
  </si>
  <si>
    <t>2018-08-15T01:42:41+00:00</t>
  </si>
  <si>
    <t>2018-08-15T01:43:09+00:00</t>
  </si>
  <si>
    <t>Shipping</t>
  </si>
  <si>
    <t>Summer Bay Women Backless Two Piece Letter VS Printed Bikini Padded Swimwear Set</t>
  </si>
  <si>
    <t>YZ-HMVS-W0-S</t>
  </si>
  <si>
    <t>B06WPBGWT1</t>
  </si>
  <si>
    <t>S01-6604190-3803433</t>
  </si>
  <si>
    <t>1683-B0-48</t>
  </si>
  <si>
    <t>2018-08-15T01:26:20+00:00</t>
  </si>
  <si>
    <t>2018-08-21T04:33:17+00:00</t>
  </si>
  <si>
    <t>Summer Mae Women's One Piece Bathing Suit Slim Tummy Control Swimwear 48 Blue</t>
  </si>
  <si>
    <t>YZ-HM1683-B0-48</t>
  </si>
  <si>
    <t>B01JZ1G5L2</t>
  </si>
  <si>
    <t>S01-6445166-4981034</t>
  </si>
  <si>
    <t>1683-B0-50</t>
  </si>
  <si>
    <t>2018-08-15T01:25:53+00:00</t>
  </si>
  <si>
    <t>2018-08-22T00:17:38+00:00</t>
  </si>
  <si>
    <t>Summer Mae Women's One Piece Bathing Suit Slim Tummy Control Swimwear 50 Blue</t>
  </si>
  <si>
    <t>YZ-HM1683-B0-50</t>
  </si>
  <si>
    <t>B01JZ1G7TC</t>
  </si>
  <si>
    <t>S01-7056523-3805048</t>
  </si>
  <si>
    <t>1683-B0-52</t>
  </si>
  <si>
    <t>2018-08-15T01:24:59+00:00</t>
  </si>
  <si>
    <t>2018-08-21T03:54:43+00:00</t>
  </si>
  <si>
    <t>Summer Mae Women's One Piece Bathing Suit Slim Tummy Control Swimwear 52 Blue</t>
  </si>
  <si>
    <t>YZ-HM1683-B0-52</t>
  </si>
  <si>
    <t>B01JZ1G9CC</t>
  </si>
  <si>
    <t>S01-4325929-4481820</t>
  </si>
  <si>
    <t>83-BDB0-50</t>
  </si>
  <si>
    <t>2018-08-15T01:24:23+00:00</t>
  </si>
  <si>
    <t>2018-08-16T19:20:28+00:00</t>
  </si>
  <si>
    <t>Summer Mae Women's One Piece Bathing Suit Slim Tummy Control Swimwear 50 Dot Blue</t>
  </si>
  <si>
    <t>YZ-HM1683-BDB0-50</t>
  </si>
  <si>
    <t>B01JZ1GO3G</t>
  </si>
  <si>
    <t>S01-4877305-9004202</t>
  </si>
  <si>
    <t>83-BDZL-56</t>
  </si>
  <si>
    <t>2018-08-15T01:23:36+00:00</t>
  </si>
  <si>
    <t>2018-08-18T03:46:29+00:00</t>
  </si>
  <si>
    <t>Summer Mae Women's One Piece Bathing Suit Slim Tummy Control Swimwear 56 Dot ZL</t>
  </si>
  <si>
    <t>YZ-HM1683-BDZL-56</t>
  </si>
  <si>
    <t>B01JZ1H6OW</t>
  </si>
  <si>
    <t>S01-9511251-9309860</t>
  </si>
  <si>
    <t>1683-G0-48</t>
  </si>
  <si>
    <t>2018-08-15T01:22:34+00:00</t>
  </si>
  <si>
    <t>2018-08-17T23:43:18+00:00</t>
  </si>
  <si>
    <t>Summer Mae Women's One Piece Bathing Suit Slim Tummy Control Swimwear 48 Green</t>
  </si>
  <si>
    <t>YZ-HM1683-G0-48</t>
  </si>
  <si>
    <t>B01JZ1FYEQ</t>
  </si>
  <si>
    <t>S01-0241753-4290660</t>
  </si>
  <si>
    <t>1683-G0-56</t>
  </si>
  <si>
    <t>2018-08-15T01:21:30+00:00</t>
  </si>
  <si>
    <t>2018-08-22T04:09:16+00:00</t>
  </si>
  <si>
    <t>Summer Mae Women's One Piece Bathing Suit Slim Tummy Control Swimwear 56 Green</t>
  </si>
  <si>
    <t>YZ-HM1683-G0-56</t>
  </si>
  <si>
    <t>B01JZ1G43G</t>
  </si>
  <si>
    <t>S01-1554991-1292255</t>
  </si>
  <si>
    <t>1683-ZL-48</t>
  </si>
  <si>
    <t>2018-08-15T01:20:57+00:00</t>
  </si>
  <si>
    <t>2018-08-16T23:40:31+00:00</t>
  </si>
  <si>
    <t>Summer Mae Women's One Piece Bathing Suit Slim Tummy Control Swimwear 48 ZL</t>
  </si>
  <si>
    <t>YZ-HM1683-ZL-48</t>
  </si>
  <si>
    <t>B01JZ1GDPK</t>
  </si>
  <si>
    <t>113-6724148-7657006</t>
  </si>
  <si>
    <t>2018-08-15T22:11:56+00:00</t>
  </si>
  <si>
    <t>2018-08-17T09:40:39+00:00</t>
  </si>
  <si>
    <t>NAPLES</t>
  </si>
  <si>
    <t>34109-2687</t>
  </si>
  <si>
    <t>114-1595331-3435412</t>
  </si>
  <si>
    <t>2018-08-15T21:59:33+00:00</t>
  </si>
  <si>
    <t>2018-08-16T04:41:30+00:00</t>
  </si>
  <si>
    <t>NORTH CHESTERFIELD</t>
  </si>
  <si>
    <t>23235-4531</t>
  </si>
  <si>
    <t>113-5483224-2981011</t>
  </si>
  <si>
    <t>2018-08-15T21:37:44+00:00</t>
  </si>
  <si>
    <t>2018-08-17T04:41:32+00:00</t>
  </si>
  <si>
    <t>92508-6096</t>
  </si>
  <si>
    <t>111-0748181-7883411</t>
  </si>
  <si>
    <t>2018-08-15T20:41:10+00:00</t>
  </si>
  <si>
    <t>2018-08-20T09:41:22+00:00</t>
  </si>
  <si>
    <t>SHREWSBURY</t>
  </si>
  <si>
    <t>01545-1717</t>
  </si>
  <si>
    <t>111-3399877-6335464</t>
  </si>
  <si>
    <t>2018-08-15T19:10:15+00:00</t>
  </si>
  <si>
    <t>2018-08-16T08:31:59+00:00</t>
  </si>
  <si>
    <t>LAKE CITY</t>
  </si>
  <si>
    <t>32025-6712</t>
  </si>
  <si>
    <t>113-3021765-0573053</t>
  </si>
  <si>
    <t>2018-08-15T16:55:35+00:00</t>
  </si>
  <si>
    <t>2018-08-17T05:33:57+00:00</t>
  </si>
  <si>
    <t>YZ-HMBKN17015-K0-L</t>
  </si>
  <si>
    <t>B0722PSKP8</t>
  </si>
  <si>
    <t>PAPILLION</t>
  </si>
  <si>
    <t>NE</t>
  </si>
  <si>
    <t>68046-5556</t>
  </si>
  <si>
    <t>112-3053938-3541043</t>
  </si>
  <si>
    <t>2018-08-15T16:39:24+00:00</t>
  </si>
  <si>
    <t>2018-08-16T09:26:10+00:00</t>
  </si>
  <si>
    <t>Littleton</t>
  </si>
  <si>
    <t>111-4010935-5408268</t>
  </si>
  <si>
    <t>2018-08-15T16:34:04+00:00</t>
  </si>
  <si>
    <t>2018-08-15T22:46:11+00:00</t>
  </si>
  <si>
    <t>GRAND BLANC</t>
  </si>
  <si>
    <t>48439-7341</t>
  </si>
  <si>
    <t>114-2411250-1372208</t>
  </si>
  <si>
    <t>2018-08-15T16:33:07+00:00</t>
  </si>
  <si>
    <t>2018-08-16T09:32:37+00:00</t>
  </si>
  <si>
    <t>MOUNT EPHRAIM</t>
  </si>
  <si>
    <t>08059-1606</t>
  </si>
  <si>
    <t>113-8994431-5559432</t>
  </si>
  <si>
    <t>2018-08-15T16:31:52+00:00</t>
  </si>
  <si>
    <t>2018-08-16T14:13:54+00:00</t>
  </si>
  <si>
    <t>PRIOR LAKE</t>
  </si>
  <si>
    <t>55372-1286</t>
  </si>
  <si>
    <t>111-8352289-9432209</t>
  </si>
  <si>
    <t>2018-08-15T15:25:17+00:00</t>
  </si>
  <si>
    <t>2018-08-17T02:22:02+00:00</t>
  </si>
  <si>
    <t>60623-4017</t>
  </si>
  <si>
    <t>112-3143545-4589041</t>
  </si>
  <si>
    <t>2018-08-15T15:19:25+00:00</t>
  </si>
  <si>
    <t>2018-08-16T06:37:48+00:00</t>
  </si>
  <si>
    <t>MANHATTAN</t>
  </si>
  <si>
    <t>KANSAS</t>
  </si>
  <si>
    <t>66502-4419</t>
  </si>
  <si>
    <t>114-8069552-3172257</t>
  </si>
  <si>
    <t>2018-08-15T15:10:34+00:00</t>
  </si>
  <si>
    <t>2018-08-16T21:39:50+00:00</t>
  </si>
  <si>
    <t>MIAMI LAKES</t>
  </si>
  <si>
    <t>33014-6349</t>
  </si>
  <si>
    <t>112-5455804-1625033</t>
  </si>
  <si>
    <t>2018-08-15T14:49:35+00:00</t>
  </si>
  <si>
    <t>2018-08-16T03:04:15+00:00</t>
  </si>
  <si>
    <t>Levittown</t>
  </si>
  <si>
    <t>112-4534543-1137863</t>
  </si>
  <si>
    <t>2018-08-15T14:48:57+00:00</t>
  </si>
  <si>
    <t>2018-08-16T21:41:58+00:00</t>
  </si>
  <si>
    <t>33417-2529</t>
  </si>
  <si>
    <t>111-0687657-8401837</t>
  </si>
  <si>
    <t>2018-08-15T14:40:38+00:00</t>
  </si>
  <si>
    <t>2018-08-17T01:30:17+00:00</t>
  </si>
  <si>
    <t>FORT STEWART</t>
  </si>
  <si>
    <t>31315-1791</t>
  </si>
  <si>
    <t>111-3797144-0341056</t>
  </si>
  <si>
    <t>2018-08-15T14:32:25+00:00</t>
  </si>
  <si>
    <t>2018-08-16T21:42:24+00:00</t>
  </si>
  <si>
    <t>WEST POINT</t>
  </si>
  <si>
    <t>23181-9578</t>
  </si>
  <si>
    <t>113-6356892-6545843</t>
  </si>
  <si>
    <t>2018-08-15T13:48:35+00:00</t>
  </si>
  <si>
    <t>2018-08-15T23:55:13+00:00</t>
  </si>
  <si>
    <t>PLAINS</t>
  </si>
  <si>
    <t>18705-1460</t>
  </si>
  <si>
    <t>113-9578043-7245869</t>
  </si>
  <si>
    <t>2018-08-15T13:39:28+00:00</t>
  </si>
  <si>
    <t>2018-08-16T07:23:28+00:00</t>
  </si>
  <si>
    <t>Toano</t>
  </si>
  <si>
    <t>114-7893388-1892206</t>
  </si>
  <si>
    <t>2018-08-15T13:05:43+00:00</t>
  </si>
  <si>
    <t>2018-08-16T04:30:07+00:00</t>
  </si>
  <si>
    <t>YZ-ZQ1521RM5XL</t>
  </si>
  <si>
    <t>B01GJPCOC6</t>
  </si>
  <si>
    <t>HUBBARD</t>
  </si>
  <si>
    <t>114-6244964-0701018</t>
  </si>
  <si>
    <t>2018-08-15T12:48:04+00:00</t>
  </si>
  <si>
    <t>2018-08-15T23:05:28+00:00</t>
  </si>
  <si>
    <t>10030-2712</t>
  </si>
  <si>
    <t>113-8240392-6621837</t>
  </si>
  <si>
    <t>2018-08-15T06:01:03+00:00</t>
  </si>
  <si>
    <t>2018-08-16T04:38:25+00:00</t>
  </si>
  <si>
    <t>ASPEN</t>
  </si>
  <si>
    <t>81611-1833</t>
  </si>
  <si>
    <t>112-7033368-9319401</t>
  </si>
  <si>
    <t>2018-08-15T05:51:21+00:00</t>
  </si>
  <si>
    <t>2018-08-16T07:35:43+00:00</t>
  </si>
  <si>
    <t>THE WOODLANDS</t>
  </si>
  <si>
    <t>77382-2838</t>
  </si>
  <si>
    <t>113-2320913-7972208</t>
  </si>
  <si>
    <t>2018-08-15T05:17:55+00:00</t>
  </si>
  <si>
    <t>2018-08-16T06:44:29+00:00</t>
  </si>
  <si>
    <t>114-7294249-3523422</t>
  </si>
  <si>
    <t>2018-08-15T04:48:47+00:00</t>
  </si>
  <si>
    <t>2018-08-16T08:33:47+00:00</t>
  </si>
  <si>
    <t>SPRING</t>
  </si>
  <si>
    <t>77386-4308</t>
  </si>
  <si>
    <t>112-3903026-3712230</t>
  </si>
  <si>
    <t>2018-08-15T04:47:09+00:00</t>
  </si>
  <si>
    <t>2018-08-15T20:12:30+00:00</t>
  </si>
  <si>
    <t>Summer Mae Plus Size Floral Printed Blouson Plus Size Swimwear Tankini US 14-16</t>
  </si>
  <si>
    <t>YZ-ZQSG16121E03XL</t>
  </si>
  <si>
    <t>B01J7RL2DA</t>
  </si>
  <si>
    <t>114-8740369-4005004</t>
  </si>
  <si>
    <t>2018-08-15T04:32:46+00:00</t>
  </si>
  <si>
    <t>2018-08-17T08:51:08+00:00</t>
  </si>
  <si>
    <t>HENDERSON</t>
  </si>
  <si>
    <t>89002-9733</t>
  </si>
  <si>
    <t>111-4694174-2564208</t>
  </si>
  <si>
    <t>2018-08-15T03:41:31+00:00</t>
  </si>
  <si>
    <t>2018-08-15T21:39:53+00:00</t>
  </si>
  <si>
    <t>NEW ORLEANS</t>
  </si>
  <si>
    <t>70124-2032</t>
  </si>
  <si>
    <t>114-2706891-1761016</t>
  </si>
  <si>
    <t>2018-08-15T03:04:13+00:00</t>
  </si>
  <si>
    <t>2018-08-15T21:45:52+00:00</t>
  </si>
  <si>
    <t>EAST WENATCHEE</t>
  </si>
  <si>
    <t>98802-4091</t>
  </si>
  <si>
    <t>113-1493158-0382626</t>
  </si>
  <si>
    <t>2018-08-15T02:42:16+00:00</t>
  </si>
  <si>
    <t>2018-08-15T09:33:57+00:00</t>
  </si>
  <si>
    <t>10005-3013</t>
  </si>
  <si>
    <t>111-6438851-6336244</t>
  </si>
  <si>
    <t>2018-08-15T01:14:17+00:00</t>
  </si>
  <si>
    <t>2018-08-15T19:55:57+00:00</t>
  </si>
  <si>
    <t>NEW CARROLLTON</t>
  </si>
  <si>
    <t>20784-3814</t>
  </si>
  <si>
    <t>111-5461821-9618612</t>
  </si>
  <si>
    <t>2018-08-15T00:39:13+00:00</t>
  </si>
  <si>
    <t>2018-08-15T06:44:16+00:00</t>
  </si>
  <si>
    <t>AGAWAM</t>
  </si>
  <si>
    <t>01001-2719</t>
  </si>
  <si>
    <t>111-0202536-4133030</t>
  </si>
  <si>
    <t>2018-08-16T23:34:31+00:00</t>
  </si>
  <si>
    <t>2018-08-17T09:20:08+00:00</t>
  </si>
  <si>
    <t>DAVENPORT</t>
  </si>
  <si>
    <t>52801-1755</t>
  </si>
  <si>
    <t>112-1314356-8845034</t>
  </si>
  <si>
    <t>2018-08-16T23:02:55+00:00</t>
  </si>
  <si>
    <t>2018-08-22T10:26:58+00:00</t>
  </si>
  <si>
    <t>60642-3924</t>
  </si>
  <si>
    <t>114-4125271-0877823</t>
  </si>
  <si>
    <t>2018-08-16T22:59:34+00:00</t>
  </si>
  <si>
    <t>2018-08-17T14:42:41+00:00</t>
  </si>
  <si>
    <t>REDWOOD CITY</t>
  </si>
  <si>
    <t>94061-1425</t>
  </si>
  <si>
    <t>111-6689680-6701837</t>
  </si>
  <si>
    <t>2018-08-16T22:10:24+00:00</t>
  </si>
  <si>
    <t>2018-08-26T00:30:06+00:00</t>
  </si>
  <si>
    <t>MAUNABO</t>
  </si>
  <si>
    <t>PR</t>
  </si>
  <si>
    <t>00707-0501</t>
  </si>
  <si>
    <t>111-6868555-6505831</t>
  </si>
  <si>
    <t>2018-08-16T21:03:02+00:00</t>
  </si>
  <si>
    <t>2018-08-20T06:33:50+00:00</t>
  </si>
  <si>
    <t>32714-4031</t>
  </si>
  <si>
    <t>114-2527028-3019453</t>
  </si>
  <si>
    <t>2018-08-16T20:39:51+00:00</t>
  </si>
  <si>
    <t>2018-08-17T04:40:27+00:00</t>
  </si>
  <si>
    <t>77373-5051</t>
  </si>
  <si>
    <t>112-8800215-8073802</t>
  </si>
  <si>
    <t>2018-08-16T19:51:20+00:00</t>
  </si>
  <si>
    <t>2018-08-18T01:11:59+00:00</t>
  </si>
  <si>
    <t>10567-1011</t>
  </si>
  <si>
    <t>113-5726812-5568218</t>
  </si>
  <si>
    <t>2018-08-16T19:10:55+00:00</t>
  </si>
  <si>
    <t>2018-08-17T10:08:50+00:00</t>
  </si>
  <si>
    <t>PENN VALLEY</t>
  </si>
  <si>
    <t>95946-9143</t>
  </si>
  <si>
    <t>114-3485979-3036212</t>
  </si>
  <si>
    <t>2018-08-16T18:46:35+00:00</t>
  </si>
  <si>
    <t>2018-08-18T11:22:58+00:00</t>
  </si>
  <si>
    <t>MEDFORD</t>
  </si>
  <si>
    <t>02155-4154</t>
  </si>
  <si>
    <t>113-1515319-8665808</t>
  </si>
  <si>
    <t>2018-08-16T18:42:02+00:00</t>
  </si>
  <si>
    <t>2018-08-17T11:54:20+00:00</t>
  </si>
  <si>
    <t>FOREST HILLS</t>
  </si>
  <si>
    <t>11375-7608</t>
  </si>
  <si>
    <t>112-3463811-1889836</t>
  </si>
  <si>
    <t>2018-08-16T18:06:16+00:00</t>
  </si>
  <si>
    <t>2018-08-17T12:00:35+00:00</t>
  </si>
  <si>
    <t>SANTA CLARITA</t>
  </si>
  <si>
    <t>91387-6399</t>
  </si>
  <si>
    <t>114-9892689-7729050</t>
  </si>
  <si>
    <t>2018-08-16T18:01:14+00:00</t>
  </si>
  <si>
    <t>2018-08-17T03:23:51+00:00</t>
  </si>
  <si>
    <t>SANTA BARBARA</t>
  </si>
  <si>
    <t>93105-3814</t>
  </si>
  <si>
    <t>114-4380614-3884265</t>
  </si>
  <si>
    <t>2018-08-16T15:00:26+00:00</t>
  </si>
  <si>
    <t>2018-08-17T08:33:21+00:00</t>
  </si>
  <si>
    <t>32244-7840</t>
  </si>
  <si>
    <t>111-5006162-2679438</t>
  </si>
  <si>
    <t>2018-08-16T14:56:40+00:00</t>
  </si>
  <si>
    <t>2018-08-17T06:58:27+00:00</t>
  </si>
  <si>
    <t>CAYCE</t>
  </si>
  <si>
    <t>29033-4389</t>
  </si>
  <si>
    <t>111-4290608-6678631</t>
  </si>
  <si>
    <t>2018-08-16T14:28:16+00:00</t>
  </si>
  <si>
    <t>2018-08-18T21:05:59+00:00</t>
  </si>
  <si>
    <t>ARCADIA</t>
  </si>
  <si>
    <t>73007-8116</t>
  </si>
  <si>
    <t>113-0457958-7249809</t>
  </si>
  <si>
    <t>2018-08-16T13:56:22+00:00</t>
  </si>
  <si>
    <t>2018-08-17T14:33:14+00:00</t>
  </si>
  <si>
    <t>76001-6729</t>
  </si>
  <si>
    <t>111-2308960-2793843</t>
  </si>
  <si>
    <t>2018-08-16T13:25:35+00:00</t>
  </si>
  <si>
    <t>2018-08-17T09:31:26+00:00</t>
  </si>
  <si>
    <t>BETTENDORF</t>
  </si>
  <si>
    <t>52722-2530</t>
  </si>
  <si>
    <t>111-5484930-8637060</t>
  </si>
  <si>
    <t>2018-08-16T12:39:32+00:00</t>
  </si>
  <si>
    <t>2018-08-16T21:52:30+00:00</t>
  </si>
  <si>
    <t>33131-3625</t>
  </si>
  <si>
    <t>112-0868805-6587465</t>
  </si>
  <si>
    <t>2018-08-16T06:57:15+00:00</t>
  </si>
  <si>
    <t>2018-08-21T14:03:00+00:00</t>
  </si>
  <si>
    <t>98002-5853</t>
  </si>
  <si>
    <t>114-1782298-2522642</t>
  </si>
  <si>
    <t>2018-08-16T06:23:48+00:00</t>
  </si>
  <si>
    <t>2018-08-18T23:03:26+00:00</t>
  </si>
  <si>
    <t>LYQ-ZQ3550-PI-4X</t>
  </si>
  <si>
    <t>B071WJY8WZ</t>
  </si>
  <si>
    <t>DAMASCUS</t>
  </si>
  <si>
    <t>72039-9242</t>
  </si>
  <si>
    <t>113-1375151-5989007</t>
  </si>
  <si>
    <t>2018-08-16T04:49:30+00:00</t>
  </si>
  <si>
    <t>2018-08-16T05:11:41+00:00</t>
  </si>
  <si>
    <t>113-9907258-6441001</t>
  </si>
  <si>
    <t>2018-08-16T03:00:13+00:00</t>
  </si>
  <si>
    <t>2018-08-17T02:30:21+00:00</t>
  </si>
  <si>
    <t>113-4788212-4881038</t>
  </si>
  <si>
    <t>2018-08-16T01:05:20+00:00</t>
  </si>
  <si>
    <t>2018-08-20T14:47:45+00:00</t>
  </si>
  <si>
    <t>LYQ-ZQ3550-PI-5X</t>
  </si>
  <si>
    <t>B072MF2GWB</t>
  </si>
  <si>
    <t>COOKEVILLE</t>
  </si>
  <si>
    <t>38501-0001</t>
  </si>
  <si>
    <t>112-1475188-9070649</t>
  </si>
  <si>
    <t>2018-08-16T00:19:59+00:00</t>
  </si>
  <si>
    <t>2018-08-16T08:35:24+00:00</t>
  </si>
  <si>
    <t>BIRMINGHAM</t>
  </si>
  <si>
    <t>35214-3310</t>
  </si>
  <si>
    <t>S01-5789685-8417805</t>
  </si>
  <si>
    <t>xi8h2K7644</t>
  </si>
  <si>
    <t>2018-08-17T02:46:09+00:00</t>
  </si>
  <si>
    <t>2018-08-26T01:18:02+00:00</t>
  </si>
  <si>
    <t>111-1996690-6299446</t>
  </si>
  <si>
    <t>2018-08-17T22:33:08+00:00</t>
  </si>
  <si>
    <t>2018-08-20T22:45:48+00:00</t>
  </si>
  <si>
    <t>ALBERS</t>
  </si>
  <si>
    <t>62215-1006</t>
  </si>
  <si>
    <t>112-7811790-9001815</t>
  </si>
  <si>
    <t>2018-08-17T20:49:26+00:00</t>
  </si>
  <si>
    <t>2018-08-20T03:46:03+00:00</t>
  </si>
  <si>
    <t>39046-6060</t>
  </si>
  <si>
    <t>112-9085002-2407469</t>
  </si>
  <si>
    <t>2018-08-17T20:28:15+00:00</t>
  </si>
  <si>
    <t>2018-08-19T10:35:37+00:00</t>
  </si>
  <si>
    <t>CLEMENTON</t>
  </si>
  <si>
    <t>08021-4834</t>
  </si>
  <si>
    <t>113-4087015-4548201</t>
  </si>
  <si>
    <t>2018-08-17T18:18:47+00:00</t>
  </si>
  <si>
    <t>2018-08-18T06:31:01+00:00</t>
  </si>
  <si>
    <t>DUNKIRK</t>
  </si>
  <si>
    <t>20754-9577</t>
  </si>
  <si>
    <t>113-1359692-2593824</t>
  </si>
  <si>
    <t>2018-08-17T18:09:45+00:00</t>
  </si>
  <si>
    <t>2018-08-19T16:44:18+00:00</t>
  </si>
  <si>
    <t>10025-4318</t>
  </si>
  <si>
    <t>114-7332186-8806612</t>
  </si>
  <si>
    <t>2018-08-17T17:54:36+00:00</t>
  </si>
  <si>
    <t>2018-08-18T16:44:31+00:00</t>
  </si>
  <si>
    <t>HARVEY</t>
  </si>
  <si>
    <t>60426-2137</t>
  </si>
  <si>
    <t>112-0442727-2859440</t>
  </si>
  <si>
    <t>2018-08-17T15:53:21+00:00</t>
  </si>
  <si>
    <t>2018-08-19T06:32:18+00:00</t>
  </si>
  <si>
    <t>Summer Mae Stylish Cross Back Camo Tankini Set for Women</t>
  </si>
  <si>
    <t>YZ-ZQMICAIK02XL</t>
  </si>
  <si>
    <t>B01HZ9S0P0</t>
  </si>
  <si>
    <t>EL CAJON</t>
  </si>
  <si>
    <t>92019-1131</t>
  </si>
  <si>
    <t>112-1892215-8933806</t>
  </si>
  <si>
    <t>2018-08-17T15:32:54+00:00</t>
  </si>
  <si>
    <t>2018-08-19T08:13:09+00:00</t>
  </si>
  <si>
    <t>ELLENSBURG</t>
  </si>
  <si>
    <t>98926-2470</t>
  </si>
  <si>
    <t>112-0801479-1145036</t>
  </si>
  <si>
    <t>2018-08-17T13:52:26+00:00</t>
  </si>
  <si>
    <t>2018-08-18T18:34:02+00:00</t>
  </si>
  <si>
    <t>NEHALEM</t>
  </si>
  <si>
    <t>97131-9813</t>
  </si>
  <si>
    <t>111-9746333-7710623</t>
  </si>
  <si>
    <t>2018-08-17T11:42:42+00:00</t>
  </si>
  <si>
    <t>2018-08-18T02:36:28+00:00</t>
  </si>
  <si>
    <t>66112-3037</t>
  </si>
  <si>
    <t>111-2136235-1303443</t>
  </si>
  <si>
    <t>2018-08-17T11:28:57+00:00</t>
  </si>
  <si>
    <t>2018-08-20T18:21:53+00:00</t>
  </si>
  <si>
    <t>YZ-ZQ15827R2XL</t>
  </si>
  <si>
    <t>B01ID5DXEI</t>
  </si>
  <si>
    <t>BLACKWOOD</t>
  </si>
  <si>
    <t>08012-5245</t>
  </si>
  <si>
    <t>113-4515249-9878660</t>
  </si>
  <si>
    <t>2018-08-17T05:46:01+00:00</t>
  </si>
  <si>
    <t>2018-08-18T04:31:07+00:00</t>
  </si>
  <si>
    <t>cc hills</t>
  </si>
  <si>
    <t>il</t>
  </si>
  <si>
    <t>113-0620622-5554608</t>
  </si>
  <si>
    <t>2018-08-17T03:48:05+00:00</t>
  </si>
  <si>
    <t>2018-08-19T04:39:38+00:00</t>
  </si>
  <si>
    <t>Women Maternity Pregnancy Halter Black Floral Tankini Swimsuit</t>
  </si>
  <si>
    <t>YZ-SUZQ187-K0-3X</t>
  </si>
  <si>
    <t>B07CH7K683</t>
  </si>
  <si>
    <t>LONGMONT</t>
  </si>
  <si>
    <t>80501-0902</t>
  </si>
  <si>
    <t>112-6407359-5771418</t>
  </si>
  <si>
    <t>2018-08-17T03:37:07+00:00</t>
  </si>
  <si>
    <t>2018-08-18T02:29:10+00:00</t>
  </si>
  <si>
    <t>SPRINGFIELD</t>
  </si>
  <si>
    <t>22151-3712</t>
  </si>
  <si>
    <t>111-6210372-9493808</t>
  </si>
  <si>
    <t>2018-08-17T02:44:53+00:00</t>
  </si>
  <si>
    <t>2018-08-18T23:33:02+00:00</t>
  </si>
  <si>
    <t>Flagstaff</t>
  </si>
  <si>
    <t>Az</t>
  </si>
  <si>
    <t>114-7676853-6917051</t>
  </si>
  <si>
    <t>2018-08-17T02:33:43+00:00</t>
  </si>
  <si>
    <t>2018-08-19T07:56:02+00:00</t>
  </si>
  <si>
    <t>Homer City</t>
  </si>
  <si>
    <t>111-5867082-8437056</t>
  </si>
  <si>
    <t>2018-08-17T02:29:12+00:00</t>
  </si>
  <si>
    <t>2018-08-17T09:38:18+00:00</t>
  </si>
  <si>
    <t>WEST HEMPSTEAD</t>
  </si>
  <si>
    <t>11552-1313</t>
  </si>
  <si>
    <t>111-3599783-8041068</t>
  </si>
  <si>
    <t>2018-08-17T02:25:38+00:00</t>
  </si>
  <si>
    <t>2018-08-19T10:37:36+00:00</t>
  </si>
  <si>
    <t>YZ-HM1757-K0-L</t>
  </si>
  <si>
    <t>B071JRNY83</t>
  </si>
  <si>
    <t>WEST BRADFORD</t>
  </si>
  <si>
    <t>19320-4724</t>
  </si>
  <si>
    <t>114-7368827-0061864</t>
  </si>
  <si>
    <t>2018-08-17T02:04:53+00:00</t>
  </si>
  <si>
    <t>2018-08-19T07:25:27+00:00</t>
  </si>
  <si>
    <t>114-8341475-1884250</t>
  </si>
  <si>
    <t>2018-08-17T01:17:55+00:00</t>
  </si>
  <si>
    <t>2018-08-18T04:09:03+00:00</t>
  </si>
  <si>
    <t>COLUMBUS</t>
  </si>
  <si>
    <t>43206-3719</t>
  </si>
  <si>
    <t>114-3222977-8581053</t>
  </si>
  <si>
    <t>2018-08-17T01:15:37+00:00</t>
  </si>
  <si>
    <t>2018-08-17T20:47:00+00:00</t>
  </si>
  <si>
    <t>33027-4819</t>
  </si>
  <si>
    <t>112-9656591-3731434</t>
  </si>
  <si>
    <t>2018-08-18T22:52:39+00:00</t>
  </si>
  <si>
    <t>2018-08-19T19:02:10+00:00</t>
  </si>
  <si>
    <t>DIBERVILLE</t>
  </si>
  <si>
    <t>39540-8811</t>
  </si>
  <si>
    <t>114-0665677-5981009</t>
  </si>
  <si>
    <t>2018-08-18T21:34:10+00:00</t>
  </si>
  <si>
    <t>2018-08-20T04:35:28+00:00</t>
  </si>
  <si>
    <t>DICKINSON</t>
  </si>
  <si>
    <t>77539-1933</t>
  </si>
  <si>
    <t>112-9944631-2315441</t>
  </si>
  <si>
    <t>2018-08-18T20:29:27+00:00</t>
  </si>
  <si>
    <t>2018-08-19T04:33:11+00:00</t>
  </si>
  <si>
    <t>10027-7641</t>
  </si>
  <si>
    <t>111-0410045-5940223</t>
  </si>
  <si>
    <t>2018-08-18T19:57:49+00:00</t>
  </si>
  <si>
    <t>2018-08-19T04:34:26+00:00</t>
  </si>
  <si>
    <t>BAKERSFIELD</t>
  </si>
  <si>
    <t>93314-5817</t>
  </si>
  <si>
    <t>112-3084655-9824202</t>
  </si>
  <si>
    <t>2018-08-18T19:48:43+00:00</t>
  </si>
  <si>
    <t>2018-08-20T03:42:34+00:00</t>
  </si>
  <si>
    <t>Womens Knitted Long Sweater Dress Tunic Black XXL</t>
  </si>
  <si>
    <t>LYQ-ZQ2973-K0-2XL</t>
  </si>
  <si>
    <t>B075S6T35L</t>
  </si>
  <si>
    <t>111-9125069-8712247</t>
  </si>
  <si>
    <t>2018-08-18T19:48:37+00:00</t>
  </si>
  <si>
    <t>2018-08-19T04:44:39+00:00</t>
  </si>
  <si>
    <t>YZ-ZQ1521RF2XL</t>
  </si>
  <si>
    <t>B01GJPCE9O</t>
  </si>
  <si>
    <t>114-8015824-7318617</t>
  </si>
  <si>
    <t>2018-08-18T19:37:00+00:00</t>
  </si>
  <si>
    <t>2018-08-19T06:32:06+00:00</t>
  </si>
  <si>
    <t>89434-6710</t>
  </si>
  <si>
    <t>111-5302901-4817013</t>
  </si>
  <si>
    <t>2018-08-18T19:09:59+00:00</t>
  </si>
  <si>
    <t>2018-08-19T23:24:17+00:00</t>
  </si>
  <si>
    <t>33195-2613</t>
  </si>
  <si>
    <t>112-2195542-6185044</t>
  </si>
  <si>
    <t>2018-08-18T18:12:25+00:00</t>
  </si>
  <si>
    <t>2018-08-22T20:46:51+00:00</t>
  </si>
  <si>
    <t>112-8200790-6550601</t>
  </si>
  <si>
    <t>2018-08-18T18:08:12+00:00</t>
  </si>
  <si>
    <t>2018-08-19T04:30:30+00:00</t>
  </si>
  <si>
    <t>WINCHESTER</t>
  </si>
  <si>
    <t>92596-9091</t>
  </si>
  <si>
    <t>112-7811789-4578667</t>
  </si>
  <si>
    <t>2018-08-18T17:51:45+00:00</t>
  </si>
  <si>
    <t>2018-08-20T04:06:36+00:00</t>
  </si>
  <si>
    <t>20011-2128</t>
  </si>
  <si>
    <t>113-4224411-9749845</t>
  </si>
  <si>
    <t>2018-08-18T17:47:28+00:00</t>
  </si>
  <si>
    <t>2018-08-20T21:53:00+00:00</t>
  </si>
  <si>
    <t>LITTLE RIVER</t>
  </si>
  <si>
    <t>29566-9285</t>
  </si>
  <si>
    <t>113-7799061-9379422</t>
  </si>
  <si>
    <t>2018-08-18T17:18:08+00:00</t>
  </si>
  <si>
    <t>2018-08-19T18:19:24+00:00</t>
  </si>
  <si>
    <t>20010-1314</t>
  </si>
  <si>
    <t>114-4055844-7473864</t>
  </si>
  <si>
    <t>2018-08-18T16:12:46+00:00</t>
  </si>
  <si>
    <t>2018-08-19T16:40:37+00:00</t>
  </si>
  <si>
    <t>ROSELLE</t>
  </si>
  <si>
    <t>07203-2031</t>
  </si>
  <si>
    <t>114-0897976-4297840</t>
  </si>
  <si>
    <t>2018-08-19T19:13:44+00:00</t>
  </si>
  <si>
    <t>111-7061892-8193814</t>
  </si>
  <si>
    <t>2018-08-18T16:00:38+00:00</t>
  </si>
  <si>
    <t>2018-08-20T23:26:32+00:00</t>
  </si>
  <si>
    <t>Summer Mae Women's Summer Styling Sleeveless Floral Print Lace High Neck Midi Sun Dress</t>
  </si>
  <si>
    <t>LYQ-ZQ7900-W0-L</t>
  </si>
  <si>
    <t>B0742J1LL6</t>
  </si>
  <si>
    <t>38501-1132</t>
  </si>
  <si>
    <t>111-8618393-0930621</t>
  </si>
  <si>
    <t>2018-08-18T15:46:06+00:00</t>
  </si>
  <si>
    <t>2018-08-20T05:50:22+00:00</t>
  </si>
  <si>
    <t>113-5100520-9853039</t>
  </si>
  <si>
    <t>2018-08-18T14:21:29+00:00</t>
  </si>
  <si>
    <t>2018-08-19T09:32:31+00:00</t>
  </si>
  <si>
    <t>GRAND RAPIDS</t>
  </si>
  <si>
    <t>49507-1533</t>
  </si>
  <si>
    <t>114-7619564-6684223</t>
  </si>
  <si>
    <t>2018-08-18T11:49:30+00:00</t>
  </si>
  <si>
    <t>2018-08-19T17:51:22+00:00</t>
  </si>
  <si>
    <t>ELLICOTT CITY</t>
  </si>
  <si>
    <t>21042-6236</t>
  </si>
  <si>
    <t>111-2112568-4759420</t>
  </si>
  <si>
    <t>2018-08-18T09:15:32+00:00</t>
  </si>
  <si>
    <t>2018-08-21T07:28:21+00:00</t>
  </si>
  <si>
    <t>Framingham</t>
  </si>
  <si>
    <t>114-7531450-9196263</t>
  </si>
  <si>
    <t>2018-08-18T07:02:08+00:00</t>
  </si>
  <si>
    <t>2018-08-20T19:01:31+00:00</t>
  </si>
  <si>
    <t>MINT HILL</t>
  </si>
  <si>
    <t>28227-7055</t>
  </si>
  <si>
    <t>114-6198551-6252238</t>
  </si>
  <si>
    <t>2018-08-18T05:13:22+00:00</t>
  </si>
  <si>
    <t>2018-08-20T21:04:55+00:00</t>
  </si>
  <si>
    <t>LAKE HAVASU CITY</t>
  </si>
  <si>
    <t>86404-5951</t>
  </si>
  <si>
    <t>114-1857357-5605845</t>
  </si>
  <si>
    <t>2018-08-18T04:10:33+00:00</t>
  </si>
  <si>
    <t>2018-08-20T05:43:42+00:00</t>
  </si>
  <si>
    <t>73132-3265</t>
  </si>
  <si>
    <t>114-8873717-8465841</t>
  </si>
  <si>
    <t>2018-08-18T03:19:33+00:00</t>
  </si>
  <si>
    <t>2018-08-19T07:26:36+00:00</t>
  </si>
  <si>
    <t>07208-1605</t>
  </si>
  <si>
    <t>111-7837262-4181845</t>
  </si>
  <si>
    <t>2018-08-18T02:22:59+00:00</t>
  </si>
  <si>
    <t>2018-08-20T22:54:36+00:00</t>
  </si>
  <si>
    <t>73106-6871</t>
  </si>
  <si>
    <t>112-9877994-1089004</t>
  </si>
  <si>
    <t>2018-08-18T02:08:40+00:00</t>
  </si>
  <si>
    <t>2018-08-19T03:47:09+00:00</t>
  </si>
  <si>
    <t>PINE ISLAND</t>
  </si>
  <si>
    <t>55963-9667</t>
  </si>
  <si>
    <t>113-4433442-5030608</t>
  </si>
  <si>
    <t>2018-08-18T01:25:51+00:00</t>
  </si>
  <si>
    <t>2018-08-19T03:01:32+00:00</t>
  </si>
  <si>
    <t>WICHITA</t>
  </si>
  <si>
    <t>67207-7023</t>
  </si>
  <si>
    <t>112-8813668-0216249</t>
  </si>
  <si>
    <t>2018-08-18T01:07:35+00:00</t>
  </si>
  <si>
    <t>2018-08-19T10:36:28+00:00</t>
  </si>
  <si>
    <t>21842-9193</t>
  </si>
  <si>
    <t>114-6662053-4917831</t>
  </si>
  <si>
    <t>2018-08-18T00:36:01+00:00</t>
  </si>
  <si>
    <t>2018-08-20T21:48:12+00:00</t>
  </si>
  <si>
    <t>27527-6282</t>
  </si>
  <si>
    <t>114-2681804-2229003</t>
  </si>
  <si>
    <t>2018-08-19T20:21:44+00:00</t>
  </si>
  <si>
    <t>2018-08-20T07:25:15+00:00</t>
  </si>
  <si>
    <t>Cuyahoga falls</t>
  </si>
  <si>
    <t>Ohio</t>
  </si>
  <si>
    <t>111-4549789-2776255</t>
  </si>
  <si>
    <t>2018-08-19T18:13:29+00:00</t>
  </si>
  <si>
    <t>2018-08-23T00:40:36+00:00</t>
  </si>
  <si>
    <t>11234-6825</t>
  </si>
  <si>
    <t>112-9787664-9093058</t>
  </si>
  <si>
    <t>2018-08-19T17:44:04+00:00</t>
  </si>
  <si>
    <t>2018-08-20T10:36:07+00:00</t>
  </si>
  <si>
    <t>IRMO</t>
  </si>
  <si>
    <t>29063-7108</t>
  </si>
  <si>
    <t>114-5993328-5581859</t>
  </si>
  <si>
    <t>2018-08-19T16:00:06+00:00</t>
  </si>
  <si>
    <t>2018-08-20T07:33:27+00:00</t>
  </si>
  <si>
    <t>EDISON</t>
  </si>
  <si>
    <t>08817-2119</t>
  </si>
  <si>
    <t>112-5182697-7472216</t>
  </si>
  <si>
    <t>2018-08-19T14:59:23+00:00</t>
  </si>
  <si>
    <t>2018-08-20T15:38:28+00:00</t>
  </si>
  <si>
    <t>Summer Mae Women's V Neck Bohemian Tie Vintage Printed Ethnic Style Beach Dress Plus Size</t>
  </si>
  <si>
    <t>LYQ-CLBAH002-XL</t>
  </si>
  <si>
    <t>B0758D78JH</t>
  </si>
  <si>
    <t>Denham Springs</t>
  </si>
  <si>
    <t>La</t>
  </si>
  <si>
    <t>112-9682422-2332216</t>
  </si>
  <si>
    <t>2018-08-19T14:50:10+00:00</t>
  </si>
  <si>
    <t>2018-08-20T19:53:09+00:00</t>
  </si>
  <si>
    <t>60619-2803</t>
  </si>
  <si>
    <t>113-7577897-3917042</t>
  </si>
  <si>
    <t>2018-08-19T07:15:30+00:00</t>
  </si>
  <si>
    <t>2018-08-20T06:25:49+00:00</t>
  </si>
  <si>
    <t>SUISUN CITY</t>
  </si>
  <si>
    <t>94585-1319</t>
  </si>
  <si>
    <t>112-5854952-7547460</t>
  </si>
  <si>
    <t>2018-08-19T06:16:19+00:00</t>
  </si>
  <si>
    <t>2018-08-19T22:24:01+00:00</t>
  </si>
  <si>
    <t>AFTON</t>
  </si>
  <si>
    <t>13730-2216</t>
  </si>
  <si>
    <t>111-1403040-1846624</t>
  </si>
  <si>
    <t>2018-08-19T05:59:01+00:00</t>
  </si>
  <si>
    <t>2018-08-20T19:39:44+00:00</t>
  </si>
  <si>
    <t>ONTARIO</t>
  </si>
  <si>
    <t>91761-2124</t>
  </si>
  <si>
    <t>113-6452632-2559430</t>
  </si>
  <si>
    <t>2018-08-19T03:49:37+00:00</t>
  </si>
  <si>
    <t>2018-08-21T07:20:34+00:00</t>
  </si>
  <si>
    <t>77084-7699</t>
  </si>
  <si>
    <t>112-7952666-4619463</t>
  </si>
  <si>
    <t>2018-08-19T03:38:43+00:00</t>
  </si>
  <si>
    <t>2018-08-20T01:55:14+00:00</t>
  </si>
  <si>
    <t>SOUTHINGTON</t>
  </si>
  <si>
    <t>06489-2461</t>
  </si>
  <si>
    <t>112-9780144-4051425</t>
  </si>
  <si>
    <t>2018-08-19T02:45:35+00:00</t>
  </si>
  <si>
    <t>2018-08-21T08:50:30+00:00</t>
  </si>
  <si>
    <t>CRANBERRY TWP</t>
  </si>
  <si>
    <t>16066-6803</t>
  </si>
  <si>
    <t>113-3907359-0935409</t>
  </si>
  <si>
    <t>2018-08-19T00:24:07+00:00</t>
  </si>
  <si>
    <t>2018-08-23T22:28:27+00:00</t>
  </si>
  <si>
    <t>STERLING</t>
  </si>
  <si>
    <t>20164-7042</t>
  </si>
  <si>
    <t>111-5736789-2498658</t>
  </si>
  <si>
    <t>2018-08-20T23:45:31+00:00</t>
  </si>
  <si>
    <t>2018-08-22T16:46:48+00:00</t>
  </si>
  <si>
    <t>Hyattsville</t>
  </si>
  <si>
    <t>112-8848957-8047438</t>
  </si>
  <si>
    <t>2018-08-20T22:59:35+00:00</t>
  </si>
  <si>
    <t>2018-08-21T22:36:17+00:00</t>
  </si>
  <si>
    <t>15243-2058</t>
  </si>
  <si>
    <t>113-2139762-8427416</t>
  </si>
  <si>
    <t>2018-08-20T22:59:08+00:00</t>
  </si>
  <si>
    <t>2018-08-21T21:28:59+00:00</t>
  </si>
  <si>
    <t>Womens Knitted Long Sweater Dress Tunic Navy XXL</t>
  </si>
  <si>
    <t>LYQ-ZQ2973-ZL-2XL</t>
  </si>
  <si>
    <t>B075SFXNMF</t>
  </si>
  <si>
    <t>WORLAND</t>
  </si>
  <si>
    <t>WY</t>
  </si>
  <si>
    <t>82401-2529</t>
  </si>
  <si>
    <t>111-4924995-6421861</t>
  </si>
  <si>
    <t>2018-08-20T22:33:31+00:00</t>
  </si>
  <si>
    <t>2018-08-21T16:21:53+00:00</t>
  </si>
  <si>
    <t>Mayslanding</t>
  </si>
  <si>
    <t>111-1279855-0486655</t>
  </si>
  <si>
    <t>2018-08-20T21:48:13+00:00</t>
  </si>
  <si>
    <t>2018-08-22T02:49:24+00:00</t>
  </si>
  <si>
    <t>01880-4992</t>
  </si>
  <si>
    <t>111-0068126-6755444</t>
  </si>
  <si>
    <t>2018-08-20T21:18:42+00:00</t>
  </si>
  <si>
    <t>2018-08-21T04:35:55+00:00</t>
  </si>
  <si>
    <t>MISSION VIEJO</t>
  </si>
  <si>
    <t>92692-1090</t>
  </si>
  <si>
    <t>113-1296147-3165005</t>
  </si>
  <si>
    <t>2018-08-20T20:23:37+00:00</t>
  </si>
  <si>
    <t>2018-08-21T15:52:01+00:00</t>
  </si>
  <si>
    <t>MARION</t>
  </si>
  <si>
    <t>72364-5003</t>
  </si>
  <si>
    <t>112-0067590-2494602</t>
  </si>
  <si>
    <t>2018-08-20T20:05:14+00:00</t>
  </si>
  <si>
    <t>2018-08-22T08:24:48+00:00</t>
  </si>
  <si>
    <t>75203-3519</t>
  </si>
  <si>
    <t>113-1230047-7945846</t>
  </si>
  <si>
    <t>2018-08-20T19:55:21+00:00</t>
  </si>
  <si>
    <t>2018-08-22T04:30:23+00:00</t>
  </si>
  <si>
    <t>OUTDOOR WEAR Summer Mae Women's Heart Pattern Patchwork Knitted Sweater Round Neck Loose Pullover</t>
  </si>
  <si>
    <t>LYQ-ZQPC01-P0-M</t>
  </si>
  <si>
    <t>B075QG43N6</t>
  </si>
  <si>
    <t>HAMPTON</t>
  </si>
  <si>
    <t>23666-1963</t>
  </si>
  <si>
    <t>113-4460693-3111468</t>
  </si>
  <si>
    <t>2018-08-20T18:53:36+00:00</t>
  </si>
  <si>
    <t>2018-08-22T07:32:06+00:00</t>
  </si>
  <si>
    <t>97203-2152</t>
  </si>
  <si>
    <t>114-6516817-2529022</t>
  </si>
  <si>
    <t>2018-08-20T18:26:57+00:00</t>
  </si>
  <si>
    <t>2018-08-25T20:14:18+00:00</t>
  </si>
  <si>
    <t>Givat Ela</t>
  </si>
  <si>
    <t>114-8920291-3079411</t>
  </si>
  <si>
    <t>2018-08-20T16:17:24+00:00</t>
  </si>
  <si>
    <t>2018-08-22T08:27:47+00:00</t>
  </si>
  <si>
    <t>80013-7696</t>
  </si>
  <si>
    <t>113-5133614-0791428</t>
  </si>
  <si>
    <t>2018-08-20T15:54:53+00:00</t>
  </si>
  <si>
    <t>2018-08-22T01:37:36+00:00</t>
  </si>
  <si>
    <t>NEWARK</t>
  </si>
  <si>
    <t>19702-3764</t>
  </si>
  <si>
    <t>111-3992073-1777049</t>
  </si>
  <si>
    <t>2018-08-20T15:35:55+00:00</t>
  </si>
  <si>
    <t>2018-08-21T01:23:17+00:00</t>
  </si>
  <si>
    <t>TEXAS</t>
  </si>
  <si>
    <t>77058-2768</t>
  </si>
  <si>
    <t>113-3448234-3692211</t>
  </si>
  <si>
    <t>2018-08-20T15:33:27+00:00</t>
  </si>
  <si>
    <t>2018-08-21T20:48:28+00:00</t>
  </si>
  <si>
    <t>EAST WILLISTON</t>
  </si>
  <si>
    <t>11596-2507</t>
  </si>
  <si>
    <t>113-3236218-2909036</t>
  </si>
  <si>
    <t>2018-08-20T15:33:18+00:00</t>
  </si>
  <si>
    <t>2018-08-21T09:28:25+00:00</t>
  </si>
  <si>
    <t>west babylon</t>
  </si>
  <si>
    <t>113-6032874-0314628</t>
  </si>
  <si>
    <t>2018-08-20T14:36:35+00:00</t>
  </si>
  <si>
    <t>2018-08-23T01:39:13+00:00</t>
  </si>
  <si>
    <t>33012-3864</t>
  </si>
  <si>
    <t>114-4281902-6279463</t>
  </si>
  <si>
    <t>2018-08-20T14:25:03+00:00</t>
  </si>
  <si>
    <t>2018-08-22T14:54:27+00:00</t>
  </si>
  <si>
    <t>BOYDS</t>
  </si>
  <si>
    <t>20841-4225</t>
  </si>
  <si>
    <t>112-3418158-9478656</t>
  </si>
  <si>
    <t>2018-08-20T13:37:16+00:00</t>
  </si>
  <si>
    <t>2018-08-21T04:30:53+00:00</t>
  </si>
  <si>
    <t>Santa Clarita</t>
  </si>
  <si>
    <t>114-6525300-2020264</t>
  </si>
  <si>
    <t>2018-08-20T06:53:09+00:00</t>
  </si>
  <si>
    <t>2018-08-21T07:27:53+00:00</t>
  </si>
  <si>
    <t>Summer Mae Chiffon Short Sleeve V-neck Dress Knee Length Ruched Dress for Women K0 M</t>
  </si>
  <si>
    <t>LYQ-LY064-K0-M</t>
  </si>
  <si>
    <t>B01MT8EESO</t>
  </si>
  <si>
    <t>San Francisco</t>
  </si>
  <si>
    <t>111-4288854-6945037</t>
  </si>
  <si>
    <t>2018-08-20T03:52:54+00:00</t>
  </si>
  <si>
    <t>2018-08-21T19:32:47+00:00</t>
  </si>
  <si>
    <t>67220-2965</t>
  </si>
  <si>
    <t>112-6060653-7697832</t>
  </si>
  <si>
    <t>2018-08-20T03:11:32+00:00</t>
  </si>
  <si>
    <t>2018-08-21T04:32:10+00:00</t>
  </si>
  <si>
    <t>ANTELOPE</t>
  </si>
  <si>
    <t>95843-2142</t>
  </si>
  <si>
    <t>111-8431262-2176214</t>
  </si>
  <si>
    <t>2018-08-20T02:02:14+00:00</t>
  </si>
  <si>
    <t>2018-08-27T23:23:51+00:00</t>
  </si>
  <si>
    <t>19103-5145</t>
  </si>
  <si>
    <t>112-4008231-5937065</t>
  </si>
  <si>
    <t>2018-08-20T01:13:18+00:00</t>
  </si>
  <si>
    <t>2018-08-21T08:46:55+00:00</t>
  </si>
  <si>
    <t>PACOIMA</t>
  </si>
  <si>
    <t>91331-2313</t>
  </si>
  <si>
    <t>113-2636475-5918606</t>
  </si>
  <si>
    <t>2018-08-20T01:00:37+00:00</t>
  </si>
  <si>
    <t>2018-08-25T09:08:04+00:00</t>
  </si>
  <si>
    <t>YZ-ZQ15827B02XL</t>
  </si>
  <si>
    <t>B01M63OPA2</t>
  </si>
  <si>
    <t>BEREA</t>
  </si>
  <si>
    <t>40403-1415</t>
  </si>
  <si>
    <t>112-7844470-8343454</t>
  </si>
  <si>
    <t>2018-08-20T00:29:23+00:00</t>
  </si>
  <si>
    <t>2018-08-22T21:20:05+00:00</t>
  </si>
  <si>
    <t>32256-3222</t>
  </si>
  <si>
    <t>114-3253829-0380239</t>
  </si>
  <si>
    <t>2018-08-21T23:56:26+00:00</t>
  </si>
  <si>
    <t>2018-08-24T10:30:34+00:00</t>
  </si>
  <si>
    <t>newport beach</t>
  </si>
  <si>
    <t>113-0446468-3775421</t>
  </si>
  <si>
    <t>2018-08-21T22:38:51+00:00</t>
  </si>
  <si>
    <t>2018-08-24T02:41:47+00:00</t>
  </si>
  <si>
    <t>Summer Mae Women One Piece Vintage Floral Printed Pin Up Backless Triangle Monokini Swimsuits</t>
  </si>
  <si>
    <t>YZ-HM17845-YH-M</t>
  </si>
  <si>
    <t>B06X6LTGGL</t>
  </si>
  <si>
    <t>94121-3205</t>
  </si>
  <si>
    <t>111-5924198-1229002</t>
  </si>
  <si>
    <t>2018-08-21T22:26:16+00:00</t>
  </si>
  <si>
    <t>2018-08-22T18:58:34+00:00</t>
  </si>
  <si>
    <t>33196-1155</t>
  </si>
  <si>
    <t>114-0755575-1756221</t>
  </si>
  <si>
    <t>2018-08-21T22:25:34+00:00</t>
  </si>
  <si>
    <t>2018-08-22T20:29:50+00:00</t>
  </si>
  <si>
    <t>sTOCKTON</t>
  </si>
  <si>
    <t>114-7196430-8365025</t>
  </si>
  <si>
    <t>2018-08-21T21:54:15+00:00</t>
  </si>
  <si>
    <t>2018-08-23T07:59:09+00:00</t>
  </si>
  <si>
    <t>LYQ-ZQPC01-BD-S</t>
  </si>
  <si>
    <t>B075QFJ2MX</t>
  </si>
  <si>
    <t>PASO ROBLES</t>
  </si>
  <si>
    <t>93446-3494</t>
  </si>
  <si>
    <t>113-1693846-4933843</t>
  </si>
  <si>
    <t>2018-08-21T21:25:04+00:00</t>
  </si>
  <si>
    <t>2018-08-22T01:29:21+00:00</t>
  </si>
  <si>
    <t>92103-3463</t>
  </si>
  <si>
    <t>114-0781258-4396232</t>
  </si>
  <si>
    <t>2018-08-21T19:19:25+00:00</t>
  </si>
  <si>
    <t>2018-08-22T02:40:45+00:00</t>
  </si>
  <si>
    <t>91730-8132</t>
  </si>
  <si>
    <t>111-5520871-5223459</t>
  </si>
  <si>
    <t>2018-08-21T18:38:18+00:00</t>
  </si>
  <si>
    <t>2018-08-23T21:42:11+00:00</t>
  </si>
  <si>
    <t>SANTA CRUZ</t>
  </si>
  <si>
    <t>95060-4345</t>
  </si>
  <si>
    <t>114-9429302-8421803</t>
  </si>
  <si>
    <t>2018-08-21T18:01:33+00:00</t>
  </si>
  <si>
    <t>2018-08-22T23:25:49+00:00</t>
  </si>
  <si>
    <t>west palm beach</t>
  </si>
  <si>
    <t>111-8882675-9573051</t>
  </si>
  <si>
    <t>2018-08-21T16:57:17+00:00</t>
  </si>
  <si>
    <t>2018-08-22T07:25:34+00:00</t>
  </si>
  <si>
    <t>97236-4648</t>
  </si>
  <si>
    <t>113-6441809-1245010</t>
  </si>
  <si>
    <t>2018-08-21T16:38:40+00:00</t>
  </si>
  <si>
    <t>2018-08-21T22:32:56+00:00</t>
  </si>
  <si>
    <t>OAK BLUFFS</t>
  </si>
  <si>
    <t>MASSACHUSETTS</t>
  </si>
  <si>
    <t>113-3667719-7565002</t>
  </si>
  <si>
    <t>2018-08-21T16:22:44+00:00</t>
  </si>
  <si>
    <t>2018-08-22T06:45:28+00:00</t>
  </si>
  <si>
    <t>112-3988507-0823438</t>
  </si>
  <si>
    <t>2018-08-21T16:22:04+00:00</t>
  </si>
  <si>
    <t>2018-08-23T02:31:59+00:00</t>
  </si>
  <si>
    <t>11234-2411</t>
  </si>
  <si>
    <t>113-6159258-0278610</t>
  </si>
  <si>
    <t>2018-08-21T16:15:16+00:00</t>
  </si>
  <si>
    <t>2018-08-24T21:10:49+00:00</t>
  </si>
  <si>
    <t>CARBONDALE</t>
  </si>
  <si>
    <t>62901-0784</t>
  </si>
  <si>
    <t>111-7793822-8552259</t>
  </si>
  <si>
    <t>2018-08-21T16:14:07+00:00</t>
  </si>
  <si>
    <t>2018-08-23T22:23:13+00:00</t>
  </si>
  <si>
    <t>YZ-ZQ1521WPXL</t>
  </si>
  <si>
    <t>B01GJPBKEE</t>
  </si>
  <si>
    <t>SANDY SPRINGS</t>
  </si>
  <si>
    <t>30328-2674</t>
  </si>
  <si>
    <t>114-6036457-0398624</t>
  </si>
  <si>
    <t>2018-08-21T15:44:32+00:00</t>
  </si>
  <si>
    <t>2018-08-21T22:32:54+00:00</t>
  </si>
  <si>
    <t>WOMEN'S BOUTIQUE Summer Mae Women Plus Size Ethnic Printed Splicing Casual Pocket Dress</t>
  </si>
  <si>
    <t>LYQ-ZQ3550-E0-M</t>
  </si>
  <si>
    <t>B071FZWYWN</t>
  </si>
  <si>
    <t>MORTONS GAP</t>
  </si>
  <si>
    <t>42440-0451</t>
  </si>
  <si>
    <t>113-6399689-7813863</t>
  </si>
  <si>
    <t>2018-08-21T15:24:02+00:00</t>
  </si>
  <si>
    <t>2018-08-23T01:45:19+00:00</t>
  </si>
  <si>
    <t>78724-5348</t>
  </si>
  <si>
    <t>112-4052192-7357857</t>
  </si>
  <si>
    <t>2018-08-21T14:33:55+00:00</t>
  </si>
  <si>
    <t>2018-08-22T14:33:43+00:00</t>
  </si>
  <si>
    <t>EMERYVILLE</t>
  </si>
  <si>
    <t>94608-1032</t>
  </si>
  <si>
    <t>113-1264745-5506663</t>
  </si>
  <si>
    <t>2018-08-21T14:15:59+00:00</t>
  </si>
  <si>
    <t>2018-08-21T23:03:47+00:00</t>
  </si>
  <si>
    <t>113-3709409-8600251</t>
  </si>
  <si>
    <t>2018-08-21T14:09:21+00:00</t>
  </si>
  <si>
    <t>2018-08-23T01:14:35+00:00</t>
  </si>
  <si>
    <t>SAFETY HARBOR</t>
  </si>
  <si>
    <t>34695-3122</t>
  </si>
  <si>
    <t>114-6200943-0625822</t>
  </si>
  <si>
    <t>2018-08-21T13:57:57+00:00</t>
  </si>
  <si>
    <t>2018-08-22T07:37:35+00:00</t>
  </si>
  <si>
    <t>BUCKLEY</t>
  </si>
  <si>
    <t>98321-8929</t>
  </si>
  <si>
    <t>112-2771736-0296265</t>
  </si>
  <si>
    <t>2018-08-21T12:06:04+00:00</t>
  </si>
  <si>
    <t>2018-08-21T21:40:05+00:00</t>
  </si>
  <si>
    <t>RUTLAND</t>
  </si>
  <si>
    <t>01543-2000</t>
  </si>
  <si>
    <t>112-0125574-3333055</t>
  </si>
  <si>
    <t>2018-08-21T09:17:31+00:00</t>
  </si>
  <si>
    <t>2018-08-22T03:24:45+00:00</t>
  </si>
  <si>
    <t>IRVINE</t>
  </si>
  <si>
    <t>92612-1665</t>
  </si>
  <si>
    <t>111-1174255-8758601</t>
  </si>
  <si>
    <t>2018-08-21T07:38:59+00:00</t>
  </si>
  <si>
    <t>2018-08-22T06:56:02+00:00</t>
  </si>
  <si>
    <t>SAINT PETERSBURG</t>
  </si>
  <si>
    <t>33707-2358</t>
  </si>
  <si>
    <t>113-7158059-2800244</t>
  </si>
  <si>
    <t>2018-08-21T06:58:40+00:00</t>
  </si>
  <si>
    <t>2018-08-21T23:23:06+00:00</t>
  </si>
  <si>
    <t>HACKETTSTOWN</t>
  </si>
  <si>
    <t>07840-4230</t>
  </si>
  <si>
    <t>113-8540760-8964249</t>
  </si>
  <si>
    <t>2018-08-21T01:50:46+00:00</t>
  </si>
  <si>
    <t>2018-08-21T21:32:54+00:00</t>
  </si>
  <si>
    <t>GREENWOOD</t>
  </si>
  <si>
    <t>46143-2658</t>
  </si>
  <si>
    <t>111-5991741-0649035</t>
  </si>
  <si>
    <t>2018-08-21T01:43:27+00:00</t>
  </si>
  <si>
    <t>2018-08-21T15:30:47+00:00</t>
  </si>
  <si>
    <t>CASTLE ROCK</t>
  </si>
  <si>
    <t>80109-7723</t>
  </si>
  <si>
    <t>114-5894205-2691401</t>
  </si>
  <si>
    <t>2018-08-22T23:42:15+00:00</t>
  </si>
  <si>
    <t>2018-08-23T16:27:14+00:00</t>
  </si>
  <si>
    <t>FENTON</t>
  </si>
  <si>
    <t>63026-5950</t>
  </si>
  <si>
    <t>111-7327912-5379422</t>
  </si>
  <si>
    <t>2018-08-22T23:17:54+00:00</t>
  </si>
  <si>
    <t>2018-08-24T06:43:54+00:00</t>
  </si>
  <si>
    <t>LYQ-ZQ7900-W0-XXL</t>
  </si>
  <si>
    <t>B0742CHPKN</t>
  </si>
  <si>
    <t>114-7200477-3945061</t>
  </si>
  <si>
    <t>2018-08-22T21:35:06+00:00</t>
  </si>
  <si>
    <t>2018-08-24T04:29:42+00:00</t>
  </si>
  <si>
    <t>YZ-ZQadn1601-B1-XL</t>
  </si>
  <si>
    <t>B01M366JZA</t>
  </si>
  <si>
    <t>85020-3667</t>
  </si>
  <si>
    <t>113-6800587-5735420</t>
  </si>
  <si>
    <t>2018-08-22T21:28:29+00:00</t>
  </si>
  <si>
    <t>2018-08-23T07:23:15+00:00</t>
  </si>
  <si>
    <t>CONROE</t>
  </si>
  <si>
    <t>77302-5218</t>
  </si>
  <si>
    <t>114-6623735-9304204</t>
  </si>
  <si>
    <t>2018-08-22T19:39:41+00:00</t>
  </si>
  <si>
    <t>2018-08-24T01:28:59+00:00</t>
  </si>
  <si>
    <t>brooklyn</t>
  </si>
  <si>
    <t>114-3266693-4558650</t>
  </si>
  <si>
    <t>2018-08-22T19:07:48+00:00</t>
  </si>
  <si>
    <t>2018-08-23T20:25:03+00:00</t>
  </si>
  <si>
    <t>113-3210352-7816253</t>
  </si>
  <si>
    <t>2018-08-22T18:50:15+00:00</t>
  </si>
  <si>
    <t>2018-08-23T22:03:32+00:00</t>
  </si>
  <si>
    <t>ST PETERSBURG</t>
  </si>
  <si>
    <t>33713-6000</t>
  </si>
  <si>
    <t>114-0585562-4422640</t>
  </si>
  <si>
    <t>2018-08-22T18:45:09+00:00</t>
  </si>
  <si>
    <t>2018-08-24T02:39:35+00:00</t>
  </si>
  <si>
    <t>TRIANGLE</t>
  </si>
  <si>
    <t>22172-2023</t>
  </si>
  <si>
    <t>112-5794198-8325812</t>
  </si>
  <si>
    <t>2018-08-22T17:19:43+00:00</t>
  </si>
  <si>
    <t>2018-08-25T06:01:10+00:00</t>
  </si>
  <si>
    <t>30363-1086</t>
  </si>
  <si>
    <t>114-6015006-6685810</t>
  </si>
  <si>
    <t>2018-08-22T17:06:56+00:00</t>
  </si>
  <si>
    <t>2018-08-23T22:38:10+00:00</t>
  </si>
  <si>
    <t>Telluride</t>
  </si>
  <si>
    <t>111-9695744-3771418</t>
  </si>
  <si>
    <t>2018-08-22T16:43:57+00:00</t>
  </si>
  <si>
    <t>2018-08-23T07:29:44+00:00</t>
  </si>
  <si>
    <t>CHARLOTTESVILLE</t>
  </si>
  <si>
    <t>22902-7168</t>
  </si>
  <si>
    <t>113-6374299-8853835</t>
  </si>
  <si>
    <t>2018-08-22T15:31:48+00:00</t>
  </si>
  <si>
    <t>2018-08-26T08:08:16+00:00</t>
  </si>
  <si>
    <t>113-7225800-9745826</t>
  </si>
  <si>
    <t>2018-08-22T14:34:15+00:00</t>
  </si>
  <si>
    <t>2018-08-26T21:45:33+00:00</t>
  </si>
  <si>
    <t>33020-6760</t>
  </si>
  <si>
    <t>114-5119560-6221011</t>
  </si>
  <si>
    <t>2018-08-22T14:20:53+00:00</t>
  </si>
  <si>
    <t>2018-08-23T22:01:07+00:00</t>
  </si>
  <si>
    <t>Amagansett</t>
  </si>
  <si>
    <t>114-4936471-2915444</t>
  </si>
  <si>
    <t>2018-08-22T14:15:41+00:00</t>
  </si>
  <si>
    <t>2018-08-23T21:34:23+00:00</t>
  </si>
  <si>
    <t>DAVIE</t>
  </si>
  <si>
    <t>33325-5142</t>
  </si>
  <si>
    <t>114-1981995-2670621</t>
  </si>
  <si>
    <t>2018-08-22T12:05:41+00:00</t>
  </si>
  <si>
    <t>2018-08-22T14:18:44+00:00</t>
  </si>
  <si>
    <t>113-0667460-8473859</t>
  </si>
  <si>
    <t>2018-08-22T07:30:21+00:00</t>
  </si>
  <si>
    <t>2018-08-23T19:47:05+00:00</t>
  </si>
  <si>
    <t>112-2966167-0014621</t>
  </si>
  <si>
    <t>2018-08-22T05:29:32+00:00</t>
  </si>
  <si>
    <t>2018-08-28T00:53:30+00:00</t>
  </si>
  <si>
    <t>NORTH LAS VEGAS</t>
  </si>
  <si>
    <t>NEVADA</t>
  </si>
  <si>
    <t>89031-0197</t>
  </si>
  <si>
    <t>112-8028915-0348254</t>
  </si>
  <si>
    <t>2018-08-22T05:25:55+00:00</t>
  </si>
  <si>
    <t>2018-08-23T04:37:54+00:00</t>
  </si>
  <si>
    <t>HACIENDA HEIGHTS</t>
  </si>
  <si>
    <t>91745-6016</t>
  </si>
  <si>
    <t>112-1476448-1169058</t>
  </si>
  <si>
    <t>2018-08-22T04:42:15+00:00</t>
  </si>
  <si>
    <t>2018-08-23T18:46:36+00:00</t>
  </si>
  <si>
    <t>10472-1949</t>
  </si>
  <si>
    <t>111-0113393-0688253</t>
  </si>
  <si>
    <t>2018-08-22T04:29:43+00:00</t>
  </si>
  <si>
    <t>2018-08-22T22:05:12+00:00</t>
  </si>
  <si>
    <t>63119-4511</t>
  </si>
  <si>
    <t>111-8322009-3571423</t>
  </si>
  <si>
    <t>2018-08-22T04:06:05+00:00</t>
  </si>
  <si>
    <t>2018-08-23T01:48:35+00:00</t>
  </si>
  <si>
    <t>Philadelphia</t>
  </si>
  <si>
    <t>111-3770933-0059432</t>
  </si>
  <si>
    <t>2018-08-22T03:39:33+00:00</t>
  </si>
  <si>
    <t>2018-08-22T22:29:50+00:00</t>
  </si>
  <si>
    <t>LAKE ELSINORE</t>
  </si>
  <si>
    <t>92530-5959</t>
  </si>
  <si>
    <t>112-7013407-0635420</t>
  </si>
  <si>
    <t>2018-08-22T01:44:10+00:00</t>
  </si>
  <si>
    <t>2018-08-23T08:04:48+00:00</t>
  </si>
  <si>
    <t>SEATTLE</t>
  </si>
  <si>
    <t>98116-2403</t>
  </si>
  <si>
    <t>112-3402192-9684258</t>
  </si>
  <si>
    <t>2018-08-22T01:37:51+00:00</t>
  </si>
  <si>
    <t>2018-08-23T06:23:42+00:00</t>
  </si>
  <si>
    <t>DALY CITY</t>
  </si>
  <si>
    <t>94015-2833</t>
  </si>
  <si>
    <t>111-1738069-6410631</t>
  </si>
  <si>
    <t>2018-08-22T01:37:50+00:00</t>
  </si>
  <si>
    <t>2018-08-22T22:28:05+00:00</t>
  </si>
  <si>
    <t>90032-3591</t>
  </si>
  <si>
    <t>114-3406990-9021830</t>
  </si>
  <si>
    <t>2018-08-22T00:55:40+00:00</t>
  </si>
  <si>
    <t>2018-08-23T01:41:57+00:00</t>
  </si>
  <si>
    <t>JERSEY CITY</t>
  </si>
  <si>
    <t>07302-3709</t>
  </si>
  <si>
    <t>111-5799206-7494625</t>
  </si>
  <si>
    <t>2018-08-22T00:42:16+00:00</t>
  </si>
  <si>
    <t>2018-08-23T04:37:24+00:00</t>
  </si>
  <si>
    <t>112-3249664-3476267</t>
  </si>
  <si>
    <t>2018-08-22T00:26:44+00:00</t>
  </si>
  <si>
    <t>2018-08-22T16:22:28+00:00</t>
  </si>
  <si>
    <t>Summer Mae Women's Classic Striped Two Piece Swimwear Plus Size Tankini Top &amp; Bottom XL</t>
  </si>
  <si>
    <t>YZ-ZQ16597B0XL</t>
  </si>
  <si>
    <t>B01HTJ90K0</t>
  </si>
  <si>
    <t>COLD SPRING</t>
  </si>
  <si>
    <t>10516-1407</t>
  </si>
  <si>
    <t>112-3521325-7634657</t>
  </si>
  <si>
    <t>2018-08-23T22:24:37+00:00</t>
  </si>
  <si>
    <t>2018-08-26T04:31:24+00:00</t>
  </si>
  <si>
    <t>KENT</t>
  </si>
  <si>
    <t>98032-4426</t>
  </si>
  <si>
    <t>112-6043066-8656205</t>
  </si>
  <si>
    <t>2018-08-23T19:56:39+00:00</t>
  </si>
  <si>
    <t>2018-08-24T23:39:46+00:00</t>
  </si>
  <si>
    <t>GREENBELT</t>
  </si>
  <si>
    <t>20770-3050</t>
  </si>
  <si>
    <t>114-8080740-0813837</t>
  </si>
  <si>
    <t>2018-08-23T18:54:39+00:00</t>
  </si>
  <si>
    <t>2018-08-24T10:37:02+00:00</t>
  </si>
  <si>
    <t>LaVergne</t>
  </si>
  <si>
    <t>113-8896019-1334626</t>
  </si>
  <si>
    <t>2018-08-23T18:18:29+00:00</t>
  </si>
  <si>
    <t>2018-08-24T04:01:53+00:00</t>
  </si>
  <si>
    <t>ESSEX JUNCTION</t>
  </si>
  <si>
    <t>VT</t>
  </si>
  <si>
    <t>113-3064620-7441007</t>
  </si>
  <si>
    <t>2018-08-23T18:05:36+00:00</t>
  </si>
  <si>
    <t>2018-08-23T18:12:20+00:00</t>
  </si>
  <si>
    <t>113-5609628-2213039</t>
  </si>
  <si>
    <t>2018-08-23T17:53:39+00:00</t>
  </si>
  <si>
    <t>2018-08-25T09:17:42+00:00</t>
  </si>
  <si>
    <t>STUARTS DRAFT</t>
  </si>
  <si>
    <t>24477-2923</t>
  </si>
  <si>
    <t>111-8029788-1626658</t>
  </si>
  <si>
    <t>2018-08-23T17:29:47+00:00</t>
  </si>
  <si>
    <t>2018-08-25T08:54:05+00:00</t>
  </si>
  <si>
    <t>111-4014647-3738603</t>
  </si>
  <si>
    <t>2018-08-23T16:27:39+00:00</t>
  </si>
  <si>
    <t>2018-08-26T23:29:59+00:00</t>
  </si>
  <si>
    <t>114-1013672-4520240</t>
  </si>
  <si>
    <t>2018-08-23T15:59:54+00:00</t>
  </si>
  <si>
    <t>2018-08-24T02:20:04+00:00</t>
  </si>
  <si>
    <t>33172-2413</t>
  </si>
  <si>
    <t>112-2897505-2129822</t>
  </si>
  <si>
    <t>2018-08-23T15:37:12+00:00</t>
  </si>
  <si>
    <t>2018-08-24T08:23:14+00:00</t>
  </si>
  <si>
    <t>JOHNSON CREEK</t>
  </si>
  <si>
    <t>53038-9479</t>
  </si>
  <si>
    <t>112-6341879-8246655</t>
  </si>
  <si>
    <t>2018-08-23T15:24:34+00:00</t>
  </si>
  <si>
    <t>2018-08-26T02:51:39+00:00</t>
  </si>
  <si>
    <t>33325-4430</t>
  </si>
  <si>
    <t>113-6470562-7475414</t>
  </si>
  <si>
    <t>2018-08-23T14:37:00+00:00</t>
  </si>
  <si>
    <t>2018-08-26T16:22:48+00:00</t>
  </si>
  <si>
    <t>43215-2443</t>
  </si>
  <si>
    <t>114-2227949-3009806</t>
  </si>
  <si>
    <t>2018-08-23T14:31:11+00:00</t>
  </si>
  <si>
    <t>2018-08-24T21:11:50+00:00</t>
  </si>
  <si>
    <t>GILBERT</t>
  </si>
  <si>
    <t>85296-9674</t>
  </si>
  <si>
    <t>111-9023329-0669852</t>
  </si>
  <si>
    <t>2018-08-23T14:19:19+00:00</t>
  </si>
  <si>
    <t>2018-08-24T03:33:42+00:00</t>
  </si>
  <si>
    <t>10550-5416</t>
  </si>
  <si>
    <t>112-2425981-9762600</t>
  </si>
  <si>
    <t>2018-08-23T14:18:18+00:00</t>
  </si>
  <si>
    <t>2018-08-26T06:30:09+00:00</t>
  </si>
  <si>
    <t>NEW SMYRNA</t>
  </si>
  <si>
    <t>32168-9516</t>
  </si>
  <si>
    <t>111-8280679-1213857</t>
  </si>
  <si>
    <t>2018-08-23T13:13:10+00:00</t>
  </si>
  <si>
    <t>2018-08-25T02:45:23+00:00</t>
  </si>
  <si>
    <t>BARTLETT</t>
  </si>
  <si>
    <t>112-2951976-1901850</t>
  </si>
  <si>
    <t>2018-08-23T11:13:09+00:00</t>
  </si>
  <si>
    <t>2018-08-24T21:01:18+00:00</t>
  </si>
  <si>
    <t>22304-2718</t>
  </si>
  <si>
    <t>114-7287010-4863441</t>
  </si>
  <si>
    <t>2018-08-23T05:37:59+00:00</t>
  </si>
  <si>
    <t>2018-08-26T14:22:42+00:00</t>
  </si>
  <si>
    <t>LAUDERDALE LAKES</t>
  </si>
  <si>
    <t>33319-6735</t>
  </si>
  <si>
    <t>113-0034418-9145870</t>
  </si>
  <si>
    <t>2018-08-23T03:30:18+00:00</t>
  </si>
  <si>
    <t>2018-08-23T09:45:35+00:00</t>
  </si>
  <si>
    <t>VERNON HILLS</t>
  </si>
  <si>
    <t>ILLINOIS</t>
  </si>
  <si>
    <t>60061-1709</t>
  </si>
  <si>
    <t>112-4475468-6613807</t>
  </si>
  <si>
    <t>2018-08-23T03:23:52+00:00</t>
  </si>
  <si>
    <t>2018-08-27T07:57:33+00:00</t>
  </si>
  <si>
    <t>07840-5685</t>
  </si>
  <si>
    <t>114-0915071-3277019</t>
  </si>
  <si>
    <t>2018-08-23T02:29:04+00:00</t>
  </si>
  <si>
    <t>2018-08-24T02:26:20+00:00</t>
  </si>
  <si>
    <t>WICHITA FALLS</t>
  </si>
  <si>
    <t>76310-2509</t>
  </si>
  <si>
    <t>111-2777552-1309038</t>
  </si>
  <si>
    <t>2018-08-23T00:43:04+00:00</t>
  </si>
  <si>
    <t>2018-08-23T08:20:33+00:00</t>
  </si>
  <si>
    <t>LITHONIA</t>
  </si>
  <si>
    <t>30058-5096</t>
  </si>
  <si>
    <t>113-7489175-0203452</t>
  </si>
  <si>
    <t>2018-08-23T00:23:30+00:00</t>
  </si>
  <si>
    <t>2018-08-24T06:37:24+00:00</t>
  </si>
  <si>
    <t>94801-3934</t>
  </si>
  <si>
    <t>S01-8489568-5375459</t>
  </si>
  <si>
    <t>xi8o2Fk008</t>
  </si>
  <si>
    <t>2018-08-24T02:41:22+00:00</t>
  </si>
  <si>
    <t>2018-08-24T02:42:14+00:00</t>
  </si>
  <si>
    <t>114-0258373-9116245</t>
  </si>
  <si>
    <t>2018-08-24T23:17:52+00:00</t>
  </si>
  <si>
    <t>2018-08-25T09:28:40+00:00</t>
  </si>
  <si>
    <t>new york</t>
  </si>
  <si>
    <t>112-1438262-9260237</t>
  </si>
  <si>
    <t>2018-08-24T21:08:49+00:00</t>
  </si>
  <si>
    <t>2018-08-26T04:26:46+00:00</t>
  </si>
  <si>
    <t>SHJ-ZQLS12-K0-3XL</t>
  </si>
  <si>
    <t>B072BRN4WX</t>
  </si>
  <si>
    <t>49651-9743</t>
  </si>
  <si>
    <t>113-1666410-9470635</t>
  </si>
  <si>
    <t>2018-08-24T20:30:45+00:00</t>
  </si>
  <si>
    <t>2018-08-27T11:53:40+00:00</t>
  </si>
  <si>
    <t>Summer Mae Women's Classic Striped Two Piece Swimwear Plus Size Tankini Top &amp; Bottom 4XL</t>
  </si>
  <si>
    <t>YZ-ZQ16597B04XL</t>
  </si>
  <si>
    <t>B01HTJ8VB4</t>
  </si>
  <si>
    <t>SILVIS</t>
  </si>
  <si>
    <t>61282-2124</t>
  </si>
  <si>
    <t>113-3577590-0041827</t>
  </si>
  <si>
    <t>2018-08-24T20:30:15+00:00</t>
  </si>
  <si>
    <t>2018-08-25T16:43:38+00:00</t>
  </si>
  <si>
    <t>113-2659323-0023423</t>
  </si>
  <si>
    <t>2018-08-24T20:25:01+00:00</t>
  </si>
  <si>
    <t>2018-08-26T19:59:37+00:00</t>
  </si>
  <si>
    <t>RENSSELAER</t>
  </si>
  <si>
    <t>47978-8390</t>
  </si>
  <si>
    <t>111-5371648-2786665</t>
  </si>
  <si>
    <t>2018-08-24T20:15:00+00:00</t>
  </si>
  <si>
    <t>2018-08-26T16:36:10+00:00</t>
  </si>
  <si>
    <t>LYQ-ZQPC01-E0-M</t>
  </si>
  <si>
    <t>B075QF627M</t>
  </si>
  <si>
    <t>FARMINGTON</t>
  </si>
  <si>
    <t>61531-1228</t>
  </si>
  <si>
    <t>111-5861732-1963427</t>
  </si>
  <si>
    <t>2018-08-24T19:51:40+00:00</t>
  </si>
  <si>
    <t>2018-08-27T03:01:15+00:00</t>
  </si>
  <si>
    <t>Carteret</t>
  </si>
  <si>
    <t>112-3300963-6281862</t>
  </si>
  <si>
    <t>2018-08-24T19:26:02+00:00</t>
  </si>
  <si>
    <t>2018-08-26T08:45:19+00:00</t>
  </si>
  <si>
    <t>DURHAM</t>
  </si>
  <si>
    <t>27713-8536</t>
  </si>
  <si>
    <t>112-8470624-5492238</t>
  </si>
  <si>
    <t>2018-08-24T17:56:04+00:00</t>
  </si>
  <si>
    <t>2018-08-27T06:07:13+00:00</t>
  </si>
  <si>
    <t>114-2698547-3690624</t>
  </si>
  <si>
    <t>2018-08-24T17:51:56+00:00</t>
  </si>
  <si>
    <t>2018-08-27T13:53:01+00:00</t>
  </si>
  <si>
    <t>114-0520177-3941037</t>
  </si>
  <si>
    <t>2018-08-24T17:46:39+00:00</t>
  </si>
  <si>
    <t>2018-08-26T04:43:04+00:00</t>
  </si>
  <si>
    <t>90034-2044</t>
  </si>
  <si>
    <t>113-0348440-3913003</t>
  </si>
  <si>
    <t>2018-08-24T17:15:25+00:00</t>
  </si>
  <si>
    <t>2018-08-25T07:41:08+00:00</t>
  </si>
  <si>
    <t>Summer Mae Women's V Neck Bohemian Tie Vintage Printed Ethnic Style Beach Dress M</t>
  </si>
  <si>
    <t>LYQ-CLBAH002-M</t>
  </si>
  <si>
    <t>B0758CM83M</t>
  </si>
  <si>
    <t>Los Angeles</t>
  </si>
  <si>
    <t>114-9248049-9336249</t>
  </si>
  <si>
    <t>2018-08-24T16:50:30+00:00</t>
  </si>
  <si>
    <t>2018-08-25T21:36:45+00:00</t>
  </si>
  <si>
    <t>BEAUFORT</t>
  </si>
  <si>
    <t>29907-1522</t>
  </si>
  <si>
    <t>111-0436096-7611413</t>
  </si>
  <si>
    <t>2018-08-24T15:52:54+00:00</t>
  </si>
  <si>
    <t>2018-08-24T21:43:20+00:00</t>
  </si>
  <si>
    <t>East Haven</t>
  </si>
  <si>
    <t>114-2517772-0475441</t>
  </si>
  <si>
    <t>2018-08-24T15:46:15+00:00</t>
  </si>
  <si>
    <t>2018-08-27T04:00:05+00:00</t>
  </si>
  <si>
    <t>33602-3833</t>
  </si>
  <si>
    <t>113-9572373-3017050</t>
  </si>
  <si>
    <t>2018-08-24T15:34:00+00:00</t>
  </si>
  <si>
    <t>2018-08-27T14:07:56+00:00</t>
  </si>
  <si>
    <t>O FALLON</t>
  </si>
  <si>
    <t>63366-7506</t>
  </si>
  <si>
    <t>112-4062981-0003422</t>
  </si>
  <si>
    <t>2018-08-24T13:59:42+00:00</t>
  </si>
  <si>
    <t>2018-08-24T23:19:32+00:00</t>
  </si>
  <si>
    <t>hialeah gardens</t>
  </si>
  <si>
    <t>112-3200948-2547454</t>
  </si>
  <si>
    <t>2018-08-24T13:58:06+00:00</t>
  </si>
  <si>
    <t>2018-08-25T00:37:49+00:00</t>
  </si>
  <si>
    <t>MATTESON</t>
  </si>
  <si>
    <t>60443-1780</t>
  </si>
  <si>
    <t>113-5353252-7828247</t>
  </si>
  <si>
    <t>2018-08-24T13:17:32+00:00</t>
  </si>
  <si>
    <t>2018-08-24T13:17:38+00:00</t>
  </si>
  <si>
    <t>Pending</t>
  </si>
  <si>
    <t>33166-2687</t>
  </si>
  <si>
    <t>114-1156713-8149863</t>
  </si>
  <si>
    <t>2018-08-24T12:17:41+00:00</t>
  </si>
  <si>
    <t>2018-08-25T09:29:30+00:00</t>
  </si>
  <si>
    <t>MANSFIELD</t>
  </si>
  <si>
    <t>02048-1509</t>
  </si>
  <si>
    <t>114-0509607-1409836</t>
  </si>
  <si>
    <t>2018-08-24T09:17:24+00:00</t>
  </si>
  <si>
    <t>2018-08-25T06:44:30+00:00</t>
  </si>
  <si>
    <t>Summer Mae Women's Black/White Mesh Swimwear Two Piece Halter Tankini Top &amp; Bottom</t>
  </si>
  <si>
    <t>YZ-ZQ15905-K0-S</t>
  </si>
  <si>
    <t>B06ZYW3BC1</t>
  </si>
  <si>
    <t>20723-5920</t>
  </si>
  <si>
    <t>111-3399288-5577851</t>
  </si>
  <si>
    <t>2018-08-24T07:24:43+00:00</t>
  </si>
  <si>
    <t>2018-08-25T02:27:49+00:00</t>
  </si>
  <si>
    <t>HALLANDALE BEACH</t>
  </si>
  <si>
    <t>33009-3717</t>
  </si>
  <si>
    <t>112-2556073-7836229</t>
  </si>
  <si>
    <t>2018-08-24T07:03:31+00:00</t>
  </si>
  <si>
    <t>2018-08-26T17:15:47+00:00</t>
  </si>
  <si>
    <t>77015-3319</t>
  </si>
  <si>
    <t>112-7289108-6782655</t>
  </si>
  <si>
    <t>2018-08-24T03:41:56+00:00</t>
  </si>
  <si>
    <t>2018-08-25T04:32:48+00:00</t>
  </si>
  <si>
    <t>111-8192671-4883414</t>
  </si>
  <si>
    <t>2018-08-24T03:35:38+00:00</t>
  </si>
  <si>
    <t>2018-08-24T09:35:58+00:00</t>
  </si>
  <si>
    <t>113-3314513-8377009</t>
  </si>
  <si>
    <t>2018-08-24T01:22:49+00:00</t>
  </si>
  <si>
    <t>2018-08-25T10:13:26+00:00</t>
  </si>
  <si>
    <t>Corona</t>
  </si>
  <si>
    <t>114-4232087-0774612</t>
  </si>
  <si>
    <t>2018-08-24T01:19:17+00:00</t>
  </si>
  <si>
    <t>2018-08-25T03:28:09+00:00</t>
  </si>
  <si>
    <t>BURLINGAME</t>
  </si>
  <si>
    <t>94010-4370</t>
  </si>
  <si>
    <t>112-5728475-0357041</t>
  </si>
  <si>
    <t>2018-08-24T01:18:51+00:00</t>
  </si>
  <si>
    <t>2018-08-25T04:31:25+00:00</t>
  </si>
  <si>
    <t>92691-4630</t>
  </si>
  <si>
    <t>113-3856058-9477837</t>
  </si>
  <si>
    <t>2018-08-24T01:16:45+00:00</t>
  </si>
  <si>
    <t>2018-08-24T08:45:13+00:00</t>
  </si>
  <si>
    <t>ROSLINDALE</t>
  </si>
  <si>
    <t>02131-2751</t>
  </si>
  <si>
    <t>114-8983216-9387402</t>
  </si>
  <si>
    <t>2018-08-24T00:09:35+00:00</t>
  </si>
  <si>
    <t>2018-08-26T09:38:44+00:00</t>
  </si>
  <si>
    <t>WASECA</t>
  </si>
  <si>
    <t>56093-1826</t>
  </si>
  <si>
    <t>114-5764239-5169865</t>
  </si>
  <si>
    <t>2018-08-25T21:46:49+00:00</t>
  </si>
  <si>
    <t>2018-08-27T02:08:27+00:00</t>
  </si>
  <si>
    <t>77008-3055</t>
  </si>
  <si>
    <t>112-4159920-8420267</t>
  </si>
  <si>
    <t>2018-08-25T19:31:12+00:00</t>
  </si>
  <si>
    <t>2018-08-25T19:31:17+00:00</t>
  </si>
  <si>
    <t>114-2784659-3227405</t>
  </si>
  <si>
    <t>2018-08-25T18:50:32+00:00</t>
  </si>
  <si>
    <t>2018-08-27T01:36:28+00:00</t>
  </si>
  <si>
    <t>114-8472171-9522634</t>
  </si>
  <si>
    <t>2018-08-25T18:47:49+00:00</t>
  </si>
  <si>
    <t>2018-08-26T19:07:25+00:00</t>
  </si>
  <si>
    <t>GRAYSLAKE</t>
  </si>
  <si>
    <t>60030-3723</t>
  </si>
  <si>
    <t>113-8079303-5263451</t>
  </si>
  <si>
    <t>2018-08-25T18:22:05+00:00</t>
  </si>
  <si>
    <t>2018-08-26T21:28:44+00:00</t>
  </si>
  <si>
    <t>OAKLEY</t>
  </si>
  <si>
    <t>94561-2705</t>
  </si>
  <si>
    <t>112-0720971-8198608</t>
  </si>
  <si>
    <t>2018-08-25T16:57:50+00:00</t>
  </si>
  <si>
    <t>2018-08-26T01:06:24+00:00</t>
  </si>
  <si>
    <t>Duxbury</t>
  </si>
  <si>
    <t>ma</t>
  </si>
  <si>
    <t>114-3682432-2947437</t>
  </si>
  <si>
    <t>2018-08-25T16:17:36+00:00</t>
  </si>
  <si>
    <t>2018-08-26T09:41:04+00:00</t>
  </si>
  <si>
    <t>40299-6826</t>
  </si>
  <si>
    <t>112-5412410-0969818</t>
  </si>
  <si>
    <t>2018-08-25T15:58:42+00:00</t>
  </si>
  <si>
    <t>2018-08-26T09:26:55+00:00</t>
  </si>
  <si>
    <t>Frankford</t>
  </si>
  <si>
    <t>Delaware</t>
  </si>
  <si>
    <t>111-4386509-2958647</t>
  </si>
  <si>
    <t>2018-08-25T13:51:47+00:00</t>
  </si>
  <si>
    <t>2018-08-26T09:47:01+00:00</t>
  </si>
  <si>
    <t>MABLETON</t>
  </si>
  <si>
    <t>30126-3206</t>
  </si>
  <si>
    <t>114-0598902-5305060</t>
  </si>
  <si>
    <t>2018-08-25T13:32:51+00:00</t>
  </si>
  <si>
    <t>2018-08-27T22:36:18+00:00</t>
  </si>
  <si>
    <t>Riyadh</t>
  </si>
  <si>
    <t>SA</t>
  </si>
  <si>
    <t>114-9696875-8220255</t>
  </si>
  <si>
    <t>2018-08-25T09:40:48+00:00</t>
  </si>
  <si>
    <t>2018-08-25T21:25:57+00:00</t>
  </si>
  <si>
    <t>33147-4434</t>
  </si>
  <si>
    <t>112-5983735-2077857</t>
  </si>
  <si>
    <t>2018-08-25T06:51:17+00:00</t>
  </si>
  <si>
    <t>2018-08-26T10:35:54+00:00</t>
  </si>
  <si>
    <t>FORT MILL</t>
  </si>
  <si>
    <t>29707-2501</t>
  </si>
  <si>
    <t>111-4383816-9536237</t>
  </si>
  <si>
    <t>2018-08-25T06:09:17+00:00</t>
  </si>
  <si>
    <t>2018-08-28T00:35:12+00:00</t>
  </si>
  <si>
    <t>77057-2012</t>
  </si>
  <si>
    <t>114-2175923-3231406</t>
  </si>
  <si>
    <t>2018-08-25T05:02:33+00:00</t>
  </si>
  <si>
    <t>2018-08-26T19:29:20+00:00</t>
  </si>
  <si>
    <t>92027-6749</t>
  </si>
  <si>
    <t>113-5600046-8971465</t>
  </si>
  <si>
    <t>2018-08-25T04:37:33+00:00</t>
  </si>
  <si>
    <t>2018-08-26T16:20:13+00:00</t>
  </si>
  <si>
    <t>07036-7208</t>
  </si>
  <si>
    <t>112-6449569-3385815</t>
  </si>
  <si>
    <t>2018-08-25T03:28:07+00:00</t>
  </si>
  <si>
    <t>2018-08-25T10:29:40+00:00</t>
  </si>
  <si>
    <t>45503-5083</t>
  </si>
  <si>
    <t>114-6462889-4304260</t>
  </si>
  <si>
    <t>2018-08-25T03:21:07+00:00</t>
  </si>
  <si>
    <t>2018-08-25T03:21:17+00:00</t>
  </si>
  <si>
    <t>BRANDON</t>
  </si>
  <si>
    <t>33511-9345</t>
  </si>
  <si>
    <t>114-5683796-0995442</t>
  </si>
  <si>
    <t>2018-08-25T03:03:32+00:00</t>
  </si>
  <si>
    <t>2018-08-25T10:35:02+00:00</t>
  </si>
  <si>
    <t>37938-2542</t>
  </si>
  <si>
    <t>114-4031569-9490627</t>
  </si>
  <si>
    <t>2018-08-25T01:44:51+00:00</t>
  </si>
  <si>
    <t>2018-08-25T03:17:57+00:00</t>
  </si>
  <si>
    <t>Tampa</t>
  </si>
  <si>
    <t>33624-1534</t>
  </si>
  <si>
    <t>114-2322504-3117058</t>
  </si>
  <si>
    <t>2018-08-25T01:39:19+00:00</t>
  </si>
  <si>
    <t>2018-08-26T02:49:54+00:00</t>
  </si>
  <si>
    <t>FREDERICK</t>
  </si>
  <si>
    <t>21702-3056</t>
  </si>
  <si>
    <t>111-3118066-3110638</t>
  </si>
  <si>
    <t>2018-08-25T00:25:45+00:00</t>
  </si>
  <si>
    <t>2018-08-25T08:41:10+00:00</t>
  </si>
  <si>
    <t>MONTGOMERY</t>
  </si>
  <si>
    <t>36117-6316</t>
  </si>
  <si>
    <t>114-6621710-1866623</t>
  </si>
  <si>
    <t>2018-08-25T00:06:00+00:00</t>
  </si>
  <si>
    <t>2018-08-26T04:29:28+00:00</t>
  </si>
  <si>
    <t>10458-5039</t>
  </si>
  <si>
    <t>112-7035269-5809857</t>
  </si>
  <si>
    <t>2018-08-26T22:17:20+00:00</t>
  </si>
  <si>
    <t>2018-08-28T02:50:59+00:00</t>
  </si>
  <si>
    <t>Manteca</t>
  </si>
  <si>
    <t>111-4038847-5838646</t>
  </si>
  <si>
    <t>2018-08-26T22:06:58+00:00</t>
  </si>
  <si>
    <t>2018-08-27T16:25:57+00:00</t>
  </si>
  <si>
    <t>YZ-ZQ1521RF5XL</t>
  </si>
  <si>
    <t>B01GJPCWIW</t>
  </si>
  <si>
    <t>SAYVILLE</t>
  </si>
  <si>
    <t>11782-2327</t>
  </si>
  <si>
    <t>114-6799000-6044222</t>
  </si>
  <si>
    <t>2018-08-26T22:02:38+00:00</t>
  </si>
  <si>
    <t>2018-08-26T22:02:43+00:00</t>
  </si>
  <si>
    <t>FAYETTEVILLE</t>
  </si>
  <si>
    <t>28306-4601</t>
  </si>
  <si>
    <t>114-7466277-6683469</t>
  </si>
  <si>
    <t>2018-08-26T22:01:11+00:00</t>
  </si>
  <si>
    <t>2018-08-27T09:57:13+00:00</t>
  </si>
  <si>
    <t>TEMECULA</t>
  </si>
  <si>
    <t>92592-5442</t>
  </si>
  <si>
    <t>113-0141480-4582647</t>
  </si>
  <si>
    <t>2018-08-26T21:37:05+00:00</t>
  </si>
  <si>
    <t>2018-08-27T04:40:41+00:00</t>
  </si>
  <si>
    <t>90013-2216</t>
  </si>
  <si>
    <t>114-7378063-2977816</t>
  </si>
  <si>
    <t>2018-08-26T21:33:31+00:00</t>
  </si>
  <si>
    <t>2018-08-27T21:00:36+00:00</t>
  </si>
  <si>
    <t>Rochester</t>
  </si>
  <si>
    <t>112-7625070-2972233</t>
  </si>
  <si>
    <t>2018-08-26T21:29:08+00:00</t>
  </si>
  <si>
    <t>2018-08-27T18:50:40+00:00</t>
  </si>
  <si>
    <t>DETROIT</t>
  </si>
  <si>
    <t>48234-4125</t>
  </si>
  <si>
    <t>113-1297350-6690604</t>
  </si>
  <si>
    <t>2018-08-26T21:28:54+00:00</t>
  </si>
  <si>
    <t>2018-08-27T23:04:59+00:00</t>
  </si>
  <si>
    <t>Womens Knitted Long Sweater Dress Tunic Navy L</t>
  </si>
  <si>
    <t>LYQ-ZQ2973-ZL-L</t>
  </si>
  <si>
    <t>B075F1G31B</t>
  </si>
  <si>
    <t>PUYALLUP</t>
  </si>
  <si>
    <t>98375-6187</t>
  </si>
  <si>
    <t>111-0932630-6732265</t>
  </si>
  <si>
    <t>2018-08-26T18:59:42+00:00</t>
  </si>
  <si>
    <t>2018-08-27T05:44:59+00:00</t>
  </si>
  <si>
    <t>55408-2367</t>
  </si>
  <si>
    <t>114-5455066-2217832</t>
  </si>
  <si>
    <t>2018-08-26T18:12:57+00:00</t>
  </si>
  <si>
    <t>2018-08-27T02:37:58+00:00</t>
  </si>
  <si>
    <t>LAWRENCEBURG</t>
  </si>
  <si>
    <t>47025-7383</t>
  </si>
  <si>
    <t>111-5274171-9693001</t>
  </si>
  <si>
    <t>2018-08-26T17:25:30+00:00</t>
  </si>
  <si>
    <t>2018-08-27T19:07:59+00:00</t>
  </si>
  <si>
    <t>02472-4940</t>
  </si>
  <si>
    <t>113-5099704-6353069</t>
  </si>
  <si>
    <t>2018-08-26T16:48:53+00:00</t>
  </si>
  <si>
    <t>2018-08-27T16:24:39+00:00</t>
  </si>
  <si>
    <t>46220-2015</t>
  </si>
  <si>
    <t>112-8197428-7589808</t>
  </si>
  <si>
    <t>2018-08-26T16:30:31+00:00</t>
  </si>
  <si>
    <t>2018-08-27T19:40:40+00:00</t>
  </si>
  <si>
    <t>EAST BRUNSWICK</t>
  </si>
  <si>
    <t>08816-4306</t>
  </si>
  <si>
    <t>112-3926177-2109868</t>
  </si>
  <si>
    <t>2018-08-26T16:15:16+00:00</t>
  </si>
  <si>
    <t>2018-08-26T16:17:11+00:00</t>
  </si>
  <si>
    <t>FRISCO</t>
  </si>
  <si>
    <t>75034-0936</t>
  </si>
  <si>
    <t>113-5399116-0009039</t>
  </si>
  <si>
    <t>2018-08-26T15:30:38+00:00</t>
  </si>
  <si>
    <t>2018-08-28T02:31:44+00:00</t>
  </si>
  <si>
    <t>11217-3557</t>
  </si>
  <si>
    <t>114-2280372-9945031</t>
  </si>
  <si>
    <t>2018-08-26T13:43:29+00:00</t>
  </si>
  <si>
    <t>2018-08-28T03:33:09+00:00</t>
  </si>
  <si>
    <t>YZ-ZQ15827W0L</t>
  </si>
  <si>
    <t>B01ID5DVN6</t>
  </si>
  <si>
    <t>MCKINNEY</t>
  </si>
  <si>
    <t>75070-6414</t>
  </si>
  <si>
    <t>113-5666648-5788214</t>
  </si>
  <si>
    <t>2018-08-26T13:36:08+00:00</t>
  </si>
  <si>
    <t>2018-08-27T23:30:15+00:00</t>
  </si>
  <si>
    <t>76063-2530</t>
  </si>
  <si>
    <t>114-8986677-3189816</t>
  </si>
  <si>
    <t>2018-08-26T12:56:38+00:00</t>
  </si>
  <si>
    <t>2018-08-27T18:04:56+00:00</t>
  </si>
  <si>
    <t>Bryans Road</t>
  </si>
  <si>
    <t>112-7910675-7113844</t>
  </si>
  <si>
    <t>2018-08-26T09:23:51+00:00</t>
  </si>
  <si>
    <t>2018-08-27T16:54:02+00:00</t>
  </si>
  <si>
    <t>VENICE</t>
  </si>
  <si>
    <t>90291-3944</t>
  </si>
  <si>
    <t>112-9733007-1585829</t>
  </si>
  <si>
    <t>2018-08-26T05:30:33+00:00</t>
  </si>
  <si>
    <t>2018-08-28T03:03:49+00:00</t>
  </si>
  <si>
    <t>GRIMES</t>
  </si>
  <si>
    <t>50111-8764</t>
  </si>
  <si>
    <t>112-5049444-4676213</t>
  </si>
  <si>
    <t>2018-08-26T04:03:52+00:00</t>
  </si>
  <si>
    <t>2018-08-27T21:46:37+00:00</t>
  </si>
  <si>
    <t>11236-3510</t>
  </si>
  <si>
    <t>114-8896039-1608230</t>
  </si>
  <si>
    <t>2018-08-26T03:57:27+00:00</t>
  </si>
  <si>
    <t>2018-08-27T20:45:57+00:00</t>
  </si>
  <si>
    <t>LUXEMBURG</t>
  </si>
  <si>
    <t>54217-9701</t>
  </si>
  <si>
    <t>112-9008912-0959410</t>
  </si>
  <si>
    <t>2018-08-26T03:30:48+00:00</t>
  </si>
  <si>
    <t>2018-08-27T20:28:50+00:00</t>
  </si>
  <si>
    <t>FORT WALTON BEACH</t>
  </si>
  <si>
    <t>32548-5861</t>
  </si>
  <si>
    <t>112-5416107-2157867</t>
  </si>
  <si>
    <t>2018-08-26T03:10:04+00:00</t>
  </si>
  <si>
    <t>2018-08-27T19:55:03+00:00</t>
  </si>
  <si>
    <t>PADUCAH</t>
  </si>
  <si>
    <t>42003-8895</t>
  </si>
  <si>
    <t>111-2420681-6320253</t>
  </si>
  <si>
    <t>2018-08-26T02:28:01+00:00</t>
  </si>
  <si>
    <t>2018-08-26T10:31:25+00:00</t>
  </si>
  <si>
    <t>RIDGEWAY,</t>
  </si>
  <si>
    <t>24148-4023</t>
  </si>
  <si>
    <t>112-5356303-4894632</t>
  </si>
  <si>
    <t>2018-08-26T00:27:47+00:00</t>
  </si>
  <si>
    <t>2018-08-26T00:56:40+00:00</t>
  </si>
  <si>
    <t>32714-4543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</si>
  <si>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</si>
  <si>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</si>
  <si>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</si>
  <si>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</si>
  <si>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</si>
  <si>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</si>
  <si>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</si>
  <si>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</si>
  <si>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</si>
  <si>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</si>
  <si>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</si>
  <si>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TBYPJBLACK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</si>
  <si>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</si>
  <si>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</si>
  <si>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</si>
  <si>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</si>
  <si>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</si>
  <si>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</si>
  <si>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</si>
  <si>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</si>
  <si>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</si>
  <si>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</si>
  <si>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</si>
  <si>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</si>
  <si>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YZ-ZQFT1816</t>
  </si>
  <si>
    <t>LYQ-ZQ3550</t>
  </si>
  <si>
    <t>YZ-HMBKN17015</t>
  </si>
  <si>
    <t>YZ-ZQBL03</t>
  </si>
  <si>
    <t>YZ-SUZQ388</t>
  </si>
  <si>
    <t>LYQ-ZQ2973</t>
  </si>
  <si>
    <t>LYQ-ZQ456</t>
  </si>
  <si>
    <t>YZ-HM1728</t>
  </si>
  <si>
    <t>YZ-HM1727</t>
  </si>
  <si>
    <t>YZ-ZQ1521</t>
  </si>
  <si>
    <t>YZ-SUBL03</t>
  </si>
  <si>
    <t>LYQ-ZQ1117</t>
  </si>
  <si>
    <t>YZ-ZQQ9217</t>
  </si>
  <si>
    <t>YZ-SUZQBL03</t>
  </si>
  <si>
    <t>YZ-HM111</t>
  </si>
  <si>
    <t>YZ-HM7035</t>
  </si>
  <si>
    <t>YZ-ZQSG16121</t>
  </si>
  <si>
    <t>YZ-SM-HM30CH</t>
  </si>
  <si>
    <t>YZ-ZQ112</t>
  </si>
  <si>
    <t>LYQ-ZQPC01</t>
  </si>
  <si>
    <t>SHJ-ZQLS12</t>
  </si>
  <si>
    <t>LYQ-HM1205</t>
  </si>
  <si>
    <t>WJ-ZQ650</t>
  </si>
  <si>
    <t>YZ-ZQZY456</t>
  </si>
  <si>
    <t>YZ-ZQ15827</t>
  </si>
  <si>
    <t>YZ-ZQadn1601</t>
  </si>
  <si>
    <t>SJ-HM1995</t>
  </si>
  <si>
    <t>YZ-ZQ789</t>
  </si>
  <si>
    <t>YZ-ZQQ9227</t>
  </si>
  <si>
    <t>LYQ-LY064</t>
  </si>
  <si>
    <t>YZ-JY5694</t>
  </si>
  <si>
    <t>YZ-HM1757</t>
  </si>
  <si>
    <t>YZ-ZQ1617</t>
  </si>
  <si>
    <t>YZ-JY2526</t>
  </si>
  <si>
    <t>YZ-ZQ17958</t>
  </si>
  <si>
    <t>LYQ-ZQD390</t>
  </si>
  <si>
    <t>LYQ-ZQ1669</t>
  </si>
  <si>
    <t>LYQ-ZQTN2611</t>
  </si>
  <si>
    <t>LYQ-1001</t>
  </si>
  <si>
    <t>LYQ-ZQS1741</t>
  </si>
  <si>
    <t>LYQ-ZQ8200</t>
  </si>
  <si>
    <t>SHJ-ZQLS01</t>
  </si>
  <si>
    <t>YZ-SUZQ598</t>
  </si>
  <si>
    <t>LYQ-CL6287</t>
  </si>
  <si>
    <t>LYQ-ZQMB3811</t>
  </si>
  <si>
    <t>MZ-JY1616</t>
  </si>
  <si>
    <t>YZ-HM174164</t>
  </si>
  <si>
    <t>YZ-ZQ19758</t>
  </si>
  <si>
    <t>YZ-ZQ7777</t>
  </si>
  <si>
    <t>YZ-ZQ6667</t>
  </si>
  <si>
    <t>YZ-ZQTWA1</t>
  </si>
  <si>
    <t>YZ-ZQ8867</t>
  </si>
  <si>
    <t>YZ-CL912</t>
  </si>
  <si>
    <t>YZ-ZQ1519</t>
  </si>
  <si>
    <t>YZ-HM7889</t>
  </si>
  <si>
    <t>YZ-HM241</t>
  </si>
  <si>
    <t>YZ-ZQ6189</t>
  </si>
  <si>
    <t>YZ-HMBKN30</t>
  </si>
  <si>
    <t>YZ-HMVS</t>
  </si>
  <si>
    <t>YZ-HM1683</t>
  </si>
  <si>
    <t>YZ-ZQMICAI</t>
  </si>
  <si>
    <t>YZ-SUZQ187</t>
  </si>
  <si>
    <t>LYQ-ZQ7900</t>
  </si>
  <si>
    <t>LYQ-CLBAH002</t>
  </si>
  <si>
    <t>YZ-HM17845</t>
  </si>
  <si>
    <t>YZ-ZQ16597</t>
  </si>
  <si>
    <t>YZ-ZQ15905</t>
  </si>
</sst>
</file>

<file path=xl/styles.xml><?xml version="1.0" encoding="utf-8"?>
<styleSheet xmlns="http://schemas.openxmlformats.org/spreadsheetml/2006/main">
  <numFmts count="5">
    <numFmt numFmtId="176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1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0" fillId="17" borderId="8" applyNumberFormat="0" applyAlignment="0" applyProtection="0">
      <alignment vertical="center"/>
    </xf>
    <xf numFmtId="0" fontId="12" fillId="17" borderId="5" applyNumberFormat="0" applyAlignment="0" applyProtection="0">
      <alignment vertical="center"/>
    </xf>
    <xf numFmtId="0" fontId="8" fillId="7" borderId="4" applyNumberFormat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</cellStyleXfs>
  <cellXfs count="11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1171575</xdr:colOff>
          <xdr:row>0</xdr:row>
          <xdr:rowOff>0</xdr:rowOff>
        </xdr:from>
        <xdr:to>
          <xdr:col>34</xdr:col>
          <xdr:colOff>676275</xdr:colOff>
          <xdr:row>2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391870" y="0"/>
              <a:ext cx="13766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0</xdr:rowOff>
        </xdr:from>
        <xdr:to>
          <xdr:col>5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73450" y="361950"/>
              <a:ext cx="139065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52750" y="1809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6958140000000-36</v>
          </cell>
          <cell r="B2" t="str">
            <v>6958140000000</v>
          </cell>
        </row>
        <row r="3">
          <cell r="A3" t="str">
            <v>9CUE9N-00TLXXXL</v>
          </cell>
          <cell r="B3" t="str">
            <v>9CUE9N</v>
          </cell>
        </row>
        <row r="4">
          <cell r="A4" t="str">
            <v>9CUE9N-01SLXXXL</v>
          </cell>
          <cell r="B4" t="str">
            <v>9CUE9N</v>
          </cell>
        </row>
        <row r="5">
          <cell r="A5" t="str">
            <v>9CUE9N-04Y0XXXL</v>
          </cell>
          <cell r="B5" t="str">
            <v>9CUE9N</v>
          </cell>
        </row>
        <row r="6">
          <cell r="A6" t="str">
            <v>ARDIANCOF</v>
          </cell>
          <cell r="B6" t="str">
            <v>ARDIANCOF</v>
          </cell>
        </row>
        <row r="7">
          <cell r="A7" t="str">
            <v>AWFSNANKU-2292B0-31</v>
          </cell>
          <cell r="B7" t="str">
            <v>AWFSNANKU</v>
          </cell>
        </row>
        <row r="8">
          <cell r="A8" t="str">
            <v>BBSA140*180CM</v>
          </cell>
          <cell r="B8" t="str">
            <v>BBSA</v>
          </cell>
        </row>
        <row r="9">
          <cell r="A9" t="str">
            <v>BH-E628-EYEA</v>
          </cell>
          <cell r="B9" t="str">
            <v>BH-E628</v>
          </cell>
        </row>
        <row r="10">
          <cell r="A10" t="str">
            <v>BKN-666</v>
          </cell>
          <cell r="B10" t="str">
            <v>BKN-666</v>
          </cell>
        </row>
        <row r="11">
          <cell r="A11" t="str">
            <v>BKN-666B0L</v>
          </cell>
          <cell r="B11" t="str">
            <v>BKN-666</v>
          </cell>
        </row>
        <row r="12">
          <cell r="A12" t="str">
            <v>BKN-666B0M</v>
          </cell>
          <cell r="B12" t="str">
            <v>BKN-666</v>
          </cell>
        </row>
        <row r="13">
          <cell r="A13" t="str">
            <v>BKN-666B0S</v>
          </cell>
          <cell r="B13" t="str">
            <v>BKN-666</v>
          </cell>
        </row>
        <row r="14">
          <cell r="A14" t="str">
            <v>BKN-666B0XL</v>
          </cell>
          <cell r="B14" t="str">
            <v>BKN-666</v>
          </cell>
        </row>
        <row r="15">
          <cell r="A15" t="str">
            <v>BKN-666B0XS</v>
          </cell>
          <cell r="B15" t="str">
            <v>BKN-666</v>
          </cell>
        </row>
        <row r="16">
          <cell r="A16" t="str">
            <v>BKN-666HBL</v>
          </cell>
          <cell r="B16" t="str">
            <v>BKN-666</v>
          </cell>
        </row>
        <row r="17">
          <cell r="A17" t="str">
            <v>BKN-666HBM</v>
          </cell>
          <cell r="B17" t="str">
            <v>BKN-666</v>
          </cell>
        </row>
        <row r="18">
          <cell r="A18" t="str">
            <v>BKN-666HBS</v>
          </cell>
          <cell r="B18" t="str">
            <v>BKN-666</v>
          </cell>
        </row>
        <row r="19">
          <cell r="A19" t="str">
            <v>BKN-666HBXL</v>
          </cell>
          <cell r="B19" t="str">
            <v>BKN-666</v>
          </cell>
        </row>
        <row r="20">
          <cell r="A20" t="str">
            <v>BKN-666HBXS</v>
          </cell>
          <cell r="B20" t="str">
            <v>BKN-666</v>
          </cell>
        </row>
        <row r="21">
          <cell r="A21" t="str">
            <v>BKN-666P0L</v>
          </cell>
          <cell r="B21" t="str">
            <v>BKN-666</v>
          </cell>
        </row>
        <row r="22">
          <cell r="A22" t="str">
            <v>BKN-666P0M</v>
          </cell>
          <cell r="B22" t="str">
            <v>BKN-666</v>
          </cell>
        </row>
        <row r="23">
          <cell r="A23" t="str">
            <v>BKN-666P0S</v>
          </cell>
          <cell r="B23" t="str">
            <v>BKN-666</v>
          </cell>
        </row>
        <row r="24">
          <cell r="A24" t="str">
            <v>BKN-666P0XL</v>
          </cell>
          <cell r="B24" t="str">
            <v>BKN-666</v>
          </cell>
        </row>
        <row r="25">
          <cell r="A25" t="str">
            <v>BKN-666P0XS</v>
          </cell>
          <cell r="B25" t="str">
            <v>BKN-666</v>
          </cell>
        </row>
        <row r="26">
          <cell r="A26" t="str">
            <v>BKN-666Y0L</v>
          </cell>
          <cell r="B26" t="str">
            <v>BKN-666</v>
          </cell>
        </row>
        <row r="27">
          <cell r="A27" t="str">
            <v>BKN-666Y0M</v>
          </cell>
          <cell r="B27" t="str">
            <v>BKN-666</v>
          </cell>
        </row>
        <row r="28">
          <cell r="A28" t="str">
            <v>BKN-666Y0S</v>
          </cell>
          <cell r="B28" t="str">
            <v>BKN-666</v>
          </cell>
        </row>
        <row r="29">
          <cell r="A29" t="str">
            <v>BKN-666Y0XL</v>
          </cell>
          <cell r="B29" t="str">
            <v>BKN-666</v>
          </cell>
        </row>
        <row r="30">
          <cell r="A30" t="str">
            <v>BKN-666Y0XS</v>
          </cell>
          <cell r="B30" t="str">
            <v>BKN-666</v>
          </cell>
        </row>
        <row r="31">
          <cell r="A31" t="str">
            <v>Bottom-5505LB-2XL</v>
          </cell>
          <cell r="B31" t="str">
            <v>FT5505</v>
          </cell>
        </row>
        <row r="32">
          <cell r="A32" t="str">
            <v>Bottom-5505LB-L</v>
          </cell>
          <cell r="B32" t="str">
            <v>FT5505</v>
          </cell>
        </row>
        <row r="33">
          <cell r="A33" t="str">
            <v>Bottom-5505LB-M</v>
          </cell>
          <cell r="B33" t="str">
            <v>FT5505</v>
          </cell>
        </row>
        <row r="34">
          <cell r="A34" t="str">
            <v>Bottom-5505LB-S</v>
          </cell>
          <cell r="B34" t="str">
            <v>FT5505</v>
          </cell>
        </row>
        <row r="35">
          <cell r="A35" t="str">
            <v>Bottom-5505LB-XL</v>
          </cell>
          <cell r="B35" t="str">
            <v>FT5505</v>
          </cell>
        </row>
        <row r="36">
          <cell r="A36" t="str">
            <v>Bottom-5505LB-XS</v>
          </cell>
          <cell r="B36" t="str">
            <v>FT5505</v>
          </cell>
        </row>
        <row r="37">
          <cell r="A37" t="str">
            <v>Bottom-5505PI-2XL</v>
          </cell>
          <cell r="B37" t="str">
            <v>FT5505</v>
          </cell>
        </row>
        <row r="38">
          <cell r="A38" t="str">
            <v>Bottom-5505PI-L</v>
          </cell>
          <cell r="B38" t="str">
            <v>FT5505</v>
          </cell>
        </row>
        <row r="39">
          <cell r="A39" t="str">
            <v>Bottom-5505PI-M</v>
          </cell>
          <cell r="B39" t="str">
            <v>FT5505</v>
          </cell>
        </row>
        <row r="40">
          <cell r="A40" t="str">
            <v>Bottom-5505PI-S</v>
          </cell>
          <cell r="B40" t="str">
            <v>FT5505</v>
          </cell>
        </row>
        <row r="41">
          <cell r="A41" t="str">
            <v>Bottom-5505PI-XL</v>
          </cell>
          <cell r="B41" t="str">
            <v>FT5505</v>
          </cell>
        </row>
        <row r="42">
          <cell r="A42" t="str">
            <v>Bottom-5505PI-XS</v>
          </cell>
          <cell r="B42" t="str">
            <v>FT5505</v>
          </cell>
        </row>
        <row r="43">
          <cell r="A43" t="str">
            <v>Bottom-5505ZL-2XL</v>
          </cell>
          <cell r="B43" t="str">
            <v>FT5505</v>
          </cell>
        </row>
        <row r="44">
          <cell r="A44" t="str">
            <v>Bottom-5505ZL-L</v>
          </cell>
          <cell r="B44" t="str">
            <v>FT5505</v>
          </cell>
        </row>
        <row r="45">
          <cell r="A45" t="str">
            <v>Bottom-5505ZL-M</v>
          </cell>
          <cell r="B45" t="str">
            <v>FT5505</v>
          </cell>
        </row>
        <row r="46">
          <cell r="A46" t="str">
            <v>Bottom-5505ZL-S</v>
          </cell>
          <cell r="B46" t="str">
            <v>FT5505</v>
          </cell>
        </row>
        <row r="47">
          <cell r="A47" t="str">
            <v>Bottom-5505ZL-XL</v>
          </cell>
          <cell r="B47" t="str">
            <v>FT5505</v>
          </cell>
        </row>
        <row r="48">
          <cell r="A48" t="str">
            <v>Bottom-5505ZL-XS</v>
          </cell>
          <cell r="B48" t="str">
            <v>FT5505</v>
          </cell>
        </row>
        <row r="49">
          <cell r="A49" t="str">
            <v>Bottom-HM7702-GZK0-2XL</v>
          </cell>
          <cell r="B49" t="str">
            <v>Top-HM7702</v>
          </cell>
        </row>
        <row r="50">
          <cell r="A50" t="str">
            <v>Bottom-HM7702-GZK0-3XL</v>
          </cell>
          <cell r="B50" t="str">
            <v>Top-HM7702</v>
          </cell>
        </row>
        <row r="51">
          <cell r="A51" t="str">
            <v>Bottom-HM7702-GZK0-L</v>
          </cell>
          <cell r="B51" t="str">
            <v>Top-HM7702</v>
          </cell>
        </row>
        <row r="52">
          <cell r="A52" t="str">
            <v>Bottom-HM7702-GZK0-M</v>
          </cell>
          <cell r="B52" t="str">
            <v>Top-HM7702</v>
          </cell>
        </row>
        <row r="53">
          <cell r="A53" t="str">
            <v>Bottom-HM7702-GZK0-S</v>
          </cell>
          <cell r="B53" t="str">
            <v>Top-HM7702</v>
          </cell>
        </row>
        <row r="54">
          <cell r="A54" t="str">
            <v>Bottom-HM7702-GZK0-XL</v>
          </cell>
          <cell r="B54" t="str">
            <v>Top-HM7702</v>
          </cell>
        </row>
        <row r="55">
          <cell r="A55" t="str">
            <v>Bottom-HM7702-GZR0-2XL</v>
          </cell>
          <cell r="B55" t="str">
            <v>Top-HM7702</v>
          </cell>
        </row>
        <row r="56">
          <cell r="A56" t="str">
            <v>Bottom-HM7702-GZR0-3XL</v>
          </cell>
          <cell r="B56" t="str">
            <v>Top-HM7702</v>
          </cell>
        </row>
        <row r="57">
          <cell r="A57" t="str">
            <v>Bottom-HM7702-GZR0-L</v>
          </cell>
          <cell r="B57" t="str">
            <v>Top-HM7702</v>
          </cell>
        </row>
        <row r="58">
          <cell r="A58" t="str">
            <v>Bottom-HM7702-GZR0-M</v>
          </cell>
          <cell r="B58" t="str">
            <v>Top-HM7702</v>
          </cell>
        </row>
        <row r="59">
          <cell r="A59" t="str">
            <v>Bottom-HM7702-GZR0-S</v>
          </cell>
          <cell r="B59" t="str">
            <v>Top-HM7702</v>
          </cell>
        </row>
        <row r="60">
          <cell r="A60" t="str">
            <v>Bottom-HM7702-GZR0-XL</v>
          </cell>
          <cell r="B60" t="str">
            <v>Top-HM7702</v>
          </cell>
        </row>
        <row r="61">
          <cell r="A61" t="str">
            <v>Bottom-HM7702-K0-2XL</v>
          </cell>
          <cell r="B61" t="str">
            <v>Top-HM7702</v>
          </cell>
        </row>
        <row r="62">
          <cell r="A62" t="str">
            <v>Bottom-HM7702-K0-3XL</v>
          </cell>
          <cell r="B62" t="str">
            <v>Top-HM7702</v>
          </cell>
        </row>
        <row r="63">
          <cell r="A63" t="str">
            <v>Bottom-HM7702-K0-L</v>
          </cell>
          <cell r="B63" t="str">
            <v>Top-HM7702</v>
          </cell>
        </row>
        <row r="64">
          <cell r="A64" t="str">
            <v>Bottom-HM7702-K0-M</v>
          </cell>
          <cell r="B64" t="str">
            <v>Top-HM7702</v>
          </cell>
        </row>
        <row r="65">
          <cell r="A65" t="str">
            <v>Bottom-HM7702-K0-S</v>
          </cell>
          <cell r="B65" t="str">
            <v>Top-HM7702</v>
          </cell>
        </row>
        <row r="66">
          <cell r="A66" t="str">
            <v>Bottom-HM7702-K0-XL</v>
          </cell>
          <cell r="B66" t="str">
            <v>Top-HM7702</v>
          </cell>
        </row>
        <row r="67">
          <cell r="A67" t="str">
            <v>BYZBFS140*140CM</v>
          </cell>
          <cell r="B67" t="str">
            <v>BYZBFS</v>
          </cell>
        </row>
        <row r="68">
          <cell r="A68" t="str">
            <v>BYZBFS140*200CM</v>
          </cell>
          <cell r="B68" t="str">
            <v>BYZBFS</v>
          </cell>
        </row>
        <row r="69">
          <cell r="A69" t="str">
            <v>BYZBFS140*250CM</v>
          </cell>
          <cell r="B69" t="str">
            <v>BYZBFS</v>
          </cell>
        </row>
        <row r="70">
          <cell r="A70" t="str">
            <v>BYZBFS90*140CM</v>
          </cell>
          <cell r="B70" t="str">
            <v>BYZBFS</v>
          </cell>
        </row>
        <row r="71">
          <cell r="A71" t="str">
            <v>BYZBLANS140*140CM</v>
          </cell>
          <cell r="B71" t="str">
            <v>BYZBLANS</v>
          </cell>
        </row>
        <row r="72">
          <cell r="A72" t="str">
            <v>BYZBLANS140*180CM</v>
          </cell>
          <cell r="B72" t="str">
            <v>BYZBLANS</v>
          </cell>
        </row>
        <row r="73">
          <cell r="A73" t="str">
            <v>BYZBLANS140*220CM</v>
          </cell>
          <cell r="B73" t="str">
            <v>BYZBLANS</v>
          </cell>
        </row>
        <row r="74">
          <cell r="A74" t="str">
            <v>BYZBLANS60*60CM</v>
          </cell>
          <cell r="B74" t="str">
            <v>BYZBLANS</v>
          </cell>
        </row>
        <row r="75">
          <cell r="A75" t="str">
            <v>CA-BKN16024-Y0-L</v>
          </cell>
          <cell r="B75" t="str">
            <v>CA-BKN16024</v>
          </cell>
        </row>
        <row r="76">
          <cell r="A76" t="str">
            <v>CA-BKN16024-Y0-M</v>
          </cell>
          <cell r="B76" t="str">
            <v>CA-BKN16024</v>
          </cell>
        </row>
        <row r="77">
          <cell r="A77" t="str">
            <v>CA-BKN16024-Y0-S</v>
          </cell>
          <cell r="B77" t="str">
            <v>CA-BKN16024</v>
          </cell>
        </row>
        <row r="78">
          <cell r="A78" t="str">
            <v>CA-HM1727-Pi-2XL</v>
          </cell>
          <cell r="B78" t="str">
            <v>CA-HM1727</v>
          </cell>
        </row>
        <row r="79">
          <cell r="A79" t="str">
            <v>CA-HM1727-Pi-5XL</v>
          </cell>
          <cell r="B79" t="str">
            <v>CA-HM1727</v>
          </cell>
        </row>
        <row r="80">
          <cell r="A80" t="str">
            <v>CA-HM1727-Pi-L</v>
          </cell>
          <cell r="B80" t="str">
            <v>CA-HM1727</v>
          </cell>
        </row>
        <row r="81">
          <cell r="A81" t="str">
            <v>CA-HM1727-Pi-S</v>
          </cell>
          <cell r="B81" t="str">
            <v>CA-HM1727</v>
          </cell>
        </row>
        <row r="82">
          <cell r="A82" t="str">
            <v>CA-HM1727-Pi-XL</v>
          </cell>
          <cell r="B82" t="str">
            <v>CA-HM1727</v>
          </cell>
        </row>
        <row r="83">
          <cell r="A83" t="str">
            <v>CA-HM1789-B0TW-2XL</v>
          </cell>
          <cell r="B83" t="str">
            <v>CA-HM1789</v>
          </cell>
        </row>
        <row r="84">
          <cell r="A84" t="str">
            <v>CA-HM1789-B0TW-L</v>
          </cell>
          <cell r="B84" t="str">
            <v>CA-HM1789</v>
          </cell>
        </row>
        <row r="85">
          <cell r="A85" t="str">
            <v>CA-HM1789-B0TW-M</v>
          </cell>
          <cell r="B85" t="str">
            <v>CA-HM1789</v>
          </cell>
        </row>
        <row r="86">
          <cell r="A86" t="str">
            <v>CA-HM1789-B0TW-S</v>
          </cell>
          <cell r="B86" t="str">
            <v>CA-HM1789</v>
          </cell>
        </row>
        <row r="87">
          <cell r="A87" t="str">
            <v>CA-HM1789-B2-2XL</v>
          </cell>
          <cell r="B87" t="str">
            <v>CA-HM1789</v>
          </cell>
        </row>
        <row r="88">
          <cell r="A88" t="str">
            <v>CA-HM1789-B2-L</v>
          </cell>
          <cell r="B88" t="str">
            <v>CA-HM1789</v>
          </cell>
        </row>
        <row r="89">
          <cell r="A89" t="str">
            <v>CA-HM1789-B2-M</v>
          </cell>
          <cell r="B89" t="str">
            <v>CA-HM1789</v>
          </cell>
        </row>
        <row r="90">
          <cell r="A90" t="str">
            <v>CA-HM1789-B2-S</v>
          </cell>
          <cell r="B90" t="str">
            <v>CA-HM1789</v>
          </cell>
        </row>
        <row r="91">
          <cell r="A91" t="str">
            <v>CA-HM1789-B2-XL</v>
          </cell>
          <cell r="B91" t="str">
            <v>CA-HM1789</v>
          </cell>
        </row>
        <row r="92">
          <cell r="A92" t="str">
            <v>CA-HM1789-FL-2XL</v>
          </cell>
          <cell r="B92" t="str">
            <v>CA-HM1789</v>
          </cell>
        </row>
        <row r="93">
          <cell r="A93" t="str">
            <v>CA-HM1789-FL-L</v>
          </cell>
          <cell r="B93" t="str">
            <v>CA-HM1789</v>
          </cell>
        </row>
        <row r="94">
          <cell r="A94" t="str">
            <v>CA-HM1789-FL-M</v>
          </cell>
          <cell r="B94" t="str">
            <v>CA-HM1789</v>
          </cell>
        </row>
        <row r="95">
          <cell r="A95" t="str">
            <v>CA-HM1789-FL-S</v>
          </cell>
          <cell r="B95" t="str">
            <v>CA-HM1789</v>
          </cell>
        </row>
        <row r="96">
          <cell r="A96" t="str">
            <v>CA-HM1789-FL-XL</v>
          </cell>
          <cell r="B96" t="str">
            <v>CA-HM1789</v>
          </cell>
        </row>
        <row r="97">
          <cell r="A97" t="str">
            <v>CA-HM1789-GrTW-2XL</v>
          </cell>
          <cell r="B97" t="str">
            <v>CA-HM1789</v>
          </cell>
        </row>
        <row r="98">
          <cell r="A98" t="str">
            <v>CA-HM1789-GrTW-L</v>
          </cell>
          <cell r="B98" t="str">
            <v>CA-HM1789</v>
          </cell>
        </row>
        <row r="99">
          <cell r="A99" t="str">
            <v>CA-HM1789-GrTW-M</v>
          </cell>
          <cell r="B99" t="str">
            <v>CA-HM1789</v>
          </cell>
        </row>
        <row r="100">
          <cell r="A100" t="str">
            <v>CA-HM1789-GrTW-S</v>
          </cell>
          <cell r="B100" t="str">
            <v>CA-HM1789</v>
          </cell>
        </row>
        <row r="101">
          <cell r="A101" t="str">
            <v>CA-HM1789-GrTW-XL</v>
          </cell>
          <cell r="B101" t="str">
            <v>CA-HM1789</v>
          </cell>
        </row>
        <row r="102">
          <cell r="A102" t="str">
            <v>CA-HM1789-GZ-2XL</v>
          </cell>
          <cell r="B102" t="str">
            <v>CA-HM1789</v>
          </cell>
        </row>
        <row r="103">
          <cell r="A103" t="str">
            <v>CA-HM1789-GZ-L</v>
          </cell>
          <cell r="B103" t="str">
            <v>CA-HM1789</v>
          </cell>
        </row>
        <row r="104">
          <cell r="A104" t="str">
            <v>CA-HM1789-GZ-M</v>
          </cell>
          <cell r="B104" t="str">
            <v>CA-HM1789</v>
          </cell>
        </row>
        <row r="105">
          <cell r="A105" t="str">
            <v>CA-HM1789-GZ-S</v>
          </cell>
          <cell r="B105" t="str">
            <v>CA-HM1789</v>
          </cell>
        </row>
        <row r="106">
          <cell r="A106" t="str">
            <v>CA-HM1789-GZ-XL</v>
          </cell>
          <cell r="B106" t="str">
            <v>CA-HM1789</v>
          </cell>
        </row>
        <row r="107">
          <cell r="A107" t="str">
            <v>CA-HM1789-K0-2XL</v>
          </cell>
          <cell r="B107" t="str">
            <v>CA-HM1789</v>
          </cell>
        </row>
        <row r="108">
          <cell r="A108" t="str">
            <v>CA-HM1789-K0-L</v>
          </cell>
          <cell r="B108" t="str">
            <v>CA-HM1789</v>
          </cell>
        </row>
        <row r="109">
          <cell r="A109" t="str">
            <v>CA-HM1789-K0-M</v>
          </cell>
          <cell r="B109" t="str">
            <v>CA-HM1789</v>
          </cell>
        </row>
        <row r="110">
          <cell r="A110" t="str">
            <v>CA-HM1789-K0-S</v>
          </cell>
          <cell r="B110" t="str">
            <v>CA-HM1789</v>
          </cell>
        </row>
        <row r="111">
          <cell r="A111" t="str">
            <v>CA-HM1789-K0-XL</v>
          </cell>
          <cell r="B111" t="str">
            <v>CA-HM1789</v>
          </cell>
        </row>
        <row r="112">
          <cell r="A112" t="str">
            <v>CA-HM1789-PI-2XL</v>
          </cell>
          <cell r="B112" t="str">
            <v>CA-HM1789</v>
          </cell>
        </row>
        <row r="113">
          <cell r="A113" t="str">
            <v>CA-HM1789-PI-L</v>
          </cell>
          <cell r="B113" t="str">
            <v>CA-HM1789</v>
          </cell>
        </row>
        <row r="114">
          <cell r="A114" t="str">
            <v>CA-HM1789-PI-M</v>
          </cell>
          <cell r="B114" t="str">
            <v>CA-HM1789</v>
          </cell>
        </row>
        <row r="115">
          <cell r="A115" t="str">
            <v>CA-HM1789-PI-S</v>
          </cell>
          <cell r="B115" t="str">
            <v>CA-HM1789</v>
          </cell>
        </row>
        <row r="116">
          <cell r="A116" t="str">
            <v>CA-HM1789-PiTW-2XL</v>
          </cell>
          <cell r="B116" t="str">
            <v>CA-HM1789</v>
          </cell>
        </row>
        <row r="117">
          <cell r="A117" t="str">
            <v>CA-HM1789-PiTW-L</v>
          </cell>
          <cell r="B117" t="str">
            <v>CA-HM1789</v>
          </cell>
        </row>
        <row r="118">
          <cell r="A118" t="str">
            <v>CA-HM1789-PiTW-M</v>
          </cell>
          <cell r="B118" t="str">
            <v>CA-HM1789</v>
          </cell>
        </row>
        <row r="119">
          <cell r="A119" t="str">
            <v>CA-HM1789-PiTW-S</v>
          </cell>
          <cell r="B119" t="str">
            <v>CA-HM1789</v>
          </cell>
        </row>
        <row r="120">
          <cell r="A120" t="str">
            <v>CA-HM1789-PiTW-XL</v>
          </cell>
          <cell r="B120" t="str">
            <v>CA-HM1789</v>
          </cell>
        </row>
        <row r="121">
          <cell r="A121" t="str">
            <v>CA-HM1789-PI-XL</v>
          </cell>
          <cell r="B121" t="str">
            <v>CA-HM1789</v>
          </cell>
        </row>
        <row r="122">
          <cell r="A122" t="str">
            <v>CA-HM1789-PP-2XL</v>
          </cell>
          <cell r="B122" t="str">
            <v>CA-HM1789</v>
          </cell>
        </row>
        <row r="123">
          <cell r="A123" t="str">
            <v>CA-HM1789-PP-L</v>
          </cell>
          <cell r="B123" t="str">
            <v>CA-HM1789</v>
          </cell>
        </row>
        <row r="124">
          <cell r="A124" t="str">
            <v>CA-HM1789-PP-M</v>
          </cell>
          <cell r="B124" t="str">
            <v>CA-HM1789</v>
          </cell>
        </row>
        <row r="125">
          <cell r="A125" t="str">
            <v>CA-HM1789-PP-S</v>
          </cell>
          <cell r="B125" t="str">
            <v>CA-HM1789</v>
          </cell>
        </row>
        <row r="126">
          <cell r="A126" t="str">
            <v>CA-HM1789-PP-XL</v>
          </cell>
          <cell r="B126" t="str">
            <v>CA-HM1789</v>
          </cell>
        </row>
        <row r="127">
          <cell r="A127" t="str">
            <v>CA-HM1789-R2-2XL</v>
          </cell>
          <cell r="B127" t="str">
            <v>CA-HM1789</v>
          </cell>
        </row>
        <row r="128">
          <cell r="A128" t="str">
            <v>CA-HM1789-R2-L</v>
          </cell>
          <cell r="B128" t="str">
            <v>CA-HM1789</v>
          </cell>
        </row>
        <row r="129">
          <cell r="A129" t="str">
            <v>CA-HM1789-R2-M</v>
          </cell>
          <cell r="B129" t="str">
            <v>CA-HM1789</v>
          </cell>
        </row>
        <row r="130">
          <cell r="A130" t="str">
            <v>CA-HM1789-R2-S</v>
          </cell>
          <cell r="B130" t="str">
            <v>CA-HM1789</v>
          </cell>
        </row>
        <row r="131">
          <cell r="A131" t="str">
            <v>CA-HM1789-R2-XL</v>
          </cell>
          <cell r="B131" t="str">
            <v>CA-HM1789</v>
          </cell>
        </row>
        <row r="132">
          <cell r="A132" t="str">
            <v>CA-HM1789-W0-2XL</v>
          </cell>
          <cell r="B132" t="str">
            <v>CA-HM1789</v>
          </cell>
        </row>
        <row r="133">
          <cell r="A133" t="str">
            <v>CA-HM1789-W0-L</v>
          </cell>
          <cell r="B133" t="str">
            <v>CA-HM1789</v>
          </cell>
        </row>
        <row r="134">
          <cell r="A134" t="str">
            <v>CA-HM1789-W0-M</v>
          </cell>
          <cell r="B134" t="str">
            <v>CA-HM1789</v>
          </cell>
        </row>
        <row r="135">
          <cell r="A135" t="str">
            <v>CA-HM1789-W0-S</v>
          </cell>
          <cell r="B135" t="str">
            <v>CA-HM1789</v>
          </cell>
        </row>
        <row r="136">
          <cell r="A136" t="str">
            <v>CA-HM1789-W0-XL</v>
          </cell>
          <cell r="B136" t="str">
            <v>CA-HM1789</v>
          </cell>
        </row>
        <row r="137">
          <cell r="A137" t="str">
            <v>CA-HM1789-Y0-2XL</v>
          </cell>
          <cell r="B137" t="str">
            <v>CA-HM1789</v>
          </cell>
        </row>
        <row r="138">
          <cell r="A138" t="str">
            <v>CA-HM1789-Y0-L</v>
          </cell>
          <cell r="B138" t="str">
            <v>CA-HM1789</v>
          </cell>
        </row>
        <row r="139">
          <cell r="A139" t="str">
            <v>CA-HM1789-Y0-M</v>
          </cell>
          <cell r="B139" t="str">
            <v>CA-HM1789</v>
          </cell>
        </row>
        <row r="140">
          <cell r="A140" t="str">
            <v>CA-HM1789-Y0-S</v>
          </cell>
          <cell r="B140" t="str">
            <v>CA-HM1789</v>
          </cell>
        </row>
        <row r="141">
          <cell r="A141" t="str">
            <v>CA-HM1789-Y0-XL</v>
          </cell>
          <cell r="B141" t="str">
            <v>CA-HM1789</v>
          </cell>
        </row>
        <row r="142">
          <cell r="A142" t="str">
            <v>CA-HM1789-ZL-2XL</v>
          </cell>
          <cell r="B142" t="str">
            <v>CA-HM1789</v>
          </cell>
        </row>
        <row r="143">
          <cell r="A143" t="str">
            <v>CA-HM1789-ZL-L</v>
          </cell>
          <cell r="B143" t="str">
            <v>CA-HM1789</v>
          </cell>
        </row>
        <row r="144">
          <cell r="A144" t="str">
            <v>CA-HM1789-ZL-M</v>
          </cell>
          <cell r="B144" t="str">
            <v>CA-HM1789</v>
          </cell>
        </row>
        <row r="145">
          <cell r="A145" t="str">
            <v>CA-HM1789-ZL-S</v>
          </cell>
          <cell r="B145" t="str">
            <v>CA-HM1789</v>
          </cell>
        </row>
        <row r="146">
          <cell r="A146" t="str">
            <v>CA-HM1789-ZL-XL</v>
          </cell>
          <cell r="B146" t="str">
            <v>CA-HM1789</v>
          </cell>
        </row>
        <row r="147">
          <cell r="A147" t="str">
            <v>CA-LYQ2015P0</v>
          </cell>
          <cell r="B147" t="str">
            <v>CA-LYQ2015P0</v>
          </cell>
        </row>
        <row r="148">
          <cell r="A148" t="str">
            <v>CA-XZ-HMXX018-Y0-3637</v>
          </cell>
          <cell r="B148" t="str">
            <v>CA-XZ-HMXX018</v>
          </cell>
        </row>
        <row r="149">
          <cell r="A149" t="str">
            <v>CA-XZ-HMXX018-Y0-3839</v>
          </cell>
          <cell r="B149" t="str">
            <v>CA-XZ-HMXX018</v>
          </cell>
        </row>
        <row r="150">
          <cell r="A150" t="str">
            <v>CA-XZ-HMXX018-Y0-3940</v>
          </cell>
          <cell r="B150" t="str">
            <v>CA-XZ-HMXX018</v>
          </cell>
        </row>
        <row r="151">
          <cell r="A151" t="str">
            <v>CFY-M1798-AG-L</v>
          </cell>
          <cell r="B151" t="str">
            <v>CFY-M1798</v>
          </cell>
        </row>
        <row r="152">
          <cell r="A152" t="str">
            <v>CFY-M1798-AG-M</v>
          </cell>
          <cell r="B152" t="str">
            <v>CFY-M1798</v>
          </cell>
        </row>
        <row r="153">
          <cell r="A153" t="str">
            <v>CFY-M1798-AG-S</v>
          </cell>
          <cell r="B153" t="str">
            <v>CFY-M1798</v>
          </cell>
        </row>
        <row r="154">
          <cell r="A154" t="str">
            <v>CFY-M1798-AG-XL</v>
          </cell>
          <cell r="B154" t="str">
            <v>CFY-M1798</v>
          </cell>
        </row>
        <row r="155">
          <cell r="A155" t="str">
            <v>CFY-M1798-AG-XXL</v>
          </cell>
          <cell r="B155" t="str">
            <v>CFY-M1798</v>
          </cell>
        </row>
        <row r="156">
          <cell r="A156" t="str">
            <v>CFY-M1798-BK-L</v>
          </cell>
          <cell r="B156" t="str">
            <v>CFY-M1798</v>
          </cell>
        </row>
        <row r="157">
          <cell r="A157" t="str">
            <v>CFY-M1798-BK-M</v>
          </cell>
          <cell r="B157" t="str">
            <v>CFY-M1798</v>
          </cell>
        </row>
        <row r="158">
          <cell r="A158" t="str">
            <v>CFY-M1798-BK-S</v>
          </cell>
          <cell r="B158" t="str">
            <v>CFY-M1798</v>
          </cell>
        </row>
        <row r="159">
          <cell r="A159" t="str">
            <v>CFY-M1798-BK-XL</v>
          </cell>
          <cell r="B159" t="str">
            <v>CFY-M1798</v>
          </cell>
        </row>
        <row r="160">
          <cell r="A160" t="str">
            <v>CFY-M1798-BK-XXL</v>
          </cell>
          <cell r="B160" t="str">
            <v>CFY-M1798</v>
          </cell>
        </row>
        <row r="161">
          <cell r="A161" t="str">
            <v>CFY-M1798-BL-L</v>
          </cell>
          <cell r="B161" t="str">
            <v>CFY-M1798</v>
          </cell>
        </row>
        <row r="162">
          <cell r="A162" t="str">
            <v>CFY-M1798-BL-M</v>
          </cell>
          <cell r="B162" t="str">
            <v>CFY-M1798</v>
          </cell>
        </row>
        <row r="163">
          <cell r="A163" t="str">
            <v>CFY-M1798-BL-S</v>
          </cell>
          <cell r="B163" t="str">
            <v>CFY-M1798</v>
          </cell>
        </row>
        <row r="164">
          <cell r="A164" t="str">
            <v>CFY-M1798-BL-XL</v>
          </cell>
          <cell r="B164" t="str">
            <v>CFY-M1798</v>
          </cell>
        </row>
        <row r="165">
          <cell r="A165" t="str">
            <v>CFY-M1798-BL-XXL</v>
          </cell>
          <cell r="B165" t="str">
            <v>CFY-M1798</v>
          </cell>
        </row>
        <row r="166">
          <cell r="A166" t="str">
            <v>CFY-M1798-RD-L</v>
          </cell>
          <cell r="B166" t="str">
            <v>CFY-M1798</v>
          </cell>
        </row>
        <row r="167">
          <cell r="A167" t="str">
            <v>CFY-M1798-RD-M</v>
          </cell>
          <cell r="B167" t="str">
            <v>CFY-M1798</v>
          </cell>
        </row>
        <row r="168">
          <cell r="A168" t="str">
            <v>CFY-M1798-RD-S</v>
          </cell>
          <cell r="B168" t="str">
            <v>CFY-M1798</v>
          </cell>
        </row>
        <row r="169">
          <cell r="A169" t="str">
            <v>CFY-M1798-RD-XL</v>
          </cell>
          <cell r="B169" t="str">
            <v>CFY-M1798</v>
          </cell>
        </row>
        <row r="170">
          <cell r="A170" t="str">
            <v>CFY-M1798-RD-XXL</v>
          </cell>
          <cell r="B170" t="str">
            <v>CFY-M1798</v>
          </cell>
        </row>
        <row r="171">
          <cell r="A171" t="str">
            <v>CFY-M1830-AG-L</v>
          </cell>
          <cell r="B171" t="str">
            <v>CFY-M1830</v>
          </cell>
        </row>
        <row r="172">
          <cell r="A172" t="str">
            <v>CFY-M1830-AG-M</v>
          </cell>
          <cell r="B172" t="str">
            <v>CFY-M1830</v>
          </cell>
        </row>
        <row r="173">
          <cell r="A173" t="str">
            <v>CFY-M1830-AG-S</v>
          </cell>
          <cell r="B173" t="str">
            <v>CFY-M1830</v>
          </cell>
        </row>
        <row r="174">
          <cell r="A174" t="str">
            <v>CFY-M1830-AG-XL</v>
          </cell>
          <cell r="B174" t="str">
            <v>CFY-M1830</v>
          </cell>
        </row>
        <row r="175">
          <cell r="A175" t="str">
            <v>CFY-M1830-AG-XXL</v>
          </cell>
          <cell r="B175" t="str">
            <v>CFY-M1830</v>
          </cell>
        </row>
        <row r="176">
          <cell r="A176" t="str">
            <v>CFY-M1830-BK-L</v>
          </cell>
          <cell r="B176" t="str">
            <v>CFY-M1830</v>
          </cell>
        </row>
        <row r="177">
          <cell r="A177" t="str">
            <v>CFY-M1830-BK-M</v>
          </cell>
          <cell r="B177" t="str">
            <v>CFY-M1830</v>
          </cell>
        </row>
        <row r="178">
          <cell r="A178" t="str">
            <v>CFY-M1830-BK-S</v>
          </cell>
          <cell r="B178" t="str">
            <v>CFY-M1830</v>
          </cell>
        </row>
        <row r="179">
          <cell r="A179" t="str">
            <v>CFY-M1830-BK-XL</v>
          </cell>
          <cell r="B179" t="str">
            <v>CFY-M1830</v>
          </cell>
        </row>
        <row r="180">
          <cell r="A180" t="str">
            <v>CFY-M1830-BK-XXL</v>
          </cell>
          <cell r="B180" t="str">
            <v>CFY-M1830</v>
          </cell>
        </row>
        <row r="181">
          <cell r="A181" t="str">
            <v>CFY-M1830-BL-L</v>
          </cell>
          <cell r="B181" t="str">
            <v>CFY-M1830</v>
          </cell>
        </row>
        <row r="182">
          <cell r="A182" t="str">
            <v>CFY-M1830-BL-M</v>
          </cell>
          <cell r="B182" t="str">
            <v>CFY-M1830</v>
          </cell>
        </row>
        <row r="183">
          <cell r="A183" t="str">
            <v>CFY-M1830-BL-S</v>
          </cell>
          <cell r="B183" t="str">
            <v>CFY-M1830</v>
          </cell>
        </row>
        <row r="184">
          <cell r="A184" t="str">
            <v>CFY-M1830-BL-XL</v>
          </cell>
          <cell r="B184" t="str">
            <v>CFY-M1830</v>
          </cell>
        </row>
        <row r="185">
          <cell r="A185" t="str">
            <v>CFY-M1830-BL-XXL</v>
          </cell>
          <cell r="B185" t="str">
            <v>CFY-M1830</v>
          </cell>
        </row>
        <row r="186">
          <cell r="A186" t="str">
            <v>CFY-M1830-LB-L</v>
          </cell>
          <cell r="B186" t="str">
            <v>CFY-M1830</v>
          </cell>
        </row>
        <row r="187">
          <cell r="A187" t="str">
            <v>CFY-M1830-LB-M</v>
          </cell>
          <cell r="B187" t="str">
            <v>CFY-M1830</v>
          </cell>
        </row>
        <row r="188">
          <cell r="A188" t="str">
            <v>CFY-M1830-LB-S</v>
          </cell>
          <cell r="B188" t="str">
            <v>CFY-M1830</v>
          </cell>
        </row>
        <row r="189">
          <cell r="A189" t="str">
            <v>CFY-M1830-LB-XL</v>
          </cell>
          <cell r="B189" t="str">
            <v>CFY-M1830</v>
          </cell>
        </row>
        <row r="190">
          <cell r="A190" t="str">
            <v>CFY-M1830-LB-XXL</v>
          </cell>
          <cell r="B190" t="str">
            <v>CFY-M1830</v>
          </cell>
        </row>
        <row r="191">
          <cell r="A191" t="str">
            <v>CFY-M1830-RD-L</v>
          </cell>
          <cell r="B191" t="str">
            <v>CFY-M1830</v>
          </cell>
        </row>
        <row r="192">
          <cell r="A192" t="str">
            <v>CFY-M1830-RD-M</v>
          </cell>
          <cell r="B192" t="str">
            <v>CFY-M1830</v>
          </cell>
        </row>
        <row r="193">
          <cell r="A193" t="str">
            <v>CFY-M1830-RD-S</v>
          </cell>
          <cell r="B193" t="str">
            <v>CFY-M1830</v>
          </cell>
        </row>
        <row r="194">
          <cell r="A194" t="str">
            <v>CFY-M1830-RD-XL</v>
          </cell>
          <cell r="B194" t="str">
            <v>CFY-M1830</v>
          </cell>
        </row>
        <row r="195">
          <cell r="A195" t="str">
            <v>CFY-M1830-RD-XXL</v>
          </cell>
          <cell r="B195" t="str">
            <v>CFY-M1830</v>
          </cell>
        </row>
        <row r="196">
          <cell r="A196" t="str">
            <v>CFY-W1798-BK-L</v>
          </cell>
          <cell r="B196" t="str">
            <v>CFY-W1798</v>
          </cell>
        </row>
        <row r="197">
          <cell r="A197" t="str">
            <v>CFY-W1798-BK-M</v>
          </cell>
          <cell r="B197" t="str">
            <v>CFY-W1798</v>
          </cell>
        </row>
        <row r="198">
          <cell r="A198" t="str">
            <v>CFY-W1798-BK-S</v>
          </cell>
          <cell r="B198" t="str">
            <v>CFY-W1798</v>
          </cell>
        </row>
        <row r="199">
          <cell r="A199" t="str">
            <v>CFY-W1798-BK-XL</v>
          </cell>
          <cell r="B199" t="str">
            <v>CFY-W1798</v>
          </cell>
        </row>
        <row r="200">
          <cell r="A200" t="str">
            <v>CFY-W1798-BL-L</v>
          </cell>
          <cell r="B200" t="str">
            <v>CFY-W1798</v>
          </cell>
        </row>
        <row r="201">
          <cell r="A201" t="str">
            <v>CFY-W1798-BL-M</v>
          </cell>
          <cell r="B201" t="str">
            <v>CFY-W1798</v>
          </cell>
        </row>
        <row r="202">
          <cell r="A202" t="str">
            <v>CFY-W1798-BL-S</v>
          </cell>
          <cell r="B202" t="str">
            <v>CFY-W1798</v>
          </cell>
        </row>
        <row r="203">
          <cell r="A203" t="str">
            <v>CFY-W1798-BL-XL</v>
          </cell>
          <cell r="B203" t="str">
            <v>CFY-W1798</v>
          </cell>
        </row>
        <row r="204">
          <cell r="A204" t="str">
            <v>CFY-W1798-RD-L</v>
          </cell>
          <cell r="B204" t="str">
            <v>CFY-W1798</v>
          </cell>
        </row>
        <row r="205">
          <cell r="A205" t="str">
            <v>CFY-W1798-RD-M</v>
          </cell>
          <cell r="B205" t="str">
            <v>CFY-W1798</v>
          </cell>
        </row>
        <row r="206">
          <cell r="A206" t="str">
            <v>CFY-W1798-RD-S</v>
          </cell>
          <cell r="B206" t="str">
            <v>CFY-W1798</v>
          </cell>
        </row>
        <row r="207">
          <cell r="A207" t="str">
            <v>CFY-W1798-RD-XL</v>
          </cell>
          <cell r="B207" t="str">
            <v>CFY-W1798</v>
          </cell>
        </row>
        <row r="208">
          <cell r="A208" t="str">
            <v>CFY-W1798-RR-L</v>
          </cell>
          <cell r="B208" t="str">
            <v>CFY-W1798</v>
          </cell>
        </row>
        <row r="209">
          <cell r="A209" t="str">
            <v>CFY-W1798-RR-M</v>
          </cell>
          <cell r="B209" t="str">
            <v>CFY-W1798</v>
          </cell>
        </row>
        <row r="210">
          <cell r="A210" t="str">
            <v>CFY-W1798-RR-S</v>
          </cell>
          <cell r="B210" t="str">
            <v>CFY-W1798</v>
          </cell>
        </row>
        <row r="211">
          <cell r="A211" t="str">
            <v>CFY-W1798-RR-XL</v>
          </cell>
          <cell r="B211" t="str">
            <v>CFY-W1798</v>
          </cell>
        </row>
        <row r="212">
          <cell r="A212" t="str">
            <v>CFY-W1830-BK-L</v>
          </cell>
          <cell r="B212" t="str">
            <v>CFY-W1830</v>
          </cell>
        </row>
        <row r="213">
          <cell r="A213" t="str">
            <v>CFY-W1830-BK-M</v>
          </cell>
          <cell r="B213" t="str">
            <v>CFY-W1830</v>
          </cell>
        </row>
        <row r="214">
          <cell r="A214" t="str">
            <v>CFY-W1830-BK-S</v>
          </cell>
          <cell r="B214" t="str">
            <v>CFY-W1830</v>
          </cell>
        </row>
        <row r="215">
          <cell r="A215" t="str">
            <v>CFY-W1830-BK-XL</v>
          </cell>
          <cell r="B215" t="str">
            <v>CFY-W1830</v>
          </cell>
        </row>
        <row r="216">
          <cell r="A216" t="str">
            <v>CFY-W1830-BL-L</v>
          </cell>
          <cell r="B216" t="str">
            <v>CFY-W1830</v>
          </cell>
        </row>
        <row r="217">
          <cell r="A217" t="str">
            <v>CFY-W1830-BL-M</v>
          </cell>
          <cell r="B217" t="str">
            <v>CFY-W1830</v>
          </cell>
        </row>
        <row r="218">
          <cell r="A218" t="str">
            <v>CFY-W1830-BL-S</v>
          </cell>
          <cell r="B218" t="str">
            <v>CFY-W1830</v>
          </cell>
        </row>
        <row r="219">
          <cell r="A219" t="str">
            <v>CFY-W1830-BL-XL</v>
          </cell>
          <cell r="B219" t="str">
            <v>CFY-W1830</v>
          </cell>
        </row>
        <row r="220">
          <cell r="A220" t="str">
            <v>CFY-W1830-PP-L</v>
          </cell>
          <cell r="B220" t="str">
            <v>CFY-W1830</v>
          </cell>
        </row>
        <row r="221">
          <cell r="A221" t="str">
            <v>CFY-W1830-PP-M</v>
          </cell>
          <cell r="B221" t="str">
            <v>CFY-W1830</v>
          </cell>
        </row>
        <row r="222">
          <cell r="A222" t="str">
            <v>CFY-W1830-PP-S</v>
          </cell>
          <cell r="B222" t="str">
            <v>CFY-W1830</v>
          </cell>
        </row>
        <row r="223">
          <cell r="A223" t="str">
            <v>CFY-W1830-PP-XL</v>
          </cell>
          <cell r="B223" t="str">
            <v>CFY-W1830</v>
          </cell>
        </row>
        <row r="224">
          <cell r="A224" t="str">
            <v>CFY-W1830-RD-L</v>
          </cell>
          <cell r="B224" t="str">
            <v>CFY-W1830</v>
          </cell>
        </row>
        <row r="225">
          <cell r="A225" t="str">
            <v>CFY-W1830-RD-M</v>
          </cell>
          <cell r="B225" t="str">
            <v>CFY-W1830</v>
          </cell>
        </row>
        <row r="226">
          <cell r="A226" t="str">
            <v>CFY-W1830-RD-S</v>
          </cell>
          <cell r="B226" t="str">
            <v>CFY-W1830</v>
          </cell>
        </row>
        <row r="227">
          <cell r="A227" t="str">
            <v>CFY-W1830-RD-XL</v>
          </cell>
          <cell r="B227" t="str">
            <v>CFY-W1830</v>
          </cell>
        </row>
        <row r="228">
          <cell r="A228" t="str">
            <v>CFY-W1830-RR-L</v>
          </cell>
          <cell r="B228" t="str">
            <v>CFY-W1830</v>
          </cell>
        </row>
        <row r="229">
          <cell r="A229" t="str">
            <v>CFY-W1830-RR-M</v>
          </cell>
          <cell r="B229" t="str">
            <v>CFY-W1830</v>
          </cell>
        </row>
        <row r="230">
          <cell r="A230" t="str">
            <v>CFY-W1830-RR-S</v>
          </cell>
          <cell r="B230" t="str">
            <v>CFY-W1830</v>
          </cell>
        </row>
        <row r="231">
          <cell r="A231" t="str">
            <v>CFY-W1830-RR-XL</v>
          </cell>
          <cell r="B231" t="str">
            <v>CFY-W1830</v>
          </cell>
        </row>
        <row r="232">
          <cell r="A232" t="str">
            <v>CS-DSW002W0L</v>
          </cell>
          <cell r="B232" t="str">
            <v>CS-DSW002</v>
          </cell>
        </row>
        <row r="233">
          <cell r="A233" t="str">
            <v>CS-DSW002W0M</v>
          </cell>
          <cell r="B233" t="str">
            <v>CS-DSW002</v>
          </cell>
        </row>
        <row r="234">
          <cell r="A234" t="str">
            <v>CS-DSW002W0S</v>
          </cell>
          <cell r="B234" t="str">
            <v>CS-DSW002</v>
          </cell>
        </row>
        <row r="235">
          <cell r="A235" t="str">
            <v>CS-DSW002W0XL-1</v>
          </cell>
          <cell r="B235" t="str">
            <v>CS-DSW002</v>
          </cell>
        </row>
        <row r="236">
          <cell r="A236" t="str">
            <v>CS-LY082-G0-L</v>
          </cell>
          <cell r="B236" t="str">
            <v>CS-LY082</v>
          </cell>
        </row>
        <row r="237">
          <cell r="A237" t="str">
            <v>CS-LY082-G0-M</v>
          </cell>
          <cell r="B237" t="str">
            <v>CS-LY082</v>
          </cell>
        </row>
        <row r="238">
          <cell r="A238" t="str">
            <v>CS-LY082-G0-S</v>
          </cell>
          <cell r="B238" t="str">
            <v>CS-LY082</v>
          </cell>
        </row>
        <row r="239">
          <cell r="A239" t="str">
            <v>CS-LY082-G0-XL</v>
          </cell>
          <cell r="B239" t="str">
            <v>CS-LY082</v>
          </cell>
        </row>
        <row r="240">
          <cell r="A240" t="str">
            <v>CS-LY082-G0-XXL</v>
          </cell>
          <cell r="B240" t="str">
            <v>CS-LY082</v>
          </cell>
        </row>
        <row r="241">
          <cell r="A241" t="str">
            <v>CS-LY082-G1-S</v>
          </cell>
          <cell r="B241" t="str">
            <v>CS-LY082</v>
          </cell>
        </row>
        <row r="242">
          <cell r="A242" t="str">
            <v>CS-LY082-K0-L</v>
          </cell>
          <cell r="B242" t="str">
            <v>CS-LY082</v>
          </cell>
        </row>
        <row r="243">
          <cell r="A243" t="str">
            <v>CS-LY082-K0-M</v>
          </cell>
          <cell r="B243" t="str">
            <v>CS-LY082</v>
          </cell>
        </row>
        <row r="244">
          <cell r="A244" t="str">
            <v>CS-LY082-K0-M-GM</v>
          </cell>
          <cell r="B244" t="str">
            <v>CS-LY082</v>
          </cell>
        </row>
        <row r="245">
          <cell r="A245" t="str">
            <v>CS-LY082-K0-S</v>
          </cell>
          <cell r="B245" t="str">
            <v>CS-LY082</v>
          </cell>
        </row>
        <row r="246">
          <cell r="A246" t="str">
            <v>CS-LY082-K0-S-GM</v>
          </cell>
          <cell r="B246" t="str">
            <v>CS-LY082</v>
          </cell>
        </row>
        <row r="247">
          <cell r="A247" t="str">
            <v>CS-LY082-K0-XL</v>
          </cell>
          <cell r="B247" t="str">
            <v>CS-LY082</v>
          </cell>
        </row>
        <row r="248">
          <cell r="A248" t="str">
            <v>CS-LY082-K0-XL-GM</v>
          </cell>
          <cell r="B248" t="str">
            <v>CS-LY082</v>
          </cell>
        </row>
        <row r="249">
          <cell r="A249" t="str">
            <v>CS-LY082-K0-XXL</v>
          </cell>
          <cell r="B249" t="str">
            <v>CS-LY082</v>
          </cell>
        </row>
        <row r="250">
          <cell r="A250" t="str">
            <v>CS-LY082-R0-L</v>
          </cell>
          <cell r="B250" t="str">
            <v>CS-LY082</v>
          </cell>
        </row>
        <row r="251">
          <cell r="A251" t="str">
            <v>CS-LY082-R0-M</v>
          </cell>
          <cell r="B251" t="str">
            <v>CS-LY082</v>
          </cell>
        </row>
        <row r="252">
          <cell r="A252" t="str">
            <v>CS-LY082-R0-S</v>
          </cell>
          <cell r="B252" t="str">
            <v>CS-LY082</v>
          </cell>
        </row>
        <row r="253">
          <cell r="A253" t="str">
            <v>CS-LY082-R0-XL</v>
          </cell>
          <cell r="B253" t="str">
            <v>CS-LY082</v>
          </cell>
        </row>
        <row r="254">
          <cell r="A254" t="str">
            <v>CS-LY082-R0-XXL</v>
          </cell>
          <cell r="B254" t="str">
            <v>CS-LY082</v>
          </cell>
        </row>
        <row r="255">
          <cell r="A255" t="str">
            <v>CS-LY084-H10-L</v>
          </cell>
          <cell r="B255" t="str">
            <v>CS-LY084</v>
          </cell>
        </row>
        <row r="256">
          <cell r="A256" t="str">
            <v>CS-LY084-H10-M</v>
          </cell>
          <cell r="B256" t="str">
            <v>CS-LY084</v>
          </cell>
        </row>
        <row r="257">
          <cell r="A257" t="str">
            <v>CS-LY084-H10-S</v>
          </cell>
          <cell r="B257" t="str">
            <v>CS-LY084</v>
          </cell>
        </row>
        <row r="258">
          <cell r="A258" t="str">
            <v>CS-LY084-H10-XL</v>
          </cell>
          <cell r="B258" t="str">
            <v>CS-LY084</v>
          </cell>
        </row>
        <row r="259">
          <cell r="A259" t="str">
            <v>CS-LY084-H10-XXL</v>
          </cell>
          <cell r="B259" t="str">
            <v>CS-LY084</v>
          </cell>
        </row>
        <row r="260">
          <cell r="A260" t="str">
            <v>CS-LY084-H12-L</v>
          </cell>
          <cell r="B260" t="str">
            <v>CS-LY084</v>
          </cell>
        </row>
        <row r="261">
          <cell r="A261" t="str">
            <v>CS-LY084-H12-M</v>
          </cell>
          <cell r="B261" t="str">
            <v>CS-LY084</v>
          </cell>
        </row>
        <row r="262">
          <cell r="A262" t="str">
            <v>CS-LY084-H12-S</v>
          </cell>
          <cell r="B262" t="str">
            <v>CS-LY084</v>
          </cell>
        </row>
        <row r="263">
          <cell r="A263" t="str">
            <v>CS-LY084-H12-XL</v>
          </cell>
          <cell r="B263" t="str">
            <v>CS-LY084</v>
          </cell>
        </row>
        <row r="264">
          <cell r="A264" t="str">
            <v>CS-LY084-H12-XS</v>
          </cell>
          <cell r="B264" t="str">
            <v>CS-LY084</v>
          </cell>
        </row>
        <row r="265">
          <cell r="A265" t="str">
            <v>CS-LY084-H12-XXL</v>
          </cell>
          <cell r="B265" t="str">
            <v>CS-LY084</v>
          </cell>
        </row>
        <row r="266">
          <cell r="A266" t="str">
            <v>CS-LY084-H15-L</v>
          </cell>
          <cell r="B266" t="str">
            <v>CS-LY084</v>
          </cell>
        </row>
        <row r="267">
          <cell r="A267" t="str">
            <v>CS-LY084-H15-M</v>
          </cell>
          <cell r="B267" t="str">
            <v>CS-LY084</v>
          </cell>
        </row>
        <row r="268">
          <cell r="A268" t="str">
            <v>CS-LY084-H15-S</v>
          </cell>
          <cell r="B268" t="str">
            <v>CS-LY084</v>
          </cell>
        </row>
        <row r="269">
          <cell r="A269" t="str">
            <v>CS-LY084-H15-XL</v>
          </cell>
          <cell r="B269" t="str">
            <v>CS-LY084</v>
          </cell>
        </row>
        <row r="270">
          <cell r="A270" t="str">
            <v>CS-LY084-H15-XS</v>
          </cell>
          <cell r="B270" t="str">
            <v>CS-LY084</v>
          </cell>
        </row>
        <row r="271">
          <cell r="A271" t="str">
            <v>CS-LY084-H15-XXL</v>
          </cell>
          <cell r="B271" t="str">
            <v>CS-LY084</v>
          </cell>
        </row>
        <row r="272">
          <cell r="A272" t="str">
            <v>CS-LY084-H16-L</v>
          </cell>
          <cell r="B272" t="str">
            <v>CS-LY084</v>
          </cell>
        </row>
        <row r="273">
          <cell r="A273" t="str">
            <v>CS-LY084-H16-M</v>
          </cell>
          <cell r="B273" t="str">
            <v>CS-LY084</v>
          </cell>
        </row>
        <row r="274">
          <cell r="A274" t="str">
            <v>CS-LY084-H16-S</v>
          </cell>
          <cell r="B274" t="str">
            <v>CS-LY084</v>
          </cell>
        </row>
        <row r="275">
          <cell r="A275" t="str">
            <v>CS-LY084-H16-XL</v>
          </cell>
          <cell r="B275" t="str">
            <v>CS-LY084</v>
          </cell>
        </row>
        <row r="276">
          <cell r="A276" t="str">
            <v>CS-LY084-H16-XXL</v>
          </cell>
          <cell r="B276" t="str">
            <v>CS-LY084</v>
          </cell>
        </row>
        <row r="277">
          <cell r="A277" t="str">
            <v>CS-LY084-H1-L</v>
          </cell>
          <cell r="B277" t="str">
            <v>CS-LY084</v>
          </cell>
        </row>
        <row r="278">
          <cell r="A278" t="str">
            <v>CS-LY084-H1-M</v>
          </cell>
          <cell r="B278" t="str">
            <v>CS-LY084</v>
          </cell>
        </row>
        <row r="279">
          <cell r="A279" t="str">
            <v>CS-LY084-H1-S</v>
          </cell>
          <cell r="B279" t="str">
            <v>CS-LY084</v>
          </cell>
        </row>
        <row r="280">
          <cell r="A280" t="str">
            <v>CS-LY084-H1-XL</v>
          </cell>
          <cell r="B280" t="str">
            <v>CS-LY084</v>
          </cell>
        </row>
        <row r="281">
          <cell r="A281" t="str">
            <v>CS-LY084-H1-XXL</v>
          </cell>
          <cell r="B281" t="str">
            <v>CS-LY084</v>
          </cell>
        </row>
        <row r="282">
          <cell r="A282" t="str">
            <v>CS-LY084-H2-L</v>
          </cell>
          <cell r="B282" t="str">
            <v>CS-LY084</v>
          </cell>
        </row>
        <row r="283">
          <cell r="A283" t="str">
            <v>CS-LY084-H2-M</v>
          </cell>
          <cell r="B283" t="str">
            <v>CS-LY084</v>
          </cell>
        </row>
        <row r="284">
          <cell r="A284" t="str">
            <v>CS-LY084-H2-S</v>
          </cell>
          <cell r="B284" t="str">
            <v>CS-LY084</v>
          </cell>
        </row>
        <row r="285">
          <cell r="A285" t="str">
            <v>CS-LY084-H2-XL</v>
          </cell>
          <cell r="B285" t="str">
            <v>CS-LY084</v>
          </cell>
        </row>
        <row r="286">
          <cell r="A286" t="str">
            <v>CS-LY084-H2-XXL</v>
          </cell>
          <cell r="B286" t="str">
            <v>CS-LY084</v>
          </cell>
        </row>
        <row r="287">
          <cell r="A287" t="str">
            <v>CS-LY084-H3-L</v>
          </cell>
          <cell r="B287" t="str">
            <v>CS-LY084</v>
          </cell>
        </row>
        <row r="288">
          <cell r="A288" t="str">
            <v>CS-LY084-H3-M</v>
          </cell>
          <cell r="B288" t="str">
            <v>CS-LY084</v>
          </cell>
        </row>
        <row r="289">
          <cell r="A289" t="str">
            <v>CS-LY084-H3-S</v>
          </cell>
          <cell r="B289" t="str">
            <v>CS-LY084</v>
          </cell>
        </row>
        <row r="290">
          <cell r="A290" t="str">
            <v>CS-LY084-H3-XL</v>
          </cell>
          <cell r="B290" t="str">
            <v>CS-LY084</v>
          </cell>
        </row>
        <row r="291">
          <cell r="A291" t="str">
            <v>CS-LY084-H3-XS</v>
          </cell>
          <cell r="B291" t="str">
            <v>CS-LY084</v>
          </cell>
        </row>
        <row r="292">
          <cell r="A292" t="str">
            <v>CS-LY084-H3-XXL</v>
          </cell>
          <cell r="B292" t="str">
            <v>CS-LY084</v>
          </cell>
        </row>
        <row r="293">
          <cell r="A293" t="str">
            <v>CS-LY084-H4-L</v>
          </cell>
          <cell r="B293" t="str">
            <v>CS-LY084</v>
          </cell>
        </row>
        <row r="294">
          <cell r="A294" t="str">
            <v>CS-LY084-H4-M</v>
          </cell>
          <cell r="B294" t="str">
            <v>CS-LY084</v>
          </cell>
        </row>
        <row r="295">
          <cell r="A295" t="str">
            <v>CS-LY084-H4-S</v>
          </cell>
          <cell r="B295" t="str">
            <v>CS-LY084</v>
          </cell>
        </row>
        <row r="296">
          <cell r="A296" t="str">
            <v>CS-LY084-H4-XL</v>
          </cell>
          <cell r="B296" t="str">
            <v>CS-LY084</v>
          </cell>
        </row>
        <row r="297">
          <cell r="A297" t="str">
            <v>CS-LY084-H4-XXL</v>
          </cell>
          <cell r="B297" t="str">
            <v>CS-LY084</v>
          </cell>
        </row>
        <row r="298">
          <cell r="A298" t="str">
            <v>CS-LY084-H6-L</v>
          </cell>
          <cell r="B298" t="str">
            <v>CS-LY084</v>
          </cell>
        </row>
        <row r="299">
          <cell r="A299" t="str">
            <v>CS-LY084-H6-M</v>
          </cell>
          <cell r="B299" t="str">
            <v>CS-LY084</v>
          </cell>
        </row>
        <row r="300">
          <cell r="A300" t="str">
            <v>CS-LY084-H6-S</v>
          </cell>
          <cell r="B300" t="str">
            <v>CS-LY084</v>
          </cell>
        </row>
        <row r="301">
          <cell r="A301" t="str">
            <v>CS-LY084-H6-XL</v>
          </cell>
          <cell r="B301" t="str">
            <v>CS-LY084</v>
          </cell>
        </row>
        <row r="302">
          <cell r="A302" t="str">
            <v>CS-LY084-H6-XXL</v>
          </cell>
          <cell r="B302" t="str">
            <v>CS-LY084</v>
          </cell>
        </row>
        <row r="303">
          <cell r="A303" t="str">
            <v>CS-LY085-G912-L</v>
          </cell>
          <cell r="B303" t="str">
            <v>CS-LY085</v>
          </cell>
        </row>
        <row r="304">
          <cell r="A304" t="str">
            <v>CS-LY085-G912-M</v>
          </cell>
          <cell r="B304" t="str">
            <v>CS-LY085</v>
          </cell>
        </row>
        <row r="305">
          <cell r="A305" t="str">
            <v>CS-LY085-G912-S</v>
          </cell>
          <cell r="B305" t="str">
            <v>CS-LY085</v>
          </cell>
        </row>
        <row r="306">
          <cell r="A306" t="str">
            <v>CS-LY085-G912-XL</v>
          </cell>
          <cell r="B306" t="str">
            <v>CS-LY085</v>
          </cell>
        </row>
        <row r="307">
          <cell r="A307" t="str">
            <v>CS-LY085-G912-XXL</v>
          </cell>
          <cell r="B307" t="str">
            <v>CS-LY085</v>
          </cell>
        </row>
        <row r="308">
          <cell r="A308" t="str">
            <v>CS-LY085-LB916-L</v>
          </cell>
          <cell r="B308" t="str">
            <v>CS-LY085</v>
          </cell>
        </row>
        <row r="309">
          <cell r="A309" t="str">
            <v>CS-LY085-LB916-M</v>
          </cell>
          <cell r="B309" t="str">
            <v>CS-LY085</v>
          </cell>
        </row>
        <row r="310">
          <cell r="A310" t="str">
            <v>CS-LY085-LB916-S</v>
          </cell>
          <cell r="B310" t="str">
            <v>CS-LY085</v>
          </cell>
        </row>
        <row r="311">
          <cell r="A311" t="str">
            <v>CS-LY085-LB916-XL</v>
          </cell>
          <cell r="B311" t="str">
            <v>CS-LY085</v>
          </cell>
        </row>
        <row r="312">
          <cell r="A312" t="str">
            <v>CS-LY085-LB916-XXL</v>
          </cell>
          <cell r="B312" t="str">
            <v>CS-LY085</v>
          </cell>
        </row>
        <row r="313">
          <cell r="A313" t="str">
            <v>CS-LY085-LG907-L</v>
          </cell>
          <cell r="B313" t="str">
            <v>CS-LY085</v>
          </cell>
        </row>
        <row r="314">
          <cell r="A314" t="str">
            <v>CS-LY085-LG907-M</v>
          </cell>
          <cell r="B314" t="str">
            <v>CS-LY085</v>
          </cell>
        </row>
        <row r="315">
          <cell r="A315" t="str">
            <v>CS-LY085-LG907-S</v>
          </cell>
          <cell r="B315" t="str">
            <v>CS-LY085</v>
          </cell>
        </row>
        <row r="316">
          <cell r="A316" t="str">
            <v>CS-LY085-LG907-XL</v>
          </cell>
          <cell r="B316" t="str">
            <v>CS-LY085</v>
          </cell>
        </row>
        <row r="317">
          <cell r="A317" t="str">
            <v>CS-LY085-LG907-XXL</v>
          </cell>
          <cell r="B317" t="str">
            <v>CS-LY085</v>
          </cell>
        </row>
        <row r="318">
          <cell r="A318" t="str">
            <v>CS-LY085-PI908-L</v>
          </cell>
          <cell r="B318" t="str">
            <v>CS-LY085</v>
          </cell>
        </row>
        <row r="319">
          <cell r="A319" t="str">
            <v>CS-LY085-PI908-M</v>
          </cell>
          <cell r="B319" t="str">
            <v>CS-LY085</v>
          </cell>
        </row>
        <row r="320">
          <cell r="A320" t="str">
            <v>CS-LY085-PI908-S</v>
          </cell>
          <cell r="B320" t="str">
            <v>CS-LY085</v>
          </cell>
        </row>
        <row r="321">
          <cell r="A321" t="str">
            <v>CS-LY085-PI908-XL</v>
          </cell>
          <cell r="B321" t="str">
            <v>CS-LY085</v>
          </cell>
        </row>
        <row r="322">
          <cell r="A322" t="str">
            <v>CS-LY085-PI908-XS</v>
          </cell>
          <cell r="B322" t="str">
            <v>CS-LY085</v>
          </cell>
        </row>
        <row r="323">
          <cell r="A323" t="str">
            <v>CS-LY085-PI908-XXL</v>
          </cell>
          <cell r="B323" t="str">
            <v>CS-LY085</v>
          </cell>
        </row>
        <row r="324">
          <cell r="A324" t="str">
            <v>CS-LY085-R901-L</v>
          </cell>
          <cell r="B324" t="str">
            <v>CS-LY085</v>
          </cell>
        </row>
        <row r="325">
          <cell r="A325" t="str">
            <v>CS-LY085-R901-M</v>
          </cell>
          <cell r="B325" t="str">
            <v>CS-LY085</v>
          </cell>
        </row>
        <row r="326">
          <cell r="A326" t="str">
            <v>CS-LY085-R901-S</v>
          </cell>
          <cell r="B326" t="str">
            <v>CS-LY085</v>
          </cell>
        </row>
        <row r="327">
          <cell r="A327" t="str">
            <v>CS-LY085-R901-XL</v>
          </cell>
          <cell r="B327" t="str">
            <v>CS-LY085</v>
          </cell>
        </row>
        <row r="328">
          <cell r="A328" t="str">
            <v>CS-LY085-R901-XXL</v>
          </cell>
          <cell r="B328" t="str">
            <v>CS-LY085</v>
          </cell>
        </row>
        <row r="329">
          <cell r="A329" t="str">
            <v>CS-LY085-Sa911-L</v>
          </cell>
          <cell r="B329" t="str">
            <v>CS-LY085</v>
          </cell>
        </row>
        <row r="330">
          <cell r="A330" t="str">
            <v>CS-LY085-Sa911-M</v>
          </cell>
          <cell r="B330" t="str">
            <v>CS-LY085</v>
          </cell>
        </row>
        <row r="331">
          <cell r="A331" t="str">
            <v>CS-LY085-Sa911-S</v>
          </cell>
          <cell r="B331" t="str">
            <v>CS-LY085</v>
          </cell>
        </row>
        <row r="332">
          <cell r="A332" t="str">
            <v>CS-LY085-Sa911-XL</v>
          </cell>
          <cell r="B332" t="str">
            <v>CS-LY085</v>
          </cell>
        </row>
        <row r="333">
          <cell r="A333" t="str">
            <v>CS-LY085-Sa911-XXL</v>
          </cell>
          <cell r="B333" t="str">
            <v>CS-LY085</v>
          </cell>
        </row>
        <row r="334">
          <cell r="A334" t="str">
            <v>CS-LY085-W902-L</v>
          </cell>
          <cell r="B334" t="str">
            <v>CS-LY085</v>
          </cell>
        </row>
        <row r="335">
          <cell r="A335" t="str">
            <v>CS-LY085-W902-M</v>
          </cell>
          <cell r="B335" t="str">
            <v>CS-LY085</v>
          </cell>
        </row>
        <row r="336">
          <cell r="A336" t="str">
            <v>CS-LY085-W902-S</v>
          </cell>
          <cell r="B336" t="str">
            <v>CS-LY085</v>
          </cell>
        </row>
        <row r="337">
          <cell r="A337" t="str">
            <v>CS-LY085-W902-XL</v>
          </cell>
          <cell r="B337" t="str">
            <v>CS-LY085</v>
          </cell>
        </row>
        <row r="338">
          <cell r="A338" t="str">
            <v>CS-LY085-W902-XXL</v>
          </cell>
          <cell r="B338" t="str">
            <v>CS-LY085</v>
          </cell>
        </row>
        <row r="339">
          <cell r="A339" t="str">
            <v>CS-LY085-WR917-L</v>
          </cell>
          <cell r="B339" t="str">
            <v>CS-LY085</v>
          </cell>
        </row>
        <row r="340">
          <cell r="A340" t="str">
            <v>CS-LY085-WR917-M</v>
          </cell>
          <cell r="B340" t="str">
            <v>CS-LY085</v>
          </cell>
        </row>
        <row r="341">
          <cell r="A341" t="str">
            <v>CS-LY085-WR917-S</v>
          </cell>
          <cell r="B341" t="str">
            <v>CS-LY085</v>
          </cell>
        </row>
        <row r="342">
          <cell r="A342" t="str">
            <v>CS-LY085-WR917-XL</v>
          </cell>
          <cell r="B342" t="str">
            <v>CS-LY085</v>
          </cell>
        </row>
        <row r="343">
          <cell r="A343" t="str">
            <v>CS-LY085-WR917-XS</v>
          </cell>
          <cell r="B343" t="str">
            <v>CS-LY085</v>
          </cell>
        </row>
        <row r="344">
          <cell r="A344" t="str">
            <v>CS-LY085-WR917-XXL</v>
          </cell>
          <cell r="B344" t="str">
            <v>CS-LY085</v>
          </cell>
        </row>
        <row r="345">
          <cell r="A345" t="str">
            <v>CS-LY085-ZL918-L</v>
          </cell>
          <cell r="B345" t="str">
            <v>CS-LY085</v>
          </cell>
        </row>
        <row r="346">
          <cell r="A346" t="str">
            <v>CS-LY085-ZL918-M</v>
          </cell>
          <cell r="B346" t="str">
            <v>CS-LY085</v>
          </cell>
        </row>
        <row r="347">
          <cell r="A347" t="str">
            <v>CS-LY085-ZL918-S</v>
          </cell>
          <cell r="B347" t="str">
            <v>CS-LY085</v>
          </cell>
        </row>
        <row r="348">
          <cell r="A348" t="str">
            <v>CS-LY085-ZL918-XL</v>
          </cell>
          <cell r="B348" t="str">
            <v>CS-LY085</v>
          </cell>
        </row>
        <row r="349">
          <cell r="A349" t="str">
            <v>CS-LY085-ZL918-XS</v>
          </cell>
          <cell r="B349" t="str">
            <v>CS-LY085</v>
          </cell>
        </row>
        <row r="350">
          <cell r="A350" t="str">
            <v>CS-LY085-ZL918-XXL</v>
          </cell>
          <cell r="B350" t="str">
            <v>CS-LY085</v>
          </cell>
        </row>
        <row r="351">
          <cell r="A351" t="str">
            <v>CS-LY086-B0-L</v>
          </cell>
          <cell r="B351" t="str">
            <v>CS-LY086</v>
          </cell>
        </row>
        <row r="352">
          <cell r="A352" t="str">
            <v>CS-LY086-B0-M</v>
          </cell>
          <cell r="B352" t="str">
            <v>CS-LY086</v>
          </cell>
        </row>
        <row r="353">
          <cell r="A353" t="str">
            <v>CS-LY086-B0-S</v>
          </cell>
          <cell r="B353" t="str">
            <v>CS-LY086</v>
          </cell>
        </row>
        <row r="354">
          <cell r="A354" t="str">
            <v>CS-LY086-B0-XL</v>
          </cell>
          <cell r="B354" t="str">
            <v>CS-LY086</v>
          </cell>
        </row>
        <row r="355">
          <cell r="A355" t="str">
            <v>CS-LY086-B0-XXL</v>
          </cell>
          <cell r="B355" t="str">
            <v>CS-LY086</v>
          </cell>
        </row>
        <row r="356">
          <cell r="A356" t="str">
            <v>CS-LY086-LB-L</v>
          </cell>
          <cell r="B356" t="str">
            <v>CS-LY086</v>
          </cell>
        </row>
        <row r="357">
          <cell r="A357" t="str">
            <v>CS-LY086-LB-M</v>
          </cell>
          <cell r="B357" t="str">
            <v>CS-LY086</v>
          </cell>
        </row>
        <row r="358">
          <cell r="A358" t="str">
            <v>CS-LY086-LB-S</v>
          </cell>
          <cell r="B358" t="str">
            <v>CS-LY086</v>
          </cell>
        </row>
        <row r="359">
          <cell r="A359" t="str">
            <v>CS-LY086-LB-XL</v>
          </cell>
          <cell r="B359" t="str">
            <v>CS-LY086</v>
          </cell>
        </row>
        <row r="360">
          <cell r="A360" t="str">
            <v>CS-LY086-LB-XXL</v>
          </cell>
          <cell r="B360" t="str">
            <v>CS-LY086</v>
          </cell>
        </row>
        <row r="361">
          <cell r="A361" t="str">
            <v>CS-LY086-N0-L</v>
          </cell>
          <cell r="B361" t="str">
            <v>CS-LY086</v>
          </cell>
        </row>
        <row r="362">
          <cell r="A362" t="str">
            <v>CS-LY086-N0-M</v>
          </cell>
          <cell r="B362" t="str">
            <v>CS-LY086</v>
          </cell>
        </row>
        <row r="363">
          <cell r="A363" t="str">
            <v>CS-LY086-N0-S</v>
          </cell>
          <cell r="B363" t="str">
            <v>CS-LY086</v>
          </cell>
        </row>
        <row r="364">
          <cell r="A364" t="str">
            <v>CS-LY086-N0-XL</v>
          </cell>
          <cell r="B364" t="str">
            <v>CS-LY086</v>
          </cell>
        </row>
        <row r="365">
          <cell r="A365" t="str">
            <v>CS-LY086-N0-XXL</v>
          </cell>
          <cell r="B365" t="str">
            <v>CS-LY086</v>
          </cell>
        </row>
        <row r="366">
          <cell r="A366" t="str">
            <v>CS-LY122-B0-2XL</v>
          </cell>
          <cell r="B366" t="str">
            <v>CS-LY122</v>
          </cell>
        </row>
        <row r="367">
          <cell r="A367" t="str">
            <v>CS-LY122-B0-L</v>
          </cell>
          <cell r="B367" t="str">
            <v>CS-LY122</v>
          </cell>
        </row>
        <row r="368">
          <cell r="A368" t="str">
            <v>CS-LY122-B0-S</v>
          </cell>
          <cell r="B368" t="str">
            <v>CS-LY122</v>
          </cell>
        </row>
        <row r="369">
          <cell r="A369" t="str">
            <v>CS-LY122-B0-XL</v>
          </cell>
          <cell r="B369" t="str">
            <v>CS-LY122</v>
          </cell>
        </row>
        <row r="370">
          <cell r="A370" t="str">
            <v>CS-LY122-B0-XL-GM</v>
          </cell>
          <cell r="B370" t="str">
            <v>CS-LY122</v>
          </cell>
        </row>
        <row r="371">
          <cell r="A371" t="str">
            <v>CS-LY122-B0-XS</v>
          </cell>
          <cell r="B371" t="str">
            <v>CS-LY122</v>
          </cell>
        </row>
        <row r="372">
          <cell r="A372" t="str">
            <v>CS-LY122-N0-2XL</v>
          </cell>
          <cell r="B372" t="str">
            <v>CS-LY122</v>
          </cell>
        </row>
        <row r="373">
          <cell r="A373" t="str">
            <v>CS-LY122-N0-M</v>
          </cell>
          <cell r="B373" t="str">
            <v>CS-LY122</v>
          </cell>
        </row>
        <row r="374">
          <cell r="A374" t="str">
            <v>CS-LY122-N0-S</v>
          </cell>
          <cell r="B374" t="str">
            <v>CS-LY122</v>
          </cell>
        </row>
        <row r="375">
          <cell r="A375" t="str">
            <v>CS-LY122-N0-XL</v>
          </cell>
          <cell r="B375" t="str">
            <v>CS-LY122</v>
          </cell>
        </row>
        <row r="376">
          <cell r="A376" t="str">
            <v>CS-LY122-N0-XS</v>
          </cell>
          <cell r="B376" t="str">
            <v>CS-LY122</v>
          </cell>
        </row>
        <row r="377">
          <cell r="A377" t="str">
            <v>CS-LY122-WR-2XL</v>
          </cell>
          <cell r="B377" t="str">
            <v>CS-LY122</v>
          </cell>
        </row>
        <row r="378">
          <cell r="A378" t="str">
            <v>CS-LY122-WR-L</v>
          </cell>
          <cell r="B378" t="str">
            <v>CS-LY122</v>
          </cell>
        </row>
        <row r="379">
          <cell r="A379" t="str">
            <v>CS-LY122-WR-S</v>
          </cell>
          <cell r="B379" t="str">
            <v>CS-LY122</v>
          </cell>
        </row>
        <row r="380">
          <cell r="A380" t="str">
            <v>CS-LY122-WR-XL</v>
          </cell>
          <cell r="B380" t="str">
            <v>CS-LY122</v>
          </cell>
        </row>
        <row r="381">
          <cell r="A381" t="str">
            <v>CS-LY122-WR-XS</v>
          </cell>
          <cell r="B381" t="str">
            <v>CS-LY122</v>
          </cell>
        </row>
        <row r="382">
          <cell r="A382" t="str">
            <v>CS-LY154-LB-L</v>
          </cell>
          <cell r="B382" t="str">
            <v>CS-LY154</v>
          </cell>
        </row>
        <row r="383">
          <cell r="A383" t="str">
            <v>CS-LY154-LB-M</v>
          </cell>
          <cell r="B383" t="str">
            <v>CS-LY154</v>
          </cell>
        </row>
        <row r="384">
          <cell r="A384" t="str">
            <v>CS-LY154-LB-S</v>
          </cell>
          <cell r="B384" t="str">
            <v>CS-LY154</v>
          </cell>
        </row>
        <row r="385">
          <cell r="A385" t="str">
            <v>CS-LY154-LB-XL</v>
          </cell>
          <cell r="B385" t="str">
            <v>CS-LY154</v>
          </cell>
        </row>
        <row r="386">
          <cell r="A386" t="str">
            <v>CS-LY154-LB-XS</v>
          </cell>
          <cell r="B386" t="str">
            <v>CS-LY154</v>
          </cell>
        </row>
        <row r="387">
          <cell r="A387" t="str">
            <v>CS-LY154-W0-L</v>
          </cell>
          <cell r="B387" t="str">
            <v>CS-LY154</v>
          </cell>
        </row>
        <row r="388">
          <cell r="A388" t="str">
            <v>CS-LY154-W0-M</v>
          </cell>
          <cell r="B388" t="str">
            <v>CS-LY154</v>
          </cell>
        </row>
        <row r="389">
          <cell r="A389" t="str">
            <v>CS-LY154-W0-S</v>
          </cell>
          <cell r="B389" t="str">
            <v>CS-LY154</v>
          </cell>
        </row>
        <row r="390">
          <cell r="A390" t="str">
            <v>CS-LY154-W0-XL</v>
          </cell>
          <cell r="B390" t="str">
            <v>CS-LY154</v>
          </cell>
        </row>
        <row r="391">
          <cell r="A391" t="str">
            <v>CS-LY154-W0-XS</v>
          </cell>
          <cell r="B391" t="str">
            <v>CS-LY154</v>
          </cell>
        </row>
        <row r="392">
          <cell r="A392" t="str">
            <v>CS-LY154-WR-L</v>
          </cell>
          <cell r="B392" t="str">
            <v>CS-LY154</v>
          </cell>
        </row>
        <row r="393">
          <cell r="A393" t="str">
            <v>CS-LY154-WR-M</v>
          </cell>
          <cell r="B393" t="str">
            <v>CS-LY154</v>
          </cell>
        </row>
        <row r="394">
          <cell r="A394" t="str">
            <v>CS-LY154-WR-S</v>
          </cell>
          <cell r="B394" t="str">
            <v>CS-LY154</v>
          </cell>
        </row>
        <row r="395">
          <cell r="A395" t="str">
            <v>CS-LY154-WR-XL</v>
          </cell>
          <cell r="B395" t="str">
            <v>CS-LY154</v>
          </cell>
        </row>
        <row r="396">
          <cell r="A396" t="str">
            <v>CS-LY154-WR-XS</v>
          </cell>
          <cell r="B396" t="str">
            <v>CS-LY154</v>
          </cell>
        </row>
        <row r="397">
          <cell r="A397" t="str">
            <v>CS-LY154-ZL-L</v>
          </cell>
          <cell r="B397" t="str">
            <v>CS-LY154</v>
          </cell>
        </row>
        <row r="398">
          <cell r="A398" t="str">
            <v>CS-LY154-ZL-M</v>
          </cell>
          <cell r="B398" t="str">
            <v>CS-LY154</v>
          </cell>
        </row>
        <row r="399">
          <cell r="A399" t="str">
            <v>CS-LY154-ZL-S</v>
          </cell>
          <cell r="B399" t="str">
            <v>CS-LY154</v>
          </cell>
        </row>
        <row r="400">
          <cell r="A400" t="str">
            <v>CS-LY154-ZL-XL</v>
          </cell>
          <cell r="B400" t="str">
            <v>CS-LY154</v>
          </cell>
        </row>
        <row r="401">
          <cell r="A401" t="str">
            <v>CS-LY154-ZL-XS</v>
          </cell>
          <cell r="B401" t="str">
            <v>CS-LY154</v>
          </cell>
        </row>
        <row r="402">
          <cell r="A402" t="str">
            <v>CS-LY166-B28-1-L</v>
          </cell>
          <cell r="B402" t="str">
            <v>CS-LY166</v>
          </cell>
        </row>
        <row r="403">
          <cell r="A403" t="str">
            <v>CS-LY166-B28-1-M</v>
          </cell>
          <cell r="B403" t="str">
            <v>CS-LY166</v>
          </cell>
        </row>
        <row r="404">
          <cell r="A404" t="str">
            <v>CS-LY166-B28-1-S</v>
          </cell>
          <cell r="B404" t="str">
            <v>CS-LY166</v>
          </cell>
        </row>
        <row r="405">
          <cell r="A405" t="str">
            <v>CS-LY166-B28-1-XL</v>
          </cell>
          <cell r="B405" t="str">
            <v>CS-LY166</v>
          </cell>
        </row>
        <row r="406">
          <cell r="A406" t="str">
            <v>CS-LY166-B28-1-XXL</v>
          </cell>
          <cell r="B406" t="str">
            <v>CS-LY166</v>
          </cell>
        </row>
        <row r="407">
          <cell r="A407" t="str">
            <v>CS-LY166-B28-3-L</v>
          </cell>
          <cell r="B407" t="str">
            <v>CS-LY166</v>
          </cell>
        </row>
        <row r="408">
          <cell r="A408" t="str">
            <v>CS-LY166-B28-3-M</v>
          </cell>
          <cell r="B408" t="str">
            <v>CS-LY166</v>
          </cell>
        </row>
        <row r="409">
          <cell r="A409" t="str">
            <v>CS-LY166-B28-3-S</v>
          </cell>
          <cell r="B409" t="str">
            <v>CS-LY166</v>
          </cell>
        </row>
        <row r="410">
          <cell r="A410" t="str">
            <v>CS-LY166-B28-3-XL</v>
          </cell>
          <cell r="B410" t="str">
            <v>CS-LY166</v>
          </cell>
        </row>
        <row r="411">
          <cell r="A411" t="str">
            <v>CS-LY166-B28-3-XL-GM</v>
          </cell>
          <cell r="B411" t="str">
            <v>CS-LY166</v>
          </cell>
        </row>
        <row r="412">
          <cell r="A412" t="str">
            <v>CS-LY166-B28-3-XXL</v>
          </cell>
          <cell r="B412" t="str">
            <v>CS-LY166</v>
          </cell>
        </row>
        <row r="413">
          <cell r="A413" t="str">
            <v>CS-LY166-B28-4-L</v>
          </cell>
          <cell r="B413" t="str">
            <v>CS-LY166</v>
          </cell>
        </row>
        <row r="414">
          <cell r="A414" t="str">
            <v>CS-LY166-B28-4-M</v>
          </cell>
          <cell r="B414" t="str">
            <v>CS-LY166</v>
          </cell>
        </row>
        <row r="415">
          <cell r="A415" t="str">
            <v>CS-LY166-B28-4-S</v>
          </cell>
          <cell r="B415" t="str">
            <v>CS-LY166</v>
          </cell>
        </row>
        <row r="416">
          <cell r="A416" t="str">
            <v>CS-LY166-B28-4-XL</v>
          </cell>
          <cell r="B416" t="str">
            <v>CS-LY166</v>
          </cell>
        </row>
        <row r="417">
          <cell r="A417" t="str">
            <v>CS-LY166-B28-4-XXL</v>
          </cell>
          <cell r="B417" t="str">
            <v>CS-LY166</v>
          </cell>
        </row>
        <row r="418">
          <cell r="A418" t="str">
            <v>CS-LY166-B28-5-L</v>
          </cell>
          <cell r="B418" t="str">
            <v>CS-LY166</v>
          </cell>
        </row>
        <row r="419">
          <cell r="A419" t="str">
            <v>CS-LY166-B28-5-M</v>
          </cell>
          <cell r="B419" t="str">
            <v>CS-LY166</v>
          </cell>
        </row>
        <row r="420">
          <cell r="A420" t="str">
            <v>CS-LY166-B28-5-S</v>
          </cell>
          <cell r="B420" t="str">
            <v>CS-LY166</v>
          </cell>
        </row>
        <row r="421">
          <cell r="A421" t="str">
            <v>CS-LY166-B28-5-XL</v>
          </cell>
          <cell r="B421" t="str">
            <v>CS-LY166</v>
          </cell>
        </row>
        <row r="422">
          <cell r="A422" t="str">
            <v>CS-LY166-B28-5-XXL</v>
          </cell>
          <cell r="B422" t="str">
            <v>CS-LY166</v>
          </cell>
        </row>
        <row r="423">
          <cell r="A423" t="str">
            <v>CS-LY166-K33-1-L</v>
          </cell>
          <cell r="B423" t="str">
            <v>CS-LY166</v>
          </cell>
        </row>
        <row r="424">
          <cell r="A424" t="str">
            <v>CS-LY166-K33-1-M</v>
          </cell>
          <cell r="B424" t="str">
            <v>CS-LY166</v>
          </cell>
        </row>
        <row r="425">
          <cell r="A425" t="str">
            <v>CS-LY166-K33-1-S</v>
          </cell>
          <cell r="B425" t="str">
            <v>CS-LY166</v>
          </cell>
        </row>
        <row r="426">
          <cell r="A426" t="str">
            <v>CS-LY166-K33-1-XL</v>
          </cell>
          <cell r="B426" t="str">
            <v>CS-LY166</v>
          </cell>
        </row>
        <row r="427">
          <cell r="A427" t="str">
            <v>CS-LY166-K33-1-XXL</v>
          </cell>
          <cell r="B427" t="str">
            <v>CS-LY166</v>
          </cell>
        </row>
        <row r="428">
          <cell r="A428" t="str">
            <v>CS-LY166-K33-2-L</v>
          </cell>
          <cell r="B428" t="str">
            <v>CS-LY166</v>
          </cell>
        </row>
        <row r="429">
          <cell r="A429" t="str">
            <v>CS-LY166-K33-2-M</v>
          </cell>
          <cell r="B429" t="str">
            <v>CS-LY166</v>
          </cell>
        </row>
        <row r="430">
          <cell r="A430" t="str">
            <v>CS-LY166-K33-2-S</v>
          </cell>
          <cell r="B430" t="str">
            <v>CS-LY166</v>
          </cell>
        </row>
        <row r="431">
          <cell r="A431" t="str">
            <v>CS-LY166-K33-2-XL</v>
          </cell>
          <cell r="B431" t="str">
            <v>CS-LY166</v>
          </cell>
        </row>
        <row r="432">
          <cell r="A432" t="str">
            <v>CS-LY166-K33-2-XXL</v>
          </cell>
          <cell r="B432" t="str">
            <v>CS-LY166</v>
          </cell>
        </row>
        <row r="433">
          <cell r="A433" t="str">
            <v>CS-LY166-K33-4-L</v>
          </cell>
          <cell r="B433" t="str">
            <v>CS-LY166</v>
          </cell>
        </row>
        <row r="434">
          <cell r="A434" t="str">
            <v>CS-LY166-K33-4-M</v>
          </cell>
          <cell r="B434" t="str">
            <v>CS-LY166</v>
          </cell>
        </row>
        <row r="435">
          <cell r="A435" t="str">
            <v>CS-LY166-K33-4-S</v>
          </cell>
          <cell r="B435" t="str">
            <v>CS-LY166</v>
          </cell>
        </row>
        <row r="436">
          <cell r="A436" t="str">
            <v>CS-LY166-K33-4-XL</v>
          </cell>
          <cell r="B436" t="str">
            <v>CS-LY166</v>
          </cell>
        </row>
        <row r="437">
          <cell r="A437" t="str">
            <v>CS-LY166-K33-4-XXL</v>
          </cell>
          <cell r="B437" t="str">
            <v>CS-LY166</v>
          </cell>
        </row>
        <row r="438">
          <cell r="A438" t="str">
            <v>CS-LY166-K73-1-L</v>
          </cell>
          <cell r="B438" t="str">
            <v>CS-LY166</v>
          </cell>
        </row>
        <row r="439">
          <cell r="A439" t="str">
            <v>CS-LY166-K73-1-M</v>
          </cell>
          <cell r="B439" t="str">
            <v>CS-LY166</v>
          </cell>
        </row>
        <row r="440">
          <cell r="A440" t="str">
            <v>CS-LY166-K73-1-S</v>
          </cell>
          <cell r="B440" t="str">
            <v>CS-LY166</v>
          </cell>
        </row>
        <row r="441">
          <cell r="A441" t="str">
            <v>CS-LY166-K73-1-XL</v>
          </cell>
          <cell r="B441" t="str">
            <v>CS-LY166</v>
          </cell>
        </row>
        <row r="442">
          <cell r="A442" t="str">
            <v>CS-LY166-K73-1-XXL</v>
          </cell>
          <cell r="B442" t="str">
            <v>CS-LY166</v>
          </cell>
        </row>
        <row r="443">
          <cell r="A443" t="str">
            <v>CS-LY166-K73-2-L</v>
          </cell>
          <cell r="B443" t="str">
            <v>CS-LY166</v>
          </cell>
        </row>
        <row r="444">
          <cell r="A444" t="str">
            <v>CS-LY166-K73-2-M</v>
          </cell>
          <cell r="B444" t="str">
            <v>CS-LY166</v>
          </cell>
        </row>
        <row r="445">
          <cell r="A445" t="str">
            <v>CS-LY166-K73-2-S</v>
          </cell>
          <cell r="B445" t="str">
            <v>CS-LY166</v>
          </cell>
        </row>
        <row r="446">
          <cell r="A446" t="str">
            <v>CS-LY166-K73-2-XL</v>
          </cell>
          <cell r="B446" t="str">
            <v>CS-LY166</v>
          </cell>
        </row>
        <row r="447">
          <cell r="A447" t="str">
            <v>CS-LY166-K73-2-XXL</v>
          </cell>
          <cell r="B447" t="str">
            <v>CS-LY166</v>
          </cell>
        </row>
        <row r="448">
          <cell r="A448" t="str">
            <v>CS-LY167-K0-M</v>
          </cell>
          <cell r="B448" t="str">
            <v>CS-LY167</v>
          </cell>
        </row>
        <row r="449">
          <cell r="A449" t="str">
            <v>CS-LY167-K0-S</v>
          </cell>
          <cell r="B449" t="str">
            <v>CS-LY167</v>
          </cell>
        </row>
        <row r="450">
          <cell r="A450" t="str">
            <v>CS-LY167-K0-XL</v>
          </cell>
          <cell r="B450" t="str">
            <v>CS-LY167</v>
          </cell>
        </row>
        <row r="451">
          <cell r="A451" t="str">
            <v>CS-LY167-K0-XXL</v>
          </cell>
          <cell r="B451" t="str">
            <v>CS-LY167</v>
          </cell>
        </row>
        <row r="452">
          <cell r="A452" t="str">
            <v>CS-LY167-N0-L</v>
          </cell>
          <cell r="B452" t="str">
            <v>CS-LY167</v>
          </cell>
        </row>
        <row r="453">
          <cell r="A453" t="str">
            <v>CS-LY167-N0-M</v>
          </cell>
          <cell r="B453" t="str">
            <v>CS-LY167</v>
          </cell>
        </row>
        <row r="454">
          <cell r="A454" t="str">
            <v>CS-LY167-N0-S</v>
          </cell>
          <cell r="B454" t="str">
            <v>CS-LY167</v>
          </cell>
        </row>
        <row r="455">
          <cell r="A455" t="str">
            <v>CS-LY167-N0-XL</v>
          </cell>
          <cell r="B455" t="str">
            <v>CS-LY167</v>
          </cell>
        </row>
        <row r="456">
          <cell r="A456" t="str">
            <v>CS-LY167-N0-XXL</v>
          </cell>
          <cell r="B456" t="str">
            <v>CS-LY167</v>
          </cell>
        </row>
        <row r="457">
          <cell r="A457" t="str">
            <v>CS-LY167-R0-L</v>
          </cell>
          <cell r="B457" t="str">
            <v>CS-LY167</v>
          </cell>
        </row>
        <row r="458">
          <cell r="A458" t="str">
            <v>CS-LY167-R0-M</v>
          </cell>
          <cell r="B458" t="str">
            <v>CS-LY167</v>
          </cell>
        </row>
        <row r="459">
          <cell r="A459" t="str">
            <v>CS-LY167-R0-S</v>
          </cell>
          <cell r="B459" t="str">
            <v>CS-LY167</v>
          </cell>
        </row>
        <row r="460">
          <cell r="A460" t="str">
            <v>CS-LY167-R0-XL</v>
          </cell>
          <cell r="B460" t="str">
            <v>CS-LY167</v>
          </cell>
        </row>
        <row r="461">
          <cell r="A461" t="str">
            <v>CS-LY167-R0-XXL</v>
          </cell>
          <cell r="B461" t="str">
            <v>CS-LY167</v>
          </cell>
        </row>
        <row r="462">
          <cell r="A462" t="str">
            <v>CS-LY167-W0-L</v>
          </cell>
          <cell r="B462" t="str">
            <v>CS-LY167</v>
          </cell>
        </row>
        <row r="463">
          <cell r="A463" t="str">
            <v>CS-LY167-W0-M</v>
          </cell>
          <cell r="B463" t="str">
            <v>CS-LY167</v>
          </cell>
        </row>
        <row r="464">
          <cell r="A464" t="str">
            <v>CS-LY167-W0-S</v>
          </cell>
          <cell r="B464" t="str">
            <v>CS-LY167</v>
          </cell>
        </row>
        <row r="465">
          <cell r="A465" t="str">
            <v>CS-LY167-W0-XL</v>
          </cell>
          <cell r="B465" t="str">
            <v>CS-LY167</v>
          </cell>
        </row>
        <row r="466">
          <cell r="A466" t="str">
            <v>CS-LY167-W0-XXL</v>
          </cell>
          <cell r="B466" t="str">
            <v>CS-LY167</v>
          </cell>
        </row>
        <row r="467">
          <cell r="A467" t="str">
            <v>CS-LY170-G912-L</v>
          </cell>
          <cell r="B467" t="str">
            <v>CS-LY170</v>
          </cell>
        </row>
        <row r="468">
          <cell r="A468" t="str">
            <v>CS-LY170-G912-M</v>
          </cell>
          <cell r="B468" t="str">
            <v>CS-LY170</v>
          </cell>
        </row>
        <row r="469">
          <cell r="A469" t="str">
            <v>CS-LY170-G912-S</v>
          </cell>
          <cell r="B469" t="str">
            <v>CS-LY170</v>
          </cell>
        </row>
        <row r="470">
          <cell r="A470" t="str">
            <v>CS-LY170-G912-XL</v>
          </cell>
          <cell r="B470" t="str">
            <v>CS-LY170</v>
          </cell>
        </row>
        <row r="471">
          <cell r="A471" t="str">
            <v>CS-LY170-G912-XXL</v>
          </cell>
          <cell r="B471" t="str">
            <v>CS-LY170</v>
          </cell>
        </row>
        <row r="472">
          <cell r="A472" t="str">
            <v>CS-LY170-LB916-L</v>
          </cell>
          <cell r="B472" t="str">
            <v>CS-LY170</v>
          </cell>
        </row>
        <row r="473">
          <cell r="A473" t="str">
            <v>CS-LY170-LB916-M</v>
          </cell>
          <cell r="B473" t="str">
            <v>CS-LY170</v>
          </cell>
        </row>
        <row r="474">
          <cell r="A474" t="str">
            <v>CS-LY170-LB916-S</v>
          </cell>
          <cell r="B474" t="str">
            <v>CS-LY170</v>
          </cell>
        </row>
        <row r="475">
          <cell r="A475" t="str">
            <v>CS-LY170-LB916-XL</v>
          </cell>
          <cell r="B475" t="str">
            <v>CS-LY170</v>
          </cell>
        </row>
        <row r="476">
          <cell r="A476" t="str">
            <v>CS-LY170-LB916-XXL</v>
          </cell>
          <cell r="B476" t="str">
            <v>CS-LY170</v>
          </cell>
        </row>
        <row r="477">
          <cell r="A477" t="str">
            <v>CS-LY170-LG907-L</v>
          </cell>
          <cell r="B477" t="str">
            <v>CS-LY170</v>
          </cell>
        </row>
        <row r="478">
          <cell r="A478" t="str">
            <v>CS-LY170-LG907-M</v>
          </cell>
          <cell r="B478" t="str">
            <v>CS-LY170</v>
          </cell>
        </row>
        <row r="479">
          <cell r="A479" t="str">
            <v>CS-LY170-LG907-S</v>
          </cell>
          <cell r="B479" t="str">
            <v>CS-LY170</v>
          </cell>
        </row>
        <row r="480">
          <cell r="A480" t="str">
            <v>CS-LY170-LG907-XL</v>
          </cell>
          <cell r="B480" t="str">
            <v>CS-LY170</v>
          </cell>
        </row>
        <row r="481">
          <cell r="A481" t="str">
            <v>CS-LY170-LG907-XXL</v>
          </cell>
          <cell r="B481" t="str">
            <v>CS-LY170</v>
          </cell>
        </row>
        <row r="482">
          <cell r="A482" t="str">
            <v>CS-LY170-PI908-L</v>
          </cell>
          <cell r="B482" t="str">
            <v>CS-LY170</v>
          </cell>
        </row>
        <row r="483">
          <cell r="A483" t="str">
            <v>CS-LY170-PI908-M</v>
          </cell>
          <cell r="B483" t="str">
            <v>CS-LY170</v>
          </cell>
        </row>
        <row r="484">
          <cell r="A484" t="str">
            <v>CS-LY170-PI908-S</v>
          </cell>
          <cell r="B484" t="str">
            <v>CS-LY170</v>
          </cell>
        </row>
        <row r="485">
          <cell r="A485" t="str">
            <v>CS-LY170-PI908-XL</v>
          </cell>
          <cell r="B485" t="str">
            <v>CS-LY170</v>
          </cell>
        </row>
        <row r="486">
          <cell r="A486" t="str">
            <v>CS-LY170-PI908-XXL</v>
          </cell>
          <cell r="B486" t="str">
            <v>CS-LY170</v>
          </cell>
        </row>
        <row r="487">
          <cell r="A487" t="str">
            <v>CS-LY170-Sa911-L</v>
          </cell>
          <cell r="B487" t="str">
            <v>CS-LY170</v>
          </cell>
        </row>
        <row r="488">
          <cell r="A488" t="str">
            <v>CS-LY170-Sa911-M</v>
          </cell>
          <cell r="B488" t="str">
            <v>CS-LY170</v>
          </cell>
        </row>
        <row r="489">
          <cell r="A489" t="str">
            <v>CS-LY170-Sa911-S</v>
          </cell>
          <cell r="B489" t="str">
            <v>CS-LY170</v>
          </cell>
        </row>
        <row r="490">
          <cell r="A490" t="str">
            <v>CS-LY170-Sa911-XL</v>
          </cell>
          <cell r="B490" t="str">
            <v>CS-LY170</v>
          </cell>
        </row>
        <row r="491">
          <cell r="A491" t="str">
            <v>CS-LY170-Sa911-XXL</v>
          </cell>
          <cell r="B491" t="str">
            <v>CS-LY170</v>
          </cell>
        </row>
        <row r="492">
          <cell r="A492" t="str">
            <v>CS-LY170-W902-L</v>
          </cell>
          <cell r="B492" t="str">
            <v>CS-LY170</v>
          </cell>
        </row>
        <row r="493">
          <cell r="A493" t="str">
            <v>CS-LY170-W902-M</v>
          </cell>
          <cell r="B493" t="str">
            <v>CS-LY170</v>
          </cell>
        </row>
        <row r="494">
          <cell r="A494" t="str">
            <v>CS-LY170-W902-S</v>
          </cell>
          <cell r="B494" t="str">
            <v>CS-LY170</v>
          </cell>
        </row>
        <row r="495">
          <cell r="A495" t="str">
            <v>CS-LY170-W902-XL</v>
          </cell>
          <cell r="B495" t="str">
            <v>CS-LY170</v>
          </cell>
        </row>
        <row r="496">
          <cell r="A496" t="str">
            <v>CS-LY170-W902-XXL</v>
          </cell>
          <cell r="B496" t="str">
            <v>CS-LY170</v>
          </cell>
        </row>
        <row r="497">
          <cell r="A497" t="str">
            <v>CS-LY170-WR917-L</v>
          </cell>
          <cell r="B497" t="str">
            <v>CS-LY170</v>
          </cell>
        </row>
        <row r="498">
          <cell r="A498" t="str">
            <v>CS-LY170-WR917-M</v>
          </cell>
          <cell r="B498" t="str">
            <v>CS-LY170</v>
          </cell>
        </row>
        <row r="499">
          <cell r="A499" t="str">
            <v>CS-LY170-WR917-S</v>
          </cell>
          <cell r="B499" t="str">
            <v>CS-LY170</v>
          </cell>
        </row>
        <row r="500">
          <cell r="A500" t="str">
            <v>CS-LY170-WR917-XL</v>
          </cell>
          <cell r="B500" t="str">
            <v>CS-LY170</v>
          </cell>
        </row>
        <row r="501">
          <cell r="A501" t="str">
            <v>CS-LY170-WR917-XXL</v>
          </cell>
          <cell r="B501" t="str">
            <v>CS-LY170</v>
          </cell>
        </row>
        <row r="502">
          <cell r="A502" t="str">
            <v>CS-LY170-ZL918-L</v>
          </cell>
          <cell r="B502" t="str">
            <v>CS-LY170</v>
          </cell>
        </row>
        <row r="503">
          <cell r="A503" t="str">
            <v>CS-LY170-ZL918-M</v>
          </cell>
          <cell r="B503" t="str">
            <v>CS-LY170</v>
          </cell>
        </row>
        <row r="504">
          <cell r="A504" t="str">
            <v>CS-LY170-ZL918-S</v>
          </cell>
          <cell r="B504" t="str">
            <v>CS-LY170</v>
          </cell>
        </row>
        <row r="505">
          <cell r="A505" t="str">
            <v>CS-LY170-ZL918-XL</v>
          </cell>
          <cell r="B505" t="str">
            <v>CS-LY170</v>
          </cell>
        </row>
        <row r="506">
          <cell r="A506" t="str">
            <v>CS-LY170-ZL918-XXL</v>
          </cell>
          <cell r="B506" t="str">
            <v>CS-LY170</v>
          </cell>
        </row>
        <row r="507">
          <cell r="A507" t="str">
            <v>CS-LY171-G912-L</v>
          </cell>
          <cell r="B507" t="str">
            <v>CS-LY171</v>
          </cell>
        </row>
        <row r="508">
          <cell r="A508" t="str">
            <v>CS-LY171-G912-M</v>
          </cell>
          <cell r="B508" t="str">
            <v>CS-LY171</v>
          </cell>
        </row>
        <row r="509">
          <cell r="A509" t="str">
            <v>CS-LY171-G912-S</v>
          </cell>
          <cell r="B509" t="str">
            <v>CS-LY171</v>
          </cell>
        </row>
        <row r="510">
          <cell r="A510" t="str">
            <v>CS-LY171-G912-XL</v>
          </cell>
          <cell r="B510" t="str">
            <v>CS-LY171</v>
          </cell>
        </row>
        <row r="511">
          <cell r="A511" t="str">
            <v>CS-LY171-G912-XXL</v>
          </cell>
          <cell r="B511" t="str">
            <v>CS-LY171</v>
          </cell>
        </row>
        <row r="512">
          <cell r="A512" t="str">
            <v>CS-LY171-LB916-L</v>
          </cell>
          <cell r="B512" t="str">
            <v>CS-LY171</v>
          </cell>
        </row>
        <row r="513">
          <cell r="A513" t="str">
            <v>CS-LY171-LB916-M</v>
          </cell>
          <cell r="B513" t="str">
            <v>CS-LY171</v>
          </cell>
        </row>
        <row r="514">
          <cell r="A514" t="str">
            <v>CS-LY171-LB916-S</v>
          </cell>
          <cell r="B514" t="str">
            <v>CS-LY171</v>
          </cell>
        </row>
        <row r="515">
          <cell r="A515" t="str">
            <v>CS-LY171-LB916-XL</v>
          </cell>
          <cell r="B515" t="str">
            <v>CS-LY171</v>
          </cell>
        </row>
        <row r="516">
          <cell r="A516" t="str">
            <v>CS-LY171-LB916-XXL</v>
          </cell>
          <cell r="B516" t="str">
            <v>CS-LY171</v>
          </cell>
        </row>
        <row r="517">
          <cell r="A517" t="str">
            <v>CS-LY171-LG907-L</v>
          </cell>
          <cell r="B517" t="str">
            <v>CS-LY171</v>
          </cell>
        </row>
        <row r="518">
          <cell r="A518" t="str">
            <v>CS-LY171-LG907-M</v>
          </cell>
          <cell r="B518" t="str">
            <v>CS-LY171</v>
          </cell>
        </row>
        <row r="519">
          <cell r="A519" t="str">
            <v>CS-LY171-LG907-S</v>
          </cell>
          <cell r="B519" t="str">
            <v>CS-LY171</v>
          </cell>
        </row>
        <row r="520">
          <cell r="A520" t="str">
            <v>CS-LY171-LG907-XL</v>
          </cell>
          <cell r="B520" t="str">
            <v>CS-LY171</v>
          </cell>
        </row>
        <row r="521">
          <cell r="A521" t="str">
            <v>CS-LY171-LG907-XXL</v>
          </cell>
          <cell r="B521" t="str">
            <v>CS-LY171</v>
          </cell>
        </row>
        <row r="522">
          <cell r="A522" t="str">
            <v>CS-LY171-PI908-L</v>
          </cell>
          <cell r="B522" t="str">
            <v>CS-LY171</v>
          </cell>
        </row>
        <row r="523">
          <cell r="A523" t="str">
            <v>CS-LY171-PI908-M</v>
          </cell>
          <cell r="B523" t="str">
            <v>CS-LY171</v>
          </cell>
        </row>
        <row r="524">
          <cell r="A524" t="str">
            <v>CS-LY171-PI908-S</v>
          </cell>
          <cell r="B524" t="str">
            <v>CS-LY171</v>
          </cell>
        </row>
        <row r="525">
          <cell r="A525" t="str">
            <v>CS-LY171-PI908-XL</v>
          </cell>
          <cell r="B525" t="str">
            <v>CS-LY171</v>
          </cell>
        </row>
        <row r="526">
          <cell r="A526" t="str">
            <v>CS-LY171-PI908-XXL</v>
          </cell>
          <cell r="B526" t="str">
            <v>CS-LY171</v>
          </cell>
        </row>
        <row r="527">
          <cell r="A527" t="str">
            <v>CS-LY171-Sa911-L</v>
          </cell>
          <cell r="B527" t="str">
            <v>CS-LY171</v>
          </cell>
        </row>
        <row r="528">
          <cell r="A528" t="str">
            <v>CS-LY171-Sa911-M</v>
          </cell>
          <cell r="B528" t="str">
            <v>CS-LY171</v>
          </cell>
        </row>
        <row r="529">
          <cell r="A529" t="str">
            <v>CS-LY171-Sa911-S</v>
          </cell>
          <cell r="B529" t="str">
            <v>CS-LY171</v>
          </cell>
        </row>
        <row r="530">
          <cell r="A530" t="str">
            <v>CS-LY171-Sa911-XL</v>
          </cell>
          <cell r="B530" t="str">
            <v>CS-LY171</v>
          </cell>
        </row>
        <row r="531">
          <cell r="A531" t="str">
            <v>CS-LY171-Sa911-XXL</v>
          </cell>
          <cell r="B531" t="str">
            <v>CS-LY171</v>
          </cell>
        </row>
        <row r="532">
          <cell r="A532" t="str">
            <v>CS-LY171-W902-L</v>
          </cell>
          <cell r="B532" t="str">
            <v>CS-LY171</v>
          </cell>
        </row>
        <row r="533">
          <cell r="A533" t="str">
            <v>CS-LY171-W902-M</v>
          </cell>
          <cell r="B533" t="str">
            <v>CS-LY171</v>
          </cell>
        </row>
        <row r="534">
          <cell r="A534" t="str">
            <v>CS-LY171-W902-S</v>
          </cell>
          <cell r="B534" t="str">
            <v>CS-LY171</v>
          </cell>
        </row>
        <row r="535">
          <cell r="A535" t="str">
            <v>CS-LY171-W902-XL</v>
          </cell>
          <cell r="B535" t="str">
            <v>CS-LY171</v>
          </cell>
        </row>
        <row r="536">
          <cell r="A536" t="str">
            <v>CS-LY171-W902-XXL</v>
          </cell>
          <cell r="B536" t="str">
            <v>CS-LY171</v>
          </cell>
        </row>
        <row r="537">
          <cell r="A537" t="str">
            <v>CS-LY171-WR917-L</v>
          </cell>
          <cell r="B537" t="str">
            <v>CS-LY171</v>
          </cell>
        </row>
        <row r="538">
          <cell r="A538" t="str">
            <v>CS-LY171-WR917-M</v>
          </cell>
          <cell r="B538" t="str">
            <v>CS-LY171</v>
          </cell>
        </row>
        <row r="539">
          <cell r="A539" t="str">
            <v>CS-LY171-WR917-S</v>
          </cell>
          <cell r="B539" t="str">
            <v>CS-LY171</v>
          </cell>
        </row>
        <row r="540">
          <cell r="A540" t="str">
            <v>CS-LY171-WR917-XL</v>
          </cell>
          <cell r="B540" t="str">
            <v>CS-LY171</v>
          </cell>
        </row>
        <row r="541">
          <cell r="A541" t="str">
            <v>CS-LY171-WR917-XXL</v>
          </cell>
          <cell r="B541" t="str">
            <v>CS-LY171</v>
          </cell>
        </row>
        <row r="542">
          <cell r="A542" t="str">
            <v>CS-LY171-ZL918-L</v>
          </cell>
          <cell r="B542" t="str">
            <v>CS-LY171</v>
          </cell>
        </row>
        <row r="543">
          <cell r="A543" t="str">
            <v>CS-LY171-ZL918-M</v>
          </cell>
          <cell r="B543" t="str">
            <v>CS-LY171</v>
          </cell>
        </row>
        <row r="544">
          <cell r="A544" t="str">
            <v>CS-LY171-ZL918-S</v>
          </cell>
          <cell r="B544" t="str">
            <v>CS-LY171</v>
          </cell>
        </row>
        <row r="545">
          <cell r="A545" t="str">
            <v>CS-LY171-ZL918-XL</v>
          </cell>
          <cell r="B545" t="str">
            <v>CS-LY171</v>
          </cell>
        </row>
        <row r="546">
          <cell r="A546" t="str">
            <v>CS-LY171-ZL918-XXL</v>
          </cell>
          <cell r="B546" t="str">
            <v>CS-LY171</v>
          </cell>
        </row>
        <row r="547">
          <cell r="A547" t="str">
            <v>CS-LY181-G912-L</v>
          </cell>
          <cell r="B547" t="str">
            <v>CS-LY181</v>
          </cell>
        </row>
        <row r="548">
          <cell r="A548" t="str">
            <v>CS-LY181-G912-M</v>
          </cell>
          <cell r="B548" t="str">
            <v>CS-LY181</v>
          </cell>
        </row>
        <row r="549">
          <cell r="A549" t="str">
            <v>CS-LY181-G912-S</v>
          </cell>
          <cell r="B549" t="str">
            <v>CS-LY181</v>
          </cell>
        </row>
        <row r="550">
          <cell r="A550" t="str">
            <v>CS-LY181-G912-XL</v>
          </cell>
          <cell r="B550" t="str">
            <v>CS-LY181</v>
          </cell>
        </row>
        <row r="551">
          <cell r="A551" t="str">
            <v>CS-LY181-G912-XXL</v>
          </cell>
          <cell r="B551" t="str">
            <v>CS-LY181</v>
          </cell>
        </row>
        <row r="552">
          <cell r="A552" t="str">
            <v>CS-LY181-LB916-L</v>
          </cell>
          <cell r="B552" t="str">
            <v>CS-LY181</v>
          </cell>
        </row>
        <row r="553">
          <cell r="A553" t="str">
            <v>CS-LY181-LB916-M</v>
          </cell>
          <cell r="B553" t="str">
            <v>CS-LY181</v>
          </cell>
        </row>
        <row r="554">
          <cell r="A554" t="str">
            <v>CS-LY181-LB916-S</v>
          </cell>
          <cell r="B554" t="str">
            <v>CS-LY181</v>
          </cell>
        </row>
        <row r="555">
          <cell r="A555" t="str">
            <v>CS-LY181-LB916-XL</v>
          </cell>
          <cell r="B555" t="str">
            <v>CS-LY181</v>
          </cell>
        </row>
        <row r="556">
          <cell r="A556" t="str">
            <v>CS-LY181-LB916-XXL</v>
          </cell>
          <cell r="B556" t="str">
            <v>CS-LY181</v>
          </cell>
        </row>
        <row r="557">
          <cell r="A557" t="str">
            <v>CS-LY181-LG907-L</v>
          </cell>
          <cell r="B557" t="str">
            <v>CS-LY181</v>
          </cell>
        </row>
        <row r="558">
          <cell r="A558" t="str">
            <v>CS-LY181-LG907-M</v>
          </cell>
          <cell r="B558" t="str">
            <v>CS-LY181</v>
          </cell>
        </row>
        <row r="559">
          <cell r="A559" t="str">
            <v>CS-LY181-LG907-S</v>
          </cell>
          <cell r="B559" t="str">
            <v>CS-LY181</v>
          </cell>
        </row>
        <row r="560">
          <cell r="A560" t="str">
            <v>CS-LY181-LG907-XL</v>
          </cell>
          <cell r="B560" t="str">
            <v>CS-LY181</v>
          </cell>
        </row>
        <row r="561">
          <cell r="A561" t="str">
            <v>CS-LY181-LG907-XXL</v>
          </cell>
          <cell r="B561" t="str">
            <v>CS-LY181</v>
          </cell>
        </row>
        <row r="562">
          <cell r="A562" t="str">
            <v>CS-LY181-LG-M</v>
          </cell>
          <cell r="B562" t="str">
            <v>CS-LY181</v>
          </cell>
        </row>
        <row r="563">
          <cell r="A563" t="str">
            <v>CS-LY181-PI908-L</v>
          </cell>
          <cell r="B563" t="str">
            <v>CS-LY181</v>
          </cell>
        </row>
        <row r="564">
          <cell r="A564" t="str">
            <v>CS-LY181-PI908-M</v>
          </cell>
          <cell r="B564" t="str">
            <v>CS-LY181</v>
          </cell>
        </row>
        <row r="565">
          <cell r="A565" t="str">
            <v>CS-LY181-PI908-S</v>
          </cell>
          <cell r="B565" t="str">
            <v>CS-LY181</v>
          </cell>
        </row>
        <row r="566">
          <cell r="A566" t="str">
            <v>CS-LY181-PI908-XL</v>
          </cell>
          <cell r="B566" t="str">
            <v>CS-LY181</v>
          </cell>
        </row>
        <row r="567">
          <cell r="A567" t="str">
            <v>CS-LY181-PI908-XXL</v>
          </cell>
          <cell r="B567" t="str">
            <v>CS-LY181</v>
          </cell>
        </row>
        <row r="568">
          <cell r="A568" t="str">
            <v>CS-LY181-Sa911-L</v>
          </cell>
          <cell r="B568" t="str">
            <v>CS-LY181</v>
          </cell>
        </row>
        <row r="569">
          <cell r="A569" t="str">
            <v>CS-LY181-Sa911-M</v>
          </cell>
          <cell r="B569" t="str">
            <v>CS-LY181</v>
          </cell>
        </row>
        <row r="570">
          <cell r="A570" t="str">
            <v>CS-LY181-Sa911-S</v>
          </cell>
          <cell r="B570" t="str">
            <v>CS-LY181</v>
          </cell>
        </row>
        <row r="571">
          <cell r="A571" t="str">
            <v>CS-LY181-Sa911-XL</v>
          </cell>
          <cell r="B571" t="str">
            <v>CS-LY181</v>
          </cell>
        </row>
        <row r="572">
          <cell r="A572" t="str">
            <v>CS-LY181-Sa911-XXL</v>
          </cell>
          <cell r="B572" t="str">
            <v>CS-LY181</v>
          </cell>
        </row>
        <row r="573">
          <cell r="A573" t="str">
            <v>CS-LY181-W902-L</v>
          </cell>
          <cell r="B573" t="str">
            <v>CS-LY181</v>
          </cell>
        </row>
        <row r="574">
          <cell r="A574" t="str">
            <v>CS-LY181-W902-M</v>
          </cell>
          <cell r="B574" t="str">
            <v>CS-LY181</v>
          </cell>
        </row>
        <row r="575">
          <cell r="A575" t="str">
            <v>CS-LY181-W902-S</v>
          </cell>
          <cell r="B575" t="str">
            <v>CS-LY181</v>
          </cell>
        </row>
        <row r="576">
          <cell r="A576" t="str">
            <v>CS-LY181-W902-XL</v>
          </cell>
          <cell r="B576" t="str">
            <v>CS-LY181</v>
          </cell>
        </row>
        <row r="577">
          <cell r="A577" t="str">
            <v>CS-LY181-W902-XXL</v>
          </cell>
          <cell r="B577" t="str">
            <v>CS-LY181</v>
          </cell>
        </row>
        <row r="578">
          <cell r="A578" t="str">
            <v>CS-LY181-WR917-L</v>
          </cell>
          <cell r="B578" t="str">
            <v>CS-LY181</v>
          </cell>
        </row>
        <row r="579">
          <cell r="A579" t="str">
            <v>CS-LY181-WR917-M</v>
          </cell>
          <cell r="B579" t="str">
            <v>CS-LY181</v>
          </cell>
        </row>
        <row r="580">
          <cell r="A580" t="str">
            <v>CS-LY181-WR917-S</v>
          </cell>
          <cell r="B580" t="str">
            <v>CS-LY181</v>
          </cell>
        </row>
        <row r="581">
          <cell r="A581" t="str">
            <v>CS-LY181-WR917-XL</v>
          </cell>
          <cell r="B581" t="str">
            <v>CS-LY181</v>
          </cell>
        </row>
        <row r="582">
          <cell r="A582" t="str">
            <v>CS-LY181-WR917-XXL</v>
          </cell>
          <cell r="B582" t="str">
            <v>CS-LY181</v>
          </cell>
        </row>
        <row r="583">
          <cell r="A583" t="str">
            <v>CS-LY181-ZL918-L</v>
          </cell>
          <cell r="B583" t="str">
            <v>CS-LY181</v>
          </cell>
        </row>
        <row r="584">
          <cell r="A584" t="str">
            <v>CS-LY181-ZL918-M</v>
          </cell>
          <cell r="B584" t="str">
            <v>CS-LY181</v>
          </cell>
        </row>
        <row r="585">
          <cell r="A585" t="str">
            <v>CS-LY181-ZL918-S</v>
          </cell>
          <cell r="B585" t="str">
            <v>CS-LY181</v>
          </cell>
        </row>
        <row r="586">
          <cell r="A586" t="str">
            <v>CS-LY181-ZL918-XL</v>
          </cell>
          <cell r="B586" t="str">
            <v>CS-LY181</v>
          </cell>
        </row>
        <row r="587">
          <cell r="A587" t="str">
            <v>CS-LY181-ZL918-XXL</v>
          </cell>
          <cell r="B587" t="str">
            <v>CS-LY181</v>
          </cell>
        </row>
        <row r="588">
          <cell r="A588" t="str">
            <v>CS-LY181-ZL-XL</v>
          </cell>
          <cell r="B588" t="str">
            <v>CS-LY181</v>
          </cell>
        </row>
        <row r="589">
          <cell r="A589" t="str">
            <v>CS-MCCL031-R0-M</v>
          </cell>
          <cell r="B589" t="str">
            <v>CS-MCCL031</v>
          </cell>
        </row>
        <row r="590">
          <cell r="A590" t="str">
            <v>CS-MCCL031-R0-XXL</v>
          </cell>
          <cell r="B590" t="str">
            <v>CS-MCCL031</v>
          </cell>
        </row>
        <row r="591">
          <cell r="A591" t="str">
            <v>CS-SB001-BK-2XL</v>
          </cell>
          <cell r="B591" t="str">
            <v>CS-SB001</v>
          </cell>
        </row>
        <row r="592">
          <cell r="A592" t="str">
            <v>CS-SB001-BK-L</v>
          </cell>
          <cell r="B592" t="str">
            <v>CS-SB001</v>
          </cell>
        </row>
        <row r="593">
          <cell r="A593" t="str">
            <v>CS-SB001-BK-M</v>
          </cell>
          <cell r="B593" t="str">
            <v>CS-SB001</v>
          </cell>
        </row>
        <row r="594">
          <cell r="A594" t="str">
            <v>CS-SB001-BK-S</v>
          </cell>
          <cell r="B594" t="str">
            <v>CS-SB001</v>
          </cell>
        </row>
        <row r="595">
          <cell r="A595" t="str">
            <v>CS-SB001-BK-XL</v>
          </cell>
          <cell r="B595" t="str">
            <v>CS-SB001</v>
          </cell>
        </row>
        <row r="596">
          <cell r="A596" t="str">
            <v>CS-SB001-BL-2XL</v>
          </cell>
          <cell r="B596" t="str">
            <v>CS-SB001</v>
          </cell>
        </row>
        <row r="597">
          <cell r="A597" t="str">
            <v>CS-SB001-BL-L</v>
          </cell>
          <cell r="B597" t="str">
            <v>CS-SB001</v>
          </cell>
        </row>
        <row r="598">
          <cell r="A598" t="str">
            <v>CS-SB001-BL-M</v>
          </cell>
          <cell r="B598" t="str">
            <v>CS-SB001</v>
          </cell>
        </row>
        <row r="599">
          <cell r="A599" t="str">
            <v>CS-SB001-BL-S</v>
          </cell>
          <cell r="B599" t="str">
            <v>CS-SB001</v>
          </cell>
        </row>
        <row r="600">
          <cell r="A600" t="str">
            <v>CS-SB001-BL-XL</v>
          </cell>
          <cell r="B600" t="str">
            <v>CS-SB001</v>
          </cell>
        </row>
        <row r="601">
          <cell r="A601" t="str">
            <v>CS-SB001-GR-2XL</v>
          </cell>
          <cell r="B601" t="str">
            <v>CS-SB001</v>
          </cell>
        </row>
        <row r="602">
          <cell r="A602" t="str">
            <v>CS-SB001-GR-L</v>
          </cell>
          <cell r="B602" t="str">
            <v>CS-SB001</v>
          </cell>
        </row>
        <row r="603">
          <cell r="A603" t="str">
            <v>CS-SB001-GR-M</v>
          </cell>
          <cell r="B603" t="str">
            <v>CS-SB001</v>
          </cell>
        </row>
        <row r="604">
          <cell r="A604" t="str">
            <v>CS-SB001-GR-S</v>
          </cell>
          <cell r="B604" t="str">
            <v>CS-SB001</v>
          </cell>
        </row>
        <row r="605">
          <cell r="A605" t="str">
            <v>CS-SB001-GR-XL</v>
          </cell>
          <cell r="B605" t="str">
            <v>CS-SB001</v>
          </cell>
        </row>
        <row r="606">
          <cell r="A606" t="str">
            <v>CS-SB001-PP-2XL</v>
          </cell>
          <cell r="B606" t="str">
            <v>CS-SB001</v>
          </cell>
        </row>
        <row r="607">
          <cell r="A607" t="str">
            <v>CS-SB001-PP-L</v>
          </cell>
          <cell r="B607" t="str">
            <v>CS-SB001</v>
          </cell>
        </row>
        <row r="608">
          <cell r="A608" t="str">
            <v>CS-SB001-PP-M</v>
          </cell>
          <cell r="B608" t="str">
            <v>CS-SB001</v>
          </cell>
        </row>
        <row r="609">
          <cell r="A609" t="str">
            <v>CS-SB001-PP-S</v>
          </cell>
          <cell r="B609" t="str">
            <v>CS-SB001</v>
          </cell>
        </row>
        <row r="610">
          <cell r="A610" t="str">
            <v>CS-SB001-PP-XL</v>
          </cell>
          <cell r="B610" t="str">
            <v>CS-SB001</v>
          </cell>
        </row>
        <row r="611">
          <cell r="A611" t="str">
            <v>CS-SB002-BK-2XL</v>
          </cell>
          <cell r="B611" t="str">
            <v>CS-SB002</v>
          </cell>
        </row>
        <row r="612">
          <cell r="A612" t="str">
            <v>CS-SB002-BK-L</v>
          </cell>
          <cell r="B612" t="str">
            <v>CS-SB002</v>
          </cell>
        </row>
        <row r="613">
          <cell r="A613" t="str">
            <v>CS-SB002-BK-M</v>
          </cell>
          <cell r="B613" t="str">
            <v>CS-SB002</v>
          </cell>
        </row>
        <row r="614">
          <cell r="A614" t="str">
            <v>CS-SB002-BK-S</v>
          </cell>
          <cell r="B614" t="str">
            <v>CS-SB002</v>
          </cell>
        </row>
        <row r="615">
          <cell r="A615" t="str">
            <v>CS-SB002-BK-XL</v>
          </cell>
          <cell r="B615" t="str">
            <v>CS-SB002</v>
          </cell>
        </row>
        <row r="616">
          <cell r="A616" t="str">
            <v>CS-SB002-BL-L</v>
          </cell>
          <cell r="B616" t="str">
            <v>CS-SB002</v>
          </cell>
        </row>
        <row r="617">
          <cell r="A617" t="str">
            <v>CS-SB002-BL-M</v>
          </cell>
          <cell r="B617" t="str">
            <v>CS-SB002</v>
          </cell>
        </row>
        <row r="618">
          <cell r="A618" t="str">
            <v>CS-SB002-BLNGN-2XL</v>
          </cell>
          <cell r="B618" t="str">
            <v>CS-SB002</v>
          </cell>
        </row>
        <row r="619">
          <cell r="A619" t="str">
            <v>CS-SB002-BLNGN-L</v>
          </cell>
          <cell r="B619" t="str">
            <v>CS-SB002</v>
          </cell>
        </row>
        <row r="620">
          <cell r="A620" t="str">
            <v>CS-SB002-BLNGN-M</v>
          </cell>
          <cell r="B620" t="str">
            <v>CS-SB002</v>
          </cell>
        </row>
        <row r="621">
          <cell r="A621" t="str">
            <v>CS-SB002-BLNGN-S</v>
          </cell>
          <cell r="B621" t="str">
            <v>CS-SB002</v>
          </cell>
        </row>
        <row r="622">
          <cell r="A622" t="str">
            <v>CS-SB002-BLNGN-XL</v>
          </cell>
          <cell r="B622" t="str">
            <v>CS-SB002</v>
          </cell>
        </row>
        <row r="623">
          <cell r="A623" t="str">
            <v>CS-SB002-BL-S</v>
          </cell>
          <cell r="B623" t="str">
            <v>CS-SB002</v>
          </cell>
        </row>
        <row r="624">
          <cell r="A624" t="str">
            <v>CS-SB002-BL-XL</v>
          </cell>
          <cell r="B624" t="str">
            <v>CS-SB002</v>
          </cell>
        </row>
        <row r="625">
          <cell r="A625" t="str">
            <v>CS-SB002-BL-XXL</v>
          </cell>
          <cell r="B625" t="str">
            <v>CS-SB002</v>
          </cell>
        </row>
        <row r="626">
          <cell r="A626" t="str">
            <v>CS-SB002-CF-2XL</v>
          </cell>
          <cell r="B626" t="str">
            <v>CS-SB002</v>
          </cell>
        </row>
        <row r="627">
          <cell r="A627" t="str">
            <v>CS-SB002-CF-L</v>
          </cell>
          <cell r="B627" t="str">
            <v>CS-SB002</v>
          </cell>
        </row>
        <row r="628">
          <cell r="A628" t="str">
            <v>CS-SB002-CF-M</v>
          </cell>
          <cell r="B628" t="str">
            <v>CS-SB002</v>
          </cell>
        </row>
        <row r="629">
          <cell r="A629" t="str">
            <v>CS-SB002-CF-S</v>
          </cell>
          <cell r="B629" t="str">
            <v>CS-SB002</v>
          </cell>
        </row>
        <row r="630">
          <cell r="A630" t="str">
            <v>CS-SB002-CF-XL</v>
          </cell>
          <cell r="B630" t="str">
            <v>CS-SB002</v>
          </cell>
        </row>
        <row r="631">
          <cell r="A631" t="str">
            <v>CS-SB002-LB-2XL</v>
          </cell>
          <cell r="B631" t="str">
            <v>CS-SB002</v>
          </cell>
        </row>
        <row r="632">
          <cell r="A632" t="str">
            <v>CS-SB002-LB-L</v>
          </cell>
          <cell r="B632" t="str">
            <v>CS-SB002</v>
          </cell>
        </row>
        <row r="633">
          <cell r="A633" t="str">
            <v>CS-SB002-LB-M</v>
          </cell>
          <cell r="B633" t="str">
            <v>CS-SB002</v>
          </cell>
        </row>
        <row r="634">
          <cell r="A634" t="str">
            <v>CS-SB002-LB-S</v>
          </cell>
          <cell r="B634" t="str">
            <v>CS-SB002</v>
          </cell>
        </row>
        <row r="635">
          <cell r="A635" t="str">
            <v>CS-SB002-LB-XL</v>
          </cell>
          <cell r="B635" t="str">
            <v>CS-SB002</v>
          </cell>
        </row>
        <row r="636">
          <cell r="A636" t="str">
            <v>CS-SB002-RD-2XL</v>
          </cell>
          <cell r="B636" t="str">
            <v>CS-SB002</v>
          </cell>
        </row>
        <row r="637">
          <cell r="A637" t="str">
            <v>CS-SB002-RD-L</v>
          </cell>
          <cell r="B637" t="str">
            <v>CS-SB002</v>
          </cell>
        </row>
        <row r="638">
          <cell r="A638" t="str">
            <v>CS-SB002-RD-M</v>
          </cell>
          <cell r="B638" t="str">
            <v>CS-SB002</v>
          </cell>
        </row>
        <row r="639">
          <cell r="A639" t="str">
            <v>CS-SB002-RD-S</v>
          </cell>
          <cell r="B639" t="str">
            <v>CS-SB002</v>
          </cell>
        </row>
        <row r="640">
          <cell r="A640" t="str">
            <v>CS-SB002-RD-XL</v>
          </cell>
          <cell r="B640" t="str">
            <v>CS-SB002</v>
          </cell>
        </row>
        <row r="641">
          <cell r="A641" t="str">
            <v>CS-SB002-RNBL-2XL</v>
          </cell>
          <cell r="B641" t="str">
            <v>CS-SB002</v>
          </cell>
        </row>
        <row r="642">
          <cell r="A642" t="str">
            <v>CS-SB002-RNBL-L</v>
          </cell>
          <cell r="B642" t="str">
            <v>CS-SB002</v>
          </cell>
        </row>
        <row r="643">
          <cell r="A643" t="str">
            <v>CS-SB002-RNBL-M</v>
          </cell>
          <cell r="B643" t="str">
            <v>CS-SB002</v>
          </cell>
        </row>
        <row r="644">
          <cell r="A644" t="str">
            <v>CS-SB002-RNBL-S</v>
          </cell>
          <cell r="B644" t="str">
            <v>CS-SB002</v>
          </cell>
        </row>
        <row r="645">
          <cell r="A645" t="str">
            <v>CS-SB002-RNBL-XL</v>
          </cell>
          <cell r="B645" t="str">
            <v>CS-SB002</v>
          </cell>
        </row>
        <row r="646">
          <cell r="A646" t="str">
            <v>CS-SB003-B0-L</v>
          </cell>
          <cell r="B646" t="str">
            <v>CS-SB003</v>
          </cell>
        </row>
        <row r="647">
          <cell r="A647" t="str">
            <v>CS-SB003-B0-M</v>
          </cell>
          <cell r="B647" t="str">
            <v>CS-SB003</v>
          </cell>
        </row>
        <row r="648">
          <cell r="A648" t="str">
            <v>CS-SB003-B0-S</v>
          </cell>
          <cell r="B648" t="str">
            <v>CS-SB003</v>
          </cell>
        </row>
        <row r="649">
          <cell r="A649" t="str">
            <v>CS-SB003-B0-XL</v>
          </cell>
          <cell r="B649" t="str">
            <v>CS-SB003</v>
          </cell>
        </row>
        <row r="650">
          <cell r="A650" t="str">
            <v>CS-SB003-B0-XXL</v>
          </cell>
          <cell r="B650" t="str">
            <v>CS-SB003</v>
          </cell>
        </row>
        <row r="651">
          <cell r="A651" t="str">
            <v>CS-SB003-BK-L</v>
          </cell>
          <cell r="B651" t="str">
            <v>CS-SB003</v>
          </cell>
        </row>
        <row r="652">
          <cell r="A652" t="str">
            <v>CS-SB003-BK-M</v>
          </cell>
          <cell r="B652" t="str">
            <v>CS-SB003</v>
          </cell>
        </row>
        <row r="653">
          <cell r="A653" t="str">
            <v>CS-SB003-BK-S</v>
          </cell>
          <cell r="B653" t="str">
            <v>CS-SB003</v>
          </cell>
        </row>
        <row r="654">
          <cell r="A654" t="str">
            <v>CS-SB003-BK-XL</v>
          </cell>
          <cell r="B654" t="str">
            <v>CS-SB003</v>
          </cell>
        </row>
        <row r="655">
          <cell r="A655" t="str">
            <v>CS-SB003-BK-XXL</v>
          </cell>
          <cell r="B655" t="str">
            <v>CS-SB003</v>
          </cell>
        </row>
        <row r="656">
          <cell r="A656" t="str">
            <v>CS-SB003-LB-L</v>
          </cell>
          <cell r="B656" t="str">
            <v>CS-SB003</v>
          </cell>
        </row>
        <row r="657">
          <cell r="A657" t="str">
            <v>CS-SB003-LB-M</v>
          </cell>
          <cell r="B657" t="str">
            <v>CS-SB003</v>
          </cell>
        </row>
        <row r="658">
          <cell r="A658" t="str">
            <v>CS-SB003-LB-S</v>
          </cell>
          <cell r="B658" t="str">
            <v>CS-SB003</v>
          </cell>
        </row>
        <row r="659">
          <cell r="A659" t="str">
            <v>CS-SB003-LB-XL</v>
          </cell>
          <cell r="B659" t="str">
            <v>CS-SB003</v>
          </cell>
        </row>
        <row r="660">
          <cell r="A660" t="str">
            <v>CS-SB003-LB-XXL</v>
          </cell>
          <cell r="B660" t="str">
            <v>CS-SB003</v>
          </cell>
        </row>
        <row r="661">
          <cell r="A661" t="str">
            <v>CS-SB003-NB-L</v>
          </cell>
          <cell r="B661" t="str">
            <v>CS-SB003</v>
          </cell>
        </row>
        <row r="662">
          <cell r="A662" t="str">
            <v>CS-SB003-NB-M</v>
          </cell>
          <cell r="B662" t="str">
            <v>CS-SB003</v>
          </cell>
        </row>
        <row r="663">
          <cell r="A663" t="str">
            <v>CS-SB003-NB-S</v>
          </cell>
          <cell r="B663" t="str">
            <v>CS-SB003</v>
          </cell>
        </row>
        <row r="664">
          <cell r="A664" t="str">
            <v>CS-SB003-NB-XL</v>
          </cell>
          <cell r="B664" t="str">
            <v>CS-SB003</v>
          </cell>
        </row>
        <row r="665">
          <cell r="A665" t="str">
            <v>CS-SB003-NB-XXL</v>
          </cell>
          <cell r="B665" t="str">
            <v>CS-SB003</v>
          </cell>
        </row>
        <row r="666">
          <cell r="A666" t="str">
            <v>CS-SB005-BK-2XL</v>
          </cell>
          <cell r="B666" t="str">
            <v>CS-SB005</v>
          </cell>
        </row>
        <row r="667">
          <cell r="A667" t="str">
            <v>CS-SB005-BK-L</v>
          </cell>
          <cell r="B667" t="str">
            <v>CS-SB005</v>
          </cell>
        </row>
        <row r="668">
          <cell r="A668" t="str">
            <v>CS-SB005-BK-M</v>
          </cell>
          <cell r="B668" t="str">
            <v>CS-SB005</v>
          </cell>
        </row>
        <row r="669">
          <cell r="A669" t="str">
            <v>CS-SB005-BK-S</v>
          </cell>
          <cell r="B669" t="str">
            <v>CS-SB005</v>
          </cell>
        </row>
        <row r="670">
          <cell r="A670" t="str">
            <v>CS-SB005-BK-XL</v>
          </cell>
          <cell r="B670" t="str">
            <v>CS-SB005</v>
          </cell>
        </row>
        <row r="671">
          <cell r="A671" t="str">
            <v>CS-SB005-BL1-2XL</v>
          </cell>
          <cell r="B671" t="str">
            <v>CS-SB005</v>
          </cell>
        </row>
        <row r="672">
          <cell r="A672" t="str">
            <v>CS-SB005-BL1-L</v>
          </cell>
          <cell r="B672" t="str">
            <v>CS-SB005</v>
          </cell>
        </row>
        <row r="673">
          <cell r="A673" t="str">
            <v>CS-SB005-BL1-M</v>
          </cell>
          <cell r="B673" t="str">
            <v>CS-SB005</v>
          </cell>
        </row>
        <row r="674">
          <cell r="A674" t="str">
            <v>CS-SB005-BL1-S</v>
          </cell>
          <cell r="B674" t="str">
            <v>CS-SB005</v>
          </cell>
        </row>
        <row r="675">
          <cell r="A675" t="str">
            <v>CS-SB005-BL1-XL</v>
          </cell>
          <cell r="B675" t="str">
            <v>CS-SB005</v>
          </cell>
        </row>
        <row r="676">
          <cell r="A676" t="str">
            <v>CS-SB005-BL2-2XL</v>
          </cell>
          <cell r="B676" t="str">
            <v>CS-SB005</v>
          </cell>
        </row>
        <row r="677">
          <cell r="A677" t="str">
            <v>CS-SB005-BL2-L</v>
          </cell>
          <cell r="B677" t="str">
            <v>CS-SB005</v>
          </cell>
        </row>
        <row r="678">
          <cell r="A678" t="str">
            <v>CS-SB005-BL2-M</v>
          </cell>
          <cell r="B678" t="str">
            <v>CS-SB005</v>
          </cell>
        </row>
        <row r="679">
          <cell r="A679" t="str">
            <v>CS-SB005-BL2-S</v>
          </cell>
          <cell r="B679" t="str">
            <v>CS-SB005</v>
          </cell>
        </row>
        <row r="680">
          <cell r="A680" t="str">
            <v>CS-SB005-BL2-XL</v>
          </cell>
          <cell r="B680" t="str">
            <v>CS-SB005</v>
          </cell>
        </row>
        <row r="681">
          <cell r="A681" t="str">
            <v>CS-SB005-GN-2XL</v>
          </cell>
          <cell r="B681" t="str">
            <v>CS-SB005</v>
          </cell>
        </row>
        <row r="682">
          <cell r="A682" t="str">
            <v>CS-SB005-GN-L</v>
          </cell>
          <cell r="B682" t="str">
            <v>CS-SB005</v>
          </cell>
        </row>
        <row r="683">
          <cell r="A683" t="str">
            <v>CS-SB005-GN-M</v>
          </cell>
          <cell r="B683" t="str">
            <v>CS-SB005</v>
          </cell>
        </row>
        <row r="684">
          <cell r="A684" t="str">
            <v>CS-SB005-GN-S</v>
          </cell>
          <cell r="B684" t="str">
            <v>CS-SB005</v>
          </cell>
        </row>
        <row r="685">
          <cell r="A685" t="str">
            <v>CS-SB005-GN-XL</v>
          </cell>
          <cell r="B685" t="str">
            <v>CS-SB005</v>
          </cell>
        </row>
        <row r="686">
          <cell r="A686" t="str">
            <v>CS-SB005-RD1-2XL</v>
          </cell>
          <cell r="B686" t="str">
            <v>CS-SB005</v>
          </cell>
        </row>
        <row r="687">
          <cell r="A687" t="str">
            <v>CS-SB005-RD1-L</v>
          </cell>
          <cell r="B687" t="str">
            <v>CS-SB005</v>
          </cell>
        </row>
        <row r="688">
          <cell r="A688" t="str">
            <v>CS-SB005-RD1-M</v>
          </cell>
          <cell r="B688" t="str">
            <v>CS-SB005</v>
          </cell>
        </row>
        <row r="689">
          <cell r="A689" t="str">
            <v>CS-SB005-RD1-S</v>
          </cell>
          <cell r="B689" t="str">
            <v>CS-SB005</v>
          </cell>
        </row>
        <row r="690">
          <cell r="A690" t="str">
            <v>CS-SB005-RD1-XL</v>
          </cell>
          <cell r="B690" t="str">
            <v>CS-SB005</v>
          </cell>
        </row>
        <row r="691">
          <cell r="A691" t="str">
            <v>CS-SB005-RD-2XL</v>
          </cell>
          <cell r="B691" t="str">
            <v>CS-SB005</v>
          </cell>
        </row>
        <row r="692">
          <cell r="A692" t="str">
            <v>CS-SB005-RD-L</v>
          </cell>
          <cell r="B692" t="str">
            <v>CS-SB005</v>
          </cell>
        </row>
        <row r="693">
          <cell r="A693" t="str">
            <v>CS-SB005-RD-M</v>
          </cell>
          <cell r="B693" t="str">
            <v>CS-SB005</v>
          </cell>
        </row>
        <row r="694">
          <cell r="A694" t="str">
            <v>CS-SB005-RD-S</v>
          </cell>
          <cell r="B694" t="str">
            <v>CS-SB005</v>
          </cell>
        </row>
        <row r="695">
          <cell r="A695" t="str">
            <v>CS-SB005-RD-XL</v>
          </cell>
          <cell r="B695" t="str">
            <v>CS-SB005</v>
          </cell>
        </row>
        <row r="696">
          <cell r="A696" t="str">
            <v>CS-SB005-YL-2XL</v>
          </cell>
          <cell r="B696" t="str">
            <v>CS-SB005</v>
          </cell>
        </row>
        <row r="697">
          <cell r="A697" t="str">
            <v>CS-SB005-YL-L</v>
          </cell>
          <cell r="B697" t="str">
            <v>CS-SB005</v>
          </cell>
        </row>
        <row r="698">
          <cell r="A698" t="str">
            <v>CS-SB005-YL-M</v>
          </cell>
          <cell r="B698" t="str">
            <v>CS-SB005</v>
          </cell>
        </row>
        <row r="699">
          <cell r="A699" t="str">
            <v>CS-SB005-YL-S</v>
          </cell>
          <cell r="B699" t="str">
            <v>CS-SB005</v>
          </cell>
        </row>
        <row r="700">
          <cell r="A700" t="str">
            <v>CS-SB005-YL-XL</v>
          </cell>
          <cell r="B700" t="str">
            <v>CS-SB005</v>
          </cell>
        </row>
        <row r="701">
          <cell r="A701" t="str">
            <v>CS-SB006-BK-2XL</v>
          </cell>
          <cell r="B701" t="str">
            <v>CS-SB006</v>
          </cell>
        </row>
        <row r="702">
          <cell r="A702" t="str">
            <v>CS-SB006-BK-L</v>
          </cell>
          <cell r="B702" t="str">
            <v>CS-SB006</v>
          </cell>
        </row>
        <row r="703">
          <cell r="A703" t="str">
            <v>CS-SB006-BK-M</v>
          </cell>
          <cell r="B703" t="str">
            <v>CS-SB006</v>
          </cell>
        </row>
        <row r="704">
          <cell r="A704" t="str">
            <v>CS-SB006-BK-S</v>
          </cell>
          <cell r="B704" t="str">
            <v>CS-SB006</v>
          </cell>
        </row>
        <row r="705">
          <cell r="A705" t="str">
            <v>CS-SB006-BK-XL</v>
          </cell>
          <cell r="B705" t="str">
            <v>CS-SB006</v>
          </cell>
        </row>
        <row r="706">
          <cell r="A706" t="str">
            <v>CS-SB006-BL2-2XL</v>
          </cell>
          <cell r="B706" t="str">
            <v>CS-SB006</v>
          </cell>
        </row>
        <row r="707">
          <cell r="A707" t="str">
            <v>CS-SB006-BL2-L</v>
          </cell>
          <cell r="B707" t="str">
            <v>CS-SB006</v>
          </cell>
        </row>
        <row r="708">
          <cell r="A708" t="str">
            <v>CS-SB006-BL2-M</v>
          </cell>
          <cell r="B708" t="str">
            <v>CS-SB006</v>
          </cell>
        </row>
        <row r="709">
          <cell r="A709" t="str">
            <v>CS-SB006-BL2-S</v>
          </cell>
          <cell r="B709" t="str">
            <v>CS-SB006</v>
          </cell>
        </row>
        <row r="710">
          <cell r="A710" t="str">
            <v>CS-SB006-BL2-XL</v>
          </cell>
          <cell r="B710" t="str">
            <v>CS-SB006</v>
          </cell>
        </row>
        <row r="711">
          <cell r="A711" t="str">
            <v>CS-SB006-BL-2XL</v>
          </cell>
          <cell r="B711" t="str">
            <v>CS-SB006</v>
          </cell>
        </row>
        <row r="712">
          <cell r="A712" t="str">
            <v>CS-SB006-BL-L</v>
          </cell>
          <cell r="B712" t="str">
            <v>CS-SB006</v>
          </cell>
        </row>
        <row r="713">
          <cell r="A713" t="str">
            <v>CS-SB006-BL-M</v>
          </cell>
          <cell r="B713" t="str">
            <v>CS-SB006</v>
          </cell>
        </row>
        <row r="714">
          <cell r="A714" t="str">
            <v>CS-SB006-BL-S</v>
          </cell>
          <cell r="B714" t="str">
            <v>CS-SB006</v>
          </cell>
        </row>
        <row r="715">
          <cell r="A715" t="str">
            <v>CS-SB006-BL-XL</v>
          </cell>
          <cell r="B715" t="str">
            <v>CS-SB006</v>
          </cell>
        </row>
        <row r="716">
          <cell r="A716" t="str">
            <v>CS-SB006-CF-2XL</v>
          </cell>
          <cell r="B716" t="str">
            <v>CS-SB006</v>
          </cell>
        </row>
        <row r="717">
          <cell r="A717" t="str">
            <v>CS-SB006-CF-L</v>
          </cell>
          <cell r="B717" t="str">
            <v>CS-SB006</v>
          </cell>
        </row>
        <row r="718">
          <cell r="A718" t="str">
            <v>CS-SB006-CF-M</v>
          </cell>
          <cell r="B718" t="str">
            <v>CS-SB006</v>
          </cell>
        </row>
        <row r="719">
          <cell r="A719" t="str">
            <v>CS-SB006-CF-S</v>
          </cell>
          <cell r="B719" t="str">
            <v>CS-SB006</v>
          </cell>
        </row>
        <row r="720">
          <cell r="A720" t="str">
            <v>CS-SB006-CF-XL</v>
          </cell>
          <cell r="B720" t="str">
            <v>CS-SB006</v>
          </cell>
        </row>
        <row r="721">
          <cell r="A721" t="str">
            <v>CS-SB006-GN-2XL</v>
          </cell>
          <cell r="B721" t="str">
            <v>CS-SB006</v>
          </cell>
        </row>
        <row r="722">
          <cell r="A722" t="str">
            <v>CS-SB006-GN-L</v>
          </cell>
          <cell r="B722" t="str">
            <v>CS-SB006</v>
          </cell>
        </row>
        <row r="723">
          <cell r="A723" t="str">
            <v>CS-SB006-GN-M</v>
          </cell>
          <cell r="B723" t="str">
            <v>CS-SB006</v>
          </cell>
        </row>
        <row r="724">
          <cell r="A724" t="str">
            <v>CS-SB006-GN-S</v>
          </cell>
          <cell r="B724" t="str">
            <v>CS-SB006</v>
          </cell>
        </row>
        <row r="725">
          <cell r="A725" t="str">
            <v>CS-SB006-GN-XL</v>
          </cell>
          <cell r="B725" t="str">
            <v>CS-SB006</v>
          </cell>
        </row>
        <row r="726">
          <cell r="A726" t="str">
            <v>CS-SB006-RD1-2XL</v>
          </cell>
          <cell r="B726" t="str">
            <v>CS-SB006</v>
          </cell>
        </row>
        <row r="727">
          <cell r="A727" t="str">
            <v>CS-SB006-RD1-L</v>
          </cell>
          <cell r="B727" t="str">
            <v>CS-SB006</v>
          </cell>
        </row>
        <row r="728">
          <cell r="A728" t="str">
            <v>CS-SB006-RD1-M</v>
          </cell>
          <cell r="B728" t="str">
            <v>CS-SB006</v>
          </cell>
        </row>
        <row r="729">
          <cell r="A729" t="str">
            <v>CS-SB006-RD1-S</v>
          </cell>
          <cell r="B729" t="str">
            <v>CS-SB006</v>
          </cell>
        </row>
        <row r="730">
          <cell r="A730" t="str">
            <v>CS-SB006-RD1-XL</v>
          </cell>
          <cell r="B730" t="str">
            <v>CS-SB006</v>
          </cell>
        </row>
        <row r="731">
          <cell r="A731" t="str">
            <v>CS-SB006-RD2-2XL</v>
          </cell>
          <cell r="B731" t="str">
            <v>CS-SB006</v>
          </cell>
        </row>
        <row r="732">
          <cell r="A732" t="str">
            <v>CS-SB006-RD2-L</v>
          </cell>
          <cell r="B732" t="str">
            <v>CS-SB006</v>
          </cell>
        </row>
        <row r="733">
          <cell r="A733" t="str">
            <v>CS-SB006-RD2-M</v>
          </cell>
          <cell r="B733" t="str">
            <v>CS-SB006</v>
          </cell>
        </row>
        <row r="734">
          <cell r="A734" t="str">
            <v>CS-SB006-RD2-S</v>
          </cell>
          <cell r="B734" t="str">
            <v>CS-SB006</v>
          </cell>
        </row>
        <row r="735">
          <cell r="A735" t="str">
            <v>CS-SB006-RD2-XL</v>
          </cell>
          <cell r="B735" t="str">
            <v>CS-SB006</v>
          </cell>
        </row>
        <row r="736">
          <cell r="A736" t="str">
            <v>CS-SB007-BL-L</v>
          </cell>
          <cell r="B736" t="str">
            <v>CS-SB007</v>
          </cell>
        </row>
        <row r="737">
          <cell r="A737" t="str">
            <v>CS-SB007-BL-M</v>
          </cell>
          <cell r="B737" t="str">
            <v>CS-SB007</v>
          </cell>
        </row>
        <row r="738">
          <cell r="A738" t="str">
            <v>CS-SB007-BL-S</v>
          </cell>
          <cell r="B738" t="str">
            <v>CS-SB007</v>
          </cell>
        </row>
        <row r="739">
          <cell r="A739" t="str">
            <v>CS-SB007-BL-XL</v>
          </cell>
          <cell r="B739" t="str">
            <v>CS-SB007</v>
          </cell>
        </row>
        <row r="740">
          <cell r="A740" t="str">
            <v>CS-SB007-BL-XXL</v>
          </cell>
          <cell r="B740" t="str">
            <v>CS-SB007</v>
          </cell>
        </row>
        <row r="741">
          <cell r="A741" t="str">
            <v>CS-SB007-GR-L</v>
          </cell>
          <cell r="B741" t="str">
            <v>CS-SB007</v>
          </cell>
        </row>
        <row r="742">
          <cell r="A742" t="str">
            <v>CS-SB007-GR-M</v>
          </cell>
          <cell r="B742" t="str">
            <v>CS-SB007</v>
          </cell>
        </row>
        <row r="743">
          <cell r="A743" t="str">
            <v>CS-SB007-GR-S</v>
          </cell>
          <cell r="B743" t="str">
            <v>CS-SB007</v>
          </cell>
        </row>
        <row r="744">
          <cell r="A744" t="str">
            <v>CS-SB007-GR-XL</v>
          </cell>
          <cell r="B744" t="str">
            <v>CS-SB007</v>
          </cell>
        </row>
        <row r="745">
          <cell r="A745" t="str">
            <v>CS-SB007-GR-XXL</v>
          </cell>
          <cell r="B745" t="str">
            <v>CS-SB007</v>
          </cell>
        </row>
        <row r="746">
          <cell r="A746" t="str">
            <v>CS-SB007-LB-L</v>
          </cell>
          <cell r="B746" t="str">
            <v>CS-SB007</v>
          </cell>
        </row>
        <row r="747">
          <cell r="A747" t="str">
            <v>CS-SB007-LB-M</v>
          </cell>
          <cell r="B747" t="str">
            <v>CS-SB007</v>
          </cell>
        </row>
        <row r="748">
          <cell r="A748" t="str">
            <v>CS-SB007-LB-S</v>
          </cell>
          <cell r="B748" t="str">
            <v>CS-SB007</v>
          </cell>
        </row>
        <row r="749">
          <cell r="A749" t="str">
            <v>CS-SB007-LB-XL</v>
          </cell>
          <cell r="B749" t="str">
            <v>CS-SB007</v>
          </cell>
        </row>
        <row r="750">
          <cell r="A750" t="str">
            <v>CS-SB007-LB-XXL</v>
          </cell>
          <cell r="B750" t="str">
            <v>CS-SB007</v>
          </cell>
        </row>
        <row r="751">
          <cell r="A751" t="str">
            <v>CS-SB007-LG-L</v>
          </cell>
          <cell r="B751" t="str">
            <v>CS-SB007</v>
          </cell>
        </row>
        <row r="752">
          <cell r="A752" t="str">
            <v>CS-SB007-LG-M</v>
          </cell>
          <cell r="B752" t="str">
            <v>CS-SB007</v>
          </cell>
        </row>
        <row r="753">
          <cell r="A753" t="str">
            <v>CS-SB007-LG-S</v>
          </cell>
          <cell r="B753" t="str">
            <v>CS-SB007</v>
          </cell>
        </row>
        <row r="754">
          <cell r="A754" t="str">
            <v>CS-SB007-LG-XL</v>
          </cell>
          <cell r="B754" t="str">
            <v>CS-SB007</v>
          </cell>
        </row>
        <row r="755">
          <cell r="A755" t="str">
            <v>CS-SB007-LG-XXL</v>
          </cell>
          <cell r="B755" t="str">
            <v>CS-SB007</v>
          </cell>
        </row>
        <row r="756">
          <cell r="A756" t="str">
            <v>CS-SB007-LP-L</v>
          </cell>
          <cell r="B756" t="str">
            <v>CS-SB007</v>
          </cell>
        </row>
        <row r="757">
          <cell r="A757" t="str">
            <v>CS-SB007-LP-M</v>
          </cell>
          <cell r="B757" t="str">
            <v>CS-SB007</v>
          </cell>
        </row>
        <row r="758">
          <cell r="A758" t="str">
            <v>CS-SB007-LP-S</v>
          </cell>
          <cell r="B758" t="str">
            <v>CS-SB007</v>
          </cell>
        </row>
        <row r="759">
          <cell r="A759" t="str">
            <v>CS-SB007-LP-XL</v>
          </cell>
          <cell r="B759" t="str">
            <v>CS-SB007</v>
          </cell>
        </row>
        <row r="760">
          <cell r="A760" t="str">
            <v>CS-SB007-LP-XXL</v>
          </cell>
          <cell r="B760" t="str">
            <v>CS-SB007</v>
          </cell>
        </row>
        <row r="761">
          <cell r="A761" t="str">
            <v>CS-SB007-PP-L</v>
          </cell>
          <cell r="B761" t="str">
            <v>CS-SB007</v>
          </cell>
        </row>
        <row r="762">
          <cell r="A762" t="str">
            <v>CS-SB007-PP-M</v>
          </cell>
          <cell r="B762" t="str">
            <v>CS-SB007</v>
          </cell>
        </row>
        <row r="763">
          <cell r="A763" t="str">
            <v>CS-SB007-PP-S</v>
          </cell>
          <cell r="B763" t="str">
            <v>CS-SB007</v>
          </cell>
        </row>
        <row r="764">
          <cell r="A764" t="str">
            <v>CS-SB007-PP-XL</v>
          </cell>
          <cell r="B764" t="str">
            <v>CS-SB007</v>
          </cell>
        </row>
        <row r="765">
          <cell r="A765" t="str">
            <v>CS-SB007-PP-XXL</v>
          </cell>
          <cell r="B765" t="str">
            <v>CS-SB007</v>
          </cell>
        </row>
        <row r="766">
          <cell r="A766" t="str">
            <v>CS-SB008-WR-L</v>
          </cell>
          <cell r="B766" t="str">
            <v>CS-SB008</v>
          </cell>
        </row>
        <row r="767">
          <cell r="A767" t="str">
            <v>CS-SB008-WR-M</v>
          </cell>
          <cell r="B767" t="str">
            <v>CS-SB008</v>
          </cell>
        </row>
        <row r="768">
          <cell r="A768" t="str">
            <v>CS-SB008-WR-S</v>
          </cell>
          <cell r="B768" t="str">
            <v>CS-SB008</v>
          </cell>
        </row>
        <row r="769">
          <cell r="A769" t="str">
            <v>CS-SB008-WR-XL</v>
          </cell>
          <cell r="B769" t="str">
            <v>CS-SB008</v>
          </cell>
        </row>
        <row r="770">
          <cell r="A770" t="str">
            <v>CS-SB008-WR-XXL</v>
          </cell>
          <cell r="B770" t="str">
            <v>CS-SB008</v>
          </cell>
        </row>
        <row r="771">
          <cell r="A771" t="str">
            <v>CS-SB008-ZL-L</v>
          </cell>
          <cell r="B771" t="str">
            <v>CS-SB008</v>
          </cell>
        </row>
        <row r="772">
          <cell r="A772" t="str">
            <v>CS-SB008-ZL-M</v>
          </cell>
          <cell r="B772" t="str">
            <v>CS-SB008</v>
          </cell>
        </row>
        <row r="773">
          <cell r="A773" t="str">
            <v>CS-SB008-ZL-S</v>
          </cell>
          <cell r="B773" t="str">
            <v>CS-SB008</v>
          </cell>
        </row>
        <row r="774">
          <cell r="A774" t="str">
            <v>CS-SB008-ZL-XL</v>
          </cell>
          <cell r="B774" t="str">
            <v>CS-SB008</v>
          </cell>
        </row>
        <row r="775">
          <cell r="A775" t="str">
            <v>CS-SB008-ZL-XXL</v>
          </cell>
          <cell r="B775" t="str">
            <v>CS-SB008</v>
          </cell>
        </row>
        <row r="776">
          <cell r="A776" t="str">
            <v>CS-SB009-BK-L</v>
          </cell>
          <cell r="B776" t="str">
            <v>CS-SB009</v>
          </cell>
        </row>
        <row r="777">
          <cell r="A777" t="str">
            <v>CS-SB009-BK-M</v>
          </cell>
          <cell r="B777" t="str">
            <v>CS-SB009</v>
          </cell>
        </row>
        <row r="778">
          <cell r="A778" t="str">
            <v>CS-SB009-BK-S</v>
          </cell>
          <cell r="B778" t="str">
            <v>CS-SB009</v>
          </cell>
        </row>
        <row r="779">
          <cell r="A779" t="str">
            <v>CS-SB009-BK-XL</v>
          </cell>
          <cell r="B779" t="str">
            <v>CS-SB009</v>
          </cell>
        </row>
        <row r="780">
          <cell r="A780" t="str">
            <v>CS-SB009-BK-XXL</v>
          </cell>
          <cell r="B780" t="str">
            <v>CS-SB009</v>
          </cell>
        </row>
        <row r="781">
          <cell r="A781" t="str">
            <v>CS-SB009-BL1-S</v>
          </cell>
          <cell r="B781" t="str">
            <v>CS-SB009</v>
          </cell>
        </row>
        <row r="782">
          <cell r="A782" t="str">
            <v>CS-SB009-BL2-M</v>
          </cell>
          <cell r="B782" t="str">
            <v>CS-SB009</v>
          </cell>
        </row>
        <row r="783">
          <cell r="A783" t="str">
            <v>CS-SB009-BL3-L</v>
          </cell>
          <cell r="B783" t="str">
            <v>CS-SB009</v>
          </cell>
        </row>
        <row r="784">
          <cell r="A784" t="str">
            <v>CS-SB009-BL4-XL</v>
          </cell>
          <cell r="B784" t="str">
            <v>CS-SB009</v>
          </cell>
        </row>
        <row r="785">
          <cell r="A785" t="str">
            <v>CS-SB009-BL5-XXL</v>
          </cell>
          <cell r="B785" t="str">
            <v>CS-SB009</v>
          </cell>
        </row>
        <row r="786">
          <cell r="A786" t="str">
            <v>CS-SB009-BL-L</v>
          </cell>
          <cell r="B786" t="str">
            <v>CS-SB009</v>
          </cell>
        </row>
        <row r="787">
          <cell r="A787" t="str">
            <v>CS-SB009-BL-M</v>
          </cell>
          <cell r="B787" t="str">
            <v>CS-SB009</v>
          </cell>
        </row>
        <row r="788">
          <cell r="A788" t="str">
            <v>CS-SB009-BL-S</v>
          </cell>
          <cell r="B788" t="str">
            <v>CS-SB009</v>
          </cell>
        </row>
        <row r="789">
          <cell r="A789" t="str">
            <v>CS-SB009-BL-XL</v>
          </cell>
          <cell r="B789" t="str">
            <v>CS-SB009</v>
          </cell>
        </row>
        <row r="790">
          <cell r="A790" t="str">
            <v>CS-SB009-BL-XXL</v>
          </cell>
          <cell r="B790" t="str">
            <v>CS-SB009</v>
          </cell>
        </row>
        <row r="791">
          <cell r="A791" t="str">
            <v>CS-SB009-CF-L</v>
          </cell>
          <cell r="B791" t="str">
            <v>CS-SB009</v>
          </cell>
        </row>
        <row r="792">
          <cell r="A792" t="str">
            <v>CS-SB009-CF-M</v>
          </cell>
          <cell r="B792" t="str">
            <v>CS-SB009</v>
          </cell>
        </row>
        <row r="793">
          <cell r="A793" t="str">
            <v>CS-SB009-CF-S</v>
          </cell>
          <cell r="B793" t="str">
            <v>CS-SB009</v>
          </cell>
        </row>
        <row r="794">
          <cell r="A794" t="str">
            <v>CS-SB009-CF-XL</v>
          </cell>
          <cell r="B794" t="str">
            <v>CS-SB009</v>
          </cell>
        </row>
        <row r="795">
          <cell r="A795" t="str">
            <v>CS-SB009-CF-XXL</v>
          </cell>
          <cell r="B795" t="str">
            <v>CS-SB009</v>
          </cell>
        </row>
        <row r="796">
          <cell r="A796" t="str">
            <v>CS-SB009-GN-L</v>
          </cell>
          <cell r="B796" t="str">
            <v>CS-SB009</v>
          </cell>
        </row>
        <row r="797">
          <cell r="A797" t="str">
            <v>CS-SB009-GN-M</v>
          </cell>
          <cell r="B797" t="str">
            <v>CS-SB009</v>
          </cell>
        </row>
        <row r="798">
          <cell r="A798" t="str">
            <v>CS-SB009-GN-S</v>
          </cell>
          <cell r="B798" t="str">
            <v>CS-SB009</v>
          </cell>
        </row>
        <row r="799">
          <cell r="A799" t="str">
            <v>CS-SB009-GN-XL</v>
          </cell>
          <cell r="B799" t="str">
            <v>CS-SB009</v>
          </cell>
        </row>
        <row r="800">
          <cell r="A800" t="str">
            <v>CS-SB009-GN-XXL</v>
          </cell>
          <cell r="B800" t="str">
            <v>CS-SB009</v>
          </cell>
        </row>
        <row r="801">
          <cell r="A801" t="str">
            <v>CS-SB009-LB1-L</v>
          </cell>
          <cell r="B801" t="str">
            <v>CS-SB009</v>
          </cell>
        </row>
        <row r="802">
          <cell r="A802" t="str">
            <v>CS-SB009-LB1-M</v>
          </cell>
          <cell r="B802" t="str">
            <v>CS-SB009</v>
          </cell>
        </row>
        <row r="803">
          <cell r="A803" t="str">
            <v>CS-SB009-LB1-S</v>
          </cell>
          <cell r="B803" t="str">
            <v>CS-SB009</v>
          </cell>
        </row>
        <row r="804">
          <cell r="A804" t="str">
            <v>CS-SB009-LB1-XL</v>
          </cell>
          <cell r="B804" t="str">
            <v>CS-SB009</v>
          </cell>
        </row>
        <row r="805">
          <cell r="A805" t="str">
            <v>CS-SB009-LB1-XXL</v>
          </cell>
          <cell r="B805" t="str">
            <v>CS-SB009</v>
          </cell>
        </row>
        <row r="806">
          <cell r="A806" t="str">
            <v>CS-SB009-LB-L</v>
          </cell>
          <cell r="B806" t="str">
            <v>CS-SB009</v>
          </cell>
        </row>
        <row r="807">
          <cell r="A807" t="str">
            <v>CS-SB009-LB-M</v>
          </cell>
          <cell r="B807" t="str">
            <v>CS-SB009</v>
          </cell>
        </row>
        <row r="808">
          <cell r="A808" t="str">
            <v>CS-SB009-LB-S</v>
          </cell>
          <cell r="B808" t="str">
            <v>CS-SB009</v>
          </cell>
        </row>
        <row r="809">
          <cell r="A809" t="str">
            <v>CS-SB009-LB-XL</v>
          </cell>
          <cell r="B809" t="str">
            <v>CS-SB009</v>
          </cell>
        </row>
        <row r="810">
          <cell r="A810" t="str">
            <v>CS-SB009-LB-XXL</v>
          </cell>
          <cell r="B810" t="str">
            <v>CS-SB009</v>
          </cell>
        </row>
        <row r="811">
          <cell r="A811" t="str">
            <v>CS-SB009-RD-L</v>
          </cell>
          <cell r="B811" t="str">
            <v>CS-SB009</v>
          </cell>
        </row>
        <row r="812">
          <cell r="A812" t="str">
            <v>CS-SB009-RD-M</v>
          </cell>
          <cell r="B812" t="str">
            <v>CS-SB009</v>
          </cell>
        </row>
        <row r="813">
          <cell r="A813" t="str">
            <v>CS-SB009-RDNY-L</v>
          </cell>
          <cell r="B813" t="str">
            <v>CS-SB009</v>
          </cell>
        </row>
        <row r="814">
          <cell r="A814" t="str">
            <v>CS-SB009-RDNY-M</v>
          </cell>
          <cell r="B814" t="str">
            <v>CS-SB009</v>
          </cell>
        </row>
        <row r="815">
          <cell r="A815" t="str">
            <v>CS-SB009-RDNY-S</v>
          </cell>
          <cell r="B815" t="str">
            <v>CS-SB009</v>
          </cell>
        </row>
        <row r="816">
          <cell r="A816" t="str">
            <v>CS-SB009-RDNY-XL</v>
          </cell>
          <cell r="B816" t="str">
            <v>CS-SB009</v>
          </cell>
        </row>
        <row r="817">
          <cell r="A817" t="str">
            <v>CS-SB009-RDNY-XXL</v>
          </cell>
          <cell r="B817" t="str">
            <v>CS-SB009</v>
          </cell>
        </row>
        <row r="818">
          <cell r="A818" t="str">
            <v>CS-SB009-RD-S</v>
          </cell>
          <cell r="B818" t="str">
            <v>CS-SB009</v>
          </cell>
        </row>
        <row r="819">
          <cell r="A819" t="str">
            <v>CS-SB009-RD-XL</v>
          </cell>
          <cell r="B819" t="str">
            <v>CS-SB009</v>
          </cell>
        </row>
        <row r="820">
          <cell r="A820" t="str">
            <v>CS-SB009-RD-XXL</v>
          </cell>
          <cell r="B820" t="str">
            <v>CS-SB009</v>
          </cell>
        </row>
        <row r="821">
          <cell r="A821" t="str">
            <v>CS-SB009-YL-L</v>
          </cell>
          <cell r="B821" t="str">
            <v>CS-SB009</v>
          </cell>
        </row>
        <row r="822">
          <cell r="A822" t="str">
            <v>CS-SB009-YL-M</v>
          </cell>
          <cell r="B822" t="str">
            <v>CS-SB009</v>
          </cell>
        </row>
        <row r="823">
          <cell r="A823" t="str">
            <v>CS-SB009-YL-S</v>
          </cell>
          <cell r="B823" t="str">
            <v>CS-SB009</v>
          </cell>
        </row>
        <row r="824">
          <cell r="A824" t="str">
            <v>CS-SB009-YL-XL</v>
          </cell>
          <cell r="B824" t="str">
            <v>CS-SB009</v>
          </cell>
        </row>
        <row r="825">
          <cell r="A825" t="str">
            <v>CS-SB009-YL-XXL</v>
          </cell>
          <cell r="B825" t="str">
            <v>CS-SB009</v>
          </cell>
        </row>
        <row r="826">
          <cell r="A826" t="str">
            <v>CS-SB010-WT-1</v>
          </cell>
          <cell r="B826" t="str">
            <v>CS-SB010</v>
          </cell>
        </row>
        <row r="827">
          <cell r="A827" t="str">
            <v>CS-SB010-WT-2</v>
          </cell>
          <cell r="B827" t="str">
            <v>CS-SB010</v>
          </cell>
        </row>
        <row r="828">
          <cell r="A828" t="str">
            <v>CS-SB010-WT-3</v>
          </cell>
          <cell r="B828" t="str">
            <v>CS-SB010</v>
          </cell>
        </row>
        <row r="829">
          <cell r="A829" t="str">
            <v>CS-SB010-WT-4</v>
          </cell>
          <cell r="B829" t="str">
            <v>CS-SB010</v>
          </cell>
        </row>
        <row r="830">
          <cell r="A830" t="str">
            <v>CS-SB010-WT-5</v>
          </cell>
          <cell r="B830" t="str">
            <v>CS-SB010</v>
          </cell>
        </row>
        <row r="831">
          <cell r="A831" t="str">
            <v>CS-SB010-WT-6</v>
          </cell>
          <cell r="B831" t="str">
            <v>CS-SB010</v>
          </cell>
        </row>
        <row r="832">
          <cell r="A832" t="str">
            <v>CS-SB010-WT-7</v>
          </cell>
          <cell r="B832" t="str">
            <v>CS-SB010</v>
          </cell>
        </row>
        <row r="833">
          <cell r="A833" t="str">
            <v>CS-SB010-WT-8</v>
          </cell>
          <cell r="B833" t="str">
            <v>CS-SB010</v>
          </cell>
        </row>
        <row r="834">
          <cell r="A834" t="str">
            <v>CS-SB010-WT-9</v>
          </cell>
          <cell r="B834" t="str">
            <v>CS-SB010</v>
          </cell>
        </row>
        <row r="835">
          <cell r="A835" t="str">
            <v>CS-SB172-BK-L</v>
          </cell>
          <cell r="B835" t="str">
            <v>CS-SB172</v>
          </cell>
        </row>
        <row r="836">
          <cell r="A836" t="str">
            <v>CS-SB172-BK-M</v>
          </cell>
          <cell r="B836" t="str">
            <v>CS-SB172</v>
          </cell>
        </row>
        <row r="837">
          <cell r="A837" t="str">
            <v>CS-SB172-BK-S</v>
          </cell>
          <cell r="B837" t="str">
            <v>CS-SB172</v>
          </cell>
        </row>
        <row r="838">
          <cell r="A838" t="str">
            <v>CS-SB172-BK-XL</v>
          </cell>
          <cell r="B838" t="str">
            <v>CS-SB172</v>
          </cell>
        </row>
        <row r="839">
          <cell r="A839" t="str">
            <v>CS-SB172-BK-XXL</v>
          </cell>
          <cell r="B839" t="str">
            <v>CS-SB172</v>
          </cell>
        </row>
        <row r="840">
          <cell r="A840" t="str">
            <v>CS-SB172-BL-L</v>
          </cell>
          <cell r="B840" t="str">
            <v>CS-SB172</v>
          </cell>
        </row>
        <row r="841">
          <cell r="A841" t="str">
            <v>CS-SB172-BL-M</v>
          </cell>
          <cell r="B841" t="str">
            <v>CS-SB172</v>
          </cell>
        </row>
        <row r="842">
          <cell r="A842" t="str">
            <v>CS-SB172-BL-S</v>
          </cell>
          <cell r="B842" t="str">
            <v>CS-SB172</v>
          </cell>
        </row>
        <row r="843">
          <cell r="A843" t="str">
            <v>CS-SB172-BL-XL</v>
          </cell>
          <cell r="B843" t="str">
            <v>CS-SB172</v>
          </cell>
        </row>
        <row r="844">
          <cell r="A844" t="str">
            <v>CS-SB172-BL-XXL</v>
          </cell>
          <cell r="B844" t="str">
            <v>CS-SB172</v>
          </cell>
        </row>
        <row r="845">
          <cell r="A845" t="str">
            <v>CS-SB172-GR-L</v>
          </cell>
          <cell r="B845" t="str">
            <v>CS-SB172</v>
          </cell>
        </row>
        <row r="846">
          <cell r="A846" t="str">
            <v>CS-SB172-GR-M</v>
          </cell>
          <cell r="B846" t="str">
            <v>CS-SB172</v>
          </cell>
        </row>
        <row r="847">
          <cell r="A847" t="str">
            <v>CS-SB172-GR-S</v>
          </cell>
          <cell r="B847" t="str">
            <v>CS-SB172</v>
          </cell>
        </row>
        <row r="848">
          <cell r="A848" t="str">
            <v>CS-SB172-GR-XL</v>
          </cell>
          <cell r="B848" t="str">
            <v>CS-SB172</v>
          </cell>
        </row>
        <row r="849">
          <cell r="A849" t="str">
            <v>CS-SB172-GR-XXL</v>
          </cell>
          <cell r="B849" t="str">
            <v>CS-SB172</v>
          </cell>
        </row>
        <row r="850">
          <cell r="A850" t="str">
            <v>CS-SB172-NY-L</v>
          </cell>
          <cell r="B850" t="str">
            <v>CS-SB172</v>
          </cell>
        </row>
        <row r="851">
          <cell r="A851" t="str">
            <v>CS-SB172-NY-M</v>
          </cell>
          <cell r="B851" t="str">
            <v>CS-SB172</v>
          </cell>
        </row>
        <row r="852">
          <cell r="A852" t="str">
            <v>CS-SB172-NY-S</v>
          </cell>
          <cell r="B852" t="str">
            <v>CS-SB172</v>
          </cell>
        </row>
        <row r="853">
          <cell r="A853" t="str">
            <v>CS-SB172-NY-XL</v>
          </cell>
          <cell r="B853" t="str">
            <v>CS-SB172</v>
          </cell>
        </row>
        <row r="854">
          <cell r="A854" t="str">
            <v>CS-SB172-NY-XXL</v>
          </cell>
          <cell r="B854" t="str">
            <v>CS-SB172</v>
          </cell>
        </row>
        <row r="855">
          <cell r="A855" t="str">
            <v>CS-SB172-PK-L</v>
          </cell>
          <cell r="B855" t="str">
            <v>CS-SB172</v>
          </cell>
        </row>
        <row r="856">
          <cell r="A856" t="str">
            <v>CS-SB172-PK-M</v>
          </cell>
          <cell r="B856" t="str">
            <v>CS-SB172</v>
          </cell>
        </row>
        <row r="857">
          <cell r="A857" t="str">
            <v>CS-SB172-PK-S</v>
          </cell>
          <cell r="B857" t="str">
            <v>CS-SB172</v>
          </cell>
        </row>
        <row r="858">
          <cell r="A858" t="str">
            <v>CS-SB172-PK-XL</v>
          </cell>
          <cell r="B858" t="str">
            <v>CS-SB172</v>
          </cell>
        </row>
        <row r="859">
          <cell r="A859" t="str">
            <v>CS-SB172-PK-XXL</v>
          </cell>
          <cell r="B859" t="str">
            <v>CS-SB172</v>
          </cell>
        </row>
        <row r="860">
          <cell r="A860" t="str">
            <v>CS-SB172-PP-L</v>
          </cell>
          <cell r="B860" t="str">
            <v>CS-SB172</v>
          </cell>
        </row>
        <row r="861">
          <cell r="A861" t="str">
            <v>CS-SB172-PP-M</v>
          </cell>
          <cell r="B861" t="str">
            <v>CS-SB172</v>
          </cell>
        </row>
        <row r="862">
          <cell r="A862" t="str">
            <v>CS-SB172-PP-S</v>
          </cell>
          <cell r="B862" t="str">
            <v>CS-SB172</v>
          </cell>
        </row>
        <row r="863">
          <cell r="A863" t="str">
            <v>CS-SB172-PP-XL</v>
          </cell>
          <cell r="B863" t="str">
            <v>CS-SB172</v>
          </cell>
        </row>
        <row r="864">
          <cell r="A864" t="str">
            <v>CS-SB172-PP-XXL</v>
          </cell>
          <cell r="B864" t="str">
            <v>CS-SB172</v>
          </cell>
        </row>
        <row r="865">
          <cell r="A865" t="str">
            <v>CS-SB172-WR-L</v>
          </cell>
          <cell r="B865" t="str">
            <v>CS-SB172</v>
          </cell>
        </row>
        <row r="866">
          <cell r="A866" t="str">
            <v>CS-SB172-WR-M</v>
          </cell>
          <cell r="B866" t="str">
            <v>CS-SB172</v>
          </cell>
        </row>
        <row r="867">
          <cell r="A867" t="str">
            <v>CS-SB172-WR-S</v>
          </cell>
          <cell r="B867" t="str">
            <v>CS-SB172</v>
          </cell>
        </row>
        <row r="868">
          <cell r="A868" t="str">
            <v>CS-SB172-WR-XL</v>
          </cell>
          <cell r="B868" t="str">
            <v>CS-SB172</v>
          </cell>
        </row>
        <row r="869">
          <cell r="A869" t="str">
            <v>CS-SB172-WR-XXL</v>
          </cell>
          <cell r="B869" t="str">
            <v>CS-SB172</v>
          </cell>
        </row>
        <row r="870">
          <cell r="A870" t="str">
            <v>CS-SB172-WT1-L</v>
          </cell>
          <cell r="B870" t="str">
            <v>CS-SB172</v>
          </cell>
        </row>
        <row r="871">
          <cell r="A871" t="str">
            <v>CS-SB172-WT1-M</v>
          </cell>
          <cell r="B871" t="str">
            <v>CS-SB172</v>
          </cell>
        </row>
        <row r="872">
          <cell r="A872" t="str">
            <v>CS-SB172-WT1-S</v>
          </cell>
          <cell r="B872" t="str">
            <v>CS-SB172</v>
          </cell>
        </row>
        <row r="873">
          <cell r="A873" t="str">
            <v>CS-SB172-WT1-XL</v>
          </cell>
          <cell r="B873" t="str">
            <v>CS-SB172</v>
          </cell>
        </row>
        <row r="874">
          <cell r="A874" t="str">
            <v>CS-SB172-WT1-XXL</v>
          </cell>
          <cell r="B874" t="str">
            <v>CS-SB172</v>
          </cell>
        </row>
        <row r="875">
          <cell r="A875" t="str">
            <v>CS-SB172-WT2-L</v>
          </cell>
          <cell r="B875" t="str">
            <v>CS-SB172</v>
          </cell>
        </row>
        <row r="876">
          <cell r="A876" t="str">
            <v>CS-SB172-WT2-M</v>
          </cell>
          <cell r="B876" t="str">
            <v>CS-SB172</v>
          </cell>
        </row>
        <row r="877">
          <cell r="A877" t="str">
            <v>CS-SB172-WT2-S</v>
          </cell>
          <cell r="B877" t="str">
            <v>CS-SB172</v>
          </cell>
        </row>
        <row r="878">
          <cell r="A878" t="str">
            <v>CS-SB172-WT2-XL</v>
          </cell>
          <cell r="B878" t="str">
            <v>CS-SB172</v>
          </cell>
        </row>
        <row r="879">
          <cell r="A879" t="str">
            <v>CS-SB172-WT2-XXL</v>
          </cell>
          <cell r="B879" t="str">
            <v>CS-SB172</v>
          </cell>
        </row>
        <row r="880">
          <cell r="A880" t="str">
            <v>CS-SB173-BK-L</v>
          </cell>
          <cell r="B880" t="str">
            <v>CS-SB173</v>
          </cell>
        </row>
        <row r="881">
          <cell r="A881" t="str">
            <v>CS-SB173-BK-M</v>
          </cell>
          <cell r="B881" t="str">
            <v>CS-SB173</v>
          </cell>
        </row>
        <row r="882">
          <cell r="A882" t="str">
            <v>CS-SB173-BK-S</v>
          </cell>
          <cell r="B882" t="str">
            <v>CS-SB173</v>
          </cell>
        </row>
        <row r="883">
          <cell r="A883" t="str">
            <v>CS-SB173-BK-XL</v>
          </cell>
          <cell r="B883" t="str">
            <v>CS-SB173</v>
          </cell>
        </row>
        <row r="884">
          <cell r="A884" t="str">
            <v>CS-SB173-BK-XXL</v>
          </cell>
          <cell r="B884" t="str">
            <v>CS-SB173</v>
          </cell>
        </row>
        <row r="885">
          <cell r="A885" t="str">
            <v>CS-SB173-BL-L</v>
          </cell>
          <cell r="B885" t="str">
            <v>CS-SB173</v>
          </cell>
        </row>
        <row r="886">
          <cell r="A886" t="str">
            <v>CS-SB173-BL-M</v>
          </cell>
          <cell r="B886" t="str">
            <v>CS-SB173</v>
          </cell>
        </row>
        <row r="887">
          <cell r="A887" t="str">
            <v>CS-SB173-BL-S</v>
          </cell>
          <cell r="B887" t="str">
            <v>CS-SB173</v>
          </cell>
        </row>
        <row r="888">
          <cell r="A888" t="str">
            <v>CS-SB173-BL-XL</v>
          </cell>
          <cell r="B888" t="str">
            <v>CS-SB173</v>
          </cell>
        </row>
        <row r="889">
          <cell r="A889" t="str">
            <v>CS-SB173-BL-XXL</v>
          </cell>
          <cell r="B889" t="str">
            <v>CS-SB173</v>
          </cell>
        </row>
        <row r="890">
          <cell r="A890" t="str">
            <v>CS-SB173-GR-L</v>
          </cell>
          <cell r="B890" t="str">
            <v>CS-SB173</v>
          </cell>
        </row>
        <row r="891">
          <cell r="A891" t="str">
            <v>CS-SB173-GR-M</v>
          </cell>
          <cell r="B891" t="str">
            <v>CS-SB173</v>
          </cell>
        </row>
        <row r="892">
          <cell r="A892" t="str">
            <v>CS-SB173-GR-S</v>
          </cell>
          <cell r="B892" t="str">
            <v>CS-SB173</v>
          </cell>
        </row>
        <row r="893">
          <cell r="A893" t="str">
            <v>CS-SB173-GR-XL</v>
          </cell>
          <cell r="B893" t="str">
            <v>CS-SB173</v>
          </cell>
        </row>
        <row r="894">
          <cell r="A894" t="str">
            <v>CS-SB173-GR-XXL</v>
          </cell>
          <cell r="B894" t="str">
            <v>CS-SB173</v>
          </cell>
        </row>
        <row r="895">
          <cell r="A895" t="str">
            <v>CS-SB173-NY-L</v>
          </cell>
          <cell r="B895" t="str">
            <v>CS-SB173</v>
          </cell>
        </row>
        <row r="896">
          <cell r="A896" t="str">
            <v>CS-SB173-NY-M</v>
          </cell>
          <cell r="B896" t="str">
            <v>CS-SB173</v>
          </cell>
        </row>
        <row r="897">
          <cell r="A897" t="str">
            <v>CS-SB173-NY-S</v>
          </cell>
          <cell r="B897" t="str">
            <v>CS-SB173</v>
          </cell>
        </row>
        <row r="898">
          <cell r="A898" t="str">
            <v>CS-SB173-NY-XL</v>
          </cell>
          <cell r="B898" t="str">
            <v>CS-SB173</v>
          </cell>
        </row>
        <row r="899">
          <cell r="A899" t="str">
            <v>CS-SB173-NY-XXL</v>
          </cell>
          <cell r="B899" t="str">
            <v>CS-SB173</v>
          </cell>
        </row>
        <row r="900">
          <cell r="A900" t="str">
            <v>CS-SB173-PK-L</v>
          </cell>
          <cell r="B900" t="str">
            <v>CS-SB173</v>
          </cell>
        </row>
        <row r="901">
          <cell r="A901" t="str">
            <v>CS-SB173-PK-M</v>
          </cell>
          <cell r="B901" t="str">
            <v>CS-SB173</v>
          </cell>
        </row>
        <row r="902">
          <cell r="A902" t="str">
            <v>CS-SB173-PK-S</v>
          </cell>
          <cell r="B902" t="str">
            <v>CS-SB173</v>
          </cell>
        </row>
        <row r="903">
          <cell r="A903" t="str">
            <v>CS-SB173-PK-XL</v>
          </cell>
          <cell r="B903" t="str">
            <v>CS-SB173</v>
          </cell>
        </row>
        <row r="904">
          <cell r="A904" t="str">
            <v>CS-SB173-PK-XXL</v>
          </cell>
          <cell r="B904" t="str">
            <v>CS-SB173</v>
          </cell>
        </row>
        <row r="905">
          <cell r="A905" t="str">
            <v>CS-SB173-PP-L</v>
          </cell>
          <cell r="B905" t="str">
            <v>CS-SB173</v>
          </cell>
        </row>
        <row r="906">
          <cell r="A906" t="str">
            <v>CS-SB173-PP-M</v>
          </cell>
          <cell r="B906" t="str">
            <v>CS-SB173</v>
          </cell>
        </row>
        <row r="907">
          <cell r="A907" t="str">
            <v>CS-SB173-PP-S</v>
          </cell>
          <cell r="B907" t="str">
            <v>CS-SB173</v>
          </cell>
        </row>
        <row r="908">
          <cell r="A908" t="str">
            <v>CS-SB173-PP-XL</v>
          </cell>
          <cell r="B908" t="str">
            <v>CS-SB173</v>
          </cell>
        </row>
        <row r="909">
          <cell r="A909" t="str">
            <v>CS-SB173-PP-XXL</v>
          </cell>
          <cell r="B909" t="str">
            <v>CS-SB173</v>
          </cell>
        </row>
        <row r="910">
          <cell r="A910" t="str">
            <v>CS-SB173-WR-L</v>
          </cell>
          <cell r="B910" t="str">
            <v>CS-SB173</v>
          </cell>
        </row>
        <row r="911">
          <cell r="A911" t="str">
            <v>CS-SB173-WR-M</v>
          </cell>
          <cell r="B911" t="str">
            <v>CS-SB173</v>
          </cell>
        </row>
        <row r="912">
          <cell r="A912" t="str">
            <v>CS-SB173-WR-S</v>
          </cell>
          <cell r="B912" t="str">
            <v>CS-SB173</v>
          </cell>
        </row>
        <row r="913">
          <cell r="A913" t="str">
            <v>CS-SB173-WR-XL</v>
          </cell>
          <cell r="B913" t="str">
            <v>CS-SB173</v>
          </cell>
        </row>
        <row r="914">
          <cell r="A914" t="str">
            <v>CS-SB173-WR-XXL</v>
          </cell>
          <cell r="B914" t="str">
            <v>CS-SB173</v>
          </cell>
        </row>
        <row r="915">
          <cell r="A915" t="str">
            <v>CS-SB173-WT1-L</v>
          </cell>
          <cell r="B915" t="str">
            <v>CS-SB173</v>
          </cell>
        </row>
        <row r="916">
          <cell r="A916" t="str">
            <v>CS-SB173-WT1-M</v>
          </cell>
          <cell r="B916" t="str">
            <v>CS-SB173</v>
          </cell>
        </row>
        <row r="917">
          <cell r="A917" t="str">
            <v>CS-SB173-WT1-S</v>
          </cell>
          <cell r="B917" t="str">
            <v>CS-SB173</v>
          </cell>
        </row>
        <row r="918">
          <cell r="A918" t="str">
            <v>CS-SB173-WT1-XL</v>
          </cell>
          <cell r="B918" t="str">
            <v>CS-SB173</v>
          </cell>
        </row>
        <row r="919">
          <cell r="A919" t="str">
            <v>CS-SB173-WT1-XXL</v>
          </cell>
          <cell r="B919" t="str">
            <v>CS-SB173</v>
          </cell>
        </row>
        <row r="920">
          <cell r="A920" t="str">
            <v>CS-SB173-WT2-L</v>
          </cell>
          <cell r="B920" t="str">
            <v>CS-SB173</v>
          </cell>
        </row>
        <row r="921">
          <cell r="A921" t="str">
            <v>CS-SB173-WT2-M</v>
          </cell>
          <cell r="B921" t="str">
            <v>CS-SB173</v>
          </cell>
        </row>
        <row r="922">
          <cell r="A922" t="str">
            <v>CS-SB173-WT2-S</v>
          </cell>
          <cell r="B922" t="str">
            <v>CS-SB173</v>
          </cell>
        </row>
        <row r="923">
          <cell r="A923" t="str">
            <v>CS-SB173-WT2-XL</v>
          </cell>
          <cell r="B923" t="str">
            <v>CS-SB173</v>
          </cell>
        </row>
        <row r="924">
          <cell r="A924" t="str">
            <v>CS-SB173-WT2-XXL</v>
          </cell>
          <cell r="B924" t="str">
            <v>CS-SB173</v>
          </cell>
        </row>
        <row r="925">
          <cell r="A925" t="str">
            <v>CX-MCZQP01-P0-L</v>
          </cell>
          <cell r="B925" t="str">
            <v>CX-MCZQP01</v>
          </cell>
        </row>
        <row r="926">
          <cell r="A926" t="str">
            <v>CX-TW401-blue-L</v>
          </cell>
          <cell r="B926" t="str">
            <v>CX-TW401</v>
          </cell>
        </row>
        <row r="927">
          <cell r="A927" t="str">
            <v>CX-TW401-blue-M</v>
          </cell>
          <cell r="B927" t="str">
            <v>CX-TW401</v>
          </cell>
        </row>
        <row r="928">
          <cell r="A928" t="str">
            <v>CX-TW401-blue-S</v>
          </cell>
          <cell r="B928" t="str">
            <v>CX-TW401</v>
          </cell>
        </row>
        <row r="929">
          <cell r="A929" t="str">
            <v>CX-TW401-blue-XL</v>
          </cell>
          <cell r="B929" t="str">
            <v>CX-TW401</v>
          </cell>
        </row>
        <row r="930">
          <cell r="A930" t="str">
            <v>CX-TW401-coffee-L</v>
          </cell>
          <cell r="B930" t="str">
            <v>CX-TW401</v>
          </cell>
        </row>
        <row r="931">
          <cell r="A931" t="str">
            <v>CX-TW401-coffee-L-MX</v>
          </cell>
          <cell r="B931" t="str">
            <v>CX-TW401</v>
          </cell>
        </row>
        <row r="932">
          <cell r="A932" t="str">
            <v>CX-TW401-coffee-M</v>
          </cell>
          <cell r="B932" t="str">
            <v>CX-TW401</v>
          </cell>
        </row>
        <row r="933">
          <cell r="A933" t="str">
            <v>CX-TW401-coffee-M-MX</v>
          </cell>
          <cell r="B933" t="str">
            <v>CX-TW401</v>
          </cell>
        </row>
        <row r="934">
          <cell r="A934" t="str">
            <v>CX-TW401-coffee-S</v>
          </cell>
          <cell r="B934" t="str">
            <v>CX-TW401</v>
          </cell>
        </row>
        <row r="935">
          <cell r="A935" t="str">
            <v>CX-TW401-coffee-S-MX</v>
          </cell>
          <cell r="B935" t="str">
            <v>CX-TW401</v>
          </cell>
        </row>
        <row r="936">
          <cell r="A936" t="str">
            <v>CX-TW401-coffee-XL</v>
          </cell>
          <cell r="B936" t="str">
            <v>CX-TW401</v>
          </cell>
        </row>
        <row r="937">
          <cell r="A937" t="str">
            <v>CX-TW401-coffee-XL-MX</v>
          </cell>
          <cell r="B937" t="str">
            <v>CX-TW401</v>
          </cell>
        </row>
        <row r="938">
          <cell r="A938" t="str">
            <v>CX-TW401-green-L</v>
          </cell>
          <cell r="B938" t="str">
            <v>CX-TW401</v>
          </cell>
        </row>
        <row r="939">
          <cell r="A939" t="str">
            <v>CX-TW401-green-L-MX</v>
          </cell>
          <cell r="B939" t="str">
            <v>CX-TW401</v>
          </cell>
        </row>
        <row r="940">
          <cell r="A940" t="str">
            <v>CX-TW401-green-M</v>
          </cell>
          <cell r="B940" t="str">
            <v>CX-TW401</v>
          </cell>
        </row>
        <row r="941">
          <cell r="A941" t="str">
            <v>CX-TW401-green-M-MX</v>
          </cell>
          <cell r="B941" t="str">
            <v>CX-TW401</v>
          </cell>
        </row>
        <row r="942">
          <cell r="A942" t="str">
            <v>CX-TW401-green-S</v>
          </cell>
          <cell r="B942" t="str">
            <v>CX-TW401</v>
          </cell>
        </row>
        <row r="943">
          <cell r="A943" t="str">
            <v>CX-TW401-green-S-MX</v>
          </cell>
          <cell r="B943" t="str">
            <v>CX-TW401</v>
          </cell>
        </row>
        <row r="944">
          <cell r="A944" t="str">
            <v>CX-TW401-green-XL</v>
          </cell>
          <cell r="B944" t="str">
            <v>CX-TW401</v>
          </cell>
        </row>
        <row r="945">
          <cell r="A945" t="str">
            <v>CX-TW401-green-XL-MX</v>
          </cell>
          <cell r="B945" t="str">
            <v>CX-TW401</v>
          </cell>
        </row>
        <row r="946">
          <cell r="A946" t="str">
            <v>CX-TW401-grey-L</v>
          </cell>
          <cell r="B946" t="str">
            <v>CX-TW401</v>
          </cell>
        </row>
        <row r="947">
          <cell r="A947" t="str">
            <v>CX-TW401-grey-L-MX</v>
          </cell>
          <cell r="B947" t="str">
            <v>CX-TW401</v>
          </cell>
        </row>
        <row r="948">
          <cell r="A948" t="str">
            <v>CX-TW401-grey-M</v>
          </cell>
          <cell r="B948" t="str">
            <v>CX-TW401</v>
          </cell>
        </row>
        <row r="949">
          <cell r="A949" t="str">
            <v>CX-TW401-grey-S</v>
          </cell>
          <cell r="B949" t="str">
            <v>CX-TW401</v>
          </cell>
        </row>
        <row r="950">
          <cell r="A950" t="str">
            <v>CX-TW401-grey-XL</v>
          </cell>
          <cell r="B950" t="str">
            <v>CX-TW401</v>
          </cell>
        </row>
        <row r="951">
          <cell r="A951" t="str">
            <v>CX-TW4600-blue-M</v>
          </cell>
          <cell r="B951" t="str">
            <v>CX-TW4600</v>
          </cell>
        </row>
        <row r="952">
          <cell r="A952" t="str">
            <v>CX-TW4600-coffee-L</v>
          </cell>
          <cell r="B952" t="str">
            <v>CX-TW4600</v>
          </cell>
        </row>
        <row r="953">
          <cell r="A953" t="str">
            <v>CX-TW4600-coffee-XL</v>
          </cell>
          <cell r="B953" t="str">
            <v>CX-TW4600</v>
          </cell>
        </row>
        <row r="954">
          <cell r="A954" t="str">
            <v>CX-TW4600-green-XL</v>
          </cell>
          <cell r="B954" t="str">
            <v>CX-TW4600</v>
          </cell>
        </row>
        <row r="955">
          <cell r="A955" t="str">
            <v>CX-TW4600-grey-L</v>
          </cell>
          <cell r="B955" t="str">
            <v>CX-TW4600</v>
          </cell>
        </row>
        <row r="956">
          <cell r="A956" t="str">
            <v>CX-TW4600-grey-XL</v>
          </cell>
          <cell r="B956" t="str">
            <v>CX-TW4600</v>
          </cell>
        </row>
        <row r="957">
          <cell r="A957" t="str">
            <v>D7-K3RX-7XQQ</v>
          </cell>
          <cell r="B957" t="str">
            <v>D7-K3RX</v>
          </cell>
        </row>
        <row r="958">
          <cell r="A958" t="str">
            <v>DJSCZHUOBUCSAQHS110*140CM</v>
          </cell>
          <cell r="B958" t="str">
            <v>DJSCZHUOBUCSAQHS</v>
          </cell>
        </row>
        <row r="959">
          <cell r="A959" t="str">
            <v>DJSCZHUOBUCSAQHS140*140CM</v>
          </cell>
          <cell r="B959" t="str">
            <v>DJSCZHUOBUCSAQHS</v>
          </cell>
        </row>
        <row r="960">
          <cell r="A960" t="str">
            <v>DK-HM0280-OR-L</v>
          </cell>
          <cell r="B960" t="str">
            <v>DK-HM0280</v>
          </cell>
        </row>
        <row r="961">
          <cell r="A961" t="str">
            <v>DK-HM0280-R0-L</v>
          </cell>
          <cell r="B961" t="str">
            <v>DK-HM0280</v>
          </cell>
        </row>
        <row r="962">
          <cell r="A962" t="str">
            <v>DK-HM0280-R0-M</v>
          </cell>
          <cell r="B962" t="str">
            <v>DK-HM0280</v>
          </cell>
        </row>
        <row r="963">
          <cell r="A963" t="str">
            <v>DK-HM0280-YH-L</v>
          </cell>
          <cell r="B963" t="str">
            <v>DK-HM0280</v>
          </cell>
        </row>
        <row r="964">
          <cell r="A964" t="str">
            <v>DK-HM0280-YH-M</v>
          </cell>
          <cell r="B964" t="str">
            <v>DK-HM0280</v>
          </cell>
        </row>
        <row r="965">
          <cell r="A965" t="str">
            <v>DK-HM1789</v>
          </cell>
          <cell r="B965" t="str">
            <v>DK-HM1789</v>
          </cell>
        </row>
        <row r="966">
          <cell r="A966" t="str">
            <v>DK-HM1789-B0TW-2XL</v>
          </cell>
          <cell r="B966" t="str">
            <v>DK-HM1789</v>
          </cell>
        </row>
        <row r="967">
          <cell r="A967" t="str">
            <v>DK-HM1789-B0TW-L</v>
          </cell>
          <cell r="B967" t="str">
            <v>DK-HM1789</v>
          </cell>
        </row>
        <row r="968">
          <cell r="A968" t="str">
            <v>DK-HM1789-B0TW-M</v>
          </cell>
          <cell r="B968" t="str">
            <v>DK-HM1789</v>
          </cell>
        </row>
        <row r="969">
          <cell r="A969" t="str">
            <v>DK-HM1789-B0TW-S</v>
          </cell>
          <cell r="B969" t="str">
            <v>DK-HM1789</v>
          </cell>
        </row>
        <row r="970">
          <cell r="A970" t="str">
            <v>DK-HM1789-B0TW-XL</v>
          </cell>
          <cell r="B970" t="str">
            <v>DK-HM1789</v>
          </cell>
        </row>
        <row r="971">
          <cell r="A971" t="str">
            <v>DK-HM1789-B2-2XL</v>
          </cell>
          <cell r="B971" t="str">
            <v>DK-HM1789</v>
          </cell>
        </row>
        <row r="972">
          <cell r="A972" t="str">
            <v>DK-HM1789-B2-2XL-MX</v>
          </cell>
          <cell r="B972" t="str">
            <v>DK-HM1789</v>
          </cell>
        </row>
        <row r="973">
          <cell r="A973" t="str">
            <v>DK-HM1789-B2-L</v>
          </cell>
          <cell r="B973" t="str">
            <v>DK-HM1789</v>
          </cell>
        </row>
        <row r="974">
          <cell r="A974" t="str">
            <v>DK-HM1789-B2-M</v>
          </cell>
          <cell r="B974" t="str">
            <v>DK-HM1789</v>
          </cell>
        </row>
        <row r="975">
          <cell r="A975" t="str">
            <v>DK-HM1789-B2-S</v>
          </cell>
          <cell r="B975" t="str">
            <v>DK-HM1789</v>
          </cell>
        </row>
        <row r="976">
          <cell r="A976" t="str">
            <v>DK-HM1789-B2-XL</v>
          </cell>
          <cell r="B976" t="str">
            <v>DK-HM1789</v>
          </cell>
        </row>
        <row r="977">
          <cell r="A977" t="str">
            <v>DK-HM1789-BD-2XL</v>
          </cell>
          <cell r="B977" t="str">
            <v>DK-HM1789</v>
          </cell>
        </row>
        <row r="978">
          <cell r="A978" t="str">
            <v>DK-HM1789-BD-L</v>
          </cell>
          <cell r="B978" t="str">
            <v>DK-HM1789</v>
          </cell>
        </row>
        <row r="979">
          <cell r="A979" t="str">
            <v>DK-HM1789-BD-M</v>
          </cell>
          <cell r="B979" t="str">
            <v>DK-HM1789</v>
          </cell>
        </row>
        <row r="980">
          <cell r="A980" t="str">
            <v>DK-HM1789-BD-S</v>
          </cell>
          <cell r="B980" t="str">
            <v>DK-HM1789</v>
          </cell>
        </row>
        <row r="981">
          <cell r="A981" t="str">
            <v>DK-HM1789-BD-XL</v>
          </cell>
          <cell r="B981" t="str">
            <v>DK-HM1789</v>
          </cell>
        </row>
        <row r="982">
          <cell r="A982" t="str">
            <v>DK-HM1789-Dot-2XL</v>
          </cell>
          <cell r="B982" t="str">
            <v>DK-HM1789</v>
          </cell>
        </row>
        <row r="983">
          <cell r="A983" t="str">
            <v>DK-HM1789-Dot-M</v>
          </cell>
          <cell r="B983" t="str">
            <v>DK-HM1789</v>
          </cell>
        </row>
        <row r="984">
          <cell r="A984" t="str">
            <v>DK-HM1789-Dot-XL</v>
          </cell>
          <cell r="B984" t="str">
            <v>DK-HM1789</v>
          </cell>
        </row>
        <row r="985">
          <cell r="A985" t="str">
            <v>DK-HM1789-FL-2XL</v>
          </cell>
          <cell r="B985" t="str">
            <v>DK-HM1789</v>
          </cell>
        </row>
        <row r="986">
          <cell r="A986" t="str">
            <v>DK-HM1789-FL-L</v>
          </cell>
          <cell r="B986" t="str">
            <v>DK-HM1789</v>
          </cell>
        </row>
        <row r="987">
          <cell r="A987" t="str">
            <v>DK-HM1789-FL-M</v>
          </cell>
          <cell r="B987" t="str">
            <v>DK-HM1789</v>
          </cell>
        </row>
        <row r="988">
          <cell r="A988" t="str">
            <v>DK-HM1789-FL-S</v>
          </cell>
          <cell r="B988" t="str">
            <v>DK-HM1789</v>
          </cell>
        </row>
        <row r="989">
          <cell r="A989" t="str">
            <v>DK-HM1789-FL-XL</v>
          </cell>
          <cell r="B989" t="str">
            <v>DK-HM1789</v>
          </cell>
        </row>
        <row r="990">
          <cell r="A990" t="str">
            <v>DK-HM1789-GrTW-2XL</v>
          </cell>
          <cell r="B990" t="str">
            <v>DK-HM1789</v>
          </cell>
        </row>
        <row r="991">
          <cell r="A991" t="str">
            <v>DK-HM1789-GrTW-L</v>
          </cell>
          <cell r="B991" t="str">
            <v>DK-HM1789</v>
          </cell>
        </row>
        <row r="992">
          <cell r="A992" t="str">
            <v>DK-HM1789-GrTW-M</v>
          </cell>
          <cell r="B992" t="str">
            <v>DK-HM1789</v>
          </cell>
        </row>
        <row r="993">
          <cell r="A993" t="str">
            <v>DK-HM1789-GrTW-S</v>
          </cell>
          <cell r="B993" t="str">
            <v>DK-HM1789</v>
          </cell>
        </row>
        <row r="994">
          <cell r="A994" t="str">
            <v>DK-HM1789-GrTW-XL</v>
          </cell>
          <cell r="B994" t="str">
            <v>DK-HM1789</v>
          </cell>
        </row>
        <row r="995">
          <cell r="A995" t="str">
            <v>DK-HM1789-GZ-2XL</v>
          </cell>
          <cell r="B995" t="str">
            <v>DK-HM1789</v>
          </cell>
        </row>
        <row r="996">
          <cell r="A996" t="str">
            <v>DK-HM1789-GZ-L</v>
          </cell>
          <cell r="B996" t="str">
            <v>DK-HM1789</v>
          </cell>
        </row>
        <row r="997">
          <cell r="A997" t="str">
            <v>DK-HM1789-GZ-M</v>
          </cell>
          <cell r="B997" t="str">
            <v>DK-HM1789</v>
          </cell>
        </row>
        <row r="998">
          <cell r="A998" t="str">
            <v>DK-HM1789-GZ-S</v>
          </cell>
          <cell r="B998" t="str">
            <v>DK-HM1789</v>
          </cell>
        </row>
        <row r="999">
          <cell r="A999" t="str">
            <v>DK-HM1789-GZ-XL</v>
          </cell>
          <cell r="B999" t="str">
            <v>DK-HM1789</v>
          </cell>
        </row>
        <row r="1000">
          <cell r="A1000" t="str">
            <v>DK-HM1789-K0-2XL</v>
          </cell>
          <cell r="B1000" t="str">
            <v>DK-HM1789</v>
          </cell>
        </row>
        <row r="1001">
          <cell r="A1001" t="str">
            <v>DK-HM1789-K0-L</v>
          </cell>
          <cell r="B1001" t="str">
            <v>DK-HM1789</v>
          </cell>
        </row>
        <row r="1002">
          <cell r="A1002" t="str">
            <v>DK-HM1789-K0-M</v>
          </cell>
          <cell r="B1002" t="str">
            <v>DK-HM1789</v>
          </cell>
        </row>
        <row r="1003">
          <cell r="A1003" t="str">
            <v>DK-HM1789-K0-S</v>
          </cell>
          <cell r="B1003" t="str">
            <v>DK-HM1789</v>
          </cell>
        </row>
        <row r="1004">
          <cell r="A1004" t="str">
            <v>DK-HM1789-K0-XL</v>
          </cell>
          <cell r="B1004" t="str">
            <v>DK-HM1789</v>
          </cell>
        </row>
        <row r="1005">
          <cell r="A1005" t="str">
            <v>DK-HM1789-PI-2XL</v>
          </cell>
          <cell r="B1005" t="str">
            <v>DK-HM1789</v>
          </cell>
        </row>
        <row r="1006">
          <cell r="A1006" t="str">
            <v>DK-HM1789-PI-L</v>
          </cell>
          <cell r="B1006" t="str">
            <v>DK-HM1789</v>
          </cell>
        </row>
        <row r="1007">
          <cell r="A1007" t="str">
            <v>DK-HM1789-PI-M</v>
          </cell>
          <cell r="B1007" t="str">
            <v>DK-HM1789</v>
          </cell>
        </row>
        <row r="1008">
          <cell r="A1008" t="str">
            <v>DK-HM1789-PI-S</v>
          </cell>
          <cell r="B1008" t="str">
            <v>DK-HM1789</v>
          </cell>
        </row>
        <row r="1009">
          <cell r="A1009" t="str">
            <v>DK-HM1789-PiTW-2XL</v>
          </cell>
          <cell r="B1009" t="str">
            <v>DK-HM1789</v>
          </cell>
        </row>
        <row r="1010">
          <cell r="A1010" t="str">
            <v>DK-HM1789-PiTW-L</v>
          </cell>
          <cell r="B1010" t="str">
            <v>DK-HM1789</v>
          </cell>
        </row>
        <row r="1011">
          <cell r="A1011" t="str">
            <v>DK-HM1789-PiTW-M</v>
          </cell>
          <cell r="B1011" t="str">
            <v>DK-HM1789</v>
          </cell>
        </row>
        <row r="1012">
          <cell r="A1012" t="str">
            <v>DK-HM1789-PiTW-S</v>
          </cell>
          <cell r="B1012" t="str">
            <v>DK-HM1789</v>
          </cell>
        </row>
        <row r="1013">
          <cell r="A1013" t="str">
            <v>DK-HM1789-PiTW-XL</v>
          </cell>
          <cell r="B1013" t="str">
            <v>DK-HM1789</v>
          </cell>
        </row>
        <row r="1014">
          <cell r="A1014" t="str">
            <v>DK-HM1789-PI-XL</v>
          </cell>
          <cell r="B1014" t="str">
            <v>DK-HM1789</v>
          </cell>
        </row>
        <row r="1015">
          <cell r="A1015" t="str">
            <v>DK-HM1789-PP-2XL</v>
          </cell>
          <cell r="B1015" t="str">
            <v>DK-HM1789</v>
          </cell>
        </row>
        <row r="1016">
          <cell r="A1016" t="str">
            <v>DK-HM1789-PP-L</v>
          </cell>
          <cell r="B1016" t="str">
            <v>DK-HM1789</v>
          </cell>
        </row>
        <row r="1017">
          <cell r="A1017" t="str">
            <v>DK-HM1789-PP-M</v>
          </cell>
          <cell r="B1017" t="str">
            <v>DK-HM1789</v>
          </cell>
        </row>
        <row r="1018">
          <cell r="A1018" t="str">
            <v>DK-HM1789-PP-S</v>
          </cell>
          <cell r="B1018" t="str">
            <v>DK-HM1789</v>
          </cell>
        </row>
        <row r="1019">
          <cell r="A1019" t="str">
            <v>DK-HM1789-PP-XL</v>
          </cell>
          <cell r="B1019" t="str">
            <v>DK-HM1789</v>
          </cell>
        </row>
        <row r="1020">
          <cell r="A1020" t="str">
            <v>DK-HM1789-R2-2XL</v>
          </cell>
          <cell r="B1020" t="str">
            <v>DK-HM1789</v>
          </cell>
        </row>
        <row r="1021">
          <cell r="A1021" t="str">
            <v>DK-HM1789-R2-L</v>
          </cell>
          <cell r="B1021" t="str">
            <v>DK-HM1789</v>
          </cell>
        </row>
        <row r="1022">
          <cell r="A1022" t="str">
            <v>DK-HM1789-R2-M</v>
          </cell>
          <cell r="B1022" t="str">
            <v>DK-HM1789</v>
          </cell>
        </row>
        <row r="1023">
          <cell r="A1023" t="str">
            <v>DK-HM1789-R2-S</v>
          </cell>
          <cell r="B1023" t="str">
            <v>DK-HM1789</v>
          </cell>
        </row>
        <row r="1024">
          <cell r="A1024" t="str">
            <v>DK-HM1789-R2-XL</v>
          </cell>
          <cell r="B1024" t="str">
            <v>DK-HM1789</v>
          </cell>
        </row>
        <row r="1025">
          <cell r="A1025" t="str">
            <v>DK-HM1789-W0-2XL</v>
          </cell>
          <cell r="B1025" t="str">
            <v>DK-HM1789</v>
          </cell>
        </row>
        <row r="1026">
          <cell r="A1026" t="str">
            <v>DK-HM1789-W0-L</v>
          </cell>
          <cell r="B1026" t="str">
            <v>DK-HM1789</v>
          </cell>
        </row>
        <row r="1027">
          <cell r="A1027" t="str">
            <v>DK-HM1789-W0-M</v>
          </cell>
          <cell r="B1027" t="str">
            <v>DK-HM1789</v>
          </cell>
        </row>
        <row r="1028">
          <cell r="A1028" t="str">
            <v>DK-HM1789-W0-S</v>
          </cell>
          <cell r="B1028" t="str">
            <v>DK-HM1789</v>
          </cell>
        </row>
        <row r="1029">
          <cell r="A1029" t="str">
            <v>DK-HM1789-W0-XL</v>
          </cell>
          <cell r="B1029" t="str">
            <v>DK-HM1789</v>
          </cell>
        </row>
        <row r="1030">
          <cell r="A1030" t="str">
            <v>DK-HM1789-Y0-L</v>
          </cell>
          <cell r="B1030" t="str">
            <v>DK-HM1789</v>
          </cell>
        </row>
        <row r="1031">
          <cell r="A1031" t="str">
            <v>DK-HM1789-Y0-M</v>
          </cell>
          <cell r="B1031" t="str">
            <v>DK-HM1789</v>
          </cell>
        </row>
        <row r="1032">
          <cell r="A1032" t="str">
            <v>DK-HM1789-Y0-S</v>
          </cell>
          <cell r="B1032" t="str">
            <v>DK-HM1789</v>
          </cell>
        </row>
        <row r="1033">
          <cell r="A1033" t="str">
            <v>DK-HM1789-Y0-XL</v>
          </cell>
          <cell r="B1033" t="str">
            <v>DK-HM1789</v>
          </cell>
        </row>
        <row r="1034">
          <cell r="A1034" t="str">
            <v>DK-HM1789-ZL-2XL</v>
          </cell>
          <cell r="B1034" t="str">
            <v>DK-HM1789</v>
          </cell>
        </row>
        <row r="1035">
          <cell r="A1035" t="str">
            <v>DK-HM1789-ZL-2XL-GM</v>
          </cell>
          <cell r="B1035" t="str">
            <v>DK-HM1789</v>
          </cell>
        </row>
        <row r="1036">
          <cell r="A1036" t="str">
            <v>DK-HM1789-ZL-L</v>
          </cell>
          <cell r="B1036" t="str">
            <v>DK-HM1789</v>
          </cell>
        </row>
        <row r="1037">
          <cell r="A1037" t="str">
            <v>DK-HM1789-ZL-M</v>
          </cell>
          <cell r="B1037" t="str">
            <v>DK-HM1789</v>
          </cell>
        </row>
        <row r="1038">
          <cell r="A1038" t="str">
            <v>DK-HM1789-ZL-S</v>
          </cell>
          <cell r="B1038" t="str">
            <v>DK-HM1789</v>
          </cell>
        </row>
        <row r="1039">
          <cell r="A1039" t="str">
            <v>DK-HM1789-ZL-XL</v>
          </cell>
          <cell r="B1039" t="str">
            <v>DK-HM1789</v>
          </cell>
        </row>
        <row r="1040">
          <cell r="A1040" t="str">
            <v>DK-LY110-KQ-29-GM</v>
          </cell>
          <cell r="B1040" t="str">
            <v>DK-LY110</v>
          </cell>
        </row>
        <row r="1041">
          <cell r="A1041" t="str">
            <v>DK-LY110-KQ-30-GM</v>
          </cell>
          <cell r="B1041" t="str">
            <v>DK-LY110</v>
          </cell>
        </row>
        <row r="1042">
          <cell r="A1042" t="str">
            <v>DK-LY110-KQ-31-GM</v>
          </cell>
          <cell r="B1042" t="str">
            <v>DK-LY110</v>
          </cell>
        </row>
        <row r="1043">
          <cell r="A1043" t="str">
            <v>DK-LY110-KQ-32-GM</v>
          </cell>
          <cell r="B1043" t="str">
            <v>DK-LY110</v>
          </cell>
        </row>
        <row r="1044">
          <cell r="A1044" t="str">
            <v>DK-LY110-KQ-33-GM</v>
          </cell>
          <cell r="B1044" t="str">
            <v>DK-LY110</v>
          </cell>
        </row>
        <row r="1045">
          <cell r="A1045" t="str">
            <v>DK-LY110-KQ-34-GM</v>
          </cell>
          <cell r="B1045" t="str">
            <v>DK-LY110</v>
          </cell>
        </row>
        <row r="1046">
          <cell r="A1046" t="str">
            <v>DK-LY110-KQ-38-GM</v>
          </cell>
          <cell r="B1046" t="str">
            <v>DK-LY110</v>
          </cell>
        </row>
        <row r="1047">
          <cell r="A1047" t="str">
            <v>DK-LY110-KQ-38-GM-1</v>
          </cell>
          <cell r="B1047" t="str">
            <v>DK-LY110</v>
          </cell>
        </row>
        <row r="1048">
          <cell r="A1048" t="str">
            <v>DK-LY110-KQ-42-GM</v>
          </cell>
          <cell r="B1048" t="str">
            <v>DK-LY110</v>
          </cell>
        </row>
        <row r="1049">
          <cell r="A1049" t="str">
            <v>DK-LY110-KQ-44-GM</v>
          </cell>
          <cell r="B1049" t="str">
            <v>DK-LY110</v>
          </cell>
        </row>
        <row r="1050">
          <cell r="A1050" t="str">
            <v>DK-LY110-OR-29-GM</v>
          </cell>
          <cell r="B1050" t="str">
            <v>DK-LY110</v>
          </cell>
        </row>
        <row r="1051">
          <cell r="A1051" t="str">
            <v>DK-LY110-OR-30-GM</v>
          </cell>
          <cell r="B1051" t="str">
            <v>DK-LY110</v>
          </cell>
        </row>
        <row r="1052">
          <cell r="A1052" t="str">
            <v>DK-LY110-OR-31-GM</v>
          </cell>
          <cell r="B1052" t="str">
            <v>DK-LY110</v>
          </cell>
        </row>
        <row r="1053">
          <cell r="A1053" t="str">
            <v>DK-LY110-OR-32-GM</v>
          </cell>
          <cell r="B1053" t="str">
            <v>DK-LY110</v>
          </cell>
        </row>
        <row r="1054">
          <cell r="A1054" t="str">
            <v>DK-LY110-OR-33-GM</v>
          </cell>
          <cell r="B1054" t="str">
            <v>DK-LY110</v>
          </cell>
        </row>
        <row r="1055">
          <cell r="A1055" t="str">
            <v>DK-LY110-OR-34-GM</v>
          </cell>
          <cell r="B1055" t="str">
            <v>DK-LY110</v>
          </cell>
        </row>
        <row r="1056">
          <cell r="A1056" t="str">
            <v>DK-LY110-OR-36-GM</v>
          </cell>
          <cell r="B1056" t="str">
            <v>DK-LY110</v>
          </cell>
        </row>
        <row r="1057">
          <cell r="A1057" t="str">
            <v>DK-LY110-OR-38-GM</v>
          </cell>
          <cell r="B1057" t="str">
            <v>DK-LY110</v>
          </cell>
        </row>
        <row r="1058">
          <cell r="A1058" t="str">
            <v>DK-LY110-OR-40-GM</v>
          </cell>
          <cell r="B1058" t="str">
            <v>DK-LY110</v>
          </cell>
        </row>
        <row r="1059">
          <cell r="A1059" t="str">
            <v>DK-LY110-OR-42-GM</v>
          </cell>
          <cell r="B1059" t="str">
            <v>DK-LY110</v>
          </cell>
        </row>
        <row r="1060">
          <cell r="A1060" t="str">
            <v>DK-LY110-OR-44-GM</v>
          </cell>
          <cell r="B1060" t="str">
            <v>DK-LY110</v>
          </cell>
        </row>
        <row r="1061">
          <cell r="A1061" t="str">
            <v>DK-LY155-K0-30</v>
          </cell>
          <cell r="B1061" t="str">
            <v>DK-LY155</v>
          </cell>
        </row>
        <row r="1062">
          <cell r="A1062" t="str">
            <v>DK-LY155-K0-32</v>
          </cell>
          <cell r="B1062" t="str">
            <v>DK-LY155</v>
          </cell>
        </row>
        <row r="1063">
          <cell r="A1063" t="str">
            <v>DK-LY155-K0-34</v>
          </cell>
          <cell r="B1063" t="str">
            <v>DK-LY155</v>
          </cell>
        </row>
        <row r="1064">
          <cell r="A1064" t="str">
            <v>DK-LY155-K0-36</v>
          </cell>
          <cell r="B1064" t="str">
            <v>DK-LY155</v>
          </cell>
        </row>
        <row r="1065">
          <cell r="A1065" t="str">
            <v>DK-LY155-K0-38</v>
          </cell>
          <cell r="B1065" t="str">
            <v>DK-LY155</v>
          </cell>
        </row>
        <row r="1066">
          <cell r="A1066" t="str">
            <v>DK-LY155-K0-40</v>
          </cell>
          <cell r="B1066" t="str">
            <v>DK-LY155</v>
          </cell>
        </row>
        <row r="1067">
          <cell r="A1067" t="str">
            <v>DK-LY155-K0-42</v>
          </cell>
          <cell r="B1067" t="str">
            <v>DK-LY155</v>
          </cell>
        </row>
        <row r="1068">
          <cell r="A1068" t="str">
            <v>DK-LY155-KQ-30</v>
          </cell>
          <cell r="B1068" t="str">
            <v>DK-LY155</v>
          </cell>
        </row>
        <row r="1069">
          <cell r="A1069" t="str">
            <v>DK-LY155-KQ-32</v>
          </cell>
          <cell r="B1069" t="str">
            <v>DK-LY155</v>
          </cell>
        </row>
        <row r="1070">
          <cell r="A1070" t="str">
            <v>DK-LY155-KQ-34</v>
          </cell>
          <cell r="B1070" t="str">
            <v>DK-LY155</v>
          </cell>
        </row>
        <row r="1071">
          <cell r="A1071" t="str">
            <v>DK-LY155-KQ-36</v>
          </cell>
          <cell r="B1071" t="str">
            <v>DK-LY155</v>
          </cell>
        </row>
        <row r="1072">
          <cell r="A1072" t="str">
            <v>DK-LY155-KQ-38</v>
          </cell>
          <cell r="B1072" t="str">
            <v>DK-LY155</v>
          </cell>
        </row>
        <row r="1073">
          <cell r="A1073" t="str">
            <v>DK-LY155-KQ-40</v>
          </cell>
          <cell r="B1073" t="str">
            <v>DK-LY155</v>
          </cell>
        </row>
        <row r="1074">
          <cell r="A1074" t="str">
            <v>DK-LY155-KQ-42</v>
          </cell>
          <cell r="B1074" t="str">
            <v>DK-LY155</v>
          </cell>
        </row>
        <row r="1075">
          <cell r="A1075" t="str">
            <v>DK-LY155-N0-30</v>
          </cell>
          <cell r="B1075" t="str">
            <v>DK-LY155</v>
          </cell>
        </row>
        <row r="1076">
          <cell r="A1076" t="str">
            <v>DK-LY155-N0-32</v>
          </cell>
          <cell r="B1076" t="str">
            <v>DK-LY155</v>
          </cell>
        </row>
        <row r="1077">
          <cell r="A1077" t="str">
            <v>DK-LY155-N0-34</v>
          </cell>
          <cell r="B1077" t="str">
            <v>DK-LY155</v>
          </cell>
        </row>
        <row r="1078">
          <cell r="A1078" t="str">
            <v>DK-LY155-N0-38</v>
          </cell>
          <cell r="B1078" t="str">
            <v>DK-LY155</v>
          </cell>
        </row>
        <row r="1079">
          <cell r="A1079" t="str">
            <v>DK-LY155-N0-40</v>
          </cell>
          <cell r="B1079" t="str">
            <v>DK-LY155</v>
          </cell>
        </row>
        <row r="1080">
          <cell r="A1080" t="str">
            <v>DK-LY155-N0-42</v>
          </cell>
          <cell r="B1080" t="str">
            <v>DK-LY155</v>
          </cell>
        </row>
        <row r="1081">
          <cell r="A1081" t="str">
            <v>DK-LY-K157-AG-32</v>
          </cell>
          <cell r="B1081" t="str">
            <v>DK-LY-K157</v>
          </cell>
        </row>
        <row r="1082">
          <cell r="A1082" t="str">
            <v>DK-LY-K157-AG-34</v>
          </cell>
          <cell r="B1082" t="str">
            <v>DK-LY-K157</v>
          </cell>
        </row>
        <row r="1083">
          <cell r="A1083" t="str">
            <v>DK-LY-K157-AG-36</v>
          </cell>
          <cell r="B1083" t="str">
            <v>DK-LY-K157</v>
          </cell>
        </row>
        <row r="1084">
          <cell r="A1084" t="str">
            <v>DK-LY-K157-AG-38</v>
          </cell>
          <cell r="B1084" t="str">
            <v>DK-LY-K157</v>
          </cell>
        </row>
        <row r="1085">
          <cell r="A1085" t="str">
            <v>DK-LY-K157-AG-40</v>
          </cell>
          <cell r="B1085" t="str">
            <v>DK-LY-K157</v>
          </cell>
        </row>
        <row r="1086">
          <cell r="A1086" t="str">
            <v>DK-LY-K157-AG-42</v>
          </cell>
          <cell r="B1086" t="str">
            <v>DK-LY-K157</v>
          </cell>
        </row>
        <row r="1087">
          <cell r="A1087" t="str">
            <v>DK-LY-K157-AG-44</v>
          </cell>
          <cell r="B1087" t="str">
            <v>DK-LY-K157</v>
          </cell>
        </row>
        <row r="1088">
          <cell r="A1088" t="str">
            <v>DK-LY-K157-B0-32</v>
          </cell>
          <cell r="B1088" t="str">
            <v>DK-LY-K157</v>
          </cell>
        </row>
        <row r="1089">
          <cell r="A1089" t="str">
            <v>DK-LY-K157-B0-34</v>
          </cell>
          <cell r="B1089" t="str">
            <v>DK-LY-K157</v>
          </cell>
        </row>
        <row r="1090">
          <cell r="A1090" t="str">
            <v>DK-LY-K157-B0-36</v>
          </cell>
          <cell r="B1090" t="str">
            <v>DK-LY-K157</v>
          </cell>
        </row>
        <row r="1091">
          <cell r="A1091" t="str">
            <v>DK-LY-K157-B0-38</v>
          </cell>
          <cell r="B1091" t="str">
            <v>DK-LY-K157</v>
          </cell>
        </row>
        <row r="1092">
          <cell r="A1092" t="str">
            <v>DK-LY-K157-B0-40</v>
          </cell>
          <cell r="B1092" t="str">
            <v>DK-LY-K157</v>
          </cell>
        </row>
        <row r="1093">
          <cell r="A1093" t="str">
            <v>DK-LY-K157-B0-42</v>
          </cell>
          <cell r="B1093" t="str">
            <v>DK-LY-K157</v>
          </cell>
        </row>
        <row r="1094">
          <cell r="A1094" t="str">
            <v>DK-LY-K157-B0-44</v>
          </cell>
          <cell r="B1094" t="str">
            <v>DK-LY-K157</v>
          </cell>
        </row>
        <row r="1095">
          <cell r="A1095" t="str">
            <v>DK-LY-K157-K0-32</v>
          </cell>
          <cell r="B1095" t="str">
            <v>DK-LY-K157</v>
          </cell>
        </row>
        <row r="1096">
          <cell r="A1096" t="str">
            <v>DK-LY-K157-K0-34</v>
          </cell>
          <cell r="B1096" t="str">
            <v>DK-LY-K157</v>
          </cell>
        </row>
        <row r="1097">
          <cell r="A1097" t="str">
            <v>DK-LY-K157-K0-36</v>
          </cell>
          <cell r="B1097" t="str">
            <v>DK-LY-K157</v>
          </cell>
        </row>
        <row r="1098">
          <cell r="A1098" t="str">
            <v>DK-LY-K157-K0-38</v>
          </cell>
          <cell r="B1098" t="str">
            <v>DK-LY-K157</v>
          </cell>
        </row>
        <row r="1099">
          <cell r="A1099" t="str">
            <v>DK-LY-K157-K0-40</v>
          </cell>
          <cell r="B1099" t="str">
            <v>DK-LY-K157</v>
          </cell>
        </row>
        <row r="1100">
          <cell r="A1100" t="str">
            <v>DK-LY-K157-K0-42</v>
          </cell>
          <cell r="B1100" t="str">
            <v>DK-LY-K157</v>
          </cell>
        </row>
        <row r="1101">
          <cell r="A1101" t="str">
            <v>DK-LY-K157-K0-44</v>
          </cell>
          <cell r="B1101" t="str">
            <v>DK-LY-K157</v>
          </cell>
        </row>
        <row r="1102">
          <cell r="A1102" t="str">
            <v>DK-LY-K157-KQ-32</v>
          </cell>
          <cell r="B1102" t="str">
            <v>DK-LY-K157</v>
          </cell>
        </row>
        <row r="1103">
          <cell r="A1103" t="str">
            <v>DK-LY-K157-KQ-34</v>
          </cell>
          <cell r="B1103" t="str">
            <v>DK-LY-K157</v>
          </cell>
        </row>
        <row r="1104">
          <cell r="A1104" t="str">
            <v>DK-LY-K157-KQ-36</v>
          </cell>
          <cell r="B1104" t="str">
            <v>DK-LY-K157</v>
          </cell>
        </row>
        <row r="1105">
          <cell r="A1105" t="str">
            <v>DK-LY-K157-KQ-38</v>
          </cell>
          <cell r="B1105" t="str">
            <v>DK-LY-K157</v>
          </cell>
        </row>
        <row r="1106">
          <cell r="A1106" t="str">
            <v>DK-LY-K157-KQ-40</v>
          </cell>
          <cell r="B1106" t="str">
            <v>DK-LY-K157</v>
          </cell>
        </row>
        <row r="1107">
          <cell r="A1107" t="str">
            <v>DK-LY-K157-KQ-42</v>
          </cell>
          <cell r="B1107" t="str">
            <v>DK-LY-K157</v>
          </cell>
        </row>
        <row r="1108">
          <cell r="A1108" t="str">
            <v>DK-LY-K157-KQ-44</v>
          </cell>
          <cell r="B1108" t="str">
            <v>DK-LY-K157</v>
          </cell>
        </row>
        <row r="1109">
          <cell r="A1109" t="str">
            <v>DK-LY-K157-OR-32</v>
          </cell>
          <cell r="B1109" t="str">
            <v>DK-LY-K157</v>
          </cell>
        </row>
        <row r="1110">
          <cell r="A1110" t="str">
            <v>DK-LY-K157-OR-34</v>
          </cell>
          <cell r="B1110" t="str">
            <v>DK-LY-K157</v>
          </cell>
        </row>
        <row r="1111">
          <cell r="A1111" t="str">
            <v>DK-LY-K157-OR-36</v>
          </cell>
          <cell r="B1111" t="str">
            <v>DK-LY-K157</v>
          </cell>
        </row>
        <row r="1112">
          <cell r="A1112" t="str">
            <v>DK-LY-K157-OR-38</v>
          </cell>
          <cell r="B1112" t="str">
            <v>DK-LY-K157</v>
          </cell>
        </row>
        <row r="1113">
          <cell r="A1113" t="str">
            <v>DK-LY-K157-OR-40</v>
          </cell>
          <cell r="B1113" t="str">
            <v>DK-LY-K157</v>
          </cell>
        </row>
        <row r="1114">
          <cell r="A1114" t="str">
            <v>DK-LY-K157-OR-42</v>
          </cell>
          <cell r="B1114" t="str">
            <v>DK-LY-K157</v>
          </cell>
        </row>
        <row r="1115">
          <cell r="A1115" t="str">
            <v>DK-LY-K157-OR-44</v>
          </cell>
          <cell r="B1115" t="str">
            <v>DK-LY-K157</v>
          </cell>
        </row>
        <row r="1116">
          <cell r="A1116" t="str">
            <v>DK-LY-K518-B0-32</v>
          </cell>
          <cell r="B1116" t="str">
            <v>DK-LY-K5184</v>
          </cell>
        </row>
        <row r="1117">
          <cell r="A1117" t="str">
            <v>DK-LY-K518-B0-34</v>
          </cell>
          <cell r="B1117" t="str">
            <v>DK-LY-K5184</v>
          </cell>
        </row>
        <row r="1118">
          <cell r="A1118" t="str">
            <v>DK-LY-K518-B0-36</v>
          </cell>
          <cell r="B1118" t="str">
            <v>DK-LY-K518</v>
          </cell>
        </row>
        <row r="1119">
          <cell r="A1119" t="str">
            <v>DK-LY-K518-B0-38</v>
          </cell>
          <cell r="B1119" t="str">
            <v>DK-LY-K518</v>
          </cell>
        </row>
        <row r="1120">
          <cell r="A1120" t="str">
            <v>DK-LY-K518-B0-40</v>
          </cell>
          <cell r="B1120" t="str">
            <v>DK-LY-K518</v>
          </cell>
        </row>
        <row r="1121">
          <cell r="A1121" t="str">
            <v>DK-LY-K518-B0-42</v>
          </cell>
          <cell r="B1121" t="str">
            <v>DK-LY-K518</v>
          </cell>
        </row>
        <row r="1122">
          <cell r="A1122" t="str">
            <v>DK-LY-K518-B0-44</v>
          </cell>
          <cell r="B1122" t="str">
            <v>DK-LY-K518</v>
          </cell>
        </row>
        <row r="1123">
          <cell r="A1123" t="str">
            <v>DK-LY-K518-G0-32</v>
          </cell>
          <cell r="B1123" t="str">
            <v>DK-LY-K518</v>
          </cell>
        </row>
        <row r="1124">
          <cell r="A1124" t="str">
            <v>DK-LY-K518-G0-34</v>
          </cell>
          <cell r="B1124" t="str">
            <v>DK-LY-K518</v>
          </cell>
        </row>
        <row r="1125">
          <cell r="A1125" t="str">
            <v>DK-LY-K518-G0-36</v>
          </cell>
          <cell r="B1125" t="str">
            <v>DK-LY-K518</v>
          </cell>
        </row>
        <row r="1126">
          <cell r="A1126" t="str">
            <v>DK-LY-K518-G0-38</v>
          </cell>
          <cell r="B1126" t="str">
            <v>DK-LY-K518</v>
          </cell>
        </row>
        <row r="1127">
          <cell r="A1127" t="str">
            <v>DK-LY-K518-G0-40</v>
          </cell>
          <cell r="B1127" t="str">
            <v>DK-LY-K518</v>
          </cell>
        </row>
        <row r="1128">
          <cell r="A1128" t="str">
            <v>DK-LY-K518-G0-42</v>
          </cell>
          <cell r="B1128" t="str">
            <v>DK-LY-K518</v>
          </cell>
        </row>
        <row r="1129">
          <cell r="A1129" t="str">
            <v>DK-LY-K518-G0-44</v>
          </cell>
          <cell r="B1129" t="str">
            <v>DK-LY-K518</v>
          </cell>
        </row>
        <row r="1130">
          <cell r="A1130" t="str">
            <v>DK-LY-K518-K0-32</v>
          </cell>
          <cell r="B1130" t="str">
            <v>DK-LY-K518</v>
          </cell>
        </row>
        <row r="1131">
          <cell r="A1131" t="str">
            <v>DK-LY-K518-K0-34</v>
          </cell>
          <cell r="B1131" t="str">
            <v>DK-LY-K518</v>
          </cell>
        </row>
        <row r="1132">
          <cell r="A1132" t="str">
            <v>DK-LY-K518-K0-36</v>
          </cell>
          <cell r="B1132" t="str">
            <v>DK-LY-K518</v>
          </cell>
        </row>
        <row r="1133">
          <cell r="A1133" t="str">
            <v>DK-LY-K518-K0-38</v>
          </cell>
          <cell r="B1133" t="str">
            <v>DK-LY-K518</v>
          </cell>
        </row>
        <row r="1134">
          <cell r="A1134" t="str">
            <v>DK-LY-K518-K0-40</v>
          </cell>
          <cell r="B1134" t="str">
            <v>DK-LY-K518</v>
          </cell>
        </row>
        <row r="1135">
          <cell r="A1135" t="str">
            <v>DK-LY-K518-K0-42</v>
          </cell>
          <cell r="B1135" t="str">
            <v>DK-LY-K518</v>
          </cell>
        </row>
        <row r="1136">
          <cell r="A1136" t="str">
            <v>DK-LY-K518-K0-44</v>
          </cell>
          <cell r="B1136" t="str">
            <v>DK-LY-K518</v>
          </cell>
        </row>
        <row r="1137">
          <cell r="A1137" t="str">
            <v>DK-LY-K518-KQ-32</v>
          </cell>
          <cell r="B1137" t="str">
            <v>DK-LY-K518</v>
          </cell>
        </row>
        <row r="1138">
          <cell r="A1138" t="str">
            <v>DK-LY-K518-KQ-34</v>
          </cell>
          <cell r="B1138" t="str">
            <v>DK-LY-K518</v>
          </cell>
        </row>
        <row r="1139">
          <cell r="A1139" t="str">
            <v>DK-LY-K518-KQ-36</v>
          </cell>
          <cell r="B1139" t="str">
            <v>DK-LY-K518</v>
          </cell>
        </row>
        <row r="1140">
          <cell r="A1140" t="str">
            <v>DK-LY-K518-KQ-38</v>
          </cell>
          <cell r="B1140" t="str">
            <v>DK-LY-K518</v>
          </cell>
        </row>
        <row r="1141">
          <cell r="A1141" t="str">
            <v>DK-LY-K518-KQ-40</v>
          </cell>
          <cell r="B1141" t="str">
            <v>DK-LY-K518</v>
          </cell>
        </row>
        <row r="1142">
          <cell r="A1142" t="str">
            <v>DK-LY-K518-KQ-42</v>
          </cell>
          <cell r="B1142" t="str">
            <v>DK-LY-K518</v>
          </cell>
        </row>
        <row r="1143">
          <cell r="A1143" t="str">
            <v>DK-LY-K518-KQ-44</v>
          </cell>
          <cell r="B1143" t="str">
            <v>DK-LY-K518</v>
          </cell>
        </row>
        <row r="1144">
          <cell r="A1144" t="str">
            <v>DK-LY-K518-OR-32</v>
          </cell>
          <cell r="B1144" t="str">
            <v>DK-LY-K518</v>
          </cell>
        </row>
        <row r="1145">
          <cell r="A1145" t="str">
            <v>DK-LY-K518-OR-34</v>
          </cell>
          <cell r="B1145" t="str">
            <v>DK-LY-K518</v>
          </cell>
        </row>
        <row r="1146">
          <cell r="A1146" t="str">
            <v>DK-LY-K518-OR-36</v>
          </cell>
          <cell r="B1146" t="str">
            <v>DK-LY-K518</v>
          </cell>
        </row>
        <row r="1147">
          <cell r="A1147" t="str">
            <v>DK-LY-K518-OR-38</v>
          </cell>
          <cell r="B1147" t="str">
            <v>DK-LY-K518</v>
          </cell>
        </row>
        <row r="1148">
          <cell r="A1148" t="str">
            <v>DK-LY-K518-OR-40</v>
          </cell>
          <cell r="B1148" t="str">
            <v>DK-LY-K518</v>
          </cell>
        </row>
        <row r="1149">
          <cell r="A1149" t="str">
            <v>DK-LY-K518-OR-42</v>
          </cell>
          <cell r="B1149" t="str">
            <v>DK-LY-K518</v>
          </cell>
        </row>
        <row r="1150">
          <cell r="A1150" t="str">
            <v>DK-LY-K518-OR-44</v>
          </cell>
          <cell r="B1150" t="str">
            <v>DK-LY-K518</v>
          </cell>
        </row>
        <row r="1151">
          <cell r="A1151" t="str">
            <v>DK-LY-K559-K0-32</v>
          </cell>
          <cell r="B1151" t="str">
            <v>DK-LY-K559</v>
          </cell>
        </row>
        <row r="1152">
          <cell r="A1152" t="str">
            <v>DK-LY-K559-K0-34</v>
          </cell>
          <cell r="B1152" t="str">
            <v>DK-LY-K559</v>
          </cell>
        </row>
        <row r="1153">
          <cell r="A1153" t="str">
            <v>DK-LY-K559-K0-36</v>
          </cell>
          <cell r="B1153" t="str">
            <v>DK-LY-K559</v>
          </cell>
        </row>
        <row r="1154">
          <cell r="A1154" t="str">
            <v>DK-LY-K559-K0-38</v>
          </cell>
          <cell r="B1154" t="str">
            <v>DK-LY-K559</v>
          </cell>
        </row>
        <row r="1155">
          <cell r="A1155" t="str">
            <v>DK-LY-K559-K0-40</v>
          </cell>
          <cell r="B1155" t="str">
            <v>DK-LY-K559</v>
          </cell>
        </row>
        <row r="1156">
          <cell r="A1156" t="str">
            <v>DK-LY-K559-K0-42</v>
          </cell>
          <cell r="B1156" t="str">
            <v>DK-LY-K559</v>
          </cell>
        </row>
        <row r="1157">
          <cell r="A1157" t="str">
            <v>DK-LY-K559-K0-44</v>
          </cell>
          <cell r="B1157" t="str">
            <v>DK-LY-K559</v>
          </cell>
        </row>
        <row r="1158">
          <cell r="A1158" t="str">
            <v>DK-LY-K559-KQ-32</v>
          </cell>
          <cell r="B1158" t="str">
            <v>DK-LY-K559</v>
          </cell>
        </row>
        <row r="1159">
          <cell r="A1159" t="str">
            <v>DK-LY-K559-KQ-34</v>
          </cell>
          <cell r="B1159" t="str">
            <v>DK-LY-K559</v>
          </cell>
        </row>
        <row r="1160">
          <cell r="A1160" t="str">
            <v>DK-LY-K559-KQ-36</v>
          </cell>
          <cell r="B1160" t="str">
            <v>DK-LY-K559</v>
          </cell>
        </row>
        <row r="1161">
          <cell r="A1161" t="str">
            <v>DK-LY-K559-KQ-38</v>
          </cell>
          <cell r="B1161" t="str">
            <v>DK-LY-K559</v>
          </cell>
        </row>
        <row r="1162">
          <cell r="A1162" t="str">
            <v>DK-LY-K559-KQ-40</v>
          </cell>
          <cell r="B1162" t="str">
            <v>DK-LY-K559</v>
          </cell>
        </row>
        <row r="1163">
          <cell r="A1163" t="str">
            <v>DK-LY-K559-KQ-42</v>
          </cell>
          <cell r="B1163" t="str">
            <v>DK-LY-K559</v>
          </cell>
        </row>
        <row r="1164">
          <cell r="A1164" t="str">
            <v>DK-LY-K559-KQ-44</v>
          </cell>
          <cell r="B1164" t="str">
            <v>DK-LY-K559</v>
          </cell>
        </row>
        <row r="1165">
          <cell r="A1165" t="str">
            <v>DK-LY-K559-LB-32</v>
          </cell>
          <cell r="B1165" t="str">
            <v>DK-LY-K559</v>
          </cell>
        </row>
        <row r="1166">
          <cell r="A1166" t="str">
            <v>DK-LY-K559-LB-34</v>
          </cell>
          <cell r="B1166" t="str">
            <v>DK-LY-K559</v>
          </cell>
        </row>
        <row r="1167">
          <cell r="A1167" t="str">
            <v>DK-LY-K559-LB-36</v>
          </cell>
          <cell r="B1167" t="str">
            <v>DK-LY-K559</v>
          </cell>
        </row>
        <row r="1168">
          <cell r="A1168" t="str">
            <v>DK-LY-K559-LB-38</v>
          </cell>
          <cell r="B1168" t="str">
            <v>DK-LY-K559</v>
          </cell>
        </row>
        <row r="1169">
          <cell r="A1169" t="str">
            <v>DK-LY-K559-LB-40</v>
          </cell>
          <cell r="B1169" t="str">
            <v>DK-LY-K559</v>
          </cell>
        </row>
        <row r="1170">
          <cell r="A1170" t="str">
            <v>DK-LY-K559-LB-42</v>
          </cell>
          <cell r="B1170" t="str">
            <v>DK-LY-K559</v>
          </cell>
        </row>
        <row r="1171">
          <cell r="A1171" t="str">
            <v>DK-LY-K559-LB-44</v>
          </cell>
          <cell r="B1171" t="str">
            <v>DK-LY-K559</v>
          </cell>
        </row>
        <row r="1172">
          <cell r="A1172" t="str">
            <v>DK-LY-K559-OR-32</v>
          </cell>
          <cell r="B1172" t="str">
            <v>DK-LY-K559</v>
          </cell>
        </row>
        <row r="1173">
          <cell r="A1173" t="str">
            <v>DK-LY-K559-OR-34</v>
          </cell>
          <cell r="B1173" t="str">
            <v>DK-LY-K559</v>
          </cell>
        </row>
        <row r="1174">
          <cell r="A1174" t="str">
            <v>DK-LY-K559-OR-36</v>
          </cell>
          <cell r="B1174" t="str">
            <v>DK-LY-K559</v>
          </cell>
        </row>
        <row r="1175">
          <cell r="A1175" t="str">
            <v>DK-LY-K559-OR-38</v>
          </cell>
          <cell r="B1175" t="str">
            <v>DK-LY-K559</v>
          </cell>
        </row>
        <row r="1176">
          <cell r="A1176" t="str">
            <v>DK-LY-K559-OR-40</v>
          </cell>
          <cell r="B1176" t="str">
            <v>DK-LY-K559</v>
          </cell>
        </row>
        <row r="1177">
          <cell r="A1177" t="str">
            <v>DK-LY-K559-OR-42</v>
          </cell>
          <cell r="B1177" t="str">
            <v>DK-LY-K559</v>
          </cell>
        </row>
        <row r="1178">
          <cell r="A1178" t="str">
            <v>DK-LY-K559-OR-44</v>
          </cell>
          <cell r="B1178" t="str">
            <v>DK-LY-K559</v>
          </cell>
        </row>
        <row r="1179">
          <cell r="A1179" t="str">
            <v>DK-LY-K559-R0-32</v>
          </cell>
          <cell r="B1179" t="str">
            <v>DK-LY-K559</v>
          </cell>
        </row>
        <row r="1180">
          <cell r="A1180" t="str">
            <v>DK-LY-K559-R0-34</v>
          </cell>
          <cell r="B1180" t="str">
            <v>DK-LY-K559</v>
          </cell>
        </row>
        <row r="1181">
          <cell r="A1181" t="str">
            <v>DK-LY-K559-R0-36</v>
          </cell>
          <cell r="B1181" t="str">
            <v>DK-LY-K559</v>
          </cell>
        </row>
        <row r="1182">
          <cell r="A1182" t="str">
            <v>DK-LY-K559-R0-38</v>
          </cell>
          <cell r="B1182" t="str">
            <v>DK-LY-K559</v>
          </cell>
        </row>
        <row r="1183">
          <cell r="A1183" t="str">
            <v>DK-LY-K559-R0-40</v>
          </cell>
          <cell r="B1183" t="str">
            <v>DK-LY-K559</v>
          </cell>
        </row>
        <row r="1184">
          <cell r="A1184" t="str">
            <v>DK-LY-K559-R0-42</v>
          </cell>
          <cell r="B1184" t="str">
            <v>DK-LY-K559</v>
          </cell>
        </row>
        <row r="1185">
          <cell r="A1185" t="str">
            <v>DK-LY-K559-R0-44</v>
          </cell>
          <cell r="B1185" t="str">
            <v>DK-LY-K559</v>
          </cell>
        </row>
        <row r="1186">
          <cell r="A1186" t="str">
            <v>DK-MCCL315-K0-L</v>
          </cell>
          <cell r="B1186" t="str">
            <v>DK-MCCL315</v>
          </cell>
        </row>
        <row r="1187">
          <cell r="A1187" t="str">
            <v>DK-MCCL315-K0-S</v>
          </cell>
          <cell r="B1187" t="str">
            <v>DK-MCCL315</v>
          </cell>
        </row>
        <row r="1188">
          <cell r="A1188" t="str">
            <v>DK-MCCL315-K0-XL</v>
          </cell>
          <cell r="B1188" t="str">
            <v>DK-MCCL315</v>
          </cell>
        </row>
        <row r="1189">
          <cell r="A1189" t="str">
            <v>DK-MCCL315-RF-M</v>
          </cell>
          <cell r="B1189" t="str">
            <v>DK-MCCL315</v>
          </cell>
        </row>
        <row r="1190">
          <cell r="A1190" t="str">
            <v>DK-MCCL315-W0-XL</v>
          </cell>
          <cell r="B1190" t="str">
            <v>DK-MCCL315</v>
          </cell>
        </row>
        <row r="1191">
          <cell r="A1191" t="str">
            <v>DK-MUCL315-B7-L</v>
          </cell>
          <cell r="B1191" t="str">
            <v>DK-MCCL315</v>
          </cell>
        </row>
        <row r="1192">
          <cell r="A1192" t="str">
            <v>DK-MUCL315-B7-M</v>
          </cell>
          <cell r="B1192" t="str">
            <v>DK-MCCL315</v>
          </cell>
        </row>
        <row r="1193">
          <cell r="A1193" t="str">
            <v>DK-MUCL315-K0-M</v>
          </cell>
          <cell r="B1193" t="str">
            <v>DK-MCCL315</v>
          </cell>
        </row>
        <row r="1194">
          <cell r="A1194" t="str">
            <v>DK-MUCL315-K0-S</v>
          </cell>
          <cell r="B1194" t="str">
            <v>DK-MCCL315</v>
          </cell>
        </row>
        <row r="1195">
          <cell r="A1195" t="str">
            <v>DK-MUCL315-K0-XL</v>
          </cell>
          <cell r="B1195" t="str">
            <v>DK-MCCL315</v>
          </cell>
        </row>
        <row r="1196">
          <cell r="A1196" t="str">
            <v>DK-MUCL315-P0-L</v>
          </cell>
          <cell r="B1196" t="str">
            <v>DK-MCCL315</v>
          </cell>
        </row>
        <row r="1197">
          <cell r="A1197" t="str">
            <v>DK-MUCL315-P0-S</v>
          </cell>
          <cell r="B1197" t="str">
            <v>DK-MCCL315</v>
          </cell>
        </row>
        <row r="1198">
          <cell r="A1198" t="str">
            <v>DK-MUCL315-P0-XL</v>
          </cell>
          <cell r="B1198" t="str">
            <v>DK-MCCL315</v>
          </cell>
        </row>
        <row r="1199">
          <cell r="A1199" t="str">
            <v>DK-MUCL315-R0-2XL</v>
          </cell>
          <cell r="B1199" t="str">
            <v>DK-MCCL315</v>
          </cell>
        </row>
        <row r="1200">
          <cell r="A1200" t="str">
            <v>DK-MUCL315-R0-L</v>
          </cell>
          <cell r="B1200" t="str">
            <v>DK-MCCL315</v>
          </cell>
        </row>
        <row r="1201">
          <cell r="A1201" t="str">
            <v>DK-MUCL315-R0-M</v>
          </cell>
          <cell r="B1201" t="str">
            <v>DK-MCCL315</v>
          </cell>
        </row>
        <row r="1202">
          <cell r="A1202" t="str">
            <v>DK-MUCL315-R0-S</v>
          </cell>
          <cell r="B1202" t="str">
            <v>DK-MCCL315</v>
          </cell>
        </row>
        <row r="1203">
          <cell r="A1203" t="str">
            <v>DK-MUCL315-R0-XL</v>
          </cell>
          <cell r="B1203" t="str">
            <v>DK-MCCL315</v>
          </cell>
        </row>
        <row r="1204">
          <cell r="A1204" t="str">
            <v>DK-MUCL315-RF-L</v>
          </cell>
          <cell r="B1204" t="str">
            <v>DK-MCCL315</v>
          </cell>
        </row>
        <row r="1205">
          <cell r="A1205" t="str">
            <v>DK-MUCL315-RF-M</v>
          </cell>
          <cell r="B1205" t="str">
            <v>DK-MCCL315</v>
          </cell>
        </row>
        <row r="1206">
          <cell r="A1206" t="str">
            <v>DK-MUCL315-W0-2XL</v>
          </cell>
          <cell r="B1206" t="str">
            <v>DK-MCCL315</v>
          </cell>
        </row>
        <row r="1207">
          <cell r="A1207" t="str">
            <v>DK-MUCL315-W0-L</v>
          </cell>
          <cell r="B1207" t="str">
            <v>DK-MCCL315</v>
          </cell>
        </row>
        <row r="1208">
          <cell r="A1208" t="str">
            <v>DK-MUCL315-W0-M</v>
          </cell>
          <cell r="B1208" t="str">
            <v>DK-MCCL315</v>
          </cell>
        </row>
        <row r="1209">
          <cell r="A1209" t="str">
            <v>DK-MUCL315-W0-S</v>
          </cell>
          <cell r="B1209" t="str">
            <v>DK-MCCL315</v>
          </cell>
        </row>
        <row r="1210">
          <cell r="A1210" t="str">
            <v>DK-MUCL315-W0-XL</v>
          </cell>
          <cell r="B1210" t="str">
            <v>DK-MCCL315</v>
          </cell>
        </row>
        <row r="1211">
          <cell r="A1211" t="str">
            <v>DLJJZHUOBU-BGZW0100x140CM</v>
          </cell>
          <cell r="B1211" t="str">
            <v>DLJJZHUOBU</v>
          </cell>
        </row>
        <row r="1212">
          <cell r="A1212" t="str">
            <v>DLJJZHUOBU-BGZW0140x140CM</v>
          </cell>
          <cell r="B1212" t="str">
            <v>DLJJZHUOBU</v>
          </cell>
        </row>
        <row r="1213">
          <cell r="A1213" t="str">
            <v>DLJJZHUOBU-BGZW070x70CM</v>
          </cell>
          <cell r="B1213" t="str">
            <v>DLJJZHUOBU</v>
          </cell>
        </row>
        <row r="1214">
          <cell r="A1214" t="str">
            <v>DLJJZHUOBU-DSGZGZ140x140CM</v>
          </cell>
          <cell r="B1214" t="str">
            <v>DLJJZHUOBU</v>
          </cell>
        </row>
        <row r="1215">
          <cell r="A1215" t="str">
            <v>DS002</v>
          </cell>
          <cell r="B1215" t="str">
            <v>DS002</v>
          </cell>
        </row>
        <row r="1216">
          <cell r="A1216" t="str">
            <v>DX-MU410-W0-L</v>
          </cell>
          <cell r="B1216" t="str">
            <v>DX-MU410</v>
          </cell>
        </row>
        <row r="1217">
          <cell r="A1217" t="str">
            <v>DX-TW410</v>
          </cell>
          <cell r="B1217" t="str">
            <v>DX-TW410</v>
          </cell>
        </row>
        <row r="1218">
          <cell r="A1218" t="str">
            <v>DX-TW410-K0-2X</v>
          </cell>
          <cell r="B1218" t="str">
            <v>DX-TW410</v>
          </cell>
        </row>
        <row r="1219">
          <cell r="A1219" t="str">
            <v>DX-TW410-K0-L</v>
          </cell>
          <cell r="B1219" t="str">
            <v>DX-TW410</v>
          </cell>
        </row>
        <row r="1220">
          <cell r="A1220" t="str">
            <v>DX-TW410-K0-M</v>
          </cell>
          <cell r="B1220" t="str">
            <v>DX-TW410</v>
          </cell>
        </row>
        <row r="1221">
          <cell r="A1221" t="str">
            <v>DX-TW410-K0-S</v>
          </cell>
          <cell r="B1221" t="str">
            <v>DX-TW410</v>
          </cell>
        </row>
        <row r="1222">
          <cell r="A1222" t="str">
            <v>DX-TW410-K0-XL</v>
          </cell>
          <cell r="B1222" t="str">
            <v>DX-TW410</v>
          </cell>
        </row>
        <row r="1223">
          <cell r="A1223" t="str">
            <v>DX-TW410-K0-XS</v>
          </cell>
          <cell r="B1223" t="str">
            <v>DX-TW410</v>
          </cell>
        </row>
        <row r="1224">
          <cell r="A1224" t="str">
            <v>DZ-IUYL210-BK</v>
          </cell>
          <cell r="B1224" t="str">
            <v>DZ-IUYL210</v>
          </cell>
        </row>
        <row r="1225">
          <cell r="A1225" t="str">
            <v>DZ-IUYL220-BK</v>
          </cell>
          <cell r="B1225" t="str">
            <v>DZ-IUYL220</v>
          </cell>
        </row>
        <row r="1226">
          <cell r="A1226" t="str">
            <v>ETYIBLUE-L</v>
          </cell>
          <cell r="B1226" t="str">
            <v>ETYIBLUE</v>
          </cell>
        </row>
        <row r="1227">
          <cell r="A1227" t="str">
            <v>ETYIBLUE-M-2</v>
          </cell>
          <cell r="B1227" t="str">
            <v>ETYIBLUE</v>
          </cell>
        </row>
        <row r="1228">
          <cell r="A1228" t="str">
            <v>ETYIBLUE-S-2</v>
          </cell>
          <cell r="B1228" t="str">
            <v>ETYIBLUE</v>
          </cell>
        </row>
        <row r="1229">
          <cell r="A1229" t="str">
            <v>ETYIBLUE-XL</v>
          </cell>
          <cell r="B1229" t="str">
            <v>ETYIBLUE</v>
          </cell>
        </row>
        <row r="1230">
          <cell r="A1230" t="str">
            <v>ETYIMC-L</v>
          </cell>
          <cell r="B1230" t="str">
            <v>ETYIMC</v>
          </cell>
        </row>
        <row r="1231">
          <cell r="A1231" t="str">
            <v>ETYIMC-L-2</v>
          </cell>
          <cell r="B1231" t="str">
            <v>ETYIMC</v>
          </cell>
        </row>
        <row r="1232">
          <cell r="A1232" t="str">
            <v>ETYIMC-L-3</v>
          </cell>
          <cell r="B1232" t="str">
            <v>ETYIMC</v>
          </cell>
        </row>
        <row r="1233">
          <cell r="A1233" t="str">
            <v>ETYIMC-M-2</v>
          </cell>
          <cell r="B1233" t="str">
            <v>ETYIMC</v>
          </cell>
        </row>
        <row r="1234">
          <cell r="A1234" t="str">
            <v>ETYIMC-XL</v>
          </cell>
          <cell r="B1234" t="str">
            <v>ETYIMC</v>
          </cell>
        </row>
        <row r="1235">
          <cell r="A1235" t="str">
            <v>ETYIM-S-2</v>
          </cell>
          <cell r="B1235" t="str">
            <v>ETYIM</v>
          </cell>
        </row>
        <row r="1236">
          <cell r="A1236" t="str">
            <v>ETYIYELLOW-L</v>
          </cell>
          <cell r="B1236" t="str">
            <v>ETYIYELLOW</v>
          </cell>
        </row>
        <row r="1237">
          <cell r="A1237" t="str">
            <v>ETYIYELLOW-M</v>
          </cell>
          <cell r="B1237" t="str">
            <v>ETYIYELLOW</v>
          </cell>
        </row>
        <row r="1238">
          <cell r="A1238" t="str">
            <v>ETYIYELLOW-S-2</v>
          </cell>
          <cell r="B1238" t="str">
            <v>ETYIYELLOW</v>
          </cell>
        </row>
        <row r="1239">
          <cell r="A1239" t="str">
            <v>ETYIYELLOW-XL</v>
          </cell>
          <cell r="B1239" t="str">
            <v>ETYIYELLOW</v>
          </cell>
        </row>
        <row r="1240">
          <cell r="A1240" t="str">
            <v>ETYIYUANDIAN-L</v>
          </cell>
          <cell r="B1240" t="str">
            <v>ETYIYUANDIAN</v>
          </cell>
        </row>
        <row r="1241">
          <cell r="A1241" t="str">
            <v>ETYIYUANDIAN-M</v>
          </cell>
          <cell r="B1241" t="str">
            <v>ETYIYUANDIAN</v>
          </cell>
        </row>
        <row r="1242">
          <cell r="A1242" t="str">
            <v>ETYIYUANDIAN-S-2</v>
          </cell>
          <cell r="B1242" t="str">
            <v>ETYIYUANDIAN</v>
          </cell>
        </row>
        <row r="1243">
          <cell r="A1243" t="str">
            <v>ETYIYUANDIAN-XL</v>
          </cell>
          <cell r="B1243" t="str">
            <v>ETYIYUANDIAN</v>
          </cell>
        </row>
        <row r="1244">
          <cell r="A1244" t="str">
            <v>FBA-YZ5505Da0L</v>
          </cell>
          <cell r="B1244" t="str">
            <v>YZ5505</v>
          </cell>
        </row>
        <row r="1245">
          <cell r="A1245" t="str">
            <v>FBA-YZ5505Da2L</v>
          </cell>
          <cell r="B1245" t="str">
            <v>YZ5505</v>
          </cell>
        </row>
        <row r="1246">
          <cell r="A1246" t="str">
            <v>FBA-YZ5505DaM</v>
          </cell>
          <cell r="B1246" t="str">
            <v>YZ5505</v>
          </cell>
        </row>
        <row r="1247">
          <cell r="A1247" t="str">
            <v>FBA-YZ5505DaS</v>
          </cell>
          <cell r="B1247" t="str">
            <v>YZ5505</v>
          </cell>
        </row>
        <row r="1248">
          <cell r="A1248" t="str">
            <v>FBA-YZ5505DaXL</v>
          </cell>
          <cell r="B1248" t="str">
            <v>YZ5505</v>
          </cell>
        </row>
        <row r="1249">
          <cell r="A1249" t="str">
            <v>FBA-YZ5505DaXS</v>
          </cell>
          <cell r="B1249" t="str">
            <v>YZ5505</v>
          </cell>
        </row>
        <row r="1250">
          <cell r="A1250" t="str">
            <v>FMHSGJH67*20CM</v>
          </cell>
          <cell r="B1250" t="str">
            <v>FMHSGJH</v>
          </cell>
        </row>
        <row r="1251">
          <cell r="A1251" t="str">
            <v>FSFZB001JHRO160CM</v>
          </cell>
          <cell r="B1251" t="str">
            <v>FSFZB001JHRO</v>
          </cell>
        </row>
        <row r="1252">
          <cell r="A1252" t="str">
            <v>FSFZB001JHRO180CM</v>
          </cell>
          <cell r="B1252" t="str">
            <v>FSFZB001JHRO</v>
          </cell>
        </row>
        <row r="1253">
          <cell r="A1253" t="str">
            <v>FSFZB006J0RO180CM</v>
          </cell>
          <cell r="B1253" t="str">
            <v>FSFZB001JHRO</v>
          </cell>
        </row>
        <row r="1254">
          <cell r="A1254" t="str">
            <v>FT5505</v>
          </cell>
          <cell r="B1254" t="str">
            <v>FT5505</v>
          </cell>
        </row>
        <row r="1255">
          <cell r="A1255" t="str">
            <v>GM-0012L-ZJ</v>
          </cell>
          <cell r="B1255" t="str">
            <v>GM-001</v>
          </cell>
        </row>
        <row r="1256">
          <cell r="A1256" t="str">
            <v>GM-0013L</v>
          </cell>
          <cell r="B1256" t="str">
            <v>GM-001</v>
          </cell>
        </row>
        <row r="1257">
          <cell r="A1257" t="str">
            <v>GM-0014L-C</v>
          </cell>
          <cell r="B1257" t="str">
            <v>GM-001</v>
          </cell>
        </row>
        <row r="1258">
          <cell r="A1258" t="str">
            <v>GM-001L</v>
          </cell>
          <cell r="B1258" t="str">
            <v>GM-001</v>
          </cell>
        </row>
        <row r="1259">
          <cell r="A1259" t="str">
            <v>GM-001L-ZJ</v>
          </cell>
          <cell r="B1259" t="str">
            <v>GM-001</v>
          </cell>
        </row>
        <row r="1260">
          <cell r="A1260" t="str">
            <v>GM-001M-ZJ</v>
          </cell>
          <cell r="B1260" t="str">
            <v>GM-001</v>
          </cell>
        </row>
        <row r="1261">
          <cell r="A1261" t="str">
            <v>GM-001XL-ZJ</v>
          </cell>
          <cell r="B1261" t="str">
            <v>GM-001</v>
          </cell>
        </row>
        <row r="1262">
          <cell r="A1262" t="str">
            <v>GM-AC</v>
          </cell>
          <cell r="B1262" t="str">
            <v>GM-AC</v>
          </cell>
        </row>
        <row r="1263">
          <cell r="A1263" t="str">
            <v>GM-SJ002</v>
          </cell>
          <cell r="B1263" t="str">
            <v>GM-SJ002</v>
          </cell>
        </row>
        <row r="1264">
          <cell r="A1264" t="str">
            <v>GM-SJ002B0</v>
          </cell>
          <cell r="B1264" t="str">
            <v>GM-SJ002</v>
          </cell>
        </row>
        <row r="1265">
          <cell r="A1265" t="str">
            <v>GM-SJ002B0-GM</v>
          </cell>
          <cell r="B1265" t="str">
            <v>GM-SJ002</v>
          </cell>
        </row>
        <row r="1266">
          <cell r="A1266" t="str">
            <v>GM-SJ002B0-MX</v>
          </cell>
          <cell r="B1266" t="str">
            <v>GM-SJ002</v>
          </cell>
        </row>
        <row r="1267">
          <cell r="A1267" t="str">
            <v>GM-SJ002BW</v>
          </cell>
          <cell r="B1267" t="str">
            <v>GM-SJ002</v>
          </cell>
        </row>
        <row r="1268">
          <cell r="A1268" t="str">
            <v>GM-SJ002G0</v>
          </cell>
          <cell r="B1268" t="str">
            <v>GM-SJ002</v>
          </cell>
        </row>
        <row r="1269">
          <cell r="A1269" t="str">
            <v>GM-SJ002-Pi</v>
          </cell>
          <cell r="B1269" t="str">
            <v>GM-SJ002</v>
          </cell>
        </row>
        <row r="1270">
          <cell r="A1270" t="str">
            <v>GM-SJ002W0</v>
          </cell>
          <cell r="B1270" t="str">
            <v>GM-SJ002</v>
          </cell>
        </row>
        <row r="1271">
          <cell r="A1271" t="str">
            <v>GM-SJ002W0-GM</v>
          </cell>
          <cell r="B1271" t="str">
            <v>GM-SJ002</v>
          </cell>
        </row>
        <row r="1272">
          <cell r="A1272" t="str">
            <v>GMSNH-CY001-Y0</v>
          </cell>
          <cell r="B1272" t="str">
            <v>GMSNH-CY001</v>
          </cell>
        </row>
        <row r="1273">
          <cell r="A1273" t="str">
            <v>GMSNH-LUHM001-E0</v>
          </cell>
          <cell r="B1273" t="str">
            <v>GMSNH-LUHM001</v>
          </cell>
        </row>
        <row r="1274">
          <cell r="A1274" t="str">
            <v>GMSNH-LUHM001-K0</v>
          </cell>
          <cell r="B1274" t="str">
            <v>GMSNH-LUHM001</v>
          </cell>
        </row>
        <row r="1275">
          <cell r="A1275" t="str">
            <v>GMSNT-CY001-DX</v>
          </cell>
          <cell r="B1275" t="str">
            <v>GMSNT-CY001</v>
          </cell>
        </row>
        <row r="1276">
          <cell r="A1276" t="str">
            <v>GMTBYGREEN</v>
          </cell>
          <cell r="B1276" t="str">
            <v>GMTBY</v>
          </cell>
        </row>
        <row r="1277">
          <cell r="A1277" t="str">
            <v>GMTBYPJBLACK</v>
          </cell>
          <cell r="B1277" t="str">
            <v>GMTBYPJ</v>
          </cell>
        </row>
        <row r="1278">
          <cell r="A1278" t="str">
            <v>GMTBYPJBOGO</v>
          </cell>
          <cell r="B1278" t="str">
            <v>GMTBYPJ</v>
          </cell>
        </row>
        <row r="1279">
          <cell r="A1279" t="str">
            <v>GMTBYWHITE</v>
          </cell>
          <cell r="B1279" t="str">
            <v>GMTBY</v>
          </cell>
        </row>
        <row r="1280">
          <cell r="A1280" t="str">
            <v>GMZYL-FLQ06-BF-40</v>
          </cell>
          <cell r="B1280" t="str">
            <v>GMZYL-FLQ06</v>
          </cell>
        </row>
        <row r="1281">
          <cell r="A1281" t="str">
            <v>GMZYL-FLQ06-HG-40</v>
          </cell>
          <cell r="B1281" t="str">
            <v>GMZYL-FLQ06</v>
          </cell>
        </row>
        <row r="1282">
          <cell r="A1282" t="str">
            <v>H5-F378-ECJO</v>
          </cell>
          <cell r="B1282" t="str">
            <v>H5-F378</v>
          </cell>
        </row>
        <row r="1283">
          <cell r="A1283" t="str">
            <v>HATQHMZ</v>
          </cell>
          <cell r="B1283" t="str">
            <v>HATQHMZ</v>
          </cell>
        </row>
        <row r="1284">
          <cell r="A1284" t="str">
            <v>JK-CL0137</v>
          </cell>
          <cell r="B1284" t="str">
            <v>JK-CL0137</v>
          </cell>
        </row>
        <row r="1285">
          <cell r="A1285" t="str">
            <v>JK-CL0137-BD-2XL</v>
          </cell>
          <cell r="B1285" t="str">
            <v>JK-CL0137</v>
          </cell>
        </row>
        <row r="1286">
          <cell r="A1286" t="str">
            <v>JK-CL0137-BD-3XL</v>
          </cell>
          <cell r="B1286" t="str">
            <v>JK-CL0137</v>
          </cell>
        </row>
        <row r="1287">
          <cell r="A1287" t="str">
            <v>JK-CL0137-BD-L</v>
          </cell>
          <cell r="B1287" t="str">
            <v>JK-CL0137</v>
          </cell>
        </row>
        <row r="1288">
          <cell r="A1288" t="str">
            <v>JK-CL0137-BD-M</v>
          </cell>
          <cell r="B1288" t="str">
            <v>JK-CL0137</v>
          </cell>
        </row>
        <row r="1289">
          <cell r="A1289" t="str">
            <v>JK-CL0137-BD-S</v>
          </cell>
          <cell r="B1289" t="str">
            <v>JK-CL0137</v>
          </cell>
        </row>
        <row r="1290">
          <cell r="A1290" t="str">
            <v>JK-CL0137-BD-XL</v>
          </cell>
          <cell r="B1290" t="str">
            <v>JK-CL0137</v>
          </cell>
        </row>
        <row r="1291">
          <cell r="A1291" t="str">
            <v>JK-CL0137-G7-2XL</v>
          </cell>
          <cell r="B1291" t="str">
            <v>JK-CL0137</v>
          </cell>
        </row>
        <row r="1292">
          <cell r="A1292" t="str">
            <v>JK-CL0137-G7-3XL</v>
          </cell>
          <cell r="B1292" t="str">
            <v>JK-CL0137</v>
          </cell>
        </row>
        <row r="1293">
          <cell r="A1293" t="str">
            <v>JK-CL0137-G7-L</v>
          </cell>
          <cell r="B1293" t="str">
            <v>JK-CL0137</v>
          </cell>
        </row>
        <row r="1294">
          <cell r="A1294" t="str">
            <v>JK-CL0137-G7-M</v>
          </cell>
          <cell r="B1294" t="str">
            <v>JK-CL0137</v>
          </cell>
        </row>
        <row r="1295">
          <cell r="A1295" t="str">
            <v>JK-CL0137-G7-S</v>
          </cell>
          <cell r="B1295" t="str">
            <v>JK-CL0137</v>
          </cell>
        </row>
        <row r="1296">
          <cell r="A1296" t="str">
            <v>JK-CL0137-G7-XL</v>
          </cell>
          <cell r="B1296" t="str">
            <v>JK-CL0137</v>
          </cell>
        </row>
        <row r="1297">
          <cell r="A1297" t="str">
            <v>JK-CL0137-K0-2XL</v>
          </cell>
          <cell r="B1297" t="str">
            <v>JK-CL0137</v>
          </cell>
        </row>
        <row r="1298">
          <cell r="A1298" t="str">
            <v>JK-CL0137-K0-3XL</v>
          </cell>
          <cell r="B1298" t="str">
            <v>JK-CL0137</v>
          </cell>
        </row>
        <row r="1299">
          <cell r="A1299" t="str">
            <v>JK-CL0137-K0-L</v>
          </cell>
          <cell r="B1299" t="str">
            <v>JK-CL0137</v>
          </cell>
        </row>
        <row r="1300">
          <cell r="A1300" t="str">
            <v>JK-CL0137-K0-M</v>
          </cell>
          <cell r="B1300" t="str">
            <v>JK-CL0137</v>
          </cell>
        </row>
        <row r="1301">
          <cell r="A1301" t="str">
            <v>JK-CL0137-K0-S</v>
          </cell>
          <cell r="B1301" t="str">
            <v>JK-CL0137</v>
          </cell>
        </row>
        <row r="1302">
          <cell r="A1302" t="str">
            <v>JK-CL0137-K0-XL</v>
          </cell>
          <cell r="B1302" t="str">
            <v>JK-CL0137</v>
          </cell>
        </row>
        <row r="1303">
          <cell r="A1303" t="str">
            <v>JK-CL0137-ZL-2XL</v>
          </cell>
          <cell r="B1303" t="str">
            <v>JK-CL0137</v>
          </cell>
        </row>
        <row r="1304">
          <cell r="A1304" t="str">
            <v>JK-CL0137-ZL-3XL</v>
          </cell>
          <cell r="B1304" t="str">
            <v>JK-CL0137</v>
          </cell>
        </row>
        <row r="1305">
          <cell r="A1305" t="str">
            <v>JK-CL0137-ZL-L</v>
          </cell>
          <cell r="B1305" t="str">
            <v>JK-CL0137</v>
          </cell>
        </row>
        <row r="1306">
          <cell r="A1306" t="str">
            <v>JK-CL0137-ZL-M</v>
          </cell>
          <cell r="B1306" t="str">
            <v>JK-CL0137</v>
          </cell>
        </row>
        <row r="1307">
          <cell r="A1307" t="str">
            <v>JK-CL0137-ZL-S</v>
          </cell>
          <cell r="B1307" t="str">
            <v>JK-CL0137</v>
          </cell>
        </row>
        <row r="1308">
          <cell r="A1308" t="str">
            <v>JK-CL0137-ZL-XL</v>
          </cell>
          <cell r="B1308" t="str">
            <v>JK-CL0137</v>
          </cell>
        </row>
        <row r="1309">
          <cell r="A1309" t="str">
            <v>JK-SB015-DG-L</v>
          </cell>
          <cell r="B1309" t="str">
            <v>JK-SB015</v>
          </cell>
        </row>
        <row r="1310">
          <cell r="A1310" t="str">
            <v>JK-SB015-DG-M</v>
          </cell>
          <cell r="B1310" t="str">
            <v>JK-SB015</v>
          </cell>
        </row>
        <row r="1311">
          <cell r="A1311" t="str">
            <v>JK-SB015-DG-S</v>
          </cell>
          <cell r="B1311" t="str">
            <v>JK-SB015</v>
          </cell>
        </row>
        <row r="1312">
          <cell r="A1312" t="str">
            <v>JK-SB015-DG-XL</v>
          </cell>
          <cell r="B1312" t="str">
            <v>JK-SB015</v>
          </cell>
        </row>
        <row r="1313">
          <cell r="A1313" t="str">
            <v>JK-SB015-DG-XXL</v>
          </cell>
          <cell r="B1313" t="str">
            <v>JK-SB015</v>
          </cell>
        </row>
        <row r="1314">
          <cell r="A1314" t="str">
            <v>JK-SB015-KK-L</v>
          </cell>
          <cell r="B1314" t="str">
            <v>JK-SB015</v>
          </cell>
        </row>
        <row r="1315">
          <cell r="A1315" t="str">
            <v>JK-SB015-KK-M</v>
          </cell>
          <cell r="B1315" t="str">
            <v>JK-SB015</v>
          </cell>
        </row>
        <row r="1316">
          <cell r="A1316" t="str">
            <v>JK-SB015-KK-S</v>
          </cell>
          <cell r="B1316" t="str">
            <v>JK-SB015</v>
          </cell>
        </row>
        <row r="1317">
          <cell r="A1317" t="str">
            <v>JK-SB015-KK-XL</v>
          </cell>
          <cell r="B1317" t="str">
            <v>JK-SB015</v>
          </cell>
        </row>
        <row r="1318">
          <cell r="A1318" t="str">
            <v>JK-SB015-KK-XXL</v>
          </cell>
          <cell r="B1318" t="str">
            <v>JK-SB015</v>
          </cell>
        </row>
        <row r="1319">
          <cell r="A1319" t="str">
            <v>JK-SB015-LG-L</v>
          </cell>
          <cell r="B1319" t="str">
            <v>JK-SB015</v>
          </cell>
        </row>
        <row r="1320">
          <cell r="A1320" t="str">
            <v>JK-SB015-LG-M</v>
          </cell>
          <cell r="B1320" t="str">
            <v>JK-SB015</v>
          </cell>
        </row>
        <row r="1321">
          <cell r="A1321" t="str">
            <v>JK-SB015-LG-S</v>
          </cell>
          <cell r="B1321" t="str">
            <v>JK-SB015</v>
          </cell>
        </row>
        <row r="1322">
          <cell r="A1322" t="str">
            <v>JK-SB015-LG-XL</v>
          </cell>
          <cell r="B1322" t="str">
            <v>JK-SB015</v>
          </cell>
        </row>
        <row r="1323">
          <cell r="A1323" t="str">
            <v>JK-SB015-LG-XXL</v>
          </cell>
          <cell r="B1323" t="str">
            <v>JK-SB015</v>
          </cell>
        </row>
        <row r="1324">
          <cell r="A1324" t="str">
            <v>JK-SB016-BK-L</v>
          </cell>
          <cell r="B1324" t="str">
            <v>JK-SB016</v>
          </cell>
        </row>
        <row r="1325">
          <cell r="A1325" t="str">
            <v>JK-SB016-BK-M</v>
          </cell>
          <cell r="B1325" t="str">
            <v>JK-SB016</v>
          </cell>
        </row>
        <row r="1326">
          <cell r="A1326" t="str">
            <v>JK-SB016-BK-S</v>
          </cell>
          <cell r="B1326" t="str">
            <v>JK-SB016</v>
          </cell>
        </row>
        <row r="1327">
          <cell r="A1327" t="str">
            <v>JK-SB016-BK-XL</v>
          </cell>
          <cell r="B1327" t="str">
            <v>JK-SB016</v>
          </cell>
        </row>
        <row r="1328">
          <cell r="A1328" t="str">
            <v>JK-SB016-BK-XXL</v>
          </cell>
          <cell r="B1328" t="str">
            <v>JK-SB016</v>
          </cell>
        </row>
        <row r="1329">
          <cell r="A1329" t="str">
            <v>JK-SB016-CF-L</v>
          </cell>
          <cell r="B1329" t="str">
            <v>JK-SB016</v>
          </cell>
        </row>
        <row r="1330">
          <cell r="A1330" t="str">
            <v>JK-SB016-CF-M</v>
          </cell>
          <cell r="B1330" t="str">
            <v>JK-SB016</v>
          </cell>
        </row>
        <row r="1331">
          <cell r="A1331" t="str">
            <v>JK-SB016-CF-S</v>
          </cell>
          <cell r="B1331" t="str">
            <v>JK-SB016</v>
          </cell>
        </row>
        <row r="1332">
          <cell r="A1332" t="str">
            <v>JK-SB016-CF-XL</v>
          </cell>
          <cell r="B1332" t="str">
            <v>JK-SB016</v>
          </cell>
        </row>
        <row r="1333">
          <cell r="A1333" t="str">
            <v>JK-SB016-CF-XXL</v>
          </cell>
          <cell r="B1333" t="str">
            <v>JK-SB016</v>
          </cell>
        </row>
        <row r="1334">
          <cell r="A1334" t="str">
            <v>JK-SB016-GR-L</v>
          </cell>
          <cell r="B1334" t="str">
            <v>JK-SB016</v>
          </cell>
        </row>
        <row r="1335">
          <cell r="A1335" t="str">
            <v>JK-SB016-GR-M</v>
          </cell>
          <cell r="B1335" t="str">
            <v>JK-SB016</v>
          </cell>
        </row>
        <row r="1336">
          <cell r="A1336" t="str">
            <v>JK-SB016-GR-S</v>
          </cell>
          <cell r="B1336" t="str">
            <v>JK-SB016</v>
          </cell>
        </row>
        <row r="1337">
          <cell r="A1337" t="str">
            <v>JK-SB016-GR-XL</v>
          </cell>
          <cell r="B1337" t="str">
            <v>JK-SB016</v>
          </cell>
        </row>
        <row r="1338">
          <cell r="A1338" t="str">
            <v>JK-SB016-GR-XXL</v>
          </cell>
          <cell r="B1338" t="str">
            <v>JK-SB016</v>
          </cell>
        </row>
        <row r="1339">
          <cell r="A1339" t="str">
            <v>LQXFLS85*85CM</v>
          </cell>
          <cell r="B1339" t="str">
            <v>LQXFLS</v>
          </cell>
        </row>
        <row r="1340">
          <cell r="A1340" t="str">
            <v>LQXFMS1H140*200CM</v>
          </cell>
          <cell r="B1340" t="str">
            <v>LQXFMS1H</v>
          </cell>
        </row>
        <row r="1341">
          <cell r="A1341" t="str">
            <v>LYQ-1001-B0-2XL</v>
          </cell>
          <cell r="B1341" t="str">
            <v>LYQ-1001</v>
          </cell>
        </row>
        <row r="1342">
          <cell r="A1342" t="str">
            <v>LYQ-1001-B0-L</v>
          </cell>
          <cell r="B1342" t="str">
            <v>LYQ-1001</v>
          </cell>
        </row>
        <row r="1343">
          <cell r="A1343" t="str">
            <v>LYQ-1001-B0-M</v>
          </cell>
          <cell r="B1343" t="str">
            <v>LYQ-1001</v>
          </cell>
        </row>
        <row r="1344">
          <cell r="A1344" t="str">
            <v>LYQ-1001-B0-S</v>
          </cell>
          <cell r="B1344" t="str">
            <v>LYQ-1001</v>
          </cell>
        </row>
        <row r="1345">
          <cell r="A1345" t="str">
            <v>LYQ-1001-B0-XL</v>
          </cell>
          <cell r="B1345" t="str">
            <v>LYQ-1001</v>
          </cell>
        </row>
        <row r="1346">
          <cell r="A1346" t="str">
            <v>LYQ-1001-B0-XS</v>
          </cell>
          <cell r="B1346" t="str">
            <v>LYQ-1001</v>
          </cell>
        </row>
        <row r="1347">
          <cell r="A1347" t="str">
            <v>LYQ-1001-G0-2XL</v>
          </cell>
          <cell r="B1347" t="str">
            <v>LYQ-1001</v>
          </cell>
        </row>
        <row r="1348">
          <cell r="A1348" t="str">
            <v>LYQ-1001-G0-L</v>
          </cell>
          <cell r="B1348" t="str">
            <v>LYQ-1001</v>
          </cell>
        </row>
        <row r="1349">
          <cell r="A1349" t="str">
            <v>LYQ-1001-G0-M</v>
          </cell>
          <cell r="B1349" t="str">
            <v>LYQ-1001</v>
          </cell>
        </row>
        <row r="1350">
          <cell r="A1350" t="str">
            <v>LYQ-1001-G0-S</v>
          </cell>
          <cell r="B1350" t="str">
            <v>LYQ-1001</v>
          </cell>
        </row>
        <row r="1351">
          <cell r="A1351" t="str">
            <v>LYQ-1001-G0-XL</v>
          </cell>
          <cell r="B1351" t="str">
            <v>LYQ-1001</v>
          </cell>
        </row>
        <row r="1352">
          <cell r="A1352" t="str">
            <v>LYQ-1001-G0-XS</v>
          </cell>
          <cell r="B1352" t="str">
            <v>LYQ-1001</v>
          </cell>
        </row>
        <row r="1353">
          <cell r="A1353" t="str">
            <v>LYQ-1001-G7-2XL</v>
          </cell>
          <cell r="B1353" t="str">
            <v>LYQ-1001</v>
          </cell>
        </row>
        <row r="1354">
          <cell r="A1354" t="str">
            <v>LYQ-1001-G7-L</v>
          </cell>
          <cell r="B1354" t="str">
            <v>LYQ-1001</v>
          </cell>
        </row>
        <row r="1355">
          <cell r="A1355" t="str">
            <v>LYQ-1001-G7-M</v>
          </cell>
          <cell r="B1355" t="str">
            <v>LYQ-1001</v>
          </cell>
        </row>
        <row r="1356">
          <cell r="A1356" t="str">
            <v>LYQ-1001-G7-S</v>
          </cell>
          <cell r="B1356" t="str">
            <v>LYQ-1001</v>
          </cell>
        </row>
        <row r="1357">
          <cell r="A1357" t="str">
            <v>LYQ-1001-G7-XL</v>
          </cell>
          <cell r="B1357" t="str">
            <v>LYQ-1001</v>
          </cell>
        </row>
        <row r="1358">
          <cell r="A1358" t="str">
            <v>LYQ-1001-G7-XS</v>
          </cell>
          <cell r="B1358" t="str">
            <v>LYQ-1001</v>
          </cell>
        </row>
        <row r="1359">
          <cell r="A1359" t="str">
            <v>LYQ-1001-K0-2XL</v>
          </cell>
          <cell r="B1359" t="str">
            <v>LYQ-1001</v>
          </cell>
        </row>
        <row r="1360">
          <cell r="A1360" t="str">
            <v>LYQ-1001-K0-L</v>
          </cell>
          <cell r="B1360" t="str">
            <v>LYQ-1001</v>
          </cell>
        </row>
        <row r="1361">
          <cell r="A1361" t="str">
            <v>LYQ-1001-K0-M</v>
          </cell>
          <cell r="B1361" t="str">
            <v>LYQ-1001</v>
          </cell>
        </row>
        <row r="1362">
          <cell r="A1362" t="str">
            <v>LYQ-1001-K0-S</v>
          </cell>
          <cell r="B1362" t="str">
            <v>LYQ-1001</v>
          </cell>
        </row>
        <row r="1363">
          <cell r="A1363" t="str">
            <v>LYQ-1001-K0-XL</v>
          </cell>
          <cell r="B1363" t="str">
            <v>LYQ-1001</v>
          </cell>
        </row>
        <row r="1364">
          <cell r="A1364" t="str">
            <v>LYQ-1001-K0-XS</v>
          </cell>
          <cell r="B1364" t="str">
            <v>LYQ-1001</v>
          </cell>
        </row>
        <row r="1365">
          <cell r="A1365" t="str">
            <v>LYQ-1001-KQ-2XL</v>
          </cell>
          <cell r="B1365" t="str">
            <v>LYQ-1001</v>
          </cell>
        </row>
        <row r="1366">
          <cell r="A1366" t="str">
            <v>LYQ-1001-KQ-L</v>
          </cell>
          <cell r="B1366" t="str">
            <v>LYQ-1001</v>
          </cell>
        </row>
        <row r="1367">
          <cell r="A1367" t="str">
            <v>LYQ-1001-KQ-M</v>
          </cell>
          <cell r="B1367" t="str">
            <v>LYQ-1001</v>
          </cell>
        </row>
        <row r="1368">
          <cell r="A1368" t="str">
            <v>LYQ-1001-KQ-S</v>
          </cell>
          <cell r="B1368" t="str">
            <v>LYQ-1001</v>
          </cell>
        </row>
        <row r="1369">
          <cell r="A1369" t="str">
            <v>LYQ-1001-KQ-XL</v>
          </cell>
          <cell r="B1369" t="str">
            <v>LYQ-1001</v>
          </cell>
        </row>
        <row r="1370">
          <cell r="A1370" t="str">
            <v>LYQ-1001-KQ-XS</v>
          </cell>
          <cell r="B1370" t="str">
            <v>LYQ-1001</v>
          </cell>
        </row>
        <row r="1371">
          <cell r="A1371" t="str">
            <v>LYQ-1001-N0-2XL</v>
          </cell>
          <cell r="B1371" t="str">
            <v>LYQ-1001</v>
          </cell>
        </row>
        <row r="1372">
          <cell r="A1372" t="str">
            <v>LYQ-1001-N0-L</v>
          </cell>
          <cell r="B1372" t="str">
            <v>LYQ-1001</v>
          </cell>
        </row>
        <row r="1373">
          <cell r="A1373" t="str">
            <v>LYQ-1001-N0-M</v>
          </cell>
          <cell r="B1373" t="str">
            <v>LYQ-1001</v>
          </cell>
        </row>
        <row r="1374">
          <cell r="A1374" t="str">
            <v>LYQ-1001-N0-S</v>
          </cell>
          <cell r="B1374" t="str">
            <v>LYQ-1001</v>
          </cell>
        </row>
        <row r="1375">
          <cell r="A1375" t="str">
            <v>LYQ-1001-N0-XL</v>
          </cell>
          <cell r="B1375" t="str">
            <v>LYQ-1001</v>
          </cell>
        </row>
        <row r="1376">
          <cell r="A1376" t="str">
            <v>LYQ-1001-N0-XS</v>
          </cell>
          <cell r="B1376" t="str">
            <v>LYQ-1001</v>
          </cell>
        </row>
        <row r="1377">
          <cell r="A1377" t="str">
            <v>LYQ-1001New-P0-2XL</v>
          </cell>
          <cell r="B1377" t="str">
            <v>LYQ-1001</v>
          </cell>
        </row>
        <row r="1378">
          <cell r="A1378" t="str">
            <v>LYQ-1001New-P0-L</v>
          </cell>
          <cell r="B1378" t="str">
            <v>LYQ-1001</v>
          </cell>
        </row>
        <row r="1379">
          <cell r="A1379" t="str">
            <v>LYQ-1001New-P0-M</v>
          </cell>
          <cell r="B1379" t="str">
            <v>LYQ-1001</v>
          </cell>
        </row>
        <row r="1380">
          <cell r="A1380" t="str">
            <v>LYQ-1001New-P0-S</v>
          </cell>
          <cell r="B1380" t="str">
            <v>LYQ-1001</v>
          </cell>
        </row>
        <row r="1381">
          <cell r="A1381" t="str">
            <v>LYQ-1001New-P0-XL</v>
          </cell>
          <cell r="B1381" t="str">
            <v>LYQ-1001</v>
          </cell>
        </row>
        <row r="1382">
          <cell r="A1382" t="str">
            <v>LYQ-1001New-P0-XS</v>
          </cell>
          <cell r="B1382" t="str">
            <v>LYQ-1001</v>
          </cell>
        </row>
        <row r="1383">
          <cell r="A1383" t="str">
            <v>LYQ-1001-P0-2XL</v>
          </cell>
          <cell r="B1383" t="str">
            <v>LYQ-1001</v>
          </cell>
        </row>
        <row r="1384">
          <cell r="A1384" t="str">
            <v>LYQ-1001-P0-L</v>
          </cell>
          <cell r="B1384" t="str">
            <v>LYQ-1001</v>
          </cell>
        </row>
        <row r="1385">
          <cell r="A1385" t="str">
            <v>LYQ-1001-P0-M</v>
          </cell>
          <cell r="B1385" t="str">
            <v>LYQ-1001</v>
          </cell>
        </row>
        <row r="1386">
          <cell r="A1386" t="str">
            <v>LYQ-1001-P0-S</v>
          </cell>
          <cell r="B1386" t="str">
            <v>LYQ-1001</v>
          </cell>
        </row>
        <row r="1387">
          <cell r="A1387" t="str">
            <v>LYQ-1001-P0-XL</v>
          </cell>
          <cell r="B1387" t="str">
            <v>LYQ-1001</v>
          </cell>
        </row>
        <row r="1388">
          <cell r="A1388" t="str">
            <v>LYQ-1001-P0-XS</v>
          </cell>
          <cell r="B1388" t="str">
            <v>LYQ-1001</v>
          </cell>
        </row>
        <row r="1389">
          <cell r="A1389" t="str">
            <v>LYQ-1001-R0-2XL</v>
          </cell>
          <cell r="B1389" t="str">
            <v>LYQ-1001</v>
          </cell>
        </row>
        <row r="1390">
          <cell r="A1390" t="str">
            <v>LYQ-1001-R0-L</v>
          </cell>
          <cell r="B1390" t="str">
            <v>LYQ-1001</v>
          </cell>
        </row>
        <row r="1391">
          <cell r="A1391" t="str">
            <v>LYQ-1001-R0-M</v>
          </cell>
          <cell r="B1391" t="str">
            <v>LYQ-1001</v>
          </cell>
        </row>
        <row r="1392">
          <cell r="A1392" t="str">
            <v>LYQ-1001-R0-S</v>
          </cell>
          <cell r="B1392" t="str">
            <v>LYQ-1001</v>
          </cell>
        </row>
        <row r="1393">
          <cell r="A1393" t="str">
            <v>LYQ-1001-R0-XL</v>
          </cell>
          <cell r="B1393" t="str">
            <v>LYQ-1001</v>
          </cell>
        </row>
        <row r="1394">
          <cell r="A1394" t="str">
            <v>LYQ-1001-R0-XS</v>
          </cell>
          <cell r="B1394" t="str">
            <v>LYQ-1001</v>
          </cell>
        </row>
        <row r="1395">
          <cell r="A1395" t="str">
            <v>LYQ-1001-W0-2XL</v>
          </cell>
          <cell r="B1395" t="str">
            <v>LYQ-1001</v>
          </cell>
        </row>
        <row r="1396">
          <cell r="A1396" t="str">
            <v>LYQ-1001-W0-L</v>
          </cell>
          <cell r="B1396" t="str">
            <v>LYQ-1001</v>
          </cell>
        </row>
        <row r="1397">
          <cell r="A1397" t="str">
            <v>LYQ-1001-W0-M</v>
          </cell>
          <cell r="B1397" t="str">
            <v>LYQ-1001</v>
          </cell>
        </row>
        <row r="1398">
          <cell r="A1398" t="str">
            <v>LYQ-1001-W0-S</v>
          </cell>
          <cell r="B1398" t="str">
            <v>LYQ-1001</v>
          </cell>
        </row>
        <row r="1399">
          <cell r="A1399" t="str">
            <v>LYQ-1001-W0-XL</v>
          </cell>
          <cell r="B1399" t="str">
            <v>LYQ-1001</v>
          </cell>
        </row>
        <row r="1400">
          <cell r="A1400" t="str">
            <v>LYQ-1001-W0-XS</v>
          </cell>
          <cell r="B1400" t="str">
            <v>LYQ-1001</v>
          </cell>
        </row>
        <row r="1401">
          <cell r="A1401" t="str">
            <v>LYQ-1001-Z0-2XL</v>
          </cell>
          <cell r="B1401" t="str">
            <v>LYQ-1001</v>
          </cell>
        </row>
        <row r="1402">
          <cell r="A1402" t="str">
            <v>LYQ-1001-Z0-L</v>
          </cell>
          <cell r="B1402" t="str">
            <v>LYQ-1001</v>
          </cell>
        </row>
        <row r="1403">
          <cell r="A1403" t="str">
            <v>LYQ-1001-Z0-M</v>
          </cell>
          <cell r="B1403" t="str">
            <v>LYQ-1001</v>
          </cell>
        </row>
        <row r="1404">
          <cell r="A1404" t="str">
            <v>LYQ-1001-Z0-S</v>
          </cell>
          <cell r="B1404" t="str">
            <v>LYQ-1001</v>
          </cell>
        </row>
        <row r="1405">
          <cell r="A1405" t="str">
            <v>LYQ-1001-Z0-XL</v>
          </cell>
          <cell r="B1405" t="str">
            <v>LYQ-1001</v>
          </cell>
        </row>
        <row r="1406">
          <cell r="A1406" t="str">
            <v>LYQ-1001-Z0-XS</v>
          </cell>
          <cell r="B1406" t="str">
            <v>LYQ-1001</v>
          </cell>
        </row>
        <row r="1407">
          <cell r="A1407" t="str">
            <v>LYQ-1010</v>
          </cell>
          <cell r="B1407" t="str">
            <v>LYQ-1010</v>
          </cell>
        </row>
        <row r="1408">
          <cell r="A1408" t="str">
            <v>LYQ-1010DX-B0-2XL</v>
          </cell>
          <cell r="B1408" t="str">
            <v>LYQ-1010</v>
          </cell>
        </row>
        <row r="1409">
          <cell r="A1409" t="str">
            <v>LYQ-1010DX-B0-M</v>
          </cell>
          <cell r="B1409" t="str">
            <v>LYQ-1010</v>
          </cell>
        </row>
        <row r="1410">
          <cell r="A1410" t="str">
            <v>LYQ-1010DX-B0-S</v>
          </cell>
          <cell r="B1410" t="str">
            <v>LYQ-1010</v>
          </cell>
        </row>
        <row r="1411">
          <cell r="A1411" t="str">
            <v>LYQ-1010DX-B0-XL</v>
          </cell>
          <cell r="B1411" t="str">
            <v>LYQ-1010</v>
          </cell>
        </row>
        <row r="1412">
          <cell r="A1412" t="str">
            <v>LYQ-1010DX-BD-2XL</v>
          </cell>
          <cell r="B1412" t="str">
            <v>LYQ-1010</v>
          </cell>
        </row>
        <row r="1413">
          <cell r="A1413" t="str">
            <v>LYQ-1010DX-BD-L</v>
          </cell>
          <cell r="B1413" t="str">
            <v>LYQ-1010</v>
          </cell>
        </row>
        <row r="1414">
          <cell r="A1414" t="str">
            <v>LYQ-1010DX-BD-XL</v>
          </cell>
          <cell r="B1414" t="str">
            <v>LYQ-1010</v>
          </cell>
        </row>
        <row r="1415">
          <cell r="A1415" t="str">
            <v>LYQ-1010DX-E0-2XL</v>
          </cell>
          <cell r="B1415" t="str">
            <v>LYQ-1010</v>
          </cell>
        </row>
        <row r="1416">
          <cell r="A1416" t="str">
            <v>LYQ-1010DX-E0-L</v>
          </cell>
          <cell r="B1416" t="str">
            <v>LYQ-1010</v>
          </cell>
        </row>
        <row r="1417">
          <cell r="A1417" t="str">
            <v>LYQ-1010DX-K0-2XL</v>
          </cell>
          <cell r="B1417" t="str">
            <v>LYQ-1010</v>
          </cell>
        </row>
        <row r="1418">
          <cell r="A1418" t="str">
            <v>LYQ-1010DX-K0-L</v>
          </cell>
          <cell r="B1418" t="str">
            <v>LYQ-1010</v>
          </cell>
        </row>
        <row r="1419">
          <cell r="A1419" t="str">
            <v>LYQ-1010DX-K0-M</v>
          </cell>
          <cell r="B1419" t="str">
            <v>LYQ-1010</v>
          </cell>
        </row>
        <row r="1420">
          <cell r="A1420" t="str">
            <v>LYQ-1010DX-K0-XL</v>
          </cell>
          <cell r="B1420" t="str">
            <v>LYQ-1010</v>
          </cell>
        </row>
        <row r="1421">
          <cell r="A1421" t="str">
            <v>LYQ-1010K02L</v>
          </cell>
          <cell r="B1421" t="str">
            <v>LYQ-1010</v>
          </cell>
        </row>
        <row r="1422">
          <cell r="A1422" t="str">
            <v>LYQ-1010K02L-MX</v>
          </cell>
          <cell r="B1422" t="str">
            <v>LYQ-1010</v>
          </cell>
        </row>
        <row r="1423">
          <cell r="A1423" t="str">
            <v>LYQ-1010K03L</v>
          </cell>
          <cell r="B1423" t="str">
            <v>LYQ-1010</v>
          </cell>
        </row>
        <row r="1424">
          <cell r="A1424" t="str">
            <v>LYQ-1010K03L-MX</v>
          </cell>
          <cell r="B1424" t="str">
            <v>LYQ-1010</v>
          </cell>
        </row>
        <row r="1425">
          <cell r="A1425" t="str">
            <v>LYQ-1010K0L</v>
          </cell>
          <cell r="B1425" t="str">
            <v>LYQ-1010</v>
          </cell>
        </row>
        <row r="1426">
          <cell r="A1426" t="str">
            <v>LYQ-1010K0L-MX</v>
          </cell>
          <cell r="B1426" t="str">
            <v>LYQ-1010</v>
          </cell>
        </row>
        <row r="1427">
          <cell r="A1427" t="str">
            <v>LYQ-1010K0M</v>
          </cell>
          <cell r="B1427" t="str">
            <v>LYQ-1010</v>
          </cell>
        </row>
        <row r="1428">
          <cell r="A1428" t="str">
            <v>LYQ-1010K0M-MX</v>
          </cell>
          <cell r="B1428" t="str">
            <v>LYQ-1010</v>
          </cell>
        </row>
        <row r="1429">
          <cell r="A1429" t="str">
            <v>LYQ-1010K0S</v>
          </cell>
          <cell r="B1429" t="str">
            <v>LYQ-1010</v>
          </cell>
        </row>
        <row r="1430">
          <cell r="A1430" t="str">
            <v>LYQ-1010K0S-MX</v>
          </cell>
          <cell r="B1430" t="str">
            <v>LYQ-1010</v>
          </cell>
        </row>
        <row r="1431">
          <cell r="A1431" t="str">
            <v>LYQ-1010K0XL</v>
          </cell>
          <cell r="B1431" t="str">
            <v>LYQ-1010</v>
          </cell>
        </row>
        <row r="1432">
          <cell r="A1432" t="str">
            <v>LYQ-1010K0XL-MX</v>
          </cell>
          <cell r="B1432" t="str">
            <v>LYQ-1010</v>
          </cell>
        </row>
        <row r="1433">
          <cell r="A1433" t="str">
            <v>LYQ-1010N02L</v>
          </cell>
          <cell r="B1433" t="str">
            <v>LYQ-1010</v>
          </cell>
        </row>
        <row r="1434">
          <cell r="A1434" t="str">
            <v>LYQ-1010N03L</v>
          </cell>
          <cell r="B1434" t="str">
            <v>LYQ-1010</v>
          </cell>
        </row>
        <row r="1435">
          <cell r="A1435" t="str">
            <v>LYQ-1010N0L</v>
          </cell>
          <cell r="B1435" t="str">
            <v>LYQ-1010</v>
          </cell>
        </row>
        <row r="1436">
          <cell r="A1436" t="str">
            <v>LYQ-1010N0M</v>
          </cell>
          <cell r="B1436" t="str">
            <v>LYQ-1010</v>
          </cell>
        </row>
        <row r="1437">
          <cell r="A1437" t="str">
            <v>LYQ-1010N0S</v>
          </cell>
          <cell r="B1437" t="str">
            <v>LYQ-1010</v>
          </cell>
        </row>
        <row r="1438">
          <cell r="A1438" t="str">
            <v>LYQ-1010N0S-New</v>
          </cell>
          <cell r="B1438" t="str">
            <v>LYQ-1010</v>
          </cell>
        </row>
        <row r="1439">
          <cell r="A1439" t="str">
            <v>LYQ-1010N0XL</v>
          </cell>
          <cell r="B1439" t="str">
            <v>LYQ-1010</v>
          </cell>
        </row>
        <row r="1440">
          <cell r="A1440" t="str">
            <v>LYQ-1010P02L</v>
          </cell>
          <cell r="B1440" t="str">
            <v>LYQ-1010</v>
          </cell>
        </row>
        <row r="1441">
          <cell r="A1441" t="str">
            <v>LYQ-1010P02L-MX</v>
          </cell>
          <cell r="B1441" t="str">
            <v>LYQ-1010</v>
          </cell>
        </row>
        <row r="1442">
          <cell r="A1442" t="str">
            <v>LYQ-1010P03L</v>
          </cell>
          <cell r="B1442" t="str">
            <v>LYQ-1010</v>
          </cell>
        </row>
        <row r="1443">
          <cell r="A1443" t="str">
            <v>LYQ-1010P03L-MX</v>
          </cell>
          <cell r="B1443" t="str">
            <v>LYQ-1010</v>
          </cell>
        </row>
        <row r="1444">
          <cell r="A1444" t="str">
            <v>LYQ-1010P0L</v>
          </cell>
          <cell r="B1444" t="str">
            <v>LYQ-1010</v>
          </cell>
        </row>
        <row r="1445">
          <cell r="A1445" t="str">
            <v>LYQ-1010P0L-MX</v>
          </cell>
          <cell r="B1445" t="str">
            <v>LYQ-1010</v>
          </cell>
        </row>
        <row r="1446">
          <cell r="A1446" t="str">
            <v>LYQ-1010P0M</v>
          </cell>
          <cell r="B1446" t="str">
            <v>LYQ-1010</v>
          </cell>
        </row>
        <row r="1447">
          <cell r="A1447" t="str">
            <v>LYQ-1010P0M-MX</v>
          </cell>
          <cell r="B1447" t="str">
            <v>LYQ-1010</v>
          </cell>
        </row>
        <row r="1448">
          <cell r="A1448" t="str">
            <v>LYQ-1010P0S</v>
          </cell>
          <cell r="B1448" t="str">
            <v>LYQ-1010</v>
          </cell>
        </row>
        <row r="1449">
          <cell r="A1449" t="str">
            <v>LYQ-1010P0S-MX</v>
          </cell>
          <cell r="B1449" t="str">
            <v>LYQ-1010</v>
          </cell>
        </row>
        <row r="1450">
          <cell r="A1450" t="str">
            <v>LYQ-1010P0XL</v>
          </cell>
          <cell r="B1450" t="str">
            <v>LYQ-1010</v>
          </cell>
        </row>
        <row r="1451">
          <cell r="A1451" t="str">
            <v>LYQ-1010P0XL-MX</v>
          </cell>
          <cell r="B1451" t="str">
            <v>LYQ-1010</v>
          </cell>
        </row>
        <row r="1452">
          <cell r="A1452" t="str">
            <v>LYQ-1010W02L</v>
          </cell>
          <cell r="B1452" t="str">
            <v>LYQ-1010</v>
          </cell>
        </row>
        <row r="1453">
          <cell r="A1453" t="str">
            <v>LYQ-1010W03L</v>
          </cell>
          <cell r="B1453" t="str">
            <v>LYQ-1010</v>
          </cell>
        </row>
        <row r="1454">
          <cell r="A1454" t="str">
            <v>LYQ-1010W0L</v>
          </cell>
          <cell r="B1454" t="str">
            <v>LYQ-1010</v>
          </cell>
        </row>
        <row r="1455">
          <cell r="A1455" t="str">
            <v>LYQ-1010W0M</v>
          </cell>
          <cell r="B1455" t="str">
            <v>LYQ-1010</v>
          </cell>
        </row>
        <row r="1456">
          <cell r="A1456" t="str">
            <v>LYQ-1010W0M-GM</v>
          </cell>
          <cell r="B1456" t="str">
            <v>LYQ-1010</v>
          </cell>
        </row>
        <row r="1457">
          <cell r="A1457" t="str">
            <v>LYQ-1010W0S</v>
          </cell>
          <cell r="B1457" t="str">
            <v>LYQ-1010</v>
          </cell>
        </row>
        <row r="1458">
          <cell r="A1458" t="str">
            <v>LYQ-1010W0XL</v>
          </cell>
          <cell r="B1458" t="str">
            <v>LYQ-1010</v>
          </cell>
        </row>
        <row r="1459">
          <cell r="A1459" t="str">
            <v>LYQ2015B0</v>
          </cell>
          <cell r="B1459" t="str">
            <v>LYQ2015</v>
          </cell>
        </row>
        <row r="1460">
          <cell r="A1460" t="str">
            <v>LYQ2015FB</v>
          </cell>
          <cell r="B1460" t="str">
            <v>LYQ2015</v>
          </cell>
        </row>
        <row r="1461">
          <cell r="A1461" t="str">
            <v>LYQ2015G0</v>
          </cell>
          <cell r="B1461" t="str">
            <v>LYQ2015</v>
          </cell>
        </row>
        <row r="1462">
          <cell r="A1462" t="str">
            <v>LYQ2015K0</v>
          </cell>
          <cell r="B1462" t="str">
            <v>LYQ2015</v>
          </cell>
        </row>
        <row r="1463">
          <cell r="A1463" t="str">
            <v>LYQ2015P0</v>
          </cell>
          <cell r="B1463" t="str">
            <v>LYQ2015</v>
          </cell>
        </row>
        <row r="1464">
          <cell r="A1464" t="str">
            <v>LYQ2015R0</v>
          </cell>
          <cell r="B1464" t="str">
            <v>LYQ2015</v>
          </cell>
        </row>
        <row r="1465">
          <cell r="A1465" t="str">
            <v>LYQ2015W0</v>
          </cell>
          <cell r="B1465" t="str">
            <v>LYQ2015</v>
          </cell>
        </row>
        <row r="1466">
          <cell r="A1466" t="str">
            <v>LYQ2015W0-GM</v>
          </cell>
          <cell r="B1466" t="str">
            <v>LYQ2015W0</v>
          </cell>
        </row>
        <row r="1467">
          <cell r="A1467" t="str">
            <v>LYQ-29CA-BD-L</v>
          </cell>
          <cell r="B1467" t="str">
            <v>LYQ-29CA</v>
          </cell>
        </row>
        <row r="1468">
          <cell r="A1468" t="str">
            <v>LYQ-29CA-BD-S</v>
          </cell>
          <cell r="B1468" t="str">
            <v>LYQ-29CA</v>
          </cell>
        </row>
        <row r="1469">
          <cell r="A1469" t="str">
            <v>LYQ-29CA-BD-XL</v>
          </cell>
          <cell r="B1469" t="str">
            <v>LYQ-29CA</v>
          </cell>
        </row>
        <row r="1470">
          <cell r="A1470" t="str">
            <v>LYQ-29CA-G7-L</v>
          </cell>
          <cell r="B1470" t="str">
            <v>LYQ-29CA</v>
          </cell>
        </row>
        <row r="1471">
          <cell r="A1471" t="str">
            <v>LYQ-29CA-G7-M</v>
          </cell>
          <cell r="B1471" t="str">
            <v>LYQ-29CA</v>
          </cell>
        </row>
        <row r="1472">
          <cell r="A1472" t="str">
            <v>LYQ-29CA-G7-S</v>
          </cell>
          <cell r="B1472" t="str">
            <v>LYQ-29CA</v>
          </cell>
        </row>
        <row r="1473">
          <cell r="A1473" t="str">
            <v>LYQ-29CA-G7-XL</v>
          </cell>
          <cell r="B1473" t="str">
            <v>LYQ-29CA</v>
          </cell>
        </row>
        <row r="1474">
          <cell r="A1474" t="str">
            <v>LYQ-29CA-K0-L</v>
          </cell>
          <cell r="B1474" t="str">
            <v>LYQ-29CA</v>
          </cell>
        </row>
        <row r="1475">
          <cell r="A1475" t="str">
            <v>LYQ-29CA-K0-M</v>
          </cell>
          <cell r="B1475" t="str">
            <v>LYQ-29CA</v>
          </cell>
        </row>
        <row r="1476">
          <cell r="A1476" t="str">
            <v>LYQ-29CA-K0-S</v>
          </cell>
          <cell r="B1476" t="str">
            <v>LYQ-29CA</v>
          </cell>
        </row>
        <row r="1477">
          <cell r="A1477" t="str">
            <v>LYQ-29CA-K0-XL</v>
          </cell>
          <cell r="B1477" t="str">
            <v>LYQ-29CA</v>
          </cell>
        </row>
        <row r="1478">
          <cell r="A1478" t="str">
            <v>LYQ-29PHJ-BD-L</v>
          </cell>
          <cell r="B1478" t="str">
            <v>LYQ-29PHJ</v>
          </cell>
        </row>
        <row r="1479">
          <cell r="A1479" t="str">
            <v>LYQ-29PHJ-BD-L-MX</v>
          </cell>
          <cell r="B1479" t="str">
            <v>LYQ-29PHJ</v>
          </cell>
        </row>
        <row r="1480">
          <cell r="A1480" t="str">
            <v>LYQ-29PHJ-BD-M</v>
          </cell>
          <cell r="B1480" t="str">
            <v>LYQ-29PHJ</v>
          </cell>
        </row>
        <row r="1481">
          <cell r="A1481" t="str">
            <v>LYQ-29PHJ-BD-M-MX</v>
          </cell>
          <cell r="B1481" t="str">
            <v>LYQ-29PHJ</v>
          </cell>
        </row>
        <row r="1482">
          <cell r="A1482" t="str">
            <v>LYQ-29PHJ-BD-S</v>
          </cell>
          <cell r="B1482" t="str">
            <v>LYQ-29PHJ</v>
          </cell>
        </row>
        <row r="1483">
          <cell r="A1483" t="str">
            <v>LYQ-29PHJ-BD-XL</v>
          </cell>
          <cell r="B1483" t="str">
            <v>LYQ-29PHJ</v>
          </cell>
        </row>
        <row r="1484">
          <cell r="A1484" t="str">
            <v>LYQ-29PHJ-BD-XL-MX</v>
          </cell>
          <cell r="B1484" t="str">
            <v>LYQ-29PHJ</v>
          </cell>
        </row>
        <row r="1485">
          <cell r="A1485" t="str">
            <v>LYQ-29PHJ-C0-L</v>
          </cell>
          <cell r="B1485" t="str">
            <v>LYQ-29PHJ</v>
          </cell>
        </row>
        <row r="1486">
          <cell r="A1486" t="str">
            <v>LYQ-29PHJ-C0-M</v>
          </cell>
          <cell r="B1486" t="str">
            <v>LYQ-29PHJ</v>
          </cell>
        </row>
        <row r="1487">
          <cell r="A1487" t="str">
            <v>LYQ-29PHJ-C0-S</v>
          </cell>
          <cell r="B1487" t="str">
            <v>LYQ-29PHJ</v>
          </cell>
        </row>
        <row r="1488">
          <cell r="A1488" t="str">
            <v>LYQ-29PHJ-C0-XL</v>
          </cell>
          <cell r="B1488" t="str">
            <v>LYQ-29PHJ</v>
          </cell>
        </row>
        <row r="1489">
          <cell r="A1489" t="str">
            <v>LYQ-29PHJ-G7-L</v>
          </cell>
          <cell r="B1489" t="str">
            <v>LYQ-29PHJ</v>
          </cell>
        </row>
        <row r="1490">
          <cell r="A1490" t="str">
            <v>LYQ-29PHJ-G7-L-MX</v>
          </cell>
          <cell r="B1490" t="str">
            <v>LYQ-29PHJ</v>
          </cell>
        </row>
        <row r="1491">
          <cell r="A1491" t="str">
            <v>LYQ-29PHJ-G7-M</v>
          </cell>
          <cell r="B1491" t="str">
            <v>LYQ-29PHJ</v>
          </cell>
        </row>
        <row r="1492">
          <cell r="A1492" t="str">
            <v>LYQ-29PHJ-G7-M-MX</v>
          </cell>
          <cell r="B1492" t="str">
            <v>LYQ-29PHJ</v>
          </cell>
        </row>
        <row r="1493">
          <cell r="A1493" t="str">
            <v>LYQ-29PHJ-G7-S</v>
          </cell>
          <cell r="B1493" t="str">
            <v>LYQ-29PHJ</v>
          </cell>
        </row>
        <row r="1494">
          <cell r="A1494" t="str">
            <v>LYQ-29PHJ-G7-S-MX</v>
          </cell>
          <cell r="B1494" t="str">
            <v>LYQ-29PHJ</v>
          </cell>
        </row>
        <row r="1495">
          <cell r="A1495" t="str">
            <v>LYQ-29PHJ-G7-XL</v>
          </cell>
          <cell r="B1495" t="str">
            <v>LYQ-29PHJ</v>
          </cell>
        </row>
        <row r="1496">
          <cell r="A1496" t="str">
            <v>LYQ-29PHJ-G7-XL-MX</v>
          </cell>
          <cell r="B1496" t="str">
            <v>LYQ-29PHJ</v>
          </cell>
        </row>
        <row r="1497">
          <cell r="A1497" t="str">
            <v>LYQ-29PHJ-K0-L</v>
          </cell>
          <cell r="B1497" t="str">
            <v>LYQ-29PHJ</v>
          </cell>
        </row>
        <row r="1498">
          <cell r="A1498" t="str">
            <v>LYQ-29PHJ-K0-L-MX</v>
          </cell>
          <cell r="B1498" t="str">
            <v>LYQ-29PHJ</v>
          </cell>
        </row>
        <row r="1499">
          <cell r="A1499" t="str">
            <v>LYQ-29PHJ-K0-M</v>
          </cell>
          <cell r="B1499" t="str">
            <v>LYQ-29PHJ</v>
          </cell>
        </row>
        <row r="1500">
          <cell r="A1500" t="str">
            <v>LYQ-29PHJ-K0-S</v>
          </cell>
          <cell r="B1500" t="str">
            <v>LYQ-29PHJ</v>
          </cell>
        </row>
        <row r="1501">
          <cell r="A1501" t="str">
            <v>LYQ-29PHJ-K0-XL</v>
          </cell>
          <cell r="B1501" t="str">
            <v>LYQ-29PHJ</v>
          </cell>
        </row>
        <row r="1502">
          <cell r="A1502" t="str">
            <v>LYQ-29PHJ-X0-L</v>
          </cell>
          <cell r="B1502" t="str">
            <v>LYQ-29PHJ</v>
          </cell>
        </row>
        <row r="1503">
          <cell r="A1503" t="str">
            <v>LYQ-29PHJ-X0-L-MX</v>
          </cell>
          <cell r="B1503" t="str">
            <v>LYQ-29PHJ</v>
          </cell>
        </row>
        <row r="1504">
          <cell r="A1504" t="str">
            <v>LYQ-29PHJ-X0-M</v>
          </cell>
          <cell r="B1504" t="str">
            <v>LYQ-29PHJ</v>
          </cell>
        </row>
        <row r="1505">
          <cell r="A1505" t="str">
            <v>LYQ-29PHJ-X0-S</v>
          </cell>
          <cell r="B1505" t="str">
            <v>LYQ-29PHJ</v>
          </cell>
        </row>
        <row r="1506">
          <cell r="A1506" t="str">
            <v>LYQ-29PHJ-X0-XL</v>
          </cell>
          <cell r="B1506" t="str">
            <v>LYQ-29PHJ</v>
          </cell>
        </row>
        <row r="1507">
          <cell r="A1507" t="str">
            <v>LYQ-29PHJ-ZL-L</v>
          </cell>
          <cell r="B1507" t="str">
            <v>LYQ-29PHJ</v>
          </cell>
        </row>
        <row r="1508">
          <cell r="A1508" t="str">
            <v>LYQ-29PHJ-ZL-M</v>
          </cell>
          <cell r="B1508" t="str">
            <v>LYQ-29PHJ</v>
          </cell>
        </row>
        <row r="1509">
          <cell r="A1509" t="str">
            <v>LYQ-29PHJ-ZL-S</v>
          </cell>
          <cell r="B1509" t="str">
            <v>LYQ-29PHJ</v>
          </cell>
        </row>
        <row r="1510">
          <cell r="A1510" t="str">
            <v>LYQ-29PHJ-ZL-XL</v>
          </cell>
          <cell r="B1510" t="str">
            <v>LYQ-29PHJ</v>
          </cell>
        </row>
        <row r="1511">
          <cell r="A1511" t="str">
            <v>LYQ-CA1377-blue-L</v>
          </cell>
          <cell r="B1511" t="str">
            <v>LYQ-CA1377</v>
          </cell>
        </row>
        <row r="1512">
          <cell r="A1512" t="str">
            <v>LYQ-CA1377-blue-M</v>
          </cell>
          <cell r="B1512" t="str">
            <v>LYQ-CA1377</v>
          </cell>
        </row>
        <row r="1513">
          <cell r="A1513" t="str">
            <v>LYQ-CA1377-blue-S</v>
          </cell>
          <cell r="B1513" t="str">
            <v>LYQ-CA1377</v>
          </cell>
        </row>
        <row r="1514">
          <cell r="A1514" t="str">
            <v>LYQ-CA1377-blue-XL</v>
          </cell>
          <cell r="B1514" t="str">
            <v>LYQ-CA1377</v>
          </cell>
        </row>
        <row r="1515">
          <cell r="A1515" t="str">
            <v>LYQ-CA1377-grey0-L</v>
          </cell>
          <cell r="B1515" t="str">
            <v>LYQ-CA1377</v>
          </cell>
        </row>
        <row r="1516">
          <cell r="A1516" t="str">
            <v>LYQ-CA1377-grey0-M</v>
          </cell>
          <cell r="B1516" t="str">
            <v>LYQ-CA1377</v>
          </cell>
        </row>
        <row r="1517">
          <cell r="A1517" t="str">
            <v>LYQ-CA1377-grey0-S</v>
          </cell>
          <cell r="B1517" t="str">
            <v>LYQ-CA1377</v>
          </cell>
        </row>
        <row r="1518">
          <cell r="A1518" t="str">
            <v>LYQ-CA1377-grey0-XL</v>
          </cell>
          <cell r="B1518" t="str">
            <v>LYQ-CA1377</v>
          </cell>
        </row>
        <row r="1519">
          <cell r="A1519" t="str">
            <v>LYQ-CA1377-grey1-L</v>
          </cell>
          <cell r="B1519" t="str">
            <v>LYQ-CA1377</v>
          </cell>
        </row>
        <row r="1520">
          <cell r="A1520" t="str">
            <v>LYQ-CA1377-grey1-M</v>
          </cell>
          <cell r="B1520" t="str">
            <v>LYQ-CA1377</v>
          </cell>
        </row>
        <row r="1521">
          <cell r="A1521" t="str">
            <v>LYQ-CA1377-grey1-S</v>
          </cell>
          <cell r="B1521" t="str">
            <v>LYQ-CA1377</v>
          </cell>
        </row>
        <row r="1522">
          <cell r="A1522" t="str">
            <v>LYQ-CA1377-grey1-XL</v>
          </cell>
          <cell r="B1522" t="str">
            <v>LYQ-CA1377</v>
          </cell>
        </row>
        <row r="1523">
          <cell r="A1523" t="str">
            <v>LYQ-CA1377-purple-L</v>
          </cell>
          <cell r="B1523" t="str">
            <v>LYQ-CA1377</v>
          </cell>
        </row>
        <row r="1524">
          <cell r="A1524" t="str">
            <v>LYQ-CA1377-purple-M</v>
          </cell>
          <cell r="B1524" t="str">
            <v>LYQ-CA1377</v>
          </cell>
        </row>
        <row r="1525">
          <cell r="A1525" t="str">
            <v>LYQ-CA1377-purple-S</v>
          </cell>
          <cell r="B1525" t="str">
            <v>LYQ-CA1377</v>
          </cell>
        </row>
        <row r="1526">
          <cell r="A1526" t="str">
            <v>LYQ-CA1377-rose-L</v>
          </cell>
          <cell r="B1526" t="str">
            <v>LYQ-CA1377</v>
          </cell>
        </row>
        <row r="1527">
          <cell r="A1527" t="str">
            <v>LYQ-CA1377-rose-M</v>
          </cell>
          <cell r="B1527" t="str">
            <v>LYQ-CA1377</v>
          </cell>
        </row>
        <row r="1528">
          <cell r="A1528" t="str">
            <v>LYQ-CA1377-rose-S</v>
          </cell>
          <cell r="B1528" t="str">
            <v>LYQ-CA1377</v>
          </cell>
        </row>
        <row r="1529">
          <cell r="A1529" t="str">
            <v>LYQ-CA1377-rose-XL</v>
          </cell>
          <cell r="B1529" t="str">
            <v>LYQ-CA1377</v>
          </cell>
        </row>
        <row r="1530">
          <cell r="A1530" t="str">
            <v>LYQ-CF0481-BK-2XL</v>
          </cell>
          <cell r="B1530" t="str">
            <v>LYQ-CF0481</v>
          </cell>
        </row>
        <row r="1531">
          <cell r="A1531" t="str">
            <v>LYQ-CF0481-BK-L</v>
          </cell>
          <cell r="B1531" t="str">
            <v>LYQ-CF0481</v>
          </cell>
        </row>
        <row r="1532">
          <cell r="A1532" t="str">
            <v>LYQ-CF0481-BK-M</v>
          </cell>
          <cell r="B1532" t="str">
            <v>LYQ-CF0481</v>
          </cell>
        </row>
        <row r="1533">
          <cell r="A1533" t="str">
            <v>LYQ-CF0481-BK-S</v>
          </cell>
          <cell r="B1533" t="str">
            <v>LYQ-CF0481</v>
          </cell>
        </row>
        <row r="1534">
          <cell r="A1534" t="str">
            <v>LYQ-CF0481-BK-XL</v>
          </cell>
          <cell r="B1534" t="str">
            <v>LYQ-CF0481</v>
          </cell>
        </row>
        <row r="1535">
          <cell r="A1535" t="str">
            <v>LYQ-CF352-LTBU-L</v>
          </cell>
          <cell r="B1535" t="str">
            <v>LYQ-CF352</v>
          </cell>
        </row>
        <row r="1536">
          <cell r="A1536" t="str">
            <v>LYQ-CF352-LTBU-M</v>
          </cell>
          <cell r="B1536" t="str">
            <v>LYQ-CF352</v>
          </cell>
        </row>
        <row r="1537">
          <cell r="A1537" t="str">
            <v>LYQ-CF352-LTBU-S</v>
          </cell>
          <cell r="B1537" t="str">
            <v>LYQ-CF352</v>
          </cell>
        </row>
        <row r="1538">
          <cell r="A1538" t="str">
            <v>LYQ-CF352-LTBU-XL</v>
          </cell>
          <cell r="B1538" t="str">
            <v>LYQ-CF352</v>
          </cell>
        </row>
        <row r="1539">
          <cell r="A1539" t="str">
            <v>LYQ-CF352-OR-L</v>
          </cell>
          <cell r="B1539" t="str">
            <v>LYQ-CF352</v>
          </cell>
        </row>
        <row r="1540">
          <cell r="A1540" t="str">
            <v>LYQ-CF352-OR-M</v>
          </cell>
          <cell r="B1540" t="str">
            <v>LYQ-CF352</v>
          </cell>
        </row>
        <row r="1541">
          <cell r="A1541" t="str">
            <v>LYQ-CF352-OR-S</v>
          </cell>
          <cell r="B1541" t="str">
            <v>LYQ-CF352</v>
          </cell>
        </row>
        <row r="1542">
          <cell r="A1542" t="str">
            <v>LYQ-CF352-OR-XL</v>
          </cell>
          <cell r="B1542" t="str">
            <v>LYQ-CF352</v>
          </cell>
        </row>
        <row r="1543">
          <cell r="A1543" t="str">
            <v>LYQ-CF352-PU-L</v>
          </cell>
          <cell r="B1543" t="str">
            <v>LYQ-CF352</v>
          </cell>
        </row>
        <row r="1544">
          <cell r="A1544" t="str">
            <v>LYQ-CF352-PU-M</v>
          </cell>
          <cell r="B1544" t="str">
            <v>LYQ-CF352</v>
          </cell>
        </row>
        <row r="1545">
          <cell r="A1545" t="str">
            <v>LYQ-CF352-PU-S</v>
          </cell>
          <cell r="B1545" t="str">
            <v>LYQ-CF352</v>
          </cell>
        </row>
        <row r="1546">
          <cell r="A1546" t="str">
            <v>LYQ-CF352-PU-XL</v>
          </cell>
          <cell r="B1546" t="str">
            <v>LYQ-CF352</v>
          </cell>
        </row>
        <row r="1547">
          <cell r="A1547" t="str">
            <v>LYQ-CF352-RD-L</v>
          </cell>
          <cell r="B1547" t="str">
            <v>LYQ-CF352</v>
          </cell>
        </row>
        <row r="1548">
          <cell r="A1548" t="str">
            <v>LYQ-CF352-RD-M</v>
          </cell>
          <cell r="B1548" t="str">
            <v>LYQ-CF352</v>
          </cell>
        </row>
        <row r="1549">
          <cell r="A1549" t="str">
            <v>LYQ-CF352-RD-XL</v>
          </cell>
          <cell r="B1549" t="str">
            <v>LYQ-CF352</v>
          </cell>
        </row>
        <row r="1550">
          <cell r="A1550" t="str">
            <v>LYQ-CF8215-BK-3XL</v>
          </cell>
          <cell r="B1550" t="str">
            <v>LYQ-CF8215</v>
          </cell>
        </row>
        <row r="1551">
          <cell r="A1551" t="str">
            <v>LYQ-CF8215-BK-L</v>
          </cell>
          <cell r="B1551" t="str">
            <v>LYQ-CF8215</v>
          </cell>
        </row>
        <row r="1552">
          <cell r="A1552" t="str">
            <v>LYQ-CF8215-BK-M</v>
          </cell>
          <cell r="B1552" t="str">
            <v>LYQ-CF8215</v>
          </cell>
        </row>
        <row r="1553">
          <cell r="A1553" t="str">
            <v>LYQ-CF8215-BK-XL</v>
          </cell>
          <cell r="B1553" t="str">
            <v>LYQ-CF8215</v>
          </cell>
        </row>
        <row r="1554">
          <cell r="A1554" t="str">
            <v>LYQ-CF8215-ZL-L</v>
          </cell>
          <cell r="B1554" t="str">
            <v>LYQ-CF8215</v>
          </cell>
        </row>
        <row r="1555">
          <cell r="A1555" t="str">
            <v>LYQ-CF8215-ZL-M</v>
          </cell>
          <cell r="B1555" t="str">
            <v>LYQ-CF8215</v>
          </cell>
        </row>
        <row r="1556">
          <cell r="A1556" t="str">
            <v>LYQ-CF8215-ZL-S</v>
          </cell>
          <cell r="B1556" t="str">
            <v>LYQ-CF8215</v>
          </cell>
        </row>
        <row r="1557">
          <cell r="A1557" t="str">
            <v>LYQ-CF8215-ZL-XL</v>
          </cell>
          <cell r="B1557" t="str">
            <v>LYQ-CF8215</v>
          </cell>
        </row>
        <row r="1558">
          <cell r="A1558" t="str">
            <v>LYQ-CF8501-AMGR-L</v>
          </cell>
          <cell r="B1558" t="str">
            <v>LYQ-CF8501</v>
          </cell>
        </row>
        <row r="1559">
          <cell r="A1559" t="str">
            <v>LYQ-CF8501-AMGR-M</v>
          </cell>
          <cell r="B1559" t="str">
            <v>LYQ-CF8501</v>
          </cell>
        </row>
        <row r="1560">
          <cell r="A1560" t="str">
            <v>LYQ-CF8501-AMGR-S</v>
          </cell>
          <cell r="B1560" t="str">
            <v>LYQ-CF8501</v>
          </cell>
        </row>
        <row r="1561">
          <cell r="A1561" t="str">
            <v>LYQ-CF8501-BK-2XL</v>
          </cell>
          <cell r="B1561" t="str">
            <v>LYQ-CF8501</v>
          </cell>
        </row>
        <row r="1562">
          <cell r="A1562" t="str">
            <v>LYQ-CF8501-BK-3XL</v>
          </cell>
          <cell r="B1562" t="str">
            <v>LYQ-CF8501</v>
          </cell>
        </row>
        <row r="1563">
          <cell r="A1563" t="str">
            <v>LYQ-CF8501-BK-L</v>
          </cell>
          <cell r="B1563" t="str">
            <v>LYQ-CF8501</v>
          </cell>
        </row>
        <row r="1564">
          <cell r="A1564" t="str">
            <v>LYQ-CF8501-BK-M</v>
          </cell>
          <cell r="B1564" t="str">
            <v>LYQ-CF8501</v>
          </cell>
        </row>
        <row r="1565">
          <cell r="A1565" t="str">
            <v>LYQ-CF8501-BK-S</v>
          </cell>
          <cell r="B1565" t="str">
            <v>LYQ-CF8501</v>
          </cell>
        </row>
        <row r="1566">
          <cell r="A1566" t="str">
            <v>LYQ-CF8501-BK-XL</v>
          </cell>
          <cell r="B1566" t="str">
            <v>LYQ-CF8501</v>
          </cell>
        </row>
        <row r="1567">
          <cell r="A1567" t="str">
            <v>LYQ-CF8501-DKGY-4XL</v>
          </cell>
          <cell r="B1567" t="str">
            <v>LYQ-CF8501</v>
          </cell>
        </row>
        <row r="1568">
          <cell r="A1568" t="str">
            <v>LYQ-CF8501-WI-2XL</v>
          </cell>
          <cell r="B1568" t="str">
            <v>LYQ-CF8501</v>
          </cell>
        </row>
        <row r="1569">
          <cell r="A1569" t="str">
            <v>LYQ-CF8501-WI-3XL</v>
          </cell>
          <cell r="B1569" t="str">
            <v>LYQ-CF8501</v>
          </cell>
        </row>
        <row r="1570">
          <cell r="A1570" t="str">
            <v>LYQ-CF8501-WI-L</v>
          </cell>
          <cell r="B1570" t="str">
            <v>LYQ-CF8501</v>
          </cell>
        </row>
        <row r="1571">
          <cell r="A1571" t="str">
            <v>LYQ-CF8501-WI-M</v>
          </cell>
          <cell r="B1571" t="str">
            <v>LYQ-CF8501</v>
          </cell>
        </row>
        <row r="1572">
          <cell r="A1572" t="str">
            <v>LYQ-CF8501-WI-S</v>
          </cell>
          <cell r="B1572" t="str">
            <v>LYQ-CF8501</v>
          </cell>
        </row>
        <row r="1573">
          <cell r="A1573" t="str">
            <v>LYQ-CF8501-WI-XL</v>
          </cell>
          <cell r="B1573" t="str">
            <v>LYQ-CF8501</v>
          </cell>
        </row>
        <row r="1574">
          <cell r="A1574" t="str">
            <v>LYQ-CF8512-BK-L</v>
          </cell>
          <cell r="B1574" t="str">
            <v>LYQ-CF8512</v>
          </cell>
        </row>
        <row r="1575">
          <cell r="A1575" t="str">
            <v>LYQ-CF8512-BK-M</v>
          </cell>
          <cell r="B1575" t="str">
            <v>LYQ-CF8512</v>
          </cell>
        </row>
        <row r="1576">
          <cell r="A1576" t="str">
            <v>LYQ-CF8512-BK-S</v>
          </cell>
          <cell r="B1576" t="str">
            <v>LYQ-CF8512</v>
          </cell>
        </row>
        <row r="1577">
          <cell r="A1577" t="str">
            <v>LYQ-CF8512-BK-XL</v>
          </cell>
          <cell r="B1577" t="str">
            <v>LYQ-CF8512</v>
          </cell>
        </row>
        <row r="1578">
          <cell r="A1578" t="str">
            <v>LYQ-CF8512-BK-XXL</v>
          </cell>
          <cell r="B1578" t="str">
            <v>LYQ-CF8512</v>
          </cell>
        </row>
        <row r="1579">
          <cell r="A1579" t="str">
            <v>LYQ-CF8512-BU-L</v>
          </cell>
          <cell r="B1579" t="str">
            <v>LYQ-CF8512</v>
          </cell>
        </row>
        <row r="1580">
          <cell r="A1580" t="str">
            <v>LYQ-CF8512-BU-M</v>
          </cell>
          <cell r="B1580" t="str">
            <v>LYQ-CF8512</v>
          </cell>
        </row>
        <row r="1581">
          <cell r="A1581" t="str">
            <v>LYQ-CF8512-BU-S</v>
          </cell>
          <cell r="B1581" t="str">
            <v>LYQ-CF8512</v>
          </cell>
        </row>
        <row r="1582">
          <cell r="A1582" t="str">
            <v>LYQ-CF8512-BU-XL</v>
          </cell>
          <cell r="B1582" t="str">
            <v>LYQ-CF8512</v>
          </cell>
        </row>
        <row r="1583">
          <cell r="A1583" t="str">
            <v>LYQ-CF8512-BU-XXL</v>
          </cell>
          <cell r="B1583" t="str">
            <v>LYQ-CF8512</v>
          </cell>
        </row>
        <row r="1584">
          <cell r="A1584" t="str">
            <v>LYQ-CF8512-DKGR-L</v>
          </cell>
          <cell r="B1584" t="str">
            <v>LYQ-CF8512</v>
          </cell>
        </row>
        <row r="1585">
          <cell r="A1585" t="str">
            <v>LYQ-CF8512-DKGR-M</v>
          </cell>
          <cell r="B1585" t="str">
            <v>LYQ-CF8512</v>
          </cell>
        </row>
        <row r="1586">
          <cell r="A1586" t="str">
            <v>LYQ-CF8512-DKGR-S</v>
          </cell>
          <cell r="B1586" t="str">
            <v>LYQ-CF8512</v>
          </cell>
        </row>
        <row r="1587">
          <cell r="A1587" t="str">
            <v>LYQ-CF8512-DKGR-XL</v>
          </cell>
          <cell r="B1587" t="str">
            <v>LYQ-CF8512</v>
          </cell>
        </row>
        <row r="1588">
          <cell r="A1588" t="str">
            <v>LYQ-CF8512-DKGR-XXL</v>
          </cell>
          <cell r="B1588" t="str">
            <v>LYQ-CF8512</v>
          </cell>
        </row>
        <row r="1589">
          <cell r="A1589" t="str">
            <v>LYQ-CF8512-GR-L</v>
          </cell>
          <cell r="B1589" t="str">
            <v>LYQ-CF8512</v>
          </cell>
        </row>
        <row r="1590">
          <cell r="A1590" t="str">
            <v>LYQ-CF8512-GR-M</v>
          </cell>
          <cell r="B1590" t="str">
            <v>LYQ-CF8512</v>
          </cell>
        </row>
        <row r="1591">
          <cell r="A1591" t="str">
            <v>LYQ-CF8512-GR-S</v>
          </cell>
          <cell r="B1591" t="str">
            <v>LYQ-CF8512</v>
          </cell>
        </row>
        <row r="1592">
          <cell r="A1592" t="str">
            <v>LYQ-CF8512-GR-XL</v>
          </cell>
          <cell r="B1592" t="str">
            <v>LYQ-CF8512</v>
          </cell>
        </row>
        <row r="1593">
          <cell r="A1593" t="str">
            <v>LYQ-CF8512-GR-XXL</v>
          </cell>
          <cell r="B1593" t="str">
            <v>LYQ-CF8512</v>
          </cell>
        </row>
        <row r="1594">
          <cell r="A1594" t="str">
            <v>LYQ-CF8512-NAVY-L</v>
          </cell>
          <cell r="B1594" t="str">
            <v>LYQ-CF8512</v>
          </cell>
        </row>
        <row r="1595">
          <cell r="A1595" t="str">
            <v>LYQ-CF8512-NAVY-M</v>
          </cell>
          <cell r="B1595" t="str">
            <v>LYQ-CF8512</v>
          </cell>
        </row>
        <row r="1596">
          <cell r="A1596" t="str">
            <v>LYQ-CF8512-NAVY-S</v>
          </cell>
          <cell r="B1596" t="str">
            <v>LYQ-CF8512</v>
          </cell>
        </row>
        <row r="1597">
          <cell r="A1597" t="str">
            <v>LYQ-CF8512-NAVY-XL</v>
          </cell>
          <cell r="B1597" t="str">
            <v>LYQ-CF8512</v>
          </cell>
        </row>
        <row r="1598">
          <cell r="A1598" t="str">
            <v>LYQ-CF8512-NAVY-XXL</v>
          </cell>
          <cell r="B1598" t="str">
            <v>LYQ-CF8512</v>
          </cell>
        </row>
        <row r="1599">
          <cell r="A1599" t="str">
            <v>LYQ-CF8512-WI-L</v>
          </cell>
          <cell r="B1599" t="str">
            <v>LYQ-CF8512</v>
          </cell>
        </row>
        <row r="1600">
          <cell r="A1600" t="str">
            <v>LYQ-CF8512-WI-M</v>
          </cell>
          <cell r="B1600" t="str">
            <v>LYQ-CF8512</v>
          </cell>
        </row>
        <row r="1601">
          <cell r="A1601" t="str">
            <v>LYQ-CF8512-WI-S</v>
          </cell>
          <cell r="B1601" t="str">
            <v>LYQ-CF8512</v>
          </cell>
        </row>
        <row r="1602">
          <cell r="A1602" t="str">
            <v>LYQ-CF8512-WI-XL</v>
          </cell>
          <cell r="B1602" t="str">
            <v>LYQ-CF8512</v>
          </cell>
        </row>
        <row r="1603">
          <cell r="A1603" t="str">
            <v>LYQ-CF8512-WI-XXL</v>
          </cell>
          <cell r="B1603" t="str">
            <v>LYQ-CF8512</v>
          </cell>
        </row>
        <row r="1604">
          <cell r="A1604" t="str">
            <v>LYQ-CFB0516-RDPO-S</v>
          </cell>
          <cell r="B1604" t="str">
            <v>LYQ-CFB0516</v>
          </cell>
        </row>
        <row r="1605">
          <cell r="A1605" t="str">
            <v>LYQ-CFL02-BK-2XL</v>
          </cell>
          <cell r="B1605" t="str">
            <v>LYQ-CFL02</v>
          </cell>
        </row>
        <row r="1606">
          <cell r="A1606" t="str">
            <v>LYQ-CFL02-BK-L</v>
          </cell>
          <cell r="B1606" t="str">
            <v>LYQ-CFL02</v>
          </cell>
        </row>
        <row r="1607">
          <cell r="A1607" t="str">
            <v>LYQ-CFL02-BK-M</v>
          </cell>
          <cell r="B1607" t="str">
            <v>LYQ-CFL02</v>
          </cell>
        </row>
        <row r="1608">
          <cell r="A1608" t="str">
            <v>LYQ-CFL02-BK-S</v>
          </cell>
          <cell r="B1608" t="str">
            <v>LYQ-CFL02</v>
          </cell>
        </row>
        <row r="1609">
          <cell r="A1609" t="str">
            <v>LYQ-CFL02-BK-XL</v>
          </cell>
          <cell r="B1609" t="str">
            <v>LYQ-CFL02</v>
          </cell>
        </row>
        <row r="1610">
          <cell r="A1610" t="str">
            <v>LYQ-CL0045-B6-M</v>
          </cell>
          <cell r="B1610" t="str">
            <v>LYQ-CL0045</v>
          </cell>
        </row>
        <row r="1611">
          <cell r="A1611" t="str">
            <v>LYQ-CL0045-E0-XL</v>
          </cell>
          <cell r="B1611" t="str">
            <v>LYQ-CL0045</v>
          </cell>
        </row>
        <row r="1612">
          <cell r="A1612" t="str">
            <v>LYQ-CL0045-K0-L</v>
          </cell>
          <cell r="B1612" t="str">
            <v>LYQ-CL0045</v>
          </cell>
        </row>
        <row r="1613">
          <cell r="A1613" t="str">
            <v>LYQ-CL0045-K0-M</v>
          </cell>
          <cell r="B1613" t="str">
            <v>LYQ-CL0045</v>
          </cell>
        </row>
        <row r="1614">
          <cell r="A1614" t="str">
            <v>LYQ-CL0045-K0-S</v>
          </cell>
          <cell r="B1614" t="str">
            <v>LYQ-CL0045</v>
          </cell>
        </row>
        <row r="1615">
          <cell r="A1615" t="str">
            <v>LYQ-CL0045-K0-XL</v>
          </cell>
          <cell r="B1615" t="str">
            <v>LYQ-CL0045</v>
          </cell>
        </row>
        <row r="1616">
          <cell r="A1616" t="str">
            <v>LYQ-CL0045-P4-XL</v>
          </cell>
          <cell r="B1616" t="str">
            <v>LYQ-CL0045</v>
          </cell>
        </row>
        <row r="1617">
          <cell r="A1617" t="str">
            <v>LYQ-CL0045-Y0-L</v>
          </cell>
          <cell r="B1617" t="str">
            <v>LYQ-CL0045</v>
          </cell>
        </row>
        <row r="1618">
          <cell r="A1618" t="str">
            <v>LYQ-CL0045-Y0-M</v>
          </cell>
          <cell r="B1618" t="str">
            <v>LYQ-CL0045</v>
          </cell>
        </row>
        <row r="1619">
          <cell r="A1619" t="str">
            <v>LYQ-CL0045-Y0-S</v>
          </cell>
          <cell r="B1619" t="str">
            <v>LYQ-CL0045</v>
          </cell>
        </row>
        <row r="1620">
          <cell r="A1620" t="str">
            <v>LYQ-CL0045-Y0-XL</v>
          </cell>
          <cell r="B1620" t="str">
            <v>LYQ-CL0045</v>
          </cell>
        </row>
        <row r="1621">
          <cell r="A1621" t="str">
            <v>LYQ-CL0127</v>
          </cell>
          <cell r="B1621" t="str">
            <v>LYQ-CL0127</v>
          </cell>
        </row>
        <row r="1622">
          <cell r="A1622" t="str">
            <v>LYQ-CL0127-B0-2XL</v>
          </cell>
          <cell r="B1622" t="str">
            <v>LYQ-CL0127</v>
          </cell>
        </row>
        <row r="1623">
          <cell r="A1623" t="str">
            <v>LYQ-CL0127-B0-3XL</v>
          </cell>
          <cell r="B1623" t="str">
            <v>LYQ-CL0127</v>
          </cell>
        </row>
        <row r="1624">
          <cell r="A1624" t="str">
            <v>LYQ-CL0127-B0-XL</v>
          </cell>
          <cell r="B1624" t="str">
            <v>LYQ-CL0127</v>
          </cell>
        </row>
        <row r="1625">
          <cell r="A1625" t="str">
            <v>LYQ-CL0127-KQ-2XL</v>
          </cell>
          <cell r="B1625" t="str">
            <v>LYQ-CL0127</v>
          </cell>
        </row>
        <row r="1626">
          <cell r="A1626" t="str">
            <v>LYQ-CL0127-KQ-3XL</v>
          </cell>
          <cell r="B1626" t="str">
            <v>LYQ-CL0127</v>
          </cell>
        </row>
        <row r="1627">
          <cell r="A1627" t="str">
            <v>LYQ-CL0127-KQ-XL</v>
          </cell>
          <cell r="B1627" t="str">
            <v>LYQ-CL0127</v>
          </cell>
        </row>
        <row r="1628">
          <cell r="A1628" t="str">
            <v>LYQ-CL0127-R2-2XL</v>
          </cell>
          <cell r="B1628" t="str">
            <v>LYQ-CL0127</v>
          </cell>
        </row>
        <row r="1629">
          <cell r="A1629" t="str">
            <v>LYQ-CL0127-R2-3XL</v>
          </cell>
          <cell r="B1629" t="str">
            <v>LYQ-CL0127</v>
          </cell>
        </row>
        <row r="1630">
          <cell r="A1630" t="str">
            <v>LYQ-CL0127-R2-XL</v>
          </cell>
          <cell r="B1630" t="str">
            <v>LYQ-CL0127</v>
          </cell>
        </row>
        <row r="1631">
          <cell r="A1631" t="str">
            <v>LYQ-CL430-BD-L</v>
          </cell>
          <cell r="B1631" t="str">
            <v>LYQ-CL430</v>
          </cell>
        </row>
        <row r="1632">
          <cell r="A1632" t="str">
            <v>LYQ-CL430-K0-M</v>
          </cell>
          <cell r="B1632" t="str">
            <v>LYQ-CL430</v>
          </cell>
        </row>
        <row r="1633">
          <cell r="A1633" t="str">
            <v>LYQ-CL430-K0-XL</v>
          </cell>
          <cell r="B1633" t="str">
            <v>LYQ-CL430</v>
          </cell>
        </row>
        <row r="1634">
          <cell r="A1634" t="str">
            <v>LYQ-CL435-W0-L</v>
          </cell>
          <cell r="B1634" t="str">
            <v>LYQ-CL435</v>
          </cell>
        </row>
        <row r="1635">
          <cell r="A1635" t="str">
            <v>LYQ-CL435-W0-XL</v>
          </cell>
          <cell r="B1635" t="str">
            <v>LYQ-CL435</v>
          </cell>
        </row>
        <row r="1636">
          <cell r="A1636" t="str">
            <v>LYQ-CL61652-B0-L</v>
          </cell>
          <cell r="B1636" t="str">
            <v>LYQ-CL61652</v>
          </cell>
        </row>
        <row r="1637">
          <cell r="A1637" t="str">
            <v>LYQ-CL61652-G0-L</v>
          </cell>
          <cell r="B1637" t="str">
            <v>LYQ-CL61652</v>
          </cell>
        </row>
        <row r="1638">
          <cell r="A1638" t="str">
            <v>LYQ-CL61652-P0-L</v>
          </cell>
          <cell r="B1638" t="str">
            <v>LYQ-CL61652</v>
          </cell>
        </row>
        <row r="1639">
          <cell r="A1639" t="str">
            <v>LYQ-CL61652-R6-L</v>
          </cell>
          <cell r="B1639" t="str">
            <v>LYQ-CL61652</v>
          </cell>
        </row>
        <row r="1640">
          <cell r="A1640" t="str">
            <v>LYQ-CL61652-R6-M</v>
          </cell>
          <cell r="B1640" t="str">
            <v>LYQ-CL61652</v>
          </cell>
        </row>
        <row r="1641">
          <cell r="A1641" t="str">
            <v>LYQ-CL61652-R6-S</v>
          </cell>
          <cell r="B1641" t="str">
            <v>LYQ-CL61652</v>
          </cell>
        </row>
        <row r="1642">
          <cell r="A1642" t="str">
            <v>LYQ-CL61652-R6-XL</v>
          </cell>
          <cell r="B1642" t="str">
            <v>LYQ-CL61652</v>
          </cell>
        </row>
        <row r="1643">
          <cell r="A1643" t="str">
            <v>LYQ-CL6287-00-L</v>
          </cell>
          <cell r="B1643" t="str">
            <v>LYQ-CL6287</v>
          </cell>
        </row>
        <row r="1644">
          <cell r="A1644" t="str">
            <v>LYQ-CL6287-B0-L</v>
          </cell>
          <cell r="B1644" t="str">
            <v>LYQ-CL6287</v>
          </cell>
        </row>
        <row r="1645">
          <cell r="A1645" t="str">
            <v>LYQ-CL6287-B0-S</v>
          </cell>
          <cell r="B1645" t="str">
            <v>LYQ-CL6287</v>
          </cell>
        </row>
        <row r="1646">
          <cell r="A1646" t="str">
            <v>LYQ-CL6287-BD-XL</v>
          </cell>
          <cell r="B1646" t="str">
            <v>LYQ-CL6287</v>
          </cell>
        </row>
        <row r="1647">
          <cell r="A1647" t="str">
            <v>LYQ-CL6287-FB-L</v>
          </cell>
          <cell r="B1647" t="str">
            <v>LYQ-CL6287</v>
          </cell>
        </row>
        <row r="1648">
          <cell r="A1648" t="str">
            <v>LYQ-CL6287-FB-S</v>
          </cell>
          <cell r="B1648" t="str">
            <v>LYQ-CL6287</v>
          </cell>
        </row>
        <row r="1649">
          <cell r="A1649" t="str">
            <v>LYQ-CL6287-FB-XL</v>
          </cell>
          <cell r="B1649" t="str">
            <v>LYQ-CL6287</v>
          </cell>
        </row>
        <row r="1650">
          <cell r="A1650" t="str">
            <v>LYQ-CL6287-G7-L</v>
          </cell>
          <cell r="B1650" t="str">
            <v>LYQ-CL6287</v>
          </cell>
        </row>
        <row r="1651">
          <cell r="A1651" t="str">
            <v>LYQ-CL6287-G7-M</v>
          </cell>
          <cell r="B1651" t="str">
            <v>LYQ-CL6287</v>
          </cell>
        </row>
        <row r="1652">
          <cell r="A1652" t="str">
            <v>LYQ-CL6287-K0-L</v>
          </cell>
          <cell r="B1652" t="str">
            <v>LYQ-CL6287</v>
          </cell>
        </row>
        <row r="1653">
          <cell r="A1653" t="str">
            <v>LYQ-CL6287-K0-M</v>
          </cell>
          <cell r="B1653" t="str">
            <v>LYQ-CL6287</v>
          </cell>
        </row>
        <row r="1654">
          <cell r="A1654" t="str">
            <v>LYQ-CL6287-K0-XL</v>
          </cell>
          <cell r="B1654" t="str">
            <v>LYQ-CL6287</v>
          </cell>
        </row>
        <row r="1655">
          <cell r="A1655" t="str">
            <v>LYQ-CL6287-R0-S</v>
          </cell>
          <cell r="B1655" t="str">
            <v>LYQ-CL6287</v>
          </cell>
        </row>
        <row r="1656">
          <cell r="A1656" t="str">
            <v>LYQ-CL6408NO-B0-L</v>
          </cell>
          <cell r="B1656" t="str">
            <v>LYQ-CL6408</v>
          </cell>
        </row>
        <row r="1657">
          <cell r="A1657" t="str">
            <v>LYQ-CL6408NO-G0-L</v>
          </cell>
          <cell r="B1657" t="str">
            <v>LYQ-CL6408</v>
          </cell>
        </row>
        <row r="1658">
          <cell r="A1658" t="str">
            <v>LYQ-CL6408NO-K0-L</v>
          </cell>
          <cell r="B1658" t="str">
            <v>LYQ-CL6408</v>
          </cell>
        </row>
        <row r="1659">
          <cell r="A1659" t="str">
            <v>LYQ-CL6408SL-E0-L</v>
          </cell>
          <cell r="B1659" t="str">
            <v>LYQ-CL6408</v>
          </cell>
        </row>
        <row r="1660">
          <cell r="A1660" t="str">
            <v>LYQ-CL6408SL-G0-M</v>
          </cell>
          <cell r="B1660" t="str">
            <v>LYQ-CL6408</v>
          </cell>
        </row>
        <row r="1661">
          <cell r="A1661" t="str">
            <v>LYQ-CL6408SL-G0XL</v>
          </cell>
          <cell r="B1661" t="str">
            <v>LYQ-CL6408</v>
          </cell>
        </row>
        <row r="1662">
          <cell r="A1662" t="str">
            <v>LYQ-CL6408SL-K0XL</v>
          </cell>
          <cell r="B1662" t="str">
            <v>LYQ-CL6408</v>
          </cell>
        </row>
        <row r="1663">
          <cell r="A1663" t="str">
            <v>LYQ-CL6808-B6-L</v>
          </cell>
          <cell r="B1663" t="str">
            <v>LYQ-CL6808</v>
          </cell>
        </row>
        <row r="1664">
          <cell r="A1664" t="str">
            <v>LYQ-CL6808-B6-M</v>
          </cell>
          <cell r="B1664" t="str">
            <v>LYQ-CL6808</v>
          </cell>
        </row>
        <row r="1665">
          <cell r="A1665" t="str">
            <v>LYQ-CL6808-B6-S</v>
          </cell>
          <cell r="B1665" t="str">
            <v>LYQ-CL6808</v>
          </cell>
        </row>
        <row r="1666">
          <cell r="A1666" t="str">
            <v>LYQ-CL6808-B6-XL</v>
          </cell>
          <cell r="B1666" t="str">
            <v>LYQ-CL6808</v>
          </cell>
        </row>
        <row r="1667">
          <cell r="A1667" t="str">
            <v>LYQ-CL6808-E0-L</v>
          </cell>
          <cell r="B1667" t="str">
            <v>LYQ-CL6808</v>
          </cell>
        </row>
        <row r="1668">
          <cell r="A1668" t="str">
            <v>LYQ-CL6808-E0-M</v>
          </cell>
          <cell r="B1668" t="str">
            <v>LYQ-CL6808</v>
          </cell>
        </row>
        <row r="1669">
          <cell r="A1669" t="str">
            <v>LYQ-CL6808-E0-S</v>
          </cell>
          <cell r="B1669" t="str">
            <v>LYQ-CL6808</v>
          </cell>
        </row>
        <row r="1670">
          <cell r="A1670" t="str">
            <v>LYQ-CL6808-E0-XL</v>
          </cell>
          <cell r="B1670" t="str">
            <v>LYQ-CL6808</v>
          </cell>
        </row>
        <row r="1671">
          <cell r="A1671" t="str">
            <v>LYQ-CL6808-G7-L</v>
          </cell>
          <cell r="B1671" t="str">
            <v>LYQ-CL6808</v>
          </cell>
        </row>
        <row r="1672">
          <cell r="A1672" t="str">
            <v>LYQ-CL6808-G7-M</v>
          </cell>
          <cell r="B1672" t="str">
            <v>LYQ-CL6808</v>
          </cell>
        </row>
        <row r="1673">
          <cell r="A1673" t="str">
            <v>LYQ-CL6808-G7-S</v>
          </cell>
          <cell r="B1673" t="str">
            <v>LYQ-CL6808</v>
          </cell>
        </row>
        <row r="1674">
          <cell r="A1674" t="str">
            <v>LYQ-CL6808-G7-XL</v>
          </cell>
          <cell r="B1674" t="str">
            <v>LYQ-CL6808</v>
          </cell>
        </row>
        <row r="1675">
          <cell r="A1675" t="str">
            <v>LYQ-CL6808-K0-L</v>
          </cell>
          <cell r="B1675" t="str">
            <v>LYQ-CL6808</v>
          </cell>
        </row>
        <row r="1676">
          <cell r="A1676" t="str">
            <v>LYQ-CL6808-K0-M</v>
          </cell>
          <cell r="B1676" t="str">
            <v>LYQ-CL6808</v>
          </cell>
        </row>
        <row r="1677">
          <cell r="A1677" t="str">
            <v>LYQ-CL6808-K0-S</v>
          </cell>
          <cell r="B1677" t="str">
            <v>LYQ-CL6808</v>
          </cell>
        </row>
        <row r="1678">
          <cell r="A1678" t="str">
            <v>LYQ-CL6808-R6-L</v>
          </cell>
          <cell r="B1678" t="str">
            <v>LYQ-CL6808</v>
          </cell>
        </row>
        <row r="1679">
          <cell r="A1679" t="str">
            <v>LYQ-CL6808-R6-M</v>
          </cell>
          <cell r="B1679" t="str">
            <v>LYQ-CL6808</v>
          </cell>
        </row>
        <row r="1680">
          <cell r="A1680" t="str">
            <v>LYQ-CL6808-R6-S</v>
          </cell>
          <cell r="B1680" t="str">
            <v>LYQ-CL6808</v>
          </cell>
        </row>
        <row r="1681">
          <cell r="A1681" t="str">
            <v>LYQ-CL6808-R6-XL</v>
          </cell>
          <cell r="B1681" t="str">
            <v>LYQ-CL6808</v>
          </cell>
        </row>
        <row r="1682">
          <cell r="A1682" t="str">
            <v>LYQ-CL6808-ZL-L</v>
          </cell>
          <cell r="B1682" t="str">
            <v>LYQ-CL6808</v>
          </cell>
        </row>
        <row r="1683">
          <cell r="A1683" t="str">
            <v>LYQ-CL6808-ZL-M</v>
          </cell>
          <cell r="B1683" t="str">
            <v>LYQ-CL6808</v>
          </cell>
        </row>
        <row r="1684">
          <cell r="A1684" t="str">
            <v>LYQ-CL6808-ZL-S</v>
          </cell>
          <cell r="B1684" t="str">
            <v>LYQ-CL6808</v>
          </cell>
        </row>
        <row r="1685">
          <cell r="A1685" t="str">
            <v>LYQ-CL6808-ZL-XL</v>
          </cell>
          <cell r="B1685" t="str">
            <v>LYQ-CL6808</v>
          </cell>
        </row>
        <row r="1686">
          <cell r="A1686" t="str">
            <v>LYQ-CL7232L</v>
          </cell>
          <cell r="B1686" t="str">
            <v>LYQ-CL7232</v>
          </cell>
        </row>
        <row r="1687">
          <cell r="A1687" t="str">
            <v>LYQ-CL7232M</v>
          </cell>
          <cell r="B1687" t="str">
            <v>LYQ-CL7232</v>
          </cell>
        </row>
        <row r="1688">
          <cell r="A1688" t="str">
            <v>LYQ-CL7232S</v>
          </cell>
          <cell r="B1688" t="str">
            <v>LYQ-CL7232</v>
          </cell>
        </row>
        <row r="1689">
          <cell r="A1689" t="str">
            <v>LYQ-CL90501</v>
          </cell>
          <cell r="B1689" t="str">
            <v>LYQ-CL90501</v>
          </cell>
        </row>
        <row r="1690">
          <cell r="A1690" t="str">
            <v>LYQ-CL90501-G7-2XL</v>
          </cell>
          <cell r="B1690" t="str">
            <v>LYQ-CL90501</v>
          </cell>
        </row>
        <row r="1691">
          <cell r="A1691" t="str">
            <v>LYQ-CL90501-G7-L</v>
          </cell>
          <cell r="B1691" t="str">
            <v>LYQ-CL90501</v>
          </cell>
        </row>
        <row r="1692">
          <cell r="A1692" t="str">
            <v>LYQ-CL90501-G7-M</v>
          </cell>
          <cell r="B1692" t="str">
            <v>LYQ-CL90501</v>
          </cell>
        </row>
        <row r="1693">
          <cell r="A1693" t="str">
            <v>LYQ-CL90501-G7-S</v>
          </cell>
          <cell r="B1693" t="str">
            <v>LYQ-CL90501</v>
          </cell>
        </row>
        <row r="1694">
          <cell r="A1694" t="str">
            <v>LYQ-CL90501-G7-XL</v>
          </cell>
          <cell r="B1694" t="str">
            <v>LYQ-CL90501</v>
          </cell>
        </row>
        <row r="1695">
          <cell r="A1695" t="str">
            <v>LYQ-CLA6005-BD-XL</v>
          </cell>
          <cell r="B1695" t="str">
            <v>LYQ-CLA6005</v>
          </cell>
        </row>
        <row r="1696">
          <cell r="A1696" t="str">
            <v>LYQ-CLAM035-FL-S</v>
          </cell>
          <cell r="B1696" t="str">
            <v>LYQ-CLAM035</v>
          </cell>
        </row>
        <row r="1697">
          <cell r="A1697" t="str">
            <v>LYQ-CLBAH002-L</v>
          </cell>
          <cell r="B1697" t="str">
            <v>LYQ-CLBAH002</v>
          </cell>
        </row>
        <row r="1698">
          <cell r="A1698" t="str">
            <v>LYQ-CLBAH002-M</v>
          </cell>
          <cell r="B1698" t="str">
            <v>LYQ-CLBAH002</v>
          </cell>
        </row>
        <row r="1699">
          <cell r="A1699" t="str">
            <v>LYQ-CLBAH002-S</v>
          </cell>
          <cell r="B1699" t="str">
            <v>LYQ-CLBAH002</v>
          </cell>
        </row>
        <row r="1700">
          <cell r="A1700" t="str">
            <v>LYQ-CLBAH002-XL</v>
          </cell>
          <cell r="B1700" t="str">
            <v>LYQ-CLBAH002</v>
          </cell>
        </row>
        <row r="1701">
          <cell r="A1701" t="str">
            <v>LYQ-CLJ2101-BD-2XL</v>
          </cell>
          <cell r="B1701" t="str">
            <v>LYQ-CLJ2101</v>
          </cell>
        </row>
        <row r="1702">
          <cell r="A1702" t="str">
            <v>LYQ-CLJ2101-K0-XL</v>
          </cell>
          <cell r="B1702" t="str">
            <v>LYQ-CLJ2101</v>
          </cell>
        </row>
        <row r="1703">
          <cell r="A1703" t="str">
            <v>LYQ-CLJ2101-R6-2XL</v>
          </cell>
          <cell r="B1703" t="str">
            <v>LYQ-CLJ2101</v>
          </cell>
        </row>
        <row r="1704">
          <cell r="A1704" t="str">
            <v>LYQ-CLZ095E02L</v>
          </cell>
          <cell r="B1704" t="str">
            <v>LYQ-CLZ095</v>
          </cell>
        </row>
        <row r="1705">
          <cell r="A1705" t="str">
            <v>LYQ-CLZ095E0L</v>
          </cell>
          <cell r="B1705" t="str">
            <v>LYQ-CLZ095</v>
          </cell>
        </row>
        <row r="1706">
          <cell r="A1706" t="str">
            <v>LYQ-CLZ095E0M</v>
          </cell>
          <cell r="B1706" t="str">
            <v>LYQ-CLZ095</v>
          </cell>
        </row>
        <row r="1707">
          <cell r="A1707" t="str">
            <v>LYQ-CLZ095E0S</v>
          </cell>
          <cell r="B1707" t="str">
            <v>LYQ-CLZ095</v>
          </cell>
        </row>
        <row r="1708">
          <cell r="A1708" t="str">
            <v>LYQ-CLZ095E0XL</v>
          </cell>
          <cell r="B1708" t="str">
            <v>LYQ-CLZ095</v>
          </cell>
        </row>
        <row r="1709">
          <cell r="A1709" t="str">
            <v>LYQ-CLZ095K02L</v>
          </cell>
          <cell r="B1709" t="str">
            <v>LYQ-CLZ095</v>
          </cell>
        </row>
        <row r="1710">
          <cell r="A1710" t="str">
            <v>LYQ-CLZ095K0L</v>
          </cell>
          <cell r="B1710" t="str">
            <v>LYQ-CLZ095</v>
          </cell>
        </row>
        <row r="1711">
          <cell r="A1711" t="str">
            <v>LYQ-CLZ095K0M</v>
          </cell>
          <cell r="B1711" t="str">
            <v>LYQ-CLZ095</v>
          </cell>
        </row>
        <row r="1712">
          <cell r="A1712" t="str">
            <v>LYQ-CLZ095R22L</v>
          </cell>
          <cell r="B1712" t="str">
            <v>LYQ-CLZ095</v>
          </cell>
        </row>
        <row r="1713">
          <cell r="A1713" t="str">
            <v>LYQ-CLZ095R2L</v>
          </cell>
          <cell r="B1713" t="str">
            <v>LYQ-CLZ095</v>
          </cell>
        </row>
        <row r="1714">
          <cell r="A1714" t="str">
            <v>LYQ-CLZ095R2M</v>
          </cell>
          <cell r="B1714" t="str">
            <v>LYQ-CLZ095</v>
          </cell>
        </row>
        <row r="1715">
          <cell r="A1715" t="str">
            <v>LYQ-CLZ095R2S</v>
          </cell>
          <cell r="B1715" t="str">
            <v>LYQ-CLZ095</v>
          </cell>
        </row>
        <row r="1716">
          <cell r="A1716" t="str">
            <v>LYQ-CLZ095R2XL</v>
          </cell>
          <cell r="B1716" t="str">
            <v>LYQ-CLZ095</v>
          </cell>
        </row>
        <row r="1717">
          <cell r="A1717" t="str">
            <v>LYQ-CS04</v>
          </cell>
          <cell r="B1717" t="str">
            <v>LYQ-CS04</v>
          </cell>
        </row>
        <row r="1718">
          <cell r="A1718" t="str">
            <v>LYQ-CS04-CO-2XL</v>
          </cell>
          <cell r="B1718" t="str">
            <v>LYQ-CS04</v>
          </cell>
        </row>
        <row r="1719">
          <cell r="A1719" t="str">
            <v>LYQ-CS04-CO-L</v>
          </cell>
          <cell r="B1719" t="str">
            <v>LYQ-CS04</v>
          </cell>
        </row>
        <row r="1720">
          <cell r="A1720" t="str">
            <v>LYQ-CS04-CO-M</v>
          </cell>
          <cell r="B1720" t="str">
            <v>LYQ-CS04</v>
          </cell>
        </row>
        <row r="1721">
          <cell r="A1721" t="str">
            <v>LYQ-CS04-CO-S</v>
          </cell>
          <cell r="B1721" t="str">
            <v>LYQ-CS04</v>
          </cell>
        </row>
        <row r="1722">
          <cell r="A1722" t="str">
            <v>LYQ-CS04-CO-XL</v>
          </cell>
          <cell r="B1722" t="str">
            <v>LYQ-CS04</v>
          </cell>
        </row>
        <row r="1723">
          <cell r="A1723" t="str">
            <v>LYQ-CS04-G0-2XL</v>
          </cell>
          <cell r="B1723" t="str">
            <v>LYQ-CS04</v>
          </cell>
        </row>
        <row r="1724">
          <cell r="A1724" t="str">
            <v>LYQ-CS04-G0-L</v>
          </cell>
          <cell r="B1724" t="str">
            <v>LYQ-CS04</v>
          </cell>
        </row>
        <row r="1725">
          <cell r="A1725" t="str">
            <v>LYQ-CS04-G0-M</v>
          </cell>
          <cell r="B1725" t="str">
            <v>LYQ-CS04</v>
          </cell>
        </row>
        <row r="1726">
          <cell r="A1726" t="str">
            <v>LYQ-CS04-G0-S</v>
          </cell>
          <cell r="B1726" t="str">
            <v>LYQ-CS04</v>
          </cell>
        </row>
        <row r="1727">
          <cell r="A1727" t="str">
            <v>LYQ-CS04-G0-XL</v>
          </cell>
          <cell r="B1727" t="str">
            <v>LYQ-CS04</v>
          </cell>
        </row>
        <row r="1728">
          <cell r="A1728" t="str">
            <v>LYQ-CS04-GR-2XL</v>
          </cell>
          <cell r="B1728" t="str">
            <v>LYQ-CS04</v>
          </cell>
        </row>
        <row r="1729">
          <cell r="A1729" t="str">
            <v>LYQ-CS04-GR-L</v>
          </cell>
          <cell r="B1729" t="str">
            <v>LYQ-CS04</v>
          </cell>
        </row>
        <row r="1730">
          <cell r="A1730" t="str">
            <v>LYQ-CS04-GR-M</v>
          </cell>
          <cell r="B1730" t="str">
            <v>LYQ-CS04</v>
          </cell>
        </row>
        <row r="1731">
          <cell r="A1731" t="str">
            <v>LYQ-CS04-GR-S</v>
          </cell>
          <cell r="B1731" t="str">
            <v>LYQ-CS04</v>
          </cell>
        </row>
        <row r="1732">
          <cell r="A1732" t="str">
            <v>LYQ-CS04-GR-XL</v>
          </cell>
          <cell r="B1732" t="str">
            <v>LYQ-CS04</v>
          </cell>
        </row>
        <row r="1733">
          <cell r="A1733" t="str">
            <v>LYQ-CS04-K0-2XL</v>
          </cell>
          <cell r="B1733" t="str">
            <v>LYQ-CS04</v>
          </cell>
        </row>
        <row r="1734">
          <cell r="A1734" t="str">
            <v>LYQ-CS04-K0-L</v>
          </cell>
          <cell r="B1734" t="str">
            <v>LYQ-CS04</v>
          </cell>
        </row>
        <row r="1735">
          <cell r="A1735" t="str">
            <v>LYQ-CS04-K0-M</v>
          </cell>
          <cell r="B1735" t="str">
            <v>LYQ-CS04</v>
          </cell>
        </row>
        <row r="1736">
          <cell r="A1736" t="str">
            <v>LYQ-CS04-K0-S</v>
          </cell>
          <cell r="B1736" t="str">
            <v>LYQ-CS04</v>
          </cell>
        </row>
        <row r="1737">
          <cell r="A1737" t="str">
            <v>LYQ-CS04-K0-XL</v>
          </cell>
          <cell r="B1737" t="str">
            <v>LYQ-CS04</v>
          </cell>
        </row>
        <row r="1738">
          <cell r="A1738" t="str">
            <v>LYQ-CS04-Wi-2XL</v>
          </cell>
          <cell r="B1738" t="str">
            <v>LYQ-CS04</v>
          </cell>
        </row>
        <row r="1739">
          <cell r="A1739" t="str">
            <v>LYQ-CS04-Wi-L</v>
          </cell>
          <cell r="B1739" t="str">
            <v>LYQ-CS04</v>
          </cell>
        </row>
        <row r="1740">
          <cell r="A1740" t="str">
            <v>LYQ-CS04-Wi-M</v>
          </cell>
          <cell r="B1740" t="str">
            <v>LYQ-CS04</v>
          </cell>
        </row>
        <row r="1741">
          <cell r="A1741" t="str">
            <v>LYQ-CS04-Wi-S</v>
          </cell>
          <cell r="B1741" t="str">
            <v>LYQ-CS04</v>
          </cell>
        </row>
        <row r="1742">
          <cell r="A1742" t="str">
            <v>LYQ-CS04-Wi-XL</v>
          </cell>
          <cell r="B1742" t="str">
            <v>LYQ-CS04</v>
          </cell>
        </row>
        <row r="1743">
          <cell r="A1743" t="str">
            <v>LYQ-CSM048-G0-L</v>
          </cell>
          <cell r="B1743" t="str">
            <v>LYQ-CSM048</v>
          </cell>
        </row>
        <row r="1744">
          <cell r="A1744" t="str">
            <v>LYQ-CSM048-G0-M</v>
          </cell>
          <cell r="B1744" t="str">
            <v>LYQ-CSM048</v>
          </cell>
        </row>
        <row r="1745">
          <cell r="A1745" t="str">
            <v>LYQ-CSM048-G0-S</v>
          </cell>
          <cell r="B1745" t="str">
            <v>LYQ-CSM048</v>
          </cell>
        </row>
        <row r="1746">
          <cell r="A1746" t="str">
            <v>LYQ-CSM048-G0-XL</v>
          </cell>
          <cell r="B1746" t="str">
            <v>LYQ-CSM048</v>
          </cell>
        </row>
        <row r="1747">
          <cell r="A1747" t="str">
            <v>LYQ-CSM048-GR0-L</v>
          </cell>
          <cell r="B1747" t="str">
            <v>LYQ-CSM048</v>
          </cell>
        </row>
        <row r="1748">
          <cell r="A1748" t="str">
            <v>LYQ-CSM048-GR0-L02</v>
          </cell>
          <cell r="B1748" t="str">
            <v>LYQ-CSM048</v>
          </cell>
        </row>
        <row r="1749">
          <cell r="A1749" t="str">
            <v>LYQ-CSM048-GR0-M</v>
          </cell>
          <cell r="B1749" t="str">
            <v>LYQ-CSM048</v>
          </cell>
        </row>
        <row r="1750">
          <cell r="A1750" t="str">
            <v>LYQ-CSM048-GR0-S</v>
          </cell>
          <cell r="B1750" t="str">
            <v>LYQ-CSM048</v>
          </cell>
        </row>
        <row r="1751">
          <cell r="A1751" t="str">
            <v>LYQ-CSM048-GR0-XL</v>
          </cell>
          <cell r="B1751" t="str">
            <v>LYQ-CSM048</v>
          </cell>
        </row>
        <row r="1752">
          <cell r="A1752" t="str">
            <v>LYQ-CSM048-GR1-L</v>
          </cell>
          <cell r="B1752" t="str">
            <v>LYQ-CSM048</v>
          </cell>
        </row>
        <row r="1753">
          <cell r="A1753" t="str">
            <v>LYQ-CSM048-GR1-M</v>
          </cell>
          <cell r="B1753" t="str">
            <v>LYQ-CSM048</v>
          </cell>
        </row>
        <row r="1754">
          <cell r="A1754" t="str">
            <v>LYQ-CSM048-GR1-S</v>
          </cell>
          <cell r="B1754" t="str">
            <v>LYQ-CSM048</v>
          </cell>
        </row>
        <row r="1755">
          <cell r="A1755" t="str">
            <v>LYQ-CSM048-GR1-XL</v>
          </cell>
          <cell r="B1755" t="str">
            <v>LYQ-CSM048</v>
          </cell>
        </row>
        <row r="1756">
          <cell r="A1756" t="str">
            <v>LYQ-CSM048-K0-L</v>
          </cell>
          <cell r="B1756" t="str">
            <v>LYQ-CSM048</v>
          </cell>
        </row>
        <row r="1757">
          <cell r="A1757" t="str">
            <v>LYQ-CSM048-K0-M</v>
          </cell>
          <cell r="B1757" t="str">
            <v>LYQ-CSM048</v>
          </cell>
        </row>
        <row r="1758">
          <cell r="A1758" t="str">
            <v>LYQ-CSM048-K0-S</v>
          </cell>
          <cell r="B1758" t="str">
            <v>LYQ-CSM048</v>
          </cell>
        </row>
        <row r="1759">
          <cell r="A1759" t="str">
            <v>LYQ-CSM048-K0-XL</v>
          </cell>
          <cell r="B1759" t="str">
            <v>LYQ-CSM048</v>
          </cell>
        </row>
        <row r="1760">
          <cell r="A1760" t="str">
            <v>LYQ-CSM048-R0-L</v>
          </cell>
          <cell r="B1760" t="str">
            <v>LYQ-CSM048</v>
          </cell>
        </row>
        <row r="1761">
          <cell r="A1761" t="str">
            <v>LYQ-CSM048-R0-M</v>
          </cell>
          <cell r="B1761" t="str">
            <v>LYQ-CSM048</v>
          </cell>
        </row>
        <row r="1762">
          <cell r="A1762" t="str">
            <v>LYQ-CSM048-R0-S</v>
          </cell>
          <cell r="B1762" t="str">
            <v>LYQ-CSM048</v>
          </cell>
        </row>
        <row r="1763">
          <cell r="A1763" t="str">
            <v>LYQ-CSM048-R0-XL</v>
          </cell>
          <cell r="B1763" t="str">
            <v>LYQ-CSM048</v>
          </cell>
        </row>
        <row r="1764">
          <cell r="A1764" t="str">
            <v>LYQ-CSM048-ZL-L</v>
          </cell>
          <cell r="B1764" t="str">
            <v>LYQ-CSM048</v>
          </cell>
        </row>
        <row r="1765">
          <cell r="A1765" t="str">
            <v>LYQ-CSM048-ZL-M</v>
          </cell>
          <cell r="B1765" t="str">
            <v>LYQ-CSM048</v>
          </cell>
        </row>
        <row r="1766">
          <cell r="A1766" t="str">
            <v>LYQ-CSM048-ZL-S</v>
          </cell>
          <cell r="B1766" t="str">
            <v>LYQ-CSM048</v>
          </cell>
        </row>
        <row r="1767">
          <cell r="A1767" t="str">
            <v>LYQ-CSM048-ZL-XL</v>
          </cell>
          <cell r="B1767" t="str">
            <v>LYQ-CSM048</v>
          </cell>
        </row>
        <row r="1768">
          <cell r="A1768" t="str">
            <v>LYQ-G003B02L</v>
          </cell>
          <cell r="B1768" t="str">
            <v>LYQ-G003</v>
          </cell>
        </row>
        <row r="1769">
          <cell r="A1769" t="str">
            <v>LYQ-G003B0L</v>
          </cell>
          <cell r="B1769" t="str">
            <v>LYQ-G003</v>
          </cell>
        </row>
        <row r="1770">
          <cell r="A1770" t="str">
            <v>LYQ-G003B0M</v>
          </cell>
          <cell r="B1770" t="str">
            <v>LYQ-G003</v>
          </cell>
        </row>
        <row r="1771">
          <cell r="A1771" t="str">
            <v>LYQ-G003B0S</v>
          </cell>
          <cell r="B1771" t="str">
            <v>LYQ-G003</v>
          </cell>
        </row>
        <row r="1772">
          <cell r="A1772" t="str">
            <v>LYQ-G003B0XL</v>
          </cell>
          <cell r="B1772" t="str">
            <v>LYQ-G003</v>
          </cell>
        </row>
        <row r="1773">
          <cell r="A1773" t="str">
            <v>LYQ-G003W12L</v>
          </cell>
          <cell r="B1773" t="str">
            <v>LYQ-G003</v>
          </cell>
        </row>
        <row r="1774">
          <cell r="A1774" t="str">
            <v>LYQ-G003W1L</v>
          </cell>
          <cell r="B1774" t="str">
            <v>LYQ-G003</v>
          </cell>
        </row>
        <row r="1775">
          <cell r="A1775" t="str">
            <v>LYQ-G003W1M</v>
          </cell>
          <cell r="B1775" t="str">
            <v>LYQ-G003</v>
          </cell>
        </row>
        <row r="1776">
          <cell r="A1776" t="str">
            <v>LYQ-G003W1S</v>
          </cell>
          <cell r="B1776" t="str">
            <v>LYQ-G003</v>
          </cell>
        </row>
        <row r="1777">
          <cell r="A1777" t="str">
            <v>LYQ-G003W1XL</v>
          </cell>
          <cell r="B1777" t="str">
            <v>LYQ-G003</v>
          </cell>
        </row>
        <row r="1778">
          <cell r="A1778" t="str">
            <v>LYQ-G003ZL2L</v>
          </cell>
          <cell r="B1778" t="str">
            <v>LYQ-G003</v>
          </cell>
        </row>
        <row r="1779">
          <cell r="A1779" t="str">
            <v>LYQ-G003ZLL</v>
          </cell>
          <cell r="B1779" t="str">
            <v>LYQ-G003</v>
          </cell>
        </row>
        <row r="1780">
          <cell r="A1780" t="str">
            <v>LYQ-G003ZLM</v>
          </cell>
          <cell r="B1780" t="str">
            <v>LYQ-G003</v>
          </cell>
        </row>
        <row r="1781">
          <cell r="A1781" t="str">
            <v>LYQ-G003ZLS</v>
          </cell>
          <cell r="B1781" t="str">
            <v>LYQ-G003</v>
          </cell>
        </row>
        <row r="1782">
          <cell r="A1782" t="str">
            <v>LYQ-G003ZLXL</v>
          </cell>
          <cell r="B1782" t="str">
            <v>LYQ-G003</v>
          </cell>
        </row>
        <row r="1783">
          <cell r="A1783" t="str">
            <v>LYQ-HB1377-blue-L</v>
          </cell>
          <cell r="B1783" t="str">
            <v>LYQ-HB1377</v>
          </cell>
        </row>
        <row r="1784">
          <cell r="A1784" t="str">
            <v>LYQ-HB1377-blue-M</v>
          </cell>
          <cell r="B1784" t="str">
            <v>LYQ-HB1377</v>
          </cell>
        </row>
        <row r="1785">
          <cell r="A1785" t="str">
            <v>LYQ-HB1377-blue-S</v>
          </cell>
          <cell r="B1785" t="str">
            <v>LYQ-HB1377</v>
          </cell>
        </row>
        <row r="1786">
          <cell r="A1786" t="str">
            <v>LYQ-HB1377-blue-XL</v>
          </cell>
          <cell r="B1786" t="str">
            <v>LYQ-HB1377</v>
          </cell>
        </row>
        <row r="1787">
          <cell r="A1787" t="str">
            <v>LYQ-HB1377-grey0-L</v>
          </cell>
          <cell r="B1787" t="str">
            <v>LYQ-HB1377</v>
          </cell>
        </row>
        <row r="1788">
          <cell r="A1788" t="str">
            <v>LYQ-HB1377-grey0-M</v>
          </cell>
          <cell r="B1788" t="str">
            <v>LYQ-HB1377</v>
          </cell>
        </row>
        <row r="1789">
          <cell r="A1789" t="str">
            <v>LYQ-HB1377-grey0-S</v>
          </cell>
          <cell r="B1789" t="str">
            <v>LYQ-HB1377</v>
          </cell>
        </row>
        <row r="1790">
          <cell r="A1790" t="str">
            <v>LYQ-HB1377-grey0-XL</v>
          </cell>
          <cell r="B1790" t="str">
            <v>LYQ-HB1377</v>
          </cell>
        </row>
        <row r="1791">
          <cell r="A1791" t="str">
            <v>LYQ-HB1377-grey1-L</v>
          </cell>
          <cell r="B1791" t="str">
            <v>LYQ-HB1377</v>
          </cell>
        </row>
        <row r="1792">
          <cell r="A1792" t="str">
            <v>LYQ-HB1377-grey1-M</v>
          </cell>
          <cell r="B1792" t="str">
            <v>LYQ-HB1377</v>
          </cell>
        </row>
        <row r="1793">
          <cell r="A1793" t="str">
            <v>LYQ-HB1377-grey1-S</v>
          </cell>
          <cell r="B1793" t="str">
            <v>LYQ-HB1377</v>
          </cell>
        </row>
        <row r="1794">
          <cell r="A1794" t="str">
            <v>LYQ-HB1377-grey1-XL</v>
          </cell>
          <cell r="B1794" t="str">
            <v>LYQ-HB1377</v>
          </cell>
        </row>
        <row r="1795">
          <cell r="A1795" t="str">
            <v>LYQ-HB1377-purple-L</v>
          </cell>
          <cell r="B1795" t="str">
            <v>LYQ-HB1377</v>
          </cell>
        </row>
        <row r="1796">
          <cell r="A1796" t="str">
            <v>LYQ-HB1377-purple-M</v>
          </cell>
          <cell r="B1796" t="str">
            <v>LYQ-HB1377</v>
          </cell>
        </row>
        <row r="1797">
          <cell r="A1797" t="str">
            <v>LYQ-HB1377-purple-S</v>
          </cell>
          <cell r="B1797" t="str">
            <v>LYQ-HB1377</v>
          </cell>
        </row>
        <row r="1798">
          <cell r="A1798" t="str">
            <v>LYQ-HB1377-purple-XL</v>
          </cell>
          <cell r="B1798" t="str">
            <v>LYQ-HB1377</v>
          </cell>
        </row>
        <row r="1799">
          <cell r="A1799" t="str">
            <v>LYQ-HB1377-rose-L</v>
          </cell>
          <cell r="B1799" t="str">
            <v>LYQ-HB1377</v>
          </cell>
        </row>
        <row r="1800">
          <cell r="A1800" t="str">
            <v>LYQ-HB1377-rose-M</v>
          </cell>
          <cell r="B1800" t="str">
            <v>LYQ-HB1377</v>
          </cell>
        </row>
        <row r="1801">
          <cell r="A1801" t="str">
            <v>LYQ-HB1377-rose-S</v>
          </cell>
          <cell r="B1801" t="str">
            <v>LYQ-HB1377</v>
          </cell>
        </row>
        <row r="1802">
          <cell r="A1802" t="str">
            <v>LYQ-HB1377-rose-XL</v>
          </cell>
          <cell r="B1802" t="str">
            <v>LYQ-HB1377</v>
          </cell>
        </row>
        <row r="1803">
          <cell r="A1803" t="str">
            <v>LYQ-HM010</v>
          </cell>
          <cell r="B1803" t="str">
            <v>LYQ-HM010</v>
          </cell>
        </row>
        <row r="1804">
          <cell r="A1804" t="str">
            <v>LYQ-HM010-B0YH-L</v>
          </cell>
          <cell r="B1804" t="str">
            <v>LYQ-HM010</v>
          </cell>
        </row>
        <row r="1805">
          <cell r="A1805" t="str">
            <v>LYQ-HM010-B0YH-M</v>
          </cell>
          <cell r="B1805" t="str">
            <v>LYQ-HM010</v>
          </cell>
        </row>
        <row r="1806">
          <cell r="A1806" t="str">
            <v>LYQ-HM010-K0-M</v>
          </cell>
          <cell r="B1806" t="str">
            <v>LYQ-HM010</v>
          </cell>
        </row>
        <row r="1807">
          <cell r="A1807" t="str">
            <v>LYQ-HM049</v>
          </cell>
          <cell r="B1807" t="str">
            <v>LYQ-HM049</v>
          </cell>
        </row>
        <row r="1808">
          <cell r="A1808" t="str">
            <v>LYQ-HM049-G0-XL</v>
          </cell>
          <cell r="B1808" t="str">
            <v>LYQ-HM049</v>
          </cell>
        </row>
        <row r="1809">
          <cell r="A1809" t="str">
            <v>LYQ-HM049-K0-L</v>
          </cell>
          <cell r="B1809" t="str">
            <v>LYQ-HM049</v>
          </cell>
        </row>
        <row r="1810">
          <cell r="A1810" t="str">
            <v>LYQ-HM049-K0-M</v>
          </cell>
          <cell r="B1810" t="str">
            <v>LYQ-HM049</v>
          </cell>
        </row>
        <row r="1811">
          <cell r="A1811" t="str">
            <v>LYQ-HM049-K0-XL</v>
          </cell>
          <cell r="B1811" t="str">
            <v>LYQ-HM049</v>
          </cell>
        </row>
        <row r="1812">
          <cell r="A1812" t="str">
            <v>LYQ-HM049-ZL-L</v>
          </cell>
          <cell r="B1812" t="str">
            <v>LYQ-HM049</v>
          </cell>
        </row>
        <row r="1813">
          <cell r="A1813" t="str">
            <v>LYQ-HM049-ZL-S</v>
          </cell>
          <cell r="B1813" t="str">
            <v>LYQ-HM049</v>
          </cell>
        </row>
        <row r="1814">
          <cell r="A1814" t="str">
            <v>LYQ-HM049-ZL-XL</v>
          </cell>
          <cell r="B1814" t="str">
            <v>LYQ-HM049</v>
          </cell>
        </row>
        <row r="1815">
          <cell r="A1815" t="str">
            <v>LYQ-HM0505-W0-2XL</v>
          </cell>
          <cell r="B1815" t="str">
            <v>LYQ-HM0505</v>
          </cell>
        </row>
        <row r="1816">
          <cell r="A1816" t="str">
            <v>LYQ-HM0505-W0-3XL</v>
          </cell>
          <cell r="B1816" t="str">
            <v>LYQ-HM0505</v>
          </cell>
        </row>
        <row r="1817">
          <cell r="A1817" t="str">
            <v>LYQ-HM0505-W0-XL</v>
          </cell>
          <cell r="B1817" t="str">
            <v>LYQ-HM0505</v>
          </cell>
        </row>
        <row r="1818">
          <cell r="A1818" t="str">
            <v>LYQ-HM0831-R0-L</v>
          </cell>
          <cell r="B1818" t="str">
            <v>LYQ-HM0831</v>
          </cell>
        </row>
        <row r="1819">
          <cell r="A1819" t="str">
            <v>LYQ-HM0831-R0-M</v>
          </cell>
          <cell r="B1819" t="str">
            <v>LYQ-HM0831</v>
          </cell>
        </row>
        <row r="1820">
          <cell r="A1820" t="str">
            <v>LYQ-HM1205-BR-L</v>
          </cell>
          <cell r="B1820" t="str">
            <v>LYQ-HM1205</v>
          </cell>
        </row>
        <row r="1821">
          <cell r="A1821" t="str">
            <v>LYQ-HM1205-BR-L-CA</v>
          </cell>
          <cell r="B1821" t="str">
            <v>LYQ-HM1205</v>
          </cell>
        </row>
        <row r="1822">
          <cell r="A1822" t="str">
            <v>LYQ-HM1205-BR-M</v>
          </cell>
          <cell r="B1822" t="str">
            <v>LYQ-HM1205</v>
          </cell>
        </row>
        <row r="1823">
          <cell r="A1823" t="str">
            <v>LYQ-HM1205-BR-M-CA</v>
          </cell>
          <cell r="B1823" t="str">
            <v>LYQ-HM1205</v>
          </cell>
        </row>
        <row r="1824">
          <cell r="A1824" t="str">
            <v>LYQ-HM1205-BR-S</v>
          </cell>
          <cell r="B1824" t="str">
            <v>LYQ-HM1205</v>
          </cell>
        </row>
        <row r="1825">
          <cell r="A1825" t="str">
            <v>LYQ-HM1205-BR-S-CA</v>
          </cell>
          <cell r="B1825" t="str">
            <v>LYQ-HM1205</v>
          </cell>
        </row>
        <row r="1826">
          <cell r="A1826" t="str">
            <v>LYQ-HM1205-BR-XL</v>
          </cell>
          <cell r="B1826" t="str">
            <v>LYQ-HM1205</v>
          </cell>
        </row>
        <row r="1827">
          <cell r="A1827" t="str">
            <v>LYQ-HM1205-BR-XL-CA</v>
          </cell>
          <cell r="B1827" t="str">
            <v>LYQ-HM1205</v>
          </cell>
        </row>
        <row r="1828">
          <cell r="A1828" t="str">
            <v>LYQ-HM1205-K0-L</v>
          </cell>
          <cell r="B1828" t="str">
            <v>LYQ-HM1205</v>
          </cell>
        </row>
        <row r="1829">
          <cell r="A1829" t="str">
            <v>LYQ-HM1205-K0-L-CA</v>
          </cell>
          <cell r="B1829" t="str">
            <v>LYQ-HM1205</v>
          </cell>
        </row>
        <row r="1830">
          <cell r="A1830" t="str">
            <v>LYQ-HM1205-K0-M</v>
          </cell>
          <cell r="B1830" t="str">
            <v>LYQ-HM1205</v>
          </cell>
        </row>
        <row r="1831">
          <cell r="A1831" t="str">
            <v>LYQ-HM1205-K0-M-CA</v>
          </cell>
          <cell r="B1831" t="str">
            <v>LYQ-HM1205</v>
          </cell>
        </row>
        <row r="1832">
          <cell r="A1832" t="str">
            <v>LYQ-HM1205-K0-S</v>
          </cell>
          <cell r="B1832" t="str">
            <v>LYQ-HM1205</v>
          </cell>
        </row>
        <row r="1833">
          <cell r="A1833" t="str">
            <v>LYQ-HM1205-K0-S-CA</v>
          </cell>
          <cell r="B1833" t="str">
            <v>LYQ-HM1205</v>
          </cell>
        </row>
        <row r="1834">
          <cell r="A1834" t="str">
            <v>LYQ-HM1205-K0-XL</v>
          </cell>
          <cell r="B1834" t="str">
            <v>LYQ-HM1205</v>
          </cell>
        </row>
        <row r="1835">
          <cell r="A1835" t="str">
            <v>LYQ-HM1205-K0-XL-CA</v>
          </cell>
          <cell r="B1835" t="str">
            <v>LYQ-HM1205</v>
          </cell>
        </row>
        <row r="1836">
          <cell r="A1836" t="str">
            <v>LYQ-HM1205-K0-XL-GM</v>
          </cell>
          <cell r="B1836" t="str">
            <v>LYQ-HM1205</v>
          </cell>
        </row>
        <row r="1837">
          <cell r="A1837" t="str">
            <v>LYQ-HM1205-KH-L</v>
          </cell>
          <cell r="B1837" t="str">
            <v>LYQ-HM1205</v>
          </cell>
        </row>
        <row r="1838">
          <cell r="A1838" t="str">
            <v>LYQ-HM1205-KH-L-CA</v>
          </cell>
          <cell r="B1838" t="str">
            <v>LYQ-HM1205</v>
          </cell>
        </row>
        <row r="1839">
          <cell r="A1839" t="str">
            <v>LYQ-HM1205-KH-L-GM</v>
          </cell>
          <cell r="B1839" t="str">
            <v>LYQ-HM1205</v>
          </cell>
        </row>
        <row r="1840">
          <cell r="A1840" t="str">
            <v>LYQ-HM1205-KH-M</v>
          </cell>
          <cell r="B1840" t="str">
            <v>LYQ-HM1205</v>
          </cell>
        </row>
        <row r="1841">
          <cell r="A1841" t="str">
            <v>LYQ-HM1205-KH-M-CA</v>
          </cell>
          <cell r="B1841" t="str">
            <v>LYQ-HM1205</v>
          </cell>
        </row>
        <row r="1842">
          <cell r="A1842" t="str">
            <v>LYQ-HM1205-KH-S</v>
          </cell>
          <cell r="B1842" t="str">
            <v>LYQ-HM1205</v>
          </cell>
        </row>
        <row r="1843">
          <cell r="A1843" t="str">
            <v>LYQ-HM1205-KH-S-CA</v>
          </cell>
          <cell r="B1843" t="str">
            <v>LYQ-HM1205</v>
          </cell>
        </row>
        <row r="1844">
          <cell r="A1844" t="str">
            <v>LYQ-HM1205-KH-XL</v>
          </cell>
          <cell r="B1844" t="str">
            <v>LYQ-HM1205</v>
          </cell>
        </row>
        <row r="1845">
          <cell r="A1845" t="str">
            <v>LYQ-HM1205-KH-XL-CA</v>
          </cell>
          <cell r="B1845" t="str">
            <v>LYQ-HM1205</v>
          </cell>
        </row>
        <row r="1846">
          <cell r="A1846" t="str">
            <v>LYQ-HM1205-OR-L</v>
          </cell>
          <cell r="B1846" t="str">
            <v>LYQ-HM1205</v>
          </cell>
        </row>
        <row r="1847">
          <cell r="A1847" t="str">
            <v>LYQ-HM1205-OR-L-CA</v>
          </cell>
          <cell r="B1847" t="str">
            <v>LYQ-HM1205</v>
          </cell>
        </row>
        <row r="1848">
          <cell r="A1848" t="str">
            <v>LYQ-HM1205-OR-L-GM</v>
          </cell>
          <cell r="B1848" t="str">
            <v>LYQ-HM1205</v>
          </cell>
        </row>
        <row r="1849">
          <cell r="A1849" t="str">
            <v>LYQ-HM1205-OR-M</v>
          </cell>
          <cell r="B1849" t="str">
            <v>LYQ-HM1205</v>
          </cell>
        </row>
        <row r="1850">
          <cell r="A1850" t="str">
            <v>LYQ-HM1205-OR-M-CA</v>
          </cell>
          <cell r="B1850" t="str">
            <v>LYQ-HM1205</v>
          </cell>
        </row>
        <row r="1851">
          <cell r="A1851" t="str">
            <v>LYQ-HM1205-OR-S</v>
          </cell>
          <cell r="B1851" t="str">
            <v>LYQ-HM1205</v>
          </cell>
        </row>
        <row r="1852">
          <cell r="A1852" t="str">
            <v>LYQ-HM1205-OR-S-CA</v>
          </cell>
          <cell r="B1852" t="str">
            <v>LYQ-HM1205</v>
          </cell>
        </row>
        <row r="1853">
          <cell r="A1853" t="str">
            <v>LYQ-HM1205-OR-XL</v>
          </cell>
          <cell r="B1853" t="str">
            <v>LYQ-HM1205</v>
          </cell>
        </row>
        <row r="1854">
          <cell r="A1854" t="str">
            <v>LYQ-HM1205-OR-XL-CA</v>
          </cell>
          <cell r="B1854" t="str">
            <v>LYQ-HM1205</v>
          </cell>
        </row>
        <row r="1855">
          <cell r="A1855" t="str">
            <v>LYQ-HM1205-OR-XL-GM</v>
          </cell>
          <cell r="B1855" t="str">
            <v>LYQ-HM1205</v>
          </cell>
        </row>
        <row r="1856">
          <cell r="A1856" t="str">
            <v>LYQ-HM1205-W0-L</v>
          </cell>
          <cell r="B1856" t="str">
            <v>LYQ-HM1205</v>
          </cell>
        </row>
        <row r="1857">
          <cell r="A1857" t="str">
            <v>LYQ-HM1205-W0-L-CA</v>
          </cell>
          <cell r="B1857" t="str">
            <v>LYQ-HM1205</v>
          </cell>
        </row>
        <row r="1858">
          <cell r="A1858" t="str">
            <v>LYQ-HM1205-W0-M</v>
          </cell>
          <cell r="B1858" t="str">
            <v>LYQ-HM1205</v>
          </cell>
        </row>
        <row r="1859">
          <cell r="A1859" t="str">
            <v>LYQ-HM1205-W0-M-CA</v>
          </cell>
          <cell r="B1859" t="str">
            <v>LYQ-HM1205</v>
          </cell>
        </row>
        <row r="1860">
          <cell r="A1860" t="str">
            <v>LYQ-HM1205-W0-S</v>
          </cell>
          <cell r="B1860" t="str">
            <v>LYQ-HM1205</v>
          </cell>
        </row>
        <row r="1861">
          <cell r="A1861" t="str">
            <v>LYQ-HM1205-W0-S-CA</v>
          </cell>
          <cell r="B1861" t="str">
            <v>LYQ-HM1205</v>
          </cell>
        </row>
        <row r="1862">
          <cell r="A1862" t="str">
            <v>LYQ-HM1205-W0-XL</v>
          </cell>
          <cell r="B1862" t="str">
            <v>LYQ-HM1205</v>
          </cell>
        </row>
        <row r="1863">
          <cell r="A1863" t="str">
            <v>LYQ-HM1205-W0-XL-CA</v>
          </cell>
          <cell r="B1863" t="str">
            <v>LYQ-HM1205</v>
          </cell>
        </row>
        <row r="1864">
          <cell r="A1864" t="str">
            <v>LYQ-HM1234-W0-L</v>
          </cell>
          <cell r="B1864" t="str">
            <v>LYQ-HM1234</v>
          </cell>
        </row>
        <row r="1865">
          <cell r="A1865" t="str">
            <v>LYQ-HM155-PU-L</v>
          </cell>
          <cell r="B1865" t="str">
            <v>LYQ-HM155</v>
          </cell>
        </row>
        <row r="1866">
          <cell r="A1866" t="str">
            <v>LYQ-HM155-WR-L</v>
          </cell>
          <cell r="B1866" t="str">
            <v>LYQ-HM155</v>
          </cell>
        </row>
        <row r="1867">
          <cell r="A1867" t="str">
            <v>LYQ-HMAM002</v>
          </cell>
          <cell r="B1867" t="str">
            <v>LYQ-HMAM002</v>
          </cell>
        </row>
        <row r="1868">
          <cell r="A1868" t="str">
            <v>LYQ-HMAM002-ZL-L</v>
          </cell>
          <cell r="B1868" t="str">
            <v>LYQ-HMAM002</v>
          </cell>
        </row>
        <row r="1869">
          <cell r="A1869" t="str">
            <v>LYQ-HMAM002-ZL-M</v>
          </cell>
          <cell r="B1869" t="str">
            <v>LYQ-HMAM002</v>
          </cell>
        </row>
        <row r="1870">
          <cell r="A1870" t="str">
            <v>LYQ-HMAM002-ZL-S</v>
          </cell>
          <cell r="B1870" t="str">
            <v>LYQ-HMAM002</v>
          </cell>
        </row>
        <row r="1871">
          <cell r="A1871" t="str">
            <v>LYQ-HMAM002-ZL-XL</v>
          </cell>
          <cell r="B1871" t="str">
            <v>LYQ-HMAM002</v>
          </cell>
        </row>
        <row r="1872">
          <cell r="A1872" t="str">
            <v>LYQ-HMBX46</v>
          </cell>
          <cell r="B1872" t="str">
            <v>LYQ-HMBX46</v>
          </cell>
        </row>
        <row r="1873">
          <cell r="A1873" t="str">
            <v>LYQ-HMBX46-DXK0-L</v>
          </cell>
          <cell r="B1873" t="str">
            <v>LYQ-HMBX46</v>
          </cell>
        </row>
        <row r="1874">
          <cell r="A1874" t="str">
            <v>LYQ-HMBX46-DXK0-M</v>
          </cell>
          <cell r="B1874" t="str">
            <v>LYQ-HMBX46</v>
          </cell>
        </row>
        <row r="1875">
          <cell r="A1875" t="str">
            <v>LYQ-HMBX46-DXK0-S</v>
          </cell>
          <cell r="B1875" t="str">
            <v>LYQ-HMBX46</v>
          </cell>
        </row>
        <row r="1876">
          <cell r="A1876" t="str">
            <v>LYQ-HMBX46-DXK0-XL</v>
          </cell>
          <cell r="B1876" t="str">
            <v>LYQ-HMBX46</v>
          </cell>
        </row>
        <row r="1877">
          <cell r="A1877" t="str">
            <v>LYQ-HMBX46-DXZL-L</v>
          </cell>
          <cell r="B1877" t="str">
            <v>LYQ-HMBX46</v>
          </cell>
        </row>
        <row r="1878">
          <cell r="A1878" t="str">
            <v>LYQ-HMBX46-DXZL-M</v>
          </cell>
          <cell r="B1878" t="str">
            <v>LYQ-HMBX46</v>
          </cell>
        </row>
        <row r="1879">
          <cell r="A1879" t="str">
            <v>LYQ-HMBX46-DXZL-S</v>
          </cell>
          <cell r="B1879" t="str">
            <v>LYQ-HMBX46</v>
          </cell>
        </row>
        <row r="1880">
          <cell r="A1880" t="str">
            <v>LYQ-HMBX46-DXZL-XL</v>
          </cell>
          <cell r="B1880" t="str">
            <v>LYQ-HMBX46</v>
          </cell>
        </row>
        <row r="1881">
          <cell r="A1881" t="str">
            <v>LYQ-HMBX46-W0-L</v>
          </cell>
          <cell r="B1881" t="str">
            <v>LYQ-HMBX46</v>
          </cell>
        </row>
        <row r="1882">
          <cell r="A1882" t="str">
            <v>LYQ-HMBX46-W0-M</v>
          </cell>
          <cell r="B1882" t="str">
            <v>LYQ-HMBX46</v>
          </cell>
        </row>
        <row r="1883">
          <cell r="A1883" t="str">
            <v>LYQ-HMBX46-W0-S</v>
          </cell>
          <cell r="B1883" t="str">
            <v>LYQ-HMBX46</v>
          </cell>
        </row>
        <row r="1884">
          <cell r="A1884" t="str">
            <v>LYQ-HMBX46-W0-XL</v>
          </cell>
          <cell r="B1884" t="str">
            <v>LYQ-HMBX46</v>
          </cell>
        </row>
        <row r="1885">
          <cell r="A1885" t="str">
            <v>LYQ-HMBX46-ZXBE-L</v>
          </cell>
          <cell r="B1885" t="str">
            <v>LYQ-HMBX46</v>
          </cell>
        </row>
        <row r="1886">
          <cell r="A1886" t="str">
            <v>LYQ-HMBX46-ZXBE-M</v>
          </cell>
          <cell r="B1886" t="str">
            <v>LYQ-HMBX46</v>
          </cell>
        </row>
        <row r="1887">
          <cell r="A1887" t="str">
            <v>LYQ-HMBX46-ZXBE-S</v>
          </cell>
          <cell r="B1887" t="str">
            <v>LYQ-HMBX46</v>
          </cell>
        </row>
        <row r="1888">
          <cell r="A1888" t="str">
            <v>LYQ-HMBX46-ZXBE-XL</v>
          </cell>
          <cell r="B1888" t="str">
            <v>LYQ-HMBX46</v>
          </cell>
        </row>
        <row r="1889">
          <cell r="A1889" t="str">
            <v>LYQ-HMBX46-ZXK0-L</v>
          </cell>
          <cell r="B1889" t="str">
            <v>LYQ-HMBX46</v>
          </cell>
        </row>
        <row r="1890">
          <cell r="A1890" t="str">
            <v>LYQ-HMBX46-ZXK0-M</v>
          </cell>
          <cell r="B1890" t="str">
            <v>LYQ-HMBX46</v>
          </cell>
        </row>
        <row r="1891">
          <cell r="A1891" t="str">
            <v>LYQ-HMBX46-ZXK0-S</v>
          </cell>
          <cell r="B1891" t="str">
            <v>LYQ-HMBX46</v>
          </cell>
        </row>
        <row r="1892">
          <cell r="A1892" t="str">
            <v>LYQ-HMBX46-ZXK0-XL</v>
          </cell>
          <cell r="B1892" t="str">
            <v>LYQ-HMBX46</v>
          </cell>
        </row>
        <row r="1893">
          <cell r="A1893" t="str">
            <v>LYQ-HMBX46-ZXW0-L</v>
          </cell>
          <cell r="B1893" t="str">
            <v>LYQ-HMBX46</v>
          </cell>
        </row>
        <row r="1894">
          <cell r="A1894" t="str">
            <v>LYQ-HMBX46-ZXW0-M</v>
          </cell>
          <cell r="B1894" t="str">
            <v>LYQ-HMBX46</v>
          </cell>
        </row>
        <row r="1895">
          <cell r="A1895" t="str">
            <v>LYQ-HMBX46-ZXW0-S</v>
          </cell>
          <cell r="B1895" t="str">
            <v>LYQ-HMBX46</v>
          </cell>
        </row>
        <row r="1896">
          <cell r="A1896" t="str">
            <v>LYQ-HMBX46-ZXW0-XL</v>
          </cell>
          <cell r="B1896" t="str">
            <v>LYQ-HMBX46</v>
          </cell>
        </row>
        <row r="1897">
          <cell r="A1897" t="str">
            <v>LYQ-HMCX22</v>
          </cell>
          <cell r="B1897" t="str">
            <v>LYQ-HMCX22</v>
          </cell>
        </row>
        <row r="1898">
          <cell r="A1898" t="str">
            <v>LYQ-HMCX22-K0-L</v>
          </cell>
          <cell r="B1898" t="str">
            <v>LYQ-HMCX22</v>
          </cell>
        </row>
        <row r="1899">
          <cell r="A1899" t="str">
            <v>LYQ-HMCX22-K0-M</v>
          </cell>
          <cell r="B1899" t="str">
            <v>LYQ-HMCX22</v>
          </cell>
        </row>
        <row r="1900">
          <cell r="A1900" t="str">
            <v>LYQ-HMCX22-K0-S</v>
          </cell>
          <cell r="B1900" t="str">
            <v>LYQ-HMCX22</v>
          </cell>
        </row>
        <row r="1901">
          <cell r="A1901" t="str">
            <v>LYQ-HMCX22-K0-XS</v>
          </cell>
          <cell r="B1901" t="str">
            <v>LYQ-HMCX22</v>
          </cell>
        </row>
        <row r="1902">
          <cell r="A1902" t="str">
            <v>LYQ-HMCX22-W0-L</v>
          </cell>
          <cell r="B1902" t="str">
            <v>LYQ-HMCX22</v>
          </cell>
        </row>
        <row r="1903">
          <cell r="A1903" t="str">
            <v>LYQ-HMCX22-W0-M</v>
          </cell>
          <cell r="B1903" t="str">
            <v>LYQ-HMCX22</v>
          </cell>
        </row>
        <row r="1904">
          <cell r="A1904" t="str">
            <v>LYQ-HMCX22-W0-S</v>
          </cell>
          <cell r="B1904" t="str">
            <v>LYQ-HMCX22</v>
          </cell>
        </row>
        <row r="1905">
          <cell r="A1905" t="str">
            <v>LYQ-HMCX22-W0-XS</v>
          </cell>
          <cell r="B1905" t="str">
            <v>LYQ-HMCX22</v>
          </cell>
        </row>
        <row r="1906">
          <cell r="A1906" t="str">
            <v>LYQ-HMCX22-ZL-L</v>
          </cell>
          <cell r="B1906" t="str">
            <v>LYQ-HMCX22</v>
          </cell>
        </row>
        <row r="1907">
          <cell r="A1907" t="str">
            <v>LYQ-HMCX22-ZL-M</v>
          </cell>
          <cell r="B1907" t="str">
            <v>LYQ-HMCX22</v>
          </cell>
        </row>
        <row r="1908">
          <cell r="A1908" t="str">
            <v>LYQ-HMCX22-ZL-S</v>
          </cell>
          <cell r="B1908" t="str">
            <v>LYQ-HMCX22</v>
          </cell>
        </row>
        <row r="1909">
          <cell r="A1909" t="str">
            <v>LYQ-HMCX22-ZL-XS</v>
          </cell>
          <cell r="B1909" t="str">
            <v>LYQ-HMCX22</v>
          </cell>
        </row>
        <row r="1910">
          <cell r="A1910" t="str">
            <v>LYQ-HMQZZ-MOM-2XL</v>
          </cell>
          <cell r="B1910" t="str">
            <v>LYQ-HMQZZ</v>
          </cell>
        </row>
        <row r="1911">
          <cell r="A1911" t="str">
            <v>LYQ-HMQZZ-MOM-L</v>
          </cell>
          <cell r="B1911" t="str">
            <v>LYQ-HMQZZ</v>
          </cell>
        </row>
        <row r="1912">
          <cell r="A1912" t="str">
            <v>LYQ-HMQZZ-MOM-M</v>
          </cell>
          <cell r="B1912" t="str">
            <v>LYQ-HMQZZ</v>
          </cell>
        </row>
        <row r="1913">
          <cell r="A1913" t="str">
            <v>LYQ-HMQZZ-MOM-S</v>
          </cell>
          <cell r="B1913" t="str">
            <v>LYQ-HMQZZ</v>
          </cell>
        </row>
        <row r="1914">
          <cell r="A1914" t="str">
            <v>LYQ-HMQZZ-MOM-XL</v>
          </cell>
          <cell r="B1914" t="str">
            <v>LYQ-HMQZZ</v>
          </cell>
        </row>
        <row r="1915">
          <cell r="A1915" t="str">
            <v>LYQ-HMQZZ-R0-L(7/8)T</v>
          </cell>
          <cell r="B1915" t="str">
            <v>LYQ-HMQZZ</v>
          </cell>
        </row>
        <row r="1916">
          <cell r="A1916" t="str">
            <v>LYQ-HMQZZ-R0-M(5/6)T</v>
          </cell>
          <cell r="B1916" t="str">
            <v>LYQ-HMQZZ</v>
          </cell>
        </row>
        <row r="1917">
          <cell r="A1917" t="str">
            <v>LYQ-HMQZZ-R0-XL(9/10)T</v>
          </cell>
          <cell r="B1917" t="str">
            <v>LYQ-HMQZZ</v>
          </cell>
        </row>
        <row r="1918">
          <cell r="A1918" t="str">
            <v>LYQ-JY1586-W0-L</v>
          </cell>
          <cell r="B1918" t="str">
            <v>LYQ-JY1586</v>
          </cell>
        </row>
        <row r="1919">
          <cell r="A1919" t="str">
            <v>LYQ-JY1586-W0-M</v>
          </cell>
          <cell r="B1919" t="str">
            <v>LYQ-JY1586</v>
          </cell>
        </row>
        <row r="1920">
          <cell r="A1920" t="str">
            <v>LYQ-JY1586-W0-S</v>
          </cell>
          <cell r="B1920" t="str">
            <v>LYQ-JY1586</v>
          </cell>
        </row>
        <row r="1921">
          <cell r="A1921" t="str">
            <v>LYQ-JY1586-W0-XL</v>
          </cell>
          <cell r="B1921" t="str">
            <v>LYQ-JY1586</v>
          </cell>
        </row>
        <row r="1922">
          <cell r="A1922" t="str">
            <v>LYQ-K1010-B0-2X</v>
          </cell>
          <cell r="B1922" t="str">
            <v>LYQ-1010</v>
          </cell>
        </row>
        <row r="1923">
          <cell r="A1923" t="str">
            <v>LYQ-K1010-B0-L</v>
          </cell>
          <cell r="B1923" t="str">
            <v>LYQ-1010</v>
          </cell>
        </row>
        <row r="1924">
          <cell r="A1924" t="str">
            <v>LYQ-K1010-B0-M</v>
          </cell>
          <cell r="B1924" t="str">
            <v>LYQ-1010</v>
          </cell>
        </row>
        <row r="1925">
          <cell r="A1925" t="str">
            <v>LYQ-K1010-B0-M-GM</v>
          </cell>
          <cell r="B1925" t="str">
            <v>LYQ-1010</v>
          </cell>
        </row>
        <row r="1926">
          <cell r="A1926" t="str">
            <v>LYQ-K1010-B0-S</v>
          </cell>
          <cell r="B1926" t="str">
            <v>LYQ-1010</v>
          </cell>
        </row>
        <row r="1927">
          <cell r="A1927" t="str">
            <v>LYQ-K1010-B0-XL</v>
          </cell>
          <cell r="B1927" t="str">
            <v>LYQ-1010</v>
          </cell>
        </row>
        <row r="1928">
          <cell r="A1928" t="str">
            <v>LYQ-K1010-B0-XS</v>
          </cell>
          <cell r="B1928" t="str">
            <v>LYQ-1010</v>
          </cell>
        </row>
        <row r="1929">
          <cell r="A1929" t="str">
            <v>LYQ-K1010-G0-2X</v>
          </cell>
          <cell r="B1929" t="str">
            <v>LYQ-1010</v>
          </cell>
        </row>
        <row r="1930">
          <cell r="A1930" t="str">
            <v>LYQ-K1010-G0-L</v>
          </cell>
          <cell r="B1930" t="str">
            <v>LYQ-1010</v>
          </cell>
        </row>
        <row r="1931">
          <cell r="A1931" t="str">
            <v>LYQ-K1010-G0-L-GM</v>
          </cell>
          <cell r="B1931" t="str">
            <v>LYQ-1010</v>
          </cell>
        </row>
        <row r="1932">
          <cell r="A1932" t="str">
            <v>LYQ-K1010-G0-M</v>
          </cell>
          <cell r="B1932" t="str">
            <v>LYQ-1010</v>
          </cell>
        </row>
        <row r="1933">
          <cell r="A1933" t="str">
            <v>LYQ-K1010-G0-S</v>
          </cell>
          <cell r="B1933" t="str">
            <v>LYQ-1010</v>
          </cell>
        </row>
        <row r="1934">
          <cell r="A1934" t="str">
            <v>LYQ-K1010-G0-XL</v>
          </cell>
          <cell r="B1934" t="str">
            <v>LYQ-1010</v>
          </cell>
        </row>
        <row r="1935">
          <cell r="A1935" t="str">
            <v>LYQ-K1010-G0-XS</v>
          </cell>
          <cell r="B1935" t="str">
            <v>LYQ-1010</v>
          </cell>
        </row>
        <row r="1936">
          <cell r="A1936" t="str">
            <v>LYQ-K1010-G7-2X</v>
          </cell>
          <cell r="B1936" t="str">
            <v>LYQ-1010</v>
          </cell>
        </row>
        <row r="1937">
          <cell r="A1937" t="str">
            <v>LYQ-K1010-G7-L</v>
          </cell>
          <cell r="B1937" t="str">
            <v>LYQ-1010</v>
          </cell>
        </row>
        <row r="1938">
          <cell r="A1938" t="str">
            <v>LYQ-K1010-G7-M</v>
          </cell>
          <cell r="B1938" t="str">
            <v>LYQ-1010</v>
          </cell>
        </row>
        <row r="1939">
          <cell r="A1939" t="str">
            <v>LYQ-K1010-G7-S</v>
          </cell>
          <cell r="B1939" t="str">
            <v>LYQ-1010</v>
          </cell>
        </row>
        <row r="1940">
          <cell r="A1940" t="str">
            <v>LYQ-K1010-G7-XL</v>
          </cell>
          <cell r="B1940" t="str">
            <v>LYQ-1010</v>
          </cell>
        </row>
        <row r="1941">
          <cell r="A1941" t="str">
            <v>LYQ-K1010-G7-XL-GM</v>
          </cell>
          <cell r="B1941" t="str">
            <v>LYQ-1010</v>
          </cell>
        </row>
        <row r="1942">
          <cell r="A1942" t="str">
            <v>LYQ-K1010-G7-XS</v>
          </cell>
          <cell r="B1942" t="str">
            <v>LYQ-1010</v>
          </cell>
        </row>
        <row r="1943">
          <cell r="A1943" t="str">
            <v>LYQ-K1010-K0-2X</v>
          </cell>
          <cell r="B1943" t="str">
            <v>LYQ-1010</v>
          </cell>
        </row>
        <row r="1944">
          <cell r="A1944" t="str">
            <v>LYQ-K1010-K0-M</v>
          </cell>
          <cell r="B1944" t="str">
            <v>LYQ-1010</v>
          </cell>
        </row>
        <row r="1945">
          <cell r="A1945" t="str">
            <v>LYQ-K1010-KQ-2X</v>
          </cell>
          <cell r="B1945" t="str">
            <v>LYQ-1010</v>
          </cell>
        </row>
        <row r="1946">
          <cell r="A1946" t="str">
            <v>LYQ-K1010-KQ-L</v>
          </cell>
          <cell r="B1946" t="str">
            <v>LYQ-1010</v>
          </cell>
        </row>
        <row r="1947">
          <cell r="A1947" t="str">
            <v>LYQ-K1010-KQ-L-GM</v>
          </cell>
          <cell r="B1947" t="str">
            <v>LYQ-1010</v>
          </cell>
        </row>
        <row r="1948">
          <cell r="A1948" t="str">
            <v>LYQ-K1010-KQ-M</v>
          </cell>
          <cell r="B1948" t="str">
            <v>LYQ-1010</v>
          </cell>
        </row>
        <row r="1949">
          <cell r="A1949" t="str">
            <v>LYQ-K1010-KQ-S</v>
          </cell>
          <cell r="B1949" t="str">
            <v>LYQ-1010</v>
          </cell>
        </row>
        <row r="1950">
          <cell r="A1950" t="str">
            <v>LYQ-K1010-KQ-S-GM</v>
          </cell>
          <cell r="B1950" t="str">
            <v>LYQ-1010</v>
          </cell>
        </row>
        <row r="1951">
          <cell r="A1951" t="str">
            <v>LYQ-K1010-KQ-S-MX</v>
          </cell>
          <cell r="B1951" t="str">
            <v>LYQ-1010</v>
          </cell>
        </row>
        <row r="1952">
          <cell r="A1952" t="str">
            <v>LYQ-K1010-KQ-XL</v>
          </cell>
          <cell r="B1952" t="str">
            <v>LYQ-1010</v>
          </cell>
        </row>
        <row r="1953">
          <cell r="A1953" t="str">
            <v>LYQ-K1010-KQ-XS</v>
          </cell>
          <cell r="B1953" t="str">
            <v>LYQ-1010</v>
          </cell>
        </row>
        <row r="1954">
          <cell r="A1954" t="str">
            <v>LYQ-K1010-N0-L</v>
          </cell>
          <cell r="B1954" t="str">
            <v>LYQ-1010</v>
          </cell>
        </row>
        <row r="1955">
          <cell r="A1955" t="str">
            <v>LYQ-K1010-N0-M</v>
          </cell>
          <cell r="B1955" t="str">
            <v>LYQ-1010</v>
          </cell>
        </row>
        <row r="1956">
          <cell r="A1956" t="str">
            <v>LYQ-K1010-R0-2X</v>
          </cell>
          <cell r="B1956" t="str">
            <v>LYQ-1010</v>
          </cell>
        </row>
        <row r="1957">
          <cell r="A1957" t="str">
            <v>LYQ-K1010-R0-L</v>
          </cell>
          <cell r="B1957" t="str">
            <v>LYQ-1010</v>
          </cell>
        </row>
        <row r="1958">
          <cell r="A1958" t="str">
            <v>LYQ-K1010-R0-M</v>
          </cell>
          <cell r="B1958" t="str">
            <v>LYQ-1010</v>
          </cell>
        </row>
        <row r="1959">
          <cell r="A1959" t="str">
            <v>LYQ-K1010-R0-M-GM</v>
          </cell>
          <cell r="B1959" t="str">
            <v>LYQ-1010</v>
          </cell>
        </row>
        <row r="1960">
          <cell r="A1960" t="str">
            <v>LYQ-K1010-R0-M-MX</v>
          </cell>
          <cell r="B1960" t="str">
            <v>LYQ-1010</v>
          </cell>
        </row>
        <row r="1961">
          <cell r="A1961" t="str">
            <v>LYQ-K1010-R0-S</v>
          </cell>
          <cell r="B1961" t="str">
            <v>LYQ-1010</v>
          </cell>
        </row>
        <row r="1962">
          <cell r="A1962" t="str">
            <v>LYQ-K1010-R0-S-GM</v>
          </cell>
          <cell r="B1962" t="str">
            <v>LYQ-1010</v>
          </cell>
        </row>
        <row r="1963">
          <cell r="A1963" t="str">
            <v>LYQ-K1010-R0-XL</v>
          </cell>
          <cell r="B1963" t="str">
            <v>LYQ-1010</v>
          </cell>
        </row>
        <row r="1964">
          <cell r="A1964" t="str">
            <v>LYQ-K1010-R0-XL-GM</v>
          </cell>
          <cell r="B1964" t="str">
            <v>LYQ-1010</v>
          </cell>
        </row>
        <row r="1965">
          <cell r="A1965" t="str">
            <v>LYQ-K1010-R0-XS</v>
          </cell>
          <cell r="B1965" t="str">
            <v>LYQ-1010</v>
          </cell>
        </row>
        <row r="1966">
          <cell r="A1966" t="str">
            <v>LYQ-K1010-R0-XS-GM</v>
          </cell>
          <cell r="B1966" t="str">
            <v>LYQ-1010</v>
          </cell>
        </row>
        <row r="1967">
          <cell r="A1967" t="str">
            <v>LYQ-K1010-W0-2X</v>
          </cell>
          <cell r="B1967" t="str">
            <v>LYQ-1010</v>
          </cell>
        </row>
        <row r="1968">
          <cell r="A1968" t="str">
            <v>LYQ-K1010-W0-L</v>
          </cell>
          <cell r="B1968" t="str">
            <v>LYQ-1010</v>
          </cell>
        </row>
        <row r="1969">
          <cell r="A1969" t="str">
            <v>LYQ-K1010-W0-M</v>
          </cell>
          <cell r="B1969" t="str">
            <v>LYQ-1010</v>
          </cell>
        </row>
        <row r="1970">
          <cell r="A1970" t="str">
            <v>LYQ-K1010-W0-XS</v>
          </cell>
          <cell r="B1970" t="str">
            <v>LYQ-1010</v>
          </cell>
        </row>
        <row r="1971">
          <cell r="A1971" t="str">
            <v>LYQ-K1010-Z0-2X</v>
          </cell>
          <cell r="B1971" t="str">
            <v>LYQ-1010</v>
          </cell>
        </row>
        <row r="1972">
          <cell r="A1972" t="str">
            <v>LYQ-K1010-Z0-L</v>
          </cell>
          <cell r="B1972" t="str">
            <v>LYQ-1010</v>
          </cell>
        </row>
        <row r="1973">
          <cell r="A1973" t="str">
            <v>LYQ-K1010-Z0-M</v>
          </cell>
          <cell r="B1973" t="str">
            <v>LYQ-1010</v>
          </cell>
        </row>
        <row r="1974">
          <cell r="A1974" t="str">
            <v>LYQ-K1010-Z0-S</v>
          </cell>
          <cell r="B1974" t="str">
            <v>LYQ-1010</v>
          </cell>
        </row>
        <row r="1975">
          <cell r="A1975" t="str">
            <v>LYQ-K1010-Z0-XL</v>
          </cell>
          <cell r="B1975" t="str">
            <v>LYQ-1010</v>
          </cell>
        </row>
        <row r="1976">
          <cell r="A1976" t="str">
            <v>LYQ-K1010-Z0-XS</v>
          </cell>
          <cell r="B1976" t="str">
            <v>LYQ-1010</v>
          </cell>
        </row>
        <row r="1977">
          <cell r="A1977" t="str">
            <v>LYQ-LB01</v>
          </cell>
          <cell r="B1977" t="str">
            <v>LYQ-LB01</v>
          </cell>
        </row>
        <row r="1978">
          <cell r="A1978" t="str">
            <v>LYQ-LB01-G0-L</v>
          </cell>
          <cell r="B1978" t="str">
            <v>LYQ-LB01</v>
          </cell>
        </row>
        <row r="1979">
          <cell r="A1979" t="str">
            <v>LYQ-LB01-G0-M</v>
          </cell>
          <cell r="B1979" t="str">
            <v>LYQ-LB01</v>
          </cell>
        </row>
        <row r="1980">
          <cell r="A1980" t="str">
            <v>LYQ-LB01-G0-S</v>
          </cell>
          <cell r="B1980" t="str">
            <v>LYQ-LB01</v>
          </cell>
        </row>
        <row r="1981">
          <cell r="A1981" t="str">
            <v>LYQ-LB01-G0-XL</v>
          </cell>
          <cell r="B1981" t="str">
            <v>LYQ-LB01</v>
          </cell>
        </row>
        <row r="1982">
          <cell r="A1982" t="str">
            <v>LYQ-LB01-K0-L</v>
          </cell>
          <cell r="B1982" t="str">
            <v>LYQ-LB01</v>
          </cell>
        </row>
        <row r="1983">
          <cell r="A1983" t="str">
            <v>LYQ-LB01-K0-L-GM</v>
          </cell>
          <cell r="B1983" t="str">
            <v>LYQ-LB01</v>
          </cell>
        </row>
        <row r="1984">
          <cell r="A1984" t="str">
            <v>LYQ-LB01-K0-M</v>
          </cell>
          <cell r="B1984" t="str">
            <v>LYQ-LB01</v>
          </cell>
        </row>
        <row r="1985">
          <cell r="A1985" t="str">
            <v>LYQ-LB01-K0-S</v>
          </cell>
          <cell r="B1985" t="str">
            <v>LYQ-LB01</v>
          </cell>
        </row>
        <row r="1986">
          <cell r="A1986" t="str">
            <v>LYQ-LB01-K0-XL</v>
          </cell>
          <cell r="B1986" t="str">
            <v>LYQ-LB01</v>
          </cell>
        </row>
        <row r="1987">
          <cell r="A1987" t="str">
            <v>LYQ-LB01-K0-XL-GM</v>
          </cell>
          <cell r="B1987" t="str">
            <v>LYQ-LB01</v>
          </cell>
        </row>
        <row r="1988">
          <cell r="A1988" t="str">
            <v>LYQ-LB01-R0-L</v>
          </cell>
          <cell r="B1988" t="str">
            <v>LYQ-LB01</v>
          </cell>
        </row>
        <row r="1989">
          <cell r="A1989" t="str">
            <v>LYQ-LB01-R0-M</v>
          </cell>
          <cell r="B1989" t="str">
            <v>LYQ-LB01</v>
          </cell>
        </row>
        <row r="1990">
          <cell r="A1990" t="str">
            <v>LYQ-LB01-R0-S</v>
          </cell>
          <cell r="B1990" t="str">
            <v>LYQ-LB01</v>
          </cell>
        </row>
        <row r="1991">
          <cell r="A1991" t="str">
            <v>LYQ-LB01-R0-XL</v>
          </cell>
          <cell r="B1991" t="str">
            <v>LYQ-LB01</v>
          </cell>
        </row>
        <row r="1992">
          <cell r="A1992" t="str">
            <v>LYQ-LB01-Wi-L</v>
          </cell>
          <cell r="B1992" t="str">
            <v>LYQ-LB01</v>
          </cell>
        </row>
        <row r="1993">
          <cell r="A1993" t="str">
            <v>LYQ-LB01-Wi-M</v>
          </cell>
          <cell r="B1993" t="str">
            <v>LYQ-LB01</v>
          </cell>
        </row>
        <row r="1994">
          <cell r="A1994" t="str">
            <v>LYQ-LB01-Wi-S</v>
          </cell>
          <cell r="B1994" t="str">
            <v>LYQ-LB01</v>
          </cell>
        </row>
        <row r="1995">
          <cell r="A1995" t="str">
            <v>LYQ-LB01-Wi-XL</v>
          </cell>
          <cell r="B1995" t="str">
            <v>LYQ-LB01</v>
          </cell>
        </row>
        <row r="1996">
          <cell r="A1996" t="str">
            <v>LYQ-LS06</v>
          </cell>
          <cell r="B1996" t="str">
            <v>LYQ-LS06</v>
          </cell>
        </row>
        <row r="1997">
          <cell r="A1997" t="str">
            <v>LYQ-LS06-E0-L</v>
          </cell>
          <cell r="B1997" t="str">
            <v>LYQ-LS06</v>
          </cell>
        </row>
        <row r="1998">
          <cell r="A1998" t="str">
            <v>LYQ-LS06-E0-M</v>
          </cell>
          <cell r="B1998" t="str">
            <v>LYQ-LS06</v>
          </cell>
        </row>
        <row r="1999">
          <cell r="A1999" t="str">
            <v>LYQ-LS06-E0-S</v>
          </cell>
          <cell r="B1999" t="str">
            <v>LYQ-LS06</v>
          </cell>
        </row>
        <row r="2000">
          <cell r="A2000" t="str">
            <v>LYQ-LS06-E0-XL</v>
          </cell>
          <cell r="B2000" t="str">
            <v>LYQ-LS06</v>
          </cell>
        </row>
        <row r="2001">
          <cell r="A2001" t="str">
            <v>LYQ-LS06-K0-L</v>
          </cell>
          <cell r="B2001" t="str">
            <v>LYQ-LS06</v>
          </cell>
        </row>
        <row r="2002">
          <cell r="A2002" t="str">
            <v>LYQ-LS06-K0-M</v>
          </cell>
          <cell r="B2002" t="str">
            <v>LYQ-LS06</v>
          </cell>
        </row>
        <row r="2003">
          <cell r="A2003" t="str">
            <v>LYQ-LS06-K0-S</v>
          </cell>
          <cell r="B2003" t="str">
            <v>LYQ-LS06</v>
          </cell>
        </row>
        <row r="2004">
          <cell r="A2004" t="str">
            <v>LYQ-LS06-K0-XL</v>
          </cell>
          <cell r="B2004" t="str">
            <v>LYQ-LS06</v>
          </cell>
        </row>
        <row r="2005">
          <cell r="A2005" t="str">
            <v>LYQ-LS06-N5-L</v>
          </cell>
          <cell r="B2005" t="str">
            <v>LYQ-LS06</v>
          </cell>
        </row>
        <row r="2006">
          <cell r="A2006" t="str">
            <v>LYQ-LS06-N5-M</v>
          </cell>
          <cell r="B2006" t="str">
            <v>LYQ-LS06</v>
          </cell>
        </row>
        <row r="2007">
          <cell r="A2007" t="str">
            <v>LYQ-LS06-N5-S</v>
          </cell>
          <cell r="B2007" t="str">
            <v>LYQ-LS06</v>
          </cell>
        </row>
        <row r="2008">
          <cell r="A2008" t="str">
            <v>LYQ-LS06-N5-XL</v>
          </cell>
          <cell r="B2008" t="str">
            <v>LYQ-LS06</v>
          </cell>
        </row>
        <row r="2009">
          <cell r="A2009" t="str">
            <v>LYQ-LY014-K0-L</v>
          </cell>
          <cell r="B2009" t="str">
            <v>LYQ-LY014</v>
          </cell>
        </row>
        <row r="2010">
          <cell r="A2010" t="str">
            <v>LYQ-LY014-K0-XL</v>
          </cell>
          <cell r="B2010" t="str">
            <v>LYQ-LY014</v>
          </cell>
        </row>
        <row r="2011">
          <cell r="A2011" t="str">
            <v>LYQ-LY014-R0-M</v>
          </cell>
          <cell r="B2011" t="str">
            <v>LYQ-LY014</v>
          </cell>
        </row>
        <row r="2012">
          <cell r="A2012" t="str">
            <v>LYQ-LY064-B0-3XL</v>
          </cell>
          <cell r="B2012" t="str">
            <v>LYQ-LY064</v>
          </cell>
        </row>
        <row r="2013">
          <cell r="A2013" t="str">
            <v>LYQ-LY064-B0-4XL</v>
          </cell>
          <cell r="B2013" t="str">
            <v>LYQ-LY064</v>
          </cell>
        </row>
        <row r="2014">
          <cell r="A2014" t="str">
            <v>LYQ-LY064-B0-5XL</v>
          </cell>
          <cell r="B2014" t="str">
            <v>LYQ-LY064</v>
          </cell>
        </row>
        <row r="2015">
          <cell r="A2015" t="str">
            <v>LYQ-LY064-B0-L</v>
          </cell>
          <cell r="B2015" t="str">
            <v>LYQ-LY064</v>
          </cell>
        </row>
        <row r="2016">
          <cell r="A2016" t="str">
            <v>LYQ-LY064-B0-M</v>
          </cell>
          <cell r="B2016" t="str">
            <v>LYQ-LY064</v>
          </cell>
        </row>
        <row r="2017">
          <cell r="A2017" t="str">
            <v>LYQ-LY064-G0-3XL</v>
          </cell>
          <cell r="B2017" t="str">
            <v>LYQ-LY064</v>
          </cell>
        </row>
        <row r="2018">
          <cell r="A2018" t="str">
            <v>LYQ-LY064-G0-4XL</v>
          </cell>
          <cell r="B2018" t="str">
            <v>LYQ-LY014</v>
          </cell>
        </row>
        <row r="2019">
          <cell r="A2019" t="str">
            <v>LYQ-LY064-G0-L</v>
          </cell>
          <cell r="B2019" t="str">
            <v>LYQ-LY064</v>
          </cell>
        </row>
        <row r="2020">
          <cell r="A2020" t="str">
            <v>LYQ-LY064-G0-M</v>
          </cell>
          <cell r="B2020" t="str">
            <v>LYQ-LY064</v>
          </cell>
        </row>
        <row r="2021">
          <cell r="A2021" t="str">
            <v>LYQ-LY064-K0-2XL</v>
          </cell>
          <cell r="B2021" t="str">
            <v>LYQ-LY064</v>
          </cell>
        </row>
        <row r="2022">
          <cell r="A2022" t="str">
            <v>LYQ-LY064-K0-3XL</v>
          </cell>
          <cell r="B2022" t="str">
            <v>LYQ-LY064</v>
          </cell>
        </row>
        <row r="2023">
          <cell r="A2023" t="str">
            <v>LYQ-LY064-K0-4XL</v>
          </cell>
          <cell r="B2023" t="str">
            <v>LYQ-LY064</v>
          </cell>
        </row>
        <row r="2024">
          <cell r="A2024" t="str">
            <v>LYQ-LY064-K0-L</v>
          </cell>
          <cell r="B2024" t="str">
            <v>LYQ-LY064</v>
          </cell>
        </row>
        <row r="2025">
          <cell r="A2025" t="str">
            <v>LYQ-LY064-K0-M</v>
          </cell>
          <cell r="B2025" t="str">
            <v>LYQ-LY064</v>
          </cell>
        </row>
        <row r="2026">
          <cell r="A2026" t="str">
            <v>LYQ-LY064-K0-S</v>
          </cell>
          <cell r="B2026" t="str">
            <v>LYQ-LY064</v>
          </cell>
        </row>
        <row r="2027">
          <cell r="A2027" t="str">
            <v>LYQ-LY064-OR-4XL</v>
          </cell>
          <cell r="B2027" t="str">
            <v>LYQ-LY064</v>
          </cell>
        </row>
        <row r="2028">
          <cell r="A2028" t="str">
            <v>LYQ-LY064-OR-5XL</v>
          </cell>
          <cell r="B2028" t="str">
            <v>LYQ-LY064</v>
          </cell>
        </row>
        <row r="2029">
          <cell r="A2029" t="str">
            <v>LYQ-LY064-OR-M</v>
          </cell>
          <cell r="B2029" t="str">
            <v>LYQ-LY064</v>
          </cell>
        </row>
        <row r="2030">
          <cell r="A2030" t="str">
            <v>LYQ-LY064-OR-S</v>
          </cell>
          <cell r="B2030" t="str">
            <v>LYQ-LY064</v>
          </cell>
        </row>
        <row r="2031">
          <cell r="A2031" t="str">
            <v>LYQ-MCZQ604-B0-L</v>
          </cell>
          <cell r="B2031" t="str">
            <v>LYQ-MCZQ604</v>
          </cell>
        </row>
        <row r="2032">
          <cell r="A2032" t="str">
            <v>LYQ-MCZQ604-BL-L</v>
          </cell>
          <cell r="B2032" t="str">
            <v>LYQ-MCZQ604</v>
          </cell>
        </row>
        <row r="2033">
          <cell r="A2033" t="str">
            <v>LYQ-MCZQ604-BL-M</v>
          </cell>
          <cell r="B2033" t="str">
            <v>LYQ-MCZQ604</v>
          </cell>
        </row>
        <row r="2034">
          <cell r="A2034" t="str">
            <v>LYQ-MCZQ604-BL-S</v>
          </cell>
          <cell r="B2034" t="str">
            <v>LYQ-MCZQ604</v>
          </cell>
        </row>
        <row r="2035">
          <cell r="A2035" t="str">
            <v>LYQ-MCZQ604-BL-XL</v>
          </cell>
          <cell r="B2035" t="str">
            <v>LYQ-MCZQ604</v>
          </cell>
        </row>
        <row r="2036">
          <cell r="A2036" t="str">
            <v>LYQ-MCZQ604-BT-L</v>
          </cell>
          <cell r="B2036" t="str">
            <v>LYQ-MCZQ604</v>
          </cell>
        </row>
        <row r="2037">
          <cell r="A2037" t="str">
            <v>LYQ-MCZQ604-O0-L</v>
          </cell>
          <cell r="B2037" t="str">
            <v>LYQ-MCZQ604</v>
          </cell>
        </row>
        <row r="2038">
          <cell r="A2038" t="str">
            <v>LYQ-MCZQ604-O0-M</v>
          </cell>
          <cell r="B2038" t="str">
            <v>LYQ-MCZQ604</v>
          </cell>
        </row>
        <row r="2039">
          <cell r="A2039" t="str">
            <v>LYQ-MCZQ604-O0-S</v>
          </cell>
          <cell r="B2039" t="str">
            <v>LYQ-MCZQ604</v>
          </cell>
        </row>
        <row r="2040">
          <cell r="A2040" t="str">
            <v>LYQ-MCZQ604-O0-XL</v>
          </cell>
          <cell r="B2040" t="str">
            <v>LYQ-MCZQ604</v>
          </cell>
        </row>
        <row r="2041">
          <cell r="A2041" t="str">
            <v>LYQ-MCZQ819-ZL-S</v>
          </cell>
          <cell r="B2041" t="str">
            <v>LYQ-MCZQ819</v>
          </cell>
        </row>
        <row r="2042">
          <cell r="A2042" t="str">
            <v>LYQ-MUCL628-BD-L</v>
          </cell>
          <cell r="B2042" t="str">
            <v>LYQ-MUCL628</v>
          </cell>
        </row>
        <row r="2043">
          <cell r="A2043" t="str">
            <v>LYQ-MUCL628-BD-M</v>
          </cell>
          <cell r="B2043" t="str">
            <v>LYQ-MUCL628</v>
          </cell>
        </row>
        <row r="2044">
          <cell r="A2044" t="str">
            <v>LYQ-MUCL628-BD-S</v>
          </cell>
          <cell r="B2044" t="str">
            <v>LYQ-MUCL628</v>
          </cell>
        </row>
        <row r="2045">
          <cell r="A2045" t="str">
            <v>LYQ-MUCL628-BD-XL</v>
          </cell>
          <cell r="B2045" t="str">
            <v>LYQ-MUCL628</v>
          </cell>
        </row>
        <row r="2046">
          <cell r="A2046" t="str">
            <v>LYQ-MUCL628-G0-S</v>
          </cell>
          <cell r="B2046" t="str">
            <v>LYQ-MUCL628</v>
          </cell>
        </row>
        <row r="2047">
          <cell r="A2047" t="str">
            <v>LYQ-MUCL628-OR-M</v>
          </cell>
          <cell r="B2047" t="str">
            <v>LYQ-MUCL628</v>
          </cell>
        </row>
        <row r="2048">
          <cell r="A2048" t="str">
            <v>LYQ-MUCL628-Y0-L</v>
          </cell>
          <cell r="B2048" t="str">
            <v>LYQ-MUCL628</v>
          </cell>
        </row>
        <row r="2049">
          <cell r="A2049" t="str">
            <v>LYQ-MUCL628-Y0-M</v>
          </cell>
          <cell r="B2049" t="str">
            <v>LYQ-MUCL628</v>
          </cell>
        </row>
        <row r="2050">
          <cell r="A2050" t="str">
            <v>LYQ-MUCL628-Y0-S</v>
          </cell>
          <cell r="B2050" t="str">
            <v>LYQ-MUCL628</v>
          </cell>
        </row>
        <row r="2051">
          <cell r="A2051" t="str">
            <v>LYQ-MUCL628-Y0-XL</v>
          </cell>
          <cell r="B2051" t="str">
            <v>LYQ-MUCL628</v>
          </cell>
        </row>
        <row r="2052">
          <cell r="A2052" t="str">
            <v>LYQ-MY4600-N0-L</v>
          </cell>
          <cell r="B2052" t="str">
            <v>LYQ-MY4600</v>
          </cell>
        </row>
        <row r="2053">
          <cell r="A2053" t="str">
            <v>LYQ-MY6287</v>
          </cell>
          <cell r="B2053" t="str">
            <v>LYQ-MY6287</v>
          </cell>
        </row>
        <row r="2054">
          <cell r="A2054" t="str">
            <v>LYQ-MY6287-00-L</v>
          </cell>
          <cell r="B2054" t="str">
            <v>LYQ-MY6287</v>
          </cell>
        </row>
        <row r="2055">
          <cell r="A2055" t="str">
            <v>LYQ-MY6287-00-M</v>
          </cell>
          <cell r="B2055" t="str">
            <v>LYQ-MY6287</v>
          </cell>
        </row>
        <row r="2056">
          <cell r="A2056" t="str">
            <v>LYQ-MY6287-00-S</v>
          </cell>
          <cell r="B2056" t="str">
            <v>LYQ-MY6287</v>
          </cell>
        </row>
        <row r="2057">
          <cell r="A2057" t="str">
            <v>LYQ-MY6287-00-XL</v>
          </cell>
          <cell r="B2057" t="str">
            <v>LYQ-MY6287</v>
          </cell>
        </row>
        <row r="2058">
          <cell r="A2058" t="str">
            <v>LYQ-MY6287-B0-L</v>
          </cell>
          <cell r="B2058" t="str">
            <v>LYQ-MY6287</v>
          </cell>
        </row>
        <row r="2059">
          <cell r="A2059" t="str">
            <v>LYQ-MY6287-B0-M</v>
          </cell>
          <cell r="B2059" t="str">
            <v>LYQ-MY6287</v>
          </cell>
        </row>
        <row r="2060">
          <cell r="A2060" t="str">
            <v>LYQ-MY6287-B0-S</v>
          </cell>
          <cell r="B2060" t="str">
            <v>LYQ-MY6287</v>
          </cell>
        </row>
        <row r="2061">
          <cell r="A2061" t="str">
            <v>LYQ-MY6287-B0-XL</v>
          </cell>
          <cell r="B2061" t="str">
            <v>LYQ-MY6287</v>
          </cell>
        </row>
        <row r="2062">
          <cell r="A2062" t="str">
            <v>LYQ-MY6287-BD-L</v>
          </cell>
          <cell r="B2062" t="str">
            <v>LYQ-MY6287</v>
          </cell>
        </row>
        <row r="2063">
          <cell r="A2063" t="str">
            <v>LYQ-MY6287-BD-M</v>
          </cell>
          <cell r="B2063" t="str">
            <v>LYQ-MY6287</v>
          </cell>
        </row>
        <row r="2064">
          <cell r="A2064" t="str">
            <v>LYQ-MY6287-BD-S</v>
          </cell>
          <cell r="B2064" t="str">
            <v>LYQ-MY6287</v>
          </cell>
        </row>
        <row r="2065">
          <cell r="A2065" t="str">
            <v>LYQ-MY6287-BD-XL</v>
          </cell>
          <cell r="B2065" t="str">
            <v>LYQ-MY6287</v>
          </cell>
        </row>
        <row r="2066">
          <cell r="A2066" t="str">
            <v>LYQ-MY6287-E0-L</v>
          </cell>
          <cell r="B2066" t="str">
            <v>LYQ-MY6287</v>
          </cell>
        </row>
        <row r="2067">
          <cell r="A2067" t="str">
            <v>LYQ-MY6287-E0-M</v>
          </cell>
          <cell r="B2067" t="str">
            <v>LYQ-MY6287</v>
          </cell>
        </row>
        <row r="2068">
          <cell r="A2068" t="str">
            <v>LYQ-MY6287-E0-S</v>
          </cell>
          <cell r="B2068" t="str">
            <v>LYQ-MY6287</v>
          </cell>
        </row>
        <row r="2069">
          <cell r="A2069" t="str">
            <v>LYQ-MY6287-E0-XL</v>
          </cell>
          <cell r="B2069" t="str">
            <v>LYQ-MY6287</v>
          </cell>
        </row>
        <row r="2070">
          <cell r="A2070" t="str">
            <v>LYQ-MY6287-FB-L</v>
          </cell>
          <cell r="B2070" t="str">
            <v>LYQ-MY6287</v>
          </cell>
        </row>
        <row r="2071">
          <cell r="A2071" t="str">
            <v>LYQ-MY6287-FB-M</v>
          </cell>
          <cell r="B2071" t="str">
            <v>LYQ-MY6287</v>
          </cell>
        </row>
        <row r="2072">
          <cell r="A2072" t="str">
            <v>LYQ-MY6287-FB-S</v>
          </cell>
          <cell r="B2072" t="str">
            <v>LYQ-MY6287</v>
          </cell>
        </row>
        <row r="2073">
          <cell r="A2073" t="str">
            <v>LYQ-MY6287-FB-XL</v>
          </cell>
          <cell r="B2073" t="str">
            <v>LYQ-MY6287</v>
          </cell>
        </row>
        <row r="2074">
          <cell r="A2074" t="str">
            <v>LYQ-MY6287-G0-L</v>
          </cell>
          <cell r="B2074" t="str">
            <v>LYQ-MY6287</v>
          </cell>
        </row>
        <row r="2075">
          <cell r="A2075" t="str">
            <v>LYQ-MY6287-G0-M</v>
          </cell>
          <cell r="B2075" t="str">
            <v>LYQ-MY6287</v>
          </cell>
        </row>
        <row r="2076">
          <cell r="A2076" t="str">
            <v>LYQ-MY6287-G0-S</v>
          </cell>
          <cell r="B2076" t="str">
            <v>LYQ-MY6287</v>
          </cell>
        </row>
        <row r="2077">
          <cell r="A2077" t="str">
            <v>LYQ-MY6287-G0-XL</v>
          </cell>
          <cell r="B2077" t="str">
            <v>LYQ-MY6287</v>
          </cell>
        </row>
        <row r="2078">
          <cell r="A2078" t="str">
            <v>LYQ-MY6287-G7-L</v>
          </cell>
          <cell r="B2078" t="str">
            <v>LYQ-MY6287</v>
          </cell>
        </row>
        <row r="2079">
          <cell r="A2079" t="str">
            <v>LYQ-MY6287-G7-M</v>
          </cell>
          <cell r="B2079" t="str">
            <v>LYQ-MY6287</v>
          </cell>
        </row>
        <row r="2080">
          <cell r="A2080" t="str">
            <v>LYQ-MY6287-G7-S</v>
          </cell>
          <cell r="B2080" t="str">
            <v>LYQ-MY6287</v>
          </cell>
        </row>
        <row r="2081">
          <cell r="A2081" t="str">
            <v>LYQ-MY6287-G7-XL</v>
          </cell>
          <cell r="B2081" t="str">
            <v>LYQ-MY6287</v>
          </cell>
        </row>
        <row r="2082">
          <cell r="A2082" t="str">
            <v>LYQ-MY6287-K0-L</v>
          </cell>
          <cell r="B2082" t="str">
            <v>LYQ-MY6287</v>
          </cell>
        </row>
        <row r="2083">
          <cell r="A2083" t="str">
            <v>LYQ-MY6287-K0-M</v>
          </cell>
          <cell r="B2083" t="str">
            <v>LYQ-MY6287</v>
          </cell>
        </row>
        <row r="2084">
          <cell r="A2084" t="str">
            <v>LYQ-MY6287-K0-S</v>
          </cell>
          <cell r="B2084" t="str">
            <v>LYQ-MY6287</v>
          </cell>
        </row>
        <row r="2085">
          <cell r="A2085" t="str">
            <v>LYQ-MY6287-K0-XL</v>
          </cell>
          <cell r="B2085" t="str">
            <v>LYQ-MY6287</v>
          </cell>
        </row>
        <row r="2086">
          <cell r="A2086" t="str">
            <v>LYQ-MY6287-N5-L</v>
          </cell>
          <cell r="B2086" t="str">
            <v>LYQ-MY6287</v>
          </cell>
        </row>
        <row r="2087">
          <cell r="A2087" t="str">
            <v>LYQ-MY6287-N5-M</v>
          </cell>
          <cell r="B2087" t="str">
            <v>LYQ-MY6287</v>
          </cell>
        </row>
        <row r="2088">
          <cell r="A2088" t="str">
            <v>LYQ-MY6287-N5-S</v>
          </cell>
          <cell r="B2088" t="str">
            <v>LYQ-MY6287</v>
          </cell>
        </row>
        <row r="2089">
          <cell r="A2089" t="str">
            <v>LYQ-MY6287-P0-L</v>
          </cell>
          <cell r="B2089" t="str">
            <v>LYQ-MY6287</v>
          </cell>
        </row>
        <row r="2090">
          <cell r="A2090" t="str">
            <v>LYQ-MY6287-P0-M</v>
          </cell>
          <cell r="B2090" t="str">
            <v>LYQ-MY6287</v>
          </cell>
        </row>
        <row r="2091">
          <cell r="A2091" t="str">
            <v>LYQ-MY6287-P0-S</v>
          </cell>
          <cell r="B2091" t="str">
            <v>LYQ-MY6287</v>
          </cell>
        </row>
        <row r="2092">
          <cell r="A2092" t="str">
            <v>LYQ-MY6287-P0-XL</v>
          </cell>
          <cell r="B2092" t="str">
            <v>LYQ-MY6287</v>
          </cell>
        </row>
        <row r="2093">
          <cell r="A2093" t="str">
            <v>LYQ-MY6287-R0-L</v>
          </cell>
          <cell r="B2093" t="str">
            <v>LYQ-MY6287</v>
          </cell>
        </row>
        <row r="2094">
          <cell r="A2094" t="str">
            <v>LYQ-MY6287-R0-M</v>
          </cell>
          <cell r="B2094" t="str">
            <v>LYQ-MY6287</v>
          </cell>
        </row>
        <row r="2095">
          <cell r="A2095" t="str">
            <v>LYQ-MY6287-R0-S</v>
          </cell>
          <cell r="B2095" t="str">
            <v>LYQ-MY6287</v>
          </cell>
        </row>
        <row r="2096">
          <cell r="A2096" t="str">
            <v>LYQ-MY6287-R0-XL</v>
          </cell>
          <cell r="B2096" t="str">
            <v>LYQ-MY6287</v>
          </cell>
        </row>
        <row r="2097">
          <cell r="A2097" t="str">
            <v>LYQ-MY6287-R2-L</v>
          </cell>
          <cell r="B2097" t="str">
            <v>LYQ-MY6287</v>
          </cell>
        </row>
        <row r="2098">
          <cell r="A2098" t="str">
            <v>LYQ-MY6287-R2-M</v>
          </cell>
          <cell r="B2098" t="str">
            <v>LYQ-MY6287</v>
          </cell>
        </row>
        <row r="2099">
          <cell r="A2099" t="str">
            <v>LYQ-MY6287-R2-S</v>
          </cell>
          <cell r="B2099" t="str">
            <v>LYQ-MY6287</v>
          </cell>
        </row>
        <row r="2100">
          <cell r="A2100" t="str">
            <v>LYQ-MY6287-R2-XL</v>
          </cell>
          <cell r="B2100" t="str">
            <v>LYQ-MY6287</v>
          </cell>
        </row>
        <row r="2101">
          <cell r="A2101" t="str">
            <v>LYQ-MY6287-R6-L</v>
          </cell>
          <cell r="B2101" t="str">
            <v>LYQ-MY6287</v>
          </cell>
        </row>
        <row r="2102">
          <cell r="A2102" t="str">
            <v>LYQ-MY6287-R6-M</v>
          </cell>
          <cell r="B2102" t="str">
            <v>LYQ-MY6287</v>
          </cell>
        </row>
        <row r="2103">
          <cell r="A2103" t="str">
            <v>LYQ-MY6287-W0-L</v>
          </cell>
          <cell r="B2103" t="str">
            <v>LYQ-MY6287</v>
          </cell>
        </row>
        <row r="2104">
          <cell r="A2104" t="str">
            <v>LYQ-MY6287-W0-M</v>
          </cell>
          <cell r="B2104" t="str">
            <v>LYQ-MY6287</v>
          </cell>
        </row>
        <row r="2105">
          <cell r="A2105" t="str">
            <v>LYQ-MY6287-W0-S</v>
          </cell>
          <cell r="B2105" t="str">
            <v>LYQ-MY6287</v>
          </cell>
        </row>
        <row r="2106">
          <cell r="A2106" t="str">
            <v>LYQ-MY6287-W0-XL</v>
          </cell>
          <cell r="B2106" t="str">
            <v>LYQ-MY6287</v>
          </cell>
        </row>
        <row r="2107">
          <cell r="A2107" t="str">
            <v>LYQ-MY6287-XS-L</v>
          </cell>
          <cell r="B2107" t="str">
            <v>LYQ-MY6287</v>
          </cell>
        </row>
        <row r="2108">
          <cell r="A2108" t="str">
            <v>LYQ-MY6287-XS-M</v>
          </cell>
          <cell r="B2108" t="str">
            <v>LYQ-MY6287</v>
          </cell>
        </row>
        <row r="2109">
          <cell r="A2109" t="str">
            <v>LYQ-MY6287-XS-S</v>
          </cell>
          <cell r="B2109" t="str">
            <v>LYQ-MY6287</v>
          </cell>
        </row>
        <row r="2110">
          <cell r="A2110" t="str">
            <v>LYQ-MY6287-Y0-L</v>
          </cell>
          <cell r="B2110" t="str">
            <v>LYQ-MY6287</v>
          </cell>
        </row>
        <row r="2111">
          <cell r="A2111" t="str">
            <v>LYQ--MY-MX02-K0-L</v>
          </cell>
          <cell r="B2111" t="str">
            <v>LYQ--MY-MX02</v>
          </cell>
        </row>
        <row r="2112">
          <cell r="A2112" t="str">
            <v>LYQ--MY-MX02-K0-M</v>
          </cell>
          <cell r="B2112" t="str">
            <v>LYQ--MY-MX02</v>
          </cell>
        </row>
        <row r="2113">
          <cell r="A2113" t="str">
            <v>LYQ--MY-MX02-K0-S</v>
          </cell>
          <cell r="B2113" t="str">
            <v>LYQ--MY-MX02</v>
          </cell>
        </row>
        <row r="2114">
          <cell r="A2114" t="str">
            <v>LYQ--MY-MX02-K0-XL</v>
          </cell>
          <cell r="B2114" t="str">
            <v>LYQ--MY-MX02</v>
          </cell>
        </row>
        <row r="2115">
          <cell r="A2115" t="str">
            <v>LYQ--MY-MX02-N0-L</v>
          </cell>
          <cell r="B2115" t="str">
            <v>LYQ--MY-MX02</v>
          </cell>
        </row>
        <row r="2116">
          <cell r="A2116" t="str">
            <v>LYQ--MY-MX02-N0-M</v>
          </cell>
          <cell r="B2116" t="str">
            <v>LYQ--MY-MX02</v>
          </cell>
        </row>
        <row r="2117">
          <cell r="A2117" t="str">
            <v>LYQ--MY-MX02-N0-S</v>
          </cell>
          <cell r="B2117" t="str">
            <v>LYQ--MY-MX02</v>
          </cell>
        </row>
        <row r="2118">
          <cell r="A2118" t="str">
            <v>LYQ--MY-MX02-N0-XL</v>
          </cell>
          <cell r="B2118" t="str">
            <v>LYQ--MY-MX02</v>
          </cell>
        </row>
        <row r="2119">
          <cell r="A2119" t="str">
            <v>LYQ--MY-MX02-P0-L</v>
          </cell>
          <cell r="B2119" t="str">
            <v>LYQ--MY-MX02</v>
          </cell>
        </row>
        <row r="2120">
          <cell r="A2120" t="str">
            <v>LYQ--MY-MX02-P0-M</v>
          </cell>
          <cell r="B2120" t="str">
            <v>LYQ--MY-MX02</v>
          </cell>
        </row>
        <row r="2121">
          <cell r="A2121" t="str">
            <v>LYQ--MY-MX02-P0-S</v>
          </cell>
          <cell r="B2121" t="str">
            <v>LYQ--MY-MX02</v>
          </cell>
        </row>
        <row r="2122">
          <cell r="A2122" t="str">
            <v>LYQ--MY-MX02-P0-XL</v>
          </cell>
          <cell r="B2122" t="str">
            <v>LYQ--MY-MX02</v>
          </cell>
        </row>
        <row r="2123">
          <cell r="A2123" t="str">
            <v>LYQ--MY-MX02-R0-L</v>
          </cell>
          <cell r="B2123" t="str">
            <v>LYQ--MY-MX02</v>
          </cell>
        </row>
        <row r="2124">
          <cell r="A2124" t="str">
            <v>LYQ--MY-MX02-R0-M</v>
          </cell>
          <cell r="B2124" t="str">
            <v>LYQ--MY-MX02</v>
          </cell>
        </row>
        <row r="2125">
          <cell r="A2125" t="str">
            <v>LYQ--MY-MX02-R0-S</v>
          </cell>
          <cell r="B2125" t="str">
            <v>LYQ--MY-MX02</v>
          </cell>
        </row>
        <row r="2126">
          <cell r="A2126" t="str">
            <v>LYQ--MY-MX02-R0-XL</v>
          </cell>
          <cell r="B2126" t="str">
            <v>LYQ--MY-MX02</v>
          </cell>
        </row>
        <row r="2127">
          <cell r="A2127" t="str">
            <v>LYQ-NA1010-B0-2X</v>
          </cell>
          <cell r="B2127" t="str">
            <v>LYQ-NA1010</v>
          </cell>
        </row>
        <row r="2128">
          <cell r="A2128" t="str">
            <v>LYQ-NA1010-B0-L</v>
          </cell>
          <cell r="B2128" t="str">
            <v>LYQ-NA1010</v>
          </cell>
        </row>
        <row r="2129">
          <cell r="A2129" t="str">
            <v>LYQ-NA1010-B0-M</v>
          </cell>
          <cell r="B2129" t="str">
            <v>LYQ-NA1010</v>
          </cell>
        </row>
        <row r="2130">
          <cell r="A2130" t="str">
            <v>LYQ-NA1010-B0-S</v>
          </cell>
          <cell r="B2130" t="str">
            <v>LYQ-NA1010</v>
          </cell>
        </row>
        <row r="2131">
          <cell r="A2131" t="str">
            <v>LYQ-NA1010-B0-XL</v>
          </cell>
          <cell r="B2131" t="str">
            <v>LYQ-NA1010</v>
          </cell>
        </row>
        <row r="2132">
          <cell r="A2132" t="str">
            <v>LYQ-NA1010-B0-XS</v>
          </cell>
          <cell r="B2132" t="str">
            <v>LYQ-NA1010</v>
          </cell>
        </row>
        <row r="2133">
          <cell r="A2133" t="str">
            <v>LYQ-NA1010-G0-2X</v>
          </cell>
          <cell r="B2133" t="str">
            <v>LYQ-NA1010</v>
          </cell>
        </row>
        <row r="2134">
          <cell r="A2134" t="str">
            <v>LYQ-NA1010-G0-L</v>
          </cell>
          <cell r="B2134" t="str">
            <v>LYQ-NA1010</v>
          </cell>
        </row>
        <row r="2135">
          <cell r="A2135" t="str">
            <v>LYQ-NA1010-G0-M</v>
          </cell>
          <cell r="B2135" t="str">
            <v>LYQ-NA1010</v>
          </cell>
        </row>
        <row r="2136">
          <cell r="A2136" t="str">
            <v>LYQ-NA1010-G0-S</v>
          </cell>
          <cell r="B2136" t="str">
            <v>LYQ-NA1010</v>
          </cell>
        </row>
        <row r="2137">
          <cell r="A2137" t="str">
            <v>LYQ-NA1010-G0-XL</v>
          </cell>
          <cell r="B2137" t="str">
            <v>LYQ-NA1010</v>
          </cell>
        </row>
        <row r="2138">
          <cell r="A2138" t="str">
            <v>LYQ-NA1010-G0-XS</v>
          </cell>
          <cell r="B2138" t="str">
            <v>LYQ-NA1010</v>
          </cell>
        </row>
        <row r="2139">
          <cell r="A2139" t="str">
            <v>LYQ-NA1010-G7-2X</v>
          </cell>
          <cell r="B2139" t="str">
            <v>LYQ-NA1010</v>
          </cell>
        </row>
        <row r="2140">
          <cell r="A2140" t="str">
            <v>LYQ-NA1010-G7-L</v>
          </cell>
          <cell r="B2140" t="str">
            <v>LYQ-NA1010</v>
          </cell>
        </row>
        <row r="2141">
          <cell r="A2141" t="str">
            <v>LYQ-NA1010-G7-M</v>
          </cell>
          <cell r="B2141" t="str">
            <v>LYQ-NA1010</v>
          </cell>
        </row>
        <row r="2142">
          <cell r="A2142" t="str">
            <v>LYQ-NA1010-G7-S</v>
          </cell>
          <cell r="B2142" t="str">
            <v>LYQ-NA1010</v>
          </cell>
        </row>
        <row r="2143">
          <cell r="A2143" t="str">
            <v>LYQ-NA1010-G7-XL</v>
          </cell>
          <cell r="B2143" t="str">
            <v>LYQ-NA1010</v>
          </cell>
        </row>
        <row r="2144">
          <cell r="A2144" t="str">
            <v>LYQ-NA1010-G7-XS</v>
          </cell>
          <cell r="B2144" t="str">
            <v>LYQ-NA1010</v>
          </cell>
        </row>
        <row r="2145">
          <cell r="A2145" t="str">
            <v>LYQ-NA1010-K0-2X</v>
          </cell>
          <cell r="B2145" t="str">
            <v>LYQ-NA1010</v>
          </cell>
        </row>
        <row r="2146">
          <cell r="A2146" t="str">
            <v>LYQ-NA1010-K0-L</v>
          </cell>
          <cell r="B2146" t="str">
            <v>LYQ-NA1010</v>
          </cell>
        </row>
        <row r="2147">
          <cell r="A2147" t="str">
            <v>LYQ-NA1010-K0-M</v>
          </cell>
          <cell r="B2147" t="str">
            <v>LYQ-NA1010</v>
          </cell>
        </row>
        <row r="2148">
          <cell r="A2148" t="str">
            <v>LYQ-NA1010-K0-S</v>
          </cell>
          <cell r="B2148" t="str">
            <v>LYQ-NA1010</v>
          </cell>
        </row>
        <row r="2149">
          <cell r="A2149" t="str">
            <v>LYQ-NA1010-K0-XL</v>
          </cell>
          <cell r="B2149" t="str">
            <v>LYQ-NA1010</v>
          </cell>
        </row>
        <row r="2150">
          <cell r="A2150" t="str">
            <v>LYQ-NA1010-K0-XS</v>
          </cell>
          <cell r="B2150" t="str">
            <v>LYQ-NA1010</v>
          </cell>
        </row>
        <row r="2151">
          <cell r="A2151" t="str">
            <v>LYQ-NA1010-KQ-2X</v>
          </cell>
          <cell r="B2151" t="str">
            <v>LYQ-NA1010</v>
          </cell>
        </row>
        <row r="2152">
          <cell r="A2152" t="str">
            <v>LYQ-NA1010-KQ-L</v>
          </cell>
          <cell r="B2152" t="str">
            <v>LYQ-NA1010</v>
          </cell>
        </row>
        <row r="2153">
          <cell r="A2153" t="str">
            <v>LYQ-NA1010-KQ-M</v>
          </cell>
          <cell r="B2153" t="str">
            <v>LYQ-NA1010</v>
          </cell>
        </row>
        <row r="2154">
          <cell r="A2154" t="str">
            <v>LYQ-NA1010-KQ-S</v>
          </cell>
          <cell r="B2154" t="str">
            <v>LYQ-NA1010</v>
          </cell>
        </row>
        <row r="2155">
          <cell r="A2155" t="str">
            <v>LYQ-NA1010-KQ-XL</v>
          </cell>
          <cell r="B2155" t="str">
            <v>LYQ-NA1010</v>
          </cell>
        </row>
        <row r="2156">
          <cell r="A2156" t="str">
            <v>LYQ-NA1010-KQ-XS</v>
          </cell>
          <cell r="B2156" t="str">
            <v>LYQ-NA1010</v>
          </cell>
        </row>
        <row r="2157">
          <cell r="A2157" t="str">
            <v>LYQ-NA1010-N0-2X</v>
          </cell>
          <cell r="B2157" t="str">
            <v>LYQ-NA1010</v>
          </cell>
        </row>
        <row r="2158">
          <cell r="A2158" t="str">
            <v>LYQ-NA1010-N0-L</v>
          </cell>
          <cell r="B2158" t="str">
            <v>LYQ-NA1010</v>
          </cell>
        </row>
        <row r="2159">
          <cell r="A2159" t="str">
            <v>LYQ-NA1010-N0-M</v>
          </cell>
          <cell r="B2159" t="str">
            <v>LYQ-NA1010</v>
          </cell>
        </row>
        <row r="2160">
          <cell r="A2160" t="str">
            <v>LYQ-NA1010-N0-S</v>
          </cell>
          <cell r="B2160" t="str">
            <v>LYQ-NA1010</v>
          </cell>
        </row>
        <row r="2161">
          <cell r="A2161" t="str">
            <v>LYQ-NA1010-N0-XL</v>
          </cell>
          <cell r="B2161" t="str">
            <v>LYQ-NA1010</v>
          </cell>
        </row>
        <row r="2162">
          <cell r="A2162" t="str">
            <v>LYQ-NA1010-N0-XS</v>
          </cell>
          <cell r="B2162" t="str">
            <v>LYQ-NA1010</v>
          </cell>
        </row>
        <row r="2163">
          <cell r="A2163" t="str">
            <v>LYQ-NA1010-P0-2X</v>
          </cell>
          <cell r="B2163" t="str">
            <v>LYQ-NA1010</v>
          </cell>
        </row>
        <row r="2164">
          <cell r="A2164" t="str">
            <v>LYQ-NA1010-P0-L</v>
          </cell>
          <cell r="B2164" t="str">
            <v>LYQ-NA1010</v>
          </cell>
        </row>
        <row r="2165">
          <cell r="A2165" t="str">
            <v>LYQ-NA1010-P0-M</v>
          </cell>
          <cell r="B2165" t="str">
            <v>LYQ-NA1010</v>
          </cell>
        </row>
        <row r="2166">
          <cell r="A2166" t="str">
            <v>LYQ-NA1010-P0-S</v>
          </cell>
          <cell r="B2166" t="str">
            <v>LYQ-NA1010</v>
          </cell>
        </row>
        <row r="2167">
          <cell r="A2167" t="str">
            <v>LYQ-NA1010-P0-XL</v>
          </cell>
          <cell r="B2167" t="str">
            <v>LYQ-NA1010</v>
          </cell>
        </row>
        <row r="2168">
          <cell r="A2168" t="str">
            <v>LYQ-NA1010-P0-XS</v>
          </cell>
          <cell r="B2168" t="str">
            <v>LYQ-NA1010</v>
          </cell>
        </row>
        <row r="2169">
          <cell r="A2169" t="str">
            <v>LYQ-NA1010-R0-2X</v>
          </cell>
          <cell r="B2169" t="str">
            <v>LYQ-NA1010</v>
          </cell>
        </row>
        <row r="2170">
          <cell r="A2170" t="str">
            <v>LYQ-NA1010-R0-L</v>
          </cell>
          <cell r="B2170" t="str">
            <v>LYQ-NA1010</v>
          </cell>
        </row>
        <row r="2171">
          <cell r="A2171" t="str">
            <v>LYQ-NA1010-R0-M</v>
          </cell>
          <cell r="B2171" t="str">
            <v>LYQ-NA1010</v>
          </cell>
        </row>
        <row r="2172">
          <cell r="A2172" t="str">
            <v>LYQ-NA1010-R0-S</v>
          </cell>
          <cell r="B2172" t="str">
            <v>LYQ-NA1010</v>
          </cell>
        </row>
        <row r="2173">
          <cell r="A2173" t="str">
            <v>LYQ-NA1010-R0-XL</v>
          </cell>
          <cell r="B2173" t="str">
            <v>LYQ-NA1010</v>
          </cell>
        </row>
        <row r="2174">
          <cell r="A2174" t="str">
            <v>LYQ-NA1010-R0-XS</v>
          </cell>
          <cell r="B2174" t="str">
            <v>LYQ-NA1010</v>
          </cell>
        </row>
        <row r="2175">
          <cell r="A2175" t="str">
            <v>LYQ-NA1010-W0-2X</v>
          </cell>
          <cell r="B2175" t="str">
            <v>LYQ-NA1010</v>
          </cell>
        </row>
        <row r="2176">
          <cell r="A2176" t="str">
            <v>LYQ-NA1010-W0-L</v>
          </cell>
          <cell r="B2176" t="str">
            <v>LYQ-NA1010</v>
          </cell>
        </row>
        <row r="2177">
          <cell r="A2177" t="str">
            <v>LYQ-NA1010-W0-M</v>
          </cell>
          <cell r="B2177" t="str">
            <v>LYQ-NA1010</v>
          </cell>
        </row>
        <row r="2178">
          <cell r="A2178" t="str">
            <v>LYQ-NA1010-W0-S</v>
          </cell>
          <cell r="B2178" t="str">
            <v>LYQ-NA1010</v>
          </cell>
        </row>
        <row r="2179">
          <cell r="A2179" t="str">
            <v>LYQ-NA1010-W0-XL</v>
          </cell>
          <cell r="B2179" t="str">
            <v>LYQ-NA1010</v>
          </cell>
        </row>
        <row r="2180">
          <cell r="A2180" t="str">
            <v>LYQ-NA1010-W0-XS</v>
          </cell>
          <cell r="B2180" t="str">
            <v>LYQ-NA1010</v>
          </cell>
        </row>
        <row r="2181">
          <cell r="A2181" t="str">
            <v>LYQ-NA1010-Z0-2X</v>
          </cell>
          <cell r="B2181" t="str">
            <v>LYQ-NA1010</v>
          </cell>
        </row>
        <row r="2182">
          <cell r="A2182" t="str">
            <v>LYQ-NA1010-Z0-L</v>
          </cell>
          <cell r="B2182" t="str">
            <v>LYQ-NA1010</v>
          </cell>
        </row>
        <row r="2183">
          <cell r="A2183" t="str">
            <v>LYQ-NA1010-Z0-M</v>
          </cell>
          <cell r="B2183" t="str">
            <v>LYQ-NA1010</v>
          </cell>
        </row>
        <row r="2184">
          <cell r="A2184" t="str">
            <v>LYQ-NA1010-Z0-S</v>
          </cell>
          <cell r="B2184" t="str">
            <v>LYQ-NA1010</v>
          </cell>
        </row>
        <row r="2185">
          <cell r="A2185" t="str">
            <v>LYQ-NA1010-Z0-XL</v>
          </cell>
          <cell r="B2185" t="str">
            <v>LYQ-NA1010</v>
          </cell>
        </row>
        <row r="2186">
          <cell r="A2186" t="str">
            <v>LYQ-NA1010-Z0-XS</v>
          </cell>
          <cell r="B2186" t="str">
            <v>LYQ-NA1010</v>
          </cell>
        </row>
        <row r="2187">
          <cell r="A2187" t="str">
            <v>LYQ-SD16-BD-L</v>
          </cell>
          <cell r="B2187" t="str">
            <v>LYQ-SD16</v>
          </cell>
        </row>
        <row r="2188">
          <cell r="A2188" t="str">
            <v>LYQ-SD16-BD-M</v>
          </cell>
          <cell r="B2188" t="str">
            <v>LYQ-SD16</v>
          </cell>
        </row>
        <row r="2189">
          <cell r="A2189" t="str">
            <v>LYQ-SD16-BD-S</v>
          </cell>
          <cell r="B2189" t="str">
            <v>LYQ-SD16</v>
          </cell>
        </row>
        <row r="2190">
          <cell r="A2190" t="str">
            <v>LYQ-SD16-BD-XL</v>
          </cell>
          <cell r="B2190" t="str">
            <v>LYQ-SD16</v>
          </cell>
        </row>
        <row r="2191">
          <cell r="A2191" t="str">
            <v>LYQ-SD16-G7-L</v>
          </cell>
          <cell r="B2191" t="str">
            <v>LYQ-SD16</v>
          </cell>
        </row>
        <row r="2192">
          <cell r="A2192" t="str">
            <v>LYQ-SD16-G7-M</v>
          </cell>
          <cell r="B2192" t="str">
            <v>LYQ-SD16</v>
          </cell>
        </row>
        <row r="2193">
          <cell r="A2193" t="str">
            <v>LYQ-SD16-G7-S</v>
          </cell>
          <cell r="B2193" t="str">
            <v>LYQ-SD16</v>
          </cell>
        </row>
        <row r="2194">
          <cell r="A2194" t="str">
            <v>LYQ-SD16-G7-XL</v>
          </cell>
          <cell r="B2194" t="str">
            <v>LYQ-SD16</v>
          </cell>
        </row>
        <row r="2195">
          <cell r="A2195" t="str">
            <v>LYQ-SD16-K0-L</v>
          </cell>
          <cell r="B2195" t="str">
            <v>LYQ-SD16</v>
          </cell>
        </row>
        <row r="2196">
          <cell r="A2196" t="str">
            <v>LYQ-SD16-K0-M</v>
          </cell>
          <cell r="B2196" t="str">
            <v>LYQ-SD16</v>
          </cell>
        </row>
        <row r="2197">
          <cell r="A2197" t="str">
            <v>LYQ-SD16-K0-S</v>
          </cell>
          <cell r="B2197" t="str">
            <v>LYQ-SD16</v>
          </cell>
        </row>
        <row r="2198">
          <cell r="A2198" t="str">
            <v>LYQ-SD16-K0-XL</v>
          </cell>
          <cell r="B2198" t="str">
            <v>LYQ-SD16</v>
          </cell>
        </row>
        <row r="2199">
          <cell r="A2199" t="str">
            <v>LYQ-SD16-N0-L</v>
          </cell>
          <cell r="B2199" t="str">
            <v>LYQ-SD16</v>
          </cell>
        </row>
        <row r="2200">
          <cell r="A2200" t="str">
            <v>LYQ-SD16-N0-M</v>
          </cell>
          <cell r="B2200" t="str">
            <v>LYQ-SD16</v>
          </cell>
        </row>
        <row r="2201">
          <cell r="A2201" t="str">
            <v>LYQ-SD16-N0-S</v>
          </cell>
          <cell r="B2201" t="str">
            <v>LYQ-SD16</v>
          </cell>
        </row>
        <row r="2202">
          <cell r="A2202" t="str">
            <v>LYQ-SD16-N0-XL</v>
          </cell>
          <cell r="B2202" t="str">
            <v>LYQ-SD16</v>
          </cell>
        </row>
        <row r="2203">
          <cell r="A2203" t="str">
            <v>LYQ-SD16-Y0-L</v>
          </cell>
          <cell r="B2203" t="str">
            <v>LYQ-SD16</v>
          </cell>
        </row>
        <row r="2204">
          <cell r="A2204" t="str">
            <v>LYQ-SD16-Y0-M</v>
          </cell>
          <cell r="B2204" t="str">
            <v>LYQ-SD16</v>
          </cell>
        </row>
        <row r="2205">
          <cell r="A2205" t="str">
            <v>LYQ-SD16-Y0-S</v>
          </cell>
          <cell r="B2205" t="str">
            <v>LYQ-SD16</v>
          </cell>
        </row>
        <row r="2206">
          <cell r="A2206" t="str">
            <v>LYQ-SD16-Y0-XL</v>
          </cell>
          <cell r="B2206" t="str">
            <v>LYQ-SD16</v>
          </cell>
        </row>
        <row r="2207">
          <cell r="A2207" t="str">
            <v>LYQ-SD16-ZL-L</v>
          </cell>
          <cell r="B2207" t="str">
            <v>LYQ-SD16</v>
          </cell>
        </row>
        <row r="2208">
          <cell r="A2208" t="str">
            <v>LYQ-SD16-ZL-M</v>
          </cell>
          <cell r="B2208" t="str">
            <v>LYQ-SD16</v>
          </cell>
        </row>
        <row r="2209">
          <cell r="A2209" t="str">
            <v>LYQ-SD16-ZL-S</v>
          </cell>
          <cell r="B2209" t="str">
            <v>LYQ-SD16</v>
          </cell>
        </row>
        <row r="2210">
          <cell r="A2210" t="str">
            <v>LYQ-SD16-ZL-XL</v>
          </cell>
          <cell r="B2210" t="str">
            <v>LYQ-SD16</v>
          </cell>
        </row>
        <row r="2211">
          <cell r="A2211" t="str">
            <v>LYQ-TW03-B0-L</v>
          </cell>
          <cell r="B2211" t="str">
            <v>LYQ-TW03</v>
          </cell>
        </row>
        <row r="2212">
          <cell r="A2212" t="str">
            <v>LYQ-TW03-B0-M</v>
          </cell>
          <cell r="B2212" t="str">
            <v>LYQ-TW03</v>
          </cell>
        </row>
        <row r="2213">
          <cell r="A2213" t="str">
            <v>LYQ-TW03-B0-S</v>
          </cell>
          <cell r="B2213" t="str">
            <v>LYQ-TW03</v>
          </cell>
        </row>
        <row r="2214">
          <cell r="A2214" t="str">
            <v>LYQ-TW03-B0-XL</v>
          </cell>
          <cell r="B2214" t="str">
            <v>LYQ-TW03</v>
          </cell>
        </row>
        <row r="2215">
          <cell r="A2215" t="str">
            <v>LYQ-TW03-B0-XXL</v>
          </cell>
          <cell r="B2215" t="str">
            <v>LYQ-TW03</v>
          </cell>
        </row>
        <row r="2216">
          <cell r="A2216" t="str">
            <v>LYQ-TW03-K0-L</v>
          </cell>
          <cell r="B2216" t="str">
            <v>LYQ-TW03</v>
          </cell>
        </row>
        <row r="2217">
          <cell r="A2217" t="str">
            <v>LYQ-TW03-K0-M</v>
          </cell>
          <cell r="B2217" t="str">
            <v>LYQ-TW03</v>
          </cell>
        </row>
        <row r="2218">
          <cell r="A2218" t="str">
            <v>LYQ-TW03-K0-S</v>
          </cell>
          <cell r="B2218" t="str">
            <v>LYQ-TW03</v>
          </cell>
        </row>
        <row r="2219">
          <cell r="A2219" t="str">
            <v>LYQ-TW03-K0-XL</v>
          </cell>
          <cell r="B2219" t="str">
            <v>LYQ-TW03</v>
          </cell>
        </row>
        <row r="2220">
          <cell r="A2220" t="str">
            <v>LYQ-TW03-K0-XXL</v>
          </cell>
          <cell r="B2220" t="str">
            <v>LYQ-TW03</v>
          </cell>
        </row>
        <row r="2221">
          <cell r="A2221" t="str">
            <v>LYQ-WH885-RO-L</v>
          </cell>
          <cell r="B2221" t="str">
            <v>LYQ-WH885</v>
          </cell>
        </row>
        <row r="2222">
          <cell r="A2222" t="str">
            <v>LYQ-WH885-RO-M</v>
          </cell>
          <cell r="B2222" t="str">
            <v>LYQ-WH885</v>
          </cell>
        </row>
        <row r="2223">
          <cell r="A2223" t="str">
            <v>LYQ-WH885-RO-S</v>
          </cell>
          <cell r="B2223" t="str">
            <v>LYQ-WH885</v>
          </cell>
        </row>
        <row r="2224">
          <cell r="A2224" t="str">
            <v>LYQ-WH885-RO-XL</v>
          </cell>
          <cell r="B2224" t="str">
            <v>LYQ-WH885</v>
          </cell>
        </row>
        <row r="2225">
          <cell r="A2225" t="str">
            <v>LYQ-WH885-ZL-L</v>
          </cell>
          <cell r="B2225" t="str">
            <v>LYQ-WH885</v>
          </cell>
        </row>
        <row r="2226">
          <cell r="A2226" t="str">
            <v>LYQ-WH885-ZL-M</v>
          </cell>
          <cell r="B2226" t="str">
            <v>LYQ-WH885</v>
          </cell>
        </row>
        <row r="2227">
          <cell r="A2227" t="str">
            <v>LYQ-WH885-ZL-S</v>
          </cell>
          <cell r="B2227" t="str">
            <v>LYQ-WH885</v>
          </cell>
        </row>
        <row r="2228">
          <cell r="A2228" t="str">
            <v>LYQ-WH885-ZL-XL</v>
          </cell>
          <cell r="B2228" t="str">
            <v>LYQ-WH885</v>
          </cell>
        </row>
        <row r="2229">
          <cell r="A2229" t="str">
            <v>LYQ-YY05</v>
          </cell>
          <cell r="B2229" t="str">
            <v>LYQ-YY05</v>
          </cell>
        </row>
        <row r="2230">
          <cell r="A2230" t="str">
            <v>LYQ-YY05-E0-L</v>
          </cell>
          <cell r="B2230" t="str">
            <v>LYQ-YY05</v>
          </cell>
        </row>
        <row r="2231">
          <cell r="A2231" t="str">
            <v>LYQ-YY05-E0-M</v>
          </cell>
          <cell r="B2231" t="str">
            <v>LYQ-YY05</v>
          </cell>
        </row>
        <row r="2232">
          <cell r="A2232" t="str">
            <v>LYQ-YY05-E0-S</v>
          </cell>
          <cell r="B2232" t="str">
            <v>LYQ-YY05</v>
          </cell>
        </row>
        <row r="2233">
          <cell r="A2233" t="str">
            <v>LYQ-YY05-E0-XL</v>
          </cell>
          <cell r="B2233" t="str">
            <v>LYQ-YY05</v>
          </cell>
        </row>
        <row r="2234">
          <cell r="A2234" t="str">
            <v>LYQ-YY05-K0-L</v>
          </cell>
          <cell r="B2234" t="str">
            <v>LYQ-YY05</v>
          </cell>
        </row>
        <row r="2235">
          <cell r="A2235" t="str">
            <v>LYQ-YY05-K0-M</v>
          </cell>
          <cell r="B2235" t="str">
            <v>LYQ-YY05</v>
          </cell>
        </row>
        <row r="2236">
          <cell r="A2236" t="str">
            <v>LYQ-YY05-K0-S</v>
          </cell>
          <cell r="B2236" t="str">
            <v>LYQ-YY05</v>
          </cell>
        </row>
        <row r="2237">
          <cell r="A2237" t="str">
            <v>LYQ-YY05-K0-XL</v>
          </cell>
          <cell r="B2237" t="str">
            <v>LYQ-YY05</v>
          </cell>
        </row>
        <row r="2238">
          <cell r="A2238" t="str">
            <v>LYQ-YY05-R0-L</v>
          </cell>
          <cell r="B2238" t="str">
            <v>LYQ-YY05</v>
          </cell>
        </row>
        <row r="2239">
          <cell r="A2239" t="str">
            <v>LYQ-YY05-R0-M</v>
          </cell>
          <cell r="B2239" t="str">
            <v>LYQ-YY05</v>
          </cell>
        </row>
        <row r="2240">
          <cell r="A2240" t="str">
            <v>LYQ-YY05-R0-S</v>
          </cell>
          <cell r="B2240" t="str">
            <v>LYQ-YY05</v>
          </cell>
        </row>
        <row r="2241">
          <cell r="A2241" t="str">
            <v>LYQ-YY05-R0-XL</v>
          </cell>
          <cell r="B2241" t="str">
            <v>LYQ-YY05</v>
          </cell>
        </row>
        <row r="2242">
          <cell r="A2242" t="str">
            <v>LYQ-YY05-ZL-L</v>
          </cell>
          <cell r="B2242" t="str">
            <v>LYQ-YY05</v>
          </cell>
        </row>
        <row r="2243">
          <cell r="A2243" t="str">
            <v>LYQ-YY05-ZL-M</v>
          </cell>
          <cell r="B2243" t="str">
            <v>LYQ-YY05</v>
          </cell>
        </row>
        <row r="2244">
          <cell r="A2244" t="str">
            <v>LYQ-YY05-ZL-S</v>
          </cell>
          <cell r="B2244" t="str">
            <v>LYQ-YY05</v>
          </cell>
        </row>
        <row r="2245">
          <cell r="A2245" t="str">
            <v>LYQ-YY05-ZL-XL</v>
          </cell>
          <cell r="B2245" t="str">
            <v>LYQ-YY05</v>
          </cell>
        </row>
        <row r="2246">
          <cell r="A2246" t="str">
            <v>LYQ-ZQ05100-L0-M</v>
          </cell>
          <cell r="B2246" t="str">
            <v>LYQ-ZQ05100</v>
          </cell>
        </row>
        <row r="2247">
          <cell r="A2247" t="str">
            <v>LYQ-ZQ1052-G0-XL</v>
          </cell>
          <cell r="B2247" t="str">
            <v>LYQ-ZQ1052</v>
          </cell>
        </row>
        <row r="2248">
          <cell r="A2248" t="str">
            <v>LYQ-ZQ1052-R0-XL</v>
          </cell>
          <cell r="B2248" t="str">
            <v>LYQ-ZQ1052</v>
          </cell>
        </row>
        <row r="2249">
          <cell r="A2249" t="str">
            <v>LYQ-ZQ1052-W0-L</v>
          </cell>
          <cell r="B2249" t="str">
            <v>LYQ-ZQ1052</v>
          </cell>
        </row>
        <row r="2250">
          <cell r="A2250" t="str">
            <v>LYQ-ZQ1052-W0-M</v>
          </cell>
          <cell r="B2250" t="str">
            <v>LYQ-ZQ1052</v>
          </cell>
        </row>
        <row r="2251">
          <cell r="A2251" t="str">
            <v>LYQ-ZQ1052-W0-S</v>
          </cell>
          <cell r="B2251" t="str">
            <v>LYQ-ZQ1052</v>
          </cell>
        </row>
        <row r="2252">
          <cell r="A2252" t="str">
            <v>LYQ-ZQ1052-W0-XL</v>
          </cell>
          <cell r="B2252" t="str">
            <v>LYQ-ZQ1052</v>
          </cell>
        </row>
        <row r="2253">
          <cell r="A2253" t="str">
            <v>LYQ-ZQ1117-B0-2X</v>
          </cell>
          <cell r="B2253" t="str">
            <v>LYQ-ZQ1117</v>
          </cell>
        </row>
        <row r="2254">
          <cell r="A2254" t="str">
            <v>LYQ-ZQ1117-B0-2XL</v>
          </cell>
          <cell r="B2254" t="str">
            <v>LYQ-ZQ1117</v>
          </cell>
        </row>
        <row r="2255">
          <cell r="A2255" t="str">
            <v>LYQ-ZQ1117-B0-L</v>
          </cell>
          <cell r="B2255" t="str">
            <v>LYQ-ZQ1117</v>
          </cell>
        </row>
        <row r="2256">
          <cell r="A2256" t="str">
            <v>LYQ-ZQ1117-B0-M</v>
          </cell>
          <cell r="B2256" t="str">
            <v>LYQ-ZQ1117</v>
          </cell>
        </row>
        <row r="2257">
          <cell r="A2257" t="str">
            <v>LYQ-ZQ1117-B0-M-GM</v>
          </cell>
          <cell r="B2257" t="str">
            <v>LYQ-ZQ1117</v>
          </cell>
        </row>
        <row r="2258">
          <cell r="A2258" t="str">
            <v>LYQ-ZQ1117-B0-S</v>
          </cell>
          <cell r="B2258" t="str">
            <v>LYQ-ZQ1117</v>
          </cell>
        </row>
        <row r="2259">
          <cell r="A2259" t="str">
            <v>LYQ-ZQ1117-B0-XL</v>
          </cell>
          <cell r="B2259" t="str">
            <v>LYQ-ZQ1117</v>
          </cell>
        </row>
        <row r="2260">
          <cell r="A2260" t="str">
            <v>LYQ-ZQ1117-BD-2X</v>
          </cell>
          <cell r="B2260" t="str">
            <v>LYQ-ZQ1117</v>
          </cell>
        </row>
        <row r="2261">
          <cell r="A2261" t="str">
            <v>LYQ-ZQ1117-BD-2XL</v>
          </cell>
          <cell r="B2261" t="str">
            <v>LYQ-ZQ1117</v>
          </cell>
        </row>
        <row r="2262">
          <cell r="A2262" t="str">
            <v>LYQ-ZQ1117-BD-L</v>
          </cell>
          <cell r="B2262" t="str">
            <v>LYQ-ZQ1117</v>
          </cell>
        </row>
        <row r="2263">
          <cell r="A2263" t="str">
            <v>LYQ-ZQ1117-BD-M</v>
          </cell>
          <cell r="B2263" t="str">
            <v>LYQ-ZQ1117</v>
          </cell>
        </row>
        <row r="2264">
          <cell r="A2264" t="str">
            <v>LYQ-ZQ1117-BD-M-GM</v>
          </cell>
          <cell r="B2264" t="str">
            <v>LYQ-ZQ1117</v>
          </cell>
        </row>
        <row r="2265">
          <cell r="A2265" t="str">
            <v>LYQ-ZQ1117-BD-S</v>
          </cell>
          <cell r="B2265" t="str">
            <v>LYQ-ZQ1117</v>
          </cell>
        </row>
        <row r="2266">
          <cell r="A2266" t="str">
            <v>LYQ-ZQ1117-BD-XL</v>
          </cell>
          <cell r="B2266" t="str">
            <v>LYQ-ZQ1117</v>
          </cell>
        </row>
        <row r="2267">
          <cell r="A2267" t="str">
            <v>LYQ-ZQ1117-C0-2X</v>
          </cell>
          <cell r="B2267" t="str">
            <v>LYQ-ZQ1117</v>
          </cell>
        </row>
        <row r="2268">
          <cell r="A2268" t="str">
            <v>LYQ-ZQ1117-C0-2XL</v>
          </cell>
          <cell r="B2268" t="str">
            <v>LYQ-ZQ1117</v>
          </cell>
        </row>
        <row r="2269">
          <cell r="A2269" t="str">
            <v>LYQ-ZQ1117-C0-2XL-GM</v>
          </cell>
          <cell r="B2269" t="str">
            <v>LYQ-ZQ1117</v>
          </cell>
        </row>
        <row r="2270">
          <cell r="A2270" t="str">
            <v>LYQ-ZQ1117-C0-L</v>
          </cell>
          <cell r="B2270" t="str">
            <v>LYQ-ZQ1117</v>
          </cell>
        </row>
        <row r="2271">
          <cell r="A2271" t="str">
            <v>LYQ-ZQ1117-C0-M</v>
          </cell>
          <cell r="B2271" t="str">
            <v>LYQ-ZQ1117</v>
          </cell>
        </row>
        <row r="2272">
          <cell r="A2272" t="str">
            <v>LYQ-ZQ1117-C0-S</v>
          </cell>
          <cell r="B2272" t="str">
            <v>LYQ-ZQ1117</v>
          </cell>
        </row>
        <row r="2273">
          <cell r="A2273" t="str">
            <v>LYQ-ZQ1117-C0-XL</v>
          </cell>
          <cell r="B2273" t="str">
            <v>LYQ-ZQ1117</v>
          </cell>
        </row>
        <row r="2274">
          <cell r="A2274" t="str">
            <v>LYQ-ZQ1117-E0-2X</v>
          </cell>
          <cell r="B2274" t="str">
            <v>LYQ-ZQ1117</v>
          </cell>
        </row>
        <row r="2275">
          <cell r="A2275" t="str">
            <v>LYQ-ZQ1117-E0-2XL</v>
          </cell>
          <cell r="B2275" t="str">
            <v>LYQ-ZQ1117</v>
          </cell>
        </row>
        <row r="2276">
          <cell r="A2276" t="str">
            <v>LYQ-ZQ1117-E0-L</v>
          </cell>
          <cell r="B2276" t="str">
            <v>LYQ-ZQ1117</v>
          </cell>
        </row>
        <row r="2277">
          <cell r="A2277" t="str">
            <v>LYQ-ZQ1117-E0-M</v>
          </cell>
          <cell r="B2277" t="str">
            <v>LYQ-ZQ1117</v>
          </cell>
        </row>
        <row r="2278">
          <cell r="A2278" t="str">
            <v>LYQ-ZQ1117-E0-M-GM</v>
          </cell>
          <cell r="B2278" t="str">
            <v>LYQ-ZQ1117</v>
          </cell>
        </row>
        <row r="2279">
          <cell r="A2279" t="str">
            <v>LYQ-ZQ1117-E0-S</v>
          </cell>
          <cell r="B2279" t="str">
            <v>LYQ-ZQ1117</v>
          </cell>
        </row>
        <row r="2280">
          <cell r="A2280" t="str">
            <v>LYQ-ZQ1117-E0-XL</v>
          </cell>
          <cell r="B2280" t="str">
            <v>LYQ-ZQ1117</v>
          </cell>
        </row>
        <row r="2281">
          <cell r="A2281" t="str">
            <v>LYQ-ZQ1117-G7-2X</v>
          </cell>
          <cell r="B2281" t="str">
            <v>LYQ-ZQ1117</v>
          </cell>
        </row>
        <row r="2282">
          <cell r="A2282" t="str">
            <v>LYQ-ZQ1117-G7-2XL</v>
          </cell>
          <cell r="B2282" t="str">
            <v>LYQ-ZQ1117</v>
          </cell>
        </row>
        <row r="2283">
          <cell r="A2283" t="str">
            <v>LYQ-ZQ1117-G7-2XL-GM</v>
          </cell>
          <cell r="B2283" t="str">
            <v>LYQ-ZQ1117</v>
          </cell>
        </row>
        <row r="2284">
          <cell r="A2284" t="str">
            <v>LYQ-ZQ1117-G7-L</v>
          </cell>
          <cell r="B2284" t="str">
            <v>LYQ-ZQ1117</v>
          </cell>
        </row>
        <row r="2285">
          <cell r="A2285" t="str">
            <v>LYQ-ZQ1117-G7-L-GM</v>
          </cell>
          <cell r="B2285" t="str">
            <v>LYQ-ZQ1117</v>
          </cell>
        </row>
        <row r="2286">
          <cell r="A2286" t="str">
            <v>LYQ-ZQ1117-G7-M</v>
          </cell>
          <cell r="B2286" t="str">
            <v>LYQ-ZQ1117</v>
          </cell>
        </row>
        <row r="2287">
          <cell r="A2287" t="str">
            <v>LYQ-ZQ1117-G7-S</v>
          </cell>
          <cell r="B2287" t="str">
            <v>LYQ-ZQ1117</v>
          </cell>
        </row>
        <row r="2288">
          <cell r="A2288" t="str">
            <v>LYQ-ZQ1117-G7-XL</v>
          </cell>
          <cell r="B2288" t="str">
            <v>LYQ-ZQ1117</v>
          </cell>
        </row>
        <row r="2289">
          <cell r="A2289" t="str">
            <v>LYQ-ZQ1117-K0-2X</v>
          </cell>
          <cell r="B2289" t="str">
            <v>LYQ-ZQ1117</v>
          </cell>
        </row>
        <row r="2290">
          <cell r="A2290" t="str">
            <v>LYQ-ZQ1117-K0-2XL</v>
          </cell>
          <cell r="B2290" t="str">
            <v>LYQ-ZQ1117</v>
          </cell>
        </row>
        <row r="2291">
          <cell r="A2291" t="str">
            <v>LYQ-ZQ1117-K0-L</v>
          </cell>
          <cell r="B2291" t="str">
            <v>LYQ-ZQ1117</v>
          </cell>
        </row>
        <row r="2292">
          <cell r="A2292" t="str">
            <v>LYQ-ZQ1117-K0-M</v>
          </cell>
          <cell r="B2292" t="str">
            <v>LYQ-ZQ1117</v>
          </cell>
        </row>
        <row r="2293">
          <cell r="A2293" t="str">
            <v>LYQ-ZQ1117-K0-S</v>
          </cell>
          <cell r="B2293" t="str">
            <v>LYQ-ZQ1117</v>
          </cell>
        </row>
        <row r="2294">
          <cell r="A2294" t="str">
            <v>LYQ-ZQ1117-K0-XL</v>
          </cell>
          <cell r="B2294" t="str">
            <v>LYQ-ZQ1117</v>
          </cell>
        </row>
        <row r="2295">
          <cell r="A2295" t="str">
            <v>LYQ-ZQ1117-KQ-2X</v>
          </cell>
          <cell r="B2295" t="str">
            <v>LYQ-ZQ1117</v>
          </cell>
        </row>
        <row r="2296">
          <cell r="A2296" t="str">
            <v>LYQ-ZQ1117-KQ-2XL</v>
          </cell>
          <cell r="B2296" t="str">
            <v>LYQ-ZQ1117</v>
          </cell>
        </row>
        <row r="2297">
          <cell r="A2297" t="str">
            <v>LYQ-ZQ1117-KQ-2XL-GM</v>
          </cell>
          <cell r="B2297" t="str">
            <v>LYQ-ZQ1117</v>
          </cell>
        </row>
        <row r="2298">
          <cell r="A2298" t="str">
            <v>LYQ-ZQ1117-KQ-L</v>
          </cell>
          <cell r="B2298" t="str">
            <v>LYQ-ZQ1117</v>
          </cell>
        </row>
        <row r="2299">
          <cell r="A2299" t="str">
            <v>LYQ-ZQ1117-KQ-M</v>
          </cell>
          <cell r="B2299" t="str">
            <v>LYQ-ZQ1117</v>
          </cell>
        </row>
        <row r="2300">
          <cell r="A2300" t="str">
            <v>LYQ-ZQ1117-KQ-M-GM</v>
          </cell>
          <cell r="B2300" t="str">
            <v>LYQ-ZQ1117</v>
          </cell>
        </row>
        <row r="2301">
          <cell r="A2301" t="str">
            <v>LYQ-ZQ1117-KQ-S</v>
          </cell>
          <cell r="B2301" t="str">
            <v>LYQ-ZQ1117</v>
          </cell>
        </row>
        <row r="2302">
          <cell r="A2302" t="str">
            <v>LYQ-ZQ1117-KQ-S-GM</v>
          </cell>
          <cell r="B2302" t="str">
            <v>LYQ-ZQ1117</v>
          </cell>
        </row>
        <row r="2303">
          <cell r="A2303" t="str">
            <v>LYQ-ZQ1117-KQ-XL</v>
          </cell>
          <cell r="B2303" t="str">
            <v>LYQ-ZQ1117</v>
          </cell>
        </row>
        <row r="2304">
          <cell r="A2304" t="str">
            <v>LYQ-ZQ-1188-K0-2XL</v>
          </cell>
          <cell r="B2304" t="str">
            <v>LYQ-ZQ-1188</v>
          </cell>
        </row>
        <row r="2305">
          <cell r="A2305" t="str">
            <v>LYQ-ZQ-1188-K0-L</v>
          </cell>
          <cell r="B2305" t="str">
            <v>LYQ-ZQ-1188</v>
          </cell>
        </row>
        <row r="2306">
          <cell r="A2306" t="str">
            <v>LYQ-ZQ-1188-K0-M</v>
          </cell>
          <cell r="B2306" t="str">
            <v>LYQ-ZQ-1188</v>
          </cell>
        </row>
        <row r="2307">
          <cell r="A2307" t="str">
            <v>LYQ-ZQ-1188-K0-S</v>
          </cell>
          <cell r="B2307" t="str">
            <v>LYQ-ZQ-1188</v>
          </cell>
        </row>
        <row r="2308">
          <cell r="A2308" t="str">
            <v>LYQ-ZQ-1188-K0-XL</v>
          </cell>
          <cell r="B2308" t="str">
            <v>LYQ-ZQ-1188</v>
          </cell>
        </row>
        <row r="2309">
          <cell r="A2309" t="str">
            <v>LYQ-ZQ-1188-P0-2XL</v>
          </cell>
          <cell r="B2309" t="str">
            <v>LYQ-ZQ-1188</v>
          </cell>
        </row>
        <row r="2310">
          <cell r="A2310" t="str">
            <v>LYQ-ZQ-1188-P0-L</v>
          </cell>
          <cell r="B2310" t="str">
            <v>LYQ-ZQ-1188</v>
          </cell>
        </row>
        <row r="2311">
          <cell r="A2311" t="str">
            <v>LYQ-ZQ-1188-P0-M</v>
          </cell>
          <cell r="B2311" t="str">
            <v>LYQ-ZQ-1188</v>
          </cell>
        </row>
        <row r="2312">
          <cell r="A2312" t="str">
            <v>LYQ-ZQ-1188-P0-S</v>
          </cell>
          <cell r="B2312" t="str">
            <v>LYQ-ZQ-1188</v>
          </cell>
        </row>
        <row r="2313">
          <cell r="A2313" t="str">
            <v>LYQ-ZQ-1188-P0-XL</v>
          </cell>
          <cell r="B2313" t="str">
            <v>LYQ-ZQ-1188</v>
          </cell>
        </row>
        <row r="2314">
          <cell r="A2314" t="str">
            <v>LYQ-ZQ-1188-W0-2XL</v>
          </cell>
          <cell r="B2314" t="str">
            <v>LYQ-ZQ-1188</v>
          </cell>
        </row>
        <row r="2315">
          <cell r="A2315" t="str">
            <v>LYQ-ZQ-1188-W0-L</v>
          </cell>
          <cell r="B2315" t="str">
            <v>LYQ-ZQ-1188</v>
          </cell>
        </row>
        <row r="2316">
          <cell r="A2316" t="str">
            <v>LYQ-ZQ-1188-W0-M</v>
          </cell>
          <cell r="B2316" t="str">
            <v>LYQ-ZQ-1188</v>
          </cell>
        </row>
        <row r="2317">
          <cell r="A2317" t="str">
            <v>LYQ-ZQ-1188-W0-S</v>
          </cell>
          <cell r="B2317" t="str">
            <v>LYQ-ZQ-1188</v>
          </cell>
        </row>
        <row r="2318">
          <cell r="A2318" t="str">
            <v>LYQ-ZQ-1188-W0-XL</v>
          </cell>
          <cell r="B2318" t="str">
            <v>LYQ-ZQ-1188</v>
          </cell>
        </row>
        <row r="2319">
          <cell r="A2319" t="str">
            <v>LYQ-ZQ-1188-ZL-2XL</v>
          </cell>
          <cell r="B2319" t="str">
            <v>LYQ-ZQ-1188</v>
          </cell>
        </row>
        <row r="2320">
          <cell r="A2320" t="str">
            <v>LYQ-ZQ-1188-ZL-L</v>
          </cell>
          <cell r="B2320" t="str">
            <v>LYQ-ZQ-1188</v>
          </cell>
        </row>
        <row r="2321">
          <cell r="A2321" t="str">
            <v>LYQ-ZQ-1199-K0-2XL</v>
          </cell>
          <cell r="B2321" t="str">
            <v>LYQ-ZQ-1199</v>
          </cell>
        </row>
        <row r="2322">
          <cell r="A2322" t="str">
            <v>LYQ-ZQ-1199-K0-L</v>
          </cell>
          <cell r="B2322" t="str">
            <v>LYQ-ZQ-1199</v>
          </cell>
        </row>
        <row r="2323">
          <cell r="A2323" t="str">
            <v>LYQ-ZQ-1199-K0-M</v>
          </cell>
          <cell r="B2323" t="str">
            <v>LYQ-ZQ-1199</v>
          </cell>
        </row>
        <row r="2324">
          <cell r="A2324" t="str">
            <v>LYQ-ZQ-1199-K0-S</v>
          </cell>
          <cell r="B2324" t="str">
            <v>LYQ-ZQ-1199</v>
          </cell>
        </row>
        <row r="2325">
          <cell r="A2325" t="str">
            <v>LYQ-ZQ-1199-K0-XL</v>
          </cell>
          <cell r="B2325" t="str">
            <v>LYQ-ZQ-1199</v>
          </cell>
        </row>
        <row r="2326">
          <cell r="A2326" t="str">
            <v>LYQ-ZQ-1199-P0-2XL</v>
          </cell>
          <cell r="B2326" t="str">
            <v>LYQ-ZQ-1199</v>
          </cell>
        </row>
        <row r="2327">
          <cell r="A2327" t="str">
            <v>LYQ-ZQ-1199-P0-L</v>
          </cell>
          <cell r="B2327" t="str">
            <v>LYQ-ZQ-1199</v>
          </cell>
        </row>
        <row r="2328">
          <cell r="A2328" t="str">
            <v>LYQ-ZQ-1199-P0-M</v>
          </cell>
          <cell r="B2328" t="str">
            <v>LYQ-ZQ-1199</v>
          </cell>
        </row>
        <row r="2329">
          <cell r="A2329" t="str">
            <v>LYQ-ZQ-1199-P0-S</v>
          </cell>
          <cell r="B2329" t="str">
            <v>LYQ-ZQ-1199</v>
          </cell>
        </row>
        <row r="2330">
          <cell r="A2330" t="str">
            <v>LYQ-ZQ-1199-P0-XL</v>
          </cell>
          <cell r="B2330" t="str">
            <v>LYQ-ZQ-1199</v>
          </cell>
        </row>
        <row r="2331">
          <cell r="A2331" t="str">
            <v>LYQ-ZQ-1199-W0-L</v>
          </cell>
          <cell r="B2331" t="str">
            <v>LYQ-ZQ-1199</v>
          </cell>
        </row>
        <row r="2332">
          <cell r="A2332" t="str">
            <v>LYQ-ZQ-1199-W0-M</v>
          </cell>
          <cell r="B2332" t="str">
            <v>LYQ-ZQ-1199</v>
          </cell>
        </row>
        <row r="2333">
          <cell r="A2333" t="str">
            <v>LYQ-ZQ-1199-W0-S</v>
          </cell>
          <cell r="B2333" t="str">
            <v>LYQ-ZQ-1199</v>
          </cell>
        </row>
        <row r="2334">
          <cell r="A2334" t="str">
            <v>LYQ-ZQ-1199-W0-XL</v>
          </cell>
          <cell r="B2334" t="str">
            <v>LYQ-ZQ-1199</v>
          </cell>
        </row>
        <row r="2335">
          <cell r="A2335" t="str">
            <v>LYQ-ZQ-1199-ZL-2XL</v>
          </cell>
          <cell r="B2335" t="str">
            <v>LYQ-ZQ-1199</v>
          </cell>
        </row>
        <row r="2336">
          <cell r="A2336" t="str">
            <v>LYQ-ZQ-1199-ZL-L</v>
          </cell>
          <cell r="B2336" t="str">
            <v>LYQ-ZQ-1199</v>
          </cell>
        </row>
        <row r="2337">
          <cell r="A2337" t="str">
            <v>LYQ-ZQ-1199-ZL-M</v>
          </cell>
          <cell r="B2337" t="str">
            <v>LYQ-ZQ-1199</v>
          </cell>
        </row>
        <row r="2338">
          <cell r="A2338" t="str">
            <v>LYQ-ZQ-1199-ZL-S</v>
          </cell>
          <cell r="B2338" t="str">
            <v>LYQ-ZQ-1199</v>
          </cell>
        </row>
        <row r="2339">
          <cell r="A2339" t="str">
            <v>LYQ-ZQ-1199-ZL-XL</v>
          </cell>
          <cell r="B2339" t="str">
            <v>LYQ-ZQ-1199</v>
          </cell>
        </row>
        <row r="2340">
          <cell r="A2340" t="str">
            <v>LYQ-ZQ1366-G0-L</v>
          </cell>
          <cell r="B2340" t="str">
            <v>LYQ-ZQ1366</v>
          </cell>
        </row>
        <row r="2341">
          <cell r="A2341" t="str">
            <v>LYQ-ZQ1428-R0-L</v>
          </cell>
          <cell r="B2341" t="str">
            <v>LYQ-ZQ1428</v>
          </cell>
        </row>
        <row r="2342">
          <cell r="A2342" t="str">
            <v>LYQ-ZQ1428-R0-M</v>
          </cell>
          <cell r="B2342" t="str">
            <v>LYQ-ZQ1428</v>
          </cell>
        </row>
        <row r="2343">
          <cell r="A2343" t="str">
            <v>LYQ-ZQ1428-R0-S</v>
          </cell>
          <cell r="B2343" t="str">
            <v>LYQ-ZQ1428</v>
          </cell>
        </row>
        <row r="2344">
          <cell r="A2344" t="str">
            <v>LYQ-ZQ1428-Y0-L</v>
          </cell>
          <cell r="B2344" t="str">
            <v>LYQ-ZQ1428</v>
          </cell>
        </row>
        <row r="2345">
          <cell r="A2345" t="str">
            <v>LYQ-ZQ1428-Y0-M</v>
          </cell>
          <cell r="B2345" t="str">
            <v>LYQ-ZQ1428</v>
          </cell>
        </row>
        <row r="2346">
          <cell r="A2346" t="str">
            <v>LYQ-ZQ1428-Y0-S</v>
          </cell>
          <cell r="B2346" t="str">
            <v>LYQ-ZQ1428</v>
          </cell>
        </row>
        <row r="2347">
          <cell r="A2347" t="str">
            <v>LYQ-ZQ1428-Y0-S-GM</v>
          </cell>
          <cell r="B2347" t="str">
            <v>LYQ-ZQ1428</v>
          </cell>
        </row>
        <row r="2348">
          <cell r="A2348" t="str">
            <v>LYQ-ZQ15454-KQ-S</v>
          </cell>
          <cell r="B2348" t="str">
            <v>LYQ-ZQ15454</v>
          </cell>
        </row>
        <row r="2349">
          <cell r="A2349" t="str">
            <v>LYQ-ZQ15454-KQ-XXL</v>
          </cell>
          <cell r="B2349" t="str">
            <v>LYQ-ZQ15454</v>
          </cell>
        </row>
        <row r="2350">
          <cell r="A2350" t="str">
            <v>LYQ-ZQ1669-B0-L</v>
          </cell>
          <cell r="B2350" t="str">
            <v>LYQ-ZQ1669</v>
          </cell>
        </row>
        <row r="2351">
          <cell r="A2351" t="str">
            <v>LYQ-ZQ1669-B0-M</v>
          </cell>
          <cell r="B2351" t="str">
            <v>LYQ-ZQ1669</v>
          </cell>
        </row>
        <row r="2352">
          <cell r="A2352" t="str">
            <v>LYQ-ZQ1669-B0-S</v>
          </cell>
          <cell r="B2352" t="str">
            <v>LYQ-ZQ1669</v>
          </cell>
        </row>
        <row r="2353">
          <cell r="A2353" t="str">
            <v>LYQ-ZQ1669-B0-XL</v>
          </cell>
          <cell r="B2353" t="str">
            <v>LYQ-ZQ1669</v>
          </cell>
        </row>
        <row r="2354">
          <cell r="A2354" t="str">
            <v>LYQ-ZQ1880-R0-L</v>
          </cell>
          <cell r="B2354" t="str">
            <v>LYQ-ZQ1880</v>
          </cell>
        </row>
        <row r="2355">
          <cell r="A2355" t="str">
            <v>LYQ-ZQ1880-R0-L -Gm</v>
          </cell>
          <cell r="B2355" t="str">
            <v>LYQ-ZQ1880</v>
          </cell>
        </row>
        <row r="2356">
          <cell r="A2356" t="str">
            <v>LYQ-ZQ1880-R0-M</v>
          </cell>
          <cell r="B2356" t="str">
            <v>LYQ-ZQ1880</v>
          </cell>
        </row>
        <row r="2357">
          <cell r="A2357" t="str">
            <v>LYQ-ZQ1880-R0-S</v>
          </cell>
          <cell r="B2357" t="str">
            <v>LYQ-ZQ1880</v>
          </cell>
        </row>
        <row r="2358">
          <cell r="A2358" t="str">
            <v>LYQ-ZQ1880-R0-XL</v>
          </cell>
          <cell r="B2358" t="str">
            <v>LYQ-ZQ1880</v>
          </cell>
        </row>
        <row r="2359">
          <cell r="A2359" t="str">
            <v>LYQ-ZQ1880-Y0-L</v>
          </cell>
          <cell r="B2359" t="str">
            <v>LYQ-ZQ1880</v>
          </cell>
        </row>
        <row r="2360">
          <cell r="A2360" t="str">
            <v>LYQ-ZQ1880-Y0-L -GM</v>
          </cell>
          <cell r="B2360" t="str">
            <v>LYQ-ZQ1880</v>
          </cell>
        </row>
        <row r="2361">
          <cell r="A2361" t="str">
            <v>LYQ-ZQ1880-Y0-M</v>
          </cell>
          <cell r="B2361" t="str">
            <v>LYQ-ZQ1880</v>
          </cell>
        </row>
        <row r="2362">
          <cell r="A2362" t="str">
            <v>LYQ-ZQ1880-Y0-M-GM</v>
          </cell>
          <cell r="B2362" t="str">
            <v>LYQ-ZQ1880</v>
          </cell>
        </row>
        <row r="2363">
          <cell r="A2363" t="str">
            <v>LYQ-ZQ1880-Y0-S</v>
          </cell>
          <cell r="B2363" t="str">
            <v>LYQ-ZQ1880</v>
          </cell>
        </row>
        <row r="2364">
          <cell r="A2364" t="str">
            <v>LYQ-ZQ1880-Y0-S-GM</v>
          </cell>
          <cell r="B2364" t="str">
            <v>LYQ-ZQ1880</v>
          </cell>
        </row>
        <row r="2365">
          <cell r="A2365" t="str">
            <v>LYQ-ZQ1880-Y0-XL</v>
          </cell>
          <cell r="B2365" t="str">
            <v>LYQ-ZQ1880</v>
          </cell>
        </row>
        <row r="2366">
          <cell r="A2366" t="str">
            <v>LYQ-ZQ1880-ZL-L</v>
          </cell>
          <cell r="B2366" t="str">
            <v>LYQ-ZQ1880</v>
          </cell>
        </row>
        <row r="2367">
          <cell r="A2367" t="str">
            <v>LYQ-ZQ1880-ZL-M</v>
          </cell>
          <cell r="B2367" t="str">
            <v>LYQ-ZQ1880</v>
          </cell>
        </row>
        <row r="2368">
          <cell r="A2368" t="str">
            <v>LYQ-ZQ1880-ZL-S</v>
          </cell>
          <cell r="B2368" t="str">
            <v>LYQ-ZQ1880</v>
          </cell>
        </row>
        <row r="2369">
          <cell r="A2369" t="str">
            <v>LYQ-ZQ1880-ZL-XL</v>
          </cell>
          <cell r="B2369" t="str">
            <v>LYQ-ZQ1880</v>
          </cell>
        </row>
        <row r="2370">
          <cell r="A2370" t="str">
            <v>LYQ-ZQ2100-P0-L</v>
          </cell>
          <cell r="B2370" t="str">
            <v>LYQ-ZQ2100</v>
          </cell>
        </row>
        <row r="2371">
          <cell r="A2371" t="str">
            <v>LYQ-ZQ2100-P0-M</v>
          </cell>
          <cell r="B2371" t="str">
            <v>LYQ-ZQ2100</v>
          </cell>
        </row>
        <row r="2372">
          <cell r="A2372" t="str">
            <v>LYQ-ZQ2100-P0-S</v>
          </cell>
          <cell r="B2372" t="str">
            <v>LYQ-ZQ2100</v>
          </cell>
        </row>
        <row r="2373">
          <cell r="A2373" t="str">
            <v>LYQ-ZQ2100-P0-XL</v>
          </cell>
          <cell r="B2373" t="str">
            <v>LYQ-ZQ2100</v>
          </cell>
        </row>
        <row r="2374">
          <cell r="A2374" t="str">
            <v>LYQ-ZQ2973-BD-2XL</v>
          </cell>
          <cell r="B2374" t="str">
            <v>LYQ-ZQ2973</v>
          </cell>
        </row>
        <row r="2375">
          <cell r="A2375" t="str">
            <v>LYQ-ZQ2973-BD-2XL-GM</v>
          </cell>
          <cell r="B2375" t="str">
            <v>LYQ-ZQ2973</v>
          </cell>
        </row>
        <row r="2376">
          <cell r="A2376" t="str">
            <v>LYQ-ZQ2973-BD-L</v>
          </cell>
          <cell r="B2376" t="str">
            <v>LYQ-ZQ2973</v>
          </cell>
        </row>
        <row r="2377">
          <cell r="A2377" t="str">
            <v>LYQ-ZQ2973-BD-L -GM</v>
          </cell>
          <cell r="B2377" t="str">
            <v>LYQ-ZQ2973</v>
          </cell>
        </row>
        <row r="2378">
          <cell r="A2378" t="str">
            <v>LYQ-ZQ2973-BD-M</v>
          </cell>
          <cell r="B2378" t="str">
            <v>LYQ-ZQ2973</v>
          </cell>
        </row>
        <row r="2379">
          <cell r="A2379" t="str">
            <v>LYQ-ZQ2973-BD-M-GM</v>
          </cell>
          <cell r="B2379" t="str">
            <v>LYQ-ZQ2973</v>
          </cell>
        </row>
        <row r="2380">
          <cell r="A2380" t="str">
            <v>LYQ-ZQ2973-BD-S</v>
          </cell>
          <cell r="B2380" t="str">
            <v>LYQ-ZQ2973</v>
          </cell>
        </row>
        <row r="2381">
          <cell r="A2381" t="str">
            <v>LYQ-ZQ2973-BD-S-GM</v>
          </cell>
          <cell r="B2381" t="str">
            <v>LYQ-ZQ2973</v>
          </cell>
        </row>
        <row r="2382">
          <cell r="A2382" t="str">
            <v>LYQ-ZQ2973-BD-XL</v>
          </cell>
          <cell r="B2382" t="str">
            <v>LYQ-ZQ2973</v>
          </cell>
        </row>
        <row r="2383">
          <cell r="A2383" t="str">
            <v>LYQ-ZQ2973-E0-2XL</v>
          </cell>
          <cell r="B2383" t="str">
            <v>LYQ-ZQ2973</v>
          </cell>
        </row>
        <row r="2384">
          <cell r="A2384" t="str">
            <v>LYQ-ZQ2973-E0-2XL-GM</v>
          </cell>
          <cell r="B2384" t="str">
            <v>LYQ-ZQ2973</v>
          </cell>
        </row>
        <row r="2385">
          <cell r="A2385" t="str">
            <v>LYQ-ZQ2973-E0-L</v>
          </cell>
          <cell r="B2385" t="str">
            <v>LYQ-ZQ2973</v>
          </cell>
        </row>
        <row r="2386">
          <cell r="A2386" t="str">
            <v>LYQ-ZQ2973-E0-L -GM</v>
          </cell>
          <cell r="B2386" t="str">
            <v>LYQ-ZQ2973</v>
          </cell>
        </row>
        <row r="2387">
          <cell r="A2387" t="str">
            <v>LYQ-ZQ2973-E0-M</v>
          </cell>
          <cell r="B2387" t="str">
            <v>LYQ-ZQ2973</v>
          </cell>
        </row>
        <row r="2388">
          <cell r="A2388" t="str">
            <v>LYQ-ZQ2973-E0-M-GM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LYQ-ZQ2973-E0-S-GM</v>
          </cell>
          <cell r="B2390" t="str">
            <v>LYQ-ZQ2973</v>
          </cell>
        </row>
        <row r="2391">
          <cell r="A2391" t="str">
            <v>LYQ-ZQ2973-E0-XL</v>
          </cell>
          <cell r="B2391" t="str">
            <v>LYQ-ZQ2973</v>
          </cell>
        </row>
        <row r="2392">
          <cell r="A2392" t="str">
            <v>LYQ-ZQ2973-E0-XL-GM</v>
          </cell>
          <cell r="B2392" t="str">
            <v>LYQ-ZQ2973</v>
          </cell>
        </row>
        <row r="2393">
          <cell r="A2393" t="str">
            <v>LYQ-ZQ2973-G0-2XL</v>
          </cell>
          <cell r="B2393" t="str">
            <v>LYQ-ZQ2973</v>
          </cell>
        </row>
        <row r="2394">
          <cell r="A2394" t="str">
            <v>LYQ-ZQ2973-G0-2XL-GM</v>
          </cell>
          <cell r="B2394" t="str">
            <v>LYQ-ZQ2973</v>
          </cell>
        </row>
        <row r="2395">
          <cell r="A2395" t="str">
            <v>LYQ-ZQ2973-G0-L</v>
          </cell>
          <cell r="B2395" t="str">
            <v>LYQ-ZQ2973</v>
          </cell>
        </row>
        <row r="2396">
          <cell r="A2396" t="str">
            <v>LYQ-ZQ2973-G0-L -GM</v>
          </cell>
          <cell r="B2396" t="str">
            <v>LYQ-ZQ2973</v>
          </cell>
        </row>
        <row r="2397">
          <cell r="A2397" t="str">
            <v>LYQ-ZQ2973-G0-M</v>
          </cell>
          <cell r="B2397" t="str">
            <v>LYQ-ZQ2973</v>
          </cell>
        </row>
        <row r="2398">
          <cell r="A2398" t="str">
            <v>LYQ-ZQ2973-G0-M-GM</v>
          </cell>
          <cell r="B2398" t="str">
            <v>LYQ-ZQ2973</v>
          </cell>
        </row>
        <row r="2399">
          <cell r="A2399" t="str">
            <v>LYQ-ZQ2973-G0-S</v>
          </cell>
          <cell r="B2399" t="str">
            <v>LYQ-ZQ2973</v>
          </cell>
        </row>
        <row r="2400">
          <cell r="A2400" t="str">
            <v>LYQ-ZQ2973-G0-S-GM</v>
          </cell>
          <cell r="B2400" t="str">
            <v>LYQ-ZQ2973</v>
          </cell>
        </row>
        <row r="2401">
          <cell r="A2401" t="str">
            <v>LYQ-ZQ2973-G0-XL</v>
          </cell>
          <cell r="B2401" t="str">
            <v>LYQ-ZQ2973</v>
          </cell>
        </row>
        <row r="2402">
          <cell r="A2402" t="str">
            <v>LYQ-ZQ2973-G0-XL-GM</v>
          </cell>
          <cell r="B2402" t="str">
            <v>LYQ-ZQ2973</v>
          </cell>
        </row>
        <row r="2403">
          <cell r="A2403" t="str">
            <v>LYQ-ZQ2973-K0-2XL</v>
          </cell>
          <cell r="B2403" t="str">
            <v>LYQ-ZQ2973</v>
          </cell>
        </row>
        <row r="2404">
          <cell r="A2404" t="str">
            <v>LYQ-ZQ2973-K0-2XL-GM</v>
          </cell>
          <cell r="B2404" t="str">
            <v>LYQ-ZQ2973</v>
          </cell>
        </row>
        <row r="2405">
          <cell r="A2405" t="str">
            <v>LYQ-ZQ2973-K0-L</v>
          </cell>
          <cell r="B2405" t="str">
            <v>LYQ-ZQ2973</v>
          </cell>
        </row>
        <row r="2406">
          <cell r="A2406" t="str">
            <v>LYQ-ZQ2973-K0-L -GM</v>
          </cell>
          <cell r="B2406" t="str">
            <v>LYQ-ZQ2973</v>
          </cell>
        </row>
        <row r="2407">
          <cell r="A2407" t="str">
            <v>LYQ-ZQ2973-K0-M</v>
          </cell>
          <cell r="B2407" t="str">
            <v>LYQ-ZQ2973</v>
          </cell>
        </row>
        <row r="2408">
          <cell r="A2408" t="str">
            <v>LYQ-ZQ2973-K0-M-GM</v>
          </cell>
          <cell r="B2408" t="str">
            <v>LYQ-ZQ2973</v>
          </cell>
        </row>
        <row r="2409">
          <cell r="A2409" t="str">
            <v>LYQ-ZQ2973-K0-S</v>
          </cell>
          <cell r="B2409" t="str">
            <v>LYQ-ZQ2973</v>
          </cell>
        </row>
        <row r="2410">
          <cell r="A2410" t="str">
            <v>LYQ-ZQ2973-K0-S-GM</v>
          </cell>
          <cell r="B2410" t="str">
            <v>LYQ-ZQ2973</v>
          </cell>
        </row>
        <row r="2411">
          <cell r="A2411" t="str">
            <v>LYQ-ZQ2973-K0-XL</v>
          </cell>
          <cell r="B2411" t="str">
            <v>LYQ-ZQ2973</v>
          </cell>
        </row>
        <row r="2412">
          <cell r="A2412" t="str">
            <v>LYQ-ZQ2973-K0-XL-GM</v>
          </cell>
          <cell r="B2412" t="str">
            <v>LYQ-ZQ2973</v>
          </cell>
        </row>
        <row r="2413">
          <cell r="A2413" t="str">
            <v>LYQ-ZQ2973-KQ-2XL</v>
          </cell>
          <cell r="B2413" t="str">
            <v>LYQ-ZQ2973</v>
          </cell>
        </row>
        <row r="2414">
          <cell r="A2414" t="str">
            <v>LYQ-ZQ2973-KQ-2XL-GM</v>
          </cell>
          <cell r="B2414" t="str">
            <v>LYQ-ZQ2973</v>
          </cell>
        </row>
        <row r="2415">
          <cell r="A2415" t="str">
            <v>LYQ-ZQ2973-KQ-L</v>
          </cell>
          <cell r="B2415" t="str">
            <v>LYQ-ZQ2973</v>
          </cell>
        </row>
        <row r="2416">
          <cell r="A2416" t="str">
            <v>LYQ-ZQ2973-KQ-L -GM</v>
          </cell>
          <cell r="B2416" t="str">
            <v>LYQ-ZQ2973</v>
          </cell>
        </row>
        <row r="2417">
          <cell r="A2417" t="str">
            <v>LYQ-ZQ2973-KQ-M</v>
          </cell>
          <cell r="B2417" t="str">
            <v>LYQ-ZQ2973</v>
          </cell>
        </row>
        <row r="2418">
          <cell r="A2418" t="str">
            <v>LYQ-ZQ2973-KQ-M-GM</v>
          </cell>
          <cell r="B2418" t="str">
            <v>LYQ-ZQ2973</v>
          </cell>
        </row>
        <row r="2419">
          <cell r="A2419" t="str">
            <v>LYQ-ZQ2973-KQ-S</v>
          </cell>
          <cell r="B2419" t="str">
            <v>LYQ-ZQ2973</v>
          </cell>
        </row>
        <row r="2420">
          <cell r="A2420" t="str">
            <v>LYQ-ZQ2973-KQ-S-GM</v>
          </cell>
          <cell r="B2420" t="str">
            <v>LYQ-ZQ2973</v>
          </cell>
        </row>
        <row r="2421">
          <cell r="A2421" t="str">
            <v>LYQ-ZQ2973-KQ-XL</v>
          </cell>
          <cell r="B2421" t="str">
            <v>LYQ-ZQ2973</v>
          </cell>
        </row>
        <row r="2422">
          <cell r="A2422" t="str">
            <v>LYQ-ZQ2973-P0-2XL</v>
          </cell>
          <cell r="B2422" t="str">
            <v>LYQ-ZQ2973</v>
          </cell>
        </row>
        <row r="2423">
          <cell r="A2423" t="str">
            <v>LYQ-ZQ2973-P0-2XL-GM</v>
          </cell>
          <cell r="B2423" t="str">
            <v>LYQ-ZQ2973</v>
          </cell>
        </row>
        <row r="2424">
          <cell r="A2424" t="str">
            <v>LYQ-ZQ2973-P0-L</v>
          </cell>
          <cell r="B2424" t="str">
            <v>LYQ-ZQ2973</v>
          </cell>
        </row>
        <row r="2425">
          <cell r="A2425" t="str">
            <v>LYQ-ZQ2973-P0-M</v>
          </cell>
          <cell r="B2425" t="str">
            <v>LYQ-ZQ2973</v>
          </cell>
        </row>
        <row r="2426">
          <cell r="A2426" t="str">
            <v>LYQ-ZQ2973-P0-M-GM</v>
          </cell>
          <cell r="B2426" t="str">
            <v>LYQ-ZQ2973</v>
          </cell>
        </row>
        <row r="2427">
          <cell r="A2427" t="str">
            <v>LYQ-ZQ2973-P0-S</v>
          </cell>
          <cell r="B2427" t="str">
            <v>LYQ-ZQ2973</v>
          </cell>
        </row>
        <row r="2428">
          <cell r="A2428" t="str">
            <v>LYQ-ZQ2973-P0-S-GM</v>
          </cell>
          <cell r="B2428" t="str">
            <v>LYQ-ZQ2973</v>
          </cell>
        </row>
        <row r="2429">
          <cell r="A2429" t="str">
            <v>LYQ-ZQ2973-P0-XL</v>
          </cell>
          <cell r="B2429" t="str">
            <v>LYQ-ZQ2973</v>
          </cell>
        </row>
        <row r="2430">
          <cell r="A2430" t="str">
            <v>LYQ-ZQ2973-W1-2XL</v>
          </cell>
          <cell r="B2430" t="str">
            <v>LYQ-ZQ2973</v>
          </cell>
        </row>
        <row r="2431">
          <cell r="A2431" t="str">
            <v>LYQ-ZQ2973-W1-2XL-GM</v>
          </cell>
          <cell r="B2431" t="str">
            <v>LYQ-ZQ2973</v>
          </cell>
        </row>
        <row r="2432">
          <cell r="A2432" t="str">
            <v>LYQ-ZQ2973-W1-L</v>
          </cell>
          <cell r="B2432" t="str">
            <v>LYQ-ZQ2973</v>
          </cell>
        </row>
        <row r="2433">
          <cell r="A2433" t="str">
            <v>LYQ-ZQ2973-W1-L -GM</v>
          </cell>
          <cell r="B2433" t="str">
            <v>LYQ-ZQ2973</v>
          </cell>
        </row>
        <row r="2434">
          <cell r="A2434" t="str">
            <v>LYQ-ZQ2973-W1-M</v>
          </cell>
          <cell r="B2434" t="str">
            <v>LYQ-ZQ2973</v>
          </cell>
        </row>
        <row r="2435">
          <cell r="A2435" t="str">
            <v>LYQ-ZQ2973-W1-M-GM</v>
          </cell>
          <cell r="B2435" t="str">
            <v>LYQ-ZQ2973</v>
          </cell>
        </row>
        <row r="2436">
          <cell r="A2436" t="str">
            <v>LYQ-ZQ2973-W1-S</v>
          </cell>
          <cell r="B2436" t="str">
            <v>LYQ-ZQ2973</v>
          </cell>
        </row>
        <row r="2437">
          <cell r="A2437" t="str">
            <v>LYQ-ZQ2973-W1-S-GM</v>
          </cell>
          <cell r="B2437" t="str">
            <v>LYQ-ZQ2973</v>
          </cell>
        </row>
        <row r="2438">
          <cell r="A2438" t="str">
            <v>LYQ-ZQ2973-W1-XL</v>
          </cell>
          <cell r="B2438" t="str">
            <v>LYQ-ZQ2973</v>
          </cell>
        </row>
        <row r="2439">
          <cell r="A2439" t="str">
            <v>LYQ-ZQ2973-W1-XL-GM</v>
          </cell>
          <cell r="B2439" t="str">
            <v>LYQ-ZQ2973</v>
          </cell>
        </row>
        <row r="2440">
          <cell r="A2440" t="str">
            <v>LYQ-ZQ2973-ZL-2XL</v>
          </cell>
          <cell r="B2440" t="str">
            <v>LYQ-ZQ2973</v>
          </cell>
        </row>
        <row r="2441">
          <cell r="A2441" t="str">
            <v>LYQ-ZQ2973-ZL-2XL-GM</v>
          </cell>
          <cell r="B2441" t="str">
            <v>LYQ-ZQ2973</v>
          </cell>
        </row>
        <row r="2442">
          <cell r="A2442" t="str">
            <v>LYQ-ZQ2973-ZL-L</v>
          </cell>
          <cell r="B2442" t="str">
            <v>LYQ-ZQ2973</v>
          </cell>
        </row>
        <row r="2443">
          <cell r="A2443" t="str">
            <v>LYQ-ZQ2973-ZL-L -GM</v>
          </cell>
          <cell r="B2443" t="str">
            <v>LYQ-ZQ2973</v>
          </cell>
        </row>
        <row r="2444">
          <cell r="A2444" t="str">
            <v>LYQ-ZQ2973-ZL-M</v>
          </cell>
          <cell r="B2444" t="str">
            <v>LYQ-ZQ2973</v>
          </cell>
        </row>
        <row r="2445">
          <cell r="A2445" t="str">
            <v>LYQ-ZQ2973-ZL-M-GM</v>
          </cell>
          <cell r="B2445" t="str">
            <v>LYQ-ZQ2973</v>
          </cell>
        </row>
        <row r="2446">
          <cell r="A2446" t="str">
            <v>LYQ-ZQ2973-ZL-S</v>
          </cell>
          <cell r="B2446" t="str">
            <v>LYQ-ZQ2973</v>
          </cell>
        </row>
        <row r="2447">
          <cell r="A2447" t="str">
            <v>LYQ-ZQ2973-ZL-S-GM</v>
          </cell>
          <cell r="B2447" t="str">
            <v>LYQ-ZQ2973</v>
          </cell>
        </row>
        <row r="2448">
          <cell r="A2448" t="str">
            <v>LYQ-ZQ2973-ZL-XL</v>
          </cell>
          <cell r="B2448" t="str">
            <v>LYQ-ZQ2973</v>
          </cell>
        </row>
        <row r="2449">
          <cell r="A2449" t="str">
            <v>LYQ-ZQ2973-ZL-XL-GM</v>
          </cell>
          <cell r="B2449" t="str">
            <v>LYQ-ZQ2973</v>
          </cell>
        </row>
        <row r="2450">
          <cell r="A2450" t="str">
            <v>LYQ-ZQ2W00-K0-L</v>
          </cell>
          <cell r="B2450" t="str">
            <v>LYQ-ZQ2W00</v>
          </cell>
        </row>
        <row r="2451">
          <cell r="A2451" t="str">
            <v>LYQ-ZQ2W00-K0-M</v>
          </cell>
          <cell r="B2451" t="str">
            <v>LYQ-ZQ2W00</v>
          </cell>
        </row>
        <row r="2452">
          <cell r="A2452" t="str">
            <v>LYQ-ZQ2W00-K0-S</v>
          </cell>
          <cell r="B2452" t="str">
            <v>LYQ-ZQ2W00</v>
          </cell>
        </row>
        <row r="2453">
          <cell r="A2453" t="str">
            <v>LYQ-ZQ2W00-K0-XL</v>
          </cell>
          <cell r="B2453" t="str">
            <v>LYQ-ZQ2W00</v>
          </cell>
        </row>
        <row r="2454">
          <cell r="A2454" t="str">
            <v>LYQ-ZQ3550-E0-2X</v>
          </cell>
          <cell r="B2454" t="str">
            <v>LYQ-ZQ3550</v>
          </cell>
        </row>
        <row r="2455">
          <cell r="A2455" t="str">
            <v>LYQ-ZQ3550-E0-3X</v>
          </cell>
          <cell r="B2455" t="str">
            <v>LYQ-ZQ3550</v>
          </cell>
        </row>
        <row r="2456">
          <cell r="A2456" t="str">
            <v>LYQ-ZQ3550-E0-4X</v>
          </cell>
          <cell r="B2456" t="str">
            <v>LYQ-ZQ3550</v>
          </cell>
        </row>
        <row r="2457">
          <cell r="A2457" t="str">
            <v>LYQ-ZQ3550-E0-5X</v>
          </cell>
          <cell r="B2457" t="str">
            <v>LYQ-ZQ3550</v>
          </cell>
        </row>
        <row r="2458">
          <cell r="A2458" t="str">
            <v>LYQ-ZQ3550-E0-L</v>
          </cell>
          <cell r="B2458" t="str">
            <v>LYQ-ZQ3550</v>
          </cell>
        </row>
        <row r="2459">
          <cell r="A2459" t="str">
            <v>LYQ-ZQ3550-E0-M</v>
          </cell>
          <cell r="B2459" t="str">
            <v>LYQ-ZQ3550</v>
          </cell>
        </row>
        <row r="2460">
          <cell r="A2460" t="str">
            <v>LYQ-ZQ3550-E0-S</v>
          </cell>
          <cell r="B2460" t="str">
            <v>LYQ-ZQ3550</v>
          </cell>
        </row>
        <row r="2461">
          <cell r="A2461" t="str">
            <v>LYQ-ZQ3550-E0-XL</v>
          </cell>
          <cell r="B2461" t="str">
            <v>LYQ-ZQ3550</v>
          </cell>
        </row>
        <row r="2462">
          <cell r="A2462" t="str">
            <v>LYQ-ZQ3550-PI-2X</v>
          </cell>
          <cell r="B2462" t="str">
            <v>LYQ-ZQ3550</v>
          </cell>
        </row>
        <row r="2463">
          <cell r="A2463" t="str">
            <v>LYQ-ZQ3550-PI-3X</v>
          </cell>
          <cell r="B2463" t="str">
            <v>LYQ-ZQ3550</v>
          </cell>
        </row>
        <row r="2464">
          <cell r="A2464" t="str">
            <v>LYQ-ZQ3550-PI-4X</v>
          </cell>
          <cell r="B2464" t="str">
            <v>LYQ-ZQ3550</v>
          </cell>
        </row>
        <row r="2465">
          <cell r="A2465" t="str">
            <v>LYQ-ZQ3550-PI-5X</v>
          </cell>
          <cell r="B2465" t="str">
            <v>LYQ-ZQ3550</v>
          </cell>
        </row>
        <row r="2466">
          <cell r="A2466" t="str">
            <v>LYQ-ZQ3550-PI-L</v>
          </cell>
          <cell r="B2466" t="str">
            <v>LYQ-ZQ3550</v>
          </cell>
        </row>
        <row r="2467">
          <cell r="A2467" t="str">
            <v>LYQ-ZQ3550-PI-M</v>
          </cell>
          <cell r="B2467" t="str">
            <v>LYQ-ZQ3550</v>
          </cell>
        </row>
        <row r="2468">
          <cell r="A2468" t="str">
            <v>LYQ-ZQ3550-PI-S</v>
          </cell>
          <cell r="B2468" t="str">
            <v>LYQ-ZQ3550</v>
          </cell>
        </row>
        <row r="2469">
          <cell r="A2469" t="str">
            <v>LYQ-ZQ3550-PI-XL</v>
          </cell>
          <cell r="B2469" t="str">
            <v>LYQ-ZQ3550</v>
          </cell>
        </row>
        <row r="2470">
          <cell r="A2470" t="str">
            <v>LYQ-ZQ4400-P0-L</v>
          </cell>
          <cell r="B2470" t="str">
            <v>LYQ-ZQ4400</v>
          </cell>
        </row>
        <row r="2471">
          <cell r="A2471" t="str">
            <v>LYQ-ZQ4400-P0-XL</v>
          </cell>
          <cell r="B2471" t="str">
            <v>LYQ-ZQ4400</v>
          </cell>
        </row>
        <row r="2472">
          <cell r="A2472" t="str">
            <v>LYQ-ZQ456-E0-L</v>
          </cell>
          <cell r="B2472" t="str">
            <v>LYQ-ZQ456</v>
          </cell>
        </row>
        <row r="2473">
          <cell r="A2473" t="str">
            <v>LYQ-ZQ456-E0-M</v>
          </cell>
          <cell r="B2473" t="str">
            <v>LYQ-ZQ456</v>
          </cell>
        </row>
        <row r="2474">
          <cell r="A2474" t="str">
            <v>LYQ-ZQ456-E0-S</v>
          </cell>
          <cell r="B2474" t="str">
            <v>LYQ-ZQ456</v>
          </cell>
        </row>
        <row r="2475">
          <cell r="A2475" t="str">
            <v>LYQ-ZQ456-E0-XL</v>
          </cell>
          <cell r="B2475" t="str">
            <v>LYQ-ZQ456</v>
          </cell>
        </row>
        <row r="2476">
          <cell r="A2476" t="str">
            <v>LYQ-ZQ4600-G1-M</v>
          </cell>
          <cell r="B2476" t="str">
            <v>LYQ-ZQ4600</v>
          </cell>
        </row>
        <row r="2477">
          <cell r="A2477" t="str">
            <v>LYQ-ZQ4600-G1-S</v>
          </cell>
          <cell r="B2477" t="str">
            <v>LYQ-ZQ4600</v>
          </cell>
        </row>
        <row r="2478">
          <cell r="A2478" t="str">
            <v>LYQ-ZQ6044-B0-L</v>
          </cell>
          <cell r="B2478" t="str">
            <v>LYQ-ZQ6044</v>
          </cell>
        </row>
        <row r="2479">
          <cell r="A2479" t="str">
            <v>LYQ-ZQ6044-B0-M</v>
          </cell>
          <cell r="B2479" t="str">
            <v>LYQ-ZQ6044</v>
          </cell>
        </row>
        <row r="2480">
          <cell r="A2480" t="str">
            <v>LYQ-ZQ6044-B0-S</v>
          </cell>
          <cell r="B2480" t="str">
            <v>LYQ-ZQ6044</v>
          </cell>
        </row>
        <row r="2481">
          <cell r="A2481" t="str">
            <v>LYQ-ZQ6044-B0-XL</v>
          </cell>
          <cell r="B2481" t="str">
            <v>LYQ-ZQ6044</v>
          </cell>
        </row>
        <row r="2482">
          <cell r="A2482" t="str">
            <v>LYQ-ZQ6044-BL-L</v>
          </cell>
          <cell r="B2482" t="str">
            <v>LYQ-ZQ6044</v>
          </cell>
        </row>
        <row r="2483">
          <cell r="A2483" t="str">
            <v>LYQ-ZQ6044-BT-L</v>
          </cell>
          <cell r="B2483" t="str">
            <v>LYQ-ZQ6044</v>
          </cell>
        </row>
        <row r="2484">
          <cell r="A2484" t="str">
            <v>LYQ-ZQ6044-BT-M</v>
          </cell>
          <cell r="B2484" t="str">
            <v>LYQ-ZQ6044</v>
          </cell>
        </row>
        <row r="2485">
          <cell r="A2485" t="str">
            <v>LYQ-ZQ6044-BT-S</v>
          </cell>
          <cell r="B2485" t="str">
            <v>LYQ-ZQ6044</v>
          </cell>
        </row>
        <row r="2486">
          <cell r="A2486" t="str">
            <v>LYQ-ZQ6044-BT-XL</v>
          </cell>
          <cell r="B2486" t="str">
            <v>LYQ-ZQ6044</v>
          </cell>
        </row>
        <row r="2487">
          <cell r="A2487" t="str">
            <v>LYQ-ZQ6044-O0-M</v>
          </cell>
          <cell r="B2487" t="str">
            <v>LYQ-ZQ6044</v>
          </cell>
        </row>
        <row r="2488">
          <cell r="A2488" t="str">
            <v>LYQ-ZQ6044-ZL-M</v>
          </cell>
          <cell r="B2488" t="str">
            <v>LYQ-ZQ6044</v>
          </cell>
        </row>
        <row r="2489">
          <cell r="A2489" t="str">
            <v>LYQ-ZQ7900-W0-L</v>
          </cell>
          <cell r="B2489" t="str">
            <v>LYQ-ZQ7900</v>
          </cell>
        </row>
        <row r="2490">
          <cell r="A2490" t="str">
            <v>LYQ-ZQ7900-W0-M</v>
          </cell>
          <cell r="B2490" t="str">
            <v>LYQ-ZQ7900</v>
          </cell>
        </row>
        <row r="2491">
          <cell r="A2491" t="str">
            <v>LYQ-ZQ7900-W0-S</v>
          </cell>
          <cell r="B2491" t="str">
            <v>LYQ-ZQ7900</v>
          </cell>
        </row>
        <row r="2492">
          <cell r="A2492" t="str">
            <v>LYQ-ZQ7900-W0-XL</v>
          </cell>
          <cell r="B2492" t="str">
            <v>LYQ-ZQ7900</v>
          </cell>
        </row>
        <row r="2493">
          <cell r="A2493" t="str">
            <v>LYQ-ZQ7900-W0-XXL</v>
          </cell>
          <cell r="B2493" t="str">
            <v>LYQ-ZQ7900</v>
          </cell>
        </row>
        <row r="2494">
          <cell r="A2494" t="str">
            <v>LYQ-ZQ8190-L0-L</v>
          </cell>
          <cell r="B2494" t="str">
            <v>LYQ-ZQ8190</v>
          </cell>
        </row>
        <row r="2495">
          <cell r="A2495" t="str">
            <v>LYQ-ZQ8190-P0-L</v>
          </cell>
          <cell r="B2495" t="str">
            <v>LYQ-ZQ8190</v>
          </cell>
        </row>
        <row r="2496">
          <cell r="A2496" t="str">
            <v>LYQ-ZQ8190-P0-M</v>
          </cell>
          <cell r="B2496" t="str">
            <v>LYQ-ZQ8190</v>
          </cell>
        </row>
        <row r="2497">
          <cell r="A2497" t="str">
            <v>LYQ-ZQ8190-P0-S</v>
          </cell>
          <cell r="B2497" t="str">
            <v>LYQ-ZQ8190</v>
          </cell>
        </row>
        <row r="2498">
          <cell r="A2498" t="str">
            <v>LYQ-ZQ8190-P0-XL</v>
          </cell>
          <cell r="B2498" t="str">
            <v>LYQ-ZQ8190</v>
          </cell>
        </row>
        <row r="2499">
          <cell r="A2499" t="str">
            <v>LYQ-ZQ8190-WB-L</v>
          </cell>
          <cell r="B2499" t="str">
            <v>LYQ-ZQ8190</v>
          </cell>
        </row>
        <row r="2500">
          <cell r="A2500" t="str">
            <v>LYQ-ZQ8190-WB-M</v>
          </cell>
          <cell r="B2500" t="str">
            <v>LYQ-ZQ8190</v>
          </cell>
        </row>
        <row r="2501">
          <cell r="A2501" t="str">
            <v>LYQ-ZQ8190-WB-S</v>
          </cell>
          <cell r="B2501" t="str">
            <v>LYQ-ZQ8190</v>
          </cell>
        </row>
        <row r="2502">
          <cell r="A2502" t="str">
            <v>LYQ-ZQ8190-WB-XL</v>
          </cell>
          <cell r="B2502" t="str">
            <v>LYQ-ZQ8190</v>
          </cell>
        </row>
        <row r="2503">
          <cell r="A2503" t="str">
            <v>LYQ-ZQ8190-ZL-L</v>
          </cell>
          <cell r="B2503" t="str">
            <v>LYQ-ZQ8190</v>
          </cell>
        </row>
        <row r="2504">
          <cell r="A2504" t="str">
            <v>LYQ-ZQ8190-ZL-M</v>
          </cell>
          <cell r="B2504" t="str">
            <v>LYQ-ZQ8190</v>
          </cell>
        </row>
        <row r="2505">
          <cell r="A2505" t="str">
            <v>LYQ-ZQ8190-ZL-S</v>
          </cell>
          <cell r="B2505" t="str">
            <v>LYQ-ZQ8190</v>
          </cell>
        </row>
        <row r="2506">
          <cell r="A2506" t="str">
            <v>LYQ-ZQ8190-ZL-XL</v>
          </cell>
          <cell r="B2506" t="str">
            <v>LYQ-ZQ8190</v>
          </cell>
        </row>
        <row r="2507">
          <cell r="A2507" t="str">
            <v>LYQ-ZQ8200-B6-L</v>
          </cell>
          <cell r="B2507" t="str">
            <v>LYQ-ZQ8200</v>
          </cell>
        </row>
        <row r="2508">
          <cell r="A2508" t="str">
            <v>LYQ-ZQ8200-B6-M</v>
          </cell>
          <cell r="B2508" t="str">
            <v>LYQ-ZQ8200</v>
          </cell>
        </row>
        <row r="2509">
          <cell r="A2509" t="str">
            <v>LYQ-ZQ8200-FB-L</v>
          </cell>
          <cell r="B2509" t="str">
            <v>LYQ-ZQ8200</v>
          </cell>
        </row>
        <row r="2510">
          <cell r="A2510" t="str">
            <v>LYQ-ZQ8200-FB-M</v>
          </cell>
          <cell r="B2510" t="str">
            <v>LYQ-ZQ8200</v>
          </cell>
        </row>
        <row r="2511">
          <cell r="A2511" t="str">
            <v>LYQ-ZQ8200-FB-S</v>
          </cell>
          <cell r="B2511" t="str">
            <v>LYQ-ZQ8200</v>
          </cell>
        </row>
        <row r="2512">
          <cell r="A2512" t="str">
            <v>LYQ-ZQ8200-FB-XL</v>
          </cell>
          <cell r="B2512" t="str">
            <v>LYQ-ZQ8200</v>
          </cell>
        </row>
        <row r="2513">
          <cell r="A2513" t="str">
            <v>LYQ-ZQ8200-K0-L</v>
          </cell>
          <cell r="B2513" t="str">
            <v>LYQ-ZQ8200</v>
          </cell>
        </row>
        <row r="2514">
          <cell r="A2514" t="str">
            <v>LYQ-ZQ8200-K0-M</v>
          </cell>
          <cell r="B2514" t="str">
            <v>LYQ-ZQ8200</v>
          </cell>
        </row>
        <row r="2515">
          <cell r="A2515" t="str">
            <v>LYQ-ZQ8200-K0-S</v>
          </cell>
          <cell r="B2515" t="str">
            <v>LYQ-ZQ8200</v>
          </cell>
        </row>
        <row r="2516">
          <cell r="A2516" t="str">
            <v>LYQ-ZQ8200-K0-XL</v>
          </cell>
          <cell r="B2516" t="str">
            <v>LYQ-ZQ8200</v>
          </cell>
        </row>
        <row r="2517">
          <cell r="A2517" t="str">
            <v>LYQ-ZQ8200-P0-L</v>
          </cell>
          <cell r="B2517" t="str">
            <v>LYQ-ZQ8200</v>
          </cell>
        </row>
        <row r="2518">
          <cell r="A2518" t="str">
            <v>LYQ-ZQ8200-P0-M</v>
          </cell>
          <cell r="B2518" t="str">
            <v>LYQ-ZQ8200</v>
          </cell>
        </row>
        <row r="2519">
          <cell r="A2519" t="str">
            <v>LYQ-ZQ8200-P0-S</v>
          </cell>
          <cell r="B2519" t="str">
            <v>LYQ-ZQ8200</v>
          </cell>
        </row>
        <row r="2520">
          <cell r="A2520" t="str">
            <v>LYQ-ZQ8200-P0-XL</v>
          </cell>
          <cell r="B2520" t="str">
            <v>LYQ-ZQ8200</v>
          </cell>
        </row>
        <row r="2521">
          <cell r="A2521" t="str">
            <v>LYQ-ZQ9114-BD-S</v>
          </cell>
          <cell r="B2521" t="str">
            <v>LYQ-ZQ9114</v>
          </cell>
        </row>
        <row r="2522">
          <cell r="A2522" t="str">
            <v>LYQ-ZQ9114-ZL-L</v>
          </cell>
          <cell r="B2522" t="str">
            <v>LYQ-ZQ9114</v>
          </cell>
        </row>
        <row r="2523">
          <cell r="A2523" t="str">
            <v>LYQ-ZQC910-K0-L</v>
          </cell>
          <cell r="B2523" t="str">
            <v>LYQ-ZQC910</v>
          </cell>
        </row>
        <row r="2524">
          <cell r="A2524" t="str">
            <v>LYQ-ZQC910-K0-M</v>
          </cell>
          <cell r="B2524" t="str">
            <v>LYQ-ZQC910</v>
          </cell>
        </row>
        <row r="2525">
          <cell r="A2525" t="str">
            <v>LYQ-ZQC910-K0-S</v>
          </cell>
          <cell r="B2525" t="str">
            <v>LYQ-ZQC910</v>
          </cell>
        </row>
        <row r="2526">
          <cell r="A2526" t="str">
            <v>LYQ-ZQC910-K0-XL</v>
          </cell>
          <cell r="B2526" t="str">
            <v>LYQ-ZQC910</v>
          </cell>
        </row>
        <row r="2527">
          <cell r="A2527" t="str">
            <v>LYQ-ZQD270-E0-L</v>
          </cell>
          <cell r="B2527" t="str">
            <v>LYQ-ZQD270</v>
          </cell>
        </row>
        <row r="2528">
          <cell r="A2528" t="str">
            <v>LYQ-ZQD270-E0-M</v>
          </cell>
          <cell r="B2528" t="str">
            <v>LYQ-ZQD270</v>
          </cell>
        </row>
        <row r="2529">
          <cell r="A2529" t="str">
            <v>LYQ-ZQD270-E0-S</v>
          </cell>
          <cell r="B2529" t="str">
            <v>LYQ-ZQD270</v>
          </cell>
        </row>
        <row r="2530">
          <cell r="A2530" t="str">
            <v>LYQ-ZQD270-E0-S-GM</v>
          </cell>
          <cell r="B2530" t="str">
            <v>LYQ-ZQD270</v>
          </cell>
        </row>
        <row r="2531">
          <cell r="A2531" t="str">
            <v>LYQ-ZQD270-E0-XL</v>
          </cell>
          <cell r="B2531" t="str">
            <v>LYQ-ZQD270</v>
          </cell>
        </row>
        <row r="2532">
          <cell r="A2532" t="str">
            <v>LYQ-ZQD270-E0-XL-GM</v>
          </cell>
          <cell r="B2532" t="str">
            <v>LYQ-ZQD270</v>
          </cell>
        </row>
        <row r="2533">
          <cell r="A2533" t="str">
            <v>LYQ-ZQD270-G7-L</v>
          </cell>
          <cell r="B2533" t="str">
            <v>LYQ-ZQD270</v>
          </cell>
        </row>
        <row r="2534">
          <cell r="A2534" t="str">
            <v>LYQ-ZQD270-G7-L-GM</v>
          </cell>
          <cell r="B2534" t="str">
            <v>LYQ-ZQD270</v>
          </cell>
        </row>
        <row r="2535">
          <cell r="A2535" t="str">
            <v>LYQ-ZQD270-G7-M</v>
          </cell>
          <cell r="B2535" t="str">
            <v>LYQ-ZQD270</v>
          </cell>
        </row>
        <row r="2536">
          <cell r="A2536" t="str">
            <v>LYQ-ZQD270-G7-S</v>
          </cell>
          <cell r="B2536" t="str">
            <v>LYQ-ZQD270</v>
          </cell>
        </row>
        <row r="2537">
          <cell r="A2537" t="str">
            <v>LYQ-ZQD270-G7-XL</v>
          </cell>
          <cell r="B2537" t="str">
            <v>LYQ-ZQD270</v>
          </cell>
        </row>
        <row r="2538">
          <cell r="A2538" t="str">
            <v>LYQ-ZQD270-K0-L</v>
          </cell>
          <cell r="B2538" t="str">
            <v>LYQ-ZQD270</v>
          </cell>
        </row>
        <row r="2539">
          <cell r="A2539" t="str">
            <v>LYQ-ZQD270-K0-M</v>
          </cell>
          <cell r="B2539" t="str">
            <v>LYQ-ZQD270</v>
          </cell>
        </row>
        <row r="2540">
          <cell r="A2540" t="str">
            <v>LYQ-ZQD270-K0-S</v>
          </cell>
          <cell r="B2540" t="str">
            <v>LYQ-ZQD270</v>
          </cell>
        </row>
        <row r="2541">
          <cell r="A2541" t="str">
            <v>LYQ-ZQD270-K0-XL</v>
          </cell>
          <cell r="B2541" t="str">
            <v>LYQ-ZQD270</v>
          </cell>
        </row>
        <row r="2542">
          <cell r="A2542" t="str">
            <v>LYQ-ZQD270-KQ-L</v>
          </cell>
          <cell r="B2542" t="str">
            <v>LYQ-ZQD270</v>
          </cell>
        </row>
        <row r="2543">
          <cell r="A2543" t="str">
            <v>LYQ-ZQD270-KQ-M</v>
          </cell>
          <cell r="B2543" t="str">
            <v>LYQ-ZQD270</v>
          </cell>
        </row>
        <row r="2544">
          <cell r="A2544" t="str">
            <v>LYQ-ZQD270-KQ-S</v>
          </cell>
          <cell r="B2544" t="str">
            <v>LYQ-ZQD270</v>
          </cell>
        </row>
        <row r="2545">
          <cell r="A2545" t="str">
            <v>LYQ-ZQD270-KQ-XL</v>
          </cell>
          <cell r="B2545" t="str">
            <v>LYQ-ZQD270</v>
          </cell>
        </row>
        <row r="2546">
          <cell r="A2546" t="str">
            <v>LYQ-ZQD270-P0-L</v>
          </cell>
          <cell r="B2546" t="str">
            <v>LYQ-ZQD270</v>
          </cell>
        </row>
        <row r="2547">
          <cell r="A2547" t="str">
            <v>LYQ-ZQD270-P0-M</v>
          </cell>
          <cell r="B2547" t="str">
            <v>LYQ-ZQD270</v>
          </cell>
        </row>
        <row r="2548">
          <cell r="A2548" t="str">
            <v>LYQ-ZQD270-P0-S</v>
          </cell>
          <cell r="B2548" t="str">
            <v>LYQ-ZQD270</v>
          </cell>
        </row>
        <row r="2549">
          <cell r="A2549" t="str">
            <v>LYQ-ZQD270-P0-XL</v>
          </cell>
          <cell r="B2549" t="str">
            <v>LYQ-ZQD270</v>
          </cell>
        </row>
        <row r="2550">
          <cell r="A2550" t="str">
            <v>LYQ-ZQD270-W0-L</v>
          </cell>
          <cell r="B2550" t="str">
            <v>LYQ-ZQD270</v>
          </cell>
        </row>
        <row r="2551">
          <cell r="A2551" t="str">
            <v>LYQ-ZQD270-W0-M</v>
          </cell>
          <cell r="B2551" t="str">
            <v>LYQ-ZQD270</v>
          </cell>
        </row>
        <row r="2552">
          <cell r="A2552" t="str">
            <v>LYQ-ZQD270-W0-S</v>
          </cell>
          <cell r="B2552" t="str">
            <v>LYQ-ZQD270</v>
          </cell>
        </row>
        <row r="2553">
          <cell r="A2553" t="str">
            <v>LYQ-ZQD270-W0-XL</v>
          </cell>
          <cell r="B2553" t="str">
            <v>LYQ-ZQD270</v>
          </cell>
        </row>
        <row r="2554">
          <cell r="A2554" t="str">
            <v>LYQ-ZQD390-B0-L</v>
          </cell>
          <cell r="B2554" t="str">
            <v>LYQ-ZQD390</v>
          </cell>
        </row>
        <row r="2555">
          <cell r="A2555" t="str">
            <v>LYQ-ZQD390-B0-L-GM</v>
          </cell>
          <cell r="B2555" t="str">
            <v>LYQ-ZQD390</v>
          </cell>
        </row>
        <row r="2556">
          <cell r="A2556" t="str">
            <v>LYQ-ZQD390-B0-M</v>
          </cell>
          <cell r="B2556" t="str">
            <v>LYQ-ZQD390</v>
          </cell>
        </row>
        <row r="2557">
          <cell r="A2557" t="str">
            <v>LYQ-ZQD390-B0-M-GM</v>
          </cell>
          <cell r="B2557" t="str">
            <v>LYQ-ZQD390</v>
          </cell>
        </row>
        <row r="2558">
          <cell r="A2558" t="str">
            <v>LYQ-ZQD390-B0-S</v>
          </cell>
          <cell r="B2558" t="str">
            <v>LYQ-ZQD390</v>
          </cell>
        </row>
        <row r="2559">
          <cell r="A2559" t="str">
            <v>LYQ-ZQD390-B0-S-GM</v>
          </cell>
          <cell r="B2559" t="str">
            <v>LYQ-ZQD390</v>
          </cell>
        </row>
        <row r="2560">
          <cell r="A2560" t="str">
            <v>LYQ-ZQD390-B0-XL</v>
          </cell>
          <cell r="B2560" t="str">
            <v>LYQ-ZQD390</v>
          </cell>
        </row>
        <row r="2561">
          <cell r="A2561" t="str">
            <v>LYQ-ZQD390-BE-L</v>
          </cell>
          <cell r="B2561" t="str">
            <v>LYQ-ZQD390</v>
          </cell>
        </row>
        <row r="2562">
          <cell r="A2562" t="str">
            <v>LYQ-ZQD390-BE-M</v>
          </cell>
          <cell r="B2562" t="str">
            <v>LYQ-ZQD390</v>
          </cell>
        </row>
        <row r="2563">
          <cell r="A2563" t="str">
            <v>LYQ-ZQD390-BE-S</v>
          </cell>
          <cell r="B2563" t="str">
            <v>LYQ-ZQD390</v>
          </cell>
        </row>
        <row r="2564">
          <cell r="A2564" t="str">
            <v>LYQ-ZQD390-BE-S-GM</v>
          </cell>
          <cell r="B2564" t="str">
            <v>LYQ-ZQD390</v>
          </cell>
        </row>
        <row r="2565">
          <cell r="A2565" t="str">
            <v>LYQ-ZQD390-BE-XL</v>
          </cell>
          <cell r="B2565" t="str">
            <v>LYQ-ZQD390</v>
          </cell>
        </row>
        <row r="2566">
          <cell r="A2566" t="str">
            <v>LYQ-ZQD390-BE-XL-GM</v>
          </cell>
          <cell r="B2566" t="str">
            <v>LYQ-ZQD390</v>
          </cell>
        </row>
        <row r="2567">
          <cell r="A2567" t="str">
            <v>LYQ-ZQD390-E0-L</v>
          </cell>
          <cell r="B2567" t="str">
            <v>LYQ-ZQD390</v>
          </cell>
        </row>
        <row r="2568">
          <cell r="A2568" t="str">
            <v>LYQ-ZQD390-E0-L-GM</v>
          </cell>
          <cell r="B2568" t="str">
            <v>LYQ-ZQD390</v>
          </cell>
        </row>
        <row r="2569">
          <cell r="A2569" t="str">
            <v>LYQ-ZQD390-E0-M</v>
          </cell>
          <cell r="B2569" t="str">
            <v>LYQ-ZQD390</v>
          </cell>
        </row>
        <row r="2570">
          <cell r="A2570" t="str">
            <v>LYQ-ZQD390-E0-M-GM</v>
          </cell>
          <cell r="B2570" t="str">
            <v>LYQ-ZQD390</v>
          </cell>
        </row>
        <row r="2571">
          <cell r="A2571" t="str">
            <v>LYQ-ZQD390-E0-S</v>
          </cell>
          <cell r="B2571" t="str">
            <v>LYQ-ZQD390</v>
          </cell>
        </row>
        <row r="2572">
          <cell r="A2572" t="str">
            <v>LYQ-ZQD390-E0-XL</v>
          </cell>
          <cell r="B2572" t="str">
            <v>LYQ-ZQD390</v>
          </cell>
        </row>
        <row r="2573">
          <cell r="A2573" t="str">
            <v>LYQ-ZQD390-E0-XL-GM</v>
          </cell>
          <cell r="B2573" t="str">
            <v>LYQ-ZQD390</v>
          </cell>
        </row>
        <row r="2574">
          <cell r="A2574" t="str">
            <v>LYQ-ZQD390-G0-L</v>
          </cell>
          <cell r="B2574" t="str">
            <v>LYQ-ZQD390</v>
          </cell>
        </row>
        <row r="2575">
          <cell r="A2575" t="str">
            <v>LYQ-ZQD390-G0-M</v>
          </cell>
          <cell r="B2575" t="str">
            <v>LYQ-ZQD390</v>
          </cell>
        </row>
        <row r="2576">
          <cell r="A2576" t="str">
            <v>LYQ-ZQD390-G0-S</v>
          </cell>
          <cell r="B2576" t="str">
            <v>LYQ-ZQD390</v>
          </cell>
        </row>
        <row r="2577">
          <cell r="A2577" t="str">
            <v>LYQ-ZQD390-G0-S-GM</v>
          </cell>
          <cell r="B2577" t="str">
            <v>LYQ-ZQD390</v>
          </cell>
        </row>
        <row r="2578">
          <cell r="A2578" t="str">
            <v>LYQ-ZQD390-G0-XL</v>
          </cell>
          <cell r="B2578" t="str">
            <v>LYQ-ZQD390</v>
          </cell>
        </row>
        <row r="2579">
          <cell r="A2579" t="str">
            <v>LYQ-ZQD390-K0-L</v>
          </cell>
          <cell r="B2579" t="str">
            <v>LYQ-ZQD390</v>
          </cell>
        </row>
        <row r="2580">
          <cell r="A2580" t="str">
            <v>LYQ-ZQD390-K0-M</v>
          </cell>
          <cell r="B2580" t="str">
            <v>LYQ-ZQD390</v>
          </cell>
        </row>
        <row r="2581">
          <cell r="A2581" t="str">
            <v>LYQ-ZQD390-K0-S</v>
          </cell>
          <cell r="B2581" t="str">
            <v>LYQ-ZQD390</v>
          </cell>
        </row>
        <row r="2582">
          <cell r="A2582" t="str">
            <v>LYQ-ZQD390-K0-S-GM</v>
          </cell>
          <cell r="B2582" t="str">
            <v>LYQ-ZQD390</v>
          </cell>
        </row>
        <row r="2583">
          <cell r="A2583" t="str">
            <v>LYQ-ZQD390-K0-XL</v>
          </cell>
          <cell r="B2583" t="str">
            <v>LYQ-ZQD390</v>
          </cell>
        </row>
        <row r="2584">
          <cell r="A2584" t="str">
            <v>LYQ-ZQD390-PI-L</v>
          </cell>
          <cell r="B2584" t="str">
            <v>LYQ-ZQD390</v>
          </cell>
        </row>
        <row r="2585">
          <cell r="A2585" t="str">
            <v>LYQ-ZQD390-PI-M</v>
          </cell>
          <cell r="B2585" t="str">
            <v>LYQ-ZQD390</v>
          </cell>
        </row>
        <row r="2586">
          <cell r="A2586" t="str">
            <v>LYQ-ZQD390-PI-M-GM</v>
          </cell>
          <cell r="B2586" t="str">
            <v>LYQ-ZQD390</v>
          </cell>
        </row>
        <row r="2587">
          <cell r="A2587" t="str">
            <v>LYQ-ZQD390-PI-S</v>
          </cell>
          <cell r="B2587" t="str">
            <v>LYQ-ZQD390</v>
          </cell>
        </row>
        <row r="2588">
          <cell r="A2588" t="str">
            <v>LYQ-ZQD390-PI-XL</v>
          </cell>
          <cell r="B2588" t="str">
            <v>LYQ-ZQD390</v>
          </cell>
        </row>
        <row r="2589">
          <cell r="A2589" t="str">
            <v>LYQ-ZQD390-PI-XL-GM</v>
          </cell>
          <cell r="B2589" t="str">
            <v>LYQ-ZQD390</v>
          </cell>
        </row>
        <row r="2590">
          <cell r="A2590" t="str">
            <v>LYQ-ZQD390-W0-L</v>
          </cell>
          <cell r="B2590" t="str">
            <v>LYQ-ZQD390</v>
          </cell>
        </row>
        <row r="2591">
          <cell r="A2591" t="str">
            <v>LYQ-ZQD390-W0-M</v>
          </cell>
          <cell r="B2591" t="str">
            <v>LYQ-ZQD390</v>
          </cell>
        </row>
        <row r="2592">
          <cell r="A2592" t="str">
            <v>LYQ-ZQD390-W0-S</v>
          </cell>
          <cell r="B2592" t="str">
            <v>LYQ-ZQD390</v>
          </cell>
        </row>
        <row r="2593">
          <cell r="A2593" t="str">
            <v>LYQ-ZQD390-W0-S-GM</v>
          </cell>
          <cell r="B2593" t="str">
            <v>LYQ-ZQD390</v>
          </cell>
        </row>
        <row r="2594">
          <cell r="A2594" t="str">
            <v>LYQ-ZQD390-W0-XL</v>
          </cell>
          <cell r="B2594" t="str">
            <v>LYQ-ZQD390</v>
          </cell>
        </row>
        <row r="2595">
          <cell r="A2595" t="str">
            <v>LYQ-ZQD390-W0-XL-GM</v>
          </cell>
          <cell r="B2595" t="str">
            <v>LYQ-ZQD390</v>
          </cell>
        </row>
        <row r="2596">
          <cell r="A2596" t="str">
            <v>LYQ-ZQLC00-K0-L</v>
          </cell>
          <cell r="B2596" t="str">
            <v>LYQ-ZQLC00</v>
          </cell>
        </row>
        <row r="2597">
          <cell r="A2597" t="str">
            <v>LYQ-ZQLC00-K0-M</v>
          </cell>
          <cell r="B2597" t="str">
            <v>LYQ-ZQLC00</v>
          </cell>
        </row>
        <row r="2598">
          <cell r="A2598" t="str">
            <v>LYQ-ZQLC00-K0-S</v>
          </cell>
          <cell r="B2598" t="str">
            <v>LYQ-ZQLC00</v>
          </cell>
        </row>
        <row r="2599">
          <cell r="A2599" t="str">
            <v>LYQ-ZQLC00-K0-XL</v>
          </cell>
          <cell r="B2599" t="str">
            <v>LYQ-ZQLC00</v>
          </cell>
        </row>
        <row r="2600">
          <cell r="A2600" t="str">
            <v>LYQ-ZQLP01-P0-L</v>
          </cell>
          <cell r="B2600" t="str">
            <v>LYQ-ZQLP01</v>
          </cell>
        </row>
        <row r="2601">
          <cell r="A2601" t="str">
            <v>LYQ-ZQLP01-P0-M</v>
          </cell>
          <cell r="B2601" t="str">
            <v>LYQ-ZQLP01</v>
          </cell>
        </row>
        <row r="2602">
          <cell r="A2602" t="str">
            <v>LYQ-ZQLP01-P0-S</v>
          </cell>
          <cell r="B2602" t="str">
            <v>LYQ-ZQLP01</v>
          </cell>
        </row>
        <row r="2603">
          <cell r="A2603" t="str">
            <v>LYQ-ZQLP01-P0-XL</v>
          </cell>
          <cell r="B2603" t="str">
            <v>LYQ-ZQLP01</v>
          </cell>
        </row>
        <row r="2604">
          <cell r="A2604" t="str">
            <v>LYQ-ZQM114-G7-L</v>
          </cell>
          <cell r="B2604" t="str">
            <v>LYQ-ZQM114</v>
          </cell>
        </row>
        <row r="2605">
          <cell r="A2605" t="str">
            <v>LYQ-ZQMB170005-K0-2X</v>
          </cell>
          <cell r="B2605" t="str">
            <v>LYQ-ZQMB170005</v>
          </cell>
        </row>
        <row r="2606">
          <cell r="A2606" t="str">
            <v>LYQ-ZQMB170005-K0-3X</v>
          </cell>
          <cell r="B2606" t="str">
            <v>LYQ-ZQMB170005</v>
          </cell>
        </row>
        <row r="2607">
          <cell r="A2607" t="str">
            <v>LYQ-ZQMB170005-K0-XL</v>
          </cell>
          <cell r="B2607" t="str">
            <v>LYQ-ZQMB170005</v>
          </cell>
        </row>
        <row r="2608">
          <cell r="A2608" t="str">
            <v>LYQ-ZQMB3811-E0-2X</v>
          </cell>
          <cell r="B2608" t="str">
            <v>LYQ-ZQMB3811</v>
          </cell>
        </row>
        <row r="2609">
          <cell r="A2609" t="str">
            <v>LYQ-ZQMB3811-E0-3X</v>
          </cell>
          <cell r="B2609" t="str">
            <v>LYQ-ZQMB3811</v>
          </cell>
        </row>
        <row r="2610">
          <cell r="A2610" t="str">
            <v>LYQ-ZQMB3811-E0-4X</v>
          </cell>
          <cell r="B2610" t="str">
            <v>LYQ-ZQMB3811</v>
          </cell>
        </row>
        <row r="2611">
          <cell r="A2611" t="str">
            <v>LYQ-ZQMB3811-E0-5X</v>
          </cell>
          <cell r="B2611" t="str">
            <v>LYQ-ZQMB3811</v>
          </cell>
        </row>
        <row r="2612">
          <cell r="A2612" t="str">
            <v>LYQ-ZQMB3811-E0-6X</v>
          </cell>
          <cell r="B2612" t="str">
            <v>LYQ-ZQMB3811</v>
          </cell>
        </row>
        <row r="2613">
          <cell r="A2613" t="str">
            <v>LYQ-ZQMB3811-E0-XL</v>
          </cell>
          <cell r="B2613" t="str">
            <v>LYQ-ZQMB3811</v>
          </cell>
        </row>
        <row r="2614">
          <cell r="A2614" t="str">
            <v>LYQ-ZQMB3811-K0-2X</v>
          </cell>
          <cell r="B2614" t="str">
            <v>LYQ-ZQMB3811</v>
          </cell>
        </row>
        <row r="2615">
          <cell r="A2615" t="str">
            <v>LYQ-ZQMB3811-K0-3X</v>
          </cell>
          <cell r="B2615" t="str">
            <v>LYQ-ZQMB3811</v>
          </cell>
        </row>
        <row r="2616">
          <cell r="A2616" t="str">
            <v>LYQ-ZQMB3811-K0-4X</v>
          </cell>
          <cell r="B2616" t="str">
            <v>LYQ-ZQMB3811</v>
          </cell>
        </row>
        <row r="2617">
          <cell r="A2617" t="str">
            <v>LYQ-ZQMB3811-K0-5X</v>
          </cell>
          <cell r="B2617" t="str">
            <v>LYQ-ZQMB3811</v>
          </cell>
        </row>
        <row r="2618">
          <cell r="A2618" t="str">
            <v>LYQ-ZQMB3811-K0-6X</v>
          </cell>
          <cell r="B2618" t="str">
            <v>LYQ-ZQMB3811</v>
          </cell>
        </row>
        <row r="2619">
          <cell r="A2619" t="str">
            <v>LYQ-ZQMB3811-K0-XL</v>
          </cell>
          <cell r="B2619" t="str">
            <v>LYQ-ZQMB3811</v>
          </cell>
        </row>
        <row r="2620">
          <cell r="A2620" t="str">
            <v>LYQ-ZQPC01-B0-L</v>
          </cell>
          <cell r="B2620" t="str">
            <v>LYQ-ZQPC01</v>
          </cell>
        </row>
        <row r="2621">
          <cell r="A2621" t="str">
            <v>LYQ-ZQPC01-B0-M</v>
          </cell>
          <cell r="B2621" t="str">
            <v>LYQ-ZQPC01</v>
          </cell>
        </row>
        <row r="2622">
          <cell r="A2622" t="str">
            <v>LYQ-ZQPC01-B0-M-GM</v>
          </cell>
          <cell r="B2622" t="str">
            <v>LYQ-ZQPC01</v>
          </cell>
        </row>
        <row r="2623">
          <cell r="A2623" t="str">
            <v>LYQ-ZQPC01-B0-S</v>
          </cell>
          <cell r="B2623" t="str">
            <v>LYQ-ZQPC01</v>
          </cell>
        </row>
        <row r="2624">
          <cell r="A2624" t="str">
            <v>LYQ-ZQPC01-B0-S-GM</v>
          </cell>
          <cell r="B2624" t="str">
            <v>LYQ-ZQPC01</v>
          </cell>
        </row>
        <row r="2625">
          <cell r="A2625" t="str">
            <v>LYQ-ZQPC01-B0-XL</v>
          </cell>
          <cell r="B2625" t="str">
            <v>LYQ-ZQPC01</v>
          </cell>
        </row>
        <row r="2626">
          <cell r="A2626" t="str">
            <v>LYQ-ZQPC01-B0-XXL</v>
          </cell>
          <cell r="B2626" t="str">
            <v>LYQ-ZQPC01</v>
          </cell>
        </row>
        <row r="2627">
          <cell r="A2627" t="str">
            <v>LYQ-ZQPC01-BD-L</v>
          </cell>
          <cell r="B2627" t="str">
            <v>LYQ-ZQPC01</v>
          </cell>
        </row>
        <row r="2628">
          <cell r="A2628" t="str">
            <v>LYQ-ZQPC01-BD-L-GM</v>
          </cell>
          <cell r="B2628" t="str">
            <v>LYQ-ZQPC01</v>
          </cell>
        </row>
        <row r="2629">
          <cell r="A2629" t="str">
            <v>LYQ-ZQPC01-BD-M</v>
          </cell>
          <cell r="B2629" t="str">
            <v>LYQ-ZQPC01</v>
          </cell>
        </row>
        <row r="2630">
          <cell r="A2630" t="str">
            <v>LYQ-ZQPC01-BD-M-GM</v>
          </cell>
          <cell r="B2630" t="str">
            <v>LYQ-ZQPC01</v>
          </cell>
        </row>
        <row r="2631">
          <cell r="A2631" t="str">
            <v>LYQ-ZQPC01-BD-S</v>
          </cell>
          <cell r="B2631" t="str">
            <v>LYQ-ZQPC01</v>
          </cell>
        </row>
        <row r="2632">
          <cell r="A2632" t="str">
            <v>LYQ-ZQPC01-BD-XL</v>
          </cell>
          <cell r="B2632" t="str">
            <v>LYQ-ZQPC01</v>
          </cell>
        </row>
        <row r="2633">
          <cell r="A2633" t="str">
            <v>LYQ-ZQPC01-BD-XL-GM</v>
          </cell>
          <cell r="B2633" t="str">
            <v>LYQ-ZQPC01</v>
          </cell>
        </row>
        <row r="2634">
          <cell r="A2634" t="str">
            <v>LYQ-ZQPC01-BD-XXL</v>
          </cell>
          <cell r="B2634" t="str">
            <v>LYQ-ZQPC01</v>
          </cell>
        </row>
        <row r="2635">
          <cell r="A2635" t="str">
            <v>LYQ-ZQPC01-E0-L</v>
          </cell>
          <cell r="B2635" t="str">
            <v>LYQ-ZQPC01</v>
          </cell>
        </row>
        <row r="2636">
          <cell r="A2636" t="str">
            <v>LYQ-ZQPC01-E0-L-GM</v>
          </cell>
          <cell r="B2636" t="str">
            <v>LYQ-ZQPC01</v>
          </cell>
        </row>
        <row r="2637">
          <cell r="A2637" t="str">
            <v>LYQ-ZQPC01-E0-M</v>
          </cell>
          <cell r="B2637" t="str">
            <v>LYQ-ZQPC01</v>
          </cell>
        </row>
        <row r="2638">
          <cell r="A2638" t="str">
            <v>LYQ-ZQPC01-E0-M-GM</v>
          </cell>
          <cell r="B2638" t="str">
            <v>LYQ-ZQPC01</v>
          </cell>
        </row>
        <row r="2639">
          <cell r="A2639" t="str">
            <v>LYQ-ZQPC01-E0-S</v>
          </cell>
          <cell r="B2639" t="str">
            <v>LYQ-ZQPC01</v>
          </cell>
        </row>
        <row r="2640">
          <cell r="A2640" t="str">
            <v>LYQ-ZQPC01-E0-S-GM</v>
          </cell>
          <cell r="B2640" t="str">
            <v>LYQ-ZQPC01</v>
          </cell>
        </row>
        <row r="2641">
          <cell r="A2641" t="str">
            <v>LYQ-ZQPC01-E0-XL</v>
          </cell>
          <cell r="B2641" t="str">
            <v>LYQ-ZQPC01</v>
          </cell>
        </row>
        <row r="2642">
          <cell r="A2642" t="str">
            <v>LYQ-ZQPC01-E0-XL-GM</v>
          </cell>
          <cell r="B2642" t="str">
            <v>LYQ-ZQPC01</v>
          </cell>
        </row>
        <row r="2643">
          <cell r="A2643" t="str">
            <v>LYQ-ZQPC01-E0-XXL</v>
          </cell>
          <cell r="B2643" t="str">
            <v>LYQ-ZQPC01</v>
          </cell>
        </row>
        <row r="2644">
          <cell r="A2644" t="str">
            <v>LYQ-ZQPC01-E0-XXL-GM</v>
          </cell>
          <cell r="B2644" t="str">
            <v>LYQ-ZQPC01</v>
          </cell>
        </row>
        <row r="2645">
          <cell r="A2645" t="str">
            <v>LYQ-ZQPC01-P0-L</v>
          </cell>
          <cell r="B2645" t="str">
            <v>LYQ-ZQPC01</v>
          </cell>
        </row>
        <row r="2646">
          <cell r="A2646" t="str">
            <v>LYQ-ZQPC01-P0-M</v>
          </cell>
          <cell r="B2646" t="str">
            <v>LYQ-ZQPC01</v>
          </cell>
        </row>
        <row r="2647">
          <cell r="A2647" t="str">
            <v>LYQ-ZQPC01-P0-S</v>
          </cell>
          <cell r="B2647" t="str">
            <v>LYQ-ZQPC01</v>
          </cell>
        </row>
        <row r="2648">
          <cell r="A2648" t="str">
            <v>LYQ-ZQPC01-P0-XL</v>
          </cell>
          <cell r="B2648" t="str">
            <v>LYQ-ZQPC01</v>
          </cell>
        </row>
        <row r="2649">
          <cell r="A2649" t="str">
            <v>LYQ-ZQPC01-P0-XXL</v>
          </cell>
          <cell r="B2649" t="str">
            <v>LYQ-ZQPC01</v>
          </cell>
        </row>
        <row r="2650">
          <cell r="A2650" t="str">
            <v>LYQ-ZQPC01-ZL-L</v>
          </cell>
          <cell r="B2650" t="str">
            <v>LYQ-ZQPC01</v>
          </cell>
        </row>
        <row r="2651">
          <cell r="A2651" t="str">
            <v>LYQ-ZQPC01-ZL-L-GM</v>
          </cell>
          <cell r="B2651" t="str">
            <v>LYQ-ZQPC01</v>
          </cell>
        </row>
        <row r="2652">
          <cell r="A2652" t="str">
            <v>LYQ-ZQPC01-ZL-M</v>
          </cell>
          <cell r="B2652" t="str">
            <v>LYQ-ZQPC01</v>
          </cell>
        </row>
        <row r="2653">
          <cell r="A2653" t="str">
            <v>LYQ-ZQPC01-ZL-S</v>
          </cell>
          <cell r="B2653" t="str">
            <v>LYQ-ZQPC01</v>
          </cell>
        </row>
        <row r="2654">
          <cell r="A2654" t="str">
            <v>LYQ-ZQPC01-ZL-S-GM</v>
          </cell>
          <cell r="B2654" t="str">
            <v>LYQ-ZQPC01</v>
          </cell>
        </row>
        <row r="2655">
          <cell r="A2655" t="str">
            <v>LYQ-ZQPC01-ZL-XL</v>
          </cell>
          <cell r="B2655" t="str">
            <v>LYQ-ZQPC01</v>
          </cell>
        </row>
        <row r="2656">
          <cell r="A2656" t="str">
            <v>LYQ-ZQPC01-ZL-XXL</v>
          </cell>
          <cell r="B2656" t="str">
            <v>LYQ-ZQPC01</v>
          </cell>
        </row>
        <row r="2657">
          <cell r="A2657" t="str">
            <v>LYQ-ZQRR201-E0-M</v>
          </cell>
          <cell r="B2657" t="str">
            <v>LYQ-ZQRR201</v>
          </cell>
        </row>
        <row r="2658">
          <cell r="A2658" t="str">
            <v>LYQ-ZQRR201-E0-S</v>
          </cell>
          <cell r="B2658" t="str">
            <v>LYQ-ZQRR201</v>
          </cell>
        </row>
        <row r="2659">
          <cell r="A2659" t="str">
            <v>LYQ-ZQRR201-E0-XL</v>
          </cell>
          <cell r="B2659" t="str">
            <v>LYQ-ZQRR201</v>
          </cell>
        </row>
        <row r="2660">
          <cell r="A2660" t="str">
            <v>LYQ-ZQS1741-G7-L</v>
          </cell>
          <cell r="B2660" t="str">
            <v>LYQ-ZQS1741</v>
          </cell>
        </row>
        <row r="2661">
          <cell r="A2661" t="str">
            <v>LYQ-ZQS1741-G7-M</v>
          </cell>
          <cell r="B2661" t="str">
            <v>LYQ-ZQS1741</v>
          </cell>
        </row>
        <row r="2662">
          <cell r="A2662" t="str">
            <v>LYQ-ZQS1741-G7-M-GM</v>
          </cell>
          <cell r="B2662" t="str">
            <v>LYQ-ZQS1741</v>
          </cell>
        </row>
        <row r="2663">
          <cell r="A2663" t="str">
            <v>LYQ-ZQS1741-G7-S</v>
          </cell>
          <cell r="B2663" t="str">
            <v>LYQ-ZQS1741</v>
          </cell>
        </row>
        <row r="2664">
          <cell r="A2664" t="str">
            <v>LYQ-ZQS1741-G7-XL</v>
          </cell>
          <cell r="B2664" t="str">
            <v>LYQ-ZQS1741</v>
          </cell>
        </row>
        <row r="2665">
          <cell r="A2665" t="str">
            <v>LYQ-ZQS1741-K0-L</v>
          </cell>
          <cell r="B2665" t="str">
            <v>LYQ-ZQS1741</v>
          </cell>
        </row>
        <row r="2666">
          <cell r="A2666" t="str">
            <v>LYQ-ZQS1741-K0-L-GM</v>
          </cell>
          <cell r="B2666" t="str">
            <v>LYQ-ZQS1741</v>
          </cell>
        </row>
        <row r="2667">
          <cell r="A2667" t="str">
            <v>LYQ-ZQS1741-K0-M</v>
          </cell>
          <cell r="B2667" t="str">
            <v>LYQ-ZQS1741</v>
          </cell>
        </row>
        <row r="2668">
          <cell r="A2668" t="str">
            <v>LYQ-ZQS1741-K0-S</v>
          </cell>
          <cell r="B2668" t="str">
            <v>LYQ-ZQS1741</v>
          </cell>
        </row>
        <row r="2669">
          <cell r="A2669" t="str">
            <v>LYQ-ZQS1741-K0-XL</v>
          </cell>
          <cell r="B2669" t="str">
            <v>LYQ-ZQS1741</v>
          </cell>
        </row>
        <row r="2670">
          <cell r="A2670" t="str">
            <v>LYQ-ZQS1741-W0-L</v>
          </cell>
          <cell r="B2670" t="str">
            <v>LYQ-ZQS1741</v>
          </cell>
        </row>
        <row r="2671">
          <cell r="A2671" t="str">
            <v>LYQ-ZQS1741-W0-M</v>
          </cell>
          <cell r="B2671" t="str">
            <v>LYQ-ZQS1741</v>
          </cell>
        </row>
        <row r="2672">
          <cell r="A2672" t="str">
            <v>LYQ-ZQS1741-W0-S</v>
          </cell>
          <cell r="B2672" t="str">
            <v>LYQ-ZQS1741</v>
          </cell>
        </row>
        <row r="2673">
          <cell r="A2673" t="str">
            <v>LYQ-ZQS1741-W0-XL</v>
          </cell>
          <cell r="B2673" t="str">
            <v>LYQ-ZQS1741</v>
          </cell>
        </row>
        <row r="2674">
          <cell r="A2674" t="str">
            <v>LYQ-ZQS1741-W0-XL-GM</v>
          </cell>
          <cell r="B2674" t="str">
            <v>LYQ-ZQS1741</v>
          </cell>
        </row>
        <row r="2675">
          <cell r="A2675" t="str">
            <v>LYQ-ZQTN2611-BD-2X</v>
          </cell>
          <cell r="B2675" t="str">
            <v>LYQ-ZQTN2611</v>
          </cell>
        </row>
        <row r="2676">
          <cell r="A2676" t="str">
            <v>LYQ-ZQTN2611-BD-3X</v>
          </cell>
          <cell r="B2676" t="str">
            <v>LYQ-ZQTN2611</v>
          </cell>
        </row>
        <row r="2677">
          <cell r="A2677" t="str">
            <v>LYQ-ZQTN2611-BD-4X</v>
          </cell>
          <cell r="B2677" t="str">
            <v>LYQ-ZQTN2611</v>
          </cell>
        </row>
        <row r="2678">
          <cell r="A2678" t="str">
            <v>LYQ-ZQTN2611-BD-5X</v>
          </cell>
          <cell r="B2678" t="str">
            <v>LYQ-ZQTN2611</v>
          </cell>
        </row>
        <row r="2679">
          <cell r="A2679" t="str">
            <v>LYQ-ZQTN2611-BD-6X</v>
          </cell>
          <cell r="B2679" t="str">
            <v>LYQ-ZQTN2611</v>
          </cell>
        </row>
        <row r="2680">
          <cell r="A2680" t="str">
            <v>LYQ-ZQTN2611-BD-XL</v>
          </cell>
          <cell r="B2680" t="str">
            <v>LYQ-ZQTN2611</v>
          </cell>
        </row>
        <row r="2681">
          <cell r="A2681" t="str">
            <v>LYQ-ZQTN2611-K0-2X</v>
          </cell>
          <cell r="B2681" t="str">
            <v>LYQ-ZQTN2611</v>
          </cell>
        </row>
        <row r="2682">
          <cell r="A2682" t="str">
            <v>LYQ-ZQTN2611-K0-3X</v>
          </cell>
          <cell r="B2682" t="str">
            <v>LYQ-ZQTN2611</v>
          </cell>
        </row>
        <row r="2683">
          <cell r="A2683" t="str">
            <v>LYQ-ZQTN2611-K0-4X</v>
          </cell>
          <cell r="B2683" t="str">
            <v>LYQ-ZQTN2611</v>
          </cell>
        </row>
        <row r="2684">
          <cell r="A2684" t="str">
            <v>LYQ-ZQTN2611-K0-5X</v>
          </cell>
          <cell r="B2684" t="str">
            <v>LYQ-ZQTN2611</v>
          </cell>
        </row>
        <row r="2685">
          <cell r="A2685" t="str">
            <v>LYQ-ZQTN2611-K0-6X</v>
          </cell>
          <cell r="B2685" t="str">
            <v>LYQ-ZQTN2611</v>
          </cell>
        </row>
        <row r="2686">
          <cell r="A2686" t="str">
            <v>LYQ-ZQTN2611-K0-XL</v>
          </cell>
          <cell r="B2686" t="str">
            <v>LYQ-ZQTN2611</v>
          </cell>
        </row>
        <row r="2687">
          <cell r="A2687" t="str">
            <v>LYQ-ZQTN2611-P0-2X</v>
          </cell>
          <cell r="B2687" t="str">
            <v>LYQ-ZQTN2611</v>
          </cell>
        </row>
        <row r="2688">
          <cell r="A2688" t="str">
            <v>LYQ-ZQTN2611-P0-3X</v>
          </cell>
          <cell r="B2688" t="str">
            <v>LYQ-ZQTN2611</v>
          </cell>
        </row>
        <row r="2689">
          <cell r="A2689" t="str">
            <v>LYQ-ZQTN2611-P0-5X</v>
          </cell>
          <cell r="B2689" t="str">
            <v>LYQ-ZQTN2611</v>
          </cell>
        </row>
        <row r="2690">
          <cell r="A2690" t="str">
            <v>LYQ-ZQTN2611-P0-6X</v>
          </cell>
          <cell r="B2690" t="str">
            <v>LYQ-ZQTN2611</v>
          </cell>
        </row>
        <row r="2691">
          <cell r="A2691" t="str">
            <v>LYQ-ZQTN2611-P0-XL</v>
          </cell>
          <cell r="B2691" t="str">
            <v>LYQ-ZQTN2611</v>
          </cell>
        </row>
        <row r="2692">
          <cell r="A2692" t="str">
            <v>LYQ-ZQTN2611-PI-2X</v>
          </cell>
          <cell r="B2692" t="str">
            <v>LYQ-ZQTN2611</v>
          </cell>
        </row>
        <row r="2693">
          <cell r="A2693" t="str">
            <v>LYQ-ZQTN2611-PI-3X</v>
          </cell>
          <cell r="B2693" t="str">
            <v>LYQ-ZQTN2611</v>
          </cell>
        </row>
        <row r="2694">
          <cell r="A2694" t="str">
            <v>LYQ-ZQTN2611-PI-4X</v>
          </cell>
          <cell r="B2694" t="str">
            <v>LYQ-ZQTN2611</v>
          </cell>
        </row>
        <row r="2695">
          <cell r="A2695" t="str">
            <v>LYQ-ZQTN2611-PI-5X</v>
          </cell>
          <cell r="B2695" t="str">
            <v>LYQ-ZQTN2611</v>
          </cell>
        </row>
        <row r="2696">
          <cell r="A2696" t="str">
            <v>LYQ-ZQTN2611-PI-6X</v>
          </cell>
          <cell r="B2696" t="str">
            <v>LYQ-ZQTN2611</v>
          </cell>
        </row>
        <row r="2697">
          <cell r="A2697" t="str">
            <v>LYQ-ZQTN2611-PI-XL</v>
          </cell>
          <cell r="B2697" t="str">
            <v>LYQ-ZQTN2611</v>
          </cell>
        </row>
        <row r="2698">
          <cell r="A2698" t="str">
            <v>LYQ-ZQTW01-B0-L</v>
          </cell>
          <cell r="B2698" t="str">
            <v>LYQ-ZQTW01</v>
          </cell>
        </row>
        <row r="2699">
          <cell r="A2699" t="str">
            <v>LYQ-ZQTW586-K0-XL</v>
          </cell>
          <cell r="B2699" t="str">
            <v>LYQ-ZQTW586</v>
          </cell>
        </row>
        <row r="2700">
          <cell r="A2700" t="str">
            <v>LYQ-ZQV130-G7-S</v>
          </cell>
          <cell r="B2700" t="str">
            <v>LYQ-ZQV130</v>
          </cell>
        </row>
        <row r="2701">
          <cell r="A2701" t="str">
            <v>LYQ-ZQV130-K0-M</v>
          </cell>
          <cell r="B2701" t="str">
            <v>LYQ-ZQV130</v>
          </cell>
        </row>
        <row r="2702">
          <cell r="A2702" t="str">
            <v>LYQ-ZQV130-R0-S</v>
          </cell>
          <cell r="B2702" t="str">
            <v>LYQ-ZQV130</v>
          </cell>
        </row>
        <row r="2703">
          <cell r="A2703" t="str">
            <v>MID46-069-2XL</v>
          </cell>
          <cell r="B2703" t="str">
            <v>MID46-069</v>
          </cell>
        </row>
        <row r="2704">
          <cell r="A2704" t="str">
            <v>MID46-069-3XL</v>
          </cell>
          <cell r="B2704" t="str">
            <v>MID46-069</v>
          </cell>
        </row>
        <row r="2705">
          <cell r="A2705" t="str">
            <v>MID46-069HSLX</v>
          </cell>
          <cell r="B2705" t="str">
            <v>MID46-069</v>
          </cell>
        </row>
        <row r="2706">
          <cell r="A2706" t="str">
            <v>MID46-069HSS</v>
          </cell>
          <cell r="B2706" t="str">
            <v>MID46-069</v>
          </cell>
        </row>
        <row r="2707">
          <cell r="A2707" t="str">
            <v>MID46-069-XL</v>
          </cell>
          <cell r="B2707" t="str">
            <v>MID46-069</v>
          </cell>
        </row>
        <row r="2708">
          <cell r="A2708" t="str">
            <v>MIDUYD036G0SX</v>
          </cell>
          <cell r="B2708" t="str">
            <v>MIDUYD</v>
          </cell>
        </row>
        <row r="2709">
          <cell r="A2709" t="str">
            <v>MIDUYD46-059KZL</v>
          </cell>
          <cell r="B2709" t="str">
            <v>MIDUYD</v>
          </cell>
        </row>
        <row r="2710">
          <cell r="A2710" t="str">
            <v>MJ-IUYL230-CF-L</v>
          </cell>
          <cell r="B2710" t="str">
            <v>MJ-IUYL230</v>
          </cell>
        </row>
        <row r="2711">
          <cell r="A2711" t="str">
            <v>MNQ-7188</v>
          </cell>
          <cell r="B2711" t="str">
            <v>MNQ-7188</v>
          </cell>
        </row>
        <row r="2712">
          <cell r="A2712" t="str">
            <v>MNQ-BT718K02XL</v>
          </cell>
          <cell r="B2712" t="str">
            <v>MNQ-718</v>
          </cell>
        </row>
        <row r="2713">
          <cell r="A2713" t="str">
            <v>MNQ-BT718K0L</v>
          </cell>
          <cell r="B2713" t="str">
            <v>MNQ-718</v>
          </cell>
        </row>
        <row r="2714">
          <cell r="A2714" t="str">
            <v>MNQ-BT718K0M</v>
          </cell>
          <cell r="B2714" t="str">
            <v>MNQ-718</v>
          </cell>
        </row>
        <row r="2715">
          <cell r="A2715" t="str">
            <v>MNQ-BT718K0S</v>
          </cell>
          <cell r="B2715" t="str">
            <v>MNQ-718</v>
          </cell>
        </row>
        <row r="2716">
          <cell r="A2716" t="str">
            <v>MNQ-BT718W02XL</v>
          </cell>
          <cell r="B2716" t="str">
            <v>MNQ-718</v>
          </cell>
        </row>
        <row r="2717">
          <cell r="A2717" t="str">
            <v>MNQ-BT718W0L</v>
          </cell>
          <cell r="B2717" t="str">
            <v>MNQ-718</v>
          </cell>
        </row>
        <row r="2718">
          <cell r="A2718" t="str">
            <v>MNQ-BT718W0M</v>
          </cell>
          <cell r="B2718" t="str">
            <v>MNQ-718</v>
          </cell>
        </row>
        <row r="2719">
          <cell r="A2719" t="str">
            <v>MNQ-BT718W0S</v>
          </cell>
          <cell r="B2719" t="str">
            <v>MNQ-718</v>
          </cell>
        </row>
        <row r="2720">
          <cell r="A2720" t="str">
            <v>MNQ-N7188-K0-2XL</v>
          </cell>
          <cell r="B2720" t="str">
            <v>MNQ-718</v>
          </cell>
        </row>
        <row r="2721">
          <cell r="A2721" t="str">
            <v>MNQ-N7188-K0-L</v>
          </cell>
          <cell r="B2721" t="str">
            <v>MNQ-718</v>
          </cell>
        </row>
        <row r="2722">
          <cell r="A2722" t="str">
            <v>MNQ-N7188-K0-M</v>
          </cell>
          <cell r="B2722" t="str">
            <v>MNQ-718</v>
          </cell>
        </row>
        <row r="2723">
          <cell r="A2723" t="str">
            <v>MNQ-N7188-K0-S</v>
          </cell>
          <cell r="B2723" t="str">
            <v>MNQ-718</v>
          </cell>
        </row>
        <row r="2724">
          <cell r="A2724" t="str">
            <v>MNQ-N7188-K0-XL</v>
          </cell>
          <cell r="B2724" t="str">
            <v>MNQ-718</v>
          </cell>
        </row>
        <row r="2725">
          <cell r="A2725" t="str">
            <v>MNQ-N7188-K0-XS</v>
          </cell>
          <cell r="B2725" t="str">
            <v>MNQ-718</v>
          </cell>
        </row>
        <row r="2726">
          <cell r="A2726" t="str">
            <v>MNQ-N7188-W0-2XL</v>
          </cell>
          <cell r="B2726" t="str">
            <v>MNQ-718</v>
          </cell>
        </row>
        <row r="2727">
          <cell r="A2727" t="str">
            <v>MNQ-N7188-W0-L</v>
          </cell>
          <cell r="B2727" t="str">
            <v>MNQ-718</v>
          </cell>
        </row>
        <row r="2728">
          <cell r="A2728" t="str">
            <v>MNQ-N7188-W0-M</v>
          </cell>
          <cell r="B2728" t="str">
            <v>MNQ-718</v>
          </cell>
        </row>
        <row r="2729">
          <cell r="A2729" t="str">
            <v>MNQ-N7188-W0-S</v>
          </cell>
          <cell r="B2729" t="str">
            <v>MNQ-718</v>
          </cell>
        </row>
        <row r="2730">
          <cell r="A2730" t="str">
            <v>MNQ-N7188-W0-XL</v>
          </cell>
          <cell r="B2730" t="str">
            <v>MNQ-718</v>
          </cell>
        </row>
        <row r="2731">
          <cell r="A2731" t="str">
            <v>MNQ-N7188-W0-XS</v>
          </cell>
          <cell r="B2731" t="str">
            <v>MNQ-718</v>
          </cell>
        </row>
        <row r="2732">
          <cell r="A2732" t="str">
            <v>MNQ-N718B0XL</v>
          </cell>
          <cell r="B2732" t="str">
            <v>MNQ-718</v>
          </cell>
        </row>
        <row r="2733">
          <cell r="A2733" t="str">
            <v>MNQ-N718B2XL</v>
          </cell>
          <cell r="B2733" t="str">
            <v>MNQ-718</v>
          </cell>
        </row>
        <row r="2734">
          <cell r="A2734" t="str">
            <v>MNQ-N718BM</v>
          </cell>
          <cell r="B2734" t="str">
            <v>MNQ-718</v>
          </cell>
        </row>
        <row r="2735">
          <cell r="A2735" t="str">
            <v>MNQ-N718BS</v>
          </cell>
          <cell r="B2735" t="str">
            <v>MNQ-718</v>
          </cell>
        </row>
        <row r="2736">
          <cell r="A2736" t="str">
            <v>MNQ-N718BXL-1</v>
          </cell>
          <cell r="B2736" t="str">
            <v>MNQ-718</v>
          </cell>
        </row>
        <row r="2737">
          <cell r="A2737" t="str">
            <v>MNQ-N718BXXL</v>
          </cell>
          <cell r="B2737" t="str">
            <v>MNQ-718</v>
          </cell>
        </row>
        <row r="2738">
          <cell r="A2738" t="str">
            <v>MNQ-N718-W0-M</v>
          </cell>
          <cell r="B2738" t="str">
            <v>MNQ-718</v>
          </cell>
        </row>
        <row r="2739">
          <cell r="A2739" t="str">
            <v>MNQ-N718-W0-S</v>
          </cell>
          <cell r="B2739" t="str">
            <v>MNQ-718</v>
          </cell>
        </row>
        <row r="2740">
          <cell r="A2740" t="str">
            <v>MNQ-N718W0XL</v>
          </cell>
          <cell r="B2740" t="str">
            <v>MNQ-718</v>
          </cell>
        </row>
        <row r="2741">
          <cell r="A2741" t="str">
            <v>MNQ-N718W2XL</v>
          </cell>
          <cell r="B2741" t="str">
            <v>MNQ-718</v>
          </cell>
        </row>
        <row r="2742">
          <cell r="A2742" t="str">
            <v>MNQ-N718WL</v>
          </cell>
          <cell r="B2742" t="str">
            <v>MNQ-718</v>
          </cell>
        </row>
        <row r="2743">
          <cell r="A2743" t="str">
            <v>MNQ-N718WM</v>
          </cell>
          <cell r="B2743" t="str">
            <v>MNQ-718</v>
          </cell>
        </row>
        <row r="2744">
          <cell r="A2744" t="str">
            <v>MNQ-N718WS</v>
          </cell>
          <cell r="B2744" t="str">
            <v>MNQ-718</v>
          </cell>
        </row>
        <row r="2745">
          <cell r="A2745" t="str">
            <v>MNQ-N718WXL</v>
          </cell>
          <cell r="B2745" t="str">
            <v>MNQ-718</v>
          </cell>
        </row>
        <row r="2746">
          <cell r="A2746" t="str">
            <v>MNQ-N718WXXL</v>
          </cell>
          <cell r="B2746" t="str">
            <v>MNQ-718</v>
          </cell>
        </row>
        <row r="2747">
          <cell r="A2747" t="str">
            <v>MTX-IULHY-M1759-DB-27</v>
          </cell>
          <cell r="B2747" t="str">
            <v>MTX-IULHY</v>
          </cell>
        </row>
        <row r="2748">
          <cell r="A2748" t="str">
            <v>MTX-IULHY-M1759-DB-28</v>
          </cell>
          <cell r="B2748" t="str">
            <v>MTX-IULHY</v>
          </cell>
        </row>
        <row r="2749">
          <cell r="A2749" t="str">
            <v>MTX-IULHY-M1759-DB-29</v>
          </cell>
          <cell r="B2749" t="str">
            <v>MTX-IULHY</v>
          </cell>
        </row>
        <row r="2750">
          <cell r="A2750" t="str">
            <v>MTX-IULHY-M1759-GR-28</v>
          </cell>
          <cell r="B2750" t="str">
            <v>MTX-IULHY</v>
          </cell>
        </row>
        <row r="2751">
          <cell r="A2751" t="str">
            <v>MTX-IULHY-M1759-GR-29</v>
          </cell>
          <cell r="B2751" t="str">
            <v>MTX-IULHY</v>
          </cell>
        </row>
        <row r="2752">
          <cell r="A2752" t="str">
            <v>MTX-IULHY-W1758-GN-25</v>
          </cell>
          <cell r="B2752" t="str">
            <v>MTX-IULHY</v>
          </cell>
        </row>
        <row r="2753">
          <cell r="A2753" t="str">
            <v>MTX-IULHY-W1758-GN-27</v>
          </cell>
          <cell r="B2753" t="str">
            <v>MTX-IULHY</v>
          </cell>
        </row>
        <row r="2754">
          <cell r="A2754" t="str">
            <v>MTX-IULHY-W1758-OR-26</v>
          </cell>
          <cell r="B2754" t="str">
            <v>MTX-IULHY</v>
          </cell>
        </row>
        <row r="2755">
          <cell r="A2755" t="str">
            <v>MTX-IULHY-W1759-GN-26</v>
          </cell>
          <cell r="B2755" t="str">
            <v>MTX-IULHY</v>
          </cell>
        </row>
        <row r="2756">
          <cell r="A2756" t="str">
            <v>MTX-IULHY-W1759-GN-27</v>
          </cell>
          <cell r="B2756" t="str">
            <v>MTX-IULHY</v>
          </cell>
        </row>
        <row r="2757">
          <cell r="A2757" t="str">
            <v>MTX-IULHY-W1759-OR-26</v>
          </cell>
          <cell r="B2757" t="str">
            <v>MTX-IULHY</v>
          </cell>
        </row>
        <row r="2758">
          <cell r="A2758" t="str">
            <v>MTX-IULHY-W1759-PK-27</v>
          </cell>
          <cell r="B2758" t="str">
            <v>MTX-IULHY</v>
          </cell>
        </row>
        <row r="2759">
          <cell r="A2759" t="str">
            <v>MTX-IULHY-W188-PK-38/39</v>
          </cell>
          <cell r="B2759" t="str">
            <v>MTX-IULHY</v>
          </cell>
        </row>
        <row r="2760">
          <cell r="A2760" t="str">
            <v>MTX-IULHY-W188-PP-38/39</v>
          </cell>
          <cell r="B2760" t="str">
            <v>MTX-IULHY</v>
          </cell>
        </row>
        <row r="2761">
          <cell r="A2761" t="str">
            <v>MY-0036NEW-B0</v>
          </cell>
          <cell r="B2761" t="str">
            <v>MY-0036NEW</v>
          </cell>
        </row>
        <row r="2762">
          <cell r="A2762" t="str">
            <v>MY-0036NEW-GR</v>
          </cell>
          <cell r="B2762" t="str">
            <v>MY-0036NEW</v>
          </cell>
        </row>
        <row r="2763">
          <cell r="A2763" t="str">
            <v>MY-0036NEW-GR-GM</v>
          </cell>
          <cell r="B2763" t="str">
            <v>MY-0036NEW</v>
          </cell>
        </row>
        <row r="2764">
          <cell r="A2764" t="str">
            <v>MY-0036NEW-K0</v>
          </cell>
          <cell r="B2764" t="str">
            <v>MY-0036NEW</v>
          </cell>
        </row>
        <row r="2765">
          <cell r="A2765" t="str">
            <v>MY-0036NEW-K0-GM</v>
          </cell>
          <cell r="B2765" t="str">
            <v>MY-0036NEW</v>
          </cell>
        </row>
        <row r="2766">
          <cell r="A2766" t="str">
            <v>MY-0036NEW-KA</v>
          </cell>
          <cell r="B2766" t="str">
            <v>MY-0036NEW</v>
          </cell>
        </row>
        <row r="2767">
          <cell r="A2767" t="str">
            <v>MY-0036NEW-OR</v>
          </cell>
          <cell r="B2767" t="str">
            <v>MY-0036NEW</v>
          </cell>
        </row>
        <row r="2768">
          <cell r="A2768" t="str">
            <v>MY-0036NEW-OR-GM</v>
          </cell>
          <cell r="B2768" t="str">
            <v>MY-0036NEW</v>
          </cell>
        </row>
        <row r="2769">
          <cell r="A2769" t="str">
            <v>MY-0036NEW-PI</v>
          </cell>
          <cell r="B2769" t="str">
            <v>MY-0036NEW</v>
          </cell>
        </row>
        <row r="2770">
          <cell r="A2770" t="str">
            <v>MY-CL17182-00</v>
          </cell>
          <cell r="B2770" t="str">
            <v>MY-CL17182</v>
          </cell>
        </row>
        <row r="2771">
          <cell r="A2771" t="str">
            <v>MY-CL17182-KQ</v>
          </cell>
          <cell r="B2771" t="str">
            <v>MY-CL17182</v>
          </cell>
        </row>
        <row r="2772">
          <cell r="A2772" t="str">
            <v>MY-CL17182-W1</v>
          </cell>
          <cell r="B2772" t="str">
            <v>MY-CL17182</v>
          </cell>
        </row>
        <row r="2773">
          <cell r="A2773" t="str">
            <v>MY-CL17182-Y0</v>
          </cell>
          <cell r="B2773" t="str">
            <v>MY-CL17182</v>
          </cell>
        </row>
        <row r="2774">
          <cell r="A2774" t="str">
            <v>MY-CL1925</v>
          </cell>
          <cell r="B2774" t="str">
            <v>MY-CL1925</v>
          </cell>
        </row>
        <row r="2775">
          <cell r="A2775" t="str">
            <v>MY-CL1925-E0-2XL</v>
          </cell>
          <cell r="B2775" t="str">
            <v>MY-CL1925</v>
          </cell>
        </row>
        <row r="2776">
          <cell r="A2776" t="str">
            <v>MY-CL1925-E0-L</v>
          </cell>
          <cell r="B2776" t="str">
            <v>MY-CL1925</v>
          </cell>
        </row>
        <row r="2777">
          <cell r="A2777" t="str">
            <v>MY-CL1925-E0-M</v>
          </cell>
          <cell r="B2777" t="str">
            <v>MY-CL1925</v>
          </cell>
        </row>
        <row r="2778">
          <cell r="A2778" t="str">
            <v>MY-CL1925-E0-S</v>
          </cell>
          <cell r="B2778" t="str">
            <v>MY-CL1925</v>
          </cell>
        </row>
        <row r="2779">
          <cell r="A2779" t="str">
            <v>MY-CL1925-E0-XL</v>
          </cell>
          <cell r="B2779" t="str">
            <v>MY-CL1925</v>
          </cell>
        </row>
        <row r="2780">
          <cell r="A2780" t="str">
            <v>MY-CL1925-G7-2XL</v>
          </cell>
          <cell r="B2780" t="str">
            <v>MY-CL1925</v>
          </cell>
        </row>
        <row r="2781">
          <cell r="A2781" t="str">
            <v>MY-CL1925-G7-L</v>
          </cell>
          <cell r="B2781" t="str">
            <v>MY-CL1925</v>
          </cell>
        </row>
        <row r="2782">
          <cell r="A2782" t="str">
            <v>MY-CL1925-G7-M</v>
          </cell>
          <cell r="B2782" t="str">
            <v>MY-CL1925</v>
          </cell>
        </row>
        <row r="2783">
          <cell r="A2783" t="str">
            <v>MY-CL1925-G7-S</v>
          </cell>
          <cell r="B2783" t="str">
            <v>MY-CL1925</v>
          </cell>
        </row>
        <row r="2784">
          <cell r="A2784" t="str">
            <v>MY-CL1925-G7-XL</v>
          </cell>
          <cell r="B2784" t="str">
            <v>MY-CL1925</v>
          </cell>
        </row>
        <row r="2785">
          <cell r="A2785" t="str">
            <v>MY-CL1925-R6-2XL</v>
          </cell>
          <cell r="B2785" t="str">
            <v>MY-CL1925</v>
          </cell>
        </row>
        <row r="2786">
          <cell r="A2786" t="str">
            <v>MY-CL1925-R6-L</v>
          </cell>
          <cell r="B2786" t="str">
            <v>MY-CL1925</v>
          </cell>
        </row>
        <row r="2787">
          <cell r="A2787" t="str">
            <v>MY-CL1925-R6-M</v>
          </cell>
          <cell r="B2787" t="str">
            <v>MY-CL1925</v>
          </cell>
        </row>
        <row r="2788">
          <cell r="A2788" t="str">
            <v>MY-CL1925-R6-S</v>
          </cell>
          <cell r="B2788" t="str">
            <v>MY-CL1925</v>
          </cell>
        </row>
        <row r="2789">
          <cell r="A2789" t="str">
            <v>MY-CL1925-R6-XL</v>
          </cell>
          <cell r="B2789" t="str">
            <v>MY-CL1925</v>
          </cell>
        </row>
        <row r="2790">
          <cell r="A2790" t="str">
            <v>MY-CL1925-W0-2XL</v>
          </cell>
          <cell r="B2790" t="str">
            <v>MY-CL1925</v>
          </cell>
        </row>
        <row r="2791">
          <cell r="A2791" t="str">
            <v>MY-CL1925-W0-L</v>
          </cell>
          <cell r="B2791" t="str">
            <v>MY-CL1925</v>
          </cell>
        </row>
        <row r="2792">
          <cell r="A2792" t="str">
            <v>MY-CL1925-W0-M</v>
          </cell>
          <cell r="B2792" t="str">
            <v>MY-CL1925</v>
          </cell>
        </row>
        <row r="2793">
          <cell r="A2793" t="str">
            <v>MY-CL1925-W0-S</v>
          </cell>
          <cell r="B2793" t="str">
            <v>MY-CL1925</v>
          </cell>
        </row>
        <row r="2794">
          <cell r="A2794" t="str">
            <v>MY-CL1925-W0-XL</v>
          </cell>
          <cell r="B2794" t="str">
            <v>MY-CL1925</v>
          </cell>
        </row>
        <row r="2795">
          <cell r="A2795" t="str">
            <v>MY-CL3362-W1-L</v>
          </cell>
          <cell r="B2795" t="str">
            <v>MY-CL3362</v>
          </cell>
        </row>
        <row r="2796">
          <cell r="A2796" t="str">
            <v>MY-CL9978-G7-L</v>
          </cell>
          <cell r="B2796" t="str">
            <v>MY-CL9978</v>
          </cell>
        </row>
        <row r="2797">
          <cell r="A2797" t="str">
            <v>MY-CLM459-XS-S</v>
          </cell>
          <cell r="B2797" t="str">
            <v>MY-CLM459</v>
          </cell>
        </row>
        <row r="2798">
          <cell r="A2798" t="str">
            <v>MY-CLWM1136-ZLB</v>
          </cell>
          <cell r="B2798" t="str">
            <v>MY-CLWM1136</v>
          </cell>
        </row>
        <row r="2799">
          <cell r="A2799" t="str">
            <v>MY-CLY1707-N5-XL</v>
          </cell>
          <cell r="B2799" t="str">
            <v>MY-CLY1707</v>
          </cell>
        </row>
        <row r="2800">
          <cell r="A2800" t="str">
            <v>MY-HM1206</v>
          </cell>
          <cell r="B2800" t="str">
            <v>MY-HM1206</v>
          </cell>
        </row>
        <row r="2801">
          <cell r="A2801" t="str">
            <v>MY-HM1206-BR-L</v>
          </cell>
          <cell r="B2801" t="str">
            <v>MY-HM1206</v>
          </cell>
        </row>
        <row r="2802">
          <cell r="A2802" t="str">
            <v>MY-HM1206-BR-M</v>
          </cell>
          <cell r="B2802" t="str">
            <v>MY-HM1206</v>
          </cell>
        </row>
        <row r="2803">
          <cell r="A2803" t="str">
            <v>MY-HM1206-BR-M-GM</v>
          </cell>
          <cell r="B2803" t="str">
            <v>MY-HM1206</v>
          </cell>
        </row>
        <row r="2804">
          <cell r="A2804" t="str">
            <v>MY-HM1206-BR-S</v>
          </cell>
          <cell r="B2804" t="str">
            <v>MY-HM1206</v>
          </cell>
        </row>
        <row r="2805">
          <cell r="A2805" t="str">
            <v>MY-HM1206-BR-XL</v>
          </cell>
          <cell r="B2805" t="str">
            <v>MY-HM1206</v>
          </cell>
        </row>
        <row r="2806">
          <cell r="A2806" t="str">
            <v>MY-HM1206-GR-L</v>
          </cell>
          <cell r="B2806" t="str">
            <v>MY-HM1206</v>
          </cell>
        </row>
        <row r="2807">
          <cell r="A2807" t="str">
            <v>MY-HM1206-GR-M</v>
          </cell>
          <cell r="B2807" t="str">
            <v>MY-HM1206</v>
          </cell>
        </row>
        <row r="2808">
          <cell r="A2808" t="str">
            <v>MY-HM1206-GR-S</v>
          </cell>
          <cell r="B2808" t="str">
            <v>MY-HM1206</v>
          </cell>
        </row>
        <row r="2809">
          <cell r="A2809" t="str">
            <v>MY-HM1206-GR-XL</v>
          </cell>
          <cell r="B2809" t="str">
            <v>MY-HM1206</v>
          </cell>
        </row>
        <row r="2810">
          <cell r="A2810" t="str">
            <v>MY-HM1206-K0-L</v>
          </cell>
          <cell r="B2810" t="str">
            <v>MY-HM1206</v>
          </cell>
        </row>
        <row r="2811">
          <cell r="A2811" t="str">
            <v>MY-HM1206-K0-M</v>
          </cell>
          <cell r="B2811" t="str">
            <v>MY-HM1206</v>
          </cell>
        </row>
        <row r="2812">
          <cell r="A2812" t="str">
            <v>MY-HM1206-K0-S</v>
          </cell>
          <cell r="B2812" t="str">
            <v>MY-HM1206</v>
          </cell>
        </row>
        <row r="2813">
          <cell r="A2813" t="str">
            <v>MY-HM1206-K0-XL</v>
          </cell>
          <cell r="B2813" t="str">
            <v>MY-HM1206</v>
          </cell>
        </row>
        <row r="2814">
          <cell r="A2814" t="str">
            <v>MY-HM1206-KH-L</v>
          </cell>
          <cell r="B2814" t="str">
            <v>MY-HM1206</v>
          </cell>
        </row>
        <row r="2815">
          <cell r="A2815" t="str">
            <v>MY-HM1206-KH-L-GM</v>
          </cell>
          <cell r="B2815" t="str">
            <v>MY-HM1206</v>
          </cell>
        </row>
        <row r="2816">
          <cell r="A2816" t="str">
            <v>MY-HM1206-KH-M</v>
          </cell>
          <cell r="B2816" t="str">
            <v>MY-HM1206</v>
          </cell>
        </row>
        <row r="2817">
          <cell r="A2817" t="str">
            <v>MY-HM1206-KH-M-GM</v>
          </cell>
          <cell r="B2817" t="str">
            <v>MY-HM1206</v>
          </cell>
        </row>
        <row r="2818">
          <cell r="A2818" t="str">
            <v>MY-HM1206-KH-S</v>
          </cell>
          <cell r="B2818" t="str">
            <v>MY-HM1206</v>
          </cell>
        </row>
        <row r="2819">
          <cell r="A2819" t="str">
            <v>MY-HM1206-KH-S-GM</v>
          </cell>
          <cell r="B2819" t="str">
            <v>MY-HM1206</v>
          </cell>
        </row>
        <row r="2820">
          <cell r="A2820" t="str">
            <v>MY-HM1206-KH-XL</v>
          </cell>
          <cell r="B2820" t="str">
            <v>MY-HM1206</v>
          </cell>
        </row>
        <row r="2821">
          <cell r="A2821" t="str">
            <v>MY-HM1206-KH-XL-GM</v>
          </cell>
          <cell r="B2821" t="str">
            <v>MY-HM1206</v>
          </cell>
        </row>
        <row r="2822">
          <cell r="A2822" t="str">
            <v>MY-HM1206-OR-L</v>
          </cell>
          <cell r="B2822" t="str">
            <v>MY-HM1206</v>
          </cell>
        </row>
        <row r="2823">
          <cell r="A2823" t="str">
            <v>MY-HM1206-OR-M</v>
          </cell>
          <cell r="B2823" t="str">
            <v>MY-HM1206</v>
          </cell>
        </row>
        <row r="2824">
          <cell r="A2824" t="str">
            <v>MY-HM1206-OR-S</v>
          </cell>
          <cell r="B2824" t="str">
            <v>MY-HM1206</v>
          </cell>
        </row>
        <row r="2825">
          <cell r="A2825" t="str">
            <v>MY-HM1206-OR-XL</v>
          </cell>
          <cell r="B2825" t="str">
            <v>MY-HM1206</v>
          </cell>
        </row>
        <row r="2826">
          <cell r="A2826" t="str">
            <v>MY-HM1206-OR-XL-GM</v>
          </cell>
          <cell r="B2826" t="str">
            <v>MY-HM1206</v>
          </cell>
        </row>
        <row r="2827">
          <cell r="A2827" t="str">
            <v>MY-LYHigh303-DG-L</v>
          </cell>
          <cell r="B2827" t="str">
            <v>MY-LYHigh303</v>
          </cell>
        </row>
        <row r="2828">
          <cell r="A2828" t="str">
            <v>MY-LYHigh303-DG-M</v>
          </cell>
          <cell r="B2828" t="str">
            <v>MY-LYHigh303</v>
          </cell>
        </row>
        <row r="2829">
          <cell r="A2829" t="str">
            <v>MY-LYHigh303-DG-S</v>
          </cell>
          <cell r="B2829" t="str">
            <v>MY-LYHigh303</v>
          </cell>
        </row>
        <row r="2830">
          <cell r="A2830" t="str">
            <v>MY-LYHigh303-DG-XL</v>
          </cell>
          <cell r="B2830" t="str">
            <v>MY-LYHigh303</v>
          </cell>
        </row>
        <row r="2831">
          <cell r="A2831" t="str">
            <v>MY-LYHigh303-GR-L</v>
          </cell>
          <cell r="B2831" t="str">
            <v>MY-LYHigh303</v>
          </cell>
        </row>
        <row r="2832">
          <cell r="A2832" t="str">
            <v>MY-LYHigh303-GR-M</v>
          </cell>
          <cell r="B2832" t="str">
            <v>MY-LYHigh303</v>
          </cell>
        </row>
        <row r="2833">
          <cell r="A2833" t="str">
            <v>MY-LYHigh303-GR-S</v>
          </cell>
          <cell r="B2833" t="str">
            <v>MY-LYHigh303</v>
          </cell>
        </row>
        <row r="2834">
          <cell r="A2834" t="str">
            <v>MY-LYHigh303-GR-XL</v>
          </cell>
          <cell r="B2834" t="str">
            <v>MY-LYHigh303</v>
          </cell>
        </row>
        <row r="2835">
          <cell r="A2835" t="str">
            <v>MY-LYHigh303-K0-L</v>
          </cell>
          <cell r="B2835" t="str">
            <v>MY-LYHigh303</v>
          </cell>
        </row>
        <row r="2836">
          <cell r="A2836" t="str">
            <v>MY-LYHigh303-K0-M</v>
          </cell>
          <cell r="B2836" t="str">
            <v>MY-LYHigh303</v>
          </cell>
        </row>
        <row r="2837">
          <cell r="A2837" t="str">
            <v>MY-LYHigh303-K0-S1</v>
          </cell>
          <cell r="B2837" t="str">
            <v>MY-LYHigh303</v>
          </cell>
        </row>
        <row r="2838">
          <cell r="A2838" t="str">
            <v>MY-LYHigh303-K0-XL</v>
          </cell>
          <cell r="B2838" t="str">
            <v>MY-LYHigh303</v>
          </cell>
        </row>
        <row r="2839">
          <cell r="A2839" t="str">
            <v>MY-LYHigh303-KQ-L</v>
          </cell>
          <cell r="B2839" t="str">
            <v>MY-LYHigh303</v>
          </cell>
        </row>
        <row r="2840">
          <cell r="A2840" t="str">
            <v>MY-LYHigh303-KQ-M</v>
          </cell>
          <cell r="B2840" t="str">
            <v>MY-LYHigh303</v>
          </cell>
        </row>
        <row r="2841">
          <cell r="A2841" t="str">
            <v>MY-LYHigh303-KQ-S</v>
          </cell>
          <cell r="B2841" t="str">
            <v>MY-LYHigh303</v>
          </cell>
        </row>
        <row r="2842">
          <cell r="A2842" t="str">
            <v>MY-LYHigh303-KQ-XL</v>
          </cell>
          <cell r="B2842" t="str">
            <v>MY-LYHigh303</v>
          </cell>
        </row>
        <row r="2843">
          <cell r="A2843" t="str">
            <v>MY-LYHigh303-LB-L</v>
          </cell>
          <cell r="B2843" t="str">
            <v>MY-LYHigh303</v>
          </cell>
        </row>
        <row r="2844">
          <cell r="A2844" t="str">
            <v>MY-LYHigh303-LB-M</v>
          </cell>
          <cell r="B2844" t="str">
            <v>MY-LYHigh303</v>
          </cell>
        </row>
        <row r="2845">
          <cell r="A2845" t="str">
            <v>MY-LYHigh303-LB-S</v>
          </cell>
          <cell r="B2845" t="str">
            <v>MY-LYHigh303</v>
          </cell>
        </row>
        <row r="2846">
          <cell r="A2846" t="str">
            <v>MY-LYHigh303-LB-XL</v>
          </cell>
          <cell r="B2846" t="str">
            <v>MY-LYHigh303</v>
          </cell>
        </row>
        <row r="2847">
          <cell r="A2847" t="str">
            <v>MY-LYHigh303-OR-L</v>
          </cell>
          <cell r="B2847" t="str">
            <v>MY-LYHigh303</v>
          </cell>
        </row>
        <row r="2848">
          <cell r="A2848" t="str">
            <v>MY-LYHigh303-OR-M</v>
          </cell>
          <cell r="B2848" t="str">
            <v>MY-LYHigh303</v>
          </cell>
        </row>
        <row r="2849">
          <cell r="A2849" t="str">
            <v>MY-LYHigh303-OR-S</v>
          </cell>
          <cell r="B2849" t="str">
            <v>MY-LYHigh303</v>
          </cell>
        </row>
        <row r="2850">
          <cell r="A2850" t="str">
            <v>MY-LYHigh303-OR-XL</v>
          </cell>
          <cell r="B2850" t="str">
            <v>MY-LYHigh303</v>
          </cell>
        </row>
        <row r="2851">
          <cell r="A2851" t="str">
            <v>MY-LYHigh303-W0-L</v>
          </cell>
          <cell r="B2851" t="str">
            <v>MY-LYHigh303</v>
          </cell>
        </row>
        <row r="2852">
          <cell r="A2852" t="str">
            <v>MY-LYHigh303-W0-M</v>
          </cell>
          <cell r="B2852" t="str">
            <v>MY-LYHigh303</v>
          </cell>
        </row>
        <row r="2853">
          <cell r="A2853" t="str">
            <v>MY-LYHigh303-W0-S</v>
          </cell>
          <cell r="B2853" t="str">
            <v>MY-LYHigh303</v>
          </cell>
        </row>
        <row r="2854">
          <cell r="A2854" t="str">
            <v>MY-LYHigh303-W0-XL</v>
          </cell>
          <cell r="B2854" t="str">
            <v>MY-LYHigh303</v>
          </cell>
        </row>
        <row r="2855">
          <cell r="A2855" t="str">
            <v>MY-LYHigh303-WR-L</v>
          </cell>
          <cell r="B2855" t="str">
            <v>MY-LYHigh303</v>
          </cell>
        </row>
        <row r="2856">
          <cell r="A2856" t="str">
            <v>MY-LYHigh303-WR-M</v>
          </cell>
          <cell r="B2856" t="str">
            <v>MY-LYHigh303</v>
          </cell>
        </row>
        <row r="2857">
          <cell r="A2857" t="str">
            <v>MY-LYHigh303-WR-S</v>
          </cell>
          <cell r="B2857" t="str">
            <v>MY-LYHigh303</v>
          </cell>
        </row>
        <row r="2858">
          <cell r="A2858" t="str">
            <v>MY-LYHigh303-WR-XL</v>
          </cell>
          <cell r="B2858" t="str">
            <v>MY-LYHigh303</v>
          </cell>
        </row>
        <row r="2859">
          <cell r="A2859" t="str">
            <v>MY-LYPoint021-DG-L</v>
          </cell>
          <cell r="B2859" t="str">
            <v>MY-LYPoint021</v>
          </cell>
        </row>
        <row r="2860">
          <cell r="A2860" t="str">
            <v>MY-LYPoint021-DG-M</v>
          </cell>
          <cell r="B2860" t="str">
            <v>MY-LYPoint021</v>
          </cell>
        </row>
        <row r="2861">
          <cell r="A2861" t="str">
            <v>MY-LYPoint021-DG-S</v>
          </cell>
          <cell r="B2861" t="str">
            <v>MY-LYPoint021</v>
          </cell>
        </row>
        <row r="2862">
          <cell r="A2862" t="str">
            <v>MY-LYPoint021-DG-XL</v>
          </cell>
          <cell r="B2862" t="str">
            <v>MY-LYPoint021</v>
          </cell>
        </row>
        <row r="2863">
          <cell r="A2863" t="str">
            <v>MY-LYPoint021-GR-L</v>
          </cell>
          <cell r="B2863" t="str">
            <v>MY-LYPoint021</v>
          </cell>
        </row>
        <row r="2864">
          <cell r="A2864" t="str">
            <v>MY-LYPoint021-GR-M</v>
          </cell>
          <cell r="B2864" t="str">
            <v>MY-LYPoint021</v>
          </cell>
        </row>
        <row r="2865">
          <cell r="A2865" t="str">
            <v>MY-LYPoint021-GR-S</v>
          </cell>
          <cell r="B2865" t="str">
            <v>MY-LYPoint021</v>
          </cell>
        </row>
        <row r="2866">
          <cell r="A2866" t="str">
            <v>MY-LYPoint021-GR-XL</v>
          </cell>
          <cell r="B2866" t="str">
            <v>MY-LYPoint021</v>
          </cell>
        </row>
        <row r="2867">
          <cell r="A2867" t="str">
            <v>MY-LYPoint021-K0-L</v>
          </cell>
          <cell r="B2867" t="str">
            <v>MY-LYPoint021</v>
          </cell>
        </row>
        <row r="2868">
          <cell r="A2868" t="str">
            <v>MY-LYPoint021-K0-M</v>
          </cell>
          <cell r="B2868" t="str">
            <v>MY-LYPoint021</v>
          </cell>
        </row>
        <row r="2869">
          <cell r="A2869" t="str">
            <v>MY-LYPoint021-K0-S1</v>
          </cell>
          <cell r="B2869" t="str">
            <v>MY-LYPoint021</v>
          </cell>
        </row>
        <row r="2870">
          <cell r="A2870" t="str">
            <v>MY-LYPoint021-K0-XL</v>
          </cell>
          <cell r="B2870" t="str">
            <v>MY-LYPoint021</v>
          </cell>
        </row>
        <row r="2871">
          <cell r="A2871" t="str">
            <v>MY-LYPoint021-KQ-L</v>
          </cell>
          <cell r="B2871" t="str">
            <v>MY-LYPoint021</v>
          </cell>
        </row>
        <row r="2872">
          <cell r="A2872" t="str">
            <v>MY-LYPoint021-KQ-M</v>
          </cell>
          <cell r="B2872" t="str">
            <v>MY-LYPoint021</v>
          </cell>
        </row>
        <row r="2873">
          <cell r="A2873" t="str">
            <v>MY-LYPoint021-KQ-S</v>
          </cell>
          <cell r="B2873" t="str">
            <v>MY-LYPoint021</v>
          </cell>
        </row>
        <row r="2874">
          <cell r="A2874" t="str">
            <v>MY-LYPoint021-KQ-XL</v>
          </cell>
          <cell r="B2874" t="str">
            <v>MY-LYPoint021</v>
          </cell>
        </row>
        <row r="2875">
          <cell r="A2875" t="str">
            <v>MY-LYPoint021-LB-L</v>
          </cell>
          <cell r="B2875" t="str">
            <v>MY-LYPoint021</v>
          </cell>
        </row>
        <row r="2876">
          <cell r="A2876" t="str">
            <v>MY-LYPoint021-LB-M</v>
          </cell>
          <cell r="B2876" t="str">
            <v>MY-LYPoint021</v>
          </cell>
        </row>
        <row r="2877">
          <cell r="A2877" t="str">
            <v>MY-LYPoint021-LB-S</v>
          </cell>
          <cell r="B2877" t="str">
            <v>MY-LYPoint021</v>
          </cell>
        </row>
        <row r="2878">
          <cell r="A2878" t="str">
            <v>MY-LYPoint021-LB-XL</v>
          </cell>
          <cell r="B2878" t="str">
            <v>MY-LYPoint021</v>
          </cell>
        </row>
        <row r="2879">
          <cell r="A2879" t="str">
            <v>MY-LYPoint021-OR-L</v>
          </cell>
          <cell r="B2879" t="str">
            <v>MY-LYPoint021</v>
          </cell>
        </row>
        <row r="2880">
          <cell r="A2880" t="str">
            <v>MY-LYPoint021-OR-M</v>
          </cell>
          <cell r="B2880" t="str">
            <v>MY-LYPoint021</v>
          </cell>
        </row>
        <row r="2881">
          <cell r="A2881" t="str">
            <v>MY-LYPoint021-OR-S</v>
          </cell>
          <cell r="B2881" t="str">
            <v>MY-LYPoint021</v>
          </cell>
        </row>
        <row r="2882">
          <cell r="A2882" t="str">
            <v>MY-LYPoint021-OR-XL</v>
          </cell>
          <cell r="B2882" t="str">
            <v>MY-LYPoint021</v>
          </cell>
        </row>
        <row r="2883">
          <cell r="A2883" t="str">
            <v>MY-LYPoint021-W0-L</v>
          </cell>
          <cell r="B2883" t="str">
            <v>MY-LYPoint021</v>
          </cell>
        </row>
        <row r="2884">
          <cell r="A2884" t="str">
            <v>MY-LYPoint021-W0-M</v>
          </cell>
          <cell r="B2884" t="str">
            <v>MY-LYPoint021</v>
          </cell>
        </row>
        <row r="2885">
          <cell r="A2885" t="str">
            <v>MY-LYPoint021-W0-S</v>
          </cell>
          <cell r="B2885" t="str">
            <v>MY-LYPoint021</v>
          </cell>
        </row>
        <row r="2886">
          <cell r="A2886" t="str">
            <v>MY-LYPoint021-W0-XL</v>
          </cell>
          <cell r="B2886" t="str">
            <v>MY-LYPoint021</v>
          </cell>
        </row>
        <row r="2887">
          <cell r="A2887" t="str">
            <v>MY-LYPoint021-WR-L</v>
          </cell>
          <cell r="B2887" t="str">
            <v>MY-LYPoint021</v>
          </cell>
        </row>
        <row r="2888">
          <cell r="A2888" t="str">
            <v>MY-LYPoint021-WR-M</v>
          </cell>
          <cell r="B2888" t="str">
            <v>MY-LYPoint021</v>
          </cell>
        </row>
        <row r="2889">
          <cell r="A2889" t="str">
            <v>MY-LYPoint021-WR-S</v>
          </cell>
          <cell r="B2889" t="str">
            <v>MY-LYPoint021</v>
          </cell>
        </row>
        <row r="2890">
          <cell r="A2890" t="str">
            <v>MY-LYPoint021-WR-XL</v>
          </cell>
          <cell r="B2890" t="str">
            <v>MY-LYPoint021</v>
          </cell>
        </row>
        <row r="2891">
          <cell r="A2891" t="str">
            <v>MY-LYRound020-DG-L</v>
          </cell>
          <cell r="B2891" t="str">
            <v>MY-LYRound020</v>
          </cell>
        </row>
        <row r="2892">
          <cell r="A2892" t="str">
            <v>MY-LYRound020-DG-M</v>
          </cell>
          <cell r="B2892" t="str">
            <v>MY-LYRound020</v>
          </cell>
        </row>
        <row r="2893">
          <cell r="A2893" t="str">
            <v>MY-LYRound020-DG-S</v>
          </cell>
          <cell r="B2893" t="str">
            <v>MY-LYRound020</v>
          </cell>
        </row>
        <row r="2894">
          <cell r="A2894" t="str">
            <v>MY-LYRound020-DG-XL</v>
          </cell>
          <cell r="B2894" t="str">
            <v>MY-LYRound020</v>
          </cell>
        </row>
        <row r="2895">
          <cell r="A2895" t="str">
            <v>MY-LYRound020-GR-L</v>
          </cell>
          <cell r="B2895" t="str">
            <v>MY-LYRound020</v>
          </cell>
        </row>
        <row r="2896">
          <cell r="A2896" t="str">
            <v>MY-LYRound020-GR-M</v>
          </cell>
          <cell r="B2896" t="str">
            <v>MY-LYRound020</v>
          </cell>
        </row>
        <row r="2897">
          <cell r="A2897" t="str">
            <v>MY-LYRound020-GR-S</v>
          </cell>
          <cell r="B2897" t="str">
            <v>MY-LYRound020</v>
          </cell>
        </row>
        <row r="2898">
          <cell r="A2898" t="str">
            <v>MY-LYRound020-GR-XL</v>
          </cell>
          <cell r="B2898" t="str">
            <v>MY-LYRound020</v>
          </cell>
        </row>
        <row r="2899">
          <cell r="A2899" t="str">
            <v>MY-LYRound020-K0-L</v>
          </cell>
          <cell r="B2899" t="str">
            <v>MY-LYRound020</v>
          </cell>
        </row>
        <row r="2900">
          <cell r="A2900" t="str">
            <v>MY-LYRound020-K0-M</v>
          </cell>
          <cell r="B2900" t="str">
            <v>MY-LYRound020</v>
          </cell>
        </row>
        <row r="2901">
          <cell r="A2901" t="str">
            <v>MY-LYRound020-K0-S</v>
          </cell>
          <cell r="B2901" t="str">
            <v>MY-LYRound020</v>
          </cell>
        </row>
        <row r="2902">
          <cell r="A2902" t="str">
            <v>MY-LYRound020-K0-XL</v>
          </cell>
          <cell r="B2902" t="str">
            <v>MY-LYRound020</v>
          </cell>
        </row>
        <row r="2903">
          <cell r="A2903" t="str">
            <v>MY-LYRound020-KQ-L</v>
          </cell>
          <cell r="B2903" t="str">
            <v>MY-LYRound020</v>
          </cell>
        </row>
        <row r="2904">
          <cell r="A2904" t="str">
            <v>MY-LYRound020-KQ-M</v>
          </cell>
          <cell r="B2904" t="str">
            <v>MY-LYRound020</v>
          </cell>
        </row>
        <row r="2905">
          <cell r="A2905" t="str">
            <v>MY-LYRound020-KQ-S</v>
          </cell>
          <cell r="B2905" t="str">
            <v>MY-LYRound020</v>
          </cell>
        </row>
        <row r="2906">
          <cell r="A2906" t="str">
            <v>MY-LYRound020-KQ-XL</v>
          </cell>
          <cell r="B2906" t="str">
            <v>MY-LYRound020</v>
          </cell>
        </row>
        <row r="2907">
          <cell r="A2907" t="str">
            <v>MY-LYRound020-LB-L</v>
          </cell>
          <cell r="B2907" t="str">
            <v>MY-LYRound020</v>
          </cell>
        </row>
        <row r="2908">
          <cell r="A2908" t="str">
            <v>MY-LYRound020-LB-M</v>
          </cell>
          <cell r="B2908" t="str">
            <v>MY-LYRound020</v>
          </cell>
        </row>
        <row r="2909">
          <cell r="A2909" t="str">
            <v>MY-LYRound020-LB-S</v>
          </cell>
          <cell r="B2909" t="str">
            <v>MY-LYRound020</v>
          </cell>
        </row>
        <row r="2910">
          <cell r="A2910" t="str">
            <v>MY-LYRound020-LB-XL</v>
          </cell>
          <cell r="B2910" t="str">
            <v>MY-LYRound020</v>
          </cell>
        </row>
        <row r="2911">
          <cell r="A2911" t="str">
            <v>MY-LYRound020-OR-L</v>
          </cell>
          <cell r="B2911" t="str">
            <v>MY-LYRound020</v>
          </cell>
        </row>
        <row r="2912">
          <cell r="A2912" t="str">
            <v>MY-LYRound020-OR-M</v>
          </cell>
          <cell r="B2912" t="str">
            <v>MY-LYRound020</v>
          </cell>
        </row>
        <row r="2913">
          <cell r="A2913" t="str">
            <v>MY-LYRound020-OR-S</v>
          </cell>
          <cell r="B2913" t="str">
            <v>MY-LYRound020</v>
          </cell>
        </row>
        <row r="2914">
          <cell r="A2914" t="str">
            <v>MY-LYRound020-OR-XL</v>
          </cell>
          <cell r="B2914" t="str">
            <v>MY-LYRound020</v>
          </cell>
        </row>
        <row r="2915">
          <cell r="A2915" t="str">
            <v>MY-LYRound020-W0-L</v>
          </cell>
          <cell r="B2915" t="str">
            <v>MY-LYRound020</v>
          </cell>
        </row>
        <row r="2916">
          <cell r="A2916" t="str">
            <v>MY-LYRound020-W0-M</v>
          </cell>
          <cell r="B2916" t="str">
            <v>MY-LYRound020</v>
          </cell>
        </row>
        <row r="2917">
          <cell r="A2917" t="str">
            <v>MY-LYRound020-W0-S</v>
          </cell>
          <cell r="B2917" t="str">
            <v>MY-LYRound020</v>
          </cell>
        </row>
        <row r="2918">
          <cell r="A2918" t="str">
            <v>MY-LYRound020-W0-XL</v>
          </cell>
          <cell r="B2918" t="str">
            <v>MY-LYRound020</v>
          </cell>
        </row>
        <row r="2919">
          <cell r="A2919" t="str">
            <v>MY-LYRound020-WR-L</v>
          </cell>
          <cell r="B2919" t="str">
            <v>MY-LYRound020</v>
          </cell>
        </row>
        <row r="2920">
          <cell r="A2920" t="str">
            <v>MY-LYRound020-WR-M</v>
          </cell>
          <cell r="B2920" t="str">
            <v>MY-LYRound020</v>
          </cell>
        </row>
        <row r="2921">
          <cell r="A2921" t="str">
            <v>MY-LYRound020-WR-S</v>
          </cell>
          <cell r="B2921" t="str">
            <v>MY-LYRound020</v>
          </cell>
        </row>
        <row r="2922">
          <cell r="A2922" t="str">
            <v>MY-LYRound020-WR-XL</v>
          </cell>
          <cell r="B2922" t="str">
            <v>MY-LYRound020</v>
          </cell>
        </row>
        <row r="2923">
          <cell r="A2923" t="str">
            <v>MY-SB011-BK-L</v>
          </cell>
          <cell r="B2923" t="str">
            <v>MY-SB011</v>
          </cell>
        </row>
        <row r="2924">
          <cell r="A2924" t="str">
            <v>MY-SB011-BK-M</v>
          </cell>
          <cell r="B2924" t="str">
            <v>MY-SB011</v>
          </cell>
        </row>
        <row r="2925">
          <cell r="A2925" t="str">
            <v>MY-SB011-BK-S</v>
          </cell>
          <cell r="B2925" t="str">
            <v>MY-SB011</v>
          </cell>
        </row>
        <row r="2926">
          <cell r="A2926" t="str">
            <v>MY-SB011-BK-XL</v>
          </cell>
          <cell r="B2926" t="str">
            <v>MY-SB011</v>
          </cell>
        </row>
        <row r="2927">
          <cell r="A2927" t="str">
            <v>MY-SB011-BL-L</v>
          </cell>
          <cell r="B2927" t="str">
            <v>MY-SB011</v>
          </cell>
        </row>
        <row r="2928">
          <cell r="A2928" t="str">
            <v>MY-SB011-BL-M</v>
          </cell>
          <cell r="B2928" t="str">
            <v>MY-SB011</v>
          </cell>
        </row>
        <row r="2929">
          <cell r="A2929" t="str">
            <v>MY-SB011-BL-S</v>
          </cell>
          <cell r="B2929" t="str">
            <v>MY-SB011</v>
          </cell>
        </row>
        <row r="2930">
          <cell r="A2930" t="str">
            <v>MY-SB011-BL-XL</v>
          </cell>
          <cell r="B2930" t="str">
            <v>MY-SB011</v>
          </cell>
        </row>
        <row r="2931">
          <cell r="A2931" t="str">
            <v>MY-SB011-CF-L</v>
          </cell>
          <cell r="B2931" t="str">
            <v>MY-SB011</v>
          </cell>
        </row>
        <row r="2932">
          <cell r="A2932" t="str">
            <v>MY-SB011-CF-M</v>
          </cell>
          <cell r="B2932" t="str">
            <v>MY-SB011</v>
          </cell>
        </row>
        <row r="2933">
          <cell r="A2933" t="str">
            <v>MY-SB011-CF-S</v>
          </cell>
          <cell r="B2933" t="str">
            <v>MY-SB011</v>
          </cell>
        </row>
        <row r="2934">
          <cell r="A2934" t="str">
            <v>MY-SB011-CF-XL</v>
          </cell>
          <cell r="B2934" t="str">
            <v>MY-SB011</v>
          </cell>
        </row>
        <row r="2935">
          <cell r="A2935" t="str">
            <v>MY-SB011-DG-L</v>
          </cell>
          <cell r="B2935" t="str">
            <v>MY-SB011</v>
          </cell>
        </row>
        <row r="2936">
          <cell r="A2936" t="str">
            <v>MY-SB011-DG-M</v>
          </cell>
          <cell r="B2936" t="str">
            <v>MY-SB011</v>
          </cell>
        </row>
        <row r="2937">
          <cell r="A2937" t="str">
            <v>MY-SB011-DG-S</v>
          </cell>
          <cell r="B2937" t="str">
            <v>MY-SB011</v>
          </cell>
        </row>
        <row r="2938">
          <cell r="A2938" t="str">
            <v>MY-SB011-DG-XL</v>
          </cell>
          <cell r="B2938" t="str">
            <v>MY-SB011</v>
          </cell>
        </row>
        <row r="2939">
          <cell r="A2939" t="str">
            <v>MY-SB011-LG-L</v>
          </cell>
          <cell r="B2939" t="str">
            <v>MY-SB011</v>
          </cell>
        </row>
        <row r="2940">
          <cell r="A2940" t="str">
            <v>MY-SB011-LG-M</v>
          </cell>
          <cell r="B2940" t="str">
            <v>MY-SB011</v>
          </cell>
        </row>
        <row r="2941">
          <cell r="A2941" t="str">
            <v>MY-SB011-LG-S</v>
          </cell>
          <cell r="B2941" t="str">
            <v>MY-SB011</v>
          </cell>
        </row>
        <row r="2942">
          <cell r="A2942" t="str">
            <v>MY-SB011-LG-XL</v>
          </cell>
          <cell r="B2942" t="str">
            <v>MY-SB011</v>
          </cell>
        </row>
        <row r="2943">
          <cell r="A2943" t="str">
            <v>MY-SB011-NY-L</v>
          </cell>
          <cell r="B2943" t="str">
            <v>MY-SB011</v>
          </cell>
        </row>
        <row r="2944">
          <cell r="A2944" t="str">
            <v>MY-SB011-NY-M</v>
          </cell>
          <cell r="B2944" t="str">
            <v>MY-SB011</v>
          </cell>
        </row>
        <row r="2945">
          <cell r="A2945" t="str">
            <v>MY-SB011-NY-S</v>
          </cell>
          <cell r="B2945" t="str">
            <v>MY-SB011</v>
          </cell>
        </row>
        <row r="2946">
          <cell r="A2946" t="str">
            <v>MY-SB011-NY-XL</v>
          </cell>
          <cell r="B2946" t="str">
            <v>MY-SB011</v>
          </cell>
        </row>
        <row r="2947">
          <cell r="A2947" t="str">
            <v>MY-SB011-PP-L</v>
          </cell>
          <cell r="B2947" t="str">
            <v>MY-SB011</v>
          </cell>
        </row>
        <row r="2948">
          <cell r="A2948" t="str">
            <v>MY-SB011-PP-M</v>
          </cell>
          <cell r="B2948" t="str">
            <v>MY-SB011</v>
          </cell>
        </row>
        <row r="2949">
          <cell r="A2949" t="str">
            <v>MY-SB011-PP-S</v>
          </cell>
          <cell r="B2949" t="str">
            <v>MY-SB011</v>
          </cell>
        </row>
        <row r="2950">
          <cell r="A2950" t="str">
            <v>MY-SB011-PP-XL</v>
          </cell>
          <cell r="B2950" t="str">
            <v>MY-SB011</v>
          </cell>
        </row>
        <row r="2951">
          <cell r="A2951" t="str">
            <v>MY-SB011-RD-L</v>
          </cell>
          <cell r="B2951" t="str">
            <v>MY-SB011</v>
          </cell>
        </row>
        <row r="2952">
          <cell r="A2952" t="str">
            <v>MY-SB011-RD-M</v>
          </cell>
          <cell r="B2952" t="str">
            <v>MY-SB011</v>
          </cell>
        </row>
        <row r="2953">
          <cell r="A2953" t="str">
            <v>MY-SB011-RD-S</v>
          </cell>
          <cell r="B2953" t="str">
            <v>MY-SB011</v>
          </cell>
        </row>
        <row r="2954">
          <cell r="A2954" t="str">
            <v>MY-SB011-RD-XL</v>
          </cell>
          <cell r="B2954" t="str">
            <v>MY-SB011</v>
          </cell>
        </row>
        <row r="2955">
          <cell r="A2955" t="str">
            <v>MY-SB011-WT-L</v>
          </cell>
          <cell r="B2955" t="str">
            <v>MY-SB011</v>
          </cell>
        </row>
        <row r="2956">
          <cell r="A2956" t="str">
            <v>MY-SB011-WT-M</v>
          </cell>
          <cell r="B2956" t="str">
            <v>MY-SB011</v>
          </cell>
        </row>
        <row r="2957">
          <cell r="A2957" t="str">
            <v>MY-SB011-WT-S</v>
          </cell>
          <cell r="B2957" t="str">
            <v>MY-SB011</v>
          </cell>
        </row>
        <row r="2958">
          <cell r="A2958" t="str">
            <v>MY-SB011-WT-XL</v>
          </cell>
          <cell r="B2958" t="str">
            <v>MY-SB011</v>
          </cell>
        </row>
        <row r="2959">
          <cell r="A2959" t="str">
            <v>MY-SB013-AG-L</v>
          </cell>
          <cell r="B2959" t="str">
            <v>MY-SB013</v>
          </cell>
        </row>
        <row r="2960">
          <cell r="A2960" t="str">
            <v>MY-SB013-AG-M</v>
          </cell>
          <cell r="B2960" t="str">
            <v>MY-SB013</v>
          </cell>
        </row>
        <row r="2961">
          <cell r="A2961" t="str">
            <v>MY-SB013-AG-S</v>
          </cell>
          <cell r="B2961" t="str">
            <v>MY-SB013</v>
          </cell>
        </row>
        <row r="2962">
          <cell r="A2962" t="str">
            <v>MY-SB013-AG-XL</v>
          </cell>
          <cell r="B2962" t="str">
            <v>MY-SB013</v>
          </cell>
        </row>
        <row r="2963">
          <cell r="A2963" t="str">
            <v>MY-SB013-AG-XS</v>
          </cell>
          <cell r="B2963" t="str">
            <v>MY-SB013</v>
          </cell>
        </row>
        <row r="2964">
          <cell r="A2964" t="str">
            <v>MY-SB013-BO-L</v>
          </cell>
          <cell r="B2964" t="str">
            <v>MY-SB013</v>
          </cell>
        </row>
        <row r="2965">
          <cell r="A2965" t="str">
            <v>MY-SB013-BO-M</v>
          </cell>
          <cell r="B2965" t="str">
            <v>MY-SB013</v>
          </cell>
        </row>
        <row r="2966">
          <cell r="A2966" t="str">
            <v>MY-SB013-BO-S</v>
          </cell>
          <cell r="B2966" t="str">
            <v>MY-SB013</v>
          </cell>
        </row>
        <row r="2967">
          <cell r="A2967" t="str">
            <v>MY-SB013-BO-XL</v>
          </cell>
          <cell r="B2967" t="str">
            <v>MY-SB013</v>
          </cell>
        </row>
        <row r="2968">
          <cell r="A2968" t="str">
            <v>MY-SB013-BO-XS</v>
          </cell>
          <cell r="B2968" t="str">
            <v>MY-SB013</v>
          </cell>
        </row>
        <row r="2969">
          <cell r="A2969" t="str">
            <v>MY-SB013-DG-L</v>
          </cell>
          <cell r="B2969" t="str">
            <v>MY-SB013</v>
          </cell>
        </row>
        <row r="2970">
          <cell r="A2970" t="str">
            <v>MY-SB013-DG-M</v>
          </cell>
          <cell r="B2970" t="str">
            <v>MY-SB013</v>
          </cell>
        </row>
        <row r="2971">
          <cell r="A2971" t="str">
            <v>MY-SB013-DG-S</v>
          </cell>
          <cell r="B2971" t="str">
            <v>MY-SB013</v>
          </cell>
        </row>
        <row r="2972">
          <cell r="A2972" t="str">
            <v>MY-SB013-DG-XL</v>
          </cell>
          <cell r="B2972" t="str">
            <v>MY-SB013</v>
          </cell>
        </row>
        <row r="2973">
          <cell r="A2973" t="str">
            <v>MY-SB013-DG-XS</v>
          </cell>
          <cell r="B2973" t="str">
            <v>MY-SB013</v>
          </cell>
        </row>
        <row r="2974">
          <cell r="A2974" t="str">
            <v>MY-SB013-KK-L</v>
          </cell>
          <cell r="B2974" t="str">
            <v>MY-SB013</v>
          </cell>
        </row>
        <row r="2975">
          <cell r="A2975" t="str">
            <v>MY-SB013-KK-M</v>
          </cell>
          <cell r="B2975" t="str">
            <v>MY-SB013</v>
          </cell>
        </row>
        <row r="2976">
          <cell r="A2976" t="str">
            <v>MY-SB013-KK-S</v>
          </cell>
          <cell r="B2976" t="str">
            <v>MY-SB013</v>
          </cell>
        </row>
        <row r="2977">
          <cell r="A2977" t="str">
            <v>MY-SB013-KK-XL</v>
          </cell>
          <cell r="B2977" t="str">
            <v>MY-SB013</v>
          </cell>
        </row>
        <row r="2978">
          <cell r="A2978" t="str">
            <v>MY-SB013-KK-XS</v>
          </cell>
          <cell r="B2978" t="str">
            <v>MY-SB013</v>
          </cell>
        </row>
        <row r="2979">
          <cell r="A2979" t="str">
            <v>MY-SB013-LG-L</v>
          </cell>
          <cell r="B2979" t="str">
            <v>MY-SB013</v>
          </cell>
        </row>
        <row r="2980">
          <cell r="A2980" t="str">
            <v>MY-SB013-LG-M</v>
          </cell>
          <cell r="B2980" t="str">
            <v>MY-SB013</v>
          </cell>
        </row>
        <row r="2981">
          <cell r="A2981" t="str">
            <v>MY-SB013-LG-S</v>
          </cell>
          <cell r="B2981" t="str">
            <v>MY-SB013</v>
          </cell>
        </row>
        <row r="2982">
          <cell r="A2982" t="str">
            <v>MY-SB013-LG-XL</v>
          </cell>
          <cell r="B2982" t="str">
            <v>MY-SB013</v>
          </cell>
        </row>
        <row r="2983">
          <cell r="A2983" t="str">
            <v>MY-SB013-LG-XS</v>
          </cell>
          <cell r="B2983" t="str">
            <v>MY-SB013</v>
          </cell>
        </row>
        <row r="2984">
          <cell r="A2984" t="str">
            <v>MY-SB013-WR-L</v>
          </cell>
          <cell r="B2984" t="str">
            <v>MY-SB013</v>
          </cell>
        </row>
        <row r="2985">
          <cell r="A2985" t="str">
            <v>MY-SB013-WR-M</v>
          </cell>
          <cell r="B2985" t="str">
            <v>MY-SB013</v>
          </cell>
        </row>
        <row r="2986">
          <cell r="A2986" t="str">
            <v>MY-SB013-WR-S</v>
          </cell>
          <cell r="B2986" t="str">
            <v>MY-SB013</v>
          </cell>
        </row>
        <row r="2987">
          <cell r="A2987" t="str">
            <v>MY-SB013-WR-XL</v>
          </cell>
          <cell r="B2987" t="str">
            <v>MY-SB013</v>
          </cell>
        </row>
        <row r="2988">
          <cell r="A2988" t="str">
            <v>MY-SB013-WR-XS</v>
          </cell>
          <cell r="B2988" t="str">
            <v>MY-SB013</v>
          </cell>
        </row>
        <row r="2989">
          <cell r="A2989" t="str">
            <v>MY-SB015-BK-L</v>
          </cell>
          <cell r="B2989" t="str">
            <v>MY-SB015</v>
          </cell>
        </row>
        <row r="2990">
          <cell r="A2990" t="str">
            <v>MY-SB015-BK-M</v>
          </cell>
          <cell r="B2990" t="str">
            <v>MY-SB015</v>
          </cell>
        </row>
        <row r="2991">
          <cell r="A2991" t="str">
            <v>MY-SB015-BK-S</v>
          </cell>
          <cell r="B2991" t="str">
            <v>MY-SB015</v>
          </cell>
        </row>
        <row r="2992">
          <cell r="A2992" t="str">
            <v>MY-SB015-BK-XL</v>
          </cell>
          <cell r="B2992" t="str">
            <v>MY-SB015</v>
          </cell>
        </row>
        <row r="2993">
          <cell r="A2993" t="str">
            <v>MY-SB015-BL-L</v>
          </cell>
          <cell r="B2993" t="str">
            <v>MY-SB015</v>
          </cell>
        </row>
        <row r="2994">
          <cell r="A2994" t="str">
            <v>MY-SB015-BL-M</v>
          </cell>
          <cell r="B2994" t="str">
            <v>MY-SB015</v>
          </cell>
        </row>
        <row r="2995">
          <cell r="A2995" t="str">
            <v>MY-SB015-BL-S</v>
          </cell>
          <cell r="B2995" t="str">
            <v>MY-SB015</v>
          </cell>
        </row>
        <row r="2996">
          <cell r="A2996" t="str">
            <v>MY-SB015-BL-XL</v>
          </cell>
          <cell r="B2996" t="str">
            <v>MY-SB015</v>
          </cell>
        </row>
        <row r="2997">
          <cell r="A2997" t="str">
            <v>MY-SB015-DG-L</v>
          </cell>
          <cell r="B2997" t="str">
            <v>MY-SB015</v>
          </cell>
        </row>
        <row r="2998">
          <cell r="A2998" t="str">
            <v>MY-SB015-DG-M</v>
          </cell>
          <cell r="B2998" t="str">
            <v>MY-SB015</v>
          </cell>
        </row>
        <row r="2999">
          <cell r="A2999" t="str">
            <v>MY-SB015-DG-S</v>
          </cell>
          <cell r="B2999" t="str">
            <v>MY-SB015</v>
          </cell>
        </row>
        <row r="3000">
          <cell r="A3000" t="str">
            <v>MY-SB015-DG-XL</v>
          </cell>
          <cell r="B3000" t="str">
            <v>MY-SB015</v>
          </cell>
        </row>
        <row r="3001">
          <cell r="A3001" t="str">
            <v>MY-SB015-LG-L</v>
          </cell>
          <cell r="B3001" t="str">
            <v>MY-SB015</v>
          </cell>
        </row>
        <row r="3002">
          <cell r="A3002" t="str">
            <v>MY-SB015-LG-M</v>
          </cell>
          <cell r="B3002" t="str">
            <v>MY-SB015</v>
          </cell>
        </row>
        <row r="3003">
          <cell r="A3003" t="str">
            <v>MY-SB015-LG-S</v>
          </cell>
          <cell r="B3003" t="str">
            <v>MY-SB015</v>
          </cell>
        </row>
        <row r="3004">
          <cell r="A3004" t="str">
            <v>MY-SB015-LG-XL</v>
          </cell>
          <cell r="B3004" t="str">
            <v>MY-SB015</v>
          </cell>
        </row>
        <row r="3005">
          <cell r="A3005" t="str">
            <v>MY-SB015-PP-L</v>
          </cell>
          <cell r="B3005" t="str">
            <v>MY-SB015</v>
          </cell>
        </row>
        <row r="3006">
          <cell r="A3006" t="str">
            <v>MY-SB015-PP-M</v>
          </cell>
          <cell r="B3006" t="str">
            <v>MY-SB015</v>
          </cell>
        </row>
        <row r="3007">
          <cell r="A3007" t="str">
            <v>MY-SB015-PP-S</v>
          </cell>
          <cell r="B3007" t="str">
            <v>MY-SB015</v>
          </cell>
        </row>
        <row r="3008">
          <cell r="A3008" t="str">
            <v>MY-SB015-PP-XL</v>
          </cell>
          <cell r="B3008" t="str">
            <v>MY-SB015</v>
          </cell>
        </row>
        <row r="3009">
          <cell r="A3009" t="str">
            <v>MY-SB015-WR-L</v>
          </cell>
          <cell r="B3009" t="str">
            <v>MY-SB015</v>
          </cell>
        </row>
        <row r="3010">
          <cell r="A3010" t="str">
            <v>MY-SB015-WR-M</v>
          </cell>
          <cell r="B3010" t="str">
            <v>MY-SB015</v>
          </cell>
        </row>
        <row r="3011">
          <cell r="A3011" t="str">
            <v>MY-SB015-WR-S</v>
          </cell>
          <cell r="B3011" t="str">
            <v>MY-SB015</v>
          </cell>
        </row>
        <row r="3012">
          <cell r="A3012" t="str">
            <v>MY-SB015-WR-XL</v>
          </cell>
          <cell r="B3012" t="str">
            <v>MY-SB015</v>
          </cell>
        </row>
        <row r="3013">
          <cell r="A3013" t="str">
            <v>MY-ZQ-TWA1-KG-2X</v>
          </cell>
          <cell r="B3013" t="str">
            <v>MY-ZQ-TWA1</v>
          </cell>
        </row>
        <row r="3014">
          <cell r="A3014" t="str">
            <v>MY-ZQ-TWA1-KG-3X</v>
          </cell>
          <cell r="B3014" t="str">
            <v>MY-ZQ-TWA1</v>
          </cell>
        </row>
        <row r="3015">
          <cell r="A3015" t="str">
            <v>MY-ZQ-TWA1-KG-4X</v>
          </cell>
          <cell r="B3015" t="str">
            <v>MY-ZQ-TWA1</v>
          </cell>
        </row>
        <row r="3016">
          <cell r="A3016" t="str">
            <v>MY-ZQ-TWA1-KG-5X</v>
          </cell>
          <cell r="B3016" t="str">
            <v>MY-ZQ-TWA1</v>
          </cell>
        </row>
        <row r="3017">
          <cell r="A3017" t="str">
            <v>MY-ZQ-TWA1-KG-L</v>
          </cell>
          <cell r="B3017" t="str">
            <v>MY-ZQ-TWA1</v>
          </cell>
        </row>
        <row r="3018">
          <cell r="A3018" t="str">
            <v>MY-ZQ-TWA1-KG-M</v>
          </cell>
          <cell r="B3018" t="str">
            <v>MY-ZQ-TWA1</v>
          </cell>
        </row>
        <row r="3019">
          <cell r="A3019" t="str">
            <v>MY-ZQ-TWA1-KG-S</v>
          </cell>
          <cell r="B3019" t="str">
            <v>MY-ZQ-TWA1</v>
          </cell>
        </row>
        <row r="3020">
          <cell r="A3020" t="str">
            <v>MY-ZQ-TWA1-KG-XL</v>
          </cell>
          <cell r="B3020" t="str">
            <v>MY-ZQ-TWA1</v>
          </cell>
        </row>
        <row r="3021">
          <cell r="A3021" t="str">
            <v>MZ006E0</v>
          </cell>
          <cell r="B3021" t="str">
            <v>MZ006</v>
          </cell>
        </row>
        <row r="3022">
          <cell r="A3022" t="str">
            <v>MZ006K0</v>
          </cell>
          <cell r="B3022" t="str">
            <v>MZ006</v>
          </cell>
        </row>
        <row r="3023">
          <cell r="A3023" t="str">
            <v>MZ006W0</v>
          </cell>
          <cell r="B3023" t="str">
            <v>MZ006</v>
          </cell>
        </row>
        <row r="3024">
          <cell r="A3024" t="str">
            <v>MZ006W1</v>
          </cell>
          <cell r="B3024" t="str">
            <v>MZ006</v>
          </cell>
        </row>
        <row r="3025">
          <cell r="A3025" t="str">
            <v>MZ-JY1616-CF</v>
          </cell>
          <cell r="B3025" t="str">
            <v>MZ-JY1616</v>
          </cell>
        </row>
        <row r="3026">
          <cell r="A3026" t="str">
            <v>MZ-JY1616-K0</v>
          </cell>
          <cell r="B3026" t="str">
            <v>MZ-JY1616</v>
          </cell>
        </row>
        <row r="3027">
          <cell r="A3027" t="str">
            <v>MZ-JY1616-KH</v>
          </cell>
          <cell r="B3027" t="str">
            <v>MZ-JY1616</v>
          </cell>
        </row>
        <row r="3028">
          <cell r="A3028" t="str">
            <v>MZ-JY1616-R0</v>
          </cell>
          <cell r="B3028" t="str">
            <v>MZ-JY1616</v>
          </cell>
        </row>
        <row r="3029">
          <cell r="A3029" t="str">
            <v>MZ-JY1616-ZL</v>
          </cell>
          <cell r="B3029" t="str">
            <v>MZ-JY1616</v>
          </cell>
        </row>
        <row r="3030">
          <cell r="A3030" t="str">
            <v>MZ-SV2843BD</v>
          </cell>
          <cell r="B3030" t="str">
            <v>MZ-SV2843</v>
          </cell>
        </row>
        <row r="3031">
          <cell r="A3031" t="str">
            <v>MZ-SV2843E0</v>
          </cell>
          <cell r="B3031" t="str">
            <v>MZ-SV2843</v>
          </cell>
        </row>
        <row r="3032">
          <cell r="A3032" t="str">
            <v>MZ-SV2843K0</v>
          </cell>
          <cell r="B3032" t="str">
            <v>MZ-SV2843</v>
          </cell>
        </row>
        <row r="3033">
          <cell r="A3033" t="str">
            <v>MZ-SV2843KQ</v>
          </cell>
          <cell r="B3033" t="str">
            <v>MZ-SV2843</v>
          </cell>
        </row>
        <row r="3034">
          <cell r="A3034" t="str">
            <v>MZ-SV2843N5</v>
          </cell>
          <cell r="B3034" t="str">
            <v>MZ-SV2843</v>
          </cell>
        </row>
        <row r="3035">
          <cell r="A3035" t="str">
            <v>MZ-SV2843W1</v>
          </cell>
          <cell r="B3035" t="str">
            <v>MZ-SV2843</v>
          </cell>
        </row>
        <row r="3036">
          <cell r="A3036" t="str">
            <v>MZ-SV2843ZL</v>
          </cell>
          <cell r="B3036" t="str">
            <v>MZ-SV2843</v>
          </cell>
        </row>
        <row r="3037">
          <cell r="A3037" t="str">
            <v>MZYSMZ01140*140cm</v>
          </cell>
          <cell r="B3037" t="str">
            <v>MZYSMZ</v>
          </cell>
        </row>
        <row r="3038">
          <cell r="A3038" t="str">
            <v>MZYSMZ01140*210cm</v>
          </cell>
          <cell r="B3038" t="str">
            <v>MZYSMZ</v>
          </cell>
        </row>
        <row r="3039">
          <cell r="A3039" t="str">
            <v>MZYSMZ0170*140cm</v>
          </cell>
          <cell r="B3039" t="str">
            <v>MZYSMZ</v>
          </cell>
        </row>
        <row r="3040">
          <cell r="A3040" t="str">
            <v>MZYSTYMM100*140CM</v>
          </cell>
          <cell r="B3040" t="str">
            <v>MZYSTYMM</v>
          </cell>
        </row>
        <row r="3041">
          <cell r="A3041" t="str">
            <v>MZYSWZ8590*90CM</v>
          </cell>
          <cell r="B3041" t="str">
            <v>MZYSWZ</v>
          </cell>
        </row>
        <row r="3042">
          <cell r="A3042" t="str">
            <v>MZYSZHUOBUDTLEIS100*140CM</v>
          </cell>
          <cell r="B3042" t="str">
            <v>MZYSZHUOBUDTLEIS</v>
          </cell>
        </row>
        <row r="3043">
          <cell r="A3043" t="str">
            <v>MZYSZHUOBUDTLEIS140*140CM</v>
          </cell>
          <cell r="B3043" t="str">
            <v>MZYSZHUOBUDTLEIS</v>
          </cell>
        </row>
        <row r="3044">
          <cell r="A3044" t="str">
            <v>MZYSZHUOBUDTLEIS140*180CM</v>
          </cell>
          <cell r="B3044" t="str">
            <v>MZYSZHUOBUDTLEIS</v>
          </cell>
        </row>
        <row r="3045">
          <cell r="A3045" t="str">
            <v>MZYSZHUOBUDTLEIS140*200CM</v>
          </cell>
          <cell r="B3045" t="str">
            <v>MZYSZHUOBUDTLEIS</v>
          </cell>
        </row>
        <row r="3046">
          <cell r="A3046" t="str">
            <v>MZYSZHUOBUDTLEIS140*220CM</v>
          </cell>
          <cell r="B3046" t="str">
            <v>MZYSZHUOBUDTLEIS</v>
          </cell>
        </row>
        <row r="3047">
          <cell r="A3047" t="str">
            <v>MZYSZHUOBUDTLEIS140*250CM</v>
          </cell>
          <cell r="B3047" t="str">
            <v>MZYSZHUOBUDTLEIS</v>
          </cell>
        </row>
        <row r="3048">
          <cell r="A3048" t="str">
            <v>MZYSZHUOBUDTLEIS60*60CM</v>
          </cell>
          <cell r="B3048" t="str">
            <v>MZYSZHUOBUDTLEIS</v>
          </cell>
        </row>
        <row r="3049">
          <cell r="A3049" t="str">
            <v>MZYSZHUOBUDTLEIS90*90CM</v>
          </cell>
          <cell r="B3049" t="str">
            <v>MZYSZHUOBUDTLEIS</v>
          </cell>
        </row>
        <row r="3050">
          <cell r="A3050" t="str">
            <v>MZYSZHUOBUDTMAP100*140CM</v>
          </cell>
          <cell r="B3050" t="str">
            <v>MZYSZHUOBUDTMAP</v>
          </cell>
        </row>
        <row r="3051">
          <cell r="A3051" t="str">
            <v>MZYSZHUOBUDTMAP140*140CM</v>
          </cell>
          <cell r="B3051" t="str">
            <v>MZYSZHUOBUDTMAP</v>
          </cell>
        </row>
        <row r="3052">
          <cell r="A3052" t="str">
            <v>MZYSZHUOBUDTMAP140*180CM</v>
          </cell>
          <cell r="B3052" t="str">
            <v>MZYSZHUOBUDTMAP</v>
          </cell>
        </row>
        <row r="3053">
          <cell r="A3053" t="str">
            <v>MZYSZHUOBUDTMAP140*200CM</v>
          </cell>
          <cell r="B3053" t="str">
            <v>MZYSZHUOBUDTMAP</v>
          </cell>
        </row>
        <row r="3054">
          <cell r="A3054" t="str">
            <v>MZYSZHUOBUDTMAP140*220CM</v>
          </cell>
          <cell r="B3054" t="str">
            <v>MZYSZHUOBUDTMAP</v>
          </cell>
        </row>
        <row r="3055">
          <cell r="A3055" t="str">
            <v>MZYSZHUOBUDTMAP140*250CM</v>
          </cell>
          <cell r="B3055" t="str">
            <v>MZYSZHUOBUDTMAP</v>
          </cell>
        </row>
        <row r="3056">
          <cell r="A3056" t="str">
            <v>MZYSZHUOBUDTMAP60*60CM</v>
          </cell>
          <cell r="B3056" t="str">
            <v>MZYSZHUOBUDTMAP</v>
          </cell>
        </row>
        <row r="3057">
          <cell r="A3057" t="str">
            <v>MZYSZHUOBUDTMAP90*90CM</v>
          </cell>
          <cell r="B3057" t="str">
            <v>MZYSZHUOBUDTMAP</v>
          </cell>
        </row>
        <row r="3058">
          <cell r="A3058" t="str">
            <v>Pajamas-sb001-GR-L</v>
          </cell>
          <cell r="B3058" t="str">
            <v>Pajamas-sb001</v>
          </cell>
        </row>
        <row r="3059">
          <cell r="A3059" t="str">
            <v>Pajamas-sb001-GR-M</v>
          </cell>
          <cell r="B3059" t="str">
            <v>Pajamas-sb001</v>
          </cell>
        </row>
        <row r="3060">
          <cell r="A3060" t="str">
            <v>Pajamas-sb001-GR-XL</v>
          </cell>
          <cell r="B3060" t="str">
            <v>Pajamas-sb001</v>
          </cell>
        </row>
        <row r="3061">
          <cell r="A3061" t="str">
            <v>Pajamas-sb001-KK-L</v>
          </cell>
          <cell r="B3061" t="str">
            <v>Pajamas-sb001</v>
          </cell>
        </row>
        <row r="3062">
          <cell r="A3062" t="str">
            <v>Pajamas-sb001-KK-M</v>
          </cell>
          <cell r="B3062" t="str">
            <v>Pajamas-sb001</v>
          </cell>
        </row>
        <row r="3063">
          <cell r="A3063" t="str">
            <v>Pajamas-sb001-KK-XL</v>
          </cell>
          <cell r="B3063" t="str">
            <v>Pajamas-sb001</v>
          </cell>
        </row>
        <row r="3064">
          <cell r="A3064" t="str">
            <v>Pajamas-sb001-NY-L</v>
          </cell>
          <cell r="B3064" t="str">
            <v>Pajamas-sb001</v>
          </cell>
        </row>
        <row r="3065">
          <cell r="A3065" t="str">
            <v>Pajamas-sb001-NY-M</v>
          </cell>
          <cell r="B3065" t="str">
            <v>Pajamas-sb001</v>
          </cell>
        </row>
        <row r="3066">
          <cell r="A3066" t="str">
            <v>Pajamas-sb001-NY-XL</v>
          </cell>
          <cell r="B3066" t="str">
            <v>Pajamas-sb001</v>
          </cell>
        </row>
        <row r="3067">
          <cell r="A3067" t="str">
            <v>Pajamas-sb001-WT-L</v>
          </cell>
          <cell r="B3067" t="str">
            <v>Pajamas-sb001</v>
          </cell>
        </row>
        <row r="3068">
          <cell r="A3068" t="str">
            <v>Pajamas-sb001-WT-M</v>
          </cell>
          <cell r="B3068" t="str">
            <v>Pajamas-sb001</v>
          </cell>
        </row>
        <row r="3069">
          <cell r="A3069" t="str">
            <v>Pajamas-sb001-WT-XL</v>
          </cell>
          <cell r="B3069" t="str">
            <v>Pajamas-sb001</v>
          </cell>
        </row>
        <row r="3070">
          <cell r="A3070" t="str">
            <v>PJ-ZQ0976-B0</v>
          </cell>
          <cell r="B3070" t="str">
            <v>PJ-ZQ0976</v>
          </cell>
        </row>
        <row r="3071">
          <cell r="A3071" t="str">
            <v>PJ-ZQ0976-C0</v>
          </cell>
          <cell r="B3071" t="str">
            <v>PJ-ZQ0976</v>
          </cell>
        </row>
        <row r="3072">
          <cell r="A3072" t="str">
            <v>PJ-ZQ0976-E0</v>
          </cell>
          <cell r="B3072" t="str">
            <v>PJ-ZQ0976</v>
          </cell>
        </row>
        <row r="3073">
          <cell r="A3073" t="str">
            <v>PJ-ZQ0976-E0-GM</v>
          </cell>
          <cell r="B3073" t="str">
            <v>PJ-ZQ0976</v>
          </cell>
        </row>
        <row r="3074">
          <cell r="A3074" t="str">
            <v>PJ-ZQ0976-G0</v>
          </cell>
          <cell r="B3074" t="str">
            <v>PJ-ZQ0976</v>
          </cell>
        </row>
        <row r="3075">
          <cell r="A3075" t="str">
            <v>PJ-ZQ0976-K0</v>
          </cell>
          <cell r="B3075" t="str">
            <v>PJ-ZQ0976</v>
          </cell>
        </row>
        <row r="3076">
          <cell r="A3076" t="str">
            <v>PJ-ZQ0976-O0</v>
          </cell>
          <cell r="B3076" t="str">
            <v>PJ-ZQ0976</v>
          </cell>
        </row>
        <row r="3077">
          <cell r="A3077" t="str">
            <v>PJ-ZQ7050-C1</v>
          </cell>
          <cell r="B3077" t="str">
            <v>PJ-ZQ7050</v>
          </cell>
        </row>
        <row r="3078">
          <cell r="A3078" t="str">
            <v>PJ-ZQ7050-C2</v>
          </cell>
          <cell r="B3078" t="str">
            <v>PJ-ZQ7050</v>
          </cell>
        </row>
        <row r="3079">
          <cell r="A3079" t="str">
            <v>PJ-ZQ7050-C3</v>
          </cell>
          <cell r="B3079" t="str">
            <v>PJ-ZQ7050</v>
          </cell>
        </row>
        <row r="3080">
          <cell r="A3080" t="str">
            <v>PJ-ZQ7050-C4</v>
          </cell>
          <cell r="B3080" t="str">
            <v>PJ-ZQ7050</v>
          </cell>
        </row>
        <row r="3081">
          <cell r="A3081" t="str">
            <v>PJ-ZQ7050-C5</v>
          </cell>
          <cell r="B3081" t="str">
            <v>PJ-ZQ7050</v>
          </cell>
        </row>
        <row r="3082">
          <cell r="A3082" t="str">
            <v>PJ-ZQ7050-C6</v>
          </cell>
          <cell r="B3082" t="str">
            <v>PJ-ZQ7050</v>
          </cell>
        </row>
        <row r="3083">
          <cell r="A3083" t="str">
            <v>PJ-ZQ7654-E0</v>
          </cell>
          <cell r="B3083" t="str">
            <v>PJ-ZQ7654</v>
          </cell>
        </row>
        <row r="3084">
          <cell r="A3084" t="str">
            <v>PJ-ZQ7654-E0-GM</v>
          </cell>
          <cell r="B3084" t="str">
            <v>PJ-ZQ7654</v>
          </cell>
        </row>
        <row r="3085">
          <cell r="A3085" t="str">
            <v>POLO-SB014-BK-L</v>
          </cell>
          <cell r="B3085" t="str">
            <v>POLO-SB014</v>
          </cell>
        </row>
        <row r="3086">
          <cell r="A3086" t="str">
            <v>POLO-SB014-BK-M</v>
          </cell>
          <cell r="B3086" t="str">
            <v>POLO-SB014</v>
          </cell>
        </row>
        <row r="3087">
          <cell r="A3087" t="str">
            <v>POLO-SB014-BK-S</v>
          </cell>
          <cell r="B3087" t="str">
            <v>POLO-SB014</v>
          </cell>
        </row>
        <row r="3088">
          <cell r="A3088" t="str">
            <v>POLO-SB014-BK-XL</v>
          </cell>
          <cell r="B3088" t="str">
            <v>POLO-SB014</v>
          </cell>
        </row>
        <row r="3089">
          <cell r="A3089" t="str">
            <v>POLO-SB014-GN-L</v>
          </cell>
          <cell r="B3089" t="str">
            <v>POLO-SB014</v>
          </cell>
        </row>
        <row r="3090">
          <cell r="A3090" t="str">
            <v>POLO-SB014-GN-M</v>
          </cell>
          <cell r="B3090" t="str">
            <v>POLO-SB014</v>
          </cell>
        </row>
        <row r="3091">
          <cell r="A3091" t="str">
            <v>POLO-SB014-GN-S</v>
          </cell>
          <cell r="B3091" t="str">
            <v>POLO-SB014</v>
          </cell>
        </row>
        <row r="3092">
          <cell r="A3092" t="str">
            <v>POLO-SB014-GN-XL</v>
          </cell>
          <cell r="B3092" t="str">
            <v>POLO-SB014</v>
          </cell>
        </row>
        <row r="3093">
          <cell r="A3093" t="str">
            <v>POLO-SB014-GR-L</v>
          </cell>
          <cell r="B3093" t="str">
            <v>POLO-SB014</v>
          </cell>
        </row>
        <row r="3094">
          <cell r="A3094" t="str">
            <v>POLO-SB014-GR-M</v>
          </cell>
          <cell r="B3094" t="str">
            <v>POLO-SB014</v>
          </cell>
        </row>
        <row r="3095">
          <cell r="A3095" t="str">
            <v>POLO-SB014-GR-S</v>
          </cell>
          <cell r="B3095" t="str">
            <v>POLO-SB014</v>
          </cell>
        </row>
        <row r="3096">
          <cell r="A3096" t="str">
            <v>POLO-SB014-GR-XL</v>
          </cell>
          <cell r="B3096" t="str">
            <v>POLO-SB014</v>
          </cell>
        </row>
        <row r="3097">
          <cell r="A3097" t="str">
            <v>POLO-SB014-NY-L</v>
          </cell>
          <cell r="B3097" t="str">
            <v>POLO-SB014</v>
          </cell>
        </row>
        <row r="3098">
          <cell r="A3098" t="str">
            <v>POLO-SB014-NY-M</v>
          </cell>
          <cell r="B3098" t="str">
            <v>POLO-SB014</v>
          </cell>
        </row>
        <row r="3099">
          <cell r="A3099" t="str">
            <v>POLO-SB014-NY-S</v>
          </cell>
          <cell r="B3099" t="str">
            <v>POLO-SB014</v>
          </cell>
        </row>
        <row r="3100">
          <cell r="A3100" t="str">
            <v>POLO-SB014-NY-XL</v>
          </cell>
          <cell r="B3100" t="str">
            <v>POLO-SB014</v>
          </cell>
        </row>
        <row r="3101">
          <cell r="A3101" t="str">
            <v>POLO-SB014-RD-L</v>
          </cell>
          <cell r="B3101" t="str">
            <v>POLO-SB014</v>
          </cell>
        </row>
        <row r="3102">
          <cell r="A3102" t="str">
            <v>POLO-SB014-RD-M</v>
          </cell>
          <cell r="B3102" t="str">
            <v>POLO-SB014</v>
          </cell>
        </row>
        <row r="3103">
          <cell r="A3103" t="str">
            <v>POLO-SB014-RD-S</v>
          </cell>
          <cell r="B3103" t="str">
            <v>POLO-SB014</v>
          </cell>
        </row>
        <row r="3104">
          <cell r="A3104" t="str">
            <v>POLO-SB014-RD-XL</v>
          </cell>
          <cell r="B3104" t="str">
            <v>POLO-SB014</v>
          </cell>
        </row>
        <row r="3105">
          <cell r="A3105" t="str">
            <v>POLO-SB014-YL-L</v>
          </cell>
          <cell r="B3105" t="str">
            <v>POLO-SB014</v>
          </cell>
        </row>
        <row r="3106">
          <cell r="A3106" t="str">
            <v>POLO-SB014-YL-M</v>
          </cell>
          <cell r="B3106" t="str">
            <v>POLO-SB014</v>
          </cell>
        </row>
        <row r="3107">
          <cell r="A3107" t="str">
            <v>POLO-SB014-YL-S</v>
          </cell>
          <cell r="B3107" t="str">
            <v>POLO-SB014</v>
          </cell>
        </row>
        <row r="3108">
          <cell r="A3108" t="str">
            <v>POLO-SB014-YL-XL</v>
          </cell>
          <cell r="B3108" t="str">
            <v>POLO-SB014</v>
          </cell>
        </row>
        <row r="3109">
          <cell r="A3109" t="str">
            <v>SB-100-G0</v>
          </cell>
          <cell r="B3109" t="str">
            <v>SB-100</v>
          </cell>
        </row>
        <row r="3110">
          <cell r="A3110" t="str">
            <v>SB-100-K0</v>
          </cell>
          <cell r="B3110" t="str">
            <v>SB-100</v>
          </cell>
        </row>
        <row r="3111">
          <cell r="A3111" t="str">
            <v>SB-101-B0</v>
          </cell>
          <cell r="B3111" t="str">
            <v>SB-101</v>
          </cell>
        </row>
        <row r="3112">
          <cell r="A3112" t="str">
            <v>SB-YL001-DWA30</v>
          </cell>
          <cell r="B3112" t="str">
            <v>SB-YL001</v>
          </cell>
        </row>
        <row r="3113">
          <cell r="A3113" t="str">
            <v>SB-YL001-DWA40</v>
          </cell>
          <cell r="B3113" t="str">
            <v>SB-YL001</v>
          </cell>
        </row>
        <row r="3114">
          <cell r="A3114" t="str">
            <v>SB-YL001-DWA50</v>
          </cell>
          <cell r="B3114" t="str">
            <v>SB-YL001</v>
          </cell>
        </row>
        <row r="3115">
          <cell r="A3115" t="str">
            <v>SB-YL001-DWA60</v>
          </cell>
          <cell r="B3115" t="str">
            <v>SB-YL001</v>
          </cell>
        </row>
        <row r="3116">
          <cell r="A3116" t="str">
            <v>SB-YL001-DWA70</v>
          </cell>
          <cell r="B3116" t="str">
            <v>SB-YL001</v>
          </cell>
        </row>
        <row r="3117">
          <cell r="A3117" t="str">
            <v>SB-YL002-KCN100BNR</v>
          </cell>
          <cell r="B3117" t="str">
            <v>SB-YL002</v>
          </cell>
        </row>
        <row r="3118">
          <cell r="A3118" t="str">
            <v>SB-YL002-KCN100S</v>
          </cell>
          <cell r="B3118" t="str">
            <v>SB-YL002</v>
          </cell>
        </row>
        <row r="3119">
          <cell r="A3119" t="str">
            <v>SB-YL002-KCN120BNR</v>
          </cell>
          <cell r="B3119" t="str">
            <v>SB-YL002</v>
          </cell>
        </row>
        <row r="3120">
          <cell r="A3120" t="str">
            <v>SB-YL002-KCN120S</v>
          </cell>
          <cell r="B3120" t="str">
            <v>SB-YL002</v>
          </cell>
        </row>
        <row r="3121">
          <cell r="A3121" t="str">
            <v>SB-YL002-KCN80BNR</v>
          </cell>
          <cell r="B3121" t="str">
            <v>SB-YL002</v>
          </cell>
        </row>
        <row r="3122">
          <cell r="A3122" t="str">
            <v>SB-YL002-KCN80S</v>
          </cell>
          <cell r="B3122" t="str">
            <v>SB-YL002</v>
          </cell>
        </row>
        <row r="3123">
          <cell r="A3123" t="str">
            <v>SB-YL003-GH60</v>
          </cell>
          <cell r="B3123" t="str">
            <v>SB-YL003</v>
          </cell>
        </row>
        <row r="3124">
          <cell r="A3124" t="str">
            <v>SB-YL003-GH70</v>
          </cell>
          <cell r="B3124" t="str">
            <v>SB-YL003</v>
          </cell>
        </row>
        <row r="3125">
          <cell r="A3125" t="str">
            <v>SB-YL003-GH80</v>
          </cell>
          <cell r="B3125" t="str">
            <v>SB-YL003</v>
          </cell>
        </row>
        <row r="3126">
          <cell r="A3126" t="str">
            <v>SB-YL004-FD10</v>
          </cell>
          <cell r="B3126" t="str">
            <v>SB-YL004</v>
          </cell>
        </row>
        <row r="3127">
          <cell r="A3127" t="str">
            <v>SB-YL004-FD20</v>
          </cell>
          <cell r="B3127" t="str">
            <v>SB-YL004</v>
          </cell>
        </row>
        <row r="3128">
          <cell r="A3128" t="str">
            <v>SB-YL004-FD30</v>
          </cell>
          <cell r="B3128" t="str">
            <v>SB-YL004</v>
          </cell>
        </row>
        <row r="3129">
          <cell r="A3129" t="str">
            <v>SB-YL004-FD40</v>
          </cell>
          <cell r="B3129" t="str">
            <v>SB-YL004</v>
          </cell>
        </row>
        <row r="3130">
          <cell r="A3130" t="str">
            <v>SB-YL004-FD50</v>
          </cell>
          <cell r="B3130" t="str">
            <v>SB-YL004</v>
          </cell>
        </row>
        <row r="3131">
          <cell r="A3131" t="str">
            <v>SB-YL004-FD60</v>
          </cell>
          <cell r="B3131" t="str">
            <v>SB-YL004</v>
          </cell>
        </row>
        <row r="3132">
          <cell r="A3132" t="str">
            <v>SB-YL005-KS30</v>
          </cell>
          <cell r="B3132" t="str">
            <v>SB-YL005</v>
          </cell>
        </row>
        <row r="3133">
          <cell r="A3133" t="str">
            <v>SB-YL005-KS40</v>
          </cell>
          <cell r="B3133" t="str">
            <v>SB-YL005</v>
          </cell>
        </row>
        <row r="3134">
          <cell r="A3134" t="str">
            <v>SB-YL005-KS50</v>
          </cell>
          <cell r="B3134" t="str">
            <v>SB-YL005</v>
          </cell>
        </row>
        <row r="3135">
          <cell r="A3135" t="str">
            <v>SB-YL005-KS60</v>
          </cell>
          <cell r="B3135" t="str">
            <v>SB-YL005</v>
          </cell>
        </row>
        <row r="3136">
          <cell r="A3136" t="str">
            <v>SB-YL005-KS70</v>
          </cell>
          <cell r="B3136" t="str">
            <v>SB-YL005</v>
          </cell>
        </row>
        <row r="3137">
          <cell r="A3137" t="str">
            <v>SB-YL005-KS80</v>
          </cell>
          <cell r="B3137" t="str">
            <v>SB-YL005</v>
          </cell>
        </row>
        <row r="3138">
          <cell r="A3138" t="str">
            <v>Scarf-00004-Blueflower-OS</v>
          </cell>
          <cell r="B3138" t="str">
            <v>Scarf-00004</v>
          </cell>
        </row>
        <row r="3139">
          <cell r="A3139" t="str">
            <v>Scarf-00004-Bluetree-OS</v>
          </cell>
          <cell r="B3139" t="str">
            <v>Scarf-00004</v>
          </cell>
        </row>
        <row r="3140">
          <cell r="A3140" t="str">
            <v>Scarf-00004-Bohemian-OS</v>
          </cell>
          <cell r="B3140" t="str">
            <v>Scarf-00004</v>
          </cell>
        </row>
        <row r="3141">
          <cell r="A3141" t="str">
            <v>Scarf-00004-Redflower-OS</v>
          </cell>
          <cell r="B3141" t="str">
            <v>Scarf-00004</v>
          </cell>
        </row>
        <row r="3142">
          <cell r="A3142" t="str">
            <v>Scarf-00004-Wavyline-OS</v>
          </cell>
          <cell r="B3142" t="str">
            <v>Scarf-00004</v>
          </cell>
        </row>
        <row r="3143">
          <cell r="A3143" t="str">
            <v>scarf-0001-Blue</v>
          </cell>
          <cell r="B3143" t="str">
            <v>scarf-0001</v>
          </cell>
        </row>
        <row r="3144">
          <cell r="A3144" t="str">
            <v>scarf-0001-Green</v>
          </cell>
          <cell r="B3144" t="str">
            <v>scarf-0001</v>
          </cell>
        </row>
        <row r="3145">
          <cell r="A3145" t="str">
            <v>scarf-0001-Peony</v>
          </cell>
          <cell r="B3145" t="str">
            <v>scarf-0001</v>
          </cell>
        </row>
        <row r="3146">
          <cell r="A3146" t="str">
            <v>scarf-0001-Plum</v>
          </cell>
          <cell r="B3146" t="str">
            <v>scarf-0001</v>
          </cell>
        </row>
        <row r="3147">
          <cell r="A3147" t="str">
            <v>scarf-0002-Horse</v>
          </cell>
          <cell r="B3147" t="str">
            <v>scarf-0002</v>
          </cell>
        </row>
        <row r="3148">
          <cell r="A3148" t="str">
            <v>scarf-0002-Khaki</v>
          </cell>
          <cell r="B3148" t="str">
            <v>scarf-0002</v>
          </cell>
        </row>
        <row r="3149">
          <cell r="A3149" t="str">
            <v>scarf-0002-Orange</v>
          </cell>
          <cell r="B3149" t="str">
            <v>scarf-0002</v>
          </cell>
        </row>
        <row r="3150">
          <cell r="A3150" t="str">
            <v>scarf-0002-Red</v>
          </cell>
          <cell r="B3150" t="str">
            <v>scarf-0002</v>
          </cell>
        </row>
        <row r="3151">
          <cell r="A3151" t="str">
            <v>scarf-0003-Flowers</v>
          </cell>
          <cell r="B3151" t="str">
            <v>scarf-0003</v>
          </cell>
        </row>
        <row r="3152">
          <cell r="A3152" t="str">
            <v>scarf-0003-Hands</v>
          </cell>
          <cell r="B3152" t="str">
            <v>scarf-0003</v>
          </cell>
        </row>
        <row r="3153">
          <cell r="A3153" t="str">
            <v>scarf-0003-Palette</v>
          </cell>
          <cell r="B3153" t="str">
            <v>scarf-0003</v>
          </cell>
        </row>
        <row r="3154">
          <cell r="A3154" t="str">
            <v>scarf-0003-Pegasus</v>
          </cell>
          <cell r="B3154" t="str">
            <v>scarf-0003</v>
          </cell>
        </row>
        <row r="3155">
          <cell r="A3155" t="str">
            <v>scarf-001-blueheart</v>
          </cell>
          <cell r="B3155" t="str">
            <v>scarf-0001</v>
          </cell>
        </row>
        <row r="3156">
          <cell r="A3156" t="str">
            <v>Scarf-SJ005-BK-OS</v>
          </cell>
          <cell r="B3156" t="str">
            <v>Scarf-SJ005</v>
          </cell>
        </row>
        <row r="3157">
          <cell r="A3157" t="str">
            <v>Scarf-SJ005-G0-OS</v>
          </cell>
          <cell r="B3157" t="str">
            <v>Scarf-SJ005</v>
          </cell>
        </row>
        <row r="3158">
          <cell r="A3158" t="str">
            <v>Scarf-SJ005-OG-OS</v>
          </cell>
          <cell r="B3158" t="str">
            <v>Scarf-SJ005</v>
          </cell>
        </row>
        <row r="3159">
          <cell r="A3159" t="str">
            <v>Scarf-SJ005-R0-OS</v>
          </cell>
          <cell r="B3159" t="str">
            <v>Scarf-SJ005</v>
          </cell>
        </row>
        <row r="3160">
          <cell r="A3160" t="str">
            <v>SCF010-A01</v>
          </cell>
          <cell r="B3160" t="str">
            <v>SCF010</v>
          </cell>
        </row>
        <row r="3161">
          <cell r="A3161" t="str">
            <v>SCF010-A02</v>
          </cell>
          <cell r="B3161" t="str">
            <v>SCF010</v>
          </cell>
        </row>
        <row r="3162">
          <cell r="A3162" t="str">
            <v>SCF010-A03</v>
          </cell>
          <cell r="B3162" t="str">
            <v>SCF010</v>
          </cell>
        </row>
        <row r="3163">
          <cell r="A3163" t="str">
            <v>SCF010-A04</v>
          </cell>
          <cell r="B3163" t="str">
            <v>SCF010</v>
          </cell>
        </row>
        <row r="3164">
          <cell r="A3164" t="str">
            <v>SCF010-A05</v>
          </cell>
          <cell r="B3164" t="str">
            <v>SCF010</v>
          </cell>
        </row>
        <row r="3165">
          <cell r="A3165" t="str">
            <v>SCF010-A06</v>
          </cell>
          <cell r="B3165" t="str">
            <v>SCF010</v>
          </cell>
        </row>
        <row r="3166">
          <cell r="A3166" t="str">
            <v>SCF010-A07</v>
          </cell>
          <cell r="B3166" t="str">
            <v>SCF010</v>
          </cell>
        </row>
        <row r="3167">
          <cell r="A3167" t="str">
            <v>SCF010-A08</v>
          </cell>
          <cell r="B3167" t="str">
            <v>SCF010</v>
          </cell>
        </row>
        <row r="3168">
          <cell r="A3168" t="str">
            <v>SCF010-A09</v>
          </cell>
          <cell r="B3168" t="str">
            <v>SCF010</v>
          </cell>
        </row>
        <row r="3169">
          <cell r="A3169" t="str">
            <v>SCF-A01-001</v>
          </cell>
          <cell r="B3169" t="str">
            <v>SCF-A01</v>
          </cell>
        </row>
        <row r="3170">
          <cell r="A3170" t="str">
            <v>SCF-A01-002</v>
          </cell>
          <cell r="B3170" t="str">
            <v>SCF-A01</v>
          </cell>
        </row>
        <row r="3171">
          <cell r="A3171" t="str">
            <v>SCF-A01-003</v>
          </cell>
          <cell r="B3171" t="str">
            <v>SCF-A01</v>
          </cell>
        </row>
        <row r="3172">
          <cell r="A3172" t="str">
            <v>SCF-A01-004</v>
          </cell>
          <cell r="B3172" t="str">
            <v>SCF-A01</v>
          </cell>
        </row>
        <row r="3173">
          <cell r="A3173" t="str">
            <v>SCF-A01-005</v>
          </cell>
          <cell r="B3173" t="str">
            <v>SCF-A01</v>
          </cell>
        </row>
        <row r="3174">
          <cell r="A3174" t="str">
            <v>SCF-A01-006</v>
          </cell>
          <cell r="B3174" t="str">
            <v>SCF-A01</v>
          </cell>
        </row>
        <row r="3175">
          <cell r="A3175" t="str">
            <v>SCF-A01-007</v>
          </cell>
          <cell r="B3175" t="str">
            <v>SCF-A01</v>
          </cell>
        </row>
        <row r="3176">
          <cell r="A3176" t="str">
            <v>SCF-A01-008</v>
          </cell>
          <cell r="B3176" t="str">
            <v>SCF-A01</v>
          </cell>
        </row>
        <row r="3177">
          <cell r="A3177" t="str">
            <v>SCF-A01-009</v>
          </cell>
          <cell r="B3177" t="str">
            <v>SCF-A01</v>
          </cell>
        </row>
        <row r="3178">
          <cell r="A3178" t="str">
            <v>SCF-A01-010</v>
          </cell>
          <cell r="B3178" t="str">
            <v>SCF-A01</v>
          </cell>
        </row>
        <row r="3179">
          <cell r="A3179" t="str">
            <v>SCF-A01-011</v>
          </cell>
          <cell r="B3179" t="str">
            <v>SCF-A01</v>
          </cell>
        </row>
        <row r="3180">
          <cell r="A3180" t="str">
            <v>SCF-A01-012</v>
          </cell>
          <cell r="B3180" t="str">
            <v>SCF-A01</v>
          </cell>
        </row>
        <row r="3181">
          <cell r="A3181" t="str">
            <v>SCF-A01-013</v>
          </cell>
          <cell r="B3181" t="str">
            <v>SCF-A01</v>
          </cell>
        </row>
        <row r="3182">
          <cell r="A3182" t="str">
            <v>SCF-B01-001</v>
          </cell>
          <cell r="B3182" t="str">
            <v>SCF-B01</v>
          </cell>
        </row>
        <row r="3183">
          <cell r="A3183" t="str">
            <v>SCF-B01-002</v>
          </cell>
          <cell r="B3183" t="str">
            <v>SCF-B01</v>
          </cell>
        </row>
        <row r="3184">
          <cell r="A3184" t="str">
            <v>SCF-B01-003</v>
          </cell>
          <cell r="B3184" t="str">
            <v>SCF-B01</v>
          </cell>
        </row>
        <row r="3185">
          <cell r="A3185" t="str">
            <v>SCF-B01-004</v>
          </cell>
          <cell r="B3185" t="str">
            <v>SCF-B01</v>
          </cell>
        </row>
        <row r="3186">
          <cell r="A3186" t="str">
            <v>SCF-B01-005</v>
          </cell>
          <cell r="B3186" t="str">
            <v>SCF-B01</v>
          </cell>
        </row>
        <row r="3187">
          <cell r="A3187" t="str">
            <v>SCF-B01-006</v>
          </cell>
          <cell r="B3187" t="str">
            <v>SCF-B01</v>
          </cell>
        </row>
        <row r="3188">
          <cell r="A3188" t="str">
            <v>SCF-B01-007</v>
          </cell>
          <cell r="B3188" t="str">
            <v>SCF-B01</v>
          </cell>
        </row>
        <row r="3189">
          <cell r="A3189" t="str">
            <v>SCF-B01-008</v>
          </cell>
          <cell r="B3189" t="str">
            <v>SCF-B01</v>
          </cell>
        </row>
        <row r="3190">
          <cell r="A3190" t="str">
            <v>SCF-B01-009</v>
          </cell>
          <cell r="B3190" t="str">
            <v>SCF-B01</v>
          </cell>
        </row>
        <row r="3191">
          <cell r="A3191" t="str">
            <v>SCF-B01-010</v>
          </cell>
          <cell r="B3191" t="str">
            <v>SCF-B01</v>
          </cell>
        </row>
        <row r="3192">
          <cell r="A3192" t="str">
            <v>SCF-B01-011</v>
          </cell>
          <cell r="B3192" t="str">
            <v>SCF-B01</v>
          </cell>
        </row>
        <row r="3193">
          <cell r="A3193" t="str">
            <v>SCF-B01-012</v>
          </cell>
          <cell r="B3193" t="str">
            <v>SCF-B01</v>
          </cell>
        </row>
        <row r="3194">
          <cell r="A3194" t="str">
            <v>SCF-B01-013</v>
          </cell>
          <cell r="B3194" t="str">
            <v>SCF-B01</v>
          </cell>
        </row>
        <row r="3195">
          <cell r="A3195" t="str">
            <v>SCF-B01-014</v>
          </cell>
          <cell r="B3195" t="str">
            <v>SCF-B01</v>
          </cell>
        </row>
        <row r="3196">
          <cell r="A3196" t="str">
            <v>SCF-B01-015</v>
          </cell>
          <cell r="B3196" t="str">
            <v>SCF-B01</v>
          </cell>
        </row>
        <row r="3197">
          <cell r="A3197" t="str">
            <v>SCF-B01-016</v>
          </cell>
          <cell r="B3197" t="str">
            <v>SCF-B01</v>
          </cell>
        </row>
        <row r="3198">
          <cell r="A3198" t="str">
            <v>SCF-B01-017</v>
          </cell>
          <cell r="B3198" t="str">
            <v>SCF-B01</v>
          </cell>
        </row>
        <row r="3199">
          <cell r="A3199" t="str">
            <v>SCF-B01-018</v>
          </cell>
          <cell r="B3199" t="str">
            <v>SCF-B01</v>
          </cell>
        </row>
        <row r="3200">
          <cell r="A3200" t="str">
            <v>SCF-B01-019</v>
          </cell>
          <cell r="B3200" t="str">
            <v>SCF-B01</v>
          </cell>
        </row>
        <row r="3201">
          <cell r="A3201" t="str">
            <v>SCF-B01-020</v>
          </cell>
          <cell r="B3201" t="str">
            <v>SCF-B01</v>
          </cell>
        </row>
        <row r="3202">
          <cell r="A3202" t="str">
            <v>SCF-B01-021</v>
          </cell>
          <cell r="B3202" t="str">
            <v>SCF-B01</v>
          </cell>
        </row>
        <row r="3203">
          <cell r="A3203" t="str">
            <v>SCF-B01-022</v>
          </cell>
          <cell r="B3203" t="str">
            <v>SCF-B01</v>
          </cell>
        </row>
        <row r="3204">
          <cell r="A3204" t="str">
            <v>SCF-C01-001</v>
          </cell>
          <cell r="B3204" t="str">
            <v>SCF-C01</v>
          </cell>
        </row>
        <row r="3205">
          <cell r="A3205" t="str">
            <v>SCF-C01-002</v>
          </cell>
          <cell r="B3205" t="str">
            <v>SCF-C01</v>
          </cell>
        </row>
        <row r="3206">
          <cell r="A3206" t="str">
            <v>SCF-C01-003</v>
          </cell>
          <cell r="B3206" t="str">
            <v>SCF-C01</v>
          </cell>
        </row>
        <row r="3207">
          <cell r="A3207" t="str">
            <v>SCF-C01-004</v>
          </cell>
          <cell r="B3207" t="str">
            <v>SCF-C01</v>
          </cell>
        </row>
        <row r="3208">
          <cell r="A3208" t="str">
            <v>SCF-C01-005</v>
          </cell>
          <cell r="B3208" t="str">
            <v>SCF-C01</v>
          </cell>
        </row>
        <row r="3209">
          <cell r="A3209" t="str">
            <v>SCF-C01-006</v>
          </cell>
          <cell r="B3209" t="str">
            <v>SCF-C01</v>
          </cell>
        </row>
        <row r="3210">
          <cell r="A3210" t="str">
            <v>SCF-C01-007</v>
          </cell>
          <cell r="B3210" t="str">
            <v>SCF-C01</v>
          </cell>
        </row>
        <row r="3211">
          <cell r="A3211" t="str">
            <v>SCF-C01-008</v>
          </cell>
          <cell r="B3211" t="str">
            <v>SCF-C01</v>
          </cell>
        </row>
        <row r="3212">
          <cell r="A3212" t="str">
            <v>SCF-C01-009</v>
          </cell>
          <cell r="B3212" t="str">
            <v>SCF-C01</v>
          </cell>
        </row>
        <row r="3213">
          <cell r="A3213" t="str">
            <v>SCF-C01-010</v>
          </cell>
          <cell r="B3213" t="str">
            <v>SCF-C01</v>
          </cell>
        </row>
        <row r="3214">
          <cell r="A3214" t="str">
            <v>SCF-C01-011</v>
          </cell>
          <cell r="B3214" t="str">
            <v>SCF-C01</v>
          </cell>
        </row>
        <row r="3215">
          <cell r="A3215" t="str">
            <v>SCF-C01-012</v>
          </cell>
          <cell r="B3215" t="str">
            <v>SCF-C01</v>
          </cell>
        </row>
        <row r="3216">
          <cell r="A3216" t="str">
            <v>SCF-C01-013</v>
          </cell>
          <cell r="B3216" t="str">
            <v>SCF-C01</v>
          </cell>
        </row>
        <row r="3217">
          <cell r="A3217" t="str">
            <v>SCF-C01-014</v>
          </cell>
          <cell r="B3217" t="str">
            <v>SCF-C01</v>
          </cell>
        </row>
        <row r="3218">
          <cell r="A3218" t="str">
            <v>SCF-C01-015</v>
          </cell>
          <cell r="B3218" t="str">
            <v>SCF-C01</v>
          </cell>
        </row>
        <row r="3219">
          <cell r="A3219" t="str">
            <v>SCF-C01-016</v>
          </cell>
          <cell r="B3219" t="str">
            <v>SCF-C01</v>
          </cell>
        </row>
        <row r="3220">
          <cell r="A3220" t="str">
            <v>SCF-C01-017</v>
          </cell>
          <cell r="B3220" t="str">
            <v>SCF-C01</v>
          </cell>
        </row>
        <row r="3221">
          <cell r="A3221" t="str">
            <v>SCF-C01-018</v>
          </cell>
          <cell r="B3221" t="str">
            <v>SCF-C01</v>
          </cell>
        </row>
        <row r="3222">
          <cell r="A3222" t="str">
            <v>SCF-C01-019</v>
          </cell>
          <cell r="B3222" t="str">
            <v>SCF-C01</v>
          </cell>
        </row>
        <row r="3223">
          <cell r="A3223" t="str">
            <v>SCF-C01-020</v>
          </cell>
          <cell r="B3223" t="str">
            <v>SCF-C01</v>
          </cell>
        </row>
        <row r="3224">
          <cell r="A3224" t="str">
            <v>SCF-D01-001</v>
          </cell>
          <cell r="B3224" t="str">
            <v>SCF-D01</v>
          </cell>
        </row>
        <row r="3225">
          <cell r="A3225" t="str">
            <v>SCF-D01-002</v>
          </cell>
          <cell r="B3225" t="str">
            <v>SCF-D01</v>
          </cell>
        </row>
        <row r="3226">
          <cell r="A3226" t="str">
            <v>SCF-D01-003</v>
          </cell>
          <cell r="B3226" t="str">
            <v>SCF-D01</v>
          </cell>
        </row>
        <row r="3227">
          <cell r="A3227" t="str">
            <v>SCF-D01-004</v>
          </cell>
          <cell r="B3227" t="str">
            <v>SCF-D01</v>
          </cell>
        </row>
        <row r="3228">
          <cell r="A3228" t="str">
            <v>SCF-D01-005</v>
          </cell>
          <cell r="B3228" t="str">
            <v>SCF-D01</v>
          </cell>
        </row>
        <row r="3229">
          <cell r="A3229" t="str">
            <v>SCF-D01-006</v>
          </cell>
          <cell r="B3229" t="str">
            <v>SCF-D01</v>
          </cell>
        </row>
        <row r="3230">
          <cell r="A3230" t="str">
            <v>SCF-D01-007</v>
          </cell>
          <cell r="B3230" t="str">
            <v>SCF-D01</v>
          </cell>
        </row>
        <row r="3231">
          <cell r="A3231" t="str">
            <v>SCF-D01-008</v>
          </cell>
          <cell r="B3231" t="str">
            <v>SCF-D01</v>
          </cell>
        </row>
        <row r="3232">
          <cell r="A3232" t="str">
            <v>SCF-D01-009</v>
          </cell>
          <cell r="B3232" t="str">
            <v>SCF-D01</v>
          </cell>
        </row>
        <row r="3233">
          <cell r="A3233" t="str">
            <v>SCF-D01-010</v>
          </cell>
          <cell r="B3233" t="str">
            <v>SCF-D01</v>
          </cell>
        </row>
        <row r="3234">
          <cell r="A3234" t="str">
            <v>SCF-D01-011</v>
          </cell>
          <cell r="B3234" t="str">
            <v>SCF-D01</v>
          </cell>
        </row>
        <row r="3235">
          <cell r="A3235" t="str">
            <v>SCF-D01-012</v>
          </cell>
          <cell r="B3235" t="str">
            <v>SCF-D01</v>
          </cell>
        </row>
        <row r="3236">
          <cell r="A3236" t="str">
            <v>SCF-D01-013</v>
          </cell>
          <cell r="B3236" t="str">
            <v>SCF-D01</v>
          </cell>
        </row>
        <row r="3237">
          <cell r="A3237" t="str">
            <v>SCF-D01-014</v>
          </cell>
          <cell r="B3237" t="str">
            <v>SCF-D01</v>
          </cell>
        </row>
        <row r="3238">
          <cell r="A3238" t="str">
            <v>SCF-D01-015</v>
          </cell>
          <cell r="B3238" t="str">
            <v>SCF-D01</v>
          </cell>
        </row>
        <row r="3239">
          <cell r="A3239" t="str">
            <v>SCF-D01-016</v>
          </cell>
          <cell r="B3239" t="str">
            <v>SCF-D01</v>
          </cell>
        </row>
        <row r="3240">
          <cell r="A3240" t="str">
            <v>SCF-D01-017</v>
          </cell>
          <cell r="B3240" t="str">
            <v>SCF-D01</v>
          </cell>
        </row>
        <row r="3241">
          <cell r="A3241" t="str">
            <v>SCF-D01-018</v>
          </cell>
          <cell r="B3241" t="str">
            <v>SCF-D01</v>
          </cell>
        </row>
        <row r="3242">
          <cell r="A3242" t="str">
            <v>SCF-F02-NC</v>
          </cell>
          <cell r="B3242" t="str">
            <v>SCF-F02</v>
          </cell>
        </row>
        <row r="3243">
          <cell r="A3243" t="str">
            <v>SCF-SJ001-B0-OS</v>
          </cell>
          <cell r="B3243" t="str">
            <v>SCF-SJ001</v>
          </cell>
        </row>
        <row r="3244">
          <cell r="A3244" t="str">
            <v>SCF-SJ001-PF-OS</v>
          </cell>
          <cell r="B3244" t="str">
            <v>SCF-SJ001</v>
          </cell>
        </row>
        <row r="3245">
          <cell r="A3245" t="str">
            <v>SCF-SJ001-PY-OS</v>
          </cell>
          <cell r="B3245" t="str">
            <v>SCF-SJ001</v>
          </cell>
        </row>
        <row r="3246">
          <cell r="A3246" t="str">
            <v>SCF-SJ002-Horse-OS</v>
          </cell>
          <cell r="B3246" t="str">
            <v>SCF-SJ002</v>
          </cell>
        </row>
        <row r="3247">
          <cell r="A3247" t="str">
            <v>SCF-SJ002-KH-OS</v>
          </cell>
          <cell r="B3247" t="str">
            <v>SCF-SJ002</v>
          </cell>
        </row>
        <row r="3248">
          <cell r="A3248" t="str">
            <v>SCF-SJ002-OG-OS</v>
          </cell>
          <cell r="B3248" t="str">
            <v>SCF-SJ002</v>
          </cell>
        </row>
        <row r="3249">
          <cell r="A3249" t="str">
            <v>SCF-SJ002-R0-OS</v>
          </cell>
          <cell r="B3249" t="str">
            <v>SCF-SJ002</v>
          </cell>
        </row>
        <row r="3250">
          <cell r="A3250" t="str">
            <v>SCF-SJ003-Flowers-OS</v>
          </cell>
          <cell r="B3250" t="str">
            <v>SCF-SJ003</v>
          </cell>
        </row>
        <row r="3251">
          <cell r="A3251" t="str">
            <v>SCF-SJ003-Hands-OS</v>
          </cell>
          <cell r="B3251" t="str">
            <v>SCF-SJ003</v>
          </cell>
        </row>
        <row r="3252">
          <cell r="A3252" t="str">
            <v>SCF-SJ003-Pegasus-OS</v>
          </cell>
          <cell r="B3252" t="str">
            <v>SCF-SJ003</v>
          </cell>
        </row>
        <row r="3253">
          <cell r="A3253" t="str">
            <v>SCF-SJ006-Blackround-OS</v>
          </cell>
          <cell r="B3253" t="str">
            <v>SCF-SJ006</v>
          </cell>
        </row>
        <row r="3254">
          <cell r="A3254" t="str">
            <v>SCF-SJ006-Navystar-OS</v>
          </cell>
          <cell r="B3254" t="str">
            <v>SCF-SJ006</v>
          </cell>
        </row>
        <row r="3255">
          <cell r="A3255" t="str">
            <v>SCF-SJ006-Puzzle-OS</v>
          </cell>
          <cell r="B3255" t="str">
            <v>SCF-SJ006</v>
          </cell>
        </row>
        <row r="3256">
          <cell r="A3256" t="str">
            <v>SCF-SJ008-BK-OS</v>
          </cell>
          <cell r="B3256" t="str">
            <v>SCF-SJ008</v>
          </cell>
        </row>
        <row r="3257">
          <cell r="A3257" t="str">
            <v>SCF-SJ008-DB-OS</v>
          </cell>
          <cell r="B3257" t="str">
            <v>SCF-SJ008</v>
          </cell>
        </row>
        <row r="3258">
          <cell r="A3258" t="str">
            <v>SCF-SJ008-GR-OS</v>
          </cell>
          <cell r="B3258" t="str">
            <v>SCF-SJ008</v>
          </cell>
        </row>
        <row r="3259">
          <cell r="A3259" t="str">
            <v>SCF-SJ008-KH-OS</v>
          </cell>
          <cell r="B3259" t="str">
            <v>SCF-SJ008</v>
          </cell>
        </row>
        <row r="3260">
          <cell r="A3260" t="str">
            <v>SGZ-LULHY-001</v>
          </cell>
          <cell r="B3260" t="str">
            <v>SGZ-LULHY</v>
          </cell>
        </row>
        <row r="3261">
          <cell r="A3261" t="str">
            <v>SHIRT-SB001-BK-2XL</v>
          </cell>
          <cell r="B3261" t="str">
            <v>SHIRT-SB001</v>
          </cell>
        </row>
        <row r="3262">
          <cell r="A3262" t="str">
            <v>SHIRT-SB001-BK-L</v>
          </cell>
          <cell r="B3262" t="str">
            <v>SHIRT-SB001</v>
          </cell>
        </row>
        <row r="3263">
          <cell r="A3263" t="str">
            <v>SHIRT-SB001-BK-M</v>
          </cell>
          <cell r="B3263" t="str">
            <v>SHIRT-SB001</v>
          </cell>
        </row>
        <row r="3264">
          <cell r="A3264" t="str">
            <v>SHIRT-SB001-BK-S</v>
          </cell>
          <cell r="B3264" t="str">
            <v>SHIRT-SB001</v>
          </cell>
        </row>
        <row r="3265">
          <cell r="A3265" t="str">
            <v>SHIRT-SB001-BK-XL</v>
          </cell>
          <cell r="B3265" t="str">
            <v>SHIRT-SB001</v>
          </cell>
        </row>
        <row r="3266">
          <cell r="A3266" t="str">
            <v>SHIRT-SB001-BL-2XL</v>
          </cell>
          <cell r="B3266" t="str">
            <v>SHIRT-SB001</v>
          </cell>
        </row>
        <row r="3267">
          <cell r="A3267" t="str">
            <v>SHIRT-SB001-BL-L</v>
          </cell>
          <cell r="B3267" t="str">
            <v>SHIRT-SB001</v>
          </cell>
        </row>
        <row r="3268">
          <cell r="A3268" t="str">
            <v>SHIRT-SB001-BL-M</v>
          </cell>
          <cell r="B3268" t="str">
            <v>SHIRT-SB001</v>
          </cell>
        </row>
        <row r="3269">
          <cell r="A3269" t="str">
            <v>SHIRT-SB001-BL-S</v>
          </cell>
          <cell r="B3269" t="str">
            <v>SHIRT-SB001</v>
          </cell>
        </row>
        <row r="3270">
          <cell r="A3270" t="str">
            <v>SHIRT-SB001-BL-XL</v>
          </cell>
          <cell r="B3270" t="str">
            <v>SHIRT-SB001</v>
          </cell>
        </row>
        <row r="3271">
          <cell r="A3271" t="str">
            <v>SHIRT-SB001-GR-2XL</v>
          </cell>
          <cell r="B3271" t="str">
            <v>SHIRT-SB001</v>
          </cell>
        </row>
        <row r="3272">
          <cell r="A3272" t="str">
            <v>SHIRT-SB001-GR-L</v>
          </cell>
          <cell r="B3272" t="str">
            <v>SHIRT-SB001</v>
          </cell>
        </row>
        <row r="3273">
          <cell r="A3273" t="str">
            <v>SHIRT-SB001-GR-M</v>
          </cell>
          <cell r="B3273" t="str">
            <v>SHIRT-SB001</v>
          </cell>
        </row>
        <row r="3274">
          <cell r="A3274" t="str">
            <v>SHIRT-SB001-GR-S</v>
          </cell>
          <cell r="B3274" t="str">
            <v>SHIRT-SB001</v>
          </cell>
        </row>
        <row r="3275">
          <cell r="A3275" t="str">
            <v>SHIRT-SB001-GR-XL</v>
          </cell>
          <cell r="B3275" t="str">
            <v>SHIRT-SB001</v>
          </cell>
        </row>
        <row r="3276">
          <cell r="A3276" t="str">
            <v>SHIRT-SB001-PP-2XL</v>
          </cell>
          <cell r="B3276" t="str">
            <v>SHIRT-SB001</v>
          </cell>
        </row>
        <row r="3277">
          <cell r="A3277" t="str">
            <v>SHIRT-SB001-PP-L</v>
          </cell>
          <cell r="B3277" t="str">
            <v>SHIRT-SB001</v>
          </cell>
        </row>
        <row r="3278">
          <cell r="A3278" t="str">
            <v>SHIRT-SB001-PP-M</v>
          </cell>
          <cell r="B3278" t="str">
            <v>SHIRT-SB001</v>
          </cell>
        </row>
        <row r="3279">
          <cell r="A3279" t="str">
            <v>SHIRT-SB001-PP-S</v>
          </cell>
          <cell r="B3279" t="str">
            <v>SHIRT-SB001</v>
          </cell>
        </row>
        <row r="3280">
          <cell r="A3280" t="str">
            <v>SHIRT-SB001-PP-XL</v>
          </cell>
          <cell r="B3280" t="str">
            <v>SHIRT-SB001</v>
          </cell>
        </row>
        <row r="3281">
          <cell r="A3281" t="str">
            <v>SHIRT-SB002-BK-2XL</v>
          </cell>
          <cell r="B3281" t="str">
            <v>SHIRTS-SB002</v>
          </cell>
        </row>
        <row r="3282">
          <cell r="A3282" t="str">
            <v>SHIRT-SB002-BK-L</v>
          </cell>
          <cell r="B3282" t="str">
            <v>SHIRTS-SB002</v>
          </cell>
        </row>
        <row r="3283">
          <cell r="A3283" t="str">
            <v>SHIRT-SB002-BK-M</v>
          </cell>
          <cell r="B3283" t="str">
            <v>SHIRTS-SB002</v>
          </cell>
        </row>
        <row r="3284">
          <cell r="A3284" t="str">
            <v>SHIRT-SB002-BK-S</v>
          </cell>
          <cell r="B3284" t="str">
            <v>SHIRTS-SB002</v>
          </cell>
        </row>
        <row r="3285">
          <cell r="A3285" t="str">
            <v>SHIRT-SB002-BK-XL</v>
          </cell>
          <cell r="B3285" t="str">
            <v>SHIRTS-SB002</v>
          </cell>
        </row>
        <row r="3286">
          <cell r="A3286" t="str">
            <v>SHIRT-SB002-BLNGN-2XL</v>
          </cell>
          <cell r="B3286" t="str">
            <v>SHIRTS-SB002</v>
          </cell>
        </row>
        <row r="3287">
          <cell r="A3287" t="str">
            <v>SHIRT-SB002-BLNGN-L</v>
          </cell>
          <cell r="B3287" t="str">
            <v>SHIRTS-SB002</v>
          </cell>
        </row>
        <row r="3288">
          <cell r="A3288" t="str">
            <v>SHIRT-SB002-BLNGN-M</v>
          </cell>
          <cell r="B3288" t="str">
            <v>SHIRTS-SB002</v>
          </cell>
        </row>
        <row r="3289">
          <cell r="A3289" t="str">
            <v>SHIRT-SB002-BLNGN-S</v>
          </cell>
          <cell r="B3289" t="str">
            <v>SHIRTS-SB002</v>
          </cell>
        </row>
        <row r="3290">
          <cell r="A3290" t="str">
            <v>SHIRT-SB002-BLNGN-XL</v>
          </cell>
          <cell r="B3290" t="str">
            <v>SHIRTS-SB002</v>
          </cell>
        </row>
        <row r="3291">
          <cell r="A3291" t="str">
            <v>SHIRT-SB002-CF-2XL</v>
          </cell>
          <cell r="B3291" t="str">
            <v>SHIRTS-SB002</v>
          </cell>
        </row>
        <row r="3292">
          <cell r="A3292" t="str">
            <v>SHIRT-SB002-CF-L</v>
          </cell>
          <cell r="B3292" t="str">
            <v>SHIRTS-SB002</v>
          </cell>
        </row>
        <row r="3293">
          <cell r="A3293" t="str">
            <v>SHIRT-SB002-CF-M</v>
          </cell>
          <cell r="B3293" t="str">
            <v>SHIRTS-SB002</v>
          </cell>
        </row>
        <row r="3294">
          <cell r="A3294" t="str">
            <v>SHIRT-SB002-CF-S</v>
          </cell>
          <cell r="B3294" t="str">
            <v>SHIRTS-SB002</v>
          </cell>
        </row>
        <row r="3295">
          <cell r="A3295" t="str">
            <v>SHIRT-SB002-CF-XL</v>
          </cell>
          <cell r="B3295" t="str">
            <v>SHIRTS-SB002</v>
          </cell>
        </row>
        <row r="3296">
          <cell r="A3296" t="str">
            <v>SHIRT-SB002-LB-2XL</v>
          </cell>
          <cell r="B3296" t="str">
            <v>SHIRTS-SB002</v>
          </cell>
        </row>
        <row r="3297">
          <cell r="A3297" t="str">
            <v>SHIRT-SB002-LB-L</v>
          </cell>
          <cell r="B3297" t="str">
            <v>SHIRTS-SB002</v>
          </cell>
        </row>
        <row r="3298">
          <cell r="A3298" t="str">
            <v>SHIRT-SB002-LB-M</v>
          </cell>
          <cell r="B3298" t="str">
            <v>SHIRTS-SB002</v>
          </cell>
        </row>
        <row r="3299">
          <cell r="A3299" t="str">
            <v>SHIRT-SB002-LB-S</v>
          </cell>
          <cell r="B3299" t="str">
            <v>SHIRTS-SB002</v>
          </cell>
        </row>
        <row r="3300">
          <cell r="A3300" t="str">
            <v>SHIRT-SB002-LB-XL</v>
          </cell>
          <cell r="B3300" t="str">
            <v>SHIRTS-SB002</v>
          </cell>
        </row>
        <row r="3301">
          <cell r="A3301" t="str">
            <v>SHIRT-SB002-RD-2XL</v>
          </cell>
          <cell r="B3301" t="str">
            <v>SHIRTS-SB002</v>
          </cell>
        </row>
        <row r="3302">
          <cell r="A3302" t="str">
            <v>SHIRT-SB002-RD-L</v>
          </cell>
          <cell r="B3302" t="str">
            <v>SHIRTS-SB002</v>
          </cell>
        </row>
        <row r="3303">
          <cell r="A3303" t="str">
            <v>SHIRT-SB002-RD-M</v>
          </cell>
          <cell r="B3303" t="str">
            <v>SHIRTS-SB002</v>
          </cell>
        </row>
        <row r="3304">
          <cell r="A3304" t="str">
            <v>SHIRT-SB002-RD-S</v>
          </cell>
          <cell r="B3304" t="str">
            <v>SHIRTS-SB002</v>
          </cell>
        </row>
        <row r="3305">
          <cell r="A3305" t="str">
            <v>SHIRT-SB002-RD-XL</v>
          </cell>
          <cell r="B3305" t="str">
            <v>SHIRTS-SB002</v>
          </cell>
        </row>
        <row r="3306">
          <cell r="A3306" t="str">
            <v>SHIRT-SB002-RNBL-2XL</v>
          </cell>
          <cell r="B3306" t="str">
            <v>SHIRTS-SB002</v>
          </cell>
        </row>
        <row r="3307">
          <cell r="A3307" t="str">
            <v>SHIRT-SB002-RNBL-L</v>
          </cell>
          <cell r="B3307" t="str">
            <v>SHIRTS-SB002</v>
          </cell>
        </row>
        <row r="3308">
          <cell r="A3308" t="str">
            <v>SHIRT-SB002-RNBL-M</v>
          </cell>
          <cell r="B3308" t="str">
            <v>SHIRTS-SB002</v>
          </cell>
        </row>
        <row r="3309">
          <cell r="A3309" t="str">
            <v>SHIRT-SB002-RNBL-S</v>
          </cell>
          <cell r="B3309" t="str">
            <v>SHIRTS-SB002</v>
          </cell>
        </row>
        <row r="3310">
          <cell r="A3310" t="str">
            <v>SHIRT-SB002-RNBL-XL</v>
          </cell>
          <cell r="B3310" t="str">
            <v>SHIRTS-SB002</v>
          </cell>
        </row>
        <row r="3311">
          <cell r="A3311" t="str">
            <v>SHIRTS-SB002-BL-L</v>
          </cell>
          <cell r="B3311" t="str">
            <v>SHIRTS-SB002</v>
          </cell>
        </row>
        <row r="3312">
          <cell r="A3312" t="str">
            <v>SHIRTS-SB002-BL-M</v>
          </cell>
          <cell r="B3312" t="str">
            <v>SHIRTS-SB002</v>
          </cell>
        </row>
        <row r="3313">
          <cell r="A3313" t="str">
            <v>SHIRTS-SB002-BL-S</v>
          </cell>
          <cell r="B3313" t="str">
            <v>SHIRTS-SB002</v>
          </cell>
        </row>
        <row r="3314">
          <cell r="A3314" t="str">
            <v>SHIRTS-SB002-BL-XL</v>
          </cell>
          <cell r="B3314" t="str">
            <v>SHIRTS-SB002</v>
          </cell>
        </row>
        <row r="3315">
          <cell r="A3315" t="str">
            <v>SHIRTS-SB002-BL-XXL</v>
          </cell>
          <cell r="B3315" t="str">
            <v>SHIRTS-SB002</v>
          </cell>
        </row>
        <row r="3316">
          <cell r="A3316" t="str">
            <v>SHJ-ZQ0066-AF</v>
          </cell>
          <cell r="B3316" t="str">
            <v>SHJ-ZQ0066</v>
          </cell>
        </row>
        <row r="3317">
          <cell r="A3317" t="str">
            <v>SHJ-ZQLS01-B0-2XL</v>
          </cell>
          <cell r="B3317" t="str">
            <v>SHJ-ZQLS01</v>
          </cell>
        </row>
        <row r="3318">
          <cell r="A3318" t="str">
            <v>SHJ-ZQLS01-B0-3XL</v>
          </cell>
          <cell r="B3318" t="str">
            <v>SHJ-ZQLS01</v>
          </cell>
        </row>
        <row r="3319">
          <cell r="A3319" t="str">
            <v>SHJ-ZQLS01-B0-4XL</v>
          </cell>
          <cell r="B3319" t="str">
            <v>SHJ-ZQLS01</v>
          </cell>
        </row>
        <row r="3320">
          <cell r="A3320" t="str">
            <v>SHJ-ZQLS01-B0-XL</v>
          </cell>
          <cell r="B3320" t="str">
            <v>SHJ-ZQLS01</v>
          </cell>
        </row>
        <row r="3321">
          <cell r="A3321" t="str">
            <v>SHJ-ZQLS12-K0-2XL</v>
          </cell>
          <cell r="B3321" t="str">
            <v>SHJ-ZQLS12</v>
          </cell>
        </row>
        <row r="3322">
          <cell r="A3322" t="str">
            <v>SHJ-ZQLS12-K0-2XL-GM</v>
          </cell>
          <cell r="B3322" t="str">
            <v>SHJ-ZQLS12</v>
          </cell>
        </row>
        <row r="3323">
          <cell r="A3323" t="str">
            <v>SHJ-ZQLS12-K0-3XL</v>
          </cell>
          <cell r="B3323" t="str">
            <v>SHJ-ZQLS12</v>
          </cell>
        </row>
        <row r="3324">
          <cell r="A3324" t="str">
            <v>SHJ-ZQLS12-K0-3XL-GM</v>
          </cell>
          <cell r="B3324" t="str">
            <v>SHJ-ZQLS12</v>
          </cell>
        </row>
        <row r="3325">
          <cell r="A3325" t="str">
            <v>SHJ-ZQLS12-K0-4XL</v>
          </cell>
          <cell r="B3325" t="str">
            <v>SHJ-ZQLS12</v>
          </cell>
        </row>
        <row r="3326">
          <cell r="A3326" t="str">
            <v>SHJ-ZQLS12-K0-4XL-GM</v>
          </cell>
          <cell r="B3326" t="str">
            <v>SHJ-ZQLS12</v>
          </cell>
        </row>
        <row r="3327">
          <cell r="A3327" t="str">
            <v>SHJ-ZQLS12-K0-5XL</v>
          </cell>
          <cell r="B3327" t="str">
            <v>SHJ-ZQLS12</v>
          </cell>
        </row>
        <row r="3328">
          <cell r="A3328" t="str">
            <v>SHJ-ZQLS12-K0-L</v>
          </cell>
          <cell r="B3328" t="str">
            <v>SHJ-ZQLS12</v>
          </cell>
        </row>
        <row r="3329">
          <cell r="A3329" t="str">
            <v>SHJ-ZQLS12-K0-XL</v>
          </cell>
          <cell r="B3329" t="str">
            <v>SHJ-ZQLS12</v>
          </cell>
        </row>
        <row r="3330">
          <cell r="A3330" t="str">
            <v>SHJ-ZQLS12-K0-XL-GM</v>
          </cell>
          <cell r="B3330" t="str">
            <v>SHJ-ZQLS12</v>
          </cell>
        </row>
        <row r="3331">
          <cell r="A3331" t="str">
            <v>SJ-CA205-B0</v>
          </cell>
          <cell r="B3331" t="str">
            <v>SJ-CA205</v>
          </cell>
        </row>
        <row r="3332">
          <cell r="A3332" t="str">
            <v>SJ-CA205-G0</v>
          </cell>
          <cell r="B3332" t="str">
            <v>SJ-CA205</v>
          </cell>
        </row>
        <row r="3333">
          <cell r="A3333" t="str">
            <v>SJ-CA205-K0</v>
          </cell>
          <cell r="B3333" t="str">
            <v>SJ-CA205</v>
          </cell>
        </row>
        <row r="3334">
          <cell r="A3334" t="str">
            <v>SJ-GM002W0</v>
          </cell>
          <cell r="B3334" t="str">
            <v>SJ-GM002</v>
          </cell>
        </row>
        <row r="3335">
          <cell r="A3335" t="str">
            <v>SJ-HM071</v>
          </cell>
          <cell r="B3335" t="str">
            <v>SJ-HM071</v>
          </cell>
        </row>
        <row r="3336">
          <cell r="A3336" t="str">
            <v>SJ-HM071-K0G</v>
          </cell>
          <cell r="B3336" t="str">
            <v>SJ-HM071</v>
          </cell>
        </row>
        <row r="3337">
          <cell r="A3337" t="str">
            <v>SJ-HM071-K0R2</v>
          </cell>
          <cell r="B3337" t="str">
            <v>SJ-HM071</v>
          </cell>
        </row>
        <row r="3338">
          <cell r="A3338" t="str">
            <v>SJ-HM071-R2</v>
          </cell>
          <cell r="B3338" t="str">
            <v>SJ-HM071</v>
          </cell>
        </row>
        <row r="3339">
          <cell r="A3339" t="str">
            <v>SJ-HM071-R2W0</v>
          </cell>
          <cell r="B3339" t="str">
            <v>SJ-HM071</v>
          </cell>
        </row>
        <row r="3340">
          <cell r="A3340" t="str">
            <v>SJ-HM071-W0G</v>
          </cell>
          <cell r="B3340" t="str">
            <v>SJ-HM071</v>
          </cell>
        </row>
        <row r="3341">
          <cell r="A3341" t="str">
            <v>SJ-HM071-W0R2</v>
          </cell>
          <cell r="B3341" t="str">
            <v>SJ-HM071</v>
          </cell>
        </row>
        <row r="3342">
          <cell r="A3342" t="str">
            <v>SJ-HM1995-K0</v>
          </cell>
          <cell r="B3342" t="str">
            <v>SJ-HM1995</v>
          </cell>
        </row>
        <row r="3343">
          <cell r="A3343" t="str">
            <v>SJ-HM1995-W0</v>
          </cell>
          <cell r="B3343" t="str">
            <v>SJ-HM1995</v>
          </cell>
        </row>
        <row r="3344">
          <cell r="A3344" t="str">
            <v>SJ-HM2017</v>
          </cell>
          <cell r="B3344" t="str">
            <v>SJ-HM2017</v>
          </cell>
        </row>
        <row r="3345">
          <cell r="A3345" t="str">
            <v>SJ-HM2017-B0-L</v>
          </cell>
          <cell r="B3345" t="str">
            <v>SJ-HM2017</v>
          </cell>
        </row>
        <row r="3346">
          <cell r="A3346" t="str">
            <v>SJ-HM2017-B0-M</v>
          </cell>
          <cell r="B3346" t="str">
            <v>SJ-HM2017</v>
          </cell>
        </row>
        <row r="3347">
          <cell r="A3347" t="str">
            <v>SJ-HM2017-B0-S</v>
          </cell>
          <cell r="B3347" t="str">
            <v>SJ-HM2017</v>
          </cell>
        </row>
        <row r="3348">
          <cell r="A3348" t="str">
            <v>SJ-HM2017-B0-XL</v>
          </cell>
          <cell r="B3348" t="str">
            <v>SJ-HM2017</v>
          </cell>
        </row>
        <row r="3349">
          <cell r="A3349" t="str">
            <v>SJ-HM2017-B0-XXL</v>
          </cell>
          <cell r="B3349" t="str">
            <v>SJ-HM2017</v>
          </cell>
        </row>
        <row r="3350">
          <cell r="A3350" t="str">
            <v>SJ-HM2017-G0-L</v>
          </cell>
          <cell r="B3350" t="str">
            <v>SJ-HM2017</v>
          </cell>
        </row>
        <row r="3351">
          <cell r="A3351" t="str">
            <v>SJ-HM2017-G0-M</v>
          </cell>
          <cell r="B3351" t="str">
            <v>SJ-HM2017</v>
          </cell>
        </row>
        <row r="3352">
          <cell r="A3352" t="str">
            <v>SJ-HM2017-G0-S</v>
          </cell>
          <cell r="B3352" t="str">
            <v>SJ-HM2017</v>
          </cell>
        </row>
        <row r="3353">
          <cell r="A3353" t="str">
            <v>SJ-HM2017-G0-XL</v>
          </cell>
          <cell r="B3353" t="str">
            <v>SJ-HM2017</v>
          </cell>
        </row>
        <row r="3354">
          <cell r="A3354" t="str">
            <v>SJ-HM2017-G0-XXL</v>
          </cell>
          <cell r="B3354" t="str">
            <v>SJ-HM2017</v>
          </cell>
        </row>
        <row r="3355">
          <cell r="A3355" t="str">
            <v>SJ-HM2017-K0-L</v>
          </cell>
          <cell r="B3355" t="str">
            <v>SJ-HM2017</v>
          </cell>
        </row>
        <row r="3356">
          <cell r="A3356" t="str">
            <v>SJ-HM2017-K0-M</v>
          </cell>
          <cell r="B3356" t="str">
            <v>SJ-HM2017</v>
          </cell>
        </row>
        <row r="3357">
          <cell r="A3357" t="str">
            <v>SJ-HM2017-K0R-L</v>
          </cell>
          <cell r="B3357" t="str">
            <v>SJ-HM2017</v>
          </cell>
        </row>
        <row r="3358">
          <cell r="A3358" t="str">
            <v>SJ-HM2017-K0R-M</v>
          </cell>
          <cell r="B3358" t="str">
            <v>SJ-HM2017</v>
          </cell>
        </row>
        <row r="3359">
          <cell r="A3359" t="str">
            <v>SJ-HM2017-K0R-S</v>
          </cell>
          <cell r="B3359" t="str">
            <v>SJ-HM2017</v>
          </cell>
        </row>
        <row r="3360">
          <cell r="A3360" t="str">
            <v>SJ-HM2017-K0R-XL</v>
          </cell>
          <cell r="B3360" t="str">
            <v>SJ-HM2017</v>
          </cell>
        </row>
        <row r="3361">
          <cell r="A3361" t="str">
            <v>SJ-HM2017-K0R-XXL</v>
          </cell>
          <cell r="B3361" t="str">
            <v>SJ-HM2017</v>
          </cell>
        </row>
        <row r="3362">
          <cell r="A3362" t="str">
            <v>SJ-HM2017-K0-S</v>
          </cell>
          <cell r="B3362" t="str">
            <v>SJ-HM2017</v>
          </cell>
        </row>
        <row r="3363">
          <cell r="A3363" t="str">
            <v>SJ-HM2017-K0-XL</v>
          </cell>
          <cell r="B3363" t="str">
            <v>SJ-HM2017</v>
          </cell>
        </row>
        <row r="3364">
          <cell r="A3364" t="str">
            <v>SJ-HM2017-K0-XXL</v>
          </cell>
          <cell r="B3364" t="str">
            <v>SJ-HM2017</v>
          </cell>
        </row>
        <row r="3365">
          <cell r="A3365" t="str">
            <v>SJ-HM2017-KH-L</v>
          </cell>
          <cell r="B3365" t="str">
            <v>SJ-HM2017</v>
          </cell>
        </row>
        <row r="3366">
          <cell r="A3366" t="str">
            <v>SJ-HM2017-KH-M</v>
          </cell>
          <cell r="B3366" t="str">
            <v>SJ-HM2017</v>
          </cell>
        </row>
        <row r="3367">
          <cell r="A3367" t="str">
            <v>SJ-HM2017-KH-S</v>
          </cell>
          <cell r="B3367" t="str">
            <v>SJ-HM2017</v>
          </cell>
        </row>
        <row r="3368">
          <cell r="A3368" t="str">
            <v>SJ-HM2017-KH-XL</v>
          </cell>
          <cell r="B3368" t="str">
            <v>SJ-HM2017</v>
          </cell>
        </row>
        <row r="3369">
          <cell r="A3369" t="str">
            <v>SJ-HM2017-KH-XXL</v>
          </cell>
          <cell r="B3369" t="str">
            <v>SJ-HM2017</v>
          </cell>
        </row>
        <row r="3370">
          <cell r="A3370" t="str">
            <v>SJ-HM2017-PI-L</v>
          </cell>
          <cell r="B3370" t="str">
            <v>SJ-HM2017</v>
          </cell>
        </row>
        <row r="3371">
          <cell r="A3371" t="str">
            <v>SJ-HM2017-PI-M</v>
          </cell>
          <cell r="B3371" t="str">
            <v>SJ-HM2017</v>
          </cell>
        </row>
        <row r="3372">
          <cell r="A3372" t="str">
            <v>SJ-HM2017-PI-S</v>
          </cell>
          <cell r="B3372" t="str">
            <v>SJ-HM2017</v>
          </cell>
        </row>
        <row r="3373">
          <cell r="A3373" t="str">
            <v>SJ-HM2017-PI-XL</v>
          </cell>
          <cell r="B3373" t="str">
            <v>SJ-HM2017</v>
          </cell>
        </row>
        <row r="3374">
          <cell r="A3374" t="str">
            <v>SJ-HM2017-PI-XXL</v>
          </cell>
          <cell r="B3374" t="str">
            <v>SJ-HM2017</v>
          </cell>
        </row>
        <row r="3375">
          <cell r="A3375" t="str">
            <v>SJ-HM2017-W0-L</v>
          </cell>
          <cell r="B3375" t="str">
            <v>SJ-HM2017</v>
          </cell>
        </row>
        <row r="3376">
          <cell r="A3376" t="str">
            <v>SJ-HM2017-W0-M</v>
          </cell>
          <cell r="B3376" t="str">
            <v>SJ-HM2017</v>
          </cell>
        </row>
        <row r="3377">
          <cell r="A3377" t="str">
            <v>SJ-HM2017-W0-S</v>
          </cell>
          <cell r="B3377" t="str">
            <v>SJ-HM2017</v>
          </cell>
        </row>
        <row r="3378">
          <cell r="A3378" t="str">
            <v>SJ-HM2017-W0-XL</v>
          </cell>
          <cell r="B3378" t="str">
            <v>SJ-HM2017</v>
          </cell>
        </row>
        <row r="3379">
          <cell r="A3379" t="str">
            <v>SJ-HM2017-W0-XXL</v>
          </cell>
          <cell r="B3379" t="str">
            <v>SJ-HM2017</v>
          </cell>
        </row>
        <row r="3380">
          <cell r="A3380" t="str">
            <v>SJ-HM2017-ZL-L</v>
          </cell>
          <cell r="B3380" t="str">
            <v>SJ-HM2017</v>
          </cell>
        </row>
        <row r="3381">
          <cell r="A3381" t="str">
            <v>SJ-HM2017-ZL-M</v>
          </cell>
          <cell r="B3381" t="str">
            <v>SJ-HM2017</v>
          </cell>
        </row>
        <row r="3382">
          <cell r="A3382" t="str">
            <v>SJ-HM2017-ZL-S</v>
          </cell>
          <cell r="B3382" t="str">
            <v>SJ-HM2017</v>
          </cell>
        </row>
        <row r="3383">
          <cell r="A3383" t="str">
            <v>SJ-HM2017-ZL-XL</v>
          </cell>
          <cell r="B3383" t="str">
            <v>SJ-HM2017</v>
          </cell>
        </row>
        <row r="3384">
          <cell r="A3384" t="str">
            <v>SJ-HM2017-ZL-XXL</v>
          </cell>
          <cell r="B3384" t="str">
            <v>SJ-HM2017</v>
          </cell>
        </row>
        <row r="3385">
          <cell r="A3385" t="str">
            <v>SJ-HM205</v>
          </cell>
          <cell r="B3385" t="str">
            <v>SJ-HM205</v>
          </cell>
        </row>
        <row r="3386">
          <cell r="A3386" t="str">
            <v>SJ-HM205-B0</v>
          </cell>
          <cell r="B3386" t="str">
            <v>SJ-HM205</v>
          </cell>
        </row>
        <row r="3387">
          <cell r="A3387" t="str">
            <v>SJ-HM205-B0YH</v>
          </cell>
          <cell r="B3387" t="str">
            <v>SJ-HM205</v>
          </cell>
        </row>
        <row r="3388">
          <cell r="A3388" t="str">
            <v>SJ-HM205-G0</v>
          </cell>
          <cell r="B3388" t="str">
            <v>SJ-HM205</v>
          </cell>
        </row>
        <row r="3389">
          <cell r="A3389" t="str">
            <v>SJ-HM205-G0-MX</v>
          </cell>
          <cell r="B3389" t="str">
            <v>SJ-HM205</v>
          </cell>
        </row>
        <row r="3390">
          <cell r="A3390" t="str">
            <v>SJ-HM205-K0</v>
          </cell>
          <cell r="B3390" t="str">
            <v>SJ-HM205</v>
          </cell>
        </row>
        <row r="3391">
          <cell r="A3391" t="str">
            <v>SJ-HM205-R0</v>
          </cell>
          <cell r="B3391" t="str">
            <v>SJ-HM205</v>
          </cell>
        </row>
        <row r="3392">
          <cell r="A3392" t="str">
            <v>SJ-HM205-W0YH</v>
          </cell>
          <cell r="B3392" t="str">
            <v>SJ-HM205</v>
          </cell>
        </row>
        <row r="3393">
          <cell r="A3393" t="str">
            <v>SJ-HM2400</v>
          </cell>
          <cell r="B3393" t="str">
            <v>SJ-HM2400</v>
          </cell>
        </row>
        <row r="3394">
          <cell r="A3394" t="str">
            <v>SJ-HM2400-B0-L</v>
          </cell>
          <cell r="B3394" t="str">
            <v>SJ-HM2400</v>
          </cell>
        </row>
        <row r="3395">
          <cell r="A3395" t="str">
            <v>SJ-HM2400-B0-M</v>
          </cell>
          <cell r="B3395" t="str">
            <v>SJ-HM2400</v>
          </cell>
        </row>
        <row r="3396">
          <cell r="A3396" t="str">
            <v>SJ-HM2400-B0-S</v>
          </cell>
          <cell r="B3396" t="str">
            <v>SJ-HM2400</v>
          </cell>
        </row>
        <row r="3397">
          <cell r="A3397" t="str">
            <v>SJ-HM2400-B0-XL</v>
          </cell>
          <cell r="B3397" t="str">
            <v>SJ-HM2400</v>
          </cell>
        </row>
        <row r="3398">
          <cell r="A3398" t="str">
            <v>SJ-HM2400-B0-XXL</v>
          </cell>
          <cell r="B3398" t="str">
            <v>SJ-HM2400</v>
          </cell>
        </row>
        <row r="3399">
          <cell r="A3399" t="str">
            <v>SJ-HM2400-K0-L</v>
          </cell>
          <cell r="B3399" t="str">
            <v>SJ-HM2400</v>
          </cell>
        </row>
        <row r="3400">
          <cell r="A3400" t="str">
            <v>SJ-HM2400-K0-M</v>
          </cell>
          <cell r="B3400" t="str">
            <v>SJ-HM2400</v>
          </cell>
        </row>
        <row r="3401">
          <cell r="A3401" t="str">
            <v>SJ-HM2400-K0-S</v>
          </cell>
          <cell r="B3401" t="str">
            <v>SJ-HM2400</v>
          </cell>
        </row>
        <row r="3402">
          <cell r="A3402" t="str">
            <v>SJ-HM2400-K0-XL</v>
          </cell>
          <cell r="B3402" t="str">
            <v>SJ-HM2400</v>
          </cell>
        </row>
        <row r="3403">
          <cell r="A3403" t="str">
            <v>SJ-HM2400-K0-XXL</v>
          </cell>
          <cell r="B3403" t="str">
            <v>SJ-HM2400</v>
          </cell>
        </row>
        <row r="3404">
          <cell r="A3404" t="str">
            <v>SJ-HM2400-W0-L</v>
          </cell>
          <cell r="B3404" t="str">
            <v>SJ-HM2400</v>
          </cell>
        </row>
        <row r="3405">
          <cell r="A3405" t="str">
            <v>SJ-HM2400-W0-M</v>
          </cell>
          <cell r="B3405" t="str">
            <v>SJ-HM2400</v>
          </cell>
        </row>
        <row r="3406">
          <cell r="A3406" t="str">
            <v>SJ-HM2400-W0-S</v>
          </cell>
          <cell r="B3406" t="str">
            <v>SJ-HM2400</v>
          </cell>
        </row>
        <row r="3407">
          <cell r="A3407" t="str">
            <v>SJ-HM2400-W0-XL</v>
          </cell>
          <cell r="B3407" t="str">
            <v>SJ-HM2400</v>
          </cell>
        </row>
        <row r="3408">
          <cell r="A3408" t="str">
            <v>SJ-HM2400-W0-XXL</v>
          </cell>
          <cell r="B3408" t="str">
            <v>SJ-HM2400</v>
          </cell>
        </row>
        <row r="3409">
          <cell r="A3409" t="str">
            <v>SJ-HM2400-Y0-L</v>
          </cell>
          <cell r="B3409" t="str">
            <v>SJ-HM2400</v>
          </cell>
        </row>
        <row r="3410">
          <cell r="A3410" t="str">
            <v>SJ-HM2400-Y0-M</v>
          </cell>
          <cell r="B3410" t="str">
            <v>SJ-HM2400</v>
          </cell>
        </row>
        <row r="3411">
          <cell r="A3411" t="str">
            <v>SJ-HM2400-Y0-S</v>
          </cell>
          <cell r="B3411" t="str">
            <v>SJ-HM2400</v>
          </cell>
        </row>
        <row r="3412">
          <cell r="A3412" t="str">
            <v>SJ-HM2400-Y0-XL</v>
          </cell>
          <cell r="B3412" t="str">
            <v>SJ-HM2400</v>
          </cell>
        </row>
        <row r="3413">
          <cell r="A3413" t="str">
            <v>SJ-HM2400-Y0-XXL</v>
          </cell>
          <cell r="B3413" t="str">
            <v>SJ-HM2400</v>
          </cell>
        </row>
        <row r="3414">
          <cell r="A3414" t="str">
            <v>SJ-HM402-K0</v>
          </cell>
          <cell r="B3414" t="str">
            <v>SJ-HM402</v>
          </cell>
        </row>
        <row r="3415">
          <cell r="A3415" t="str">
            <v>SJ-HM402-W0</v>
          </cell>
          <cell r="B3415" t="str">
            <v>SJ-HM402</v>
          </cell>
        </row>
        <row r="3416">
          <cell r="A3416" t="str">
            <v>SJ-HM402-W1</v>
          </cell>
          <cell r="B3416" t="str">
            <v>SJ-HM402</v>
          </cell>
        </row>
        <row r="3417">
          <cell r="A3417" t="str">
            <v>SJ-HMLS42-K0-L</v>
          </cell>
          <cell r="B3417" t="str">
            <v>SJ-HMLS42</v>
          </cell>
        </row>
        <row r="3418">
          <cell r="A3418" t="str">
            <v>SJ-HMLS42-K0-XL</v>
          </cell>
          <cell r="B3418" t="str">
            <v>SJ-HMLS42</v>
          </cell>
        </row>
        <row r="3419">
          <cell r="A3419" t="str">
            <v>SJ-HMLS42-K0-XXL</v>
          </cell>
          <cell r="B3419" t="str">
            <v>SJ-HMLS42</v>
          </cell>
        </row>
        <row r="3420">
          <cell r="A3420" t="str">
            <v>SJ-HMLS42-P0-L</v>
          </cell>
          <cell r="B3420" t="str">
            <v>SJ-HMLS42</v>
          </cell>
        </row>
        <row r="3421">
          <cell r="A3421" t="str">
            <v>SJ-HMLS42-P0-XL</v>
          </cell>
          <cell r="B3421" t="str">
            <v>SJ-HMLS42</v>
          </cell>
        </row>
        <row r="3422">
          <cell r="A3422" t="str">
            <v>SJ-HMLS42-P0-XXL</v>
          </cell>
          <cell r="B3422" t="str">
            <v>SJ-HMLS42</v>
          </cell>
        </row>
        <row r="3423">
          <cell r="A3423" t="str">
            <v>SJ-HMLS42-Pi-L</v>
          </cell>
          <cell r="B3423" t="str">
            <v>SJ-HMLS42</v>
          </cell>
        </row>
        <row r="3424">
          <cell r="A3424" t="str">
            <v>SJ-HMLS42-Pi-XL</v>
          </cell>
          <cell r="B3424" t="str">
            <v>SJ-HMLS42</v>
          </cell>
        </row>
        <row r="3425">
          <cell r="A3425" t="str">
            <v>SJ-HMLS42-Pi-XXL</v>
          </cell>
          <cell r="B3425" t="str">
            <v>SJ-HMLS42</v>
          </cell>
        </row>
        <row r="3426">
          <cell r="A3426" t="str">
            <v>SJ-HMLS42-W0-L</v>
          </cell>
          <cell r="B3426" t="str">
            <v>SJ-HMLS42</v>
          </cell>
        </row>
        <row r="3427">
          <cell r="A3427" t="str">
            <v>SJ-HMLS42-W0-XL</v>
          </cell>
          <cell r="B3427" t="str">
            <v>SJ-HMLS42</v>
          </cell>
        </row>
        <row r="3428">
          <cell r="A3428" t="str">
            <v>SJ-HMLS42-W0-XXL</v>
          </cell>
          <cell r="B3428" t="str">
            <v>SJ-HMLS42</v>
          </cell>
        </row>
        <row r="3429">
          <cell r="A3429" t="str">
            <v>SJJJZHUOBUKTWB0140x140cm</v>
          </cell>
          <cell r="B3429" t="str">
            <v>SJJJZHUOBUKTWB</v>
          </cell>
        </row>
        <row r="3430">
          <cell r="A3430" t="str">
            <v>SJJJZHUOBUKTWB090x90cm</v>
          </cell>
          <cell r="B3430" t="str">
            <v>SJJJZHUOBUKTWB</v>
          </cell>
        </row>
        <row r="3431">
          <cell r="A3431" t="str">
            <v>SJ-MC002-B0</v>
          </cell>
          <cell r="B3431" t="str">
            <v>SJ-MC002</v>
          </cell>
        </row>
        <row r="3432">
          <cell r="A3432" t="str">
            <v>SJ-MCHM550-B0</v>
          </cell>
          <cell r="B3432" t="str">
            <v>SJ-MCHM550</v>
          </cell>
        </row>
        <row r="3433">
          <cell r="A3433" t="str">
            <v>SJ-MCHM550-G0</v>
          </cell>
          <cell r="B3433" t="str">
            <v>SJ-MCHM550</v>
          </cell>
        </row>
        <row r="3434">
          <cell r="A3434" t="str">
            <v>SJ-MCHM550-K0</v>
          </cell>
          <cell r="B3434" t="str">
            <v>SJ-MCHM550</v>
          </cell>
        </row>
        <row r="3435">
          <cell r="A3435" t="str">
            <v>SJ-MCHM550-W0</v>
          </cell>
          <cell r="B3435" t="str">
            <v>SJ-MCHM550</v>
          </cell>
        </row>
        <row r="3436">
          <cell r="A3436" t="str">
            <v>SJ-MCHM550-Y0</v>
          </cell>
          <cell r="B3436" t="str">
            <v>SJ-MCHM550</v>
          </cell>
        </row>
        <row r="3437">
          <cell r="A3437" t="str">
            <v>SJ-MCZQS01-B0-3XL</v>
          </cell>
          <cell r="B3437" t="str">
            <v>SJ-MCZQS01</v>
          </cell>
        </row>
        <row r="3438">
          <cell r="A3438" t="str">
            <v>SJ-MCZQS12-K0-L</v>
          </cell>
          <cell r="B3438" t="str">
            <v>SJ-MCZQS12</v>
          </cell>
        </row>
        <row r="3439">
          <cell r="A3439" t="str">
            <v>SJ-MU002-B0</v>
          </cell>
          <cell r="B3439" t="str">
            <v>SJ-MU002</v>
          </cell>
        </row>
        <row r="3440">
          <cell r="A3440" t="str">
            <v>SJ-MU002-Pi</v>
          </cell>
          <cell r="B3440" t="str">
            <v>SJ-MU002</v>
          </cell>
        </row>
        <row r="3441">
          <cell r="A3441" t="str">
            <v>SJ-NA204-G0-2XL</v>
          </cell>
          <cell r="B3441" t="str">
            <v>SJ-NA204</v>
          </cell>
        </row>
        <row r="3442">
          <cell r="A3442" t="str">
            <v>SJ-NA204-G0-L</v>
          </cell>
          <cell r="B3442" t="str">
            <v>SJ-NA204</v>
          </cell>
        </row>
        <row r="3443">
          <cell r="A3443" t="str">
            <v>SJ-NA204-G0-M</v>
          </cell>
          <cell r="B3443" t="str">
            <v>SJ-NA204</v>
          </cell>
        </row>
        <row r="3444">
          <cell r="A3444" t="str">
            <v>SJ-NA204-G0-S</v>
          </cell>
          <cell r="B3444" t="str">
            <v>SJ-NA204</v>
          </cell>
        </row>
        <row r="3445">
          <cell r="A3445" t="str">
            <v>SJ-NA204-G0-XL</v>
          </cell>
          <cell r="B3445" t="str">
            <v>SJ-NA204</v>
          </cell>
        </row>
        <row r="3446">
          <cell r="A3446" t="str">
            <v>SJ-NA204-G0-XS</v>
          </cell>
          <cell r="B3446" t="str">
            <v>SJ-NA204</v>
          </cell>
        </row>
        <row r="3447">
          <cell r="A3447" t="str">
            <v>SJ-NA204-K0-2XL</v>
          </cell>
          <cell r="B3447" t="str">
            <v>SJ-NA204</v>
          </cell>
        </row>
        <row r="3448">
          <cell r="A3448" t="str">
            <v>SJ-NA204-K0-L</v>
          </cell>
          <cell r="B3448" t="str">
            <v>SJ-NA204</v>
          </cell>
        </row>
        <row r="3449">
          <cell r="A3449" t="str">
            <v>SJ-NA204-K0-M</v>
          </cell>
          <cell r="B3449" t="str">
            <v>SJ-NA204</v>
          </cell>
        </row>
        <row r="3450">
          <cell r="A3450" t="str">
            <v>SJ-NA204-K0-S</v>
          </cell>
          <cell r="B3450" t="str">
            <v>SJ-NA204</v>
          </cell>
        </row>
        <row r="3451">
          <cell r="A3451" t="str">
            <v>SJ-NA204-K0-XL</v>
          </cell>
          <cell r="B3451" t="str">
            <v>SJ-NA204</v>
          </cell>
        </row>
        <row r="3452">
          <cell r="A3452" t="str">
            <v>SJ-NA204-K0-XS</v>
          </cell>
          <cell r="B3452" t="str">
            <v>SJ-NA204</v>
          </cell>
        </row>
        <row r="3453">
          <cell r="A3453" t="str">
            <v>SJ-NA204-R0-2XL</v>
          </cell>
          <cell r="B3453" t="str">
            <v>SJ-NA204</v>
          </cell>
        </row>
        <row r="3454">
          <cell r="A3454" t="str">
            <v>SJ-NA204-R0-L</v>
          </cell>
          <cell r="B3454" t="str">
            <v>SJ-NA204</v>
          </cell>
        </row>
        <row r="3455">
          <cell r="A3455" t="str">
            <v>SJ-NA204-R0-M</v>
          </cell>
          <cell r="B3455" t="str">
            <v>SJ-NA204</v>
          </cell>
        </row>
        <row r="3456">
          <cell r="A3456" t="str">
            <v>SJ-NA204-R0-XL</v>
          </cell>
          <cell r="B3456" t="str">
            <v>SJ-NA204</v>
          </cell>
        </row>
        <row r="3457">
          <cell r="A3457" t="str">
            <v>SJ-NA204-R0-XS</v>
          </cell>
          <cell r="B3457" t="str">
            <v>SJ-NA204</v>
          </cell>
        </row>
        <row r="3458">
          <cell r="A3458" t="str">
            <v>SJ-NA204-W0-2XL</v>
          </cell>
          <cell r="B3458" t="str">
            <v>SJ-NA204</v>
          </cell>
        </row>
        <row r="3459">
          <cell r="A3459" t="str">
            <v>SJ-NA204-W0-S</v>
          </cell>
          <cell r="B3459" t="str">
            <v>SJ-NA204</v>
          </cell>
        </row>
        <row r="3460">
          <cell r="A3460" t="str">
            <v>SJ-NA204-W0-XL</v>
          </cell>
          <cell r="B3460" t="str">
            <v>SJ-NA204</v>
          </cell>
        </row>
        <row r="3461">
          <cell r="A3461" t="str">
            <v>SJ-NA204-ZL-2XL</v>
          </cell>
          <cell r="B3461" t="str">
            <v>SJ-NA204</v>
          </cell>
        </row>
        <row r="3462">
          <cell r="A3462" t="str">
            <v>SJ-NA204-ZL-L</v>
          </cell>
          <cell r="B3462" t="str">
            <v>SJ-NA204</v>
          </cell>
        </row>
        <row r="3463">
          <cell r="A3463" t="str">
            <v>SJ-NA204-ZL-M</v>
          </cell>
          <cell r="B3463" t="str">
            <v>SJ-NA204</v>
          </cell>
        </row>
        <row r="3464">
          <cell r="A3464" t="str">
            <v>SJ-NA204-ZL-S</v>
          </cell>
          <cell r="B3464" t="str">
            <v>SJ-NA204</v>
          </cell>
        </row>
        <row r="3465">
          <cell r="A3465" t="str">
            <v>SJ-NA204-ZL-XL</v>
          </cell>
          <cell r="B3465" t="str">
            <v>SJ-NA204</v>
          </cell>
        </row>
        <row r="3466">
          <cell r="A3466" t="str">
            <v>SJ-NA204-ZL-XS</v>
          </cell>
          <cell r="B3466" t="str">
            <v>SJ-NA204</v>
          </cell>
        </row>
        <row r="3467">
          <cell r="A3467" t="str">
            <v>SJ-ZQZ1701-K0-L</v>
          </cell>
          <cell r="B3467" t="str">
            <v>SJ-ZQZ1701</v>
          </cell>
        </row>
        <row r="3468">
          <cell r="A3468" t="str">
            <v>SJ-ZZN204</v>
          </cell>
          <cell r="B3468" t="str">
            <v>SJ-ZZN204</v>
          </cell>
        </row>
        <row r="3469">
          <cell r="A3469" t="str">
            <v>SJ-ZZN204AX</v>
          </cell>
          <cell r="B3469" t="str">
            <v>SJ-ZZN204</v>
          </cell>
        </row>
        <row r="3470">
          <cell r="A3470" t="str">
            <v>SJ-ZZN204AX-GM</v>
          </cell>
          <cell r="B3470" t="str">
            <v>SJ-ZZN204</v>
          </cell>
        </row>
        <row r="3471">
          <cell r="A3471" t="str">
            <v>SJ-ZZN204B0-2XL</v>
          </cell>
          <cell r="B3471" t="str">
            <v>SJ-ZZN204</v>
          </cell>
        </row>
        <row r="3472">
          <cell r="A3472" t="str">
            <v>SJ-ZZN204B0-L</v>
          </cell>
          <cell r="B3472" t="str">
            <v>SJ-ZZN204</v>
          </cell>
        </row>
        <row r="3473">
          <cell r="A3473" t="str">
            <v>SJ-ZZN204B0-M</v>
          </cell>
          <cell r="B3473" t="str">
            <v>SJ-ZZN204</v>
          </cell>
        </row>
        <row r="3474">
          <cell r="A3474" t="str">
            <v>SJ-ZZN204B0-S</v>
          </cell>
          <cell r="B3474" t="str">
            <v>SJ-ZZN204</v>
          </cell>
        </row>
        <row r="3475">
          <cell r="A3475" t="str">
            <v>SJ-ZZN204B0-XL</v>
          </cell>
          <cell r="B3475" t="str">
            <v>SJ-ZZN204</v>
          </cell>
        </row>
        <row r="3476">
          <cell r="A3476" t="str">
            <v>SJ-ZZN204B0-XS</v>
          </cell>
          <cell r="B3476" t="str">
            <v>SJ-ZZN204</v>
          </cell>
        </row>
        <row r="3477">
          <cell r="A3477" t="str">
            <v>SJ-ZZN204G0</v>
          </cell>
          <cell r="B3477" t="str">
            <v>SJ-ZZN204</v>
          </cell>
        </row>
        <row r="3478">
          <cell r="A3478" t="str">
            <v>SJ-ZZN204G02L</v>
          </cell>
          <cell r="B3478" t="str">
            <v>SJ-ZZN204</v>
          </cell>
        </row>
        <row r="3479">
          <cell r="A3479" t="str">
            <v>SJ-ZZN204G02L-GM</v>
          </cell>
          <cell r="B3479" t="str">
            <v>SJ-ZZN204</v>
          </cell>
        </row>
        <row r="3480">
          <cell r="A3480" t="str">
            <v>SJ-ZZN204G03L</v>
          </cell>
          <cell r="B3480" t="str">
            <v>SJ-ZZN204</v>
          </cell>
        </row>
        <row r="3481">
          <cell r="A3481" t="str">
            <v>SJ-ZZN204G03L-GM</v>
          </cell>
          <cell r="B3481" t="str">
            <v>SJ-ZZN204</v>
          </cell>
        </row>
        <row r="3482">
          <cell r="A3482" t="str">
            <v>SJ-ZZN204G04L</v>
          </cell>
          <cell r="B3482" t="str">
            <v>SJ-ZZN204</v>
          </cell>
        </row>
        <row r="3483">
          <cell r="A3483" t="str">
            <v>SJ-ZZN204G0-GM</v>
          </cell>
          <cell r="B3483" t="str">
            <v>SJ-ZZN204</v>
          </cell>
        </row>
        <row r="3484">
          <cell r="A3484" t="str">
            <v>SJ-ZZN204G0L</v>
          </cell>
          <cell r="B3484" t="str">
            <v>SJ-ZZN204</v>
          </cell>
        </row>
        <row r="3485">
          <cell r="A3485" t="str">
            <v>SJ-ZZN204G0L-GM</v>
          </cell>
          <cell r="B3485" t="str">
            <v>SJ-ZZN204</v>
          </cell>
        </row>
        <row r="3486">
          <cell r="A3486" t="str">
            <v>SJ-ZZN204G0XL</v>
          </cell>
          <cell r="B3486" t="str">
            <v>SJ-ZZN204</v>
          </cell>
        </row>
        <row r="3487">
          <cell r="A3487" t="str">
            <v>SJ-ZZN204G0XL-GM</v>
          </cell>
          <cell r="B3487" t="str">
            <v>SJ-ZZN204</v>
          </cell>
        </row>
        <row r="3488">
          <cell r="A3488" t="str">
            <v>SJ-ZZN204K0</v>
          </cell>
          <cell r="B3488" t="str">
            <v>SJ-ZZN204</v>
          </cell>
        </row>
        <row r="3489">
          <cell r="A3489" t="str">
            <v>SJ-ZZN204K02L</v>
          </cell>
          <cell r="B3489" t="str">
            <v>SJ-ZZN204</v>
          </cell>
        </row>
        <row r="3490">
          <cell r="A3490" t="str">
            <v>SJ-ZZN204K02L-GM</v>
          </cell>
          <cell r="B3490" t="str">
            <v>SJ-ZZN204</v>
          </cell>
        </row>
        <row r="3491">
          <cell r="A3491" t="str">
            <v>SJ-ZZN204K03L</v>
          </cell>
          <cell r="B3491" t="str">
            <v>SJ-ZZN204</v>
          </cell>
        </row>
        <row r="3492">
          <cell r="A3492" t="str">
            <v>SJ-ZZN204K03L-GM</v>
          </cell>
          <cell r="B3492" t="str">
            <v>SJ-ZZN204</v>
          </cell>
        </row>
        <row r="3493">
          <cell r="A3493" t="str">
            <v>SJ-ZZN204K03L-MX</v>
          </cell>
          <cell r="B3493" t="str">
            <v>SJ-ZZN204</v>
          </cell>
        </row>
        <row r="3494">
          <cell r="A3494" t="str">
            <v>SJ-ZZN204K04L</v>
          </cell>
          <cell r="B3494" t="str">
            <v>SJ-ZZN204</v>
          </cell>
        </row>
        <row r="3495">
          <cell r="A3495" t="str">
            <v>SJ-ZZN204K04L-GM</v>
          </cell>
          <cell r="B3495" t="str">
            <v>SJ-ZZN204</v>
          </cell>
        </row>
        <row r="3496">
          <cell r="A3496" t="str">
            <v>SJ-ZZN204K04L-MX</v>
          </cell>
          <cell r="B3496" t="str">
            <v>SJ-ZZN204</v>
          </cell>
        </row>
        <row r="3497">
          <cell r="A3497" t="str">
            <v>SJ-ZZN204K0-GM</v>
          </cell>
          <cell r="B3497" t="str">
            <v>SJ-ZZN204</v>
          </cell>
        </row>
        <row r="3498">
          <cell r="A3498" t="str">
            <v>SJ-ZZN204K0L</v>
          </cell>
          <cell r="B3498" t="str">
            <v>SJ-ZZN204</v>
          </cell>
        </row>
        <row r="3499">
          <cell r="A3499" t="str">
            <v>SJ-ZZN204K0L-GM</v>
          </cell>
          <cell r="B3499" t="str">
            <v>SJ-ZZN204</v>
          </cell>
        </row>
        <row r="3500">
          <cell r="A3500" t="str">
            <v>SJ-ZZN204K0XL</v>
          </cell>
          <cell r="B3500" t="str">
            <v>SJ-ZZN204</v>
          </cell>
        </row>
        <row r="3501">
          <cell r="A3501" t="str">
            <v>SJ-ZZN204K0XL-GM</v>
          </cell>
          <cell r="B3501" t="str">
            <v>SJ-ZZN204</v>
          </cell>
        </row>
        <row r="3502">
          <cell r="A3502" t="str">
            <v>SJ-ZZN204K0XL-MX</v>
          </cell>
          <cell r="B3502" t="str">
            <v>SJ-ZZN204</v>
          </cell>
        </row>
        <row r="3503">
          <cell r="A3503" t="str">
            <v>SJ-ZZN204R02L</v>
          </cell>
          <cell r="B3503" t="str">
            <v>SJ-ZZN204</v>
          </cell>
        </row>
        <row r="3504">
          <cell r="A3504" t="str">
            <v>SJ-ZZN204R02L-GM</v>
          </cell>
          <cell r="B3504" t="str">
            <v>SJ-ZZN204</v>
          </cell>
        </row>
        <row r="3505">
          <cell r="A3505" t="str">
            <v>SJ-ZZN204R03L</v>
          </cell>
          <cell r="B3505" t="str">
            <v>SJ-ZZN204</v>
          </cell>
        </row>
        <row r="3506">
          <cell r="A3506" t="str">
            <v>SJ-ZZN204R03L-GM</v>
          </cell>
          <cell r="B3506" t="str">
            <v>SJ-ZZN204</v>
          </cell>
        </row>
        <row r="3507">
          <cell r="A3507" t="str">
            <v>SJ-ZZN204R04L</v>
          </cell>
          <cell r="B3507" t="str">
            <v>SJ-ZZN204</v>
          </cell>
        </row>
        <row r="3508">
          <cell r="A3508" t="str">
            <v>SJ-ZZN204R04L-MX</v>
          </cell>
          <cell r="B3508" t="str">
            <v>SJ-ZZN204</v>
          </cell>
        </row>
        <row r="3509">
          <cell r="A3509" t="str">
            <v>SJ-ZZN204R0L</v>
          </cell>
          <cell r="B3509" t="str">
            <v>SJ-ZZN204</v>
          </cell>
        </row>
        <row r="3510">
          <cell r="A3510" t="str">
            <v>SJ-ZZN204R0L-GM</v>
          </cell>
          <cell r="B3510" t="str">
            <v>SJ-ZZN204</v>
          </cell>
        </row>
        <row r="3511">
          <cell r="A3511" t="str">
            <v>SJ-ZZN204R0XL</v>
          </cell>
          <cell r="B3511" t="str">
            <v>SJ-ZZN204</v>
          </cell>
        </row>
        <row r="3512">
          <cell r="A3512" t="str">
            <v>SJ-ZZN204R0XL-GM</v>
          </cell>
          <cell r="B3512" t="str">
            <v>SJ-ZZN204</v>
          </cell>
        </row>
        <row r="3513">
          <cell r="A3513" t="str">
            <v>SJ-ZZN204W0</v>
          </cell>
          <cell r="B3513" t="str">
            <v>SJ-ZZN204</v>
          </cell>
        </row>
        <row r="3514">
          <cell r="A3514" t="str">
            <v>SJ-ZZN204W02L</v>
          </cell>
          <cell r="B3514" t="str">
            <v>SJ-ZZN204</v>
          </cell>
        </row>
        <row r="3515">
          <cell r="A3515" t="str">
            <v>SJ-ZZN204W02L-GM</v>
          </cell>
          <cell r="B3515" t="str">
            <v>SJ-ZZN204</v>
          </cell>
        </row>
        <row r="3516">
          <cell r="A3516" t="str">
            <v>SJ-ZZN204W03L</v>
          </cell>
          <cell r="B3516" t="str">
            <v>SJ-ZZN204</v>
          </cell>
        </row>
        <row r="3517">
          <cell r="A3517" t="str">
            <v>SJ-ZZN204W03L-GM</v>
          </cell>
          <cell r="B3517" t="str">
            <v>SJ-ZZN204</v>
          </cell>
        </row>
        <row r="3518">
          <cell r="A3518" t="str">
            <v>SJ-ZZN204W04L</v>
          </cell>
          <cell r="B3518" t="str">
            <v>SJ-ZZN204</v>
          </cell>
        </row>
        <row r="3519">
          <cell r="A3519" t="str">
            <v>SJ-ZZN204W0-GM</v>
          </cell>
          <cell r="B3519" t="str">
            <v>SJ-ZZN204</v>
          </cell>
        </row>
        <row r="3520">
          <cell r="A3520" t="str">
            <v>SJ-ZZN204W0L</v>
          </cell>
          <cell r="B3520" t="str">
            <v>SJ-ZZN204</v>
          </cell>
        </row>
        <row r="3521">
          <cell r="A3521" t="str">
            <v>SJ-ZZN204W0L-GM</v>
          </cell>
          <cell r="B3521" t="str">
            <v>SJ-ZZN204</v>
          </cell>
        </row>
        <row r="3522">
          <cell r="A3522" t="str">
            <v>SJ-ZZN204W0-MX</v>
          </cell>
          <cell r="B3522" t="str">
            <v>SJ-ZZN204</v>
          </cell>
        </row>
        <row r="3523">
          <cell r="A3523" t="str">
            <v>SJ-ZZN204W0XL</v>
          </cell>
          <cell r="B3523" t="str">
            <v>SJ-ZZN204</v>
          </cell>
        </row>
        <row r="3524">
          <cell r="A3524" t="str">
            <v>SJ-ZZN204W0XL-GM</v>
          </cell>
          <cell r="B3524" t="str">
            <v>SJ-ZZN204</v>
          </cell>
        </row>
        <row r="3525">
          <cell r="A3525" t="str">
            <v>SJ-ZZN204ZL-2XL</v>
          </cell>
          <cell r="B3525" t="str">
            <v>SJ-ZZN204</v>
          </cell>
        </row>
        <row r="3526">
          <cell r="A3526" t="str">
            <v>SJ-ZZN204ZL-2XL-GM</v>
          </cell>
          <cell r="B3526" t="str">
            <v>SJ-ZZN204</v>
          </cell>
        </row>
        <row r="3527">
          <cell r="A3527" t="str">
            <v>SJ-ZZN204ZL-L</v>
          </cell>
          <cell r="B3527" t="str">
            <v>SJ-ZZN204</v>
          </cell>
        </row>
        <row r="3528">
          <cell r="A3528" t="str">
            <v>SJ-ZZN204ZL-M</v>
          </cell>
          <cell r="B3528" t="str">
            <v>SJ-ZZN204</v>
          </cell>
        </row>
        <row r="3529">
          <cell r="A3529" t="str">
            <v>SJ-ZZN204ZL-S</v>
          </cell>
          <cell r="B3529" t="str">
            <v>SJ-ZZN204</v>
          </cell>
        </row>
        <row r="3530">
          <cell r="A3530" t="str">
            <v>SJ-ZZN204ZL-S-GM</v>
          </cell>
          <cell r="B3530" t="str">
            <v>SJ-ZZN204</v>
          </cell>
        </row>
        <row r="3531">
          <cell r="A3531" t="str">
            <v>SJ-ZZN204ZL-XL</v>
          </cell>
          <cell r="B3531" t="str">
            <v>SJ-ZZN204</v>
          </cell>
        </row>
        <row r="3532">
          <cell r="A3532" t="str">
            <v>SJ-ZZN204ZL-XS</v>
          </cell>
          <cell r="B3532" t="str">
            <v>SJ-ZZN204</v>
          </cell>
        </row>
        <row r="3533">
          <cell r="A3533" t="str">
            <v>SK-LY168-311-4E-L</v>
          </cell>
          <cell r="B3533" t="str">
            <v>SK-LY168</v>
          </cell>
        </row>
        <row r="3534">
          <cell r="A3534" t="str">
            <v>SK-LY168-311-4E-M</v>
          </cell>
          <cell r="B3534" t="str">
            <v>SK-LY168</v>
          </cell>
        </row>
        <row r="3535">
          <cell r="A3535" t="str">
            <v>SK-LY168-311-4E-XL</v>
          </cell>
          <cell r="B3535" t="str">
            <v>SK-LY168</v>
          </cell>
        </row>
        <row r="3536">
          <cell r="A3536" t="str">
            <v>SK-LY168-311-4F-L</v>
          </cell>
          <cell r="B3536" t="str">
            <v>SK-LY168</v>
          </cell>
        </row>
        <row r="3537">
          <cell r="A3537" t="str">
            <v>SK-LY168-311-4F-M</v>
          </cell>
          <cell r="B3537" t="str">
            <v>SK-LY168</v>
          </cell>
        </row>
        <row r="3538">
          <cell r="A3538" t="str">
            <v>SK-LY168-311-4F-XL</v>
          </cell>
          <cell r="B3538" t="str">
            <v>SK-LY168</v>
          </cell>
        </row>
        <row r="3539">
          <cell r="A3539" t="str">
            <v>SK-LY168-311-4H-L</v>
          </cell>
          <cell r="B3539" t="str">
            <v>SK-LY168</v>
          </cell>
        </row>
        <row r="3540">
          <cell r="A3540" t="str">
            <v>SK-LY168-311-4H-M</v>
          </cell>
          <cell r="B3540" t="str">
            <v>SK-LY168</v>
          </cell>
        </row>
        <row r="3541">
          <cell r="A3541" t="str">
            <v>SK-LY168-311-4H-XL</v>
          </cell>
          <cell r="B3541" t="str">
            <v>SK-LY168</v>
          </cell>
        </row>
        <row r="3542">
          <cell r="A3542" t="str">
            <v>SK-LY168-311-76A-L</v>
          </cell>
          <cell r="B3542" t="str">
            <v>SK-LY168</v>
          </cell>
        </row>
        <row r="3543">
          <cell r="A3543" t="str">
            <v>SK-LY168-311-76A-M</v>
          </cell>
          <cell r="B3543" t="str">
            <v>SK-LY168</v>
          </cell>
        </row>
        <row r="3544">
          <cell r="A3544" t="str">
            <v>SK-LY168-311-76A-XL</v>
          </cell>
          <cell r="B3544" t="str">
            <v>SK-LY168</v>
          </cell>
        </row>
        <row r="3545">
          <cell r="A3545" t="str">
            <v>SK-LY168-311-76C-L</v>
          </cell>
          <cell r="B3545" t="str">
            <v>SK-LY168</v>
          </cell>
        </row>
        <row r="3546">
          <cell r="A3546" t="str">
            <v>SK-LY168-311-76C-XL</v>
          </cell>
          <cell r="B3546" t="str">
            <v>SK-LY168</v>
          </cell>
        </row>
        <row r="3547">
          <cell r="A3547" t="str">
            <v>SK-LY168-311-76D-L</v>
          </cell>
          <cell r="B3547" t="str">
            <v>SK-LY168</v>
          </cell>
        </row>
        <row r="3548">
          <cell r="A3548" t="str">
            <v>SK-LY168-311-76D-M</v>
          </cell>
          <cell r="B3548" t="str">
            <v>SK-LY168</v>
          </cell>
        </row>
        <row r="3549">
          <cell r="A3549" t="str">
            <v>SK-LY168-311-76D-XL</v>
          </cell>
          <cell r="B3549" t="str">
            <v>SK-LY168</v>
          </cell>
        </row>
        <row r="3550">
          <cell r="A3550" t="str">
            <v>SK-LY168-HSJK-168A-L</v>
          </cell>
          <cell r="B3550" t="str">
            <v>SK-LY168</v>
          </cell>
        </row>
        <row r="3551">
          <cell r="A3551" t="str">
            <v>SK-LY168-HSJK-168A-M</v>
          </cell>
          <cell r="B3551" t="str">
            <v>SK-LY168</v>
          </cell>
        </row>
        <row r="3552">
          <cell r="A3552" t="str">
            <v>SK-LY168-HSJK-168A-XL</v>
          </cell>
          <cell r="B3552" t="str">
            <v>SK-LY168</v>
          </cell>
        </row>
        <row r="3553">
          <cell r="A3553" t="str">
            <v>SK-LY168-HSJK-168B-L</v>
          </cell>
          <cell r="B3553" t="str">
            <v>SK-LY168</v>
          </cell>
        </row>
        <row r="3554">
          <cell r="A3554" t="str">
            <v>SK-LY168-HSJK-168B-M</v>
          </cell>
          <cell r="B3554" t="str">
            <v>SK-LY168</v>
          </cell>
        </row>
        <row r="3555">
          <cell r="A3555" t="str">
            <v>SK-LY168-HSJK-168B-XL</v>
          </cell>
          <cell r="B3555" t="str">
            <v>SK-LY168</v>
          </cell>
        </row>
        <row r="3556">
          <cell r="A3556" t="str">
            <v>SK-LY168-HSJK-168C-L</v>
          </cell>
          <cell r="B3556" t="str">
            <v>SK-LY168</v>
          </cell>
        </row>
        <row r="3557">
          <cell r="A3557" t="str">
            <v>SK-LY168-HSJK-168C-M</v>
          </cell>
          <cell r="B3557" t="str">
            <v>SK-LY168</v>
          </cell>
        </row>
        <row r="3558">
          <cell r="A3558" t="str">
            <v>SK-LY168-HSJK-168C-XL</v>
          </cell>
          <cell r="B3558" t="str">
            <v>SK-LY168</v>
          </cell>
        </row>
        <row r="3559">
          <cell r="A3559" t="str">
            <v>SK-LY168-K77-1-M</v>
          </cell>
          <cell r="B3559" t="str">
            <v>SK-LY168</v>
          </cell>
        </row>
        <row r="3560">
          <cell r="A3560" t="str">
            <v>SK-LY168-K77-1-XL</v>
          </cell>
          <cell r="B3560" t="str">
            <v>SK-LY168</v>
          </cell>
        </row>
        <row r="3561">
          <cell r="A3561" t="str">
            <v>SK-LY168-K77-2-L</v>
          </cell>
          <cell r="B3561" t="str">
            <v>SK-LY168</v>
          </cell>
        </row>
        <row r="3562">
          <cell r="A3562" t="str">
            <v>SK-LY168-K77-2-M</v>
          </cell>
          <cell r="B3562" t="str">
            <v>SK-LY168</v>
          </cell>
        </row>
        <row r="3563">
          <cell r="A3563" t="str">
            <v>SK-LY168-K77-2-XL</v>
          </cell>
          <cell r="B3563" t="str">
            <v>SK-LY168</v>
          </cell>
        </row>
        <row r="3564">
          <cell r="A3564" t="str">
            <v>SK-LY168-K77-4-L</v>
          </cell>
          <cell r="B3564" t="str">
            <v>SK-LY168</v>
          </cell>
        </row>
        <row r="3565">
          <cell r="A3565" t="str">
            <v>SK-LY168-K77-4-M</v>
          </cell>
          <cell r="B3565" t="str">
            <v>SK-LY168</v>
          </cell>
        </row>
        <row r="3566">
          <cell r="A3566" t="str">
            <v>SK-LY168-K77-4-XL</v>
          </cell>
          <cell r="B3566" t="str">
            <v>SK-LY168</v>
          </cell>
        </row>
        <row r="3567">
          <cell r="A3567" t="str">
            <v>SK-SB012-GR-L</v>
          </cell>
          <cell r="B3567" t="str">
            <v>SK-SB012</v>
          </cell>
        </row>
        <row r="3568">
          <cell r="A3568" t="str">
            <v>SK-SB012-GR-M</v>
          </cell>
          <cell r="B3568" t="str">
            <v>SK-SB012</v>
          </cell>
        </row>
        <row r="3569">
          <cell r="A3569" t="str">
            <v>SK-SB012-GR-XL</v>
          </cell>
          <cell r="B3569" t="str">
            <v>SK-SB012</v>
          </cell>
        </row>
        <row r="3570">
          <cell r="A3570" t="str">
            <v>SK-SB012-KK-L</v>
          </cell>
          <cell r="B3570" t="str">
            <v>SK-SB012</v>
          </cell>
        </row>
        <row r="3571">
          <cell r="A3571" t="str">
            <v>SK-SB012-KK-M</v>
          </cell>
          <cell r="B3571" t="str">
            <v>SK-SB012</v>
          </cell>
        </row>
        <row r="3572">
          <cell r="A3572" t="str">
            <v>SK-SB012-KK-XL</v>
          </cell>
          <cell r="B3572" t="str">
            <v>SK-SB012</v>
          </cell>
        </row>
        <row r="3573">
          <cell r="A3573" t="str">
            <v>SK-SB012-NY-L</v>
          </cell>
          <cell r="B3573" t="str">
            <v>SK-SB012</v>
          </cell>
        </row>
        <row r="3574">
          <cell r="A3574" t="str">
            <v>SK-SB012-NY-M</v>
          </cell>
          <cell r="B3574" t="str">
            <v>SK-SB012</v>
          </cell>
        </row>
        <row r="3575">
          <cell r="A3575" t="str">
            <v>SK-SB012-NY-XL</v>
          </cell>
          <cell r="B3575" t="str">
            <v>SK-SB012</v>
          </cell>
        </row>
        <row r="3576">
          <cell r="A3576" t="str">
            <v>SK-SB012-WT-L</v>
          </cell>
          <cell r="B3576" t="str">
            <v>SK-SB012</v>
          </cell>
        </row>
        <row r="3577">
          <cell r="A3577" t="str">
            <v>SK-SB012-WT-M</v>
          </cell>
          <cell r="B3577" t="str">
            <v>SK-SB012</v>
          </cell>
        </row>
        <row r="3578">
          <cell r="A3578" t="str">
            <v>SK-SB012-WT-XL</v>
          </cell>
          <cell r="B3578" t="str">
            <v>SK-SB012</v>
          </cell>
        </row>
        <row r="3579">
          <cell r="A3579" t="str">
            <v>SKS-B301</v>
          </cell>
          <cell r="B3579" t="str">
            <v>SKS-B301</v>
          </cell>
        </row>
        <row r="3580">
          <cell r="A3580" t="str">
            <v>SKS-B334</v>
          </cell>
          <cell r="B3580" t="str">
            <v>SKS-B334</v>
          </cell>
        </row>
        <row r="3581">
          <cell r="A3581" t="str">
            <v>SND-IUYL00B-W0</v>
          </cell>
          <cell r="B3581" t="str">
            <v>SND-IUYL00B</v>
          </cell>
        </row>
        <row r="3582">
          <cell r="A3582" t="str">
            <v>SND-IUYLZAK-BE</v>
          </cell>
          <cell r="B3582" t="str">
            <v>SND-IUYLZAK</v>
          </cell>
        </row>
        <row r="3583">
          <cell r="A3583" t="str">
            <v>SNTG-CLBOS-M</v>
          </cell>
          <cell r="B3583" t="str">
            <v>SNTG-CLBOS</v>
          </cell>
        </row>
        <row r="3584">
          <cell r="A3584" t="str">
            <v>SQ-XLEJ-496F</v>
          </cell>
          <cell r="B3584" t="str">
            <v>SQ-XLEJ</v>
          </cell>
        </row>
        <row r="3585">
          <cell r="A3585" t="str">
            <v>ST005-BK-2XL</v>
          </cell>
          <cell r="B3585" t="str">
            <v>ST005</v>
          </cell>
        </row>
        <row r="3586">
          <cell r="A3586" t="str">
            <v>ST005-BK-L</v>
          </cell>
          <cell r="B3586" t="str">
            <v>ST005</v>
          </cell>
        </row>
        <row r="3587">
          <cell r="A3587" t="str">
            <v>ST005-BK-M</v>
          </cell>
          <cell r="B3587" t="str">
            <v>ST005</v>
          </cell>
        </row>
        <row r="3588">
          <cell r="A3588" t="str">
            <v>ST005-BK-S</v>
          </cell>
          <cell r="B3588" t="str">
            <v>ST005</v>
          </cell>
        </row>
        <row r="3589">
          <cell r="A3589" t="str">
            <v>ST005-BK-XL</v>
          </cell>
          <cell r="B3589" t="str">
            <v>ST005</v>
          </cell>
        </row>
        <row r="3590">
          <cell r="A3590" t="str">
            <v>ST005-BL1-2XL</v>
          </cell>
          <cell r="B3590" t="str">
            <v>ST005</v>
          </cell>
        </row>
        <row r="3591">
          <cell r="A3591" t="str">
            <v>ST005-BL1-L</v>
          </cell>
          <cell r="B3591" t="str">
            <v>ST005</v>
          </cell>
        </row>
        <row r="3592">
          <cell r="A3592" t="str">
            <v>ST005-BL1-M</v>
          </cell>
          <cell r="B3592" t="str">
            <v>ST005</v>
          </cell>
        </row>
        <row r="3593">
          <cell r="A3593" t="str">
            <v>ST005-BL1-S</v>
          </cell>
          <cell r="B3593" t="str">
            <v>ST005</v>
          </cell>
        </row>
        <row r="3594">
          <cell r="A3594" t="str">
            <v>ST005-BL1-XL</v>
          </cell>
          <cell r="B3594" t="str">
            <v>ST005</v>
          </cell>
        </row>
        <row r="3595">
          <cell r="A3595" t="str">
            <v>ST005-BL2-2XL</v>
          </cell>
          <cell r="B3595" t="str">
            <v>ST005</v>
          </cell>
        </row>
        <row r="3596">
          <cell r="A3596" t="str">
            <v>ST005-BL2-L</v>
          </cell>
          <cell r="B3596" t="str">
            <v>ST005</v>
          </cell>
        </row>
        <row r="3597">
          <cell r="A3597" t="str">
            <v>ST005-BL2-M</v>
          </cell>
          <cell r="B3597" t="str">
            <v>ST005</v>
          </cell>
        </row>
        <row r="3598">
          <cell r="A3598" t="str">
            <v>ST005-BL2-S</v>
          </cell>
          <cell r="B3598" t="str">
            <v>ST005</v>
          </cell>
        </row>
        <row r="3599">
          <cell r="A3599" t="str">
            <v>ST005-BL2-XL</v>
          </cell>
          <cell r="B3599" t="str">
            <v>ST005</v>
          </cell>
        </row>
        <row r="3600">
          <cell r="A3600" t="str">
            <v>ST005-GN-2XL</v>
          </cell>
          <cell r="B3600" t="str">
            <v>ST005</v>
          </cell>
        </row>
        <row r="3601">
          <cell r="A3601" t="str">
            <v>ST005-GN-L</v>
          </cell>
          <cell r="B3601" t="str">
            <v>ST005</v>
          </cell>
        </row>
        <row r="3602">
          <cell r="A3602" t="str">
            <v>ST005-GN-M</v>
          </cell>
          <cell r="B3602" t="str">
            <v>ST005</v>
          </cell>
        </row>
        <row r="3603">
          <cell r="A3603" t="str">
            <v>ST005-GN-S</v>
          </cell>
          <cell r="B3603" t="str">
            <v>ST005</v>
          </cell>
        </row>
        <row r="3604">
          <cell r="A3604" t="str">
            <v>ST005-GN-XL</v>
          </cell>
          <cell r="B3604" t="str">
            <v>ST005</v>
          </cell>
        </row>
        <row r="3605">
          <cell r="A3605" t="str">
            <v>ST005-RD1-2XL</v>
          </cell>
          <cell r="B3605" t="str">
            <v>ST005</v>
          </cell>
        </row>
        <row r="3606">
          <cell r="A3606" t="str">
            <v>ST005-RD1-L</v>
          </cell>
          <cell r="B3606" t="str">
            <v>ST005</v>
          </cell>
        </row>
        <row r="3607">
          <cell r="A3607" t="str">
            <v>ST005-RD1-M</v>
          </cell>
          <cell r="B3607" t="str">
            <v>ST005</v>
          </cell>
        </row>
        <row r="3608">
          <cell r="A3608" t="str">
            <v>ST005-RD1-S</v>
          </cell>
          <cell r="B3608" t="str">
            <v>ST005</v>
          </cell>
        </row>
        <row r="3609">
          <cell r="A3609" t="str">
            <v>ST005-RD1-XL</v>
          </cell>
          <cell r="B3609" t="str">
            <v>ST005</v>
          </cell>
        </row>
        <row r="3610">
          <cell r="A3610" t="str">
            <v>ST005-RD-2XL</v>
          </cell>
          <cell r="B3610" t="str">
            <v>ST005</v>
          </cell>
        </row>
        <row r="3611">
          <cell r="A3611" t="str">
            <v>ST005-RD-L</v>
          </cell>
          <cell r="B3611" t="str">
            <v>ST005</v>
          </cell>
        </row>
        <row r="3612">
          <cell r="A3612" t="str">
            <v>ST005-RD-M</v>
          </cell>
          <cell r="B3612" t="str">
            <v>ST005</v>
          </cell>
        </row>
        <row r="3613">
          <cell r="A3613" t="str">
            <v>ST005-RD-S</v>
          </cell>
          <cell r="B3613" t="str">
            <v>ST005</v>
          </cell>
        </row>
        <row r="3614">
          <cell r="A3614" t="str">
            <v>ST005-RD-XL</v>
          </cell>
          <cell r="B3614" t="str">
            <v>ST005</v>
          </cell>
        </row>
        <row r="3615">
          <cell r="A3615" t="str">
            <v>ST005-YL-2XL</v>
          </cell>
          <cell r="B3615" t="str">
            <v>ST005</v>
          </cell>
        </row>
        <row r="3616">
          <cell r="A3616" t="str">
            <v>ST005-YL-L</v>
          </cell>
          <cell r="B3616" t="str">
            <v>ST005</v>
          </cell>
        </row>
        <row r="3617">
          <cell r="A3617" t="str">
            <v>ST005-YL-M</v>
          </cell>
          <cell r="B3617" t="str">
            <v>ST005</v>
          </cell>
        </row>
        <row r="3618">
          <cell r="A3618" t="str">
            <v>ST005-YL-S</v>
          </cell>
          <cell r="B3618" t="str">
            <v>ST005</v>
          </cell>
        </row>
        <row r="3619">
          <cell r="A3619" t="str">
            <v>ST005-YL-XL</v>
          </cell>
          <cell r="B3619" t="str">
            <v>ST005</v>
          </cell>
        </row>
        <row r="3620">
          <cell r="A3620" t="str">
            <v>ST006-BK-2XL</v>
          </cell>
          <cell r="B3620" t="str">
            <v>ST006</v>
          </cell>
        </row>
        <row r="3621">
          <cell r="A3621" t="str">
            <v>ST006-BK-L</v>
          </cell>
          <cell r="B3621" t="str">
            <v>ST006</v>
          </cell>
        </row>
        <row r="3622">
          <cell r="A3622" t="str">
            <v>ST006-BK-M</v>
          </cell>
          <cell r="B3622" t="str">
            <v>ST006</v>
          </cell>
        </row>
        <row r="3623">
          <cell r="A3623" t="str">
            <v>ST006-BK-S</v>
          </cell>
          <cell r="B3623" t="str">
            <v>ST006</v>
          </cell>
        </row>
        <row r="3624">
          <cell r="A3624" t="str">
            <v>ST006-BK-XL</v>
          </cell>
          <cell r="B3624" t="str">
            <v>ST006</v>
          </cell>
        </row>
        <row r="3625">
          <cell r="A3625" t="str">
            <v>ST006-BL2-2XL</v>
          </cell>
          <cell r="B3625" t="str">
            <v>ST006</v>
          </cell>
        </row>
        <row r="3626">
          <cell r="A3626" t="str">
            <v>ST006-BL2-L</v>
          </cell>
          <cell r="B3626" t="str">
            <v>ST006</v>
          </cell>
        </row>
        <row r="3627">
          <cell r="A3627" t="str">
            <v>ST006-BL2-M</v>
          </cell>
          <cell r="B3627" t="str">
            <v>ST006</v>
          </cell>
        </row>
        <row r="3628">
          <cell r="A3628" t="str">
            <v>ST006-BL2-S</v>
          </cell>
          <cell r="B3628" t="str">
            <v>ST006</v>
          </cell>
        </row>
        <row r="3629">
          <cell r="A3629" t="str">
            <v>ST006-BL2-XL</v>
          </cell>
          <cell r="B3629" t="str">
            <v>ST006</v>
          </cell>
        </row>
        <row r="3630">
          <cell r="A3630" t="str">
            <v>ST006-BL-2XL</v>
          </cell>
          <cell r="B3630" t="str">
            <v>ST006</v>
          </cell>
        </row>
        <row r="3631">
          <cell r="A3631" t="str">
            <v>ST006-BL-L</v>
          </cell>
          <cell r="B3631" t="str">
            <v>ST006</v>
          </cell>
        </row>
        <row r="3632">
          <cell r="A3632" t="str">
            <v>ST006-BL-M</v>
          </cell>
          <cell r="B3632" t="str">
            <v>ST006</v>
          </cell>
        </row>
        <row r="3633">
          <cell r="A3633" t="str">
            <v>ST006-BL-S</v>
          </cell>
          <cell r="B3633" t="str">
            <v>ST006</v>
          </cell>
        </row>
        <row r="3634">
          <cell r="A3634" t="str">
            <v>ST006-BL-XL</v>
          </cell>
          <cell r="B3634" t="str">
            <v>ST006</v>
          </cell>
        </row>
        <row r="3635">
          <cell r="A3635" t="str">
            <v>ST006-CF-2XL</v>
          </cell>
          <cell r="B3635" t="str">
            <v>ST006</v>
          </cell>
        </row>
        <row r="3636">
          <cell r="A3636" t="str">
            <v>ST006-CF-L</v>
          </cell>
          <cell r="B3636" t="str">
            <v>ST006</v>
          </cell>
        </row>
        <row r="3637">
          <cell r="A3637" t="str">
            <v>ST006-CF-M</v>
          </cell>
          <cell r="B3637" t="str">
            <v>ST006</v>
          </cell>
        </row>
        <row r="3638">
          <cell r="A3638" t="str">
            <v>ST006-CF-S</v>
          </cell>
          <cell r="B3638" t="str">
            <v>ST006</v>
          </cell>
        </row>
        <row r="3639">
          <cell r="A3639" t="str">
            <v>ST006-CF-XL</v>
          </cell>
          <cell r="B3639" t="str">
            <v>ST006</v>
          </cell>
        </row>
        <row r="3640">
          <cell r="A3640" t="str">
            <v>ST006-GN-2XL</v>
          </cell>
          <cell r="B3640" t="str">
            <v>ST006</v>
          </cell>
        </row>
        <row r="3641">
          <cell r="A3641" t="str">
            <v>ST006-GN-L</v>
          </cell>
          <cell r="B3641" t="str">
            <v>ST006</v>
          </cell>
        </row>
        <row r="3642">
          <cell r="A3642" t="str">
            <v>ST006-GN-M</v>
          </cell>
          <cell r="B3642" t="str">
            <v>ST006</v>
          </cell>
        </row>
        <row r="3643">
          <cell r="A3643" t="str">
            <v>ST006-GN-S</v>
          </cell>
          <cell r="B3643" t="str">
            <v>ST006</v>
          </cell>
        </row>
        <row r="3644">
          <cell r="A3644" t="str">
            <v>ST006-GN-XL</v>
          </cell>
          <cell r="B3644" t="str">
            <v>ST006</v>
          </cell>
        </row>
        <row r="3645">
          <cell r="A3645" t="str">
            <v>ST006-RD1-2XL</v>
          </cell>
          <cell r="B3645" t="str">
            <v>ST006</v>
          </cell>
        </row>
        <row r="3646">
          <cell r="A3646" t="str">
            <v>ST006-RD1-L</v>
          </cell>
          <cell r="B3646" t="str">
            <v>ST006</v>
          </cell>
        </row>
        <row r="3647">
          <cell r="A3647" t="str">
            <v>ST006-RD1-M</v>
          </cell>
          <cell r="B3647" t="str">
            <v>ST006</v>
          </cell>
        </row>
        <row r="3648">
          <cell r="A3648" t="str">
            <v>ST006-RD1-S</v>
          </cell>
          <cell r="B3648" t="str">
            <v>ST006</v>
          </cell>
        </row>
        <row r="3649">
          <cell r="A3649" t="str">
            <v>ST006-RD1-XL</v>
          </cell>
          <cell r="B3649" t="str">
            <v>ST006</v>
          </cell>
        </row>
        <row r="3650">
          <cell r="A3650" t="str">
            <v>ST006-RD2-2XL</v>
          </cell>
          <cell r="B3650" t="str">
            <v>ST006</v>
          </cell>
        </row>
        <row r="3651">
          <cell r="A3651" t="str">
            <v>ST006-RD2-L</v>
          </cell>
          <cell r="B3651" t="str">
            <v>ST006</v>
          </cell>
        </row>
        <row r="3652">
          <cell r="A3652" t="str">
            <v>ST006-RD2-M</v>
          </cell>
          <cell r="B3652" t="str">
            <v>ST006</v>
          </cell>
        </row>
        <row r="3653">
          <cell r="A3653" t="str">
            <v>ST006-RD2-S</v>
          </cell>
          <cell r="B3653" t="str">
            <v>ST006</v>
          </cell>
        </row>
        <row r="3654">
          <cell r="A3654" t="str">
            <v>ST006-RD2-XL</v>
          </cell>
          <cell r="B3654" t="str">
            <v>ST006</v>
          </cell>
        </row>
        <row r="3655">
          <cell r="A3655" t="str">
            <v>ST082-G0-L</v>
          </cell>
          <cell r="B3655" t="str">
            <v>ST082</v>
          </cell>
        </row>
        <row r="3656">
          <cell r="A3656" t="str">
            <v>ST082-G0-M</v>
          </cell>
          <cell r="B3656" t="str">
            <v>ST082</v>
          </cell>
        </row>
        <row r="3657">
          <cell r="A3657" t="str">
            <v>ST082-G0-S</v>
          </cell>
          <cell r="B3657" t="str">
            <v>ST082</v>
          </cell>
        </row>
        <row r="3658">
          <cell r="A3658" t="str">
            <v>ST082-G0-XL</v>
          </cell>
          <cell r="B3658" t="str">
            <v>ST082</v>
          </cell>
        </row>
        <row r="3659">
          <cell r="A3659" t="str">
            <v>ST082-G0-XXL</v>
          </cell>
          <cell r="B3659" t="str">
            <v>ST082</v>
          </cell>
        </row>
        <row r="3660">
          <cell r="A3660" t="str">
            <v>ST082-K0-L</v>
          </cell>
          <cell r="B3660" t="str">
            <v>ST082</v>
          </cell>
        </row>
        <row r="3661">
          <cell r="A3661" t="str">
            <v>ST082-K0-M</v>
          </cell>
          <cell r="B3661" t="str">
            <v>ST082</v>
          </cell>
        </row>
        <row r="3662">
          <cell r="A3662" t="str">
            <v>ST082-K0-S</v>
          </cell>
          <cell r="B3662" t="str">
            <v>ST082</v>
          </cell>
        </row>
        <row r="3663">
          <cell r="A3663" t="str">
            <v>ST082-K0-XL</v>
          </cell>
          <cell r="B3663" t="str">
            <v>ST082</v>
          </cell>
        </row>
        <row r="3664">
          <cell r="A3664" t="str">
            <v>ST082-K0-XXL</v>
          </cell>
          <cell r="B3664" t="str">
            <v>ST082</v>
          </cell>
        </row>
        <row r="3665">
          <cell r="A3665" t="str">
            <v>ST082-R0-L</v>
          </cell>
          <cell r="B3665" t="str">
            <v>ST082</v>
          </cell>
        </row>
        <row r="3666">
          <cell r="A3666" t="str">
            <v>ST082-R0-M</v>
          </cell>
          <cell r="B3666" t="str">
            <v>ST082</v>
          </cell>
        </row>
        <row r="3667">
          <cell r="A3667" t="str">
            <v>ST082-R0-S</v>
          </cell>
          <cell r="B3667" t="str">
            <v>ST082</v>
          </cell>
        </row>
        <row r="3668">
          <cell r="A3668" t="str">
            <v>ST082-R0-XL</v>
          </cell>
          <cell r="B3668" t="str">
            <v>ST082</v>
          </cell>
        </row>
        <row r="3669">
          <cell r="A3669" t="str">
            <v>ST082-R0-XXL</v>
          </cell>
          <cell r="B3669" t="str">
            <v>ST082</v>
          </cell>
        </row>
        <row r="3670">
          <cell r="A3670" t="str">
            <v>ST084-H10-L</v>
          </cell>
          <cell r="B3670" t="str">
            <v>ST084</v>
          </cell>
        </row>
        <row r="3671">
          <cell r="A3671" t="str">
            <v>ST084-H10-M</v>
          </cell>
          <cell r="B3671" t="str">
            <v>ST084</v>
          </cell>
        </row>
        <row r="3672">
          <cell r="A3672" t="str">
            <v>ST084-H10-S</v>
          </cell>
          <cell r="B3672" t="str">
            <v>ST084</v>
          </cell>
        </row>
        <row r="3673">
          <cell r="A3673" t="str">
            <v>ST084-H10-XL</v>
          </cell>
          <cell r="B3673" t="str">
            <v>ST084</v>
          </cell>
        </row>
        <row r="3674">
          <cell r="A3674" t="str">
            <v>ST084-H10-XXL</v>
          </cell>
          <cell r="B3674" t="str">
            <v>ST084</v>
          </cell>
        </row>
        <row r="3675">
          <cell r="A3675" t="str">
            <v>ST084-H12-L</v>
          </cell>
          <cell r="B3675" t="str">
            <v>ST084</v>
          </cell>
        </row>
        <row r="3676">
          <cell r="A3676" t="str">
            <v>ST084-H12-M</v>
          </cell>
          <cell r="B3676" t="str">
            <v>ST084</v>
          </cell>
        </row>
        <row r="3677">
          <cell r="A3677" t="str">
            <v>ST084-H12-S</v>
          </cell>
          <cell r="B3677" t="str">
            <v>ST084</v>
          </cell>
        </row>
        <row r="3678">
          <cell r="A3678" t="str">
            <v>ST084-H12-XL</v>
          </cell>
          <cell r="B3678" t="str">
            <v>ST084</v>
          </cell>
        </row>
        <row r="3679">
          <cell r="A3679" t="str">
            <v>ST084-H12-XS</v>
          </cell>
          <cell r="B3679" t="str">
            <v>ST084</v>
          </cell>
        </row>
        <row r="3680">
          <cell r="A3680" t="str">
            <v>ST084-H12-XXL</v>
          </cell>
          <cell r="B3680" t="str">
            <v>ST084</v>
          </cell>
        </row>
        <row r="3681">
          <cell r="A3681" t="str">
            <v>ST084-H15-L</v>
          </cell>
          <cell r="B3681" t="str">
            <v>ST084</v>
          </cell>
        </row>
        <row r="3682">
          <cell r="A3682" t="str">
            <v>ST084-H15-M</v>
          </cell>
          <cell r="B3682" t="str">
            <v>ST084</v>
          </cell>
        </row>
        <row r="3683">
          <cell r="A3683" t="str">
            <v>ST084-H15-S</v>
          </cell>
          <cell r="B3683" t="str">
            <v>ST084</v>
          </cell>
        </row>
        <row r="3684">
          <cell r="A3684" t="str">
            <v>ST084-H15-XL</v>
          </cell>
          <cell r="B3684" t="str">
            <v>ST084</v>
          </cell>
        </row>
        <row r="3685">
          <cell r="A3685" t="str">
            <v>ST084-H15-XS</v>
          </cell>
          <cell r="B3685" t="str">
            <v>ST084</v>
          </cell>
        </row>
        <row r="3686">
          <cell r="A3686" t="str">
            <v>ST084-H15-XXL</v>
          </cell>
          <cell r="B3686" t="str">
            <v>ST084</v>
          </cell>
        </row>
        <row r="3687">
          <cell r="A3687" t="str">
            <v>ST084-H16-L</v>
          </cell>
          <cell r="B3687" t="str">
            <v>ST084</v>
          </cell>
        </row>
        <row r="3688">
          <cell r="A3688" t="str">
            <v>ST084-H16-M</v>
          </cell>
          <cell r="B3688" t="str">
            <v>ST084</v>
          </cell>
        </row>
        <row r="3689">
          <cell r="A3689" t="str">
            <v>ST084-H16-S</v>
          </cell>
          <cell r="B3689" t="str">
            <v>ST084</v>
          </cell>
        </row>
        <row r="3690">
          <cell r="A3690" t="str">
            <v>ST084-H16-XL</v>
          </cell>
          <cell r="B3690" t="str">
            <v>ST084</v>
          </cell>
        </row>
        <row r="3691">
          <cell r="A3691" t="str">
            <v>ST084-H16-XXL</v>
          </cell>
          <cell r="B3691" t="str">
            <v>ST084</v>
          </cell>
        </row>
        <row r="3692">
          <cell r="A3692" t="str">
            <v>ST084-H1-L</v>
          </cell>
          <cell r="B3692" t="str">
            <v>ST084</v>
          </cell>
        </row>
        <row r="3693">
          <cell r="A3693" t="str">
            <v>ST084-H1-M</v>
          </cell>
          <cell r="B3693" t="str">
            <v>ST084</v>
          </cell>
        </row>
        <row r="3694">
          <cell r="A3694" t="str">
            <v>ST084-H1-S</v>
          </cell>
          <cell r="B3694" t="str">
            <v>ST084</v>
          </cell>
        </row>
        <row r="3695">
          <cell r="A3695" t="str">
            <v>ST084-H1-XL</v>
          </cell>
          <cell r="B3695" t="str">
            <v>ST084</v>
          </cell>
        </row>
        <row r="3696">
          <cell r="A3696" t="str">
            <v>ST084-H1-XXL</v>
          </cell>
          <cell r="B3696" t="str">
            <v>ST084</v>
          </cell>
        </row>
        <row r="3697">
          <cell r="A3697" t="str">
            <v>ST084-H2-L</v>
          </cell>
          <cell r="B3697" t="str">
            <v>ST084</v>
          </cell>
        </row>
        <row r="3698">
          <cell r="A3698" t="str">
            <v>ST084-H2-M</v>
          </cell>
          <cell r="B3698" t="str">
            <v>ST084</v>
          </cell>
        </row>
        <row r="3699">
          <cell r="A3699" t="str">
            <v>ST084-H2-S</v>
          </cell>
          <cell r="B3699" t="str">
            <v>ST084</v>
          </cell>
        </row>
        <row r="3700">
          <cell r="A3700" t="str">
            <v>ST084-H2-XL</v>
          </cell>
          <cell r="B3700" t="str">
            <v>ST084</v>
          </cell>
        </row>
        <row r="3701">
          <cell r="A3701" t="str">
            <v>ST084-H2-XXL</v>
          </cell>
          <cell r="B3701" t="str">
            <v>ST084</v>
          </cell>
        </row>
        <row r="3702">
          <cell r="A3702" t="str">
            <v>ST084-H3-L</v>
          </cell>
          <cell r="B3702" t="str">
            <v>ST084</v>
          </cell>
        </row>
        <row r="3703">
          <cell r="A3703" t="str">
            <v>ST084-H3-M</v>
          </cell>
          <cell r="B3703" t="str">
            <v>ST084</v>
          </cell>
        </row>
        <row r="3704">
          <cell r="A3704" t="str">
            <v>ST084-H3-S</v>
          </cell>
          <cell r="B3704" t="str">
            <v>ST084</v>
          </cell>
        </row>
        <row r="3705">
          <cell r="A3705" t="str">
            <v>ST084-H3-XL</v>
          </cell>
          <cell r="B3705" t="str">
            <v>ST084</v>
          </cell>
        </row>
        <row r="3706">
          <cell r="A3706" t="str">
            <v>ST084-H3-XS</v>
          </cell>
          <cell r="B3706" t="str">
            <v>ST084</v>
          </cell>
        </row>
        <row r="3707">
          <cell r="A3707" t="str">
            <v>ST084-H3-XXL</v>
          </cell>
          <cell r="B3707" t="str">
            <v>ST084</v>
          </cell>
        </row>
        <row r="3708">
          <cell r="A3708" t="str">
            <v>ST084-H4-L</v>
          </cell>
          <cell r="B3708" t="str">
            <v>ST084</v>
          </cell>
        </row>
        <row r="3709">
          <cell r="A3709" t="str">
            <v>ST084-H4-M</v>
          </cell>
          <cell r="B3709" t="str">
            <v>ST084</v>
          </cell>
        </row>
        <row r="3710">
          <cell r="A3710" t="str">
            <v>ST084-H4-S</v>
          </cell>
          <cell r="B3710" t="str">
            <v>ST084</v>
          </cell>
        </row>
        <row r="3711">
          <cell r="A3711" t="str">
            <v>ST084-H4-XL</v>
          </cell>
          <cell r="B3711" t="str">
            <v>ST084</v>
          </cell>
        </row>
        <row r="3712">
          <cell r="A3712" t="str">
            <v>ST084-H4-XXL</v>
          </cell>
          <cell r="B3712" t="str">
            <v>ST084</v>
          </cell>
        </row>
        <row r="3713">
          <cell r="A3713" t="str">
            <v>ST084-H6-L</v>
          </cell>
          <cell r="B3713" t="str">
            <v>ST084</v>
          </cell>
        </row>
        <row r="3714">
          <cell r="A3714" t="str">
            <v>ST084-H6-M</v>
          </cell>
          <cell r="B3714" t="str">
            <v>ST084</v>
          </cell>
        </row>
        <row r="3715">
          <cell r="A3715" t="str">
            <v>ST084-H6-S</v>
          </cell>
          <cell r="B3715" t="str">
            <v>ST084</v>
          </cell>
        </row>
        <row r="3716">
          <cell r="A3716" t="str">
            <v>ST084-H6-XL</v>
          </cell>
          <cell r="B3716" t="str">
            <v>ST084</v>
          </cell>
        </row>
        <row r="3717">
          <cell r="A3717" t="str">
            <v>ST084-H6-XXL</v>
          </cell>
          <cell r="B3717" t="str">
            <v>ST084</v>
          </cell>
        </row>
        <row r="3718">
          <cell r="A3718" t="str">
            <v>ST085-G912-L</v>
          </cell>
          <cell r="B3718" t="str">
            <v>ST085</v>
          </cell>
        </row>
        <row r="3719">
          <cell r="A3719" t="str">
            <v>ST085-G912-M</v>
          </cell>
          <cell r="B3719" t="str">
            <v>ST085</v>
          </cell>
        </row>
        <row r="3720">
          <cell r="A3720" t="str">
            <v>ST085-G912-S</v>
          </cell>
          <cell r="B3720" t="str">
            <v>ST085</v>
          </cell>
        </row>
        <row r="3721">
          <cell r="A3721" t="str">
            <v>ST085-G912-XL</v>
          </cell>
          <cell r="B3721" t="str">
            <v>ST085</v>
          </cell>
        </row>
        <row r="3722">
          <cell r="A3722" t="str">
            <v>ST085-G912-XXL</v>
          </cell>
          <cell r="B3722" t="str">
            <v>ST085</v>
          </cell>
        </row>
        <row r="3723">
          <cell r="A3723" t="str">
            <v>ST085-LB916-L</v>
          </cell>
          <cell r="B3723" t="str">
            <v>ST085</v>
          </cell>
        </row>
        <row r="3724">
          <cell r="A3724" t="str">
            <v>ST085-LB916-M</v>
          </cell>
          <cell r="B3724" t="str">
            <v>ST085</v>
          </cell>
        </row>
        <row r="3725">
          <cell r="A3725" t="str">
            <v>ST085-LB916-S</v>
          </cell>
          <cell r="B3725" t="str">
            <v>ST085</v>
          </cell>
        </row>
        <row r="3726">
          <cell r="A3726" t="str">
            <v>ST085-LB916-XL</v>
          </cell>
          <cell r="B3726" t="str">
            <v>ST085</v>
          </cell>
        </row>
        <row r="3727">
          <cell r="A3727" t="str">
            <v>ST085-LB916-XXL</v>
          </cell>
          <cell r="B3727" t="str">
            <v>ST085</v>
          </cell>
        </row>
        <row r="3728">
          <cell r="A3728" t="str">
            <v>ST085-LG907-L</v>
          </cell>
          <cell r="B3728" t="str">
            <v>ST085</v>
          </cell>
        </row>
        <row r="3729">
          <cell r="A3729" t="str">
            <v>ST085-LG907-M</v>
          </cell>
          <cell r="B3729" t="str">
            <v>ST085</v>
          </cell>
        </row>
        <row r="3730">
          <cell r="A3730" t="str">
            <v>ST085-LG907-S</v>
          </cell>
          <cell r="B3730" t="str">
            <v>ST085</v>
          </cell>
        </row>
        <row r="3731">
          <cell r="A3731" t="str">
            <v>ST085-LG907-XL</v>
          </cell>
          <cell r="B3731" t="str">
            <v>ST085</v>
          </cell>
        </row>
        <row r="3732">
          <cell r="A3732" t="str">
            <v>ST085-LG907-XXL</v>
          </cell>
          <cell r="B3732" t="str">
            <v>ST085</v>
          </cell>
        </row>
        <row r="3733">
          <cell r="A3733" t="str">
            <v>ST085-PI908-L</v>
          </cell>
          <cell r="B3733" t="str">
            <v>ST085</v>
          </cell>
        </row>
        <row r="3734">
          <cell r="A3734" t="str">
            <v>ST085-PI908-M</v>
          </cell>
          <cell r="B3734" t="str">
            <v>ST085</v>
          </cell>
        </row>
        <row r="3735">
          <cell r="A3735" t="str">
            <v>ST085-PI908-S</v>
          </cell>
          <cell r="B3735" t="str">
            <v>ST085</v>
          </cell>
        </row>
        <row r="3736">
          <cell r="A3736" t="str">
            <v>ST085-PI908-XL</v>
          </cell>
          <cell r="B3736" t="str">
            <v>ST085</v>
          </cell>
        </row>
        <row r="3737">
          <cell r="A3737" t="str">
            <v>ST085-PI908-XS</v>
          </cell>
          <cell r="B3737" t="str">
            <v>ST085</v>
          </cell>
        </row>
        <row r="3738">
          <cell r="A3738" t="str">
            <v>ST085-PI908-XXL</v>
          </cell>
          <cell r="B3738" t="str">
            <v>ST085</v>
          </cell>
        </row>
        <row r="3739">
          <cell r="A3739" t="str">
            <v>ST085-R901-L</v>
          </cell>
          <cell r="B3739" t="str">
            <v>ST085</v>
          </cell>
        </row>
        <row r="3740">
          <cell r="A3740" t="str">
            <v>ST085-R901-M</v>
          </cell>
          <cell r="B3740" t="str">
            <v>ST085</v>
          </cell>
        </row>
        <row r="3741">
          <cell r="A3741" t="str">
            <v>ST085-R901-S</v>
          </cell>
          <cell r="B3741" t="str">
            <v>ST085</v>
          </cell>
        </row>
        <row r="3742">
          <cell r="A3742" t="str">
            <v>ST085-R901-XL</v>
          </cell>
          <cell r="B3742" t="str">
            <v>ST085</v>
          </cell>
        </row>
        <row r="3743">
          <cell r="A3743" t="str">
            <v>ST085-R901-XXL</v>
          </cell>
          <cell r="B3743" t="str">
            <v>ST085</v>
          </cell>
        </row>
        <row r="3744">
          <cell r="A3744" t="str">
            <v>ST085-Sa911-L</v>
          </cell>
          <cell r="B3744" t="str">
            <v>ST085</v>
          </cell>
        </row>
        <row r="3745">
          <cell r="A3745" t="str">
            <v>ST085-Sa911-M</v>
          </cell>
          <cell r="B3745" t="str">
            <v>ST085</v>
          </cell>
        </row>
        <row r="3746">
          <cell r="A3746" t="str">
            <v>ST085-Sa911-S</v>
          </cell>
          <cell r="B3746" t="str">
            <v>ST085</v>
          </cell>
        </row>
        <row r="3747">
          <cell r="A3747" t="str">
            <v>ST085-Sa911-XL</v>
          </cell>
          <cell r="B3747" t="str">
            <v>ST085</v>
          </cell>
        </row>
        <row r="3748">
          <cell r="A3748" t="str">
            <v>ST085-Sa911-XXL</v>
          </cell>
          <cell r="B3748" t="str">
            <v>ST085</v>
          </cell>
        </row>
        <row r="3749">
          <cell r="A3749" t="str">
            <v>ST085-W902-L</v>
          </cell>
          <cell r="B3749" t="str">
            <v>ST085</v>
          </cell>
        </row>
        <row r="3750">
          <cell r="A3750" t="str">
            <v>ST085-W902-M</v>
          </cell>
          <cell r="B3750" t="str">
            <v>ST085</v>
          </cell>
        </row>
        <row r="3751">
          <cell r="A3751" t="str">
            <v>ST085-W902-S</v>
          </cell>
          <cell r="B3751" t="str">
            <v>ST085</v>
          </cell>
        </row>
        <row r="3752">
          <cell r="A3752" t="str">
            <v>ST085-W902-XL</v>
          </cell>
          <cell r="B3752" t="str">
            <v>ST085</v>
          </cell>
        </row>
        <row r="3753">
          <cell r="A3753" t="str">
            <v>ST085-W902-XXL</v>
          </cell>
          <cell r="B3753" t="str">
            <v>ST085</v>
          </cell>
        </row>
        <row r="3754">
          <cell r="A3754" t="str">
            <v>ST085-WR917-L</v>
          </cell>
          <cell r="B3754" t="str">
            <v>ST085</v>
          </cell>
        </row>
        <row r="3755">
          <cell r="A3755" t="str">
            <v>ST085-WR917-M</v>
          </cell>
          <cell r="B3755" t="str">
            <v>ST085</v>
          </cell>
        </row>
        <row r="3756">
          <cell r="A3756" t="str">
            <v>ST085-WR917-S</v>
          </cell>
          <cell r="B3756" t="str">
            <v>ST085</v>
          </cell>
        </row>
        <row r="3757">
          <cell r="A3757" t="str">
            <v>ST085-WR917-XL</v>
          </cell>
          <cell r="B3757" t="str">
            <v>ST085</v>
          </cell>
        </row>
        <row r="3758">
          <cell r="A3758" t="str">
            <v>ST085-WR917-XS</v>
          </cell>
          <cell r="B3758" t="str">
            <v>ST085</v>
          </cell>
        </row>
        <row r="3759">
          <cell r="A3759" t="str">
            <v>ST085-WR917-XXL</v>
          </cell>
          <cell r="B3759" t="str">
            <v>ST085</v>
          </cell>
        </row>
        <row r="3760">
          <cell r="A3760" t="str">
            <v>ST085-ZL918-L</v>
          </cell>
          <cell r="B3760" t="str">
            <v>ST085</v>
          </cell>
        </row>
        <row r="3761">
          <cell r="A3761" t="str">
            <v>ST085-ZL918-M</v>
          </cell>
          <cell r="B3761" t="str">
            <v>ST085</v>
          </cell>
        </row>
        <row r="3762">
          <cell r="A3762" t="str">
            <v>ST085-ZL918-S</v>
          </cell>
          <cell r="B3762" t="str">
            <v>ST085</v>
          </cell>
        </row>
        <row r="3763">
          <cell r="A3763" t="str">
            <v>ST085-ZL918-XL</v>
          </cell>
          <cell r="B3763" t="str">
            <v>ST085</v>
          </cell>
        </row>
        <row r="3764">
          <cell r="A3764" t="str">
            <v>ST085-ZL918-XS</v>
          </cell>
          <cell r="B3764" t="str">
            <v>ST085</v>
          </cell>
        </row>
        <row r="3765">
          <cell r="A3765" t="str">
            <v>ST085-ZL918-XXL</v>
          </cell>
          <cell r="B3765" t="str">
            <v>ST085</v>
          </cell>
        </row>
        <row r="3766">
          <cell r="A3766" t="str">
            <v>ST086-B0-L</v>
          </cell>
          <cell r="B3766" t="str">
            <v>ST086</v>
          </cell>
        </row>
        <row r="3767">
          <cell r="A3767" t="str">
            <v>ST086-B0-M</v>
          </cell>
          <cell r="B3767" t="str">
            <v>ST086</v>
          </cell>
        </row>
        <row r="3768">
          <cell r="A3768" t="str">
            <v>ST086-B0-S</v>
          </cell>
          <cell r="B3768" t="str">
            <v>ST086</v>
          </cell>
        </row>
        <row r="3769">
          <cell r="A3769" t="str">
            <v>ST086-B0-XL</v>
          </cell>
          <cell r="B3769" t="str">
            <v>ST086</v>
          </cell>
        </row>
        <row r="3770">
          <cell r="A3770" t="str">
            <v>ST086-B0-XXL</v>
          </cell>
          <cell r="B3770" t="str">
            <v>ST086</v>
          </cell>
        </row>
        <row r="3771">
          <cell r="A3771" t="str">
            <v>ST086-LB-L</v>
          </cell>
          <cell r="B3771" t="str">
            <v>ST086</v>
          </cell>
        </row>
        <row r="3772">
          <cell r="A3772" t="str">
            <v>ST086-LB-M</v>
          </cell>
          <cell r="B3772" t="str">
            <v>ST086</v>
          </cell>
        </row>
        <row r="3773">
          <cell r="A3773" t="str">
            <v>ST086-LB-S</v>
          </cell>
          <cell r="B3773" t="str">
            <v>ST086</v>
          </cell>
        </row>
        <row r="3774">
          <cell r="A3774" t="str">
            <v>ST086-LB-XL</v>
          </cell>
          <cell r="B3774" t="str">
            <v>ST086</v>
          </cell>
        </row>
        <row r="3775">
          <cell r="A3775" t="str">
            <v>ST086-LB-XXL</v>
          </cell>
          <cell r="B3775" t="str">
            <v>ST086</v>
          </cell>
        </row>
        <row r="3776">
          <cell r="A3776" t="str">
            <v>ST086-N0-L</v>
          </cell>
          <cell r="B3776" t="str">
            <v>ST086</v>
          </cell>
        </row>
        <row r="3777">
          <cell r="A3777" t="str">
            <v>ST086-N0-M</v>
          </cell>
          <cell r="B3777" t="str">
            <v>ST086</v>
          </cell>
        </row>
        <row r="3778">
          <cell r="A3778" t="str">
            <v>ST086-N0-S</v>
          </cell>
          <cell r="B3778" t="str">
            <v>ST086</v>
          </cell>
        </row>
        <row r="3779">
          <cell r="A3779" t="str">
            <v>ST086-N0-XL</v>
          </cell>
          <cell r="B3779" t="str">
            <v>ST086</v>
          </cell>
        </row>
        <row r="3780">
          <cell r="A3780" t="str">
            <v>ST086-N0-XXL</v>
          </cell>
          <cell r="B3780" t="str">
            <v>ST086</v>
          </cell>
        </row>
        <row r="3781">
          <cell r="A3781" t="str">
            <v>ST122-B0-2XL</v>
          </cell>
          <cell r="B3781" t="str">
            <v>ST122</v>
          </cell>
        </row>
        <row r="3782">
          <cell r="A3782" t="str">
            <v>ST122-B0-L</v>
          </cell>
          <cell r="B3782" t="str">
            <v>ST122</v>
          </cell>
        </row>
        <row r="3783">
          <cell r="A3783" t="str">
            <v>ST122-B0-M</v>
          </cell>
          <cell r="B3783" t="str">
            <v>ST122</v>
          </cell>
        </row>
        <row r="3784">
          <cell r="A3784" t="str">
            <v>ST122-B0-S</v>
          </cell>
          <cell r="B3784" t="str">
            <v>ST122</v>
          </cell>
        </row>
        <row r="3785">
          <cell r="A3785" t="str">
            <v>ST122-B0-XL</v>
          </cell>
          <cell r="B3785" t="str">
            <v>ST122</v>
          </cell>
        </row>
        <row r="3786">
          <cell r="A3786" t="str">
            <v>ST122-B0-XS</v>
          </cell>
          <cell r="B3786" t="str">
            <v>ST122</v>
          </cell>
        </row>
        <row r="3787">
          <cell r="A3787" t="str">
            <v>ST122-N0-2XL</v>
          </cell>
          <cell r="B3787" t="str">
            <v>ST122</v>
          </cell>
        </row>
        <row r="3788">
          <cell r="A3788" t="str">
            <v>ST122-N0-L</v>
          </cell>
          <cell r="B3788" t="str">
            <v>ST122</v>
          </cell>
        </row>
        <row r="3789">
          <cell r="A3789" t="str">
            <v>ST122-N0-M</v>
          </cell>
          <cell r="B3789" t="str">
            <v>ST122</v>
          </cell>
        </row>
        <row r="3790">
          <cell r="A3790" t="str">
            <v>ST122-N0-S</v>
          </cell>
          <cell r="B3790" t="str">
            <v>ST122</v>
          </cell>
        </row>
        <row r="3791">
          <cell r="A3791" t="str">
            <v>ST122-N0-XL</v>
          </cell>
          <cell r="B3791" t="str">
            <v>ST122</v>
          </cell>
        </row>
        <row r="3792">
          <cell r="A3792" t="str">
            <v>ST122-N0-XS</v>
          </cell>
          <cell r="B3792" t="str">
            <v>ST122</v>
          </cell>
        </row>
        <row r="3793">
          <cell r="A3793" t="str">
            <v>ST122-WR-2XL</v>
          </cell>
          <cell r="B3793" t="str">
            <v>ST122</v>
          </cell>
        </row>
        <row r="3794">
          <cell r="A3794" t="str">
            <v>ST122-WR-L</v>
          </cell>
          <cell r="B3794" t="str">
            <v>ST122</v>
          </cell>
        </row>
        <row r="3795">
          <cell r="A3795" t="str">
            <v>ST122-WR-M</v>
          </cell>
          <cell r="B3795" t="str">
            <v>ST122</v>
          </cell>
        </row>
        <row r="3796">
          <cell r="A3796" t="str">
            <v>ST122-WR-S</v>
          </cell>
          <cell r="B3796" t="str">
            <v>ST122</v>
          </cell>
        </row>
        <row r="3797">
          <cell r="A3797" t="str">
            <v>ST122-WR-XL</v>
          </cell>
          <cell r="B3797" t="str">
            <v>ST122</v>
          </cell>
        </row>
        <row r="3798">
          <cell r="A3798" t="str">
            <v>ST122-WR-XS</v>
          </cell>
          <cell r="B3798" t="str">
            <v>ST122</v>
          </cell>
        </row>
        <row r="3799">
          <cell r="A3799" t="str">
            <v>ST155-AG-30</v>
          </cell>
          <cell r="B3799" t="str">
            <v>ST155</v>
          </cell>
        </row>
        <row r="3800">
          <cell r="A3800" t="str">
            <v>ST155-AG-32</v>
          </cell>
          <cell r="B3800" t="str">
            <v>ST155</v>
          </cell>
        </row>
        <row r="3801">
          <cell r="A3801" t="str">
            <v>ST155-AG-34</v>
          </cell>
          <cell r="B3801" t="str">
            <v>ST155</v>
          </cell>
        </row>
        <row r="3802">
          <cell r="A3802" t="str">
            <v>ST155-AG-36</v>
          </cell>
          <cell r="B3802" t="str">
            <v>ST155</v>
          </cell>
        </row>
        <row r="3803">
          <cell r="A3803" t="str">
            <v>ST155-AG-38</v>
          </cell>
          <cell r="B3803" t="str">
            <v>ST155</v>
          </cell>
        </row>
        <row r="3804">
          <cell r="A3804" t="str">
            <v>ST155-AG-40</v>
          </cell>
          <cell r="B3804" t="str">
            <v>ST155</v>
          </cell>
        </row>
        <row r="3805">
          <cell r="A3805" t="str">
            <v>ST155-AG-42</v>
          </cell>
          <cell r="B3805" t="str">
            <v>ST155</v>
          </cell>
        </row>
        <row r="3806">
          <cell r="A3806" t="str">
            <v>ST155-C34-Ca-30</v>
          </cell>
          <cell r="B3806" t="str">
            <v>ST155</v>
          </cell>
        </row>
        <row r="3807">
          <cell r="A3807" t="str">
            <v>ST155-C34-Ca-32</v>
          </cell>
          <cell r="B3807" t="str">
            <v>ST155</v>
          </cell>
        </row>
        <row r="3808">
          <cell r="A3808" t="str">
            <v>ST155-C34-Ca-34</v>
          </cell>
          <cell r="B3808" t="str">
            <v>ST155</v>
          </cell>
        </row>
        <row r="3809">
          <cell r="A3809" t="str">
            <v>ST155-C34-Ca-36</v>
          </cell>
          <cell r="B3809" t="str">
            <v>ST155</v>
          </cell>
        </row>
        <row r="3810">
          <cell r="A3810" t="str">
            <v>ST155-C34-Ca-38</v>
          </cell>
          <cell r="B3810" t="str">
            <v>ST155</v>
          </cell>
        </row>
        <row r="3811">
          <cell r="A3811" t="str">
            <v>ST155-C34-Ca-40</v>
          </cell>
          <cell r="B3811" t="str">
            <v>ST155</v>
          </cell>
        </row>
        <row r="3812">
          <cell r="A3812" t="str">
            <v>ST155-C34-Ca-42</v>
          </cell>
          <cell r="B3812" t="str">
            <v>ST155</v>
          </cell>
        </row>
        <row r="3813">
          <cell r="A3813" t="str">
            <v>ST155-K0-30</v>
          </cell>
          <cell r="B3813" t="str">
            <v>ST155</v>
          </cell>
        </row>
        <row r="3814">
          <cell r="A3814" t="str">
            <v>ST155-K0-32</v>
          </cell>
          <cell r="B3814" t="str">
            <v>ST155</v>
          </cell>
        </row>
        <row r="3815">
          <cell r="A3815" t="str">
            <v>ST155-K0-34</v>
          </cell>
          <cell r="B3815" t="str">
            <v>ST155</v>
          </cell>
        </row>
        <row r="3816">
          <cell r="A3816" t="str">
            <v>ST155-K0-36</v>
          </cell>
          <cell r="B3816" t="str">
            <v>ST155</v>
          </cell>
        </row>
        <row r="3817">
          <cell r="A3817" t="str">
            <v>ST155-K0-38</v>
          </cell>
          <cell r="B3817" t="str">
            <v>ST155</v>
          </cell>
        </row>
        <row r="3818">
          <cell r="A3818" t="str">
            <v>ST155-K0-40</v>
          </cell>
          <cell r="B3818" t="str">
            <v>ST155</v>
          </cell>
        </row>
        <row r="3819">
          <cell r="A3819" t="str">
            <v>ST155-K0-42</v>
          </cell>
          <cell r="B3819" t="str">
            <v>ST155</v>
          </cell>
        </row>
        <row r="3820">
          <cell r="A3820" t="str">
            <v>ST155-KQ-30</v>
          </cell>
          <cell r="B3820" t="str">
            <v>ST155</v>
          </cell>
        </row>
        <row r="3821">
          <cell r="A3821" t="str">
            <v>ST155-KQ-32</v>
          </cell>
          <cell r="B3821" t="str">
            <v>ST155</v>
          </cell>
        </row>
        <row r="3822">
          <cell r="A3822" t="str">
            <v>ST155-KQ-34</v>
          </cell>
          <cell r="B3822" t="str">
            <v>ST155</v>
          </cell>
        </row>
        <row r="3823">
          <cell r="A3823" t="str">
            <v>ST155-KQ-36</v>
          </cell>
          <cell r="B3823" t="str">
            <v>ST155</v>
          </cell>
        </row>
        <row r="3824">
          <cell r="A3824" t="str">
            <v>ST155-KQ-38</v>
          </cell>
          <cell r="B3824" t="str">
            <v>ST155</v>
          </cell>
        </row>
        <row r="3825">
          <cell r="A3825" t="str">
            <v>ST155-KQ-40</v>
          </cell>
          <cell r="B3825" t="str">
            <v>ST155</v>
          </cell>
        </row>
        <row r="3826">
          <cell r="A3826" t="str">
            <v>ST155-KQ-42</v>
          </cell>
          <cell r="B3826" t="str">
            <v>ST155</v>
          </cell>
        </row>
        <row r="3827">
          <cell r="A3827" t="str">
            <v>ST155-N0-30</v>
          </cell>
          <cell r="B3827" t="str">
            <v>ST155</v>
          </cell>
        </row>
        <row r="3828">
          <cell r="A3828" t="str">
            <v>ST155-N0-32</v>
          </cell>
          <cell r="B3828" t="str">
            <v>ST155</v>
          </cell>
        </row>
        <row r="3829">
          <cell r="A3829" t="str">
            <v>ST155-N0-34</v>
          </cell>
          <cell r="B3829" t="str">
            <v>ST155</v>
          </cell>
        </row>
        <row r="3830">
          <cell r="A3830" t="str">
            <v>ST155-N0-36</v>
          </cell>
          <cell r="B3830" t="str">
            <v>ST155</v>
          </cell>
        </row>
        <row r="3831">
          <cell r="A3831" t="str">
            <v>ST155-N0-38</v>
          </cell>
          <cell r="B3831" t="str">
            <v>ST155</v>
          </cell>
        </row>
        <row r="3832">
          <cell r="A3832" t="str">
            <v>ST155-N0-40</v>
          </cell>
          <cell r="B3832" t="str">
            <v>ST155</v>
          </cell>
        </row>
        <row r="3833">
          <cell r="A3833" t="str">
            <v>ST155-N0-42</v>
          </cell>
          <cell r="B3833" t="str">
            <v>ST155</v>
          </cell>
        </row>
        <row r="3834">
          <cell r="A3834" t="str">
            <v>ST166-B28-1-L</v>
          </cell>
          <cell r="B3834" t="str">
            <v>ST166</v>
          </cell>
        </row>
        <row r="3835">
          <cell r="A3835" t="str">
            <v>ST166-B28-1-M</v>
          </cell>
          <cell r="B3835" t="str">
            <v>ST166</v>
          </cell>
        </row>
        <row r="3836">
          <cell r="A3836" t="str">
            <v>ST166-B28-1-S</v>
          </cell>
          <cell r="B3836" t="str">
            <v>ST166</v>
          </cell>
        </row>
        <row r="3837">
          <cell r="A3837" t="str">
            <v>ST166-B28-1-XL</v>
          </cell>
          <cell r="B3837" t="str">
            <v>ST166</v>
          </cell>
        </row>
        <row r="3838">
          <cell r="A3838" t="str">
            <v>ST166-B28-1-XXL</v>
          </cell>
          <cell r="B3838" t="str">
            <v>ST166</v>
          </cell>
        </row>
        <row r="3839">
          <cell r="A3839" t="str">
            <v>ST166-B28-3-L</v>
          </cell>
          <cell r="B3839" t="str">
            <v>ST166</v>
          </cell>
        </row>
        <row r="3840">
          <cell r="A3840" t="str">
            <v>ST166-B28-3-M</v>
          </cell>
          <cell r="B3840" t="str">
            <v>ST166</v>
          </cell>
        </row>
        <row r="3841">
          <cell r="A3841" t="str">
            <v>ST166-B28-3-S</v>
          </cell>
          <cell r="B3841" t="str">
            <v>ST166</v>
          </cell>
        </row>
        <row r="3842">
          <cell r="A3842" t="str">
            <v>ST166-B28-3-XL</v>
          </cell>
          <cell r="B3842" t="str">
            <v>ST166</v>
          </cell>
        </row>
        <row r="3843">
          <cell r="A3843" t="str">
            <v>ST166-B28-3-XXL</v>
          </cell>
          <cell r="B3843" t="str">
            <v>ST166</v>
          </cell>
        </row>
        <row r="3844">
          <cell r="A3844" t="str">
            <v>ST166-B28-4-L</v>
          </cell>
          <cell r="B3844" t="str">
            <v>ST166</v>
          </cell>
        </row>
        <row r="3845">
          <cell r="A3845" t="str">
            <v>ST166-B28-4-M</v>
          </cell>
          <cell r="B3845" t="str">
            <v>ST166</v>
          </cell>
        </row>
        <row r="3846">
          <cell r="A3846" t="str">
            <v>ST166-B28-4-S</v>
          </cell>
          <cell r="B3846" t="str">
            <v>ST166</v>
          </cell>
        </row>
        <row r="3847">
          <cell r="A3847" t="str">
            <v>ST166-B28-4-XL</v>
          </cell>
          <cell r="B3847" t="str">
            <v>ST166</v>
          </cell>
        </row>
        <row r="3848">
          <cell r="A3848" t="str">
            <v>ST166-B28-4-XXL</v>
          </cell>
          <cell r="B3848" t="str">
            <v>ST166</v>
          </cell>
        </row>
        <row r="3849">
          <cell r="A3849" t="str">
            <v>ST166-B28-5-L</v>
          </cell>
          <cell r="B3849" t="str">
            <v>ST166</v>
          </cell>
        </row>
        <row r="3850">
          <cell r="A3850" t="str">
            <v>ST166-B28-5-M</v>
          </cell>
          <cell r="B3850" t="str">
            <v>ST166</v>
          </cell>
        </row>
        <row r="3851">
          <cell r="A3851" t="str">
            <v>ST166-B28-5-S</v>
          </cell>
          <cell r="B3851" t="str">
            <v>ST166</v>
          </cell>
        </row>
        <row r="3852">
          <cell r="A3852" t="str">
            <v>ST166-B28-5-XL</v>
          </cell>
          <cell r="B3852" t="str">
            <v>ST166</v>
          </cell>
        </row>
        <row r="3853">
          <cell r="A3853" t="str">
            <v>ST166-B28-5-XXL</v>
          </cell>
          <cell r="B3853" t="str">
            <v>ST166</v>
          </cell>
        </row>
        <row r="3854">
          <cell r="A3854" t="str">
            <v>ST166-K33-1-L</v>
          </cell>
          <cell r="B3854" t="str">
            <v>ST166</v>
          </cell>
        </row>
        <row r="3855">
          <cell r="A3855" t="str">
            <v>ST166-K33-1-M</v>
          </cell>
          <cell r="B3855" t="str">
            <v>ST166</v>
          </cell>
        </row>
        <row r="3856">
          <cell r="A3856" t="str">
            <v>ST166-K33-1-S</v>
          </cell>
          <cell r="B3856" t="str">
            <v>ST166</v>
          </cell>
        </row>
        <row r="3857">
          <cell r="A3857" t="str">
            <v>ST166-K33-1-XL</v>
          </cell>
          <cell r="B3857" t="str">
            <v>ST166</v>
          </cell>
        </row>
        <row r="3858">
          <cell r="A3858" t="str">
            <v>ST166-K33-1-XXL</v>
          </cell>
          <cell r="B3858" t="str">
            <v>ST166</v>
          </cell>
        </row>
        <row r="3859">
          <cell r="A3859" t="str">
            <v>ST166-K33-2-L</v>
          </cell>
          <cell r="B3859" t="str">
            <v>ST166</v>
          </cell>
        </row>
        <row r="3860">
          <cell r="A3860" t="str">
            <v>ST166-K33-2-M</v>
          </cell>
          <cell r="B3860" t="str">
            <v>ST166</v>
          </cell>
        </row>
        <row r="3861">
          <cell r="A3861" t="str">
            <v>ST166-K33-2-S</v>
          </cell>
          <cell r="B3861" t="str">
            <v>ST166</v>
          </cell>
        </row>
        <row r="3862">
          <cell r="A3862" t="str">
            <v>ST166-K33-2-XL</v>
          </cell>
          <cell r="B3862" t="str">
            <v>ST166</v>
          </cell>
        </row>
        <row r="3863">
          <cell r="A3863" t="str">
            <v>ST166-K33-2-XXL</v>
          </cell>
          <cell r="B3863" t="str">
            <v>ST166</v>
          </cell>
        </row>
        <row r="3864">
          <cell r="A3864" t="str">
            <v>ST166-K33-4-L</v>
          </cell>
          <cell r="B3864" t="str">
            <v>ST166</v>
          </cell>
        </row>
        <row r="3865">
          <cell r="A3865" t="str">
            <v>ST166-K33-4-M</v>
          </cell>
          <cell r="B3865" t="str">
            <v>ST166</v>
          </cell>
        </row>
        <row r="3866">
          <cell r="A3866" t="str">
            <v>ST166-K33-4-S</v>
          </cell>
          <cell r="B3866" t="str">
            <v>ST166</v>
          </cell>
        </row>
        <row r="3867">
          <cell r="A3867" t="str">
            <v>ST166-K33-4-XL</v>
          </cell>
          <cell r="B3867" t="str">
            <v>ST166</v>
          </cell>
        </row>
        <row r="3868">
          <cell r="A3868" t="str">
            <v>ST166-K33-4-XXL</v>
          </cell>
          <cell r="B3868" t="str">
            <v>ST166</v>
          </cell>
        </row>
        <row r="3869">
          <cell r="A3869" t="str">
            <v>ST166-K73-1-L</v>
          </cell>
          <cell r="B3869" t="str">
            <v>ST166</v>
          </cell>
        </row>
        <row r="3870">
          <cell r="A3870" t="str">
            <v>ST166-K73-1-M</v>
          </cell>
          <cell r="B3870" t="str">
            <v>ST166</v>
          </cell>
        </row>
        <row r="3871">
          <cell r="A3871" t="str">
            <v>ST166-K73-1-S</v>
          </cell>
          <cell r="B3871" t="str">
            <v>ST166</v>
          </cell>
        </row>
        <row r="3872">
          <cell r="A3872" t="str">
            <v>ST166-K73-1-XL</v>
          </cell>
          <cell r="B3872" t="str">
            <v>ST166</v>
          </cell>
        </row>
        <row r="3873">
          <cell r="A3873" t="str">
            <v>ST166-K73-1-XXL</v>
          </cell>
          <cell r="B3873" t="str">
            <v>ST166</v>
          </cell>
        </row>
        <row r="3874">
          <cell r="A3874" t="str">
            <v>ST166-K73-2-L</v>
          </cell>
          <cell r="B3874" t="str">
            <v>ST166</v>
          </cell>
        </row>
        <row r="3875">
          <cell r="A3875" t="str">
            <v>ST166-K73-2-M</v>
          </cell>
          <cell r="B3875" t="str">
            <v>ST166</v>
          </cell>
        </row>
        <row r="3876">
          <cell r="A3876" t="str">
            <v>ST166-K73-2-S</v>
          </cell>
          <cell r="B3876" t="str">
            <v>ST166</v>
          </cell>
        </row>
        <row r="3877">
          <cell r="A3877" t="str">
            <v>ST166-K73-2-XL</v>
          </cell>
          <cell r="B3877" t="str">
            <v>ST166</v>
          </cell>
        </row>
        <row r="3878">
          <cell r="A3878" t="str">
            <v>ST166-K73-2-XXL</v>
          </cell>
          <cell r="B3878" t="str">
            <v>ST166</v>
          </cell>
        </row>
        <row r="3879">
          <cell r="A3879" t="str">
            <v>ST167-BK-L</v>
          </cell>
          <cell r="B3879" t="str">
            <v>ST167</v>
          </cell>
        </row>
        <row r="3880">
          <cell r="A3880" t="str">
            <v>ST167-BK-M</v>
          </cell>
          <cell r="B3880" t="str">
            <v>ST167</v>
          </cell>
        </row>
        <row r="3881">
          <cell r="A3881" t="str">
            <v>ST167-BK-S</v>
          </cell>
          <cell r="B3881" t="str">
            <v>ST167</v>
          </cell>
        </row>
        <row r="3882">
          <cell r="A3882" t="str">
            <v>ST167-BK-XL</v>
          </cell>
          <cell r="B3882" t="str">
            <v>ST167</v>
          </cell>
        </row>
        <row r="3883">
          <cell r="A3883" t="str">
            <v>ST167-BK-XXL</v>
          </cell>
          <cell r="B3883" t="str">
            <v>ST167</v>
          </cell>
        </row>
        <row r="3884">
          <cell r="A3884" t="str">
            <v>ST167-K0-L</v>
          </cell>
          <cell r="B3884" t="str">
            <v>ST167</v>
          </cell>
        </row>
        <row r="3885">
          <cell r="A3885" t="str">
            <v>ST167-K0-M</v>
          </cell>
          <cell r="B3885" t="str">
            <v>ST167</v>
          </cell>
        </row>
        <row r="3886">
          <cell r="A3886" t="str">
            <v>ST167-K0-S</v>
          </cell>
          <cell r="B3886" t="str">
            <v>ST167</v>
          </cell>
        </row>
        <row r="3887">
          <cell r="A3887" t="str">
            <v>ST167-K0-XL</v>
          </cell>
          <cell r="B3887" t="str">
            <v>ST167</v>
          </cell>
        </row>
        <row r="3888">
          <cell r="A3888" t="str">
            <v>ST167-K0-XXL</v>
          </cell>
          <cell r="B3888" t="str">
            <v>ST167</v>
          </cell>
        </row>
        <row r="3889">
          <cell r="A3889" t="str">
            <v>ST167-N0-L</v>
          </cell>
          <cell r="B3889" t="str">
            <v>ST167</v>
          </cell>
        </row>
        <row r="3890">
          <cell r="A3890" t="str">
            <v>ST167-N0-M</v>
          </cell>
          <cell r="B3890" t="str">
            <v>ST167</v>
          </cell>
        </row>
        <row r="3891">
          <cell r="A3891" t="str">
            <v>ST167-N0-S</v>
          </cell>
          <cell r="B3891" t="str">
            <v>ST167</v>
          </cell>
        </row>
        <row r="3892">
          <cell r="A3892" t="str">
            <v>ST167-N0-XL</v>
          </cell>
          <cell r="B3892" t="str">
            <v>ST167</v>
          </cell>
        </row>
        <row r="3893">
          <cell r="A3893" t="str">
            <v>ST167-N0-XXL</v>
          </cell>
          <cell r="B3893" t="str">
            <v>ST167</v>
          </cell>
        </row>
        <row r="3894">
          <cell r="A3894" t="str">
            <v>ST167-R0-L</v>
          </cell>
          <cell r="B3894" t="str">
            <v>ST167</v>
          </cell>
        </row>
        <row r="3895">
          <cell r="A3895" t="str">
            <v>ST167-R0-M</v>
          </cell>
          <cell r="B3895" t="str">
            <v>ST167</v>
          </cell>
        </row>
        <row r="3896">
          <cell r="A3896" t="str">
            <v>ST167-R0-S</v>
          </cell>
          <cell r="B3896" t="str">
            <v>ST167</v>
          </cell>
        </row>
        <row r="3897">
          <cell r="A3897" t="str">
            <v>ST167-R0-XL</v>
          </cell>
          <cell r="B3897" t="str">
            <v>ST167</v>
          </cell>
        </row>
        <row r="3898">
          <cell r="A3898" t="str">
            <v>ST167-R0-XXL</v>
          </cell>
          <cell r="B3898" t="str">
            <v>ST167</v>
          </cell>
        </row>
        <row r="3899">
          <cell r="A3899" t="str">
            <v>ST167-W0-L</v>
          </cell>
          <cell r="B3899" t="str">
            <v>ST167</v>
          </cell>
        </row>
        <row r="3900">
          <cell r="A3900" t="str">
            <v>ST167-W0-M</v>
          </cell>
          <cell r="B3900" t="str">
            <v>ST167</v>
          </cell>
        </row>
        <row r="3901">
          <cell r="A3901" t="str">
            <v>ST167-W0-S</v>
          </cell>
          <cell r="B3901" t="str">
            <v>ST167</v>
          </cell>
        </row>
        <row r="3902">
          <cell r="A3902" t="str">
            <v>ST167-W0-XL</v>
          </cell>
          <cell r="B3902" t="str">
            <v>ST167</v>
          </cell>
        </row>
        <row r="3903">
          <cell r="A3903" t="str">
            <v>ST167-W0-XXL</v>
          </cell>
          <cell r="B3903" t="str">
            <v>ST167</v>
          </cell>
        </row>
        <row r="3904">
          <cell r="A3904" t="str">
            <v>ST168-311-4E-L</v>
          </cell>
          <cell r="B3904" t="str">
            <v>ST168</v>
          </cell>
        </row>
        <row r="3905">
          <cell r="A3905" t="str">
            <v>ST168-311-4E-M</v>
          </cell>
          <cell r="B3905" t="str">
            <v>ST168</v>
          </cell>
        </row>
        <row r="3906">
          <cell r="A3906" t="str">
            <v>ST168-311-4E-XL</v>
          </cell>
          <cell r="B3906" t="str">
            <v>ST168</v>
          </cell>
        </row>
        <row r="3907">
          <cell r="A3907" t="str">
            <v>ST168-311-4F-L</v>
          </cell>
          <cell r="B3907" t="str">
            <v>ST168</v>
          </cell>
        </row>
        <row r="3908">
          <cell r="A3908" t="str">
            <v>ST168-311-4F-M</v>
          </cell>
          <cell r="B3908" t="str">
            <v>ST168</v>
          </cell>
        </row>
        <row r="3909">
          <cell r="A3909" t="str">
            <v>ST168-311-4F-XL</v>
          </cell>
          <cell r="B3909" t="str">
            <v>ST168</v>
          </cell>
        </row>
        <row r="3910">
          <cell r="A3910" t="str">
            <v>ST168-311-4H-L</v>
          </cell>
          <cell r="B3910" t="str">
            <v>ST168</v>
          </cell>
        </row>
        <row r="3911">
          <cell r="A3911" t="str">
            <v>ST168-311-4H-M</v>
          </cell>
          <cell r="B3911" t="str">
            <v>ST168</v>
          </cell>
        </row>
        <row r="3912">
          <cell r="A3912" t="str">
            <v>ST168-311-4H-XL</v>
          </cell>
          <cell r="B3912" t="str">
            <v>ST168</v>
          </cell>
        </row>
        <row r="3913">
          <cell r="A3913" t="str">
            <v>ST168-311-76A-L</v>
          </cell>
          <cell r="B3913" t="str">
            <v>ST168</v>
          </cell>
        </row>
        <row r="3914">
          <cell r="A3914" t="str">
            <v>ST168-311-76A-M</v>
          </cell>
          <cell r="B3914" t="str">
            <v>ST168</v>
          </cell>
        </row>
        <row r="3915">
          <cell r="A3915" t="str">
            <v>ST168-311-76A-XL</v>
          </cell>
          <cell r="B3915" t="str">
            <v>ST168</v>
          </cell>
        </row>
        <row r="3916">
          <cell r="A3916" t="str">
            <v>ST168-311-76C-L</v>
          </cell>
          <cell r="B3916" t="str">
            <v>ST168</v>
          </cell>
        </row>
        <row r="3917">
          <cell r="A3917" t="str">
            <v>ST168-311-76C-M</v>
          </cell>
          <cell r="B3917" t="str">
            <v>ST168</v>
          </cell>
        </row>
        <row r="3918">
          <cell r="A3918" t="str">
            <v>ST168-311-76C-XL</v>
          </cell>
          <cell r="B3918" t="str">
            <v>ST168</v>
          </cell>
        </row>
        <row r="3919">
          <cell r="A3919" t="str">
            <v>ST168-311-76D-L</v>
          </cell>
          <cell r="B3919" t="str">
            <v>ST168</v>
          </cell>
        </row>
        <row r="3920">
          <cell r="A3920" t="str">
            <v>ST168-311-76D-M</v>
          </cell>
          <cell r="B3920" t="str">
            <v>ST168</v>
          </cell>
        </row>
        <row r="3921">
          <cell r="A3921" t="str">
            <v>ST168-311-76D-XL</v>
          </cell>
          <cell r="B3921" t="str">
            <v>ST168</v>
          </cell>
        </row>
        <row r="3922">
          <cell r="A3922" t="str">
            <v>ST168-HSJK-168A-L</v>
          </cell>
          <cell r="B3922" t="str">
            <v>ST168</v>
          </cell>
        </row>
        <row r="3923">
          <cell r="A3923" t="str">
            <v>ST168-HSJK-168A-M</v>
          </cell>
          <cell r="B3923" t="str">
            <v>ST168</v>
          </cell>
        </row>
        <row r="3924">
          <cell r="A3924" t="str">
            <v>ST168-HSJK-168A-XL</v>
          </cell>
          <cell r="B3924" t="str">
            <v>ST168</v>
          </cell>
        </row>
        <row r="3925">
          <cell r="A3925" t="str">
            <v>ST168-HSJK-168B-L</v>
          </cell>
          <cell r="B3925" t="str">
            <v>ST168</v>
          </cell>
        </row>
        <row r="3926">
          <cell r="A3926" t="str">
            <v>ST168-HSJK-168B-M</v>
          </cell>
          <cell r="B3926" t="str">
            <v>ST168</v>
          </cell>
        </row>
        <row r="3927">
          <cell r="A3927" t="str">
            <v>ST168-HSJK-168B-XL</v>
          </cell>
          <cell r="B3927" t="str">
            <v>ST168</v>
          </cell>
        </row>
        <row r="3928">
          <cell r="A3928" t="str">
            <v>ST168-HSJK-168C-L</v>
          </cell>
          <cell r="B3928" t="str">
            <v>ST168</v>
          </cell>
        </row>
        <row r="3929">
          <cell r="A3929" t="str">
            <v>ST168-HSJK-168C-M</v>
          </cell>
          <cell r="B3929" t="str">
            <v>ST168</v>
          </cell>
        </row>
        <row r="3930">
          <cell r="A3930" t="str">
            <v>ST168-HSJK-168C-XL</v>
          </cell>
          <cell r="B3930" t="str">
            <v>ST168</v>
          </cell>
        </row>
        <row r="3931">
          <cell r="A3931" t="str">
            <v>ST168-K77-1-L</v>
          </cell>
          <cell r="B3931" t="str">
            <v>ST168</v>
          </cell>
        </row>
        <row r="3932">
          <cell r="A3932" t="str">
            <v>ST168-K77-1-M</v>
          </cell>
          <cell r="B3932" t="str">
            <v>ST168</v>
          </cell>
        </row>
        <row r="3933">
          <cell r="A3933" t="str">
            <v>ST168-K77-1-XL</v>
          </cell>
          <cell r="B3933" t="str">
            <v>ST168</v>
          </cell>
        </row>
        <row r="3934">
          <cell r="A3934" t="str">
            <v>ST168-K77-2-L</v>
          </cell>
          <cell r="B3934" t="str">
            <v>ST168</v>
          </cell>
        </row>
        <row r="3935">
          <cell r="A3935" t="str">
            <v>ST168-K77-2-M</v>
          </cell>
          <cell r="B3935" t="str">
            <v>ST168</v>
          </cell>
        </row>
        <row r="3936">
          <cell r="A3936" t="str">
            <v>ST168-K77-2-XL</v>
          </cell>
          <cell r="B3936" t="str">
            <v>ST168</v>
          </cell>
        </row>
        <row r="3937">
          <cell r="A3937" t="str">
            <v>ST168-K77-4-L</v>
          </cell>
          <cell r="B3937" t="str">
            <v>ST168</v>
          </cell>
        </row>
        <row r="3938">
          <cell r="A3938" t="str">
            <v>ST168-K77-4-M</v>
          </cell>
          <cell r="B3938" t="str">
            <v>ST168</v>
          </cell>
        </row>
        <row r="3939">
          <cell r="A3939" t="str">
            <v>ST168-K77-4-XL</v>
          </cell>
          <cell r="B3939" t="str">
            <v>ST168</v>
          </cell>
        </row>
        <row r="3940">
          <cell r="A3940" t="str">
            <v>ST170-GN-L</v>
          </cell>
          <cell r="B3940" t="str">
            <v>ST170</v>
          </cell>
        </row>
        <row r="3941">
          <cell r="A3941" t="str">
            <v>ST170-GN-M</v>
          </cell>
          <cell r="B3941" t="str">
            <v>ST170</v>
          </cell>
        </row>
        <row r="3942">
          <cell r="A3942" t="str">
            <v>ST170-GN-S</v>
          </cell>
          <cell r="B3942" t="str">
            <v>ST170</v>
          </cell>
        </row>
        <row r="3943">
          <cell r="A3943" t="str">
            <v>ST170-GN-XL</v>
          </cell>
          <cell r="B3943" t="str">
            <v>ST170</v>
          </cell>
        </row>
        <row r="3944">
          <cell r="A3944" t="str">
            <v>ST170-GN-XXL</v>
          </cell>
          <cell r="B3944" t="str">
            <v>ST170</v>
          </cell>
        </row>
        <row r="3945">
          <cell r="A3945" t="str">
            <v>ST170-LB-L</v>
          </cell>
          <cell r="B3945" t="str">
            <v>ST170</v>
          </cell>
        </row>
        <row r="3946">
          <cell r="A3946" t="str">
            <v>ST170-LB-M</v>
          </cell>
          <cell r="B3946" t="str">
            <v>ST170</v>
          </cell>
        </row>
        <row r="3947">
          <cell r="A3947" t="str">
            <v>ST170-LB-S</v>
          </cell>
          <cell r="B3947" t="str">
            <v>ST170</v>
          </cell>
        </row>
        <row r="3948">
          <cell r="A3948" t="str">
            <v>ST170-LB-XL</v>
          </cell>
          <cell r="B3948" t="str">
            <v>ST170</v>
          </cell>
        </row>
        <row r="3949">
          <cell r="A3949" t="str">
            <v>ST170-LB-XXL</v>
          </cell>
          <cell r="B3949" t="str">
            <v>ST170</v>
          </cell>
        </row>
        <row r="3950">
          <cell r="A3950" t="str">
            <v>ST170-LG-L</v>
          </cell>
          <cell r="B3950" t="str">
            <v>ST170</v>
          </cell>
        </row>
        <row r="3951">
          <cell r="A3951" t="str">
            <v>ST170-LG-M</v>
          </cell>
          <cell r="B3951" t="str">
            <v>ST170</v>
          </cell>
        </row>
        <row r="3952">
          <cell r="A3952" t="str">
            <v>ST170-LG-S</v>
          </cell>
          <cell r="B3952" t="str">
            <v>ST170</v>
          </cell>
        </row>
        <row r="3953">
          <cell r="A3953" t="str">
            <v>ST170-LG-XL</v>
          </cell>
          <cell r="B3953" t="str">
            <v>ST170</v>
          </cell>
        </row>
        <row r="3954">
          <cell r="A3954" t="str">
            <v>ST170-LG-XXL</v>
          </cell>
          <cell r="B3954" t="str">
            <v>ST170</v>
          </cell>
        </row>
        <row r="3955">
          <cell r="A3955" t="str">
            <v>ST170-PK-L</v>
          </cell>
          <cell r="B3955" t="str">
            <v>ST170</v>
          </cell>
        </row>
        <row r="3956">
          <cell r="A3956" t="str">
            <v>ST170-PK-M</v>
          </cell>
          <cell r="B3956" t="str">
            <v>ST170</v>
          </cell>
        </row>
        <row r="3957">
          <cell r="A3957" t="str">
            <v>ST170-PK-S</v>
          </cell>
          <cell r="B3957" t="str">
            <v>ST170</v>
          </cell>
        </row>
        <row r="3958">
          <cell r="A3958" t="str">
            <v>ST170-PK-XL</v>
          </cell>
          <cell r="B3958" t="str">
            <v>ST170</v>
          </cell>
        </row>
        <row r="3959">
          <cell r="A3959" t="str">
            <v>ST170-PK-XXL</v>
          </cell>
          <cell r="B3959" t="str">
            <v>ST170</v>
          </cell>
        </row>
        <row r="3960">
          <cell r="A3960" t="str">
            <v>ST170-SA-L</v>
          </cell>
          <cell r="B3960" t="str">
            <v>ST170</v>
          </cell>
        </row>
        <row r="3961">
          <cell r="A3961" t="str">
            <v>ST170-SA-M</v>
          </cell>
          <cell r="B3961" t="str">
            <v>ST170</v>
          </cell>
        </row>
        <row r="3962">
          <cell r="A3962" t="str">
            <v>ST170-SA-S</v>
          </cell>
          <cell r="B3962" t="str">
            <v>ST170</v>
          </cell>
        </row>
        <row r="3963">
          <cell r="A3963" t="str">
            <v>ST170-SA-XL</v>
          </cell>
          <cell r="B3963" t="str">
            <v>ST170</v>
          </cell>
        </row>
        <row r="3964">
          <cell r="A3964" t="str">
            <v>ST170-SA-XXL</v>
          </cell>
          <cell r="B3964" t="str">
            <v>ST170</v>
          </cell>
        </row>
        <row r="3965">
          <cell r="A3965" t="str">
            <v>ST170-WR-L</v>
          </cell>
          <cell r="B3965" t="str">
            <v>ST170</v>
          </cell>
        </row>
        <row r="3966">
          <cell r="A3966" t="str">
            <v>ST170-WR-M</v>
          </cell>
          <cell r="B3966" t="str">
            <v>ST170</v>
          </cell>
        </row>
        <row r="3967">
          <cell r="A3967" t="str">
            <v>ST170-WR-S</v>
          </cell>
          <cell r="B3967" t="str">
            <v>ST170</v>
          </cell>
        </row>
        <row r="3968">
          <cell r="A3968" t="str">
            <v>ST170-WR-XL</v>
          </cell>
          <cell r="B3968" t="str">
            <v>ST170</v>
          </cell>
        </row>
        <row r="3969">
          <cell r="A3969" t="str">
            <v>ST170-WR-XXL</v>
          </cell>
          <cell r="B3969" t="str">
            <v>ST170</v>
          </cell>
        </row>
        <row r="3970">
          <cell r="A3970" t="str">
            <v>ST170-WT-L</v>
          </cell>
          <cell r="B3970" t="str">
            <v>ST170</v>
          </cell>
        </row>
        <row r="3971">
          <cell r="A3971" t="str">
            <v>ST170-WT-M</v>
          </cell>
          <cell r="B3971" t="str">
            <v>ST170</v>
          </cell>
        </row>
        <row r="3972">
          <cell r="A3972" t="str">
            <v>ST170-WT-S</v>
          </cell>
          <cell r="B3972" t="str">
            <v>ST170</v>
          </cell>
        </row>
        <row r="3973">
          <cell r="A3973" t="str">
            <v>ST170-WT-XL</v>
          </cell>
          <cell r="B3973" t="str">
            <v>ST170</v>
          </cell>
        </row>
        <row r="3974">
          <cell r="A3974" t="str">
            <v>ST170-WT-XXL</v>
          </cell>
          <cell r="B3974" t="str">
            <v>ST170</v>
          </cell>
        </row>
        <row r="3975">
          <cell r="A3975" t="str">
            <v>ST170-ZL-L</v>
          </cell>
          <cell r="B3975" t="str">
            <v>ST170</v>
          </cell>
        </row>
        <row r="3976">
          <cell r="A3976" t="str">
            <v>ST170-ZL-M</v>
          </cell>
          <cell r="B3976" t="str">
            <v>ST170</v>
          </cell>
        </row>
        <row r="3977">
          <cell r="A3977" t="str">
            <v>ST170-ZL-S</v>
          </cell>
          <cell r="B3977" t="str">
            <v>ST170</v>
          </cell>
        </row>
        <row r="3978">
          <cell r="A3978" t="str">
            <v>ST170-ZL-XL</v>
          </cell>
          <cell r="B3978" t="str">
            <v>ST170</v>
          </cell>
        </row>
        <row r="3979">
          <cell r="A3979" t="str">
            <v>ST170-ZL-XXL</v>
          </cell>
          <cell r="B3979" t="str">
            <v>ST170</v>
          </cell>
        </row>
        <row r="3980">
          <cell r="A3980" t="str">
            <v>ST171-G912-L</v>
          </cell>
          <cell r="B3980" t="str">
            <v>ST171</v>
          </cell>
        </row>
        <row r="3981">
          <cell r="A3981" t="str">
            <v>ST171-G912-M</v>
          </cell>
          <cell r="B3981" t="str">
            <v>ST171</v>
          </cell>
        </row>
        <row r="3982">
          <cell r="A3982" t="str">
            <v>ST171-G912-S</v>
          </cell>
          <cell r="B3982" t="str">
            <v>ST171</v>
          </cell>
        </row>
        <row r="3983">
          <cell r="A3983" t="str">
            <v>ST171-G912-XL</v>
          </cell>
          <cell r="B3983" t="str">
            <v>ST171</v>
          </cell>
        </row>
        <row r="3984">
          <cell r="A3984" t="str">
            <v>ST171-G912-XXL</v>
          </cell>
          <cell r="B3984" t="str">
            <v>ST171</v>
          </cell>
        </row>
        <row r="3985">
          <cell r="A3985" t="str">
            <v>ST171-LB916-L</v>
          </cell>
          <cell r="B3985" t="str">
            <v>ST171</v>
          </cell>
        </row>
        <row r="3986">
          <cell r="A3986" t="str">
            <v>ST171-LB916-M</v>
          </cell>
          <cell r="B3986" t="str">
            <v>ST171</v>
          </cell>
        </row>
        <row r="3987">
          <cell r="A3987" t="str">
            <v>ST171-LB916-S</v>
          </cell>
          <cell r="B3987" t="str">
            <v>ST171</v>
          </cell>
        </row>
        <row r="3988">
          <cell r="A3988" t="str">
            <v>ST171-LB916-XL</v>
          </cell>
          <cell r="B3988" t="str">
            <v>ST171</v>
          </cell>
        </row>
        <row r="3989">
          <cell r="A3989" t="str">
            <v>ST171-LB916-XXL</v>
          </cell>
          <cell r="B3989" t="str">
            <v>ST171</v>
          </cell>
        </row>
        <row r="3990">
          <cell r="A3990" t="str">
            <v>ST171-LG907-L</v>
          </cell>
          <cell r="B3990" t="str">
            <v>ST171</v>
          </cell>
        </row>
        <row r="3991">
          <cell r="A3991" t="str">
            <v>ST171-LG907-M</v>
          </cell>
          <cell r="B3991" t="str">
            <v>ST171</v>
          </cell>
        </row>
        <row r="3992">
          <cell r="A3992" t="str">
            <v>ST171-LG907-S</v>
          </cell>
          <cell r="B3992" t="str">
            <v>ST171</v>
          </cell>
        </row>
        <row r="3993">
          <cell r="A3993" t="str">
            <v>ST171-LG907-XL</v>
          </cell>
          <cell r="B3993" t="str">
            <v>ST171</v>
          </cell>
        </row>
        <row r="3994">
          <cell r="A3994" t="str">
            <v>ST171-LG907-XXL</v>
          </cell>
          <cell r="B3994" t="str">
            <v>ST171</v>
          </cell>
        </row>
        <row r="3995">
          <cell r="A3995" t="str">
            <v>ST171-PI908-L</v>
          </cell>
          <cell r="B3995" t="str">
            <v>ST171</v>
          </cell>
        </row>
        <row r="3996">
          <cell r="A3996" t="str">
            <v>ST171-PI908-M</v>
          </cell>
          <cell r="B3996" t="str">
            <v>ST171</v>
          </cell>
        </row>
        <row r="3997">
          <cell r="A3997" t="str">
            <v>ST171-PI908-S</v>
          </cell>
          <cell r="B3997" t="str">
            <v>ST171</v>
          </cell>
        </row>
        <row r="3998">
          <cell r="A3998" t="str">
            <v>ST171-PI908-XL</v>
          </cell>
          <cell r="B3998" t="str">
            <v>ST171</v>
          </cell>
        </row>
        <row r="3999">
          <cell r="A3999" t="str">
            <v>ST171-PI908-XXL</v>
          </cell>
          <cell r="B3999" t="str">
            <v>ST171</v>
          </cell>
        </row>
        <row r="4000">
          <cell r="A4000" t="str">
            <v>ST171-Sa911-L</v>
          </cell>
          <cell r="B4000" t="str">
            <v>ST171</v>
          </cell>
        </row>
        <row r="4001">
          <cell r="A4001" t="str">
            <v>ST171-Sa911-M</v>
          </cell>
          <cell r="B4001" t="str">
            <v>ST171</v>
          </cell>
        </row>
        <row r="4002">
          <cell r="A4002" t="str">
            <v>ST171-Sa911-S</v>
          </cell>
          <cell r="B4002" t="str">
            <v>ST171</v>
          </cell>
        </row>
        <row r="4003">
          <cell r="A4003" t="str">
            <v>ST171-Sa911-XL</v>
          </cell>
          <cell r="B4003" t="str">
            <v>ST171</v>
          </cell>
        </row>
        <row r="4004">
          <cell r="A4004" t="str">
            <v>ST171-Sa911-XXL</v>
          </cell>
          <cell r="B4004" t="str">
            <v>ST171</v>
          </cell>
        </row>
        <row r="4005">
          <cell r="A4005" t="str">
            <v>ST171-W902-L</v>
          </cell>
          <cell r="B4005" t="str">
            <v>ST171</v>
          </cell>
        </row>
        <row r="4006">
          <cell r="A4006" t="str">
            <v>ST171-W902-M</v>
          </cell>
          <cell r="B4006" t="str">
            <v>ST171</v>
          </cell>
        </row>
        <row r="4007">
          <cell r="A4007" t="str">
            <v>ST171-W902-S</v>
          </cell>
          <cell r="B4007" t="str">
            <v>ST171</v>
          </cell>
        </row>
        <row r="4008">
          <cell r="A4008" t="str">
            <v>ST171-W902-XL</v>
          </cell>
          <cell r="B4008" t="str">
            <v>ST171</v>
          </cell>
        </row>
        <row r="4009">
          <cell r="A4009" t="str">
            <v>ST171-W902-XXL</v>
          </cell>
          <cell r="B4009" t="str">
            <v>ST171</v>
          </cell>
        </row>
        <row r="4010">
          <cell r="A4010" t="str">
            <v>ST171-WR917-L</v>
          </cell>
          <cell r="B4010" t="str">
            <v>ST171</v>
          </cell>
        </row>
        <row r="4011">
          <cell r="A4011" t="str">
            <v>ST171-WR917-M</v>
          </cell>
          <cell r="B4011" t="str">
            <v>ST171</v>
          </cell>
        </row>
        <row r="4012">
          <cell r="A4012" t="str">
            <v>ST171-WR917-S</v>
          </cell>
          <cell r="B4012" t="str">
            <v>ST171</v>
          </cell>
        </row>
        <row r="4013">
          <cell r="A4013" t="str">
            <v>ST171-WR917-XL</v>
          </cell>
          <cell r="B4013" t="str">
            <v>ST171</v>
          </cell>
        </row>
        <row r="4014">
          <cell r="A4014" t="str">
            <v>ST171-WR917-XXL</v>
          </cell>
          <cell r="B4014" t="str">
            <v>ST171</v>
          </cell>
        </row>
        <row r="4015">
          <cell r="A4015" t="str">
            <v>ST171-ZL918-L</v>
          </cell>
          <cell r="B4015" t="str">
            <v>ST171</v>
          </cell>
        </row>
        <row r="4016">
          <cell r="A4016" t="str">
            <v>ST171-ZL918-M</v>
          </cell>
          <cell r="B4016" t="str">
            <v>ST171</v>
          </cell>
        </row>
        <row r="4017">
          <cell r="A4017" t="str">
            <v>ST171-ZL918-S</v>
          </cell>
          <cell r="B4017" t="str">
            <v>ST171</v>
          </cell>
        </row>
        <row r="4018">
          <cell r="A4018" t="str">
            <v>ST171-ZL918-XL</v>
          </cell>
          <cell r="B4018" t="str">
            <v>ST171</v>
          </cell>
        </row>
        <row r="4019">
          <cell r="A4019" t="str">
            <v>ST171-ZL918-XXL</v>
          </cell>
          <cell r="B4019" t="str">
            <v>ST171</v>
          </cell>
        </row>
        <row r="4020">
          <cell r="A4020" t="str">
            <v>ST172-BK-L</v>
          </cell>
          <cell r="B4020" t="str">
            <v>ST172</v>
          </cell>
        </row>
        <row r="4021">
          <cell r="A4021" t="str">
            <v>ST172-BK-M</v>
          </cell>
          <cell r="B4021" t="str">
            <v>ST172</v>
          </cell>
        </row>
        <row r="4022">
          <cell r="A4022" t="str">
            <v>ST172-BK-S</v>
          </cell>
          <cell r="B4022" t="str">
            <v>ST172</v>
          </cell>
        </row>
        <row r="4023">
          <cell r="A4023" t="str">
            <v>ST172-BK-XL</v>
          </cell>
          <cell r="B4023" t="str">
            <v>ST172</v>
          </cell>
        </row>
        <row r="4024">
          <cell r="A4024" t="str">
            <v>ST172-BK-XXL</v>
          </cell>
          <cell r="B4024" t="str">
            <v>ST172</v>
          </cell>
        </row>
        <row r="4025">
          <cell r="A4025" t="str">
            <v>ST172-BL-L</v>
          </cell>
          <cell r="B4025" t="str">
            <v>ST172</v>
          </cell>
        </row>
        <row r="4026">
          <cell r="A4026" t="str">
            <v>ST172-BL-M</v>
          </cell>
          <cell r="B4026" t="str">
            <v>ST172</v>
          </cell>
        </row>
        <row r="4027">
          <cell r="A4027" t="str">
            <v>ST172-BL-S</v>
          </cell>
          <cell r="B4027" t="str">
            <v>ST172</v>
          </cell>
        </row>
        <row r="4028">
          <cell r="A4028" t="str">
            <v>ST172-BL-XL</v>
          </cell>
          <cell r="B4028" t="str">
            <v>ST172</v>
          </cell>
        </row>
        <row r="4029">
          <cell r="A4029" t="str">
            <v>ST172-BL-XXL</v>
          </cell>
          <cell r="B4029" t="str">
            <v>ST172</v>
          </cell>
        </row>
        <row r="4030">
          <cell r="A4030" t="str">
            <v>ST172-GR-L</v>
          </cell>
          <cell r="B4030" t="str">
            <v>ST172</v>
          </cell>
        </row>
        <row r="4031">
          <cell r="A4031" t="str">
            <v>ST172-GR-M</v>
          </cell>
          <cell r="B4031" t="str">
            <v>ST172</v>
          </cell>
        </row>
        <row r="4032">
          <cell r="A4032" t="str">
            <v>ST172-GR-S</v>
          </cell>
          <cell r="B4032" t="str">
            <v>ST172</v>
          </cell>
        </row>
        <row r="4033">
          <cell r="A4033" t="str">
            <v>ST172-GR-XL</v>
          </cell>
          <cell r="B4033" t="str">
            <v>ST172</v>
          </cell>
        </row>
        <row r="4034">
          <cell r="A4034" t="str">
            <v>ST172-GR-XXL</v>
          </cell>
          <cell r="B4034" t="str">
            <v>ST172</v>
          </cell>
        </row>
        <row r="4035">
          <cell r="A4035" t="str">
            <v>ST172-NY-L</v>
          </cell>
          <cell r="B4035" t="str">
            <v>ST172</v>
          </cell>
        </row>
        <row r="4036">
          <cell r="A4036" t="str">
            <v>ST172-NY-M</v>
          </cell>
          <cell r="B4036" t="str">
            <v>ST172</v>
          </cell>
        </row>
        <row r="4037">
          <cell r="A4037" t="str">
            <v>ST172-NY-S</v>
          </cell>
          <cell r="B4037" t="str">
            <v>ST172</v>
          </cell>
        </row>
        <row r="4038">
          <cell r="A4038" t="str">
            <v>ST172-NY-XL</v>
          </cell>
          <cell r="B4038" t="str">
            <v>ST172</v>
          </cell>
        </row>
        <row r="4039">
          <cell r="A4039" t="str">
            <v>ST172-NY-XXL</v>
          </cell>
          <cell r="B4039" t="str">
            <v>ST172</v>
          </cell>
        </row>
        <row r="4040">
          <cell r="A4040" t="str">
            <v>ST172-PK-L</v>
          </cell>
          <cell r="B4040" t="str">
            <v>ST172</v>
          </cell>
        </row>
        <row r="4041">
          <cell r="A4041" t="str">
            <v>ST172-PK-M</v>
          </cell>
          <cell r="B4041" t="str">
            <v>ST172</v>
          </cell>
        </row>
        <row r="4042">
          <cell r="A4042" t="str">
            <v>ST172-PK-S</v>
          </cell>
          <cell r="B4042" t="str">
            <v>ST172</v>
          </cell>
        </row>
        <row r="4043">
          <cell r="A4043" t="str">
            <v>ST172-PK-XL</v>
          </cell>
          <cell r="B4043" t="str">
            <v>ST172</v>
          </cell>
        </row>
        <row r="4044">
          <cell r="A4044" t="str">
            <v>ST172-PK-XXL</v>
          </cell>
          <cell r="B4044" t="str">
            <v>ST172</v>
          </cell>
        </row>
        <row r="4045">
          <cell r="A4045" t="str">
            <v>ST172-PP-L</v>
          </cell>
          <cell r="B4045" t="str">
            <v>ST172</v>
          </cell>
        </row>
        <row r="4046">
          <cell r="A4046" t="str">
            <v>ST172-PP-M</v>
          </cell>
          <cell r="B4046" t="str">
            <v>ST172</v>
          </cell>
        </row>
        <row r="4047">
          <cell r="A4047" t="str">
            <v>ST172-PP-S</v>
          </cell>
          <cell r="B4047" t="str">
            <v>ST172</v>
          </cell>
        </row>
        <row r="4048">
          <cell r="A4048" t="str">
            <v>ST172-PP-XL</v>
          </cell>
          <cell r="B4048" t="str">
            <v>ST172</v>
          </cell>
        </row>
        <row r="4049">
          <cell r="A4049" t="str">
            <v>ST172-PP-XXL</v>
          </cell>
          <cell r="B4049" t="str">
            <v>ST172</v>
          </cell>
        </row>
        <row r="4050">
          <cell r="A4050" t="str">
            <v>ST172-WR-L</v>
          </cell>
          <cell r="B4050" t="str">
            <v>ST172</v>
          </cell>
        </row>
        <row r="4051">
          <cell r="A4051" t="str">
            <v>ST172-WR-M</v>
          </cell>
          <cell r="B4051" t="str">
            <v>ST172</v>
          </cell>
        </row>
        <row r="4052">
          <cell r="A4052" t="str">
            <v>ST172-WR-S</v>
          </cell>
          <cell r="B4052" t="str">
            <v>ST172</v>
          </cell>
        </row>
        <row r="4053">
          <cell r="A4053" t="str">
            <v>ST172-WR-XL</v>
          </cell>
          <cell r="B4053" t="str">
            <v>ST172</v>
          </cell>
        </row>
        <row r="4054">
          <cell r="A4054" t="str">
            <v>ST172-WR-XXL</v>
          </cell>
          <cell r="B4054" t="str">
            <v>ST172</v>
          </cell>
        </row>
        <row r="4055">
          <cell r="A4055" t="str">
            <v>ST172-WT1-L</v>
          </cell>
          <cell r="B4055" t="str">
            <v>ST172</v>
          </cell>
        </row>
        <row r="4056">
          <cell r="A4056" t="str">
            <v>ST172-WT1-M</v>
          </cell>
          <cell r="B4056" t="str">
            <v>ST172</v>
          </cell>
        </row>
        <row r="4057">
          <cell r="A4057" t="str">
            <v>ST172-WT1-S</v>
          </cell>
          <cell r="B4057" t="str">
            <v>ST172</v>
          </cell>
        </row>
        <row r="4058">
          <cell r="A4058" t="str">
            <v>ST172-WT1-XL</v>
          </cell>
          <cell r="B4058" t="str">
            <v>ST172</v>
          </cell>
        </row>
        <row r="4059">
          <cell r="A4059" t="str">
            <v>ST172-WT1-XXL</v>
          </cell>
          <cell r="B4059" t="str">
            <v>ST172</v>
          </cell>
        </row>
        <row r="4060">
          <cell r="A4060" t="str">
            <v>ST172-WT2-L</v>
          </cell>
          <cell r="B4060" t="str">
            <v>ST172</v>
          </cell>
        </row>
        <row r="4061">
          <cell r="A4061" t="str">
            <v>ST172-WT2-M</v>
          </cell>
          <cell r="B4061" t="str">
            <v>ST172</v>
          </cell>
        </row>
        <row r="4062">
          <cell r="A4062" t="str">
            <v>ST172-WT2-S</v>
          </cell>
          <cell r="B4062" t="str">
            <v>ST172</v>
          </cell>
        </row>
        <row r="4063">
          <cell r="A4063" t="str">
            <v>ST172-WT2-XL</v>
          </cell>
          <cell r="B4063" t="str">
            <v>ST172</v>
          </cell>
        </row>
        <row r="4064">
          <cell r="A4064" t="str">
            <v>ST172-WT2-XXL</v>
          </cell>
          <cell r="B4064" t="str">
            <v>ST172</v>
          </cell>
        </row>
        <row r="4065">
          <cell r="A4065" t="str">
            <v>ST173-BK-L</v>
          </cell>
          <cell r="B4065" t="str">
            <v>ST173</v>
          </cell>
        </row>
        <row r="4066">
          <cell r="A4066" t="str">
            <v>ST173-BK-M</v>
          </cell>
          <cell r="B4066" t="str">
            <v>ST173</v>
          </cell>
        </row>
        <row r="4067">
          <cell r="A4067" t="str">
            <v>ST173-BK-S</v>
          </cell>
          <cell r="B4067" t="str">
            <v>ST173</v>
          </cell>
        </row>
        <row r="4068">
          <cell r="A4068" t="str">
            <v>ST173-BK-XL</v>
          </cell>
          <cell r="B4068" t="str">
            <v>ST173</v>
          </cell>
        </row>
        <row r="4069">
          <cell r="A4069" t="str">
            <v>ST173-BK-XXL</v>
          </cell>
          <cell r="B4069" t="str">
            <v>ST173</v>
          </cell>
        </row>
        <row r="4070">
          <cell r="A4070" t="str">
            <v>ST173-BL-L</v>
          </cell>
          <cell r="B4070" t="str">
            <v>ST173</v>
          </cell>
        </row>
        <row r="4071">
          <cell r="A4071" t="str">
            <v>ST173-BL-M</v>
          </cell>
          <cell r="B4071" t="str">
            <v>ST173</v>
          </cell>
        </row>
        <row r="4072">
          <cell r="A4072" t="str">
            <v>ST173-BL-S</v>
          </cell>
          <cell r="B4072" t="str">
            <v>ST173</v>
          </cell>
        </row>
        <row r="4073">
          <cell r="A4073" t="str">
            <v>ST173-BL-XL</v>
          </cell>
          <cell r="B4073" t="str">
            <v>ST173</v>
          </cell>
        </row>
        <row r="4074">
          <cell r="A4074" t="str">
            <v>ST173-BL-XXL</v>
          </cell>
          <cell r="B4074" t="str">
            <v>ST173</v>
          </cell>
        </row>
        <row r="4075">
          <cell r="A4075" t="str">
            <v>ST173-GR-L</v>
          </cell>
          <cell r="B4075" t="str">
            <v>ST173</v>
          </cell>
        </row>
        <row r="4076">
          <cell r="A4076" t="str">
            <v>ST173-GR-M</v>
          </cell>
          <cell r="B4076" t="str">
            <v>ST173</v>
          </cell>
        </row>
        <row r="4077">
          <cell r="A4077" t="str">
            <v>ST173-GR-S</v>
          </cell>
          <cell r="B4077" t="str">
            <v>ST173</v>
          </cell>
        </row>
        <row r="4078">
          <cell r="A4078" t="str">
            <v>ST173-GR-XL</v>
          </cell>
          <cell r="B4078" t="str">
            <v>ST173</v>
          </cell>
        </row>
        <row r="4079">
          <cell r="A4079" t="str">
            <v>ST173-GR-XXL</v>
          </cell>
          <cell r="B4079" t="str">
            <v>ST173</v>
          </cell>
        </row>
        <row r="4080">
          <cell r="A4080" t="str">
            <v>ST173-NY-L</v>
          </cell>
          <cell r="B4080" t="str">
            <v>ST173</v>
          </cell>
        </row>
        <row r="4081">
          <cell r="A4081" t="str">
            <v>ST173-NY-M</v>
          </cell>
          <cell r="B4081" t="str">
            <v>ST173</v>
          </cell>
        </row>
        <row r="4082">
          <cell r="A4082" t="str">
            <v>ST173-NY-S</v>
          </cell>
          <cell r="B4082" t="str">
            <v>ST173</v>
          </cell>
        </row>
        <row r="4083">
          <cell r="A4083" t="str">
            <v>ST173-NY-XL</v>
          </cell>
          <cell r="B4083" t="str">
            <v>ST173</v>
          </cell>
        </row>
        <row r="4084">
          <cell r="A4084" t="str">
            <v>ST173-NY-XXL</v>
          </cell>
          <cell r="B4084" t="str">
            <v>ST173</v>
          </cell>
        </row>
        <row r="4085">
          <cell r="A4085" t="str">
            <v>ST173-PK-L</v>
          </cell>
          <cell r="B4085" t="str">
            <v>ST173</v>
          </cell>
        </row>
        <row r="4086">
          <cell r="A4086" t="str">
            <v>ST173-PK-M</v>
          </cell>
          <cell r="B4086" t="str">
            <v>ST173</v>
          </cell>
        </row>
        <row r="4087">
          <cell r="A4087" t="str">
            <v>ST173-PK-S</v>
          </cell>
          <cell r="B4087" t="str">
            <v>ST173</v>
          </cell>
        </row>
        <row r="4088">
          <cell r="A4088" t="str">
            <v>ST173-PK-XL</v>
          </cell>
          <cell r="B4088" t="str">
            <v>ST173</v>
          </cell>
        </row>
        <row r="4089">
          <cell r="A4089" t="str">
            <v>ST173-PK-XXL</v>
          </cell>
          <cell r="B4089" t="str">
            <v>ST173</v>
          </cell>
        </row>
        <row r="4090">
          <cell r="A4090" t="str">
            <v>ST173-PP-L</v>
          </cell>
          <cell r="B4090" t="str">
            <v>ST173</v>
          </cell>
        </row>
        <row r="4091">
          <cell r="A4091" t="str">
            <v>ST173-PP-M</v>
          </cell>
          <cell r="B4091" t="str">
            <v>ST173</v>
          </cell>
        </row>
        <row r="4092">
          <cell r="A4092" t="str">
            <v>ST173-PP-S</v>
          </cell>
          <cell r="B4092" t="str">
            <v>ST173</v>
          </cell>
        </row>
        <row r="4093">
          <cell r="A4093" t="str">
            <v>ST173-PP-XL</v>
          </cell>
          <cell r="B4093" t="str">
            <v>ST173</v>
          </cell>
        </row>
        <row r="4094">
          <cell r="A4094" t="str">
            <v>ST173-PP-XXL</v>
          </cell>
          <cell r="B4094" t="str">
            <v>ST173</v>
          </cell>
        </row>
        <row r="4095">
          <cell r="A4095" t="str">
            <v>ST173-WR-L</v>
          </cell>
          <cell r="B4095" t="str">
            <v>ST173</v>
          </cell>
        </row>
        <row r="4096">
          <cell r="A4096" t="str">
            <v>ST173-WR-M</v>
          </cell>
          <cell r="B4096" t="str">
            <v>ST173</v>
          </cell>
        </row>
        <row r="4097">
          <cell r="A4097" t="str">
            <v>ST173-WR-S</v>
          </cell>
          <cell r="B4097" t="str">
            <v>ST173</v>
          </cell>
        </row>
        <row r="4098">
          <cell r="A4098" t="str">
            <v>ST173-WR-XL</v>
          </cell>
          <cell r="B4098" t="str">
            <v>ST173</v>
          </cell>
        </row>
        <row r="4099">
          <cell r="A4099" t="str">
            <v>ST173-WR-XXL</v>
          </cell>
          <cell r="B4099" t="str">
            <v>ST173</v>
          </cell>
        </row>
        <row r="4100">
          <cell r="A4100" t="str">
            <v>ST173-WT1-L</v>
          </cell>
          <cell r="B4100" t="str">
            <v>ST173</v>
          </cell>
        </row>
        <row r="4101">
          <cell r="A4101" t="str">
            <v>ST173-WT1-M</v>
          </cell>
          <cell r="B4101" t="str">
            <v>ST173</v>
          </cell>
        </row>
        <row r="4102">
          <cell r="A4102" t="str">
            <v>ST173-WT1-S</v>
          </cell>
          <cell r="B4102" t="str">
            <v>ST173</v>
          </cell>
        </row>
        <row r="4103">
          <cell r="A4103" t="str">
            <v>ST173-WT1-XL</v>
          </cell>
          <cell r="B4103" t="str">
            <v>ST173</v>
          </cell>
        </row>
        <row r="4104">
          <cell r="A4104" t="str">
            <v>ST173-WT1-XXL</v>
          </cell>
          <cell r="B4104" t="str">
            <v>ST173</v>
          </cell>
        </row>
        <row r="4105">
          <cell r="A4105" t="str">
            <v>ST173-WT2-L</v>
          </cell>
          <cell r="B4105" t="str">
            <v>ST173</v>
          </cell>
        </row>
        <row r="4106">
          <cell r="A4106" t="str">
            <v>ST173-WT2-M</v>
          </cell>
          <cell r="B4106" t="str">
            <v>ST173</v>
          </cell>
        </row>
        <row r="4107">
          <cell r="A4107" t="str">
            <v>ST173-WT2-S</v>
          </cell>
          <cell r="B4107" t="str">
            <v>ST173</v>
          </cell>
        </row>
        <row r="4108">
          <cell r="A4108" t="str">
            <v>ST173-WT2-XL</v>
          </cell>
          <cell r="B4108" t="str">
            <v>ST173</v>
          </cell>
        </row>
        <row r="4109">
          <cell r="A4109" t="str">
            <v>ST173-WT2-XXL</v>
          </cell>
          <cell r="B4109" t="str">
            <v>ST173</v>
          </cell>
        </row>
        <row r="4110">
          <cell r="A4110" t="str">
            <v>ST181-G912-L</v>
          </cell>
          <cell r="B4110" t="str">
            <v>ST181</v>
          </cell>
        </row>
        <row r="4111">
          <cell r="A4111" t="str">
            <v>ST181-G912-M</v>
          </cell>
          <cell r="B4111" t="str">
            <v>ST181</v>
          </cell>
        </row>
        <row r="4112">
          <cell r="A4112" t="str">
            <v>ST181-G912-S</v>
          </cell>
          <cell r="B4112" t="str">
            <v>ST181</v>
          </cell>
        </row>
        <row r="4113">
          <cell r="A4113" t="str">
            <v>ST181-G912-XL</v>
          </cell>
          <cell r="B4113" t="str">
            <v>ST181</v>
          </cell>
        </row>
        <row r="4114">
          <cell r="A4114" t="str">
            <v>ST181-G912-XXL</v>
          </cell>
          <cell r="B4114" t="str">
            <v>ST181</v>
          </cell>
        </row>
        <row r="4115">
          <cell r="A4115" t="str">
            <v>ST181-LB916-L</v>
          </cell>
          <cell r="B4115" t="str">
            <v>ST181</v>
          </cell>
        </row>
        <row r="4116">
          <cell r="A4116" t="str">
            <v>ST181-LB916-M</v>
          </cell>
          <cell r="B4116" t="str">
            <v>ST181</v>
          </cell>
        </row>
        <row r="4117">
          <cell r="A4117" t="str">
            <v>ST181-LB916-S</v>
          </cell>
          <cell r="B4117" t="str">
            <v>ST181</v>
          </cell>
        </row>
        <row r="4118">
          <cell r="A4118" t="str">
            <v>ST181-LB916-XL</v>
          </cell>
          <cell r="B4118" t="str">
            <v>ST181</v>
          </cell>
        </row>
        <row r="4119">
          <cell r="A4119" t="str">
            <v>ST181-LB916-XXL</v>
          </cell>
          <cell r="B4119" t="str">
            <v>ST181</v>
          </cell>
        </row>
        <row r="4120">
          <cell r="A4120" t="str">
            <v>ST181-LG907-L</v>
          </cell>
          <cell r="B4120" t="str">
            <v>ST181</v>
          </cell>
        </row>
        <row r="4121">
          <cell r="A4121" t="str">
            <v>ST181-LG907-M</v>
          </cell>
          <cell r="B4121" t="str">
            <v>ST181</v>
          </cell>
        </row>
        <row r="4122">
          <cell r="A4122" t="str">
            <v>ST181-LG907-S</v>
          </cell>
          <cell r="B4122" t="str">
            <v>ST181</v>
          </cell>
        </row>
        <row r="4123">
          <cell r="A4123" t="str">
            <v>ST181-LG907-XL</v>
          </cell>
          <cell r="B4123" t="str">
            <v>ST181</v>
          </cell>
        </row>
        <row r="4124">
          <cell r="A4124" t="str">
            <v>ST181-LG907-XXL</v>
          </cell>
          <cell r="B4124" t="str">
            <v>ST181</v>
          </cell>
        </row>
        <row r="4125">
          <cell r="A4125" t="str">
            <v>ST181-PI908-L</v>
          </cell>
          <cell r="B4125" t="str">
            <v>ST181</v>
          </cell>
        </row>
        <row r="4126">
          <cell r="A4126" t="str">
            <v>ST181-PI908-M</v>
          </cell>
          <cell r="B4126" t="str">
            <v>ST181</v>
          </cell>
        </row>
        <row r="4127">
          <cell r="A4127" t="str">
            <v>ST181-PI908-S</v>
          </cell>
          <cell r="B4127" t="str">
            <v>ST181</v>
          </cell>
        </row>
        <row r="4128">
          <cell r="A4128" t="str">
            <v>ST181-PI908-XL</v>
          </cell>
          <cell r="B4128" t="str">
            <v>ST181</v>
          </cell>
        </row>
        <row r="4129">
          <cell r="A4129" t="str">
            <v>ST181-PI908-XXL</v>
          </cell>
          <cell r="B4129" t="str">
            <v>ST181</v>
          </cell>
        </row>
        <row r="4130">
          <cell r="A4130" t="str">
            <v>ST181-Sa911-L</v>
          </cell>
          <cell r="B4130" t="str">
            <v>ST181</v>
          </cell>
        </row>
        <row r="4131">
          <cell r="A4131" t="str">
            <v>ST181-Sa911-M</v>
          </cell>
          <cell r="B4131" t="str">
            <v>ST181</v>
          </cell>
        </row>
        <row r="4132">
          <cell r="A4132" t="str">
            <v>ST181-Sa911-S</v>
          </cell>
          <cell r="B4132" t="str">
            <v>ST181</v>
          </cell>
        </row>
        <row r="4133">
          <cell r="A4133" t="str">
            <v>ST181-Sa911-XL</v>
          </cell>
          <cell r="B4133" t="str">
            <v>ST181</v>
          </cell>
        </row>
        <row r="4134">
          <cell r="A4134" t="str">
            <v>ST181-Sa911-XXL</v>
          </cell>
          <cell r="B4134" t="str">
            <v>ST181</v>
          </cell>
        </row>
        <row r="4135">
          <cell r="A4135" t="str">
            <v>ST181-W902-L</v>
          </cell>
          <cell r="B4135" t="str">
            <v>ST181</v>
          </cell>
        </row>
        <row r="4136">
          <cell r="A4136" t="str">
            <v>ST181-W902-M</v>
          </cell>
          <cell r="B4136" t="str">
            <v>ST181</v>
          </cell>
        </row>
        <row r="4137">
          <cell r="A4137" t="str">
            <v>ST181-W902-S</v>
          </cell>
          <cell r="B4137" t="str">
            <v>ST181</v>
          </cell>
        </row>
        <row r="4138">
          <cell r="A4138" t="str">
            <v>ST181-W902-XL</v>
          </cell>
          <cell r="B4138" t="str">
            <v>ST181</v>
          </cell>
        </row>
        <row r="4139">
          <cell r="A4139" t="str">
            <v>ST181-W902-XXL</v>
          </cell>
          <cell r="B4139" t="str">
            <v>ST181</v>
          </cell>
        </row>
        <row r="4140">
          <cell r="A4140" t="str">
            <v>ST181-WR917-L</v>
          </cell>
          <cell r="B4140" t="str">
            <v>ST181</v>
          </cell>
        </row>
        <row r="4141">
          <cell r="A4141" t="str">
            <v>ST181-WR917-M</v>
          </cell>
          <cell r="B4141" t="str">
            <v>ST181</v>
          </cell>
        </row>
        <row r="4142">
          <cell r="A4142" t="str">
            <v>ST181-WR917-S</v>
          </cell>
          <cell r="B4142" t="str">
            <v>ST181</v>
          </cell>
        </row>
        <row r="4143">
          <cell r="A4143" t="str">
            <v>ST181-WR917-XL</v>
          </cell>
          <cell r="B4143" t="str">
            <v>ST181</v>
          </cell>
        </row>
        <row r="4144">
          <cell r="A4144" t="str">
            <v>ST181-WR917-XXL</v>
          </cell>
          <cell r="B4144" t="str">
            <v>ST181</v>
          </cell>
        </row>
        <row r="4145">
          <cell r="A4145" t="str">
            <v>ST181-ZL918-L</v>
          </cell>
          <cell r="B4145" t="str">
            <v>ST181</v>
          </cell>
        </row>
        <row r="4146">
          <cell r="A4146" t="str">
            <v>ST181-ZL918-M</v>
          </cell>
          <cell r="B4146" t="str">
            <v>ST181</v>
          </cell>
        </row>
        <row r="4147">
          <cell r="A4147" t="str">
            <v>ST181-ZL918-S</v>
          </cell>
          <cell r="B4147" t="str">
            <v>ST181</v>
          </cell>
        </row>
        <row r="4148">
          <cell r="A4148" t="str">
            <v>ST181-ZL918-XL</v>
          </cell>
          <cell r="B4148" t="str">
            <v>ST181</v>
          </cell>
        </row>
        <row r="4149">
          <cell r="A4149" t="str">
            <v>ST181-ZL918-XXL</v>
          </cell>
          <cell r="B4149" t="str">
            <v>ST181</v>
          </cell>
        </row>
        <row r="4150">
          <cell r="A4150" t="str">
            <v>STJ-1235</v>
          </cell>
          <cell r="B4150" t="str">
            <v>STJ-1235</v>
          </cell>
        </row>
        <row r="4151">
          <cell r="A4151" t="str">
            <v>STJ-1235W0</v>
          </cell>
          <cell r="B4151" t="str">
            <v>STJ-1235</v>
          </cell>
        </row>
        <row r="4152">
          <cell r="A4152" t="str">
            <v>STJ-CF1245-BK</v>
          </cell>
          <cell r="B4152" t="str">
            <v>STJ-CF1245</v>
          </cell>
        </row>
        <row r="4153">
          <cell r="A4153" t="str">
            <v>STJ-CF1245-SUMMERTIME-BK</v>
          </cell>
          <cell r="B4153" t="str">
            <v>STJ-CF1245</v>
          </cell>
        </row>
        <row r="4154">
          <cell r="A4154" t="str">
            <v>STJ-CF1245-SUMMERTIME-BUGR</v>
          </cell>
          <cell r="B4154" t="str">
            <v>STJ-CF1245</v>
          </cell>
        </row>
        <row r="4155">
          <cell r="A4155" t="str">
            <v>STJ-CF1245-SUMMERTIME-WH</v>
          </cell>
          <cell r="B4155" t="str">
            <v>STJ-CF1245</v>
          </cell>
        </row>
        <row r="4156">
          <cell r="A4156" t="str">
            <v>STJ-CF1245-WHOSAID-LTBU</v>
          </cell>
          <cell r="B4156" t="str">
            <v>STJ-CF1245</v>
          </cell>
        </row>
        <row r="4157">
          <cell r="A4157" t="str">
            <v>STJ-ZS55016B01X</v>
          </cell>
          <cell r="B4157" t="str">
            <v>STJ-ZS55016</v>
          </cell>
        </row>
        <row r="4158">
          <cell r="A4158" t="str">
            <v>STJ-ZS55016B0L</v>
          </cell>
          <cell r="B4158" t="str">
            <v>STJ-ZS55016</v>
          </cell>
        </row>
        <row r="4159">
          <cell r="A4159" t="str">
            <v>STJ-ZS55016B0M</v>
          </cell>
          <cell r="B4159" t="str">
            <v>STJ-ZS55016</v>
          </cell>
        </row>
        <row r="4160">
          <cell r="A4160" t="str">
            <v>STJ-ZS55016B0XL</v>
          </cell>
          <cell r="B4160" t="str">
            <v>STJ-ZS55016</v>
          </cell>
        </row>
        <row r="4161">
          <cell r="A4161" t="str">
            <v>STJ-ZS55016B31X</v>
          </cell>
          <cell r="B4161" t="str">
            <v>STJ-ZS55016</v>
          </cell>
        </row>
        <row r="4162">
          <cell r="A4162" t="str">
            <v>STJ-ZS55016B3L</v>
          </cell>
          <cell r="B4162" t="str">
            <v>STJ-ZS55016</v>
          </cell>
        </row>
        <row r="4163">
          <cell r="A4163" t="str">
            <v>STJ-ZS55016B3M</v>
          </cell>
          <cell r="B4163" t="str">
            <v>STJ-ZS55016</v>
          </cell>
        </row>
        <row r="4164">
          <cell r="A4164" t="str">
            <v>STJ-ZS55016B3XL</v>
          </cell>
          <cell r="B4164" t="str">
            <v>STJ-ZS55016</v>
          </cell>
        </row>
        <row r="4165">
          <cell r="A4165" t="str">
            <v>STJ-ZS55016G01X</v>
          </cell>
          <cell r="B4165" t="str">
            <v>STJ-ZS55016</v>
          </cell>
        </row>
        <row r="4166">
          <cell r="A4166" t="str">
            <v>STJ-ZS55016G0L</v>
          </cell>
          <cell r="B4166" t="str">
            <v>STJ-ZS55016</v>
          </cell>
        </row>
        <row r="4167">
          <cell r="A4167" t="str">
            <v>STJ-ZS55016G0M</v>
          </cell>
          <cell r="B4167" t="str">
            <v>STJ-ZS55016</v>
          </cell>
        </row>
        <row r="4168">
          <cell r="A4168" t="str">
            <v>STJ-ZS55016G0XL</v>
          </cell>
          <cell r="B4168" t="str">
            <v>STJ-ZS55016</v>
          </cell>
        </row>
        <row r="4169">
          <cell r="A4169" t="str">
            <v>STJ-ZS55016K01X</v>
          </cell>
          <cell r="B4169" t="str">
            <v>STJ-ZS55016</v>
          </cell>
        </row>
        <row r="4170">
          <cell r="A4170" t="str">
            <v>STJ-ZS55016K0L</v>
          </cell>
          <cell r="B4170" t="str">
            <v>STJ-ZS55016</v>
          </cell>
        </row>
        <row r="4171">
          <cell r="A4171" t="str">
            <v>STJ-ZS55016K0M</v>
          </cell>
          <cell r="B4171" t="str">
            <v>STJ-ZS55016</v>
          </cell>
        </row>
        <row r="4172">
          <cell r="A4172" t="str">
            <v>STJ-ZS55016K0XL</v>
          </cell>
          <cell r="B4172" t="str">
            <v>STJ-ZS55016</v>
          </cell>
        </row>
        <row r="4173">
          <cell r="A4173" t="str">
            <v>STJ-ZS55016R21X</v>
          </cell>
          <cell r="B4173" t="str">
            <v>STJ-ZS55016</v>
          </cell>
        </row>
        <row r="4174">
          <cell r="A4174" t="str">
            <v>STJ-ZS55016R2L</v>
          </cell>
          <cell r="B4174" t="str">
            <v>STJ-ZS55016</v>
          </cell>
        </row>
        <row r="4175">
          <cell r="A4175" t="str">
            <v>STJ-ZS55016R2M</v>
          </cell>
          <cell r="B4175" t="str">
            <v>STJ-ZS55016</v>
          </cell>
        </row>
        <row r="4176">
          <cell r="A4176" t="str">
            <v>STJ-ZS55016R2XL</v>
          </cell>
          <cell r="B4176" t="str">
            <v>STJ-ZS55016</v>
          </cell>
        </row>
        <row r="4177">
          <cell r="A4177" t="str">
            <v>STJ-ZS55016W01X</v>
          </cell>
          <cell r="B4177" t="str">
            <v>STJ-ZS55016</v>
          </cell>
        </row>
        <row r="4178">
          <cell r="A4178" t="str">
            <v>STJ-ZS55016W0L</v>
          </cell>
          <cell r="B4178" t="str">
            <v>STJ-ZS55016</v>
          </cell>
        </row>
        <row r="4179">
          <cell r="A4179" t="str">
            <v>STJ-ZS55016W0M</v>
          </cell>
          <cell r="B4179" t="str">
            <v>STJ-ZS55016</v>
          </cell>
        </row>
        <row r="4180">
          <cell r="A4180" t="str">
            <v>STJ-ZS55016W0XL</v>
          </cell>
          <cell r="B4180" t="str">
            <v>STJ-ZS55016</v>
          </cell>
        </row>
        <row r="4181">
          <cell r="A4181" t="str">
            <v>STJ-ZS55016Y01X</v>
          </cell>
          <cell r="B4181" t="str">
            <v>STJ-ZS55016</v>
          </cell>
        </row>
        <row r="4182">
          <cell r="A4182" t="str">
            <v>STJ-ZS55016Y0L</v>
          </cell>
          <cell r="B4182" t="str">
            <v>STJ-ZS55016</v>
          </cell>
        </row>
        <row r="4183">
          <cell r="A4183" t="str">
            <v>STJ-ZS55016Y0M</v>
          </cell>
          <cell r="B4183" t="str">
            <v>STJ-ZS55016</v>
          </cell>
        </row>
        <row r="4184">
          <cell r="A4184" t="str">
            <v>STJ-ZS55016Y0XL</v>
          </cell>
          <cell r="B4184" t="str">
            <v>STJ-ZS55016</v>
          </cell>
        </row>
        <row r="4185">
          <cell r="A4185" t="str">
            <v>ST-K157-AG-32</v>
          </cell>
          <cell r="B4185" t="str">
            <v>ST-K157</v>
          </cell>
        </row>
        <row r="4186">
          <cell r="A4186" t="str">
            <v>ST-K157-AG-34</v>
          </cell>
          <cell r="B4186" t="str">
            <v>ST-K157</v>
          </cell>
        </row>
        <row r="4187">
          <cell r="A4187" t="str">
            <v>ST-K157-AG-36</v>
          </cell>
          <cell r="B4187" t="str">
            <v>ST-K157</v>
          </cell>
        </row>
        <row r="4188">
          <cell r="A4188" t="str">
            <v>ST-K157-AG-38</v>
          </cell>
          <cell r="B4188" t="str">
            <v>ST-K157</v>
          </cell>
        </row>
        <row r="4189">
          <cell r="A4189" t="str">
            <v>ST-K157-AG-40</v>
          </cell>
          <cell r="B4189" t="str">
            <v>ST-K157</v>
          </cell>
        </row>
        <row r="4190">
          <cell r="A4190" t="str">
            <v>ST-K157-AG-42</v>
          </cell>
          <cell r="B4190" t="str">
            <v>ST-K157</v>
          </cell>
        </row>
        <row r="4191">
          <cell r="A4191" t="str">
            <v>ST-K157-AG-44</v>
          </cell>
          <cell r="B4191" t="str">
            <v>ST-K157</v>
          </cell>
        </row>
        <row r="4192">
          <cell r="A4192" t="str">
            <v>ST-K157-B0-32</v>
          </cell>
          <cell r="B4192" t="str">
            <v>ST-K157</v>
          </cell>
        </row>
        <row r="4193">
          <cell r="A4193" t="str">
            <v>ST-K157-B0-34</v>
          </cell>
          <cell r="B4193" t="str">
            <v>ST-K157</v>
          </cell>
        </row>
        <row r="4194">
          <cell r="A4194" t="str">
            <v>ST-K157-B0-36</v>
          </cell>
          <cell r="B4194" t="str">
            <v>ST-K157</v>
          </cell>
        </row>
        <row r="4195">
          <cell r="A4195" t="str">
            <v>ST-K157-B0-38</v>
          </cell>
          <cell r="B4195" t="str">
            <v>ST-K157</v>
          </cell>
        </row>
        <row r="4196">
          <cell r="A4196" t="str">
            <v>ST-K157-B0-40</v>
          </cell>
          <cell r="B4196" t="str">
            <v>ST-K157</v>
          </cell>
        </row>
        <row r="4197">
          <cell r="A4197" t="str">
            <v>ST-K157-B0-42</v>
          </cell>
          <cell r="B4197" t="str">
            <v>ST-K157</v>
          </cell>
        </row>
        <row r="4198">
          <cell r="A4198" t="str">
            <v>ST-K157-B0-44</v>
          </cell>
          <cell r="B4198" t="str">
            <v>ST-K157</v>
          </cell>
        </row>
        <row r="4199">
          <cell r="A4199" t="str">
            <v>ST-K157-K0-32</v>
          </cell>
          <cell r="B4199" t="str">
            <v>ST-K157</v>
          </cell>
        </row>
        <row r="4200">
          <cell r="A4200" t="str">
            <v>ST-K157-K0-34</v>
          </cell>
          <cell r="B4200" t="str">
            <v>ST-K157</v>
          </cell>
        </row>
        <row r="4201">
          <cell r="A4201" t="str">
            <v>ST-K157-K0-36</v>
          </cell>
          <cell r="B4201" t="str">
            <v>ST-K157</v>
          </cell>
        </row>
        <row r="4202">
          <cell r="A4202" t="str">
            <v>ST-K157-K0-38</v>
          </cell>
          <cell r="B4202" t="str">
            <v>ST-K157</v>
          </cell>
        </row>
        <row r="4203">
          <cell r="A4203" t="str">
            <v>ST-K157-K0-40</v>
          </cell>
          <cell r="B4203" t="str">
            <v>ST-K157</v>
          </cell>
        </row>
        <row r="4204">
          <cell r="A4204" t="str">
            <v>ST-K157-K0-42</v>
          </cell>
          <cell r="B4204" t="str">
            <v>ST-K157</v>
          </cell>
        </row>
        <row r="4205">
          <cell r="A4205" t="str">
            <v>ST-K157-K0-44</v>
          </cell>
          <cell r="B4205" t="str">
            <v>ST-K157</v>
          </cell>
        </row>
        <row r="4206">
          <cell r="A4206" t="str">
            <v>ST-K157-KQ-32</v>
          </cell>
          <cell r="B4206" t="str">
            <v>ST-K157</v>
          </cell>
        </row>
        <row r="4207">
          <cell r="A4207" t="str">
            <v>ST-K157-KQ-34</v>
          </cell>
          <cell r="B4207" t="str">
            <v>ST-K157</v>
          </cell>
        </row>
        <row r="4208">
          <cell r="A4208" t="str">
            <v>ST-K157-KQ-36</v>
          </cell>
          <cell r="B4208" t="str">
            <v>ST-K157</v>
          </cell>
        </row>
        <row r="4209">
          <cell r="A4209" t="str">
            <v>ST-K157-KQ-38</v>
          </cell>
          <cell r="B4209" t="str">
            <v>ST-K157</v>
          </cell>
        </row>
        <row r="4210">
          <cell r="A4210" t="str">
            <v>ST-K157-KQ-40</v>
          </cell>
          <cell r="B4210" t="str">
            <v>ST-K157</v>
          </cell>
        </row>
        <row r="4211">
          <cell r="A4211" t="str">
            <v>ST-K157-KQ-42</v>
          </cell>
          <cell r="B4211" t="str">
            <v>ST-K157</v>
          </cell>
        </row>
        <row r="4212">
          <cell r="A4212" t="str">
            <v>ST-K157-KQ-44</v>
          </cell>
          <cell r="B4212" t="str">
            <v>ST-K157</v>
          </cell>
        </row>
        <row r="4213">
          <cell r="A4213" t="str">
            <v>ST-K157-OR-32</v>
          </cell>
          <cell r="B4213" t="str">
            <v>ST-K157</v>
          </cell>
        </row>
        <row r="4214">
          <cell r="A4214" t="str">
            <v>ST-K157-OR-34</v>
          </cell>
          <cell r="B4214" t="str">
            <v>ST-K157</v>
          </cell>
        </row>
        <row r="4215">
          <cell r="A4215" t="str">
            <v>ST-K157-OR-36</v>
          </cell>
          <cell r="B4215" t="str">
            <v>ST-K157</v>
          </cell>
        </row>
        <row r="4216">
          <cell r="A4216" t="str">
            <v>ST-K157-OR-38</v>
          </cell>
          <cell r="B4216" t="str">
            <v>ST-K157</v>
          </cell>
        </row>
        <row r="4217">
          <cell r="A4217" t="str">
            <v>ST-K157-OR-40</v>
          </cell>
          <cell r="B4217" t="str">
            <v>ST-K157</v>
          </cell>
        </row>
        <row r="4218">
          <cell r="A4218" t="str">
            <v>ST-K157-OR-42</v>
          </cell>
          <cell r="B4218" t="str">
            <v>ST-K157</v>
          </cell>
        </row>
        <row r="4219">
          <cell r="A4219" t="str">
            <v>ST-K157-OR-44</v>
          </cell>
          <cell r="B4219" t="str">
            <v>ST-K157</v>
          </cell>
        </row>
        <row r="4220">
          <cell r="A4220" t="str">
            <v>ST-K518-B0-32</v>
          </cell>
          <cell r="B4220" t="str">
            <v>ST-K518</v>
          </cell>
        </row>
        <row r="4221">
          <cell r="A4221" t="str">
            <v>ST-K518-B0-34</v>
          </cell>
          <cell r="B4221" t="str">
            <v>ST-K518</v>
          </cell>
        </row>
        <row r="4222">
          <cell r="A4222" t="str">
            <v>ST-K518-B0-36</v>
          </cell>
          <cell r="B4222" t="str">
            <v>ST-K518</v>
          </cell>
        </row>
        <row r="4223">
          <cell r="A4223" t="str">
            <v>ST-K518-B0-38</v>
          </cell>
          <cell r="B4223" t="str">
            <v>ST-K518</v>
          </cell>
        </row>
        <row r="4224">
          <cell r="A4224" t="str">
            <v>ST-K518-B0-40</v>
          </cell>
          <cell r="B4224" t="str">
            <v>ST-K518</v>
          </cell>
        </row>
        <row r="4225">
          <cell r="A4225" t="str">
            <v>ST-K518-B0-42</v>
          </cell>
          <cell r="B4225" t="str">
            <v>ST-K518</v>
          </cell>
        </row>
        <row r="4226">
          <cell r="A4226" t="str">
            <v>ST-K518-B0-44</v>
          </cell>
          <cell r="B4226" t="str">
            <v>ST-K518</v>
          </cell>
        </row>
        <row r="4227">
          <cell r="A4227" t="str">
            <v>ST-K518-G0-32</v>
          </cell>
          <cell r="B4227" t="str">
            <v>ST-K518</v>
          </cell>
        </row>
        <row r="4228">
          <cell r="A4228" t="str">
            <v>ST-K518-G0-34</v>
          </cell>
          <cell r="B4228" t="str">
            <v>ST-K518</v>
          </cell>
        </row>
        <row r="4229">
          <cell r="A4229" t="str">
            <v>ST-K518-G0-36</v>
          </cell>
          <cell r="B4229" t="str">
            <v>ST-K518</v>
          </cell>
        </row>
        <row r="4230">
          <cell r="A4230" t="str">
            <v>ST-K518-G0-38</v>
          </cell>
          <cell r="B4230" t="str">
            <v>ST-K518</v>
          </cell>
        </row>
        <row r="4231">
          <cell r="A4231" t="str">
            <v>ST-K518-G0-40</v>
          </cell>
          <cell r="B4231" t="str">
            <v>ST-K518</v>
          </cell>
        </row>
        <row r="4232">
          <cell r="A4232" t="str">
            <v>ST-K518-G0-42</v>
          </cell>
          <cell r="B4232" t="str">
            <v>ST-K518</v>
          </cell>
        </row>
        <row r="4233">
          <cell r="A4233" t="str">
            <v>ST-K518-G0-44</v>
          </cell>
          <cell r="B4233" t="str">
            <v>ST-K518</v>
          </cell>
        </row>
        <row r="4234">
          <cell r="A4234" t="str">
            <v>ST-K518-K0-32</v>
          </cell>
          <cell r="B4234" t="str">
            <v>ST-K518</v>
          </cell>
        </row>
        <row r="4235">
          <cell r="A4235" t="str">
            <v>ST-K518-K0-34</v>
          </cell>
          <cell r="B4235" t="str">
            <v>ST-K518</v>
          </cell>
        </row>
        <row r="4236">
          <cell r="A4236" t="str">
            <v>ST-K518-K0-36</v>
          </cell>
          <cell r="B4236" t="str">
            <v>ST-K518</v>
          </cell>
        </row>
        <row r="4237">
          <cell r="A4237" t="str">
            <v>ST-K518-K0-38</v>
          </cell>
          <cell r="B4237" t="str">
            <v>ST-K518</v>
          </cell>
        </row>
        <row r="4238">
          <cell r="A4238" t="str">
            <v>ST-K518-K0-40</v>
          </cell>
          <cell r="B4238" t="str">
            <v>ST-K518</v>
          </cell>
        </row>
        <row r="4239">
          <cell r="A4239" t="str">
            <v>ST-K518-K0-42</v>
          </cell>
          <cell r="B4239" t="str">
            <v>ST-K518</v>
          </cell>
        </row>
        <row r="4240">
          <cell r="A4240" t="str">
            <v>ST-K518-K0-44</v>
          </cell>
          <cell r="B4240" t="str">
            <v>ST-K518</v>
          </cell>
        </row>
        <row r="4241">
          <cell r="A4241" t="str">
            <v>ST-K518-KQ-32</v>
          </cell>
          <cell r="B4241" t="str">
            <v>ST-K518</v>
          </cell>
        </row>
        <row r="4242">
          <cell r="A4242" t="str">
            <v>ST-K518-KQ-34</v>
          </cell>
          <cell r="B4242" t="str">
            <v>ST-K518</v>
          </cell>
        </row>
        <row r="4243">
          <cell r="A4243" t="str">
            <v>ST-K518-KQ-36</v>
          </cell>
          <cell r="B4243" t="str">
            <v>ST-K518</v>
          </cell>
        </row>
        <row r="4244">
          <cell r="A4244" t="str">
            <v>ST-K518-KQ-38</v>
          </cell>
          <cell r="B4244" t="str">
            <v>ST-K518</v>
          </cell>
        </row>
        <row r="4245">
          <cell r="A4245" t="str">
            <v>ST-K518-KQ-40</v>
          </cell>
          <cell r="B4245" t="str">
            <v>ST-K518</v>
          </cell>
        </row>
        <row r="4246">
          <cell r="A4246" t="str">
            <v>ST-K518-KQ-42</v>
          </cell>
          <cell r="B4246" t="str">
            <v>ST-K518</v>
          </cell>
        </row>
        <row r="4247">
          <cell r="A4247" t="str">
            <v>ST-K518-KQ-44</v>
          </cell>
          <cell r="B4247" t="str">
            <v>ST-K518</v>
          </cell>
        </row>
        <row r="4248">
          <cell r="A4248" t="str">
            <v>ST-K518-OR-32</v>
          </cell>
          <cell r="B4248" t="str">
            <v>ST-K518</v>
          </cell>
        </row>
        <row r="4249">
          <cell r="A4249" t="str">
            <v>ST-K518-OR-34</v>
          </cell>
          <cell r="B4249" t="str">
            <v>ST-K518</v>
          </cell>
        </row>
        <row r="4250">
          <cell r="A4250" t="str">
            <v>ST-K518-OR-36</v>
          </cell>
          <cell r="B4250" t="str">
            <v>ST-K518</v>
          </cell>
        </row>
        <row r="4251">
          <cell r="A4251" t="str">
            <v>ST-K518-OR-38</v>
          </cell>
          <cell r="B4251" t="str">
            <v>ST-K518</v>
          </cell>
        </row>
        <row r="4252">
          <cell r="A4252" t="str">
            <v>ST-K518-OR-40</v>
          </cell>
          <cell r="B4252" t="str">
            <v>ST-K518</v>
          </cell>
        </row>
        <row r="4253">
          <cell r="A4253" t="str">
            <v>ST-K518-OR-42</v>
          </cell>
          <cell r="B4253" t="str">
            <v>ST-K518</v>
          </cell>
        </row>
        <row r="4254">
          <cell r="A4254" t="str">
            <v>ST-K518-OR-44</v>
          </cell>
          <cell r="B4254" t="str">
            <v>ST-K518</v>
          </cell>
        </row>
        <row r="4255">
          <cell r="A4255" t="str">
            <v>ST-K559-K0-32</v>
          </cell>
          <cell r="B4255" t="str">
            <v>ST-K559</v>
          </cell>
        </row>
        <row r="4256">
          <cell r="A4256" t="str">
            <v>ST-K559-K0-34</v>
          </cell>
          <cell r="B4256" t="str">
            <v>ST-K559</v>
          </cell>
        </row>
        <row r="4257">
          <cell r="A4257" t="str">
            <v>ST-K559-K0-36</v>
          </cell>
          <cell r="B4257" t="str">
            <v>ST-K559</v>
          </cell>
        </row>
        <row r="4258">
          <cell r="A4258" t="str">
            <v>ST-K559-K0-38</v>
          </cell>
          <cell r="B4258" t="str">
            <v>ST-K559</v>
          </cell>
        </row>
        <row r="4259">
          <cell r="A4259" t="str">
            <v>ST-K559-K0-40</v>
          </cell>
          <cell r="B4259" t="str">
            <v>ST-K559</v>
          </cell>
        </row>
        <row r="4260">
          <cell r="A4260" t="str">
            <v>ST-K559-K0-42</v>
          </cell>
          <cell r="B4260" t="str">
            <v>ST-K559</v>
          </cell>
        </row>
        <row r="4261">
          <cell r="A4261" t="str">
            <v>ST-K559-K0-44</v>
          </cell>
          <cell r="B4261" t="str">
            <v>ST-K559</v>
          </cell>
        </row>
        <row r="4262">
          <cell r="A4262" t="str">
            <v>ST-K559-KQ-32</v>
          </cell>
          <cell r="B4262" t="str">
            <v>ST-K559</v>
          </cell>
        </row>
        <row r="4263">
          <cell r="A4263" t="str">
            <v>ST-K559-KQ-34</v>
          </cell>
          <cell r="B4263" t="str">
            <v>ST-K559</v>
          </cell>
        </row>
        <row r="4264">
          <cell r="A4264" t="str">
            <v>ST-K559-KQ-36</v>
          </cell>
          <cell r="B4264" t="str">
            <v>ST-K559</v>
          </cell>
        </row>
        <row r="4265">
          <cell r="A4265" t="str">
            <v>ST-K559-KQ-38</v>
          </cell>
          <cell r="B4265" t="str">
            <v>ST-K559</v>
          </cell>
        </row>
        <row r="4266">
          <cell r="A4266" t="str">
            <v>ST-K559-KQ-40</v>
          </cell>
          <cell r="B4266" t="str">
            <v>ST-K559</v>
          </cell>
        </row>
        <row r="4267">
          <cell r="A4267" t="str">
            <v>ST-K559-KQ-42</v>
          </cell>
          <cell r="B4267" t="str">
            <v>ST-K559</v>
          </cell>
        </row>
        <row r="4268">
          <cell r="A4268" t="str">
            <v>ST-K559-KQ-44</v>
          </cell>
          <cell r="B4268" t="str">
            <v>ST-K559</v>
          </cell>
        </row>
        <row r="4269">
          <cell r="A4269" t="str">
            <v>ST-K559-LB-32</v>
          </cell>
          <cell r="B4269" t="str">
            <v>ST-K559</v>
          </cell>
        </row>
        <row r="4270">
          <cell r="A4270" t="str">
            <v>ST-K559-LB-34</v>
          </cell>
          <cell r="B4270" t="str">
            <v>ST-K559</v>
          </cell>
        </row>
        <row r="4271">
          <cell r="A4271" t="str">
            <v>ST-K559-LB-36</v>
          </cell>
          <cell r="B4271" t="str">
            <v>ST-K559</v>
          </cell>
        </row>
        <row r="4272">
          <cell r="A4272" t="str">
            <v>ST-K559-LB-38</v>
          </cell>
          <cell r="B4272" t="str">
            <v>ST-K559</v>
          </cell>
        </row>
        <row r="4273">
          <cell r="A4273" t="str">
            <v>ST-K559-LB-40</v>
          </cell>
          <cell r="B4273" t="str">
            <v>ST-K559</v>
          </cell>
        </row>
        <row r="4274">
          <cell r="A4274" t="str">
            <v>ST-K559-LB-42</v>
          </cell>
          <cell r="B4274" t="str">
            <v>ST-K559</v>
          </cell>
        </row>
        <row r="4275">
          <cell r="A4275" t="str">
            <v>ST-K559-LB-44</v>
          </cell>
          <cell r="B4275" t="str">
            <v>ST-K559</v>
          </cell>
        </row>
        <row r="4276">
          <cell r="A4276" t="str">
            <v>ST-K559-OR-32</v>
          </cell>
          <cell r="B4276" t="str">
            <v>ST-K559</v>
          </cell>
        </row>
        <row r="4277">
          <cell r="A4277" t="str">
            <v>ST-K559-OR-34</v>
          </cell>
          <cell r="B4277" t="str">
            <v>ST-K559</v>
          </cell>
        </row>
        <row r="4278">
          <cell r="A4278" t="str">
            <v>ST-K559-OR-36</v>
          </cell>
          <cell r="B4278" t="str">
            <v>ST-K559</v>
          </cell>
        </row>
        <row r="4279">
          <cell r="A4279" t="str">
            <v>ST-K559-OR-38</v>
          </cell>
          <cell r="B4279" t="str">
            <v>ST-K559</v>
          </cell>
        </row>
        <row r="4280">
          <cell r="A4280" t="str">
            <v>ST-K559-OR-40</v>
          </cell>
          <cell r="B4280" t="str">
            <v>ST-K559</v>
          </cell>
        </row>
        <row r="4281">
          <cell r="A4281" t="str">
            <v>ST-K559-OR-42</v>
          </cell>
          <cell r="B4281" t="str">
            <v>ST-K559</v>
          </cell>
        </row>
        <row r="4282">
          <cell r="A4282" t="str">
            <v>ST-K559-OR-44</v>
          </cell>
          <cell r="B4282" t="str">
            <v>ST-K559</v>
          </cell>
        </row>
        <row r="4283">
          <cell r="A4283" t="str">
            <v>ST-K559-R0-32</v>
          </cell>
          <cell r="B4283" t="str">
            <v>ST-K559</v>
          </cell>
        </row>
        <row r="4284">
          <cell r="A4284" t="str">
            <v>ST-K559-R0-34</v>
          </cell>
          <cell r="B4284" t="str">
            <v>ST-K559</v>
          </cell>
        </row>
        <row r="4285">
          <cell r="A4285" t="str">
            <v>ST-K559-R0-36</v>
          </cell>
          <cell r="B4285" t="str">
            <v>ST-K559</v>
          </cell>
        </row>
        <row r="4286">
          <cell r="A4286" t="str">
            <v>ST-K559-R0-38</v>
          </cell>
          <cell r="B4286" t="str">
            <v>ST-K559</v>
          </cell>
        </row>
        <row r="4287">
          <cell r="A4287" t="str">
            <v>ST-K559-R0-40</v>
          </cell>
          <cell r="B4287" t="str">
            <v>ST-K559</v>
          </cell>
        </row>
        <row r="4288">
          <cell r="A4288" t="str">
            <v>ST-K559-R0-42</v>
          </cell>
          <cell r="B4288" t="str">
            <v>ST-K559</v>
          </cell>
        </row>
        <row r="4289">
          <cell r="A4289" t="str">
            <v>ST-K559-R0-44</v>
          </cell>
          <cell r="B4289" t="str">
            <v>ST-K559</v>
          </cell>
        </row>
        <row r="4290">
          <cell r="A4290" t="str">
            <v>SWEATPETJS12</v>
          </cell>
          <cell r="B4290" t="str">
            <v>SWEATPETJS</v>
          </cell>
        </row>
        <row r="4291">
          <cell r="A4291" t="str">
            <v>SWEATPETLAN12</v>
          </cell>
          <cell r="B4291" t="str">
            <v>SWEATPETLAN</v>
          </cell>
        </row>
        <row r="4292">
          <cell r="A4292" t="str">
            <v>SWEATPETLAN14</v>
          </cell>
          <cell r="B4292" t="str">
            <v>SWEATPETLAN</v>
          </cell>
        </row>
        <row r="4293">
          <cell r="A4293" t="str">
            <v>SWEATPETLAN28</v>
          </cell>
          <cell r="B4293" t="str">
            <v>SWEATPETLAN</v>
          </cell>
        </row>
        <row r="4294">
          <cell r="A4294" t="str">
            <v>SWEATPETRO24</v>
          </cell>
          <cell r="B4294" t="str">
            <v>SWEATPETR</v>
          </cell>
        </row>
        <row r="4295">
          <cell r="A4295" t="str">
            <v>SWEATPETRO28</v>
          </cell>
          <cell r="B4295" t="str">
            <v>SWEATPETR</v>
          </cell>
        </row>
        <row r="4296">
          <cell r="A4296" t="str">
            <v>SXHLYITAO1-LH-001BO40x60CM</v>
          </cell>
          <cell r="B4296" t="str">
            <v>SXHLYITAO1</v>
          </cell>
        </row>
        <row r="4297">
          <cell r="A4297" t="str">
            <v>SXHLYITAO1-LH-001MHS40x60CM</v>
          </cell>
          <cell r="B4297" t="str">
            <v>SXHLYITAO1</v>
          </cell>
        </row>
        <row r="4298">
          <cell r="A4298" t="str">
            <v>SXHLYITAO1-LH-001WI40x60CM</v>
          </cell>
          <cell r="B4298" t="str">
            <v>SXHLYITAO1</v>
          </cell>
        </row>
        <row r="4299">
          <cell r="A4299" t="str">
            <v>SXHLYITAO2-LH-001SKFS40x60CM</v>
          </cell>
          <cell r="B4299" t="str">
            <v>SXHLYITAO2</v>
          </cell>
        </row>
        <row r="4300">
          <cell r="A4300" t="str">
            <v>SXHLYITAO4-LH-001DHS40x60CM</v>
          </cell>
          <cell r="B4300" t="str">
            <v>SXHLYITAO4</v>
          </cell>
        </row>
        <row r="4301">
          <cell r="A4301" t="str">
            <v>SXHLYITAO5-LH-001QKS40x60CM</v>
          </cell>
          <cell r="B4301" t="str">
            <v>SXHLYITAO5</v>
          </cell>
        </row>
        <row r="4302">
          <cell r="A4302" t="str">
            <v>SXHLYITAO5-LH-001YHS40x60CM</v>
          </cell>
          <cell r="B4302" t="str">
            <v>SXHLYITAO5</v>
          </cell>
        </row>
        <row r="4303">
          <cell r="A4303" t="str">
            <v>TBYGREEN</v>
          </cell>
          <cell r="B4303" t="str">
            <v>TBY</v>
          </cell>
        </row>
        <row r="4304">
          <cell r="A4304" t="str">
            <v>TBYPJBLACK</v>
          </cell>
          <cell r="B4304" t="str">
            <v>TBYPJ</v>
          </cell>
        </row>
        <row r="4305">
          <cell r="A4305" t="str">
            <v>TBYPJBOGO</v>
          </cell>
          <cell r="B4305" t="str">
            <v>TBYPJ</v>
          </cell>
        </row>
        <row r="4306">
          <cell r="A4306" t="str">
            <v>TBYPRBFOUR-M</v>
          </cell>
          <cell r="B4306" t="str">
            <v>TBYPRB</v>
          </cell>
        </row>
        <row r="4307">
          <cell r="A4307" t="str">
            <v>TBYPRBONE-M</v>
          </cell>
          <cell r="B4307" t="str">
            <v>TBYPRB</v>
          </cell>
        </row>
        <row r="4308">
          <cell r="A4308" t="str">
            <v>TBYPRBTHREE-M</v>
          </cell>
          <cell r="B4308" t="str">
            <v>TBYPRB</v>
          </cell>
        </row>
        <row r="4309">
          <cell r="A4309" t="str">
            <v>TBYPRBTWO-M</v>
          </cell>
          <cell r="B4309" t="str">
            <v>TBYPRB</v>
          </cell>
        </row>
        <row r="4310">
          <cell r="A4310" t="str">
            <v>TBYSTARBLUE</v>
          </cell>
          <cell r="B4310" t="str">
            <v>TBYSTAR</v>
          </cell>
        </row>
        <row r="4311">
          <cell r="A4311" t="str">
            <v>TBYSTARRED</v>
          </cell>
          <cell r="B4311" t="str">
            <v>TBYSTAR</v>
          </cell>
        </row>
        <row r="4312">
          <cell r="A4312" t="str">
            <v>TBYWHITE</v>
          </cell>
          <cell r="B4312" t="str">
            <v>TBY</v>
          </cell>
        </row>
        <row r="4313">
          <cell r="A4313" t="str">
            <v>TBYY0POINT</v>
          </cell>
          <cell r="B4313" t="str">
            <v>TBYY0</v>
          </cell>
        </row>
        <row r="4314">
          <cell r="A4314" t="str">
            <v>TBYY0ROINT</v>
          </cell>
          <cell r="B4314" t="str">
            <v>TBYY0</v>
          </cell>
        </row>
        <row r="4315">
          <cell r="A4315" t="str">
            <v>Tee-MRG-VneckgreyXXL</v>
          </cell>
          <cell r="B4315" t="str">
            <v>Tee-MRG-Vneck</v>
          </cell>
        </row>
        <row r="4316">
          <cell r="A4316" t="str">
            <v>Tee-MRG-VneckHeiSXL</v>
          </cell>
          <cell r="B4316" t="str">
            <v>Tee-MRG-Vneck</v>
          </cell>
        </row>
        <row r="4317">
          <cell r="A4317" t="str">
            <v>Tee-MRG-VneckHeiSXXL</v>
          </cell>
          <cell r="B4317" t="str">
            <v>Tee-MRG-Vneck</v>
          </cell>
        </row>
        <row r="4318">
          <cell r="A4318" t="str">
            <v>Tee-MRG-VneckJHXL</v>
          </cell>
          <cell r="B4318" t="str">
            <v>Tee-MRG-Vneck</v>
          </cell>
        </row>
        <row r="4319">
          <cell r="A4319" t="str">
            <v>Tee-MRG-VneckJHXXL</v>
          </cell>
          <cell r="B4319" t="str">
            <v>Tee-MRG-Vneck</v>
          </cell>
        </row>
        <row r="4320">
          <cell r="A4320" t="str">
            <v>Tee-MRG-VneckwhiteXL</v>
          </cell>
          <cell r="B4320" t="str">
            <v>Tee-MRG-Vneck</v>
          </cell>
        </row>
        <row r="4321">
          <cell r="A4321" t="str">
            <v>Tee-MRG-VneckZQXL</v>
          </cell>
          <cell r="B4321" t="str">
            <v>Tee-MRG-Vneck</v>
          </cell>
        </row>
        <row r="4322">
          <cell r="A4322" t="str">
            <v>Tee-MRG-VneckZQXXL</v>
          </cell>
          <cell r="B4322" t="str">
            <v>Tee-MRG-Vneck</v>
          </cell>
        </row>
        <row r="4323">
          <cell r="A4323" t="str">
            <v>TK-Ad413-GR-2XL</v>
          </cell>
          <cell r="B4323" t="str">
            <v>TK-Ad413</v>
          </cell>
        </row>
        <row r="4324">
          <cell r="A4324" t="str">
            <v>TK-Ad413-GR-L</v>
          </cell>
          <cell r="B4324" t="str">
            <v>TK-Ad413</v>
          </cell>
        </row>
        <row r="4325">
          <cell r="A4325" t="str">
            <v>TK-Ad413-GR-M</v>
          </cell>
          <cell r="B4325" t="str">
            <v>TK-Ad413</v>
          </cell>
        </row>
        <row r="4326">
          <cell r="A4326" t="str">
            <v>TK-Ad413-GR-XL</v>
          </cell>
          <cell r="B4326" t="str">
            <v>TK-Ad413</v>
          </cell>
        </row>
        <row r="4327">
          <cell r="A4327" t="str">
            <v>TK-Ad413-K0-2XL</v>
          </cell>
          <cell r="B4327" t="str">
            <v>TK-Ad413</v>
          </cell>
        </row>
        <row r="4328">
          <cell r="A4328" t="str">
            <v>TK-Ad413-K0-L</v>
          </cell>
          <cell r="B4328" t="str">
            <v>TK-Ad413</v>
          </cell>
        </row>
        <row r="4329">
          <cell r="A4329" t="str">
            <v>TK-Ad413-K0-M</v>
          </cell>
          <cell r="B4329" t="str">
            <v>TK-Ad413</v>
          </cell>
        </row>
        <row r="4330">
          <cell r="A4330" t="str">
            <v>TK-Ad413-K0-XL</v>
          </cell>
          <cell r="B4330" t="str">
            <v>TK-Ad413</v>
          </cell>
        </row>
        <row r="4331">
          <cell r="A4331" t="str">
            <v>TK-Ad413SH-2XL</v>
          </cell>
          <cell r="B4331" t="str">
            <v>TK-Ad413</v>
          </cell>
        </row>
        <row r="4332">
          <cell r="A4332" t="str">
            <v>TK-Ad413-SH-L</v>
          </cell>
          <cell r="B4332" t="str">
            <v>TK-Ad413</v>
          </cell>
        </row>
        <row r="4333">
          <cell r="A4333" t="str">
            <v>TK-Ad413-SH-M</v>
          </cell>
          <cell r="B4333" t="str">
            <v>TK-Ad413</v>
          </cell>
        </row>
        <row r="4334">
          <cell r="A4334" t="str">
            <v>TK-Ad413-SH-XL</v>
          </cell>
          <cell r="B4334" t="str">
            <v>TK-Ad413</v>
          </cell>
        </row>
        <row r="4335">
          <cell r="A4335" t="str">
            <v>TK-C412H</v>
          </cell>
          <cell r="B4335" t="str">
            <v>TK-C412H</v>
          </cell>
        </row>
        <row r="4336">
          <cell r="A4336" t="str">
            <v>TK-C412H-GR-2XL</v>
          </cell>
          <cell r="B4336" t="str">
            <v>TK-C412H</v>
          </cell>
        </row>
        <row r="4337">
          <cell r="A4337" t="str">
            <v>TK-C412H-GR-L</v>
          </cell>
          <cell r="B4337" t="str">
            <v>TK-C412H</v>
          </cell>
        </row>
        <row r="4338">
          <cell r="A4338" t="str">
            <v>TK-C412H-GR-M</v>
          </cell>
          <cell r="B4338" t="str">
            <v>TK-C412H</v>
          </cell>
        </row>
        <row r="4339">
          <cell r="A4339" t="str">
            <v>TK-C412H-GR-XL</v>
          </cell>
          <cell r="B4339" t="str">
            <v>TK-C412H</v>
          </cell>
        </row>
        <row r="4340">
          <cell r="A4340" t="str">
            <v>TK-C412H-K0-2XL</v>
          </cell>
          <cell r="B4340" t="str">
            <v>TK-C412H</v>
          </cell>
        </row>
        <row r="4341">
          <cell r="A4341" t="str">
            <v>TK-C412H-K0-L</v>
          </cell>
          <cell r="B4341" t="str">
            <v>TK-C412H</v>
          </cell>
        </row>
        <row r="4342">
          <cell r="A4342" t="str">
            <v>TK-C412H-K0-M</v>
          </cell>
          <cell r="B4342" t="str">
            <v>TK-C412H</v>
          </cell>
        </row>
        <row r="4343">
          <cell r="A4343" t="str">
            <v>TK-C412H-K0-XL</v>
          </cell>
          <cell r="B4343" t="str">
            <v>TK-C412H</v>
          </cell>
        </row>
        <row r="4344">
          <cell r="A4344" t="str">
            <v>TK-C412H-SH-2XL</v>
          </cell>
          <cell r="B4344" t="str">
            <v>TK-C412H</v>
          </cell>
        </row>
        <row r="4345">
          <cell r="A4345" t="str">
            <v>TK-C412H-SH-L</v>
          </cell>
          <cell r="B4345" t="str">
            <v>TK-C412H</v>
          </cell>
        </row>
        <row r="4346">
          <cell r="A4346" t="str">
            <v>TK-C412H-SH-M</v>
          </cell>
          <cell r="B4346" t="str">
            <v>TK-C412H</v>
          </cell>
        </row>
        <row r="4347">
          <cell r="A4347" t="str">
            <v>TK-C412H-SH-XL</v>
          </cell>
          <cell r="B4347" t="str">
            <v>TK-C412H</v>
          </cell>
        </row>
        <row r="4348">
          <cell r="A4348" t="str">
            <v>TK-J0102</v>
          </cell>
          <cell r="B4348" t="str">
            <v>TK-J0102</v>
          </cell>
        </row>
        <row r="4349">
          <cell r="A4349" t="str">
            <v>TK-J01H-GR-10/12</v>
          </cell>
          <cell r="B4349" t="str">
            <v>TK-J0102</v>
          </cell>
        </row>
        <row r="4350">
          <cell r="A4350" t="str">
            <v>TK-J01H-GR-14/16</v>
          </cell>
          <cell r="B4350" t="str">
            <v>TK-J0102</v>
          </cell>
        </row>
        <row r="4351">
          <cell r="A4351" t="str">
            <v>TK-J01H-GR-18/20</v>
          </cell>
          <cell r="B4351" t="str">
            <v>TK-J0102</v>
          </cell>
        </row>
        <row r="4352">
          <cell r="A4352" t="str">
            <v>TK-J01H-GR-2T</v>
          </cell>
          <cell r="B4352" t="str">
            <v>TK-J0102</v>
          </cell>
        </row>
        <row r="4353">
          <cell r="A4353" t="str">
            <v>TK-J01H-GR-3T</v>
          </cell>
          <cell r="B4353" t="str">
            <v>TK-J0102</v>
          </cell>
        </row>
        <row r="4354">
          <cell r="A4354" t="str">
            <v>TK-J01H-GR-4</v>
          </cell>
          <cell r="B4354" t="str">
            <v>TK-J0102</v>
          </cell>
        </row>
        <row r="4355">
          <cell r="A4355" t="str">
            <v>TK-J01H-GR-4T</v>
          </cell>
          <cell r="B4355" t="str">
            <v>TK-J0102</v>
          </cell>
        </row>
        <row r="4356">
          <cell r="A4356" t="str">
            <v>TK-J01H-GR-5/6</v>
          </cell>
          <cell r="B4356" t="str">
            <v>TK-J0102</v>
          </cell>
        </row>
        <row r="4357">
          <cell r="A4357" t="str">
            <v>TK-J01H-GR-7</v>
          </cell>
          <cell r="B4357" t="str">
            <v>TK-J0102</v>
          </cell>
        </row>
        <row r="4358">
          <cell r="A4358" t="str">
            <v>TK-J01H-GR-8</v>
          </cell>
          <cell r="B4358" t="str">
            <v>TK-J0102</v>
          </cell>
        </row>
        <row r="4359">
          <cell r="A4359" t="str">
            <v>TK-J01H-K0-10/12</v>
          </cell>
          <cell r="B4359" t="str">
            <v>TK-J0102</v>
          </cell>
        </row>
        <row r="4360">
          <cell r="A4360" t="str">
            <v>TK-J01H-K0-14/16</v>
          </cell>
          <cell r="B4360" t="str">
            <v>TK-J0102</v>
          </cell>
        </row>
        <row r="4361">
          <cell r="A4361" t="str">
            <v>TK-J01H-K0-18/20</v>
          </cell>
          <cell r="B4361" t="str">
            <v>TK-J0102</v>
          </cell>
        </row>
        <row r="4362">
          <cell r="A4362" t="str">
            <v>TK-J01H-K0-2T</v>
          </cell>
          <cell r="B4362" t="str">
            <v>TK-J0102</v>
          </cell>
        </row>
        <row r="4363">
          <cell r="A4363" t="str">
            <v>TK-J01H-K0-3T</v>
          </cell>
          <cell r="B4363" t="str">
            <v>TK-J0102</v>
          </cell>
        </row>
        <row r="4364">
          <cell r="A4364" t="str">
            <v>TK-J01H-K0-4</v>
          </cell>
          <cell r="B4364" t="str">
            <v>TK-J0102</v>
          </cell>
        </row>
        <row r="4365">
          <cell r="A4365" t="str">
            <v>TK-J01H-K0-4T</v>
          </cell>
          <cell r="B4365" t="str">
            <v>TK-J0102</v>
          </cell>
        </row>
        <row r="4366">
          <cell r="A4366" t="str">
            <v>TK-J01H-K0-5/6</v>
          </cell>
          <cell r="B4366" t="str">
            <v>TK-J0102</v>
          </cell>
        </row>
        <row r="4367">
          <cell r="A4367" t="str">
            <v>TK-J01H-K0-7</v>
          </cell>
          <cell r="B4367" t="str">
            <v>TK-J0102</v>
          </cell>
        </row>
        <row r="4368">
          <cell r="A4368" t="str">
            <v>TK-J01H-K0-8</v>
          </cell>
          <cell r="B4368" t="str">
            <v>TK-J0102</v>
          </cell>
        </row>
        <row r="4369">
          <cell r="A4369" t="str">
            <v>TK-J01H-SH-10/12</v>
          </cell>
          <cell r="B4369" t="str">
            <v>TK-J0102</v>
          </cell>
        </row>
        <row r="4370">
          <cell r="A4370" t="str">
            <v>TK-J01H-SH-14/16</v>
          </cell>
          <cell r="B4370" t="str">
            <v>TK-J0102</v>
          </cell>
        </row>
        <row r="4371">
          <cell r="A4371" t="str">
            <v>TK-J01H-SH-18/20</v>
          </cell>
          <cell r="B4371" t="str">
            <v>TK-J0102</v>
          </cell>
        </row>
        <row r="4372">
          <cell r="A4372" t="str">
            <v>TK-J01H-SH-2T</v>
          </cell>
          <cell r="B4372" t="str">
            <v>TK-J0102</v>
          </cell>
        </row>
        <row r="4373">
          <cell r="A4373" t="str">
            <v>TK-J01H-SH-3T</v>
          </cell>
          <cell r="B4373" t="str">
            <v>TK-J0102</v>
          </cell>
        </row>
        <row r="4374">
          <cell r="A4374" t="str">
            <v>TK-J01H-SH-4</v>
          </cell>
          <cell r="B4374" t="str">
            <v>TK-J0102</v>
          </cell>
        </row>
        <row r="4375">
          <cell r="A4375" t="str">
            <v>TK-J01H-SH-4T</v>
          </cell>
          <cell r="B4375" t="str">
            <v>TK-J0102</v>
          </cell>
        </row>
        <row r="4376">
          <cell r="A4376" t="str">
            <v>TK-J01H-SH-5/6</v>
          </cell>
          <cell r="B4376" t="str">
            <v>TK-J0102</v>
          </cell>
        </row>
        <row r="4377">
          <cell r="A4377" t="str">
            <v>TK-J01H-SH-7</v>
          </cell>
          <cell r="B4377" t="str">
            <v>TK-J0102</v>
          </cell>
        </row>
        <row r="4378">
          <cell r="A4378" t="str">
            <v>TK-J01H-SH-8</v>
          </cell>
          <cell r="B4378" t="str">
            <v>TK-J0102</v>
          </cell>
        </row>
        <row r="4379">
          <cell r="A4379" t="str">
            <v>TK-J02H-GR-10/12</v>
          </cell>
          <cell r="B4379" t="str">
            <v>TK-J0102</v>
          </cell>
        </row>
        <row r="4380">
          <cell r="A4380" t="str">
            <v>TK-J02H-GR-14/16</v>
          </cell>
          <cell r="B4380" t="str">
            <v>TK-J0102</v>
          </cell>
        </row>
        <row r="4381">
          <cell r="A4381" t="str">
            <v>TK-J02H-GR-18/20</v>
          </cell>
          <cell r="B4381" t="str">
            <v>TK-J0102</v>
          </cell>
        </row>
        <row r="4382">
          <cell r="A4382" t="str">
            <v>TK-J02H-GR-2T</v>
          </cell>
          <cell r="B4382" t="str">
            <v>TK-J0102</v>
          </cell>
        </row>
        <row r="4383">
          <cell r="A4383" t="str">
            <v>TK-J02H-GR-3T</v>
          </cell>
          <cell r="B4383" t="str">
            <v>TK-J0102</v>
          </cell>
        </row>
        <row r="4384">
          <cell r="A4384" t="str">
            <v>TK-J02H-GR-4</v>
          </cell>
          <cell r="B4384" t="str">
            <v>TK-J0102</v>
          </cell>
        </row>
        <row r="4385">
          <cell r="A4385" t="str">
            <v>TK-J02H-GR-4T</v>
          </cell>
          <cell r="B4385" t="str">
            <v>TK-J0102</v>
          </cell>
        </row>
        <row r="4386">
          <cell r="A4386" t="str">
            <v>TK-J02H-GR-5/6</v>
          </cell>
          <cell r="B4386" t="str">
            <v>TK-J0102</v>
          </cell>
        </row>
        <row r="4387">
          <cell r="A4387" t="str">
            <v>TK-J02H-GR-7</v>
          </cell>
          <cell r="B4387" t="str">
            <v>TK-J0102</v>
          </cell>
        </row>
        <row r="4388">
          <cell r="A4388" t="str">
            <v>TK-J02H-GR-8</v>
          </cell>
          <cell r="B4388" t="str">
            <v>TK-J0102</v>
          </cell>
        </row>
        <row r="4389">
          <cell r="A4389" t="str">
            <v>TK-J02H-K0-10/12</v>
          </cell>
          <cell r="B4389" t="str">
            <v>TK-J0102</v>
          </cell>
        </row>
        <row r="4390">
          <cell r="A4390" t="str">
            <v>TK-J02H-K0-14/16</v>
          </cell>
          <cell r="B4390" t="str">
            <v>TK-J0102</v>
          </cell>
        </row>
        <row r="4391">
          <cell r="A4391" t="str">
            <v>TK-J02H-K0-18/20</v>
          </cell>
          <cell r="B4391" t="str">
            <v>TK-J0102</v>
          </cell>
        </row>
        <row r="4392">
          <cell r="A4392" t="str">
            <v>TK-J02H-K0-2T</v>
          </cell>
          <cell r="B4392" t="str">
            <v>TK-J0102</v>
          </cell>
        </row>
        <row r="4393">
          <cell r="A4393" t="str">
            <v>TK-J02H-K0-3T</v>
          </cell>
          <cell r="B4393" t="str">
            <v>TK-J0102</v>
          </cell>
        </row>
        <row r="4394">
          <cell r="A4394" t="str">
            <v>TK-J02H-K0-4</v>
          </cell>
          <cell r="B4394" t="str">
            <v>TK-J0102</v>
          </cell>
        </row>
        <row r="4395">
          <cell r="A4395" t="str">
            <v>TK-J02H-K0-4T</v>
          </cell>
          <cell r="B4395" t="str">
            <v>TK-J0102</v>
          </cell>
        </row>
        <row r="4396">
          <cell r="A4396" t="str">
            <v>TK-J02H-K0-5/6</v>
          </cell>
          <cell r="B4396" t="str">
            <v>TK-J0102</v>
          </cell>
        </row>
        <row r="4397">
          <cell r="A4397" t="str">
            <v>TK-J02H-K0-7</v>
          </cell>
          <cell r="B4397" t="str">
            <v>TK-J0102</v>
          </cell>
        </row>
        <row r="4398">
          <cell r="A4398" t="str">
            <v>TK-J02H-K0-8</v>
          </cell>
          <cell r="B4398" t="str">
            <v>TK-J0102</v>
          </cell>
        </row>
        <row r="4399">
          <cell r="A4399" t="str">
            <v>TK-J02H-SH-10/12</v>
          </cell>
          <cell r="B4399" t="str">
            <v>TK-J0102</v>
          </cell>
        </row>
        <row r="4400">
          <cell r="A4400" t="str">
            <v>TK-J02H-SH-14/16</v>
          </cell>
          <cell r="B4400" t="str">
            <v>TK-J0102</v>
          </cell>
        </row>
        <row r="4401">
          <cell r="A4401" t="str">
            <v>TK-J02H-SH-18/20</v>
          </cell>
          <cell r="B4401" t="str">
            <v>TK-J0102</v>
          </cell>
        </row>
        <row r="4402">
          <cell r="A4402" t="str">
            <v>TK-J02H-SH-2T</v>
          </cell>
          <cell r="B4402" t="str">
            <v>TK-J0102</v>
          </cell>
        </row>
        <row r="4403">
          <cell r="A4403" t="str">
            <v>TK-J02H-SH-3T</v>
          </cell>
          <cell r="B4403" t="str">
            <v>TK-J0102</v>
          </cell>
        </row>
        <row r="4404">
          <cell r="A4404" t="str">
            <v>TK-J02H-SH-4</v>
          </cell>
          <cell r="B4404" t="str">
            <v>TK-J0102</v>
          </cell>
        </row>
        <row r="4405">
          <cell r="A4405" t="str">
            <v>TK-J02H-SH-4T</v>
          </cell>
          <cell r="B4405" t="str">
            <v>TK-J0102</v>
          </cell>
        </row>
        <row r="4406">
          <cell r="A4406" t="str">
            <v>TK-J02H-SH-5/6</v>
          </cell>
          <cell r="B4406" t="str">
            <v>TK-J0102</v>
          </cell>
        </row>
        <row r="4407">
          <cell r="A4407" t="str">
            <v>TK-J02H-SH-7</v>
          </cell>
          <cell r="B4407" t="str">
            <v>TK-J0102</v>
          </cell>
        </row>
        <row r="4408">
          <cell r="A4408" t="str">
            <v>TK-J02H-SH-8</v>
          </cell>
          <cell r="B4408" t="str">
            <v>TK-J0102</v>
          </cell>
        </row>
        <row r="4409">
          <cell r="A4409" t="str">
            <v>TM-IULCY-300-LB</v>
          </cell>
          <cell r="B4409" t="str">
            <v>TM-IULCY</v>
          </cell>
        </row>
        <row r="4410">
          <cell r="A4410" t="str">
            <v>Top-5505LB-2XL</v>
          </cell>
          <cell r="B4410" t="str">
            <v>FT5505</v>
          </cell>
        </row>
        <row r="4411">
          <cell r="A4411" t="str">
            <v>Top-5505LB-L</v>
          </cell>
          <cell r="B4411" t="str">
            <v>FT5505</v>
          </cell>
        </row>
        <row r="4412">
          <cell r="A4412" t="str">
            <v>Top-5505LB-M</v>
          </cell>
          <cell r="B4412" t="str">
            <v>FT5505</v>
          </cell>
        </row>
        <row r="4413">
          <cell r="A4413" t="str">
            <v>Top-5505LB-S</v>
          </cell>
          <cell r="B4413" t="str">
            <v>FT5505</v>
          </cell>
        </row>
        <row r="4414">
          <cell r="A4414" t="str">
            <v>Top-5505LB-XL</v>
          </cell>
          <cell r="B4414" t="str">
            <v>FT5505</v>
          </cell>
        </row>
        <row r="4415">
          <cell r="A4415" t="str">
            <v>Top-5505LB-XS</v>
          </cell>
          <cell r="B4415" t="str">
            <v>FT5505</v>
          </cell>
        </row>
        <row r="4416">
          <cell r="A4416" t="str">
            <v>Top-5505PI-2XL</v>
          </cell>
          <cell r="B4416" t="str">
            <v>FT5505</v>
          </cell>
        </row>
        <row r="4417">
          <cell r="A4417" t="str">
            <v>Top-5505PI-L</v>
          </cell>
          <cell r="B4417" t="str">
            <v>FT5505</v>
          </cell>
        </row>
        <row r="4418">
          <cell r="A4418" t="str">
            <v>Top-5505PI-M</v>
          </cell>
          <cell r="B4418" t="str">
            <v>FT5505</v>
          </cell>
        </row>
        <row r="4419">
          <cell r="A4419" t="str">
            <v>Top-5505PI-S</v>
          </cell>
          <cell r="B4419" t="str">
            <v>FT5505</v>
          </cell>
        </row>
        <row r="4420">
          <cell r="A4420" t="str">
            <v>Top-5505PI-XL</v>
          </cell>
          <cell r="B4420" t="str">
            <v>FT5505</v>
          </cell>
        </row>
        <row r="4421">
          <cell r="A4421" t="str">
            <v>Top-5505PI-XS</v>
          </cell>
          <cell r="B4421" t="str">
            <v>FT5505</v>
          </cell>
        </row>
        <row r="4422">
          <cell r="A4422" t="str">
            <v>Top-5505ZL-2XL</v>
          </cell>
          <cell r="B4422" t="str">
            <v>FT5505</v>
          </cell>
        </row>
        <row r="4423">
          <cell r="A4423" t="str">
            <v>Top-5505ZL-L</v>
          </cell>
          <cell r="B4423" t="str">
            <v>FT5505</v>
          </cell>
        </row>
        <row r="4424">
          <cell r="A4424" t="str">
            <v>Top-5505ZL-M</v>
          </cell>
          <cell r="B4424" t="str">
            <v>FT5505</v>
          </cell>
        </row>
        <row r="4425">
          <cell r="A4425" t="str">
            <v>Top-5505ZL-S</v>
          </cell>
          <cell r="B4425" t="str">
            <v>FT5505</v>
          </cell>
        </row>
        <row r="4426">
          <cell r="A4426" t="str">
            <v>Top-5505ZL-XL</v>
          </cell>
          <cell r="B4426" t="str">
            <v>FT5505</v>
          </cell>
        </row>
        <row r="4427">
          <cell r="A4427" t="str">
            <v>Top-5505ZL-XS</v>
          </cell>
          <cell r="B4427" t="str">
            <v>FT5505</v>
          </cell>
        </row>
        <row r="4428">
          <cell r="A4428" t="str">
            <v>Top-HM7702</v>
          </cell>
          <cell r="B4428" t="str">
            <v>Top-HM7702</v>
          </cell>
        </row>
        <row r="4429">
          <cell r="A4429" t="str">
            <v>Top-HM7702-GZK0-2XL</v>
          </cell>
          <cell r="B4429" t="str">
            <v>Top-HM7702</v>
          </cell>
        </row>
        <row r="4430">
          <cell r="A4430" t="str">
            <v>Top-HM7702-GZK0-3XL</v>
          </cell>
          <cell r="B4430" t="str">
            <v>Top-HM7702</v>
          </cell>
        </row>
        <row r="4431">
          <cell r="A4431" t="str">
            <v>Top-HM7702-GZK0-L</v>
          </cell>
          <cell r="B4431" t="str">
            <v>Top-HM7702</v>
          </cell>
        </row>
        <row r="4432">
          <cell r="A4432" t="str">
            <v>Top-HM7702-GZK0-M</v>
          </cell>
          <cell r="B4432" t="str">
            <v>Top-HM7702</v>
          </cell>
        </row>
        <row r="4433">
          <cell r="A4433" t="str">
            <v>Top-HM7702-GZK0-S</v>
          </cell>
          <cell r="B4433" t="str">
            <v>Top-HM7702</v>
          </cell>
        </row>
        <row r="4434">
          <cell r="A4434" t="str">
            <v>Top-HM7702-GZK0-XL</v>
          </cell>
          <cell r="B4434" t="str">
            <v>Top-HM7702</v>
          </cell>
        </row>
        <row r="4435">
          <cell r="A4435" t="str">
            <v>Top-HM7702-GZR0-2XL</v>
          </cell>
          <cell r="B4435" t="str">
            <v>Top-HM7702</v>
          </cell>
        </row>
        <row r="4436">
          <cell r="A4436" t="str">
            <v>Top-HM7702-GZR0-3XL</v>
          </cell>
          <cell r="B4436" t="str">
            <v>Top-HM7702</v>
          </cell>
        </row>
        <row r="4437">
          <cell r="A4437" t="str">
            <v>Top-HM7702-GZR0-L</v>
          </cell>
          <cell r="B4437" t="str">
            <v>Top-HM7702</v>
          </cell>
        </row>
        <row r="4438">
          <cell r="A4438" t="str">
            <v>Top-HM7702-GZR0-M</v>
          </cell>
          <cell r="B4438" t="str">
            <v>Top-HM7702</v>
          </cell>
        </row>
        <row r="4439">
          <cell r="A4439" t="str">
            <v>Top-HM7702-GZR0-S</v>
          </cell>
          <cell r="B4439" t="str">
            <v>Top-HM7702</v>
          </cell>
        </row>
        <row r="4440">
          <cell r="A4440" t="str">
            <v>Top-HM7702-GZR0-XL</v>
          </cell>
          <cell r="B4440" t="str">
            <v>Top-HM7702</v>
          </cell>
        </row>
        <row r="4441">
          <cell r="A4441" t="str">
            <v>Top-HM7702-K0-2XL</v>
          </cell>
          <cell r="B4441" t="str">
            <v>Top-HM7702</v>
          </cell>
        </row>
        <row r="4442">
          <cell r="A4442" t="str">
            <v>Top-HM7702-K0-3XL</v>
          </cell>
          <cell r="B4442" t="str">
            <v>Top-HM7702</v>
          </cell>
        </row>
        <row r="4443">
          <cell r="A4443" t="str">
            <v>Top-HM7702-K0-L</v>
          </cell>
          <cell r="B4443" t="str">
            <v>Top-HM7702</v>
          </cell>
        </row>
        <row r="4444">
          <cell r="A4444" t="str">
            <v>Top-HM7702-K0-M</v>
          </cell>
          <cell r="B4444" t="str">
            <v>Top-HM7702</v>
          </cell>
        </row>
        <row r="4445">
          <cell r="A4445" t="str">
            <v>Top-HM7702-K0-S</v>
          </cell>
          <cell r="B4445" t="str">
            <v>Top-HM7702</v>
          </cell>
        </row>
        <row r="4446">
          <cell r="A4446" t="str">
            <v>Top-HM7702-K0-XL</v>
          </cell>
          <cell r="B4446" t="str">
            <v>Top-HM7702</v>
          </cell>
        </row>
        <row r="4447">
          <cell r="A4447" t="str">
            <v>Top-HM7702-W0-2XL</v>
          </cell>
          <cell r="B4447" t="str">
            <v>Top-HM7702</v>
          </cell>
        </row>
        <row r="4448">
          <cell r="A4448" t="str">
            <v>Top-HM7702-W0-3XL</v>
          </cell>
          <cell r="B4448" t="str">
            <v>Top-HM7702</v>
          </cell>
        </row>
        <row r="4449">
          <cell r="A4449" t="str">
            <v>Top-HM7702-W0-L</v>
          </cell>
          <cell r="B4449" t="str">
            <v>Top-HM7702</v>
          </cell>
        </row>
        <row r="4450">
          <cell r="A4450" t="str">
            <v>Top-HM7702-W0-M</v>
          </cell>
          <cell r="B4450" t="str">
            <v>Top-HM7702</v>
          </cell>
        </row>
        <row r="4451">
          <cell r="A4451" t="str">
            <v>Top-HM7702-W0-S</v>
          </cell>
          <cell r="B4451" t="str">
            <v>Top-HM7702</v>
          </cell>
        </row>
        <row r="4452">
          <cell r="A4452" t="str">
            <v>Top-HM7702-W0-XL</v>
          </cell>
          <cell r="B4452" t="str">
            <v>Top-HM7702</v>
          </cell>
        </row>
        <row r="4453">
          <cell r="A4453" t="str">
            <v>Top-HM7702-Y0-2XL</v>
          </cell>
          <cell r="B4453" t="str">
            <v>Top-HM7702</v>
          </cell>
        </row>
        <row r="4454">
          <cell r="A4454" t="str">
            <v>Top-HM7702-Y0-3XL</v>
          </cell>
          <cell r="B4454" t="str">
            <v>Top-HM7702</v>
          </cell>
        </row>
        <row r="4455">
          <cell r="A4455" t="str">
            <v>Top-HM7702-Y0-L</v>
          </cell>
          <cell r="B4455" t="str">
            <v>Top-HM7702</v>
          </cell>
        </row>
        <row r="4456">
          <cell r="A4456" t="str">
            <v>Top-HM7702-Y0-M</v>
          </cell>
          <cell r="B4456" t="str">
            <v>Top-HM7702</v>
          </cell>
        </row>
        <row r="4457">
          <cell r="A4457" t="str">
            <v>Top-HM7702-Y0-S</v>
          </cell>
          <cell r="B4457" t="str">
            <v>Top-HM7702</v>
          </cell>
        </row>
        <row r="4458">
          <cell r="A4458" t="str">
            <v>Top-HM7702-Y0-XL</v>
          </cell>
          <cell r="B4458" t="str">
            <v>Top-HM7702</v>
          </cell>
        </row>
        <row r="4459">
          <cell r="A4459" t="str">
            <v>TX-7223-CO-4041</v>
          </cell>
          <cell r="B4459" t="str">
            <v>XZ-YG7223-GM</v>
          </cell>
        </row>
        <row r="4460">
          <cell r="A4460" t="str">
            <v>TX-7223-CO-4243</v>
          </cell>
          <cell r="B4460" t="str">
            <v>XZ-YG7223-GM</v>
          </cell>
        </row>
        <row r="4461">
          <cell r="A4461" t="str">
            <v>TX-7223-CO-4445</v>
          </cell>
          <cell r="B4461" t="str">
            <v>XZ-YG7223-GM</v>
          </cell>
        </row>
        <row r="4462">
          <cell r="A4462" t="str">
            <v>TX-7223-Da-4041</v>
          </cell>
          <cell r="B4462" t="str">
            <v>XZ-YG7223-GM</v>
          </cell>
        </row>
        <row r="4463">
          <cell r="A4463" t="str">
            <v>TX-7223-Da-4243</v>
          </cell>
          <cell r="B4463" t="str">
            <v>XZ-YG7223-GM</v>
          </cell>
        </row>
        <row r="4464">
          <cell r="A4464" t="str">
            <v>TX-7223-Da-4445</v>
          </cell>
          <cell r="B4464" t="str">
            <v>XZ-YG7223-GM</v>
          </cell>
        </row>
        <row r="4465">
          <cell r="A4465" t="str">
            <v>TX-7223-Gr-3637</v>
          </cell>
          <cell r="B4465" t="str">
            <v>XZ-YG7223-GM</v>
          </cell>
        </row>
        <row r="4466">
          <cell r="A4466" t="str">
            <v>TX-7223-PI-3637</v>
          </cell>
          <cell r="B4466" t="str">
            <v>XZ-YG7223-GM</v>
          </cell>
        </row>
        <row r="4467">
          <cell r="A4467" t="str">
            <v>TX-7223-PI-3839</v>
          </cell>
          <cell r="B4467" t="str">
            <v>XZ-YG7223-GM</v>
          </cell>
        </row>
        <row r="4468">
          <cell r="A4468" t="str">
            <v>TX-7223-PI-4041</v>
          </cell>
          <cell r="B4468" t="str">
            <v>XZ-YG7223-GM</v>
          </cell>
        </row>
        <row r="4469">
          <cell r="A4469" t="str">
            <v>TX-7223-RB-3637</v>
          </cell>
          <cell r="B4469" t="str">
            <v>XZ-YG7223-GM</v>
          </cell>
        </row>
        <row r="4470">
          <cell r="A4470" t="str">
            <v>TX-7223-RB-3839</v>
          </cell>
          <cell r="B4470" t="str">
            <v>XZ-YG7223-GM</v>
          </cell>
        </row>
        <row r="4471">
          <cell r="A4471" t="str">
            <v>TX-7223-RB-4041</v>
          </cell>
          <cell r="B4471" t="str">
            <v>XZ-YG7223-GM</v>
          </cell>
        </row>
        <row r="4472">
          <cell r="A4472" t="str">
            <v>TX-SM-7223-Gr-3637</v>
          </cell>
          <cell r="B4472" t="str">
            <v>TX-SM-7223</v>
          </cell>
        </row>
        <row r="4473">
          <cell r="A4473" t="str">
            <v>TX-SM-7223-PI-3637</v>
          </cell>
          <cell r="B4473" t="str">
            <v>TX-SM-7223</v>
          </cell>
        </row>
        <row r="4474">
          <cell r="A4474" t="str">
            <v>TZ-IUYL240-BONE-S</v>
          </cell>
          <cell r="B4474" t="str">
            <v>TZ-IUYL240</v>
          </cell>
        </row>
        <row r="4475">
          <cell r="A4475" t="str">
            <v>TZ-IUYL240-ELPH-S</v>
          </cell>
          <cell r="B4475" t="str">
            <v>TZ-IUYL240</v>
          </cell>
        </row>
        <row r="4476">
          <cell r="A4476" t="str">
            <v>TZ-IUYL240-PAW-L</v>
          </cell>
          <cell r="B4476" t="str">
            <v>TZ-IUYL240</v>
          </cell>
        </row>
        <row r="4477">
          <cell r="A4477" t="str">
            <v>TZ-IUYL240-STRAWBERRY-S</v>
          </cell>
          <cell r="B4477" t="str">
            <v>TZ-IUYL240</v>
          </cell>
        </row>
        <row r="4478">
          <cell r="A4478" t="str">
            <v>WJ-ZQ280-A6</v>
          </cell>
          <cell r="B4478" t="str">
            <v>WJ-ZQ280</v>
          </cell>
        </row>
        <row r="4479">
          <cell r="A4479" t="str">
            <v>WJ-ZQ650-C1</v>
          </cell>
          <cell r="B4479" t="str">
            <v>WJ-ZQ650</v>
          </cell>
        </row>
        <row r="4480">
          <cell r="A4480" t="str">
            <v>WJ-ZQ650-C10</v>
          </cell>
          <cell r="B4480" t="str">
            <v>WJ-ZQ650</v>
          </cell>
        </row>
        <row r="4481">
          <cell r="A4481" t="str">
            <v>WJ-ZQ650-C11</v>
          </cell>
          <cell r="B4481" t="str">
            <v>WJ-ZQ650</v>
          </cell>
        </row>
        <row r="4482">
          <cell r="A4482" t="str">
            <v>WJ-ZQ650-C2</v>
          </cell>
          <cell r="B4482" t="str">
            <v>WJ-ZQ650</v>
          </cell>
        </row>
        <row r="4483">
          <cell r="A4483" t="str">
            <v>WJ-ZQ650-C3</v>
          </cell>
          <cell r="B4483" t="str">
            <v>WJ-ZQ650</v>
          </cell>
        </row>
        <row r="4484">
          <cell r="A4484" t="str">
            <v>WJ-ZQ650-C4</v>
          </cell>
          <cell r="B4484" t="str">
            <v>WJ-ZQ650</v>
          </cell>
        </row>
        <row r="4485">
          <cell r="A4485" t="str">
            <v>WJ-ZQ650-C5</v>
          </cell>
          <cell r="B4485" t="str">
            <v>WJ-ZQ650</v>
          </cell>
        </row>
        <row r="4486">
          <cell r="A4486" t="str">
            <v>WJ-ZQ650-C6</v>
          </cell>
          <cell r="B4486" t="str">
            <v>WJ-ZQ650</v>
          </cell>
        </row>
        <row r="4487">
          <cell r="A4487" t="str">
            <v>WJ-ZQ650-C7</v>
          </cell>
          <cell r="B4487" t="str">
            <v>WJ-ZQ650</v>
          </cell>
        </row>
        <row r="4488">
          <cell r="A4488" t="str">
            <v>WJ-ZQ650-C8</v>
          </cell>
          <cell r="B4488" t="str">
            <v>WJ-ZQ650</v>
          </cell>
        </row>
        <row r="4489">
          <cell r="A4489" t="str">
            <v>WJ-ZQ650-C9</v>
          </cell>
          <cell r="B4489" t="str">
            <v>WJ-ZQ650</v>
          </cell>
        </row>
        <row r="4490">
          <cell r="A4490" t="str">
            <v>WM-ZQ5023-B0</v>
          </cell>
          <cell r="B4490" t="str">
            <v>WM-ZQ5023</v>
          </cell>
        </row>
        <row r="4491">
          <cell r="A4491" t="str">
            <v>WM-ZQ5023-N0</v>
          </cell>
          <cell r="B4491" t="str">
            <v>WM-ZQ5023</v>
          </cell>
        </row>
        <row r="4492">
          <cell r="A4492" t="str">
            <v>WM-ZQ5023-R0</v>
          </cell>
          <cell r="B4492" t="str">
            <v>WM-ZQ5023</v>
          </cell>
        </row>
        <row r="4493">
          <cell r="A4493" t="str">
            <v>WM-ZQ5023-R1</v>
          </cell>
          <cell r="B4493" t="str">
            <v>WM-ZQ5023</v>
          </cell>
        </row>
        <row r="4494">
          <cell r="A4494" t="str">
            <v>WT-ZQ921-G7-2XL</v>
          </cell>
          <cell r="B4494" t="str">
            <v>WT-ZQ921</v>
          </cell>
        </row>
        <row r="4495">
          <cell r="A4495" t="str">
            <v>WT-ZQ921-G7-3XL</v>
          </cell>
          <cell r="B4495" t="str">
            <v>WT-ZQ921</v>
          </cell>
        </row>
        <row r="4496">
          <cell r="A4496" t="str">
            <v>WT-ZQ921-G7-4XL</v>
          </cell>
          <cell r="B4496" t="str">
            <v>WT-ZQ921</v>
          </cell>
        </row>
        <row r="4497">
          <cell r="A4497" t="str">
            <v>WT-ZQ921-G7-5XL</v>
          </cell>
          <cell r="B4497" t="str">
            <v>WT-ZQ921</v>
          </cell>
        </row>
        <row r="4498">
          <cell r="A4498" t="str">
            <v>WT-ZQ921-G7-L</v>
          </cell>
          <cell r="B4498" t="str">
            <v>WT-ZQ921</v>
          </cell>
        </row>
        <row r="4499">
          <cell r="A4499" t="str">
            <v>WT-ZQ921-G7-XL</v>
          </cell>
          <cell r="B4499" t="str">
            <v>WT-ZQ921</v>
          </cell>
        </row>
        <row r="4500">
          <cell r="A4500" t="str">
            <v>WT-ZQ921-K0-2XL</v>
          </cell>
          <cell r="B4500" t="str">
            <v>WT-ZQ921</v>
          </cell>
        </row>
        <row r="4501">
          <cell r="A4501" t="str">
            <v>WT-ZQ921-K0-3XL</v>
          </cell>
          <cell r="B4501" t="str">
            <v>WT-ZQ921</v>
          </cell>
        </row>
        <row r="4502">
          <cell r="A4502" t="str">
            <v>WT-ZQ921-K0-4XL</v>
          </cell>
          <cell r="B4502" t="str">
            <v>WT-ZQ921</v>
          </cell>
        </row>
        <row r="4503">
          <cell r="A4503" t="str">
            <v>WT-ZQ921-K0-4XL-GM</v>
          </cell>
          <cell r="B4503" t="str">
            <v>WT-ZQ921</v>
          </cell>
        </row>
        <row r="4504">
          <cell r="A4504" t="str">
            <v>WT-ZQ921-K0-5XL</v>
          </cell>
          <cell r="B4504" t="str">
            <v>WT-ZQ921</v>
          </cell>
        </row>
        <row r="4505">
          <cell r="A4505" t="str">
            <v>WT-ZQ921-K0-5XL-GM</v>
          </cell>
          <cell r="B4505" t="str">
            <v>WT-ZQ921</v>
          </cell>
        </row>
        <row r="4506">
          <cell r="A4506" t="str">
            <v>WT-ZQ921-K0-L</v>
          </cell>
          <cell r="B4506" t="str">
            <v>WT-ZQ921</v>
          </cell>
        </row>
        <row r="4507">
          <cell r="A4507" t="str">
            <v>WT-ZQ921-K0-XL</v>
          </cell>
          <cell r="B4507" t="str">
            <v>WT-ZQ921</v>
          </cell>
        </row>
        <row r="4508">
          <cell r="A4508" t="str">
            <v>WZ-LY152-A403</v>
          </cell>
          <cell r="B4508" t="str">
            <v>WZ-LY152</v>
          </cell>
        </row>
        <row r="4509">
          <cell r="A4509" t="str">
            <v>WZ-LY152-A404</v>
          </cell>
          <cell r="B4509" t="str">
            <v>WZ-LY152</v>
          </cell>
        </row>
        <row r="4510">
          <cell r="A4510" t="str">
            <v>WZ-LY152-A405</v>
          </cell>
          <cell r="B4510" t="str">
            <v>WZ-LY152</v>
          </cell>
        </row>
        <row r="4511">
          <cell r="A4511" t="str">
            <v>WZ-LY152-A407</v>
          </cell>
          <cell r="B4511" t="str">
            <v>WZ-LY152</v>
          </cell>
        </row>
        <row r="4512">
          <cell r="A4512" t="str">
            <v>WZ-LY152-DMNW</v>
          </cell>
          <cell r="B4512" t="str">
            <v>WZ-LY152</v>
          </cell>
        </row>
        <row r="4513">
          <cell r="A4513" t="str">
            <v>WZ-LY152-LA264</v>
          </cell>
          <cell r="B4513" t="str">
            <v>WZ-LY152</v>
          </cell>
        </row>
        <row r="4514">
          <cell r="A4514" t="str">
            <v>WZ-LY153-B069</v>
          </cell>
          <cell r="B4514" t="str">
            <v>WZ-LY153</v>
          </cell>
        </row>
        <row r="4515">
          <cell r="A4515" t="str">
            <v>WZ-LY153-B313</v>
          </cell>
          <cell r="B4515" t="str">
            <v>WZ-LY153</v>
          </cell>
        </row>
        <row r="4516">
          <cell r="A4516" t="str">
            <v>XYZ-082-G0-L</v>
          </cell>
          <cell r="B4516" t="str">
            <v>XYZ-082</v>
          </cell>
        </row>
        <row r="4517">
          <cell r="A4517" t="str">
            <v>XYZ-082-G0-M</v>
          </cell>
          <cell r="B4517" t="str">
            <v>XYZ-082</v>
          </cell>
        </row>
        <row r="4518">
          <cell r="A4518" t="str">
            <v>XYZ-082-G0-S</v>
          </cell>
          <cell r="B4518" t="str">
            <v>XYZ-082</v>
          </cell>
        </row>
        <row r="4519">
          <cell r="A4519" t="str">
            <v>XYZ-082-G0-XL</v>
          </cell>
          <cell r="B4519" t="str">
            <v>XYZ-082</v>
          </cell>
        </row>
        <row r="4520">
          <cell r="A4520" t="str">
            <v>XYZ-082-G0-XXL</v>
          </cell>
          <cell r="B4520" t="str">
            <v>XYZ-082</v>
          </cell>
        </row>
        <row r="4521">
          <cell r="A4521" t="str">
            <v>XYZ-082-K0-L</v>
          </cell>
          <cell r="B4521" t="str">
            <v>XYZ-082</v>
          </cell>
        </row>
        <row r="4522">
          <cell r="A4522" t="str">
            <v>XYZ-082-K0-M</v>
          </cell>
          <cell r="B4522" t="str">
            <v>XYZ-082</v>
          </cell>
        </row>
        <row r="4523">
          <cell r="A4523" t="str">
            <v>XYZ-082-K0-S</v>
          </cell>
          <cell r="B4523" t="str">
            <v>XYZ-082</v>
          </cell>
        </row>
        <row r="4524">
          <cell r="A4524" t="str">
            <v>XYZ-082-K0-XL</v>
          </cell>
          <cell r="B4524" t="str">
            <v>XYZ-082</v>
          </cell>
        </row>
        <row r="4525">
          <cell r="A4525" t="str">
            <v>XYZ-082-K0-XXL</v>
          </cell>
          <cell r="B4525" t="str">
            <v>XYZ-082</v>
          </cell>
        </row>
        <row r="4526">
          <cell r="A4526" t="str">
            <v>XYZ-082-R0-L</v>
          </cell>
          <cell r="B4526" t="str">
            <v>XYZ-082</v>
          </cell>
        </row>
        <row r="4527">
          <cell r="A4527" t="str">
            <v>XYZ-082-R0-M</v>
          </cell>
          <cell r="B4527" t="str">
            <v>XYZ-082</v>
          </cell>
        </row>
        <row r="4528">
          <cell r="A4528" t="str">
            <v>XYZ-082-R0-S</v>
          </cell>
          <cell r="B4528" t="str">
            <v>XYZ-082</v>
          </cell>
        </row>
        <row r="4529">
          <cell r="A4529" t="str">
            <v>XYZ-082-R0-XL</v>
          </cell>
          <cell r="B4529" t="str">
            <v>XYZ-082</v>
          </cell>
        </row>
        <row r="4530">
          <cell r="A4530" t="str">
            <v>XYZ-082-R0-XXL</v>
          </cell>
          <cell r="B4530" t="str">
            <v>XYZ-082</v>
          </cell>
        </row>
        <row r="4531">
          <cell r="A4531" t="str">
            <v>XYZ-085-G912-L</v>
          </cell>
          <cell r="B4531" t="str">
            <v>XYZ-085</v>
          </cell>
        </row>
        <row r="4532">
          <cell r="A4532" t="str">
            <v>XYZ-085-G912-M</v>
          </cell>
          <cell r="B4532" t="str">
            <v>XYZ-085</v>
          </cell>
        </row>
        <row r="4533">
          <cell r="A4533" t="str">
            <v>XYZ-085-G912-S</v>
          </cell>
          <cell r="B4533" t="str">
            <v>XYZ-085</v>
          </cell>
        </row>
        <row r="4534">
          <cell r="A4534" t="str">
            <v>XYZ-085-G912-XL</v>
          </cell>
          <cell r="B4534" t="str">
            <v>XYZ-085</v>
          </cell>
        </row>
        <row r="4535">
          <cell r="A4535" t="str">
            <v>XYZ-085-G912-XXL</v>
          </cell>
          <cell r="B4535" t="str">
            <v>XYZ-085</v>
          </cell>
        </row>
        <row r="4536">
          <cell r="A4536" t="str">
            <v>XYZ-085-LB916-L</v>
          </cell>
          <cell r="B4536" t="str">
            <v>XYZ-085</v>
          </cell>
        </row>
        <row r="4537">
          <cell r="A4537" t="str">
            <v>XYZ-085-LB916-M</v>
          </cell>
          <cell r="B4537" t="str">
            <v>XYZ-085</v>
          </cell>
        </row>
        <row r="4538">
          <cell r="A4538" t="str">
            <v>XYZ-085-LB916-S</v>
          </cell>
          <cell r="B4538" t="str">
            <v>XYZ-085</v>
          </cell>
        </row>
        <row r="4539">
          <cell r="A4539" t="str">
            <v>XYZ-085-LB916-XL</v>
          </cell>
          <cell r="B4539" t="str">
            <v>XYZ-085</v>
          </cell>
        </row>
        <row r="4540">
          <cell r="A4540" t="str">
            <v>XYZ-085-LB916-XXL</v>
          </cell>
          <cell r="B4540" t="str">
            <v>XYZ-085</v>
          </cell>
        </row>
        <row r="4541">
          <cell r="A4541" t="str">
            <v>XYZ-085-LG907-L</v>
          </cell>
          <cell r="B4541" t="str">
            <v>XYZ-085</v>
          </cell>
        </row>
        <row r="4542">
          <cell r="A4542" t="str">
            <v>XYZ-085-LG907-M</v>
          </cell>
          <cell r="B4542" t="str">
            <v>XYZ-085</v>
          </cell>
        </row>
        <row r="4543">
          <cell r="A4543" t="str">
            <v>XYZ-085-LG907-S</v>
          </cell>
          <cell r="B4543" t="str">
            <v>XYZ-085</v>
          </cell>
        </row>
        <row r="4544">
          <cell r="A4544" t="str">
            <v>XYZ-085-LG907-XL</v>
          </cell>
          <cell r="B4544" t="str">
            <v>XYZ-085</v>
          </cell>
        </row>
        <row r="4545">
          <cell r="A4545" t="str">
            <v>XYZ-085-LG907-XXL</v>
          </cell>
          <cell r="B4545" t="str">
            <v>XYZ-085</v>
          </cell>
        </row>
        <row r="4546">
          <cell r="A4546" t="str">
            <v>XYZ-085-PI908-L</v>
          </cell>
          <cell r="B4546" t="str">
            <v>XYZ-085</v>
          </cell>
        </row>
        <row r="4547">
          <cell r="A4547" t="str">
            <v>XYZ-085-PI908-M</v>
          </cell>
          <cell r="B4547" t="str">
            <v>XYZ-085</v>
          </cell>
        </row>
        <row r="4548">
          <cell r="A4548" t="str">
            <v>XYZ-085-PI908-S</v>
          </cell>
          <cell r="B4548" t="str">
            <v>XYZ-085</v>
          </cell>
        </row>
        <row r="4549">
          <cell r="A4549" t="str">
            <v>XYZ-085-PI908-XL</v>
          </cell>
          <cell r="B4549" t="str">
            <v>XYZ-085</v>
          </cell>
        </row>
        <row r="4550">
          <cell r="A4550" t="str">
            <v>XYZ-085-PI908-XS</v>
          </cell>
          <cell r="B4550" t="str">
            <v>XYZ-085</v>
          </cell>
        </row>
        <row r="4551">
          <cell r="A4551" t="str">
            <v>XYZ-085-PI908-XXL</v>
          </cell>
          <cell r="B4551" t="str">
            <v>XYZ-085</v>
          </cell>
        </row>
        <row r="4552">
          <cell r="A4552" t="str">
            <v>XYZ-085-R901-L</v>
          </cell>
          <cell r="B4552" t="str">
            <v>XYZ-085</v>
          </cell>
        </row>
        <row r="4553">
          <cell r="A4553" t="str">
            <v>XYZ-085-R901-M</v>
          </cell>
          <cell r="B4553" t="str">
            <v>XYZ-085</v>
          </cell>
        </row>
        <row r="4554">
          <cell r="A4554" t="str">
            <v>XYZ-085-R901-S</v>
          </cell>
          <cell r="B4554" t="str">
            <v>XYZ-085</v>
          </cell>
        </row>
        <row r="4555">
          <cell r="A4555" t="str">
            <v>XYZ-085-R901-XL</v>
          </cell>
          <cell r="B4555" t="str">
            <v>XYZ-085</v>
          </cell>
        </row>
        <row r="4556">
          <cell r="A4556" t="str">
            <v>XYZ-085-R901-XXL</v>
          </cell>
          <cell r="B4556" t="str">
            <v>XYZ-085</v>
          </cell>
        </row>
        <row r="4557">
          <cell r="A4557" t="str">
            <v>XYZ-085-Sa911-L</v>
          </cell>
          <cell r="B4557" t="str">
            <v>XYZ-085</v>
          </cell>
        </row>
        <row r="4558">
          <cell r="A4558" t="str">
            <v>XYZ-085-Sa911-M</v>
          </cell>
          <cell r="B4558" t="str">
            <v>XYZ-085</v>
          </cell>
        </row>
        <row r="4559">
          <cell r="A4559" t="str">
            <v>XYZ-085-Sa911-S</v>
          </cell>
          <cell r="B4559" t="str">
            <v>XYZ-085</v>
          </cell>
        </row>
        <row r="4560">
          <cell r="A4560" t="str">
            <v>XYZ-085-Sa911-XL</v>
          </cell>
          <cell r="B4560" t="str">
            <v>XYZ-085</v>
          </cell>
        </row>
        <row r="4561">
          <cell r="A4561" t="str">
            <v>XYZ-085-Sa911-XXL</v>
          </cell>
          <cell r="B4561" t="str">
            <v>XYZ-085</v>
          </cell>
        </row>
        <row r="4562">
          <cell r="A4562" t="str">
            <v>XYZ-085-W902-L</v>
          </cell>
          <cell r="B4562" t="str">
            <v>XYZ-085</v>
          </cell>
        </row>
        <row r="4563">
          <cell r="A4563" t="str">
            <v>XYZ-085-W902-M</v>
          </cell>
          <cell r="B4563" t="str">
            <v>XYZ-085</v>
          </cell>
        </row>
        <row r="4564">
          <cell r="A4564" t="str">
            <v>XYZ-085-W902-S</v>
          </cell>
          <cell r="B4564" t="str">
            <v>XYZ-085</v>
          </cell>
        </row>
        <row r="4565">
          <cell r="A4565" t="str">
            <v>XYZ-085-W902-XL</v>
          </cell>
          <cell r="B4565" t="str">
            <v>XYZ-085</v>
          </cell>
        </row>
        <row r="4566">
          <cell r="A4566" t="str">
            <v>XYZ-085-W902-XXL</v>
          </cell>
          <cell r="B4566" t="str">
            <v>XYZ-085</v>
          </cell>
        </row>
        <row r="4567">
          <cell r="A4567" t="str">
            <v>XYZ-085-WR917-L</v>
          </cell>
          <cell r="B4567" t="str">
            <v>XYZ-085</v>
          </cell>
        </row>
        <row r="4568">
          <cell r="A4568" t="str">
            <v>XYZ-085-WR917-M</v>
          </cell>
          <cell r="B4568" t="str">
            <v>XYZ-085</v>
          </cell>
        </row>
        <row r="4569">
          <cell r="A4569" t="str">
            <v>XYZ-085-WR917-S</v>
          </cell>
          <cell r="B4569" t="str">
            <v>XYZ-085</v>
          </cell>
        </row>
        <row r="4570">
          <cell r="A4570" t="str">
            <v>XYZ-085-WR917-XL</v>
          </cell>
          <cell r="B4570" t="str">
            <v>XYZ-085</v>
          </cell>
        </row>
        <row r="4571">
          <cell r="A4571" t="str">
            <v>XYZ-085-WR917-XS</v>
          </cell>
          <cell r="B4571" t="str">
            <v>XYZ-085</v>
          </cell>
        </row>
        <row r="4572">
          <cell r="A4572" t="str">
            <v>XYZ-085-WR917-XXL</v>
          </cell>
          <cell r="B4572" t="str">
            <v>XYZ-085</v>
          </cell>
        </row>
        <row r="4573">
          <cell r="A4573" t="str">
            <v>XYZ-085-ZL918-L</v>
          </cell>
          <cell r="B4573" t="str">
            <v>XYZ-085</v>
          </cell>
        </row>
        <row r="4574">
          <cell r="A4574" t="str">
            <v>XYZ-085-ZL918-M</v>
          </cell>
          <cell r="B4574" t="str">
            <v>XYZ-085</v>
          </cell>
        </row>
        <row r="4575">
          <cell r="A4575" t="str">
            <v>XYZ-085-ZL918-S</v>
          </cell>
          <cell r="B4575" t="str">
            <v>XYZ-085</v>
          </cell>
        </row>
        <row r="4576">
          <cell r="A4576" t="str">
            <v>XYZ-085-ZL918-XL</v>
          </cell>
          <cell r="B4576" t="str">
            <v>XYZ-085</v>
          </cell>
        </row>
        <row r="4577">
          <cell r="A4577" t="str">
            <v>XYZ-085-ZL918-XS</v>
          </cell>
          <cell r="B4577" t="str">
            <v>XYZ-085</v>
          </cell>
        </row>
        <row r="4578">
          <cell r="A4578" t="str">
            <v>XYZ-085-ZL918-XXL</v>
          </cell>
          <cell r="B4578" t="str">
            <v>XYZ-085</v>
          </cell>
        </row>
        <row r="4579">
          <cell r="A4579" t="str">
            <v>XYZ-166-B28-1-L</v>
          </cell>
          <cell r="B4579" t="str">
            <v>XYZ-166</v>
          </cell>
        </row>
        <row r="4580">
          <cell r="A4580" t="str">
            <v>XYZ-166-B28-1-M</v>
          </cell>
          <cell r="B4580" t="str">
            <v>XYZ-166</v>
          </cell>
        </row>
        <row r="4581">
          <cell r="A4581" t="str">
            <v>XYZ-166-B28-1-S</v>
          </cell>
          <cell r="B4581" t="str">
            <v>XYZ-166</v>
          </cell>
        </row>
        <row r="4582">
          <cell r="A4582" t="str">
            <v>XYZ-166-B28-1-XL</v>
          </cell>
          <cell r="B4582" t="str">
            <v>XYZ-166</v>
          </cell>
        </row>
        <row r="4583">
          <cell r="A4583" t="str">
            <v>XYZ-166-B28-1-XXL</v>
          </cell>
          <cell r="B4583" t="str">
            <v>XYZ-166</v>
          </cell>
        </row>
        <row r="4584">
          <cell r="A4584" t="str">
            <v>XYZ-166-B28-3-L</v>
          </cell>
          <cell r="B4584" t="str">
            <v>XYZ-166</v>
          </cell>
        </row>
        <row r="4585">
          <cell r="A4585" t="str">
            <v>XYZ-166-B28-3-M</v>
          </cell>
          <cell r="B4585" t="str">
            <v>XYZ-166</v>
          </cell>
        </row>
        <row r="4586">
          <cell r="A4586" t="str">
            <v>XYZ-166-B28-3-S</v>
          </cell>
          <cell r="B4586" t="str">
            <v>XYZ-166</v>
          </cell>
        </row>
        <row r="4587">
          <cell r="A4587" t="str">
            <v>XYZ-166-B28-3-XL</v>
          </cell>
          <cell r="B4587" t="str">
            <v>XYZ-166</v>
          </cell>
        </row>
        <row r="4588">
          <cell r="A4588" t="str">
            <v>XYZ-166-B28-3-XXL</v>
          </cell>
          <cell r="B4588" t="str">
            <v>XYZ-166</v>
          </cell>
        </row>
        <row r="4589">
          <cell r="A4589" t="str">
            <v>XYZ-166-B28-4-L</v>
          </cell>
          <cell r="B4589" t="str">
            <v>XYZ-166</v>
          </cell>
        </row>
        <row r="4590">
          <cell r="A4590" t="str">
            <v>XYZ-166-B28-4-M</v>
          </cell>
          <cell r="B4590" t="str">
            <v>XYZ-166</v>
          </cell>
        </row>
        <row r="4591">
          <cell r="A4591" t="str">
            <v>XYZ-166-B28-4-S</v>
          </cell>
          <cell r="B4591" t="str">
            <v>XYZ-166</v>
          </cell>
        </row>
        <row r="4592">
          <cell r="A4592" t="str">
            <v>XYZ-166-B28-4-XL</v>
          </cell>
          <cell r="B4592" t="str">
            <v>XYZ-166</v>
          </cell>
        </row>
        <row r="4593">
          <cell r="A4593" t="str">
            <v>XYZ-166-B28-4-XXL</v>
          </cell>
          <cell r="B4593" t="str">
            <v>XYZ-166</v>
          </cell>
        </row>
        <row r="4594">
          <cell r="A4594" t="str">
            <v>XYZ-166-B28-5-L</v>
          </cell>
          <cell r="B4594" t="str">
            <v>XYZ-166</v>
          </cell>
        </row>
        <row r="4595">
          <cell r="A4595" t="str">
            <v>XYZ-166-B28-5-M</v>
          </cell>
          <cell r="B4595" t="str">
            <v>XYZ-166</v>
          </cell>
        </row>
        <row r="4596">
          <cell r="A4596" t="str">
            <v>XYZ-166-B28-5-S</v>
          </cell>
          <cell r="B4596" t="str">
            <v>XYZ-166</v>
          </cell>
        </row>
        <row r="4597">
          <cell r="A4597" t="str">
            <v>XYZ-166-B28-5-XL</v>
          </cell>
          <cell r="B4597" t="str">
            <v>XYZ-166</v>
          </cell>
        </row>
        <row r="4598">
          <cell r="A4598" t="str">
            <v>XYZ-166-B28-5-XXL</v>
          </cell>
          <cell r="B4598" t="str">
            <v>XYZ-166</v>
          </cell>
        </row>
        <row r="4599">
          <cell r="A4599" t="str">
            <v>XYZ-166-K33-1-L</v>
          </cell>
          <cell r="B4599" t="str">
            <v>XYZ-166</v>
          </cell>
        </row>
        <row r="4600">
          <cell r="A4600" t="str">
            <v>XYZ-166-K33-1-M</v>
          </cell>
          <cell r="B4600" t="str">
            <v>XYZ-166</v>
          </cell>
        </row>
        <row r="4601">
          <cell r="A4601" t="str">
            <v>XYZ-166-K33-1-S</v>
          </cell>
          <cell r="B4601" t="str">
            <v>XYZ-166</v>
          </cell>
        </row>
        <row r="4602">
          <cell r="A4602" t="str">
            <v>XYZ-166-K33-1-XL</v>
          </cell>
          <cell r="B4602" t="str">
            <v>XYZ-166</v>
          </cell>
        </row>
        <row r="4603">
          <cell r="A4603" t="str">
            <v>XYZ-166-K33-1-XXL</v>
          </cell>
          <cell r="B4603" t="str">
            <v>XYZ-166</v>
          </cell>
        </row>
        <row r="4604">
          <cell r="A4604" t="str">
            <v>XYZ-166-K33-2-L</v>
          </cell>
          <cell r="B4604" t="str">
            <v>XYZ-166</v>
          </cell>
        </row>
        <row r="4605">
          <cell r="A4605" t="str">
            <v>XYZ-166-K33-2-M</v>
          </cell>
          <cell r="B4605" t="str">
            <v>XYZ-166</v>
          </cell>
        </row>
        <row r="4606">
          <cell r="A4606" t="str">
            <v>XYZ-166-K33-2-S</v>
          </cell>
          <cell r="B4606" t="str">
            <v>XYZ-166</v>
          </cell>
        </row>
        <row r="4607">
          <cell r="A4607" t="str">
            <v>XYZ-166-K33-2-XL</v>
          </cell>
          <cell r="B4607" t="str">
            <v>XYZ-166</v>
          </cell>
        </row>
        <row r="4608">
          <cell r="A4608" t="str">
            <v>XYZ-166-K33-2-XXL</v>
          </cell>
          <cell r="B4608" t="str">
            <v>XYZ-166</v>
          </cell>
        </row>
        <row r="4609">
          <cell r="A4609" t="str">
            <v>XYZ-166-K33-4-L</v>
          </cell>
          <cell r="B4609" t="str">
            <v>XYZ-166</v>
          </cell>
        </row>
        <row r="4610">
          <cell r="A4610" t="str">
            <v>XYZ-166-K33-4-M</v>
          </cell>
          <cell r="B4610" t="str">
            <v>XYZ-166</v>
          </cell>
        </row>
        <row r="4611">
          <cell r="A4611" t="str">
            <v>XYZ-166-K33-4-S</v>
          </cell>
          <cell r="B4611" t="str">
            <v>XYZ-166</v>
          </cell>
        </row>
        <row r="4612">
          <cell r="A4612" t="str">
            <v>XYZ-166-K33-4-XL</v>
          </cell>
          <cell r="B4612" t="str">
            <v>XYZ-166</v>
          </cell>
        </row>
        <row r="4613">
          <cell r="A4613" t="str">
            <v>XYZ-166-K33-4-XXL</v>
          </cell>
          <cell r="B4613" t="str">
            <v>XYZ-166</v>
          </cell>
        </row>
        <row r="4614">
          <cell r="A4614" t="str">
            <v>XYZ-166-K73-1-L</v>
          </cell>
          <cell r="B4614" t="str">
            <v>XYZ-166</v>
          </cell>
        </row>
        <row r="4615">
          <cell r="A4615" t="str">
            <v>XYZ-166-K73-1-M</v>
          </cell>
          <cell r="B4615" t="str">
            <v>XYZ-166</v>
          </cell>
        </row>
        <row r="4616">
          <cell r="A4616" t="str">
            <v>XYZ-166-K73-1-S</v>
          </cell>
          <cell r="B4616" t="str">
            <v>XYZ-166</v>
          </cell>
        </row>
        <row r="4617">
          <cell r="A4617" t="str">
            <v>XYZ-166-K73-1-XL</v>
          </cell>
          <cell r="B4617" t="str">
            <v>XYZ-166</v>
          </cell>
        </row>
        <row r="4618">
          <cell r="A4618" t="str">
            <v>XYZ-166-K73-1-XXL</v>
          </cell>
          <cell r="B4618" t="str">
            <v>XYZ-166</v>
          </cell>
        </row>
        <row r="4619">
          <cell r="A4619" t="str">
            <v>XYZ-166-K73-2-L</v>
          </cell>
          <cell r="B4619" t="str">
            <v>XYZ-166</v>
          </cell>
        </row>
        <row r="4620">
          <cell r="A4620" t="str">
            <v>XYZ-166-K73-2-M</v>
          </cell>
          <cell r="B4620" t="str">
            <v>XYZ-166</v>
          </cell>
        </row>
        <row r="4621">
          <cell r="A4621" t="str">
            <v>XYZ-166-K73-2-S</v>
          </cell>
          <cell r="B4621" t="str">
            <v>XYZ-166</v>
          </cell>
        </row>
        <row r="4622">
          <cell r="A4622" t="str">
            <v>XYZ-166-K73-2-XL</v>
          </cell>
          <cell r="B4622" t="str">
            <v>XYZ-166</v>
          </cell>
        </row>
        <row r="4623">
          <cell r="A4623" t="str">
            <v>XYZ-166-K73-2-XXL</v>
          </cell>
          <cell r="B4623" t="str">
            <v>XYZ-166</v>
          </cell>
        </row>
        <row r="4624">
          <cell r="A4624" t="str">
            <v>XYZ-170-G912-L</v>
          </cell>
          <cell r="B4624" t="str">
            <v>XYZ-170</v>
          </cell>
        </row>
        <row r="4625">
          <cell r="A4625" t="str">
            <v>XYZ-170-G912-M</v>
          </cell>
          <cell r="B4625" t="str">
            <v>XYZ-170</v>
          </cell>
        </row>
        <row r="4626">
          <cell r="A4626" t="str">
            <v>XYZ-170-G912-S</v>
          </cell>
          <cell r="B4626" t="str">
            <v>XYZ-170</v>
          </cell>
        </row>
        <row r="4627">
          <cell r="A4627" t="str">
            <v>XYZ-170-G912-XL</v>
          </cell>
          <cell r="B4627" t="str">
            <v>XYZ-170</v>
          </cell>
        </row>
        <row r="4628">
          <cell r="A4628" t="str">
            <v>XYZ-170-G912-XXL</v>
          </cell>
          <cell r="B4628" t="str">
            <v>XYZ-170</v>
          </cell>
        </row>
        <row r="4629">
          <cell r="A4629" t="str">
            <v>XYZ-170-LB916-L</v>
          </cell>
          <cell r="B4629" t="str">
            <v>XYZ-170</v>
          </cell>
        </row>
        <row r="4630">
          <cell r="A4630" t="str">
            <v>XYZ-170-LB916-M</v>
          </cell>
          <cell r="B4630" t="str">
            <v>XYZ-170</v>
          </cell>
        </row>
        <row r="4631">
          <cell r="A4631" t="str">
            <v>XYZ-170-LB916-S</v>
          </cell>
          <cell r="B4631" t="str">
            <v>XYZ-170</v>
          </cell>
        </row>
        <row r="4632">
          <cell r="A4632" t="str">
            <v>XYZ-170-LB916-XL</v>
          </cell>
          <cell r="B4632" t="str">
            <v>XYZ-170</v>
          </cell>
        </row>
        <row r="4633">
          <cell r="A4633" t="str">
            <v>XYZ-170-LB916-XXL</v>
          </cell>
          <cell r="B4633" t="str">
            <v>XYZ-170</v>
          </cell>
        </row>
        <row r="4634">
          <cell r="A4634" t="str">
            <v>XYZ-170-LG907-L</v>
          </cell>
          <cell r="B4634" t="str">
            <v>XYZ-170</v>
          </cell>
        </row>
        <row r="4635">
          <cell r="A4635" t="str">
            <v>XYZ-170-LG907-M</v>
          </cell>
          <cell r="B4635" t="str">
            <v>XYZ-170</v>
          </cell>
        </row>
        <row r="4636">
          <cell r="A4636" t="str">
            <v>XYZ-170-LG907-S</v>
          </cell>
          <cell r="B4636" t="str">
            <v>XYZ-170</v>
          </cell>
        </row>
        <row r="4637">
          <cell r="A4637" t="str">
            <v>XYZ-170-LG907-XL</v>
          </cell>
          <cell r="B4637" t="str">
            <v>XYZ-170</v>
          </cell>
        </row>
        <row r="4638">
          <cell r="A4638" t="str">
            <v>XYZ-170-LG907-XXL</v>
          </cell>
          <cell r="B4638" t="str">
            <v>XYZ-170</v>
          </cell>
        </row>
        <row r="4639">
          <cell r="A4639" t="str">
            <v>XYZ-170-PI908-L</v>
          </cell>
          <cell r="B4639" t="str">
            <v>XYZ-170</v>
          </cell>
        </row>
        <row r="4640">
          <cell r="A4640" t="str">
            <v>XYZ-170-PI908-M</v>
          </cell>
          <cell r="B4640" t="str">
            <v>XYZ-170</v>
          </cell>
        </row>
        <row r="4641">
          <cell r="A4641" t="str">
            <v>XYZ-170-PI908-S</v>
          </cell>
          <cell r="B4641" t="str">
            <v>XYZ-170</v>
          </cell>
        </row>
        <row r="4642">
          <cell r="A4642" t="str">
            <v>XYZ-170-PI908-XL</v>
          </cell>
          <cell r="B4642" t="str">
            <v>XYZ-170</v>
          </cell>
        </row>
        <row r="4643">
          <cell r="A4643" t="str">
            <v>XYZ-170-PI908-XXL</v>
          </cell>
          <cell r="B4643" t="str">
            <v>XYZ-170</v>
          </cell>
        </row>
        <row r="4644">
          <cell r="A4644" t="str">
            <v>XYZ-170-Sa911-L</v>
          </cell>
          <cell r="B4644" t="str">
            <v>XYZ-170</v>
          </cell>
        </row>
        <row r="4645">
          <cell r="A4645" t="str">
            <v>XYZ-170-Sa911-M</v>
          </cell>
          <cell r="B4645" t="str">
            <v>XYZ-170</v>
          </cell>
        </row>
        <row r="4646">
          <cell r="A4646" t="str">
            <v>XYZ-170-Sa911-S</v>
          </cell>
          <cell r="B4646" t="str">
            <v>XYZ-170</v>
          </cell>
        </row>
        <row r="4647">
          <cell r="A4647" t="str">
            <v>XYZ-170-Sa911-XL</v>
          </cell>
          <cell r="B4647" t="str">
            <v>XYZ-170</v>
          </cell>
        </row>
        <row r="4648">
          <cell r="A4648" t="str">
            <v>XYZ-170-Sa911-XXL</v>
          </cell>
          <cell r="B4648" t="str">
            <v>XYZ-170</v>
          </cell>
        </row>
        <row r="4649">
          <cell r="A4649" t="str">
            <v>XYZ-170-W902-L</v>
          </cell>
          <cell r="B4649" t="str">
            <v>XYZ-170</v>
          </cell>
        </row>
        <row r="4650">
          <cell r="A4650" t="str">
            <v>XYZ-170-W902-M</v>
          </cell>
          <cell r="B4650" t="str">
            <v>XYZ-170</v>
          </cell>
        </row>
        <row r="4651">
          <cell r="A4651" t="str">
            <v>XYZ-170-W902-S</v>
          </cell>
          <cell r="B4651" t="str">
            <v>XYZ-170</v>
          </cell>
        </row>
        <row r="4652">
          <cell r="A4652" t="str">
            <v>XYZ-170-W902-XL</v>
          </cell>
          <cell r="B4652" t="str">
            <v>XYZ-170</v>
          </cell>
        </row>
        <row r="4653">
          <cell r="A4653" t="str">
            <v>XYZ-170-W902-XXL</v>
          </cell>
          <cell r="B4653" t="str">
            <v>XYZ-170</v>
          </cell>
        </row>
        <row r="4654">
          <cell r="A4654" t="str">
            <v>XYZ-170-WR917-L</v>
          </cell>
          <cell r="B4654" t="str">
            <v>XYZ-170</v>
          </cell>
        </row>
        <row r="4655">
          <cell r="A4655" t="str">
            <v>XYZ-170-WR917-M</v>
          </cell>
          <cell r="B4655" t="str">
            <v>XYZ-170</v>
          </cell>
        </row>
        <row r="4656">
          <cell r="A4656" t="str">
            <v>XYZ-170-WR917-S</v>
          </cell>
          <cell r="B4656" t="str">
            <v>XYZ-170</v>
          </cell>
        </row>
        <row r="4657">
          <cell r="A4657" t="str">
            <v>XYZ-170-WR917-XL</v>
          </cell>
          <cell r="B4657" t="str">
            <v>XYZ-170</v>
          </cell>
        </row>
        <row r="4658">
          <cell r="A4658" t="str">
            <v>XYZ-170-WR917-XXL</v>
          </cell>
          <cell r="B4658" t="str">
            <v>XYZ-170</v>
          </cell>
        </row>
        <row r="4659">
          <cell r="A4659" t="str">
            <v>XYZ-170-ZL918-L</v>
          </cell>
          <cell r="B4659" t="str">
            <v>XYZ-170</v>
          </cell>
        </row>
        <row r="4660">
          <cell r="A4660" t="str">
            <v>XYZ-170-ZL918-M</v>
          </cell>
          <cell r="B4660" t="str">
            <v>XYZ-170</v>
          </cell>
        </row>
        <row r="4661">
          <cell r="A4661" t="str">
            <v>XYZ-170-ZL918-S</v>
          </cell>
          <cell r="B4661" t="str">
            <v>XYZ-170</v>
          </cell>
        </row>
        <row r="4662">
          <cell r="A4662" t="str">
            <v>XYZ-170-ZL918-XL</v>
          </cell>
          <cell r="B4662" t="str">
            <v>XYZ-170</v>
          </cell>
        </row>
        <row r="4663">
          <cell r="A4663" t="str">
            <v>XYZ-170-ZL918-XXL</v>
          </cell>
          <cell r="B4663" t="str">
            <v>XYZ-170</v>
          </cell>
        </row>
        <row r="4664">
          <cell r="A4664" t="str">
            <v>XYZ-171-G912-L</v>
          </cell>
          <cell r="B4664" t="str">
            <v>XYZ-171</v>
          </cell>
        </row>
        <row r="4665">
          <cell r="A4665" t="str">
            <v>XYZ-171-G912-M</v>
          </cell>
          <cell r="B4665" t="str">
            <v>XYZ-171</v>
          </cell>
        </row>
        <row r="4666">
          <cell r="A4666" t="str">
            <v>XYZ-171-G912-S</v>
          </cell>
          <cell r="B4666" t="str">
            <v>XYZ-171</v>
          </cell>
        </row>
        <row r="4667">
          <cell r="A4667" t="str">
            <v>XYZ-171-G912-XL</v>
          </cell>
          <cell r="B4667" t="str">
            <v>XYZ-171</v>
          </cell>
        </row>
        <row r="4668">
          <cell r="A4668" t="str">
            <v>XYZ-171-G912-XXL</v>
          </cell>
          <cell r="B4668" t="str">
            <v>XYZ-171</v>
          </cell>
        </row>
        <row r="4669">
          <cell r="A4669" t="str">
            <v>XYZ-171-LB916-L</v>
          </cell>
          <cell r="B4669" t="str">
            <v>XYZ-171</v>
          </cell>
        </row>
        <row r="4670">
          <cell r="A4670" t="str">
            <v>XYZ-171-LB916-M</v>
          </cell>
          <cell r="B4670" t="str">
            <v>XYZ-171</v>
          </cell>
        </row>
        <row r="4671">
          <cell r="A4671" t="str">
            <v>XYZ-171-LB916-S</v>
          </cell>
          <cell r="B4671" t="str">
            <v>XYZ-171</v>
          </cell>
        </row>
        <row r="4672">
          <cell r="A4672" t="str">
            <v>XYZ-171-LB916-XL</v>
          </cell>
          <cell r="B4672" t="str">
            <v>XYZ-171</v>
          </cell>
        </row>
        <row r="4673">
          <cell r="A4673" t="str">
            <v>XYZ-171-LB916-XXL</v>
          </cell>
          <cell r="B4673" t="str">
            <v>XYZ-171</v>
          </cell>
        </row>
        <row r="4674">
          <cell r="A4674" t="str">
            <v>XYZ-171-LG907-L</v>
          </cell>
          <cell r="B4674" t="str">
            <v>XYZ-171</v>
          </cell>
        </row>
        <row r="4675">
          <cell r="A4675" t="str">
            <v>XYZ-171-LG907-M</v>
          </cell>
          <cell r="B4675" t="str">
            <v>XYZ-171</v>
          </cell>
        </row>
        <row r="4676">
          <cell r="A4676" t="str">
            <v>XYZ-171-LG907-S</v>
          </cell>
          <cell r="B4676" t="str">
            <v>XYZ-171</v>
          </cell>
        </row>
        <row r="4677">
          <cell r="A4677" t="str">
            <v>XYZ-171-LG907-XL</v>
          </cell>
          <cell r="B4677" t="str">
            <v>XYZ-171</v>
          </cell>
        </row>
        <row r="4678">
          <cell r="A4678" t="str">
            <v>XYZ-171-LG907-XXL</v>
          </cell>
          <cell r="B4678" t="str">
            <v>XYZ-171</v>
          </cell>
        </row>
        <row r="4679">
          <cell r="A4679" t="str">
            <v>XYZ-171-PI908-L</v>
          </cell>
          <cell r="B4679" t="str">
            <v>XYZ-171</v>
          </cell>
        </row>
        <row r="4680">
          <cell r="A4680" t="str">
            <v>XYZ-171-PI908-M</v>
          </cell>
          <cell r="B4680" t="str">
            <v>XYZ-171</v>
          </cell>
        </row>
        <row r="4681">
          <cell r="A4681" t="str">
            <v>XYZ-171-PI908-S</v>
          </cell>
          <cell r="B4681" t="str">
            <v>XYZ-171</v>
          </cell>
        </row>
        <row r="4682">
          <cell r="A4682" t="str">
            <v>XYZ-171-PI908-XL</v>
          </cell>
          <cell r="B4682" t="str">
            <v>XYZ-171</v>
          </cell>
        </row>
        <row r="4683">
          <cell r="A4683" t="str">
            <v>XYZ-171-PI908-XXL</v>
          </cell>
          <cell r="B4683" t="str">
            <v>XYZ-171</v>
          </cell>
        </row>
        <row r="4684">
          <cell r="A4684" t="str">
            <v>XYZ-171-Sa911-L</v>
          </cell>
          <cell r="B4684" t="str">
            <v>XYZ-171</v>
          </cell>
        </row>
        <row r="4685">
          <cell r="A4685" t="str">
            <v>XYZ-171-Sa911-M</v>
          </cell>
          <cell r="B4685" t="str">
            <v>XYZ-171</v>
          </cell>
        </row>
        <row r="4686">
          <cell r="A4686" t="str">
            <v>XYZ-171-Sa911-S</v>
          </cell>
          <cell r="B4686" t="str">
            <v>XYZ-171</v>
          </cell>
        </row>
        <row r="4687">
          <cell r="A4687" t="str">
            <v>XYZ-171-Sa911-XL</v>
          </cell>
          <cell r="B4687" t="str">
            <v>XYZ-171</v>
          </cell>
        </row>
        <row r="4688">
          <cell r="A4688" t="str">
            <v>XYZ-171-Sa911-XXL</v>
          </cell>
          <cell r="B4688" t="str">
            <v>XYZ-171</v>
          </cell>
        </row>
        <row r="4689">
          <cell r="A4689" t="str">
            <v>XYZ-171-W902-L</v>
          </cell>
          <cell r="B4689" t="str">
            <v>XYZ-171</v>
          </cell>
        </row>
        <row r="4690">
          <cell r="A4690" t="str">
            <v>XYZ-171-W902-M</v>
          </cell>
          <cell r="B4690" t="str">
            <v>XYZ-171</v>
          </cell>
        </row>
        <row r="4691">
          <cell r="A4691" t="str">
            <v>XYZ-171-W902-S</v>
          </cell>
          <cell r="B4691" t="str">
            <v>XYZ-171</v>
          </cell>
        </row>
        <row r="4692">
          <cell r="A4692" t="str">
            <v>XYZ-171-W902-XL</v>
          </cell>
          <cell r="B4692" t="str">
            <v>XYZ-171</v>
          </cell>
        </row>
        <row r="4693">
          <cell r="A4693" t="str">
            <v>XYZ-171-W902-XXL</v>
          </cell>
          <cell r="B4693" t="str">
            <v>XYZ-171</v>
          </cell>
        </row>
        <row r="4694">
          <cell r="A4694" t="str">
            <v>XYZ-171-WR917-L</v>
          </cell>
          <cell r="B4694" t="str">
            <v>XYZ-171</v>
          </cell>
        </row>
        <row r="4695">
          <cell r="A4695" t="str">
            <v>XYZ-171-WR917-M</v>
          </cell>
          <cell r="B4695" t="str">
            <v>XYZ-171</v>
          </cell>
        </row>
        <row r="4696">
          <cell r="A4696" t="str">
            <v>XYZ-171-WR917-S</v>
          </cell>
          <cell r="B4696" t="str">
            <v>XYZ-171</v>
          </cell>
        </row>
        <row r="4697">
          <cell r="A4697" t="str">
            <v>XYZ-171-WR917-XL</v>
          </cell>
          <cell r="B4697" t="str">
            <v>XYZ-171</v>
          </cell>
        </row>
        <row r="4698">
          <cell r="A4698" t="str">
            <v>XYZ-171-WR917-XXL</v>
          </cell>
          <cell r="B4698" t="str">
            <v>XYZ-171</v>
          </cell>
        </row>
        <row r="4699">
          <cell r="A4699" t="str">
            <v>XYZ-171-ZL918-L</v>
          </cell>
          <cell r="B4699" t="str">
            <v>XYZ-171</v>
          </cell>
        </row>
        <row r="4700">
          <cell r="A4700" t="str">
            <v>XYZ-171-ZL918-M</v>
          </cell>
          <cell r="B4700" t="str">
            <v>XYZ-171</v>
          </cell>
        </row>
        <row r="4701">
          <cell r="A4701" t="str">
            <v>XYZ-171-ZL918-S</v>
          </cell>
          <cell r="B4701" t="str">
            <v>XYZ-171</v>
          </cell>
        </row>
        <row r="4702">
          <cell r="A4702" t="str">
            <v>XYZ-171-ZL918-XL</v>
          </cell>
          <cell r="B4702" t="str">
            <v>XYZ-171</v>
          </cell>
        </row>
        <row r="4703">
          <cell r="A4703" t="str">
            <v>XYZ-171-ZL918-XXL</v>
          </cell>
          <cell r="B4703" t="str">
            <v>XYZ-171</v>
          </cell>
        </row>
        <row r="4704">
          <cell r="A4704" t="str">
            <v>XYZ-181-G912-L</v>
          </cell>
          <cell r="B4704" t="str">
            <v>XYZ-181</v>
          </cell>
        </row>
        <row r="4705">
          <cell r="A4705" t="str">
            <v>XYZ-181-G912-M</v>
          </cell>
          <cell r="B4705" t="str">
            <v>XYZ-181</v>
          </cell>
        </row>
        <row r="4706">
          <cell r="A4706" t="str">
            <v>XYZ-181-G912-S</v>
          </cell>
          <cell r="B4706" t="str">
            <v>XYZ-181</v>
          </cell>
        </row>
        <row r="4707">
          <cell r="A4707" t="str">
            <v>XYZ-181-G912-XL</v>
          </cell>
          <cell r="B4707" t="str">
            <v>XYZ-181</v>
          </cell>
        </row>
        <row r="4708">
          <cell r="A4708" t="str">
            <v>XYZ-181-G912-XXL</v>
          </cell>
          <cell r="B4708" t="str">
            <v>XYZ-181</v>
          </cell>
        </row>
        <row r="4709">
          <cell r="A4709" t="str">
            <v>XYZ-181-LB916-L</v>
          </cell>
          <cell r="B4709" t="str">
            <v>XYZ-181</v>
          </cell>
        </row>
        <row r="4710">
          <cell r="A4710" t="str">
            <v>XYZ-181-LB916-M</v>
          </cell>
          <cell r="B4710" t="str">
            <v>XYZ-181</v>
          </cell>
        </row>
        <row r="4711">
          <cell r="A4711" t="str">
            <v>XYZ-181-LB916-S</v>
          </cell>
          <cell r="B4711" t="str">
            <v>XYZ-181</v>
          </cell>
        </row>
        <row r="4712">
          <cell r="A4712" t="str">
            <v>XYZ-181-LB916-XL</v>
          </cell>
          <cell r="B4712" t="str">
            <v>XYZ-181</v>
          </cell>
        </row>
        <row r="4713">
          <cell r="A4713" t="str">
            <v>XYZ-181-LB916-XXL</v>
          </cell>
          <cell r="B4713" t="str">
            <v>XYZ-181</v>
          </cell>
        </row>
        <row r="4714">
          <cell r="A4714" t="str">
            <v>XYZ-181-LG907-L</v>
          </cell>
          <cell r="B4714" t="str">
            <v>XYZ-181</v>
          </cell>
        </row>
        <row r="4715">
          <cell r="A4715" t="str">
            <v>XYZ-181-LG907-M</v>
          </cell>
          <cell r="B4715" t="str">
            <v>XYZ-181</v>
          </cell>
        </row>
        <row r="4716">
          <cell r="A4716" t="str">
            <v>XYZ-181-LG907-S</v>
          </cell>
          <cell r="B4716" t="str">
            <v>XYZ-181</v>
          </cell>
        </row>
        <row r="4717">
          <cell r="A4717" t="str">
            <v>XYZ-181-LG907-XL</v>
          </cell>
          <cell r="B4717" t="str">
            <v>XYZ-181</v>
          </cell>
        </row>
        <row r="4718">
          <cell r="A4718" t="str">
            <v>XYZ-181-LG907-XXL</v>
          </cell>
          <cell r="B4718" t="str">
            <v>XYZ-181</v>
          </cell>
        </row>
        <row r="4719">
          <cell r="A4719" t="str">
            <v>XYZ-181-PI908-L</v>
          </cell>
          <cell r="B4719" t="str">
            <v>XYZ-181</v>
          </cell>
        </row>
        <row r="4720">
          <cell r="A4720" t="str">
            <v>XYZ-181-PI908-M</v>
          </cell>
          <cell r="B4720" t="str">
            <v>XYZ-181</v>
          </cell>
        </row>
        <row r="4721">
          <cell r="A4721" t="str">
            <v>XYZ-181-PI908-S</v>
          </cell>
          <cell r="B4721" t="str">
            <v>XYZ-181</v>
          </cell>
        </row>
        <row r="4722">
          <cell r="A4722" t="str">
            <v>XYZ-181-PI908-XL</v>
          </cell>
          <cell r="B4722" t="str">
            <v>XYZ-181</v>
          </cell>
        </row>
        <row r="4723">
          <cell r="A4723" t="str">
            <v>XYZ-181-PI908-XXL</v>
          </cell>
          <cell r="B4723" t="str">
            <v>XYZ-181</v>
          </cell>
        </row>
        <row r="4724">
          <cell r="A4724" t="str">
            <v>XYZ-181-Sa911-L</v>
          </cell>
          <cell r="B4724" t="str">
            <v>XYZ-181</v>
          </cell>
        </row>
        <row r="4725">
          <cell r="A4725" t="str">
            <v>XYZ-181-Sa911-M</v>
          </cell>
          <cell r="B4725" t="str">
            <v>XYZ-181</v>
          </cell>
        </row>
        <row r="4726">
          <cell r="A4726" t="str">
            <v>XYZ-181-Sa911-S</v>
          </cell>
          <cell r="B4726" t="str">
            <v>XYZ-181</v>
          </cell>
        </row>
        <row r="4727">
          <cell r="A4727" t="str">
            <v>XYZ-181-Sa911-XL</v>
          </cell>
          <cell r="B4727" t="str">
            <v>XYZ-181</v>
          </cell>
        </row>
        <row r="4728">
          <cell r="A4728" t="str">
            <v>XYZ-181-Sa911-XXL</v>
          </cell>
          <cell r="B4728" t="str">
            <v>XYZ-181</v>
          </cell>
        </row>
        <row r="4729">
          <cell r="A4729" t="str">
            <v>XYZ-181-W902-L</v>
          </cell>
          <cell r="B4729" t="str">
            <v>XYZ-181</v>
          </cell>
        </row>
        <row r="4730">
          <cell r="A4730" t="str">
            <v>XYZ-181-W902-M</v>
          </cell>
          <cell r="B4730" t="str">
            <v>XYZ-181</v>
          </cell>
        </row>
        <row r="4731">
          <cell r="A4731" t="str">
            <v>XYZ-181-W902-S</v>
          </cell>
          <cell r="B4731" t="str">
            <v>XYZ-181</v>
          </cell>
        </row>
        <row r="4732">
          <cell r="A4732" t="str">
            <v>XYZ-181-W902-XL</v>
          </cell>
          <cell r="B4732" t="str">
            <v>XYZ-181</v>
          </cell>
        </row>
        <row r="4733">
          <cell r="A4733" t="str">
            <v>XYZ-181-W902-XXL</v>
          </cell>
          <cell r="B4733" t="str">
            <v>XYZ-181</v>
          </cell>
        </row>
        <row r="4734">
          <cell r="A4734" t="str">
            <v>XYZ-181-WR917-L</v>
          </cell>
          <cell r="B4734" t="str">
            <v>XYZ-181</v>
          </cell>
        </row>
        <row r="4735">
          <cell r="A4735" t="str">
            <v>XYZ-181-WR917-M</v>
          </cell>
          <cell r="B4735" t="str">
            <v>XYZ-181</v>
          </cell>
        </row>
        <row r="4736">
          <cell r="A4736" t="str">
            <v>XYZ-181-WR917-S</v>
          </cell>
          <cell r="B4736" t="str">
            <v>XYZ-181</v>
          </cell>
        </row>
        <row r="4737">
          <cell r="A4737" t="str">
            <v>XYZ-181-WR917-XL</v>
          </cell>
          <cell r="B4737" t="str">
            <v>XYZ-181</v>
          </cell>
        </row>
        <row r="4738">
          <cell r="A4738" t="str">
            <v>XYZ-181-WR917-XXL</v>
          </cell>
          <cell r="B4738" t="str">
            <v>XYZ-181</v>
          </cell>
        </row>
        <row r="4739">
          <cell r="A4739" t="str">
            <v>XYZ-181-ZL918-L</v>
          </cell>
          <cell r="B4739" t="str">
            <v>XYZ-181</v>
          </cell>
        </row>
        <row r="4740">
          <cell r="A4740" t="str">
            <v>XYZ-181-ZL918-M</v>
          </cell>
          <cell r="B4740" t="str">
            <v>XYZ-181</v>
          </cell>
        </row>
        <row r="4741">
          <cell r="A4741" t="str">
            <v>XYZ-181-ZL918-S</v>
          </cell>
          <cell r="B4741" t="str">
            <v>XYZ-181</v>
          </cell>
        </row>
        <row r="4742">
          <cell r="A4742" t="str">
            <v>XYZ-181-ZL918-XL</v>
          </cell>
          <cell r="B4742" t="str">
            <v>XYZ-181</v>
          </cell>
        </row>
        <row r="4743">
          <cell r="A4743" t="str">
            <v>XYZ-181-ZL918-XXL</v>
          </cell>
          <cell r="B4743" t="str">
            <v>XYZ-181</v>
          </cell>
        </row>
        <row r="4744">
          <cell r="A4744" t="str">
            <v>XZ-001E0L</v>
          </cell>
          <cell r="B4744" t="str">
            <v>XZ-001</v>
          </cell>
        </row>
        <row r="4745">
          <cell r="A4745" t="str">
            <v>XZ-001E0M</v>
          </cell>
          <cell r="B4745" t="str">
            <v>XZ-001</v>
          </cell>
        </row>
        <row r="4746">
          <cell r="A4746" t="str">
            <v>XZ-001E0S</v>
          </cell>
          <cell r="B4746" t="str">
            <v>XZ-001</v>
          </cell>
        </row>
        <row r="4747">
          <cell r="A4747" t="str">
            <v>XZ-001W0L</v>
          </cell>
          <cell r="B4747" t="str">
            <v>XZ-001</v>
          </cell>
        </row>
        <row r="4748">
          <cell r="A4748" t="str">
            <v>XZ-001W0M</v>
          </cell>
          <cell r="B4748" t="str">
            <v>XZ-001</v>
          </cell>
        </row>
        <row r="4749">
          <cell r="A4749" t="str">
            <v>XZ-001W0S</v>
          </cell>
          <cell r="B4749" t="str">
            <v>XZ-001</v>
          </cell>
        </row>
        <row r="4750">
          <cell r="A4750" t="str">
            <v>XZ-001ZEL</v>
          </cell>
          <cell r="B4750" t="str">
            <v>XZ-001</v>
          </cell>
        </row>
        <row r="4751">
          <cell r="A4751" t="str">
            <v>XZ-001ZEM</v>
          </cell>
          <cell r="B4751" t="str">
            <v>XZ-001</v>
          </cell>
        </row>
        <row r="4752">
          <cell r="A4752" t="str">
            <v>XZ-001ZES</v>
          </cell>
          <cell r="B4752" t="str">
            <v>XZ-001</v>
          </cell>
        </row>
        <row r="4753">
          <cell r="A4753" t="str">
            <v>XZ-002CWL</v>
          </cell>
          <cell r="B4753" t="str">
            <v>XZ-002</v>
          </cell>
        </row>
        <row r="4754">
          <cell r="A4754" t="str">
            <v>XZ-002CWM</v>
          </cell>
          <cell r="B4754" t="str">
            <v>XZ-002</v>
          </cell>
        </row>
        <row r="4755">
          <cell r="A4755" t="str">
            <v>XZ-002CWS</v>
          </cell>
          <cell r="B4755" t="str">
            <v>XZ-002</v>
          </cell>
        </row>
        <row r="4756">
          <cell r="A4756" t="str">
            <v>XZ-002GRL</v>
          </cell>
          <cell r="B4756" t="str">
            <v>XZ-002</v>
          </cell>
        </row>
        <row r="4757">
          <cell r="A4757" t="str">
            <v>XZ-002GRM</v>
          </cell>
          <cell r="B4757" t="str">
            <v>XZ-002</v>
          </cell>
        </row>
        <row r="4758">
          <cell r="A4758" t="str">
            <v>XZ-002GRS</v>
          </cell>
          <cell r="B4758" t="str">
            <v>XZ-002</v>
          </cell>
        </row>
        <row r="4759">
          <cell r="A4759" t="str">
            <v>XZ-002W0L</v>
          </cell>
          <cell r="B4759" t="str">
            <v>XZ-002</v>
          </cell>
        </row>
        <row r="4760">
          <cell r="A4760" t="str">
            <v>XZ-003B0L</v>
          </cell>
          <cell r="B4760" t="str">
            <v>XZ-003</v>
          </cell>
        </row>
        <row r="4761">
          <cell r="A4761" t="str">
            <v>XZ-003B0M</v>
          </cell>
          <cell r="B4761" t="str">
            <v>XZ-003</v>
          </cell>
        </row>
        <row r="4762">
          <cell r="A4762" t="str">
            <v>XZ-003B0S</v>
          </cell>
          <cell r="B4762" t="str">
            <v>XZ-003</v>
          </cell>
        </row>
        <row r="4763">
          <cell r="A4763" t="str">
            <v>XZ-003R0L</v>
          </cell>
          <cell r="B4763" t="str">
            <v>XZ-003</v>
          </cell>
        </row>
        <row r="4764">
          <cell r="A4764" t="str">
            <v>XZ-003R0M</v>
          </cell>
          <cell r="B4764" t="str">
            <v>XZ-003</v>
          </cell>
        </row>
        <row r="4765">
          <cell r="A4765" t="str">
            <v>XZ-003R0S</v>
          </cell>
          <cell r="B4765" t="str">
            <v>XZ-003</v>
          </cell>
        </row>
        <row r="4766">
          <cell r="A4766" t="str">
            <v>XZ-004B0M</v>
          </cell>
          <cell r="B4766" t="str">
            <v>XZ-004</v>
          </cell>
        </row>
        <row r="4767">
          <cell r="A4767" t="str">
            <v>XZ-004B0S</v>
          </cell>
          <cell r="B4767" t="str">
            <v>XZ-004</v>
          </cell>
        </row>
        <row r="4768">
          <cell r="A4768" t="str">
            <v>XZ-004BOL</v>
          </cell>
          <cell r="B4768" t="str">
            <v>XZ-004</v>
          </cell>
        </row>
        <row r="4769">
          <cell r="A4769" t="str">
            <v>XZ-004G0L</v>
          </cell>
          <cell r="B4769" t="str">
            <v>XZ-004</v>
          </cell>
        </row>
        <row r="4770">
          <cell r="A4770" t="str">
            <v>XZ-004G0M</v>
          </cell>
          <cell r="B4770" t="str">
            <v>XZ-004</v>
          </cell>
        </row>
        <row r="4771">
          <cell r="A4771" t="str">
            <v>XZ-004G0S</v>
          </cell>
          <cell r="B4771" t="str">
            <v>XZ-004</v>
          </cell>
        </row>
        <row r="4772">
          <cell r="A4772" t="str">
            <v>XZ-004K0L</v>
          </cell>
          <cell r="B4772" t="str">
            <v>XZ-004</v>
          </cell>
        </row>
        <row r="4773">
          <cell r="A4773" t="str">
            <v>XZ-004K0M</v>
          </cell>
          <cell r="B4773" t="str">
            <v>XZ-004</v>
          </cell>
        </row>
        <row r="4774">
          <cell r="A4774" t="str">
            <v>XZ-004K0S</v>
          </cell>
          <cell r="B4774" t="str">
            <v>XZ-004</v>
          </cell>
        </row>
        <row r="4775">
          <cell r="A4775" t="str">
            <v>XZ-004R0L</v>
          </cell>
          <cell r="B4775" t="str">
            <v>XZ-004</v>
          </cell>
        </row>
        <row r="4776">
          <cell r="A4776" t="str">
            <v>XZ-004R0M</v>
          </cell>
          <cell r="B4776" t="str">
            <v>XZ-004</v>
          </cell>
        </row>
        <row r="4777">
          <cell r="A4777" t="str">
            <v>XZ-004R0S</v>
          </cell>
          <cell r="B4777" t="str">
            <v>XZ-004</v>
          </cell>
        </row>
        <row r="4778">
          <cell r="A4778" t="str">
            <v>XZ-004SLL</v>
          </cell>
          <cell r="B4778" t="str">
            <v>XZ-004</v>
          </cell>
        </row>
        <row r="4779">
          <cell r="A4779" t="str">
            <v>XZ-004SLM</v>
          </cell>
          <cell r="B4779" t="str">
            <v>XZ-004</v>
          </cell>
        </row>
        <row r="4780">
          <cell r="A4780" t="str">
            <v>XZ-004SLS</v>
          </cell>
          <cell r="B4780" t="str">
            <v>XZ-004</v>
          </cell>
        </row>
        <row r="4781">
          <cell r="A4781" t="str">
            <v>XZ-005</v>
          </cell>
          <cell r="B4781" t="str">
            <v>XZ-005</v>
          </cell>
        </row>
        <row r="4782">
          <cell r="A4782" t="str">
            <v>XZ-005GEL</v>
          </cell>
          <cell r="B4782" t="str">
            <v>XZ-005</v>
          </cell>
        </row>
        <row r="4783">
          <cell r="A4783" t="str">
            <v>XZ-005GEM</v>
          </cell>
          <cell r="B4783" t="str">
            <v>XZ-005</v>
          </cell>
        </row>
        <row r="4784">
          <cell r="A4784" t="str">
            <v>XZ-005GES</v>
          </cell>
          <cell r="B4784" t="str">
            <v>XZ-005</v>
          </cell>
        </row>
        <row r="4785">
          <cell r="A4785" t="str">
            <v>XZ-005P0L</v>
          </cell>
          <cell r="B4785" t="str">
            <v>XZ-005</v>
          </cell>
        </row>
        <row r="4786">
          <cell r="A4786" t="str">
            <v>XZ-005P0M</v>
          </cell>
          <cell r="B4786" t="str">
            <v>XZ-005</v>
          </cell>
        </row>
        <row r="4787">
          <cell r="A4787" t="str">
            <v>XZ-005P0S</v>
          </cell>
          <cell r="B4787" t="str">
            <v>XZ-005</v>
          </cell>
        </row>
        <row r="4788">
          <cell r="A4788" t="str">
            <v>XZ-005Y0L</v>
          </cell>
          <cell r="B4788" t="str">
            <v>XZ-005</v>
          </cell>
        </row>
        <row r="4789">
          <cell r="A4789" t="str">
            <v>XZ-005Y0M</v>
          </cell>
          <cell r="B4789" t="str">
            <v>XZ-005</v>
          </cell>
        </row>
        <row r="4790">
          <cell r="A4790" t="str">
            <v>XZ-005Y0S</v>
          </cell>
          <cell r="B4790" t="str">
            <v>XZ-005</v>
          </cell>
        </row>
        <row r="4791">
          <cell r="A4791" t="str">
            <v>XZ-006</v>
          </cell>
          <cell r="B4791" t="str">
            <v>XZ-006</v>
          </cell>
        </row>
        <row r="4792">
          <cell r="A4792" t="str">
            <v>XZ-006B0L</v>
          </cell>
          <cell r="B4792" t="str">
            <v>XZ-006</v>
          </cell>
        </row>
        <row r="4793">
          <cell r="A4793" t="str">
            <v>XZ-006B0M</v>
          </cell>
          <cell r="B4793" t="str">
            <v>XZ-006</v>
          </cell>
        </row>
        <row r="4794">
          <cell r="A4794" t="str">
            <v>XZ-006B0S</v>
          </cell>
          <cell r="B4794" t="str">
            <v>XZ-006</v>
          </cell>
        </row>
        <row r="4795">
          <cell r="A4795" t="str">
            <v>XZ-006GRL</v>
          </cell>
          <cell r="B4795" t="str">
            <v>XZ-006</v>
          </cell>
        </row>
        <row r="4796">
          <cell r="A4796" t="str">
            <v>XZ-006GRM</v>
          </cell>
          <cell r="B4796" t="str">
            <v>XZ-006</v>
          </cell>
        </row>
        <row r="4797">
          <cell r="A4797" t="str">
            <v>XZ-006GRS</v>
          </cell>
          <cell r="B4797" t="str">
            <v>XZ-006</v>
          </cell>
        </row>
        <row r="4798">
          <cell r="A4798" t="str">
            <v>XZ-006R0L</v>
          </cell>
          <cell r="B4798" t="str">
            <v>XZ-006</v>
          </cell>
        </row>
        <row r="4799">
          <cell r="A4799" t="str">
            <v>XZ-006R0M</v>
          </cell>
          <cell r="B4799" t="str">
            <v>XZ-006</v>
          </cell>
        </row>
        <row r="4800">
          <cell r="A4800" t="str">
            <v>XZ-006R0S</v>
          </cell>
          <cell r="B4800" t="str">
            <v>XZ-006</v>
          </cell>
        </row>
        <row r="4801">
          <cell r="A4801" t="str">
            <v>XZ-007</v>
          </cell>
          <cell r="B4801" t="str">
            <v>XZ-007</v>
          </cell>
        </row>
        <row r="4802">
          <cell r="A4802" t="str">
            <v>XZ-007GRL</v>
          </cell>
          <cell r="B4802" t="str">
            <v>XZ-007</v>
          </cell>
        </row>
        <row r="4803">
          <cell r="A4803" t="str">
            <v>XZ-007GRM</v>
          </cell>
          <cell r="B4803" t="str">
            <v>XZ-007</v>
          </cell>
        </row>
        <row r="4804">
          <cell r="A4804" t="str">
            <v>XZ-007GRS</v>
          </cell>
          <cell r="B4804" t="str">
            <v>XZ-007</v>
          </cell>
        </row>
        <row r="4805">
          <cell r="A4805" t="str">
            <v>XZ-007GRXL</v>
          </cell>
          <cell r="B4805" t="str">
            <v>XZ-007</v>
          </cell>
        </row>
        <row r="4806">
          <cell r="A4806" t="str">
            <v>XZ-007W0L</v>
          </cell>
          <cell r="B4806" t="str">
            <v>XZ-007</v>
          </cell>
        </row>
        <row r="4807">
          <cell r="A4807" t="str">
            <v>XZ-007W0M</v>
          </cell>
          <cell r="B4807" t="str">
            <v>XZ-007</v>
          </cell>
        </row>
        <row r="4808">
          <cell r="A4808" t="str">
            <v>XZ-007W0S</v>
          </cell>
          <cell r="B4808" t="str">
            <v>XZ-007</v>
          </cell>
        </row>
        <row r="4809">
          <cell r="A4809" t="str">
            <v>XZ-007W0XL</v>
          </cell>
          <cell r="B4809" t="str">
            <v>XZ-007</v>
          </cell>
        </row>
        <row r="4810">
          <cell r="A4810" t="str">
            <v>XZ-011</v>
          </cell>
          <cell r="B4810" t="str">
            <v>XZ-011</v>
          </cell>
        </row>
        <row r="4811">
          <cell r="A4811" t="str">
            <v>XZ-011CoL</v>
          </cell>
          <cell r="B4811" t="str">
            <v>XZ-011</v>
          </cell>
        </row>
        <row r="4812">
          <cell r="A4812" t="str">
            <v>XZ-011CoXL</v>
          </cell>
          <cell r="B4812" t="str">
            <v>XZ-011</v>
          </cell>
        </row>
        <row r="4813">
          <cell r="A4813" t="str">
            <v>XZ-011R6S</v>
          </cell>
          <cell r="B4813" t="str">
            <v>XZ-011</v>
          </cell>
        </row>
        <row r="4814">
          <cell r="A4814" t="str">
            <v>XZ-013</v>
          </cell>
          <cell r="B4814" t="str">
            <v>XZ-013</v>
          </cell>
        </row>
        <row r="4815">
          <cell r="A4815" t="str">
            <v>XZ-013-Cat-3637</v>
          </cell>
          <cell r="B4815" t="str">
            <v>XZ-013</v>
          </cell>
        </row>
        <row r="4816">
          <cell r="A4816" t="str">
            <v>XZ-013-Cat-3839</v>
          </cell>
          <cell r="B4816" t="str">
            <v>XZ-013</v>
          </cell>
        </row>
        <row r="4817">
          <cell r="A4817" t="str">
            <v>XZ-013-GR1-3637</v>
          </cell>
          <cell r="B4817" t="str">
            <v>XZ-013</v>
          </cell>
        </row>
        <row r="4818">
          <cell r="A4818" t="str">
            <v>XZ-013-GR1-3839</v>
          </cell>
          <cell r="B4818" t="str">
            <v>XZ-013</v>
          </cell>
        </row>
        <row r="4819">
          <cell r="A4819" t="str">
            <v>XZ-013-GR1-4041</v>
          </cell>
          <cell r="B4819" t="str">
            <v>XZ-013</v>
          </cell>
        </row>
        <row r="4820">
          <cell r="A4820" t="str">
            <v>XZ-013-GR1-4243</v>
          </cell>
          <cell r="B4820" t="str">
            <v>XZ-013</v>
          </cell>
        </row>
        <row r="4821">
          <cell r="A4821" t="str">
            <v>XZ-013GR1L</v>
          </cell>
          <cell r="B4821" t="str">
            <v>XZ-013</v>
          </cell>
        </row>
        <row r="4822">
          <cell r="A4822" t="str">
            <v>XZ-013GR1M</v>
          </cell>
          <cell r="B4822" t="str">
            <v>XZ-013</v>
          </cell>
        </row>
        <row r="4823">
          <cell r="A4823" t="str">
            <v>XZ-013GR1S</v>
          </cell>
          <cell r="B4823" t="str">
            <v>XZ-013</v>
          </cell>
        </row>
        <row r="4824">
          <cell r="A4824" t="str">
            <v>XZ-013GR1XL</v>
          </cell>
          <cell r="B4824" t="str">
            <v>XZ-013</v>
          </cell>
        </row>
        <row r="4825">
          <cell r="A4825" t="str">
            <v>XZ-013-GR2-3637</v>
          </cell>
          <cell r="B4825" t="str">
            <v>XZ-013</v>
          </cell>
        </row>
        <row r="4826">
          <cell r="A4826" t="str">
            <v>XZ-013-GR2-3839</v>
          </cell>
          <cell r="B4826" t="str">
            <v>XZ-013</v>
          </cell>
        </row>
        <row r="4827">
          <cell r="A4827" t="str">
            <v>XZ-013-GR2-4041</v>
          </cell>
          <cell r="B4827" t="str">
            <v>XZ-013</v>
          </cell>
        </row>
        <row r="4828">
          <cell r="A4828" t="str">
            <v>XZ-013-GR2-4243</v>
          </cell>
          <cell r="B4828" t="str">
            <v>XZ-013</v>
          </cell>
        </row>
        <row r="4829">
          <cell r="A4829" t="str">
            <v>XZ-013GR2L</v>
          </cell>
          <cell r="B4829" t="str">
            <v>XZ-013</v>
          </cell>
        </row>
        <row r="4830">
          <cell r="A4830" t="str">
            <v>XZ-013GR2M</v>
          </cell>
          <cell r="B4830" t="str">
            <v>XZ-013</v>
          </cell>
        </row>
        <row r="4831">
          <cell r="A4831" t="str">
            <v>XZ-013GR2S</v>
          </cell>
          <cell r="B4831" t="str">
            <v>XZ-013</v>
          </cell>
        </row>
        <row r="4832">
          <cell r="A4832" t="str">
            <v>XZ-013GR2XL</v>
          </cell>
          <cell r="B4832" t="str">
            <v>XZ-013</v>
          </cell>
        </row>
        <row r="4833">
          <cell r="A4833" t="str">
            <v>XZ-013GR3-2XL</v>
          </cell>
          <cell r="B4833" t="str">
            <v>XZ-013</v>
          </cell>
        </row>
        <row r="4834">
          <cell r="A4834" t="str">
            <v>XZ-013-GR3-3536</v>
          </cell>
          <cell r="B4834" t="str">
            <v>XZ-013</v>
          </cell>
        </row>
        <row r="4835">
          <cell r="A4835" t="str">
            <v>XZ-013-GR3-3738</v>
          </cell>
          <cell r="B4835" t="str">
            <v>XZ-013</v>
          </cell>
        </row>
        <row r="4836">
          <cell r="A4836" t="str">
            <v>XZ-013-GR3-3940</v>
          </cell>
          <cell r="B4836" t="str">
            <v>XZ-013</v>
          </cell>
        </row>
        <row r="4837">
          <cell r="A4837" t="str">
            <v>XZ-013-GR3-4142</v>
          </cell>
          <cell r="B4837" t="str">
            <v>XZ-013</v>
          </cell>
        </row>
        <row r="4838">
          <cell r="A4838" t="str">
            <v>XZ-013-GR3-4344</v>
          </cell>
          <cell r="B4838" t="str">
            <v>XZ-013</v>
          </cell>
        </row>
        <row r="4839">
          <cell r="A4839" t="str">
            <v>XZ-013GR3L</v>
          </cell>
          <cell r="B4839" t="str">
            <v>XZ-013</v>
          </cell>
        </row>
        <row r="4840">
          <cell r="A4840" t="str">
            <v>XZ-013GR3M</v>
          </cell>
          <cell r="B4840" t="str">
            <v>XZ-013</v>
          </cell>
        </row>
        <row r="4841">
          <cell r="A4841" t="str">
            <v>XZ-013GR3S</v>
          </cell>
          <cell r="B4841" t="str">
            <v>XZ-013</v>
          </cell>
        </row>
        <row r="4842">
          <cell r="A4842" t="str">
            <v>XZ-013GR3XL</v>
          </cell>
          <cell r="B4842" t="str">
            <v>XZ-013</v>
          </cell>
        </row>
        <row r="4843">
          <cell r="A4843" t="str">
            <v>XZ-013-Owl-3637</v>
          </cell>
          <cell r="B4843" t="str">
            <v>XZ-013</v>
          </cell>
        </row>
        <row r="4844">
          <cell r="A4844" t="str">
            <v>XZ-013-Owl-3839</v>
          </cell>
          <cell r="B4844" t="str">
            <v>XZ-013</v>
          </cell>
        </row>
        <row r="4845">
          <cell r="A4845" t="str">
            <v>XZ-013-PI3-3536</v>
          </cell>
          <cell r="B4845" t="str">
            <v>XZ-013</v>
          </cell>
        </row>
        <row r="4846">
          <cell r="A4846" t="str">
            <v>XZ-013-PI3-3738</v>
          </cell>
          <cell r="B4846" t="str">
            <v>XZ-013</v>
          </cell>
        </row>
        <row r="4847">
          <cell r="A4847" t="str">
            <v>XZ-013-PI3-3940</v>
          </cell>
          <cell r="B4847" t="str">
            <v>XZ-013</v>
          </cell>
        </row>
        <row r="4848">
          <cell r="A4848" t="str">
            <v>XZ-013PI3L</v>
          </cell>
          <cell r="B4848" t="str">
            <v>XZ-013</v>
          </cell>
        </row>
        <row r="4849">
          <cell r="A4849" t="str">
            <v>XZ-013PI3M</v>
          </cell>
          <cell r="B4849" t="str">
            <v>XZ-013</v>
          </cell>
        </row>
        <row r="4850">
          <cell r="A4850" t="str">
            <v>XZ-013PI3S</v>
          </cell>
          <cell r="B4850" t="str">
            <v>XZ-013</v>
          </cell>
        </row>
        <row r="4851">
          <cell r="A4851" t="str">
            <v>XZ-013-shark-3637</v>
          </cell>
          <cell r="B4851" t="str">
            <v>XZ-013</v>
          </cell>
        </row>
        <row r="4852">
          <cell r="A4852" t="str">
            <v>XZ-013-shark-3839</v>
          </cell>
          <cell r="B4852" t="str">
            <v>XZ-013</v>
          </cell>
        </row>
        <row r="4853">
          <cell r="A4853" t="str">
            <v>XZ-013-WH1-3637</v>
          </cell>
          <cell r="B4853" t="str">
            <v>XZ-013</v>
          </cell>
        </row>
        <row r="4854">
          <cell r="A4854" t="str">
            <v>XZ-013-WH1-3839</v>
          </cell>
          <cell r="B4854" t="str">
            <v>XZ-013</v>
          </cell>
        </row>
        <row r="4855">
          <cell r="A4855" t="str">
            <v>XZ-013WH1M</v>
          </cell>
          <cell r="B4855" t="str">
            <v>XZ-013</v>
          </cell>
        </row>
        <row r="4856">
          <cell r="A4856" t="str">
            <v>XZ-013WH1S</v>
          </cell>
          <cell r="B4856" t="str">
            <v>XZ-013</v>
          </cell>
        </row>
        <row r="4857">
          <cell r="A4857" t="str">
            <v>XZ-013-WH2-3637</v>
          </cell>
          <cell r="B4857" t="str">
            <v>XZ-013</v>
          </cell>
        </row>
        <row r="4858">
          <cell r="A4858" t="str">
            <v>XZ-013-WH2-3839</v>
          </cell>
          <cell r="B4858" t="str">
            <v>XZ-013</v>
          </cell>
        </row>
        <row r="4859">
          <cell r="A4859" t="str">
            <v>XZ-013WH2M</v>
          </cell>
          <cell r="B4859" t="str">
            <v>XZ-013</v>
          </cell>
        </row>
        <row r="4860">
          <cell r="A4860" t="str">
            <v>XZ-013WH2S</v>
          </cell>
          <cell r="B4860" t="str">
            <v>XZ-013</v>
          </cell>
        </row>
        <row r="4861">
          <cell r="A4861" t="str">
            <v>XZ-013-WH3-3536</v>
          </cell>
          <cell r="B4861" t="str">
            <v>XZ-013</v>
          </cell>
        </row>
        <row r="4862">
          <cell r="A4862" t="str">
            <v>XZ-013-WH3-3738</v>
          </cell>
          <cell r="B4862" t="str">
            <v>XZ-013</v>
          </cell>
        </row>
        <row r="4863">
          <cell r="A4863" t="str">
            <v>XZ-013-WH3-3940</v>
          </cell>
          <cell r="B4863" t="str">
            <v>XZ-013</v>
          </cell>
        </row>
        <row r="4864">
          <cell r="A4864" t="str">
            <v>XZ-013WH3L</v>
          </cell>
          <cell r="B4864" t="str">
            <v>XZ-013</v>
          </cell>
        </row>
        <row r="4865">
          <cell r="A4865" t="str">
            <v>XZ-013WH3M</v>
          </cell>
          <cell r="B4865" t="str">
            <v>XZ-013</v>
          </cell>
        </row>
        <row r="4866">
          <cell r="A4866" t="str">
            <v>XZ-013WH3S</v>
          </cell>
          <cell r="B4866" t="str">
            <v>XZ-013</v>
          </cell>
        </row>
        <row r="4867">
          <cell r="A4867" t="str">
            <v>XZ-056</v>
          </cell>
          <cell r="B4867" t="str">
            <v>XZ-056</v>
          </cell>
        </row>
        <row r="4868">
          <cell r="A4868" t="str">
            <v>XZ-056-G0-L</v>
          </cell>
          <cell r="B4868" t="str">
            <v>XZ-056</v>
          </cell>
        </row>
        <row r="4869">
          <cell r="A4869" t="str">
            <v>XZ-056-G0-M</v>
          </cell>
          <cell r="B4869" t="str">
            <v>XZ-056</v>
          </cell>
        </row>
        <row r="4870">
          <cell r="A4870" t="str">
            <v>XZ-056-G0-S</v>
          </cell>
          <cell r="B4870" t="str">
            <v>XZ-056</v>
          </cell>
        </row>
        <row r="4871">
          <cell r="A4871" t="str">
            <v>XZ-056-R3-L</v>
          </cell>
          <cell r="B4871" t="str">
            <v>XZ-056</v>
          </cell>
        </row>
        <row r="4872">
          <cell r="A4872" t="str">
            <v>XZ-056-R3-M</v>
          </cell>
          <cell r="B4872" t="str">
            <v>XZ-056</v>
          </cell>
        </row>
        <row r="4873">
          <cell r="A4873" t="str">
            <v>XZ-056-R3-S</v>
          </cell>
          <cell r="B4873" t="str">
            <v>XZ-056</v>
          </cell>
        </row>
        <row r="4874">
          <cell r="A4874" t="str">
            <v>XZ-056-W0-L</v>
          </cell>
          <cell r="B4874" t="str">
            <v>XZ-056</v>
          </cell>
        </row>
        <row r="4875">
          <cell r="A4875" t="str">
            <v>XZ-056-W0-M</v>
          </cell>
          <cell r="B4875" t="str">
            <v>XZ-056</v>
          </cell>
        </row>
        <row r="4876">
          <cell r="A4876" t="str">
            <v>XZ-056-W0-S</v>
          </cell>
          <cell r="B4876" t="str">
            <v>XZ-056</v>
          </cell>
        </row>
        <row r="4877">
          <cell r="A4877" t="str">
            <v>XZ-2115</v>
          </cell>
          <cell r="B4877" t="str">
            <v>XZ-2115</v>
          </cell>
        </row>
        <row r="4878">
          <cell r="A4878" t="str">
            <v>XZ-2115Gr35</v>
          </cell>
          <cell r="B4878" t="str">
            <v>XZ-2115</v>
          </cell>
        </row>
        <row r="4879">
          <cell r="A4879" t="str">
            <v>XZ-2115Gr36</v>
          </cell>
          <cell r="B4879" t="str">
            <v>XZ-2115</v>
          </cell>
        </row>
        <row r="4880">
          <cell r="A4880" t="str">
            <v>XZ-2115Gr38</v>
          </cell>
          <cell r="B4880" t="str">
            <v>XZ-2115</v>
          </cell>
        </row>
        <row r="4881">
          <cell r="A4881" t="str">
            <v>XZ-2115Li35</v>
          </cell>
          <cell r="B4881" t="str">
            <v>XZ-2115</v>
          </cell>
        </row>
        <row r="4882">
          <cell r="A4882" t="str">
            <v>XZ-2115Li36</v>
          </cell>
          <cell r="B4882" t="str">
            <v>XZ-2115</v>
          </cell>
        </row>
        <row r="4883">
          <cell r="A4883" t="str">
            <v>XZ-2115Li38</v>
          </cell>
          <cell r="B4883" t="str">
            <v>XZ-2115</v>
          </cell>
        </row>
        <row r="4884">
          <cell r="A4884" t="str">
            <v>XZ-2115Pi35</v>
          </cell>
          <cell r="B4884" t="str">
            <v>XZ-2115</v>
          </cell>
        </row>
        <row r="4885">
          <cell r="A4885" t="str">
            <v>XZ-2115Pi37</v>
          </cell>
          <cell r="B4885" t="str">
            <v>XZ-2115</v>
          </cell>
        </row>
        <row r="4886">
          <cell r="A4886" t="str">
            <v>XZ-2115Pi39</v>
          </cell>
          <cell r="B4886" t="str">
            <v>XZ-2115</v>
          </cell>
        </row>
        <row r="4887">
          <cell r="A4887" t="str">
            <v>XZ-2116BR42</v>
          </cell>
          <cell r="B4887" t="str">
            <v>XZ-2116</v>
          </cell>
        </row>
        <row r="4888">
          <cell r="A4888" t="str">
            <v>XZ-2116BR44</v>
          </cell>
          <cell r="B4888" t="str">
            <v>XZ-2116</v>
          </cell>
        </row>
        <row r="4889">
          <cell r="A4889" t="str">
            <v>XZ-2116G042</v>
          </cell>
          <cell r="B4889" t="str">
            <v>XZ-2116</v>
          </cell>
        </row>
        <row r="4890">
          <cell r="A4890" t="str">
            <v>XZ-2116G044</v>
          </cell>
          <cell r="B4890" t="str">
            <v>XZ-2116</v>
          </cell>
        </row>
        <row r="4891">
          <cell r="A4891" t="str">
            <v>XZ-2116Pi38</v>
          </cell>
          <cell r="B4891" t="str">
            <v>XZ-2116</v>
          </cell>
        </row>
        <row r="4892">
          <cell r="A4892" t="str">
            <v>XZ-2116Pi40</v>
          </cell>
          <cell r="B4892" t="str">
            <v>XZ-2116</v>
          </cell>
        </row>
        <row r="4893">
          <cell r="A4893" t="str">
            <v>XZ-2116R038</v>
          </cell>
          <cell r="B4893" t="str">
            <v>XZ-2116</v>
          </cell>
        </row>
        <row r="4894">
          <cell r="A4894" t="str">
            <v>XZ-2116R040</v>
          </cell>
          <cell r="B4894" t="str">
            <v>XZ-2116</v>
          </cell>
        </row>
        <row r="4895">
          <cell r="A4895" t="str">
            <v>XZ-2116Y038</v>
          </cell>
          <cell r="B4895" t="str">
            <v>XZ-2116</v>
          </cell>
        </row>
        <row r="4896">
          <cell r="A4896" t="str">
            <v>XZ-2116Y040</v>
          </cell>
          <cell r="B4896" t="str">
            <v>XZ-2116</v>
          </cell>
        </row>
        <row r="4897">
          <cell r="A4897" t="str">
            <v>XZ-7178</v>
          </cell>
          <cell r="B4897" t="str">
            <v>XZ-7178</v>
          </cell>
        </row>
        <row r="4898">
          <cell r="A4898" t="str">
            <v>XZ-7178-CG0-36-37</v>
          </cell>
          <cell r="B4898" t="str">
            <v>XZ-7178</v>
          </cell>
        </row>
        <row r="4899">
          <cell r="A4899" t="str">
            <v>XZ-7178-CG0-36-37-1</v>
          </cell>
          <cell r="B4899" t="str">
            <v>XZ-7178</v>
          </cell>
        </row>
        <row r="4900">
          <cell r="A4900" t="str">
            <v>XZ-7178-CG0-38-39</v>
          </cell>
          <cell r="B4900" t="str">
            <v>XZ-7178</v>
          </cell>
        </row>
        <row r="4901">
          <cell r="A4901" t="str">
            <v>XZ-7178-CG0-38-39-1</v>
          </cell>
          <cell r="B4901" t="str">
            <v>XZ-7178</v>
          </cell>
        </row>
        <row r="4902">
          <cell r="A4902" t="str">
            <v>XZ-7178-CG0-40-41</v>
          </cell>
          <cell r="B4902" t="str">
            <v>XZ-7178</v>
          </cell>
        </row>
        <row r="4903">
          <cell r="A4903" t="str">
            <v>XZ-7178-CG0-40-41-1</v>
          </cell>
          <cell r="B4903" t="str">
            <v>XZ-7178</v>
          </cell>
        </row>
        <row r="4904">
          <cell r="A4904" t="str">
            <v>XZ-7178-CP0-36-37</v>
          </cell>
          <cell r="B4904" t="str">
            <v>XZ-7178</v>
          </cell>
        </row>
        <row r="4905">
          <cell r="A4905" t="str">
            <v>XZ-7178-CP0-36-37-1</v>
          </cell>
          <cell r="B4905" t="str">
            <v>XZ-7178</v>
          </cell>
        </row>
        <row r="4906">
          <cell r="A4906" t="str">
            <v>XZ-7178-CP0-38-39</v>
          </cell>
          <cell r="B4906" t="str">
            <v>XZ-7178</v>
          </cell>
        </row>
        <row r="4907">
          <cell r="A4907" t="str">
            <v>XZ-7178-CP0-38-39-1</v>
          </cell>
          <cell r="B4907" t="str">
            <v>XZ-7178</v>
          </cell>
        </row>
        <row r="4908">
          <cell r="A4908" t="str">
            <v>XZ-7178-CP0-40-41</v>
          </cell>
          <cell r="B4908" t="str">
            <v>XZ-7178</v>
          </cell>
        </row>
        <row r="4909">
          <cell r="A4909" t="str">
            <v>XZ-7178-CP0-40-41-1</v>
          </cell>
          <cell r="B4909" t="str">
            <v>XZ-7178</v>
          </cell>
        </row>
        <row r="4910">
          <cell r="A4910" t="str">
            <v>XZ-7178-CY0-36-37</v>
          </cell>
          <cell r="B4910" t="str">
            <v>XZ-7178</v>
          </cell>
        </row>
        <row r="4911">
          <cell r="A4911" t="str">
            <v>XZ-7178-CY0-36-37-1</v>
          </cell>
          <cell r="B4911" t="str">
            <v>XZ-7178</v>
          </cell>
        </row>
        <row r="4912">
          <cell r="A4912" t="str">
            <v>XZ-7178-CY0-38-39</v>
          </cell>
          <cell r="B4912" t="str">
            <v>XZ-7178</v>
          </cell>
        </row>
        <row r="4913">
          <cell r="A4913" t="str">
            <v>XZ-7178-CY0-38-39-1</v>
          </cell>
          <cell r="B4913" t="str">
            <v>XZ-7178</v>
          </cell>
        </row>
        <row r="4914">
          <cell r="A4914" t="str">
            <v>XZ-7178-CY0-40-41</v>
          </cell>
          <cell r="B4914" t="str">
            <v>XZ-7178</v>
          </cell>
        </row>
        <row r="4915">
          <cell r="A4915" t="str">
            <v>XZ-7178-CY0-40-41-1</v>
          </cell>
          <cell r="B4915" t="str">
            <v>XZ-7178</v>
          </cell>
        </row>
        <row r="4916">
          <cell r="A4916" t="str">
            <v>XZ-CL01</v>
          </cell>
          <cell r="B4916" t="str">
            <v>XZ-CL01</v>
          </cell>
        </row>
        <row r="4917">
          <cell r="A4917" t="str">
            <v>XZ-CL01-E0-36/37</v>
          </cell>
          <cell r="B4917" t="str">
            <v>XZ-CL01</v>
          </cell>
        </row>
        <row r="4918">
          <cell r="A4918" t="str">
            <v>XZ-CL01-E0-38/39</v>
          </cell>
          <cell r="B4918" t="str">
            <v>XZ-CL01</v>
          </cell>
        </row>
        <row r="4919">
          <cell r="A4919" t="str">
            <v>XZ-CL01-E0-40/41</v>
          </cell>
          <cell r="B4919" t="str">
            <v>XZ-CL01</v>
          </cell>
        </row>
        <row r="4920">
          <cell r="A4920" t="str">
            <v>XZ-CL01-N0-36/37</v>
          </cell>
          <cell r="B4920" t="str">
            <v>XZ-CL01</v>
          </cell>
        </row>
        <row r="4921">
          <cell r="A4921" t="str">
            <v>XZ-CL01-N0-38/39</v>
          </cell>
          <cell r="B4921" t="str">
            <v>XZ-CL01</v>
          </cell>
        </row>
        <row r="4922">
          <cell r="A4922" t="str">
            <v>XZ-CL01-N0-40/41</v>
          </cell>
          <cell r="B4922" t="str">
            <v>XZ-CL01</v>
          </cell>
        </row>
        <row r="4923">
          <cell r="A4923" t="str">
            <v>XZ-CL01-R6-36/37</v>
          </cell>
          <cell r="B4923" t="str">
            <v>XZ-CL01</v>
          </cell>
        </row>
        <row r="4924">
          <cell r="A4924" t="str">
            <v>XZ-CL01-R6-38/39</v>
          </cell>
          <cell r="B4924" t="str">
            <v>XZ-CL01</v>
          </cell>
        </row>
        <row r="4925">
          <cell r="A4925" t="str">
            <v>XZ-CL01-R6-40/41</v>
          </cell>
          <cell r="B4925" t="str">
            <v>XZ-CL01</v>
          </cell>
        </row>
        <row r="4926">
          <cell r="A4926" t="str">
            <v>XZ-CL02</v>
          </cell>
          <cell r="B4926" t="str">
            <v>XZ-CL02</v>
          </cell>
        </row>
        <row r="4927">
          <cell r="A4927" t="str">
            <v>XZ-CL02-E0-41/42</v>
          </cell>
          <cell r="B4927" t="str">
            <v>XZ-CL02</v>
          </cell>
        </row>
        <row r="4928">
          <cell r="A4928" t="str">
            <v>XZ-CL02-E0-43/44</v>
          </cell>
          <cell r="B4928" t="str">
            <v>XZ-CL02</v>
          </cell>
        </row>
        <row r="4929">
          <cell r="A4929" t="str">
            <v>XZ-CL02-N0-41/42</v>
          </cell>
          <cell r="B4929" t="str">
            <v>XZ-CL02</v>
          </cell>
        </row>
        <row r="4930">
          <cell r="A4930" t="str">
            <v>XZ-CL02-N0-43/44</v>
          </cell>
          <cell r="B4930" t="str">
            <v>XZ-CL02</v>
          </cell>
        </row>
        <row r="4931">
          <cell r="A4931" t="str">
            <v>XZ-CL02-R2-35/36</v>
          </cell>
          <cell r="B4931" t="str">
            <v>XZ-CL02</v>
          </cell>
        </row>
        <row r="4932">
          <cell r="A4932" t="str">
            <v>XZ-CL02-R2-37/38</v>
          </cell>
          <cell r="B4932" t="str">
            <v>XZ-CL02</v>
          </cell>
        </row>
        <row r="4933">
          <cell r="A4933" t="str">
            <v>XZ-CL02-R2-39/40</v>
          </cell>
          <cell r="B4933" t="str">
            <v>XZ-CL02</v>
          </cell>
        </row>
        <row r="4934">
          <cell r="A4934" t="str">
            <v>XZ-CL02-R6-35/36</v>
          </cell>
          <cell r="B4934" t="str">
            <v>XZ-CL02</v>
          </cell>
        </row>
        <row r="4935">
          <cell r="A4935" t="str">
            <v>XZ-CL02-R6-37/38</v>
          </cell>
          <cell r="B4935" t="str">
            <v>XZ-CL02</v>
          </cell>
        </row>
        <row r="4936">
          <cell r="A4936" t="str">
            <v>XZ-CL02-R6-39/40</v>
          </cell>
          <cell r="B4936" t="str">
            <v>XZ-CL02</v>
          </cell>
        </row>
        <row r="4937">
          <cell r="A4937" t="str">
            <v>XZ-CL05</v>
          </cell>
          <cell r="B4937" t="str">
            <v>XZ-CL05</v>
          </cell>
        </row>
        <row r="4938">
          <cell r="A4938" t="str">
            <v>XZ-CL05-36/37</v>
          </cell>
          <cell r="B4938" t="str">
            <v>XZ-CL05</v>
          </cell>
        </row>
        <row r="4939">
          <cell r="A4939" t="str">
            <v>XZ-CL05-38/39</v>
          </cell>
          <cell r="B4939" t="str">
            <v>XZ-CL05</v>
          </cell>
        </row>
        <row r="4940">
          <cell r="A4940" t="str">
            <v>XZ-CL05-40/41</v>
          </cell>
          <cell r="B4940" t="str">
            <v>XZ-CL05</v>
          </cell>
        </row>
        <row r="4941">
          <cell r="A4941" t="str">
            <v>XZ-CL05-BE-3637</v>
          </cell>
          <cell r="B4941" t="str">
            <v>XZ-CL1055</v>
          </cell>
        </row>
        <row r="4942">
          <cell r="A4942" t="str">
            <v>XZ-CL05-BE-3839</v>
          </cell>
          <cell r="B4942" t="str">
            <v>XZ-CL1055</v>
          </cell>
        </row>
        <row r="4943">
          <cell r="A4943" t="str">
            <v>XZ-CL05-BE-4041</v>
          </cell>
          <cell r="B4943" t="str">
            <v>XZ-CL1055</v>
          </cell>
        </row>
        <row r="4944">
          <cell r="A4944" t="str">
            <v>XZ-CL1055E0</v>
          </cell>
          <cell r="B4944" t="str">
            <v>XZ-CL1055</v>
          </cell>
        </row>
        <row r="4945">
          <cell r="A4945" t="str">
            <v>XZ-CL1055E2</v>
          </cell>
          <cell r="B4945" t="str">
            <v>XZ-CL1055</v>
          </cell>
        </row>
        <row r="4946">
          <cell r="A4946" t="str">
            <v>XZ-CL1055R6</v>
          </cell>
          <cell r="B4946" t="str">
            <v>XZ-CL1055</v>
          </cell>
        </row>
        <row r="4947">
          <cell r="A4947" t="str">
            <v>XZ-CL1055W0</v>
          </cell>
          <cell r="B4947" t="str">
            <v>XZ-CL1055</v>
          </cell>
        </row>
        <row r="4948">
          <cell r="A4948" t="str">
            <v>XZ-CL1537-CO-35/36</v>
          </cell>
          <cell r="B4948" t="str">
            <v>XZ-CL1537</v>
          </cell>
        </row>
        <row r="4949">
          <cell r="A4949" t="str">
            <v>XZ-CL1537-CO-37/38</v>
          </cell>
          <cell r="B4949" t="str">
            <v>XZ-CL1537</v>
          </cell>
        </row>
        <row r="4950">
          <cell r="A4950" t="str">
            <v>XZ-CL1537-CO-39/40</v>
          </cell>
          <cell r="B4950" t="str">
            <v>XZ-CL1537</v>
          </cell>
        </row>
        <row r="4951">
          <cell r="A4951" t="str">
            <v>XZ-CL1537-E0-41/42</v>
          </cell>
          <cell r="B4951" t="str">
            <v>XZ-CL1537</v>
          </cell>
        </row>
        <row r="4952">
          <cell r="A4952" t="str">
            <v>XZ-CL1537-E0-43/44</v>
          </cell>
          <cell r="B4952" t="str">
            <v>XZ-CL1537</v>
          </cell>
        </row>
        <row r="4953">
          <cell r="A4953" t="str">
            <v>XZ-CL1537-E0-45/46</v>
          </cell>
          <cell r="B4953" t="str">
            <v>XZ-CL1537</v>
          </cell>
        </row>
        <row r="4954">
          <cell r="A4954" t="str">
            <v>XZ-CL1537-KH-35/36</v>
          </cell>
          <cell r="B4954" t="str">
            <v>XZ-CL1537</v>
          </cell>
        </row>
        <row r="4955">
          <cell r="A4955" t="str">
            <v>XZ-CL1537-KH-37/38</v>
          </cell>
          <cell r="B4955" t="str">
            <v>XZ-CL1537</v>
          </cell>
        </row>
        <row r="4956">
          <cell r="A4956" t="str">
            <v>XZ-CL1537-KH-39/40</v>
          </cell>
          <cell r="B4956" t="str">
            <v>XZ-CL1537</v>
          </cell>
        </row>
        <row r="4957">
          <cell r="A4957" t="str">
            <v>XZ-CL1537-N5-41/42</v>
          </cell>
          <cell r="B4957" t="str">
            <v>XZ-CL1537</v>
          </cell>
        </row>
        <row r="4958">
          <cell r="A4958" t="str">
            <v>XZ-CL1537-N5-43/44</v>
          </cell>
          <cell r="B4958" t="str">
            <v>XZ-CL1537</v>
          </cell>
        </row>
        <row r="4959">
          <cell r="A4959" t="str">
            <v>XZ-CL1537-N5-45/46</v>
          </cell>
          <cell r="B4959" t="str">
            <v>XZ-CL1537</v>
          </cell>
        </row>
        <row r="4960">
          <cell r="A4960" t="str">
            <v>XZ-CL1537-PI-35/36</v>
          </cell>
          <cell r="B4960" t="str">
            <v>XZ-CL1537</v>
          </cell>
        </row>
        <row r="4961">
          <cell r="A4961" t="str">
            <v>XZ-CL1537-PI-37/38</v>
          </cell>
          <cell r="B4961" t="str">
            <v>XZ-CL1537</v>
          </cell>
        </row>
        <row r="4962">
          <cell r="A4962" t="str">
            <v>XZ-CL1537-PI-39/40</v>
          </cell>
          <cell r="B4962" t="str">
            <v>XZ-CL1537</v>
          </cell>
        </row>
        <row r="4963">
          <cell r="A4963" t="str">
            <v>XZ-CL16011</v>
          </cell>
          <cell r="B4963" t="str">
            <v>XZ-CL16011</v>
          </cell>
        </row>
        <row r="4964">
          <cell r="A4964" t="str">
            <v>XZ-CL16011-E0-42/43</v>
          </cell>
          <cell r="B4964" t="str">
            <v>XZ-CL16011</v>
          </cell>
        </row>
        <row r="4965">
          <cell r="A4965" t="str">
            <v>XZ-CL16011-E1-42/43</v>
          </cell>
          <cell r="B4965" t="str">
            <v>XZ-CL16011</v>
          </cell>
        </row>
        <row r="4966">
          <cell r="A4966" t="str">
            <v>XZ-CL16011-E2-40/41</v>
          </cell>
          <cell r="B4966" t="str">
            <v>XZ-CL16011</v>
          </cell>
        </row>
        <row r="4967">
          <cell r="A4967" t="str">
            <v>XZ-CL16011-N0-36/37</v>
          </cell>
          <cell r="B4967" t="str">
            <v>XZ-CL16011</v>
          </cell>
        </row>
        <row r="4968">
          <cell r="A4968" t="str">
            <v>XZ-CL16011-N0-38/39</v>
          </cell>
          <cell r="B4968" t="str">
            <v>XZ-CL16011</v>
          </cell>
        </row>
        <row r="4969">
          <cell r="A4969" t="str">
            <v>XZ-CL16011-N0-40/41</v>
          </cell>
          <cell r="B4969" t="str">
            <v>XZ-CL16011</v>
          </cell>
        </row>
        <row r="4970">
          <cell r="A4970" t="str">
            <v>XZ-CL16011-N0-42/43</v>
          </cell>
          <cell r="B4970" t="str">
            <v>XZ-CL16011</v>
          </cell>
        </row>
        <row r="4971">
          <cell r="A4971" t="str">
            <v>XZ-CL16011-N2-40/41</v>
          </cell>
          <cell r="B4971" t="str">
            <v>XZ-CL16011</v>
          </cell>
        </row>
        <row r="4972">
          <cell r="A4972" t="str">
            <v>XZ-CL16011-R0-36/37</v>
          </cell>
          <cell r="B4972" t="str">
            <v>XZ-CL16011</v>
          </cell>
        </row>
        <row r="4973">
          <cell r="A4973" t="str">
            <v>XZ-CL16011-R0-38/39</v>
          </cell>
          <cell r="B4973" t="str">
            <v>XZ-CL16011</v>
          </cell>
        </row>
        <row r="4974">
          <cell r="A4974" t="str">
            <v>XZ-CL16011-R0-40/41</v>
          </cell>
          <cell r="B4974" t="str">
            <v>XZ-CL16011</v>
          </cell>
        </row>
        <row r="4975">
          <cell r="A4975" t="str">
            <v>XZ-CL16011-R2-40/41</v>
          </cell>
          <cell r="B4975" t="str">
            <v>XZ-CL16011</v>
          </cell>
        </row>
        <row r="4976">
          <cell r="A4976" t="str">
            <v>XZ-CL16018</v>
          </cell>
          <cell r="B4976" t="str">
            <v>XZ-CL16018</v>
          </cell>
        </row>
        <row r="4977">
          <cell r="A4977" t="str">
            <v>XZ-CL16018-BC-36/37</v>
          </cell>
          <cell r="B4977" t="str">
            <v>XZ-CL16018</v>
          </cell>
        </row>
        <row r="4978">
          <cell r="A4978" t="str">
            <v>XZ-CL16018-BP-38/39</v>
          </cell>
          <cell r="B4978" t="str">
            <v>XZ-CL16018</v>
          </cell>
        </row>
        <row r="4979">
          <cell r="A4979" t="str">
            <v>XZ-CL16018-BP-40/41</v>
          </cell>
          <cell r="B4979" t="str">
            <v>XZ-CL16018</v>
          </cell>
        </row>
        <row r="4980">
          <cell r="A4980" t="str">
            <v>XZ-CL16018-BP-42/43</v>
          </cell>
          <cell r="B4980" t="str">
            <v>XZ-CL16018</v>
          </cell>
        </row>
        <row r="4981">
          <cell r="A4981" t="str">
            <v>XZ-CL16018-GC-36/37</v>
          </cell>
          <cell r="B4981" t="str">
            <v>XZ-CL16018</v>
          </cell>
        </row>
        <row r="4982">
          <cell r="A4982" t="str">
            <v>XZ-CL16018-GP-36-37</v>
          </cell>
          <cell r="B4982" t="str">
            <v>XZ-CL16018</v>
          </cell>
        </row>
        <row r="4983">
          <cell r="A4983" t="str">
            <v>XZ-CL16018-GP-38/39</v>
          </cell>
          <cell r="B4983" t="str">
            <v>XZ-CL16018</v>
          </cell>
        </row>
        <row r="4984">
          <cell r="A4984" t="str">
            <v>XZ-CL16018-GP-40/41</v>
          </cell>
          <cell r="B4984" t="str">
            <v>XZ-CL16018</v>
          </cell>
        </row>
        <row r="4985">
          <cell r="A4985" t="str">
            <v>XZ-CL16018-GP-42/43</v>
          </cell>
          <cell r="B4985" t="str">
            <v>XZ-CL16018</v>
          </cell>
        </row>
        <row r="4986">
          <cell r="A4986" t="str">
            <v>XZ-CL16018-PC-36/37</v>
          </cell>
          <cell r="B4986" t="str">
            <v>XZ-CL16018</v>
          </cell>
        </row>
        <row r="4987">
          <cell r="A4987" t="str">
            <v>XZ-CL16018-PC-38/39</v>
          </cell>
          <cell r="B4987" t="str">
            <v>XZ-CL16018</v>
          </cell>
        </row>
        <row r="4988">
          <cell r="A4988" t="str">
            <v>XZ-CL16018-PC-40/41</v>
          </cell>
          <cell r="B4988" t="str">
            <v>XZ-CL16018</v>
          </cell>
        </row>
        <row r="4989">
          <cell r="A4989" t="str">
            <v>XZ-CL16018-PP-36-37</v>
          </cell>
          <cell r="B4989" t="str">
            <v>XZ-CL16018</v>
          </cell>
        </row>
        <row r="4990">
          <cell r="A4990" t="str">
            <v>XZ-CL16018-PP-38/39</v>
          </cell>
          <cell r="B4990" t="str">
            <v>XZ-CL16018</v>
          </cell>
        </row>
        <row r="4991">
          <cell r="A4991" t="str">
            <v>XZ-CL16018-PP-40/41</v>
          </cell>
          <cell r="B4991" t="str">
            <v>XZ-CL16018</v>
          </cell>
        </row>
        <row r="4992">
          <cell r="A4992" t="str">
            <v>XZ-CL16022</v>
          </cell>
          <cell r="B4992" t="str">
            <v>XZ-CL16022</v>
          </cell>
        </row>
        <row r="4993">
          <cell r="A4993" t="str">
            <v>XZ-CL16022-E0-36/37</v>
          </cell>
          <cell r="B4993" t="str">
            <v>XZ-CL16022</v>
          </cell>
        </row>
        <row r="4994">
          <cell r="A4994" t="str">
            <v>XZ-CL16022-E0-38/39</v>
          </cell>
          <cell r="B4994" t="str">
            <v>XZ-CL16022</v>
          </cell>
        </row>
        <row r="4995">
          <cell r="A4995" t="str">
            <v>XZ-CL16022-E0-40/41</v>
          </cell>
          <cell r="B4995" t="str">
            <v>XZ-CL16022</v>
          </cell>
        </row>
        <row r="4996">
          <cell r="A4996" t="str">
            <v>XZ-CL16022-E0-42/43</v>
          </cell>
          <cell r="B4996" t="str">
            <v>XZ-CL16022</v>
          </cell>
        </row>
        <row r="4997">
          <cell r="A4997" t="str">
            <v>XZ-CL16022-K0-36/37</v>
          </cell>
          <cell r="B4997" t="str">
            <v>XZ-CL16022</v>
          </cell>
        </row>
        <row r="4998">
          <cell r="A4998" t="str">
            <v>XZ-CL16022-K0-38/39</v>
          </cell>
          <cell r="B4998" t="str">
            <v>XZ-CL16022</v>
          </cell>
        </row>
        <row r="4999">
          <cell r="A4999" t="str">
            <v>XZ-CL16022-K0-40/41</v>
          </cell>
          <cell r="B4999" t="str">
            <v>XZ-CL16022</v>
          </cell>
        </row>
        <row r="5000">
          <cell r="A5000" t="str">
            <v>XZ-CL16022-K0-42/43</v>
          </cell>
          <cell r="B5000" t="str">
            <v>XZ-CL16022</v>
          </cell>
        </row>
        <row r="5001">
          <cell r="A5001" t="str">
            <v>XZ-CL16022-R6-36/37</v>
          </cell>
          <cell r="B5001" t="str">
            <v>XZ-CL16022</v>
          </cell>
        </row>
        <row r="5002">
          <cell r="A5002" t="str">
            <v>XZ-CL16022-R6-38/39</v>
          </cell>
          <cell r="B5002" t="str">
            <v>XZ-CL16022</v>
          </cell>
        </row>
        <row r="5003">
          <cell r="A5003" t="str">
            <v>XZ-CL16022-R6-40/41</v>
          </cell>
          <cell r="B5003" t="str">
            <v>XZ-CL16022</v>
          </cell>
        </row>
        <row r="5004">
          <cell r="A5004" t="str">
            <v>XZ-CL16022-W1-36/37</v>
          </cell>
          <cell r="B5004" t="str">
            <v>XZ-CL16022</v>
          </cell>
        </row>
        <row r="5005">
          <cell r="A5005" t="str">
            <v>XZ-CL16022-W1-38/39</v>
          </cell>
          <cell r="B5005" t="str">
            <v>XZ-CL16022</v>
          </cell>
        </row>
        <row r="5006">
          <cell r="A5006" t="str">
            <v>XZ-CL16022-W1-40/41</v>
          </cell>
          <cell r="B5006" t="str">
            <v>XZ-CL16022</v>
          </cell>
        </row>
        <row r="5007">
          <cell r="A5007" t="str">
            <v>XZ-CL1721DB-ZL-4445</v>
          </cell>
          <cell r="B5007" t="str">
            <v>XZ-CL1721</v>
          </cell>
        </row>
        <row r="5008">
          <cell r="A5008" t="str">
            <v>XZ-CLA1</v>
          </cell>
          <cell r="B5008" t="str">
            <v>XZ-CLA1</v>
          </cell>
        </row>
        <row r="5009">
          <cell r="A5009" t="str">
            <v>XZ-CLA1133DD</v>
          </cell>
          <cell r="B5009" t="str">
            <v>XZ-CLA1133</v>
          </cell>
        </row>
        <row r="5010">
          <cell r="A5010" t="str">
            <v>XZ-CLA1133R6</v>
          </cell>
          <cell r="B5010" t="str">
            <v>XZ-CLA1133</v>
          </cell>
        </row>
        <row r="5011">
          <cell r="A5011" t="str">
            <v>XZ-CLA1133W0</v>
          </cell>
          <cell r="B5011" t="str">
            <v>XZ-CLA1133</v>
          </cell>
        </row>
        <row r="5012">
          <cell r="A5012" t="str">
            <v>XZ-CLA177</v>
          </cell>
          <cell r="B5012" t="str">
            <v>XZ-CLA177</v>
          </cell>
        </row>
        <row r="5013">
          <cell r="A5013" t="str">
            <v>XZ-CLA177-DS-37/38</v>
          </cell>
          <cell r="B5013" t="str">
            <v>XZ-CLA177</v>
          </cell>
        </row>
        <row r="5014">
          <cell r="A5014" t="str">
            <v>XZ-CLA177-DS-39/40</v>
          </cell>
          <cell r="B5014" t="str">
            <v>XZ-CLA177</v>
          </cell>
        </row>
        <row r="5015">
          <cell r="A5015" t="str">
            <v>XZ-CLA177-E2-37/38</v>
          </cell>
          <cell r="B5015" t="str">
            <v>XZ-CLA177</v>
          </cell>
        </row>
        <row r="5016">
          <cell r="A5016" t="str">
            <v>XZ-CLA177-K0-41/42</v>
          </cell>
          <cell r="B5016" t="str">
            <v>XZ-CLA177</v>
          </cell>
        </row>
        <row r="5017">
          <cell r="A5017" t="str">
            <v>XZ-CLA177-K0-43/44</v>
          </cell>
          <cell r="B5017" t="str">
            <v>XZ-CLA177</v>
          </cell>
        </row>
        <row r="5018">
          <cell r="A5018" t="str">
            <v>XZ-CLA177-R6-37/38</v>
          </cell>
          <cell r="B5018" t="str">
            <v>XZ-CLA177</v>
          </cell>
        </row>
        <row r="5019">
          <cell r="A5019" t="str">
            <v>XZ-CLA177-R6-39/40</v>
          </cell>
          <cell r="B5019" t="str">
            <v>XZ-CLA177</v>
          </cell>
        </row>
        <row r="5020">
          <cell r="A5020" t="str">
            <v>XZ-CLA177-ZL-41/42</v>
          </cell>
          <cell r="B5020" t="str">
            <v>XZ-CLA177</v>
          </cell>
        </row>
        <row r="5021">
          <cell r="A5021" t="str">
            <v>XZ-CLA177-ZL-43/44</v>
          </cell>
          <cell r="B5021" t="str">
            <v>XZ-CLA177</v>
          </cell>
        </row>
        <row r="5022">
          <cell r="A5022" t="str">
            <v>XZ-CLA1-E0-35</v>
          </cell>
          <cell r="B5022" t="str">
            <v>XZ-CLA1</v>
          </cell>
        </row>
        <row r="5023">
          <cell r="A5023" t="str">
            <v>XZ-CLA1-E0-37</v>
          </cell>
          <cell r="B5023" t="str">
            <v>XZ-CLA1</v>
          </cell>
        </row>
        <row r="5024">
          <cell r="A5024" t="str">
            <v>XZ-CLA1-E0-38</v>
          </cell>
          <cell r="B5024" t="str">
            <v>XZ-CLA1</v>
          </cell>
        </row>
        <row r="5025">
          <cell r="A5025" t="str">
            <v>XZ-CLA1-E0-39</v>
          </cell>
          <cell r="B5025" t="str">
            <v>XZ-CLA1</v>
          </cell>
        </row>
        <row r="5026">
          <cell r="A5026" t="str">
            <v>XZ-CLA1-E0-40</v>
          </cell>
          <cell r="B5026" t="str">
            <v>XZ-CLA1</v>
          </cell>
        </row>
        <row r="5027">
          <cell r="A5027" t="str">
            <v>XZ-CLA1-K0-35</v>
          </cell>
          <cell r="B5027" t="str">
            <v>XZ-CLA1</v>
          </cell>
        </row>
        <row r="5028">
          <cell r="A5028" t="str">
            <v>XZ-CLA1-K0-36</v>
          </cell>
          <cell r="B5028" t="str">
            <v>XZ-CLA1</v>
          </cell>
        </row>
        <row r="5029">
          <cell r="A5029" t="str">
            <v>XZ-CLA1-K0-37</v>
          </cell>
          <cell r="B5029" t="str">
            <v>XZ-CLA1</v>
          </cell>
        </row>
        <row r="5030">
          <cell r="A5030" t="str">
            <v>XZ-CLA1-K0-38</v>
          </cell>
          <cell r="B5030" t="str">
            <v>XZ-CLA1</v>
          </cell>
        </row>
        <row r="5031">
          <cell r="A5031" t="str">
            <v>XZ-CLA1-K0-39</v>
          </cell>
          <cell r="B5031" t="str">
            <v>XZ-CLA1</v>
          </cell>
        </row>
        <row r="5032">
          <cell r="A5032" t="str">
            <v>XZ-CLA1-K0-40</v>
          </cell>
          <cell r="B5032" t="str">
            <v>XZ-CLA1</v>
          </cell>
        </row>
        <row r="5033">
          <cell r="A5033" t="str">
            <v>XZ-CLBH004</v>
          </cell>
          <cell r="B5033" t="str">
            <v>XZ-CLBH004</v>
          </cell>
        </row>
        <row r="5034">
          <cell r="A5034" t="str">
            <v>XZ-CLBH004-B0-L</v>
          </cell>
          <cell r="B5034" t="str">
            <v>XZ-CLBH004</v>
          </cell>
        </row>
        <row r="5035">
          <cell r="A5035" t="str">
            <v>XZ-CLBH004-B0-M</v>
          </cell>
          <cell r="B5035" t="str">
            <v>XZ-CLBH004</v>
          </cell>
        </row>
        <row r="5036">
          <cell r="A5036" t="str">
            <v>XZ-CLBH004-B0-S</v>
          </cell>
          <cell r="B5036" t="str">
            <v>XZ-CLBH004</v>
          </cell>
        </row>
        <row r="5037">
          <cell r="A5037" t="str">
            <v>XZ-CLBH004-R6-L</v>
          </cell>
          <cell r="B5037" t="str">
            <v>XZ-CLBH004</v>
          </cell>
        </row>
        <row r="5038">
          <cell r="A5038" t="str">
            <v>XZ-CLBH004-R6-M</v>
          </cell>
          <cell r="B5038" t="str">
            <v>XZ-CLBH004</v>
          </cell>
        </row>
        <row r="5039">
          <cell r="A5039" t="str">
            <v>XZ-CLBH004-R6-S</v>
          </cell>
          <cell r="B5039" t="str">
            <v>XZ-CLBH004</v>
          </cell>
        </row>
        <row r="5040">
          <cell r="A5040" t="str">
            <v>XZ-HM029</v>
          </cell>
          <cell r="B5040" t="str">
            <v>XZ-HM029</v>
          </cell>
        </row>
        <row r="5041">
          <cell r="A5041" t="str">
            <v>XZ-HM0299-GR-3637</v>
          </cell>
          <cell r="B5041" t="str">
            <v>XZ-HM0299</v>
          </cell>
        </row>
        <row r="5042">
          <cell r="A5042" t="str">
            <v>XZ-HM0299-GR-3839</v>
          </cell>
          <cell r="B5042" t="str">
            <v>XZ-HM0299</v>
          </cell>
        </row>
        <row r="5043">
          <cell r="A5043" t="str">
            <v>XZ-HM0299-GR-4041</v>
          </cell>
          <cell r="B5043" t="str">
            <v>XZ-HM0299</v>
          </cell>
        </row>
        <row r="5044">
          <cell r="A5044" t="str">
            <v>XZ-HM0299-SH-4041</v>
          </cell>
          <cell r="B5044" t="str">
            <v>XZ-HM0299</v>
          </cell>
        </row>
        <row r="5045">
          <cell r="A5045" t="str">
            <v>XZ-HM0299-SH-4243</v>
          </cell>
          <cell r="B5045" t="str">
            <v>XZ-HM0299</v>
          </cell>
        </row>
        <row r="5046">
          <cell r="A5046" t="str">
            <v>XZ-HM0299-SH-4445</v>
          </cell>
          <cell r="B5046" t="str">
            <v>XZ-HM0299</v>
          </cell>
        </row>
        <row r="5047">
          <cell r="A5047" t="str">
            <v>XZ-HM029-K0-41-42</v>
          </cell>
          <cell r="B5047" t="str">
            <v>XZ-HM029</v>
          </cell>
        </row>
        <row r="5048">
          <cell r="A5048" t="str">
            <v>XZ-HM029-K0-43-45</v>
          </cell>
          <cell r="B5048" t="str">
            <v>XZ-HM029</v>
          </cell>
        </row>
        <row r="5049">
          <cell r="A5049" t="str">
            <v>XZ-HM029-W0-35-37</v>
          </cell>
          <cell r="B5049" t="str">
            <v>XZ-HM029</v>
          </cell>
        </row>
        <row r="5050">
          <cell r="A5050" t="str">
            <v>XZ-HM029-W0-38-40</v>
          </cell>
          <cell r="B5050" t="str">
            <v>XZ-HM029</v>
          </cell>
        </row>
        <row r="5051">
          <cell r="A5051" t="str">
            <v>XZ-HM1200-BR-L</v>
          </cell>
          <cell r="B5051" t="str">
            <v>XZ-HM1200</v>
          </cell>
        </row>
        <row r="5052">
          <cell r="A5052" t="str">
            <v>XZ-HM1200-BR-M</v>
          </cell>
          <cell r="B5052" t="str">
            <v>XZ-HM1200</v>
          </cell>
        </row>
        <row r="5053">
          <cell r="A5053" t="str">
            <v>XZ-HM1200-BR-S</v>
          </cell>
          <cell r="B5053" t="str">
            <v>XZ-HM1200</v>
          </cell>
        </row>
        <row r="5054">
          <cell r="A5054" t="str">
            <v>XZ-HM1613</v>
          </cell>
          <cell r="B5054" t="str">
            <v>XZ-HM1613</v>
          </cell>
        </row>
        <row r="5055">
          <cell r="A5055" t="str">
            <v>XZ-HM1613-BR-L</v>
          </cell>
          <cell r="B5055" t="str">
            <v>XZ-HM1613</v>
          </cell>
        </row>
        <row r="5056">
          <cell r="A5056" t="str">
            <v>XZ-HM1613-BR-XL</v>
          </cell>
          <cell r="B5056" t="str">
            <v>XZ-HM1613</v>
          </cell>
        </row>
        <row r="5057">
          <cell r="A5057" t="str">
            <v>XZ-HM1613-GR-XL</v>
          </cell>
          <cell r="B5057" t="str">
            <v>XZ-HM1613</v>
          </cell>
        </row>
        <row r="5058">
          <cell r="A5058" t="str">
            <v>XZ-HM1613-W0-M</v>
          </cell>
          <cell r="B5058" t="str">
            <v>XZ-HM1613</v>
          </cell>
        </row>
        <row r="5059">
          <cell r="A5059" t="str">
            <v>XZ-HM1613-ZL-L</v>
          </cell>
          <cell r="B5059" t="str">
            <v>XZ-HM1613</v>
          </cell>
        </row>
        <row r="5060">
          <cell r="A5060" t="str">
            <v>XZ-HM1613-ZL-XL</v>
          </cell>
          <cell r="B5060" t="str">
            <v>XZ-HM1613</v>
          </cell>
        </row>
        <row r="5061">
          <cell r="A5061" t="str">
            <v>XZ-HM1657-DS-3536</v>
          </cell>
          <cell r="B5061" t="str">
            <v>XZ-HM1657</v>
          </cell>
        </row>
        <row r="5062">
          <cell r="A5062" t="str">
            <v>XZ-HM1657-DS-3738</v>
          </cell>
          <cell r="B5062" t="str">
            <v>XZ-HM1657</v>
          </cell>
        </row>
        <row r="5063">
          <cell r="A5063" t="str">
            <v>XZ-HM1657-DS-3940</v>
          </cell>
          <cell r="B5063" t="str">
            <v>XZ-HM1657</v>
          </cell>
        </row>
        <row r="5064">
          <cell r="A5064" t="str">
            <v>XZ-HM1657-E0-4142</v>
          </cell>
          <cell r="B5064" t="str">
            <v>XZ-HM1657</v>
          </cell>
        </row>
        <row r="5065">
          <cell r="A5065" t="str">
            <v>XZ-HM1657-E0-4344</v>
          </cell>
          <cell r="B5065" t="str">
            <v>XZ-HM1657</v>
          </cell>
        </row>
        <row r="5066">
          <cell r="A5066" t="str">
            <v>XZ-HM1657-N5-4142</v>
          </cell>
          <cell r="B5066" t="str">
            <v>XZ-HM1657</v>
          </cell>
        </row>
        <row r="5067">
          <cell r="A5067" t="str">
            <v>XZ-HM1657-N5-4344</v>
          </cell>
          <cell r="B5067" t="str">
            <v>XZ-HM1657</v>
          </cell>
        </row>
        <row r="5068">
          <cell r="A5068" t="str">
            <v>XZ-HM1657-PI-3536</v>
          </cell>
          <cell r="B5068" t="str">
            <v>XZ-HM1657</v>
          </cell>
        </row>
        <row r="5069">
          <cell r="A5069" t="str">
            <v>XZ-HM1657-PI-3738</v>
          </cell>
          <cell r="B5069" t="str">
            <v>XZ-HM1657</v>
          </cell>
        </row>
        <row r="5070">
          <cell r="A5070" t="str">
            <v>XZ-HM1657-PI-3940</v>
          </cell>
          <cell r="B5070" t="str">
            <v>XZ-HM1657</v>
          </cell>
        </row>
        <row r="5071">
          <cell r="A5071" t="str">
            <v>XZ-HM165-CO-L</v>
          </cell>
          <cell r="B5071" t="str">
            <v>XZ-HM165</v>
          </cell>
        </row>
        <row r="5072">
          <cell r="A5072" t="str">
            <v>XZ-HM168-CO-40/41</v>
          </cell>
          <cell r="B5072" t="str">
            <v>XZ-HM168</v>
          </cell>
        </row>
        <row r="5073">
          <cell r="A5073" t="str">
            <v>XZ-HM168-CO-40/41-GM</v>
          </cell>
          <cell r="B5073" t="str">
            <v>XZ-HM168</v>
          </cell>
        </row>
        <row r="5074">
          <cell r="A5074" t="str">
            <v>XZ-HM168-CO-42/43</v>
          </cell>
          <cell r="B5074" t="str">
            <v>XZ-HM168</v>
          </cell>
        </row>
        <row r="5075">
          <cell r="A5075" t="str">
            <v>XZ-HM168-P0-36/37-GM</v>
          </cell>
          <cell r="B5075" t="str">
            <v>XZ-HM168</v>
          </cell>
        </row>
        <row r="5076">
          <cell r="A5076" t="str">
            <v>XZ-HM168-P0-38/39-GM</v>
          </cell>
          <cell r="B5076" t="str">
            <v>XZ-HM168</v>
          </cell>
        </row>
        <row r="5077">
          <cell r="A5077" t="str">
            <v>XZ-HM168-R0-36/37-GM</v>
          </cell>
          <cell r="B5077" t="str">
            <v>XZ-HM168</v>
          </cell>
        </row>
        <row r="5078">
          <cell r="A5078" t="str">
            <v>XZ-HM219-GR-40-43</v>
          </cell>
          <cell r="B5078" t="str">
            <v>XZ-HM219</v>
          </cell>
        </row>
        <row r="5079">
          <cell r="A5079" t="str">
            <v>XZ-HM219-PI-35-39</v>
          </cell>
          <cell r="B5079" t="str">
            <v>XZ-HM219</v>
          </cell>
        </row>
        <row r="5080">
          <cell r="A5080" t="str">
            <v>XZ-HM3380-K0-3637</v>
          </cell>
          <cell r="B5080" t="str">
            <v>XZ-HM3380</v>
          </cell>
        </row>
        <row r="5081">
          <cell r="A5081" t="str">
            <v>XZ-HM3380-K0-3839</v>
          </cell>
          <cell r="B5081" t="str">
            <v>XZ-HM3380</v>
          </cell>
        </row>
        <row r="5082">
          <cell r="A5082" t="str">
            <v>XZ-HM3380-K0-4041</v>
          </cell>
          <cell r="B5082" t="str">
            <v>XZ-HM3380</v>
          </cell>
        </row>
        <row r="5083">
          <cell r="A5083" t="str">
            <v>XZ-HM3380-K0-4243</v>
          </cell>
          <cell r="B5083" t="str">
            <v>XZ-HM3380</v>
          </cell>
        </row>
        <row r="5084">
          <cell r="A5084" t="str">
            <v>XZ-HM3380-K0-4445</v>
          </cell>
          <cell r="B5084" t="str">
            <v>XZ-HM3380</v>
          </cell>
        </row>
        <row r="5085">
          <cell r="A5085" t="str">
            <v>XZ-HM3380-PI-4041</v>
          </cell>
          <cell r="B5085" t="str">
            <v>XZ-HM3380</v>
          </cell>
        </row>
        <row r="5086">
          <cell r="A5086" t="str">
            <v>XZ-HM3380-ZL-4041</v>
          </cell>
          <cell r="B5086" t="str">
            <v>XZ-HM3380</v>
          </cell>
        </row>
        <row r="5087">
          <cell r="A5087" t="str">
            <v>XZ-HM3380-ZL-4243</v>
          </cell>
          <cell r="B5087" t="str">
            <v>XZ-HM3380</v>
          </cell>
        </row>
        <row r="5088">
          <cell r="A5088" t="str">
            <v>XZ-HM3380-ZL-4445</v>
          </cell>
          <cell r="B5088" t="str">
            <v>XZ-HM3380</v>
          </cell>
        </row>
        <row r="5089">
          <cell r="A5089" t="str">
            <v>XZ-HM36-BE-L</v>
          </cell>
          <cell r="B5089" t="str">
            <v>XZ-HM36</v>
          </cell>
        </row>
        <row r="5090">
          <cell r="A5090" t="str">
            <v>XZ-HM36-BE-M</v>
          </cell>
          <cell r="B5090" t="str">
            <v>XZ-HM36</v>
          </cell>
        </row>
        <row r="5091">
          <cell r="A5091" t="str">
            <v>XZ-HM36-BE-XL</v>
          </cell>
          <cell r="B5091" t="str">
            <v>XZ-HM36</v>
          </cell>
        </row>
        <row r="5092">
          <cell r="A5092" t="str">
            <v>XZ-HM36-CO-L</v>
          </cell>
          <cell r="B5092" t="str">
            <v>XZ-HM36</v>
          </cell>
        </row>
        <row r="5093">
          <cell r="A5093" t="str">
            <v>XZ-HM36-CO-XL</v>
          </cell>
          <cell r="B5093" t="str">
            <v>XZ-HM36</v>
          </cell>
        </row>
        <row r="5094">
          <cell r="A5094" t="str">
            <v>XZ-HM36-PI-M</v>
          </cell>
          <cell r="B5094" t="str">
            <v>XZ-HM36</v>
          </cell>
        </row>
        <row r="5095">
          <cell r="A5095" t="str">
            <v>XZ-HM36-PI-S</v>
          </cell>
          <cell r="B5095" t="str">
            <v>XZ-HM36</v>
          </cell>
        </row>
        <row r="5096">
          <cell r="A5096" t="str">
            <v>XZ-HM6003</v>
          </cell>
          <cell r="B5096" t="str">
            <v>XZ-HM6003</v>
          </cell>
        </row>
        <row r="5097">
          <cell r="A5097" t="str">
            <v>XZ-HM6003-BR-4142</v>
          </cell>
          <cell r="B5097" t="str">
            <v>XZ-HM6003</v>
          </cell>
        </row>
        <row r="5098">
          <cell r="A5098" t="str">
            <v>XZ-HM6003-BR-4344</v>
          </cell>
          <cell r="B5098" t="str">
            <v>XZ-HM6003</v>
          </cell>
        </row>
        <row r="5099">
          <cell r="A5099" t="str">
            <v>XZ-HM6003-GR-4142</v>
          </cell>
          <cell r="B5099" t="str">
            <v>XZ-HM6003</v>
          </cell>
        </row>
        <row r="5100">
          <cell r="A5100" t="str">
            <v>XZ-HM6003-GR-4344</v>
          </cell>
          <cell r="B5100" t="str">
            <v>XZ-HM6003</v>
          </cell>
        </row>
        <row r="5101">
          <cell r="A5101" t="str">
            <v>XZ-HM6003-OR-3536</v>
          </cell>
          <cell r="B5101" t="str">
            <v>XZ-HM6003</v>
          </cell>
        </row>
        <row r="5102">
          <cell r="A5102" t="str">
            <v>XZ-HM6003-OR-3738</v>
          </cell>
          <cell r="B5102" t="str">
            <v>XZ-HM6003</v>
          </cell>
        </row>
        <row r="5103">
          <cell r="A5103" t="str">
            <v>XZ-HM6003-OR-3940</v>
          </cell>
          <cell r="B5103" t="str">
            <v>XZ-HM6003</v>
          </cell>
        </row>
        <row r="5104">
          <cell r="A5104" t="str">
            <v>XZ-HM6003-P0-3738</v>
          </cell>
          <cell r="B5104" t="str">
            <v>XZ-HM6003</v>
          </cell>
        </row>
        <row r="5105">
          <cell r="A5105" t="str">
            <v>XZ-HM6003-P0-3940</v>
          </cell>
          <cell r="B5105" t="str">
            <v>XZ-HM6003</v>
          </cell>
        </row>
        <row r="5106">
          <cell r="A5106" t="str">
            <v>XZ-HM6003-P2-3536</v>
          </cell>
          <cell r="B5106" t="str">
            <v>XZ-HM6003</v>
          </cell>
        </row>
        <row r="5107">
          <cell r="A5107" t="str">
            <v>XZ-HM6003-P2-3738</v>
          </cell>
          <cell r="B5107" t="str">
            <v>XZ-HM6003</v>
          </cell>
        </row>
        <row r="5108">
          <cell r="A5108" t="str">
            <v>XZ-HM6003-P2-3940</v>
          </cell>
          <cell r="B5108" t="str">
            <v>XZ-HM6003</v>
          </cell>
        </row>
        <row r="5109">
          <cell r="A5109" t="str">
            <v>XZ-HM801-Bear-CO-3637</v>
          </cell>
          <cell r="B5109" t="str">
            <v>XZ-HM801</v>
          </cell>
        </row>
        <row r="5110">
          <cell r="A5110" t="str">
            <v>XZ-HM801-Bear-CO-3839</v>
          </cell>
          <cell r="B5110" t="str">
            <v>XZ-HM801</v>
          </cell>
        </row>
        <row r="5111">
          <cell r="A5111" t="str">
            <v>XZ-HM801-Bear-CO-4041</v>
          </cell>
          <cell r="B5111" t="str">
            <v>XZ-HM801</v>
          </cell>
        </row>
        <row r="5112">
          <cell r="A5112" t="str">
            <v>XZ-HM801-PI-3637</v>
          </cell>
          <cell r="B5112" t="str">
            <v>XZ-HM801</v>
          </cell>
        </row>
        <row r="5113">
          <cell r="A5113" t="str">
            <v>XZ-HM801-PI-3839</v>
          </cell>
          <cell r="B5113" t="str">
            <v>XZ-HM801</v>
          </cell>
        </row>
        <row r="5114">
          <cell r="A5114" t="str">
            <v>XZ-HM801-PI-4041</v>
          </cell>
          <cell r="B5114" t="str">
            <v>XZ-HM801</v>
          </cell>
        </row>
        <row r="5115">
          <cell r="A5115" t="str">
            <v>XZ-HM8130</v>
          </cell>
          <cell r="B5115" t="str">
            <v>XZ-HM8130</v>
          </cell>
        </row>
        <row r="5116">
          <cell r="A5116" t="str">
            <v>XZ-HM8130-B0-3637</v>
          </cell>
          <cell r="B5116" t="str">
            <v>XZ-HM8130</v>
          </cell>
        </row>
        <row r="5117">
          <cell r="A5117" t="str">
            <v>XZ-HM8130-B0-3839</v>
          </cell>
          <cell r="B5117" t="str">
            <v>XZ-HM8130</v>
          </cell>
        </row>
        <row r="5118">
          <cell r="A5118" t="str">
            <v>XZ-HM8130-B0-4041</v>
          </cell>
          <cell r="B5118" t="str">
            <v>XZ-HM8130</v>
          </cell>
        </row>
        <row r="5119">
          <cell r="A5119" t="str">
            <v>XZ-HM8130-BR-4041</v>
          </cell>
          <cell r="B5119" t="str">
            <v>XZ-HM8130</v>
          </cell>
        </row>
        <row r="5120">
          <cell r="A5120" t="str">
            <v>XZ-HM8130-BR-4243</v>
          </cell>
          <cell r="B5120" t="str">
            <v>XZ-HM8130</v>
          </cell>
        </row>
        <row r="5121">
          <cell r="A5121" t="str">
            <v>XZ-HM8130-BR-4445</v>
          </cell>
          <cell r="B5121" t="str">
            <v>XZ-HM8130</v>
          </cell>
        </row>
        <row r="5122">
          <cell r="A5122" t="str">
            <v>XZ-HM8130-G0-3637</v>
          </cell>
          <cell r="B5122" t="str">
            <v>XZ-HM8130</v>
          </cell>
        </row>
        <row r="5123">
          <cell r="A5123" t="str">
            <v>XZ-HM8130-G0-3839</v>
          </cell>
          <cell r="B5123" t="str">
            <v>XZ-HM8130</v>
          </cell>
        </row>
        <row r="5124">
          <cell r="A5124" t="str">
            <v>XZ-HM8130-G0-4041</v>
          </cell>
          <cell r="B5124" t="str">
            <v>XZ-HM8130</v>
          </cell>
        </row>
        <row r="5125">
          <cell r="A5125" t="str">
            <v>XZ-HM8130-GR-4041</v>
          </cell>
          <cell r="B5125" t="str">
            <v>XZ-HM8130</v>
          </cell>
        </row>
        <row r="5126">
          <cell r="A5126" t="str">
            <v>XZ-HM8130-GR-4243</v>
          </cell>
          <cell r="B5126" t="str">
            <v>XZ-HM8130</v>
          </cell>
        </row>
        <row r="5127">
          <cell r="A5127" t="str">
            <v>XZ-HM8130-GR-4445</v>
          </cell>
          <cell r="B5127" t="str">
            <v>XZ-HM8130</v>
          </cell>
        </row>
        <row r="5128">
          <cell r="A5128" t="str">
            <v>XZ-HM8130-PI-3637</v>
          </cell>
          <cell r="B5128" t="str">
            <v>XZ-HM8130</v>
          </cell>
        </row>
        <row r="5129">
          <cell r="A5129" t="str">
            <v>XZ-HM8130-PI-3839</v>
          </cell>
          <cell r="B5129" t="str">
            <v>XZ-HM8130</v>
          </cell>
        </row>
        <row r="5130">
          <cell r="A5130" t="str">
            <v>XZ-HM8130-PI-4041</v>
          </cell>
          <cell r="B5130" t="str">
            <v>XZ-HM8130</v>
          </cell>
        </row>
        <row r="5131">
          <cell r="A5131" t="str">
            <v>XZ-HM8130-R0-3637</v>
          </cell>
          <cell r="B5131" t="str">
            <v>XZ-HM8130</v>
          </cell>
        </row>
        <row r="5132">
          <cell r="A5132" t="str">
            <v>XZ-HM8130-R0-3839</v>
          </cell>
          <cell r="B5132" t="str">
            <v>XZ-HM8130</v>
          </cell>
        </row>
        <row r="5133">
          <cell r="A5133" t="str">
            <v>XZ-HM8130-R0-4041</v>
          </cell>
          <cell r="B5133" t="str">
            <v>XZ-HM8130</v>
          </cell>
        </row>
        <row r="5134">
          <cell r="A5134" t="str">
            <v>XZ-HM8130-Y0-3637</v>
          </cell>
          <cell r="B5134" t="str">
            <v>XZ-HM8130</v>
          </cell>
        </row>
        <row r="5135">
          <cell r="A5135" t="str">
            <v>XZ-HM8130-Y0-3839</v>
          </cell>
          <cell r="B5135" t="str">
            <v>XZ-HM8130</v>
          </cell>
        </row>
        <row r="5136">
          <cell r="A5136" t="str">
            <v>XZ-HM8130-Y0-4041</v>
          </cell>
          <cell r="B5136" t="str">
            <v>XZ-HM8130</v>
          </cell>
        </row>
        <row r="5137">
          <cell r="A5137" t="str">
            <v>XZ-HMA119</v>
          </cell>
          <cell r="B5137" t="str">
            <v>XZ-HMA119</v>
          </cell>
        </row>
        <row r="5138">
          <cell r="A5138" t="str">
            <v>XZ-HMA119-GR-3738</v>
          </cell>
          <cell r="B5138" t="str">
            <v>XZ-HMA119</v>
          </cell>
        </row>
        <row r="5139">
          <cell r="A5139" t="str">
            <v>XZ-HMA119-GR-3940</v>
          </cell>
          <cell r="B5139" t="str">
            <v>XZ-HMA119</v>
          </cell>
        </row>
        <row r="5140">
          <cell r="A5140" t="str">
            <v>XZ-HMA119-Pi-3738</v>
          </cell>
          <cell r="B5140" t="str">
            <v>XZ-HMA119</v>
          </cell>
        </row>
        <row r="5141">
          <cell r="A5141" t="str">
            <v>XZ-HMA119-Pi-3940</v>
          </cell>
          <cell r="B5141" t="str">
            <v>XZ-HMA119</v>
          </cell>
        </row>
        <row r="5142">
          <cell r="A5142" t="str">
            <v>XZ-HMA119-SH-4344</v>
          </cell>
          <cell r="B5142" t="str">
            <v>XZ-HMA119</v>
          </cell>
        </row>
        <row r="5143">
          <cell r="A5143" t="str">
            <v>XZ-HMA119-ZL-4142</v>
          </cell>
          <cell r="B5143" t="str">
            <v>XZ-HMA119</v>
          </cell>
        </row>
        <row r="5144">
          <cell r="A5144" t="str">
            <v>XZ-HMA119-ZL-4344</v>
          </cell>
          <cell r="B5144" t="str">
            <v>XZ-HMA119</v>
          </cell>
        </row>
        <row r="5145">
          <cell r="A5145" t="str">
            <v>XZ-HMA185</v>
          </cell>
          <cell r="B5145" t="str">
            <v>XZ-HMA185</v>
          </cell>
        </row>
        <row r="5146">
          <cell r="A5146" t="str">
            <v>XZ-HMA185-BE-3738</v>
          </cell>
          <cell r="B5146" t="str">
            <v>XZ-HMA185</v>
          </cell>
        </row>
        <row r="5147">
          <cell r="A5147" t="str">
            <v>XZ-HMA185-BE-3940</v>
          </cell>
          <cell r="B5147" t="str">
            <v>XZ-HMA185</v>
          </cell>
        </row>
        <row r="5148">
          <cell r="A5148" t="str">
            <v>XZ-HMA185-CO-4142</v>
          </cell>
          <cell r="B5148" t="str">
            <v>XZ-HMA185</v>
          </cell>
        </row>
        <row r="5149">
          <cell r="A5149" t="str">
            <v>XZ-HMA185-CO-4344</v>
          </cell>
          <cell r="B5149" t="str">
            <v>XZ-HMA185</v>
          </cell>
        </row>
        <row r="5150">
          <cell r="A5150" t="str">
            <v>XZ-HMA185-GR-4142</v>
          </cell>
          <cell r="B5150" t="str">
            <v>XZ-HMA185</v>
          </cell>
        </row>
        <row r="5151">
          <cell r="A5151" t="str">
            <v>XZ-HMA185-GR-4344</v>
          </cell>
          <cell r="B5151" t="str">
            <v>XZ-HMA185</v>
          </cell>
        </row>
        <row r="5152">
          <cell r="A5152" t="str">
            <v>XZ-HMA185-P0-3738</v>
          </cell>
          <cell r="B5152" t="str">
            <v>XZ-HMA185</v>
          </cell>
        </row>
        <row r="5153">
          <cell r="A5153" t="str">
            <v>XZ-HMA185-P0-3940</v>
          </cell>
          <cell r="B5153" t="str">
            <v>XZ-HMA185</v>
          </cell>
        </row>
        <row r="5154">
          <cell r="A5154" t="str">
            <v>XZ-HMA185-Pi-3738</v>
          </cell>
          <cell r="B5154" t="str">
            <v>XZ-HMA185</v>
          </cell>
        </row>
        <row r="5155">
          <cell r="A5155" t="str">
            <v>XZ-HMA185-Pi-3940</v>
          </cell>
          <cell r="B5155" t="str">
            <v>XZ-HMA185</v>
          </cell>
        </row>
        <row r="5156">
          <cell r="A5156" t="str">
            <v>XZ-HMA190</v>
          </cell>
          <cell r="B5156" t="str">
            <v>XZ-HMA190</v>
          </cell>
        </row>
        <row r="5157">
          <cell r="A5157" t="str">
            <v>XZ-HMA190-B0-3738</v>
          </cell>
          <cell r="B5157" t="str">
            <v>XZ-HMA190</v>
          </cell>
        </row>
        <row r="5158">
          <cell r="A5158" t="str">
            <v>XZ-HMA190-B0-3940</v>
          </cell>
          <cell r="B5158" t="str">
            <v>XZ-HMA190</v>
          </cell>
        </row>
        <row r="5159">
          <cell r="A5159" t="str">
            <v>XZ-HMA190-BR-4142</v>
          </cell>
          <cell r="B5159" t="str">
            <v>XZ-HMA190</v>
          </cell>
        </row>
        <row r="5160">
          <cell r="A5160" t="str">
            <v>XZ-HMA190-BR-4344</v>
          </cell>
          <cell r="B5160" t="str">
            <v>XZ-HMA190</v>
          </cell>
        </row>
        <row r="5161">
          <cell r="A5161" t="str">
            <v>XZ-HMA190-CO-4142</v>
          </cell>
          <cell r="B5161" t="str">
            <v>XZ-HMA190</v>
          </cell>
        </row>
        <row r="5162">
          <cell r="A5162" t="str">
            <v>XZ-HMA190-CO-4344</v>
          </cell>
          <cell r="B5162" t="str">
            <v>XZ-HMA190</v>
          </cell>
        </row>
        <row r="5163">
          <cell r="A5163" t="str">
            <v>XZ-HMA190-CPi-3132</v>
          </cell>
          <cell r="B5163" t="str">
            <v>XZ-HMA190</v>
          </cell>
        </row>
        <row r="5164">
          <cell r="A5164" t="str">
            <v>XZ-HMA190-CPi-3334</v>
          </cell>
          <cell r="B5164" t="str">
            <v>XZ-HMA190</v>
          </cell>
        </row>
        <row r="5165">
          <cell r="A5165" t="str">
            <v>XZ-HMA190-CPi-3536</v>
          </cell>
          <cell r="B5165" t="str">
            <v>XZ-HMA190</v>
          </cell>
        </row>
        <row r="5166">
          <cell r="A5166" t="str">
            <v>XZ-HMA190-Gr-3738</v>
          </cell>
          <cell r="B5166" t="str">
            <v>XZ-HMA190</v>
          </cell>
        </row>
        <row r="5167">
          <cell r="A5167" t="str">
            <v>XZ-HMA190-MGR-4142</v>
          </cell>
          <cell r="B5167" t="str">
            <v>XZ-HMA190</v>
          </cell>
        </row>
        <row r="5168">
          <cell r="A5168" t="str">
            <v>XZ-HMA190-MGR-4344</v>
          </cell>
          <cell r="B5168" t="str">
            <v>XZ-HMA190</v>
          </cell>
        </row>
        <row r="5169">
          <cell r="A5169" t="str">
            <v>XZ-HMA190-P0-3738</v>
          </cell>
          <cell r="B5169" t="str">
            <v>XZ-HMA190</v>
          </cell>
        </row>
        <row r="5170">
          <cell r="A5170" t="str">
            <v>XZ-HMA190-P0-3940</v>
          </cell>
          <cell r="B5170" t="str">
            <v>XZ-HMA190</v>
          </cell>
        </row>
        <row r="5171">
          <cell r="A5171" t="str">
            <v>XZ-HMA190-Pi-3738</v>
          </cell>
          <cell r="B5171" t="str">
            <v>XZ-HMA190</v>
          </cell>
        </row>
        <row r="5172">
          <cell r="A5172" t="str">
            <v>XZ-HMA190-Pi-3940</v>
          </cell>
          <cell r="B5172" t="str">
            <v>XZ-HMA190</v>
          </cell>
        </row>
        <row r="5173">
          <cell r="A5173" t="str">
            <v>XZ-HMA190-W0-3132</v>
          </cell>
          <cell r="B5173" t="str">
            <v>XZ-HMA190</v>
          </cell>
        </row>
        <row r="5174">
          <cell r="A5174" t="str">
            <v>XZ-HMA190-W0-3334</v>
          </cell>
          <cell r="B5174" t="str">
            <v>XZ-HMA190</v>
          </cell>
        </row>
        <row r="5175">
          <cell r="A5175" t="str">
            <v>XZ-HMA190-W0-3536</v>
          </cell>
          <cell r="B5175" t="str">
            <v>XZ-HMA190</v>
          </cell>
        </row>
        <row r="5176">
          <cell r="A5176" t="str">
            <v>XZ-HMA190-W0-3738</v>
          </cell>
          <cell r="B5176" t="str">
            <v>XZ-HMA190</v>
          </cell>
        </row>
        <row r="5177">
          <cell r="A5177" t="str">
            <v>XZ-HMA190-W0-3940</v>
          </cell>
          <cell r="B5177" t="str">
            <v>XZ-HMA190</v>
          </cell>
        </row>
        <row r="5178">
          <cell r="A5178" t="str">
            <v>XZ-HMA194</v>
          </cell>
          <cell r="B5178" t="str">
            <v>XZ-HMA194</v>
          </cell>
        </row>
        <row r="5179">
          <cell r="A5179" t="str">
            <v>XZ-HMA194-B0-3738</v>
          </cell>
          <cell r="B5179" t="str">
            <v>XZ-HMA194</v>
          </cell>
        </row>
        <row r="5180">
          <cell r="A5180" t="str">
            <v>XZ-HMA194-B0-3940</v>
          </cell>
          <cell r="B5180" t="str">
            <v>XZ-HMA194</v>
          </cell>
        </row>
        <row r="5181">
          <cell r="A5181" t="str">
            <v>XZ-HMA194-CO-4142</v>
          </cell>
          <cell r="B5181" t="str">
            <v>XZ-HMA194</v>
          </cell>
        </row>
        <row r="5182">
          <cell r="A5182" t="str">
            <v>XZ-HMA194-CO-4344</v>
          </cell>
          <cell r="B5182" t="str">
            <v>XZ-HMA194</v>
          </cell>
        </row>
        <row r="5183">
          <cell r="A5183" t="str">
            <v>XZ-HMA194-GR-4142</v>
          </cell>
          <cell r="B5183" t="str">
            <v>XZ-HMA194</v>
          </cell>
        </row>
        <row r="5184">
          <cell r="A5184" t="str">
            <v>XZ-HMA194-GR-4344</v>
          </cell>
          <cell r="B5184" t="str">
            <v>XZ-HMA194</v>
          </cell>
        </row>
        <row r="5185">
          <cell r="A5185" t="str">
            <v>XZ-HMA194-KQ-4142</v>
          </cell>
          <cell r="B5185" t="str">
            <v>XZ-HMA194</v>
          </cell>
        </row>
        <row r="5186">
          <cell r="A5186" t="str">
            <v>XZ-HMA194-KQ-4344</v>
          </cell>
          <cell r="B5186" t="str">
            <v>XZ-HMA194</v>
          </cell>
        </row>
        <row r="5187">
          <cell r="A5187" t="str">
            <v>XZ-HMA194-Pi-3738</v>
          </cell>
          <cell r="B5187" t="str">
            <v>XZ-HMA194</v>
          </cell>
        </row>
        <row r="5188">
          <cell r="A5188" t="str">
            <v>XZ-HMA194-Pi-3940</v>
          </cell>
          <cell r="B5188" t="str">
            <v>XZ-HMA194</v>
          </cell>
        </row>
        <row r="5189">
          <cell r="A5189" t="str">
            <v>XZ-HMA194-R0-3738</v>
          </cell>
          <cell r="B5189" t="str">
            <v>XZ-HMA194</v>
          </cell>
        </row>
        <row r="5190">
          <cell r="A5190" t="str">
            <v>XZ-HMA194-R0-3940</v>
          </cell>
          <cell r="B5190" t="str">
            <v>XZ-HMA194</v>
          </cell>
        </row>
        <row r="5191">
          <cell r="A5191" t="str">
            <v>XZ-HMA195</v>
          </cell>
          <cell r="B5191" t="str">
            <v>XZ-HMA195</v>
          </cell>
        </row>
        <row r="5192">
          <cell r="A5192" t="str">
            <v>XZ-HMA195-B0-3738</v>
          </cell>
          <cell r="B5192" t="str">
            <v>XZ-HMA195</v>
          </cell>
        </row>
        <row r="5193">
          <cell r="A5193" t="str">
            <v>XZ-HMA195-B0-3940</v>
          </cell>
          <cell r="B5193" t="str">
            <v>XZ-HMA195</v>
          </cell>
        </row>
        <row r="5194">
          <cell r="A5194" t="str">
            <v>XZ-HMA195-Pi-3738</v>
          </cell>
          <cell r="B5194" t="str">
            <v>XZ-HMA195</v>
          </cell>
        </row>
        <row r="5195">
          <cell r="A5195" t="str">
            <v>XZ-HMA195-Pi-3940</v>
          </cell>
          <cell r="B5195" t="str">
            <v>XZ-HMA195</v>
          </cell>
        </row>
        <row r="5196">
          <cell r="A5196" t="str">
            <v>XZ-HMA204</v>
          </cell>
          <cell r="B5196" t="str">
            <v>XZ-HMA204</v>
          </cell>
        </row>
        <row r="5197">
          <cell r="A5197" t="str">
            <v>XZ-HMA204-B0-3738</v>
          </cell>
          <cell r="B5197" t="str">
            <v>XZ-HMA204</v>
          </cell>
        </row>
        <row r="5198">
          <cell r="A5198" t="str">
            <v>XZ-HMA204-B0-3940</v>
          </cell>
          <cell r="B5198" t="str">
            <v>XZ-HMA204</v>
          </cell>
        </row>
        <row r="5199">
          <cell r="A5199" t="str">
            <v>XZ-HMA204-Pi-3738</v>
          </cell>
          <cell r="B5199" t="str">
            <v>XZ-HMA204</v>
          </cell>
        </row>
        <row r="5200">
          <cell r="A5200" t="str">
            <v>XZ-HMA204-Pi-3940</v>
          </cell>
          <cell r="B5200" t="str">
            <v>XZ-HMA204</v>
          </cell>
        </row>
        <row r="5201">
          <cell r="A5201" t="str">
            <v>XZ-HMA204-R0-3738</v>
          </cell>
          <cell r="B5201" t="str">
            <v>XZ-HMA204</v>
          </cell>
        </row>
        <row r="5202">
          <cell r="A5202" t="str">
            <v>XZ-HMA204-R0-3940</v>
          </cell>
          <cell r="B5202" t="str">
            <v>XZ-HMA204</v>
          </cell>
        </row>
        <row r="5203">
          <cell r="A5203" t="str">
            <v>XZ-HMA204-W0-3738</v>
          </cell>
          <cell r="B5203" t="str">
            <v>XZ-HMA204</v>
          </cell>
        </row>
        <row r="5204">
          <cell r="A5204" t="str">
            <v>XZ-HMA204-W0-3940</v>
          </cell>
          <cell r="B5204" t="str">
            <v>XZ-HMA204</v>
          </cell>
        </row>
        <row r="5205">
          <cell r="A5205" t="str">
            <v>XZ-HMAS2002</v>
          </cell>
          <cell r="B5205" t="str">
            <v>XZ-HMAS2002</v>
          </cell>
        </row>
        <row r="5206">
          <cell r="A5206" t="str">
            <v>XZ-HMAS2002-BE-L</v>
          </cell>
          <cell r="B5206" t="str">
            <v>XZ-HMAS2002</v>
          </cell>
        </row>
        <row r="5207">
          <cell r="A5207" t="str">
            <v>XZ-HMAS2002-BE-XL</v>
          </cell>
          <cell r="B5207" t="str">
            <v>XZ-HMAS2002</v>
          </cell>
        </row>
        <row r="5208">
          <cell r="A5208" t="str">
            <v>XZ-HMAS2002-BR-L</v>
          </cell>
          <cell r="B5208" t="str">
            <v>XZ-HMAS2002</v>
          </cell>
        </row>
        <row r="5209">
          <cell r="A5209" t="str">
            <v>XZ-HMAS2002-BR-XL</v>
          </cell>
          <cell r="B5209" t="str">
            <v>XZ-HMAS2002</v>
          </cell>
        </row>
        <row r="5210">
          <cell r="A5210" t="str">
            <v>XZ-HMBH019</v>
          </cell>
          <cell r="B5210" t="str">
            <v>XZ-HMBH019</v>
          </cell>
        </row>
        <row r="5211">
          <cell r="A5211" t="str">
            <v>XZ-HMBH019-28-29</v>
          </cell>
          <cell r="B5211" t="str">
            <v>XZ-HMBH019</v>
          </cell>
        </row>
        <row r="5212">
          <cell r="A5212" t="str">
            <v>XZ-HMBH019-30-31</v>
          </cell>
          <cell r="B5212" t="str">
            <v>XZ-HMBH019</v>
          </cell>
        </row>
        <row r="5213">
          <cell r="A5213" t="str">
            <v>XZ-HMBH019-32-33</v>
          </cell>
          <cell r="B5213" t="str">
            <v>XZ-HMBH019</v>
          </cell>
        </row>
        <row r="5214">
          <cell r="A5214" t="str">
            <v>XZ-HMBH019-36-37</v>
          </cell>
          <cell r="B5214" t="str">
            <v>XZ-HMBH019</v>
          </cell>
        </row>
        <row r="5215">
          <cell r="A5215" t="str">
            <v>XZ-HMBH019-38-39</v>
          </cell>
          <cell r="B5215" t="str">
            <v>XZ-HMBH019</v>
          </cell>
        </row>
        <row r="5216">
          <cell r="A5216" t="str">
            <v>XZ-HMBH019-40-41</v>
          </cell>
          <cell r="B5216" t="str">
            <v>XZ-HMBH019</v>
          </cell>
        </row>
        <row r="5217">
          <cell r="A5217" t="str">
            <v>XZ-HMCAT250</v>
          </cell>
          <cell r="B5217" t="str">
            <v>XZ-HMCAT250</v>
          </cell>
        </row>
        <row r="5218">
          <cell r="A5218" t="str">
            <v>XZ-HMCAT250-CO-4041</v>
          </cell>
          <cell r="B5218" t="str">
            <v>XZ-HMCAT250</v>
          </cell>
        </row>
        <row r="5219">
          <cell r="A5219" t="str">
            <v>XZ-HMCAT250-CO-4243</v>
          </cell>
          <cell r="B5219" t="str">
            <v>XZ-HMCAT250</v>
          </cell>
        </row>
        <row r="5220">
          <cell r="A5220" t="str">
            <v>XZ-HMCAT250-CO-4445</v>
          </cell>
          <cell r="B5220" t="str">
            <v>XZ-HMCAT250</v>
          </cell>
        </row>
        <row r="5221">
          <cell r="A5221" t="str">
            <v>XZ-HMCAT250-GR-4041</v>
          </cell>
          <cell r="B5221" t="str">
            <v>XZ-HMCAT250</v>
          </cell>
        </row>
        <row r="5222">
          <cell r="A5222" t="str">
            <v>XZ-HMCAT250-GR-4243</v>
          </cell>
          <cell r="B5222" t="str">
            <v>XZ-HMCAT250</v>
          </cell>
        </row>
        <row r="5223">
          <cell r="A5223" t="str">
            <v>XZ-HMCAT250-GR-4445</v>
          </cell>
          <cell r="B5223" t="str">
            <v>XZ-HMCAT250</v>
          </cell>
        </row>
        <row r="5224">
          <cell r="A5224" t="str">
            <v>XZ-HMCAT250-Pi-3637</v>
          </cell>
          <cell r="B5224" t="str">
            <v>XZ-HMCAT250</v>
          </cell>
        </row>
        <row r="5225">
          <cell r="A5225" t="str">
            <v>XZ-HMCAT250-Pi-3839</v>
          </cell>
          <cell r="B5225" t="str">
            <v>XZ-HMCAT250</v>
          </cell>
        </row>
        <row r="5226">
          <cell r="A5226" t="str">
            <v>XZ-HMCAT250-Pi-4041</v>
          </cell>
          <cell r="B5226" t="str">
            <v>XZ-HMCAT250</v>
          </cell>
        </row>
        <row r="5227">
          <cell r="A5227" t="str">
            <v>XZ-HMCAT250-W0-3637</v>
          </cell>
          <cell r="B5227" t="str">
            <v>XZ-HMCAT250</v>
          </cell>
        </row>
        <row r="5228">
          <cell r="A5228" t="str">
            <v>XZ-HMCAT250-W0-3839</v>
          </cell>
          <cell r="B5228" t="str">
            <v>XZ-HMCAT250</v>
          </cell>
        </row>
        <row r="5229">
          <cell r="A5229" t="str">
            <v>XZ-HMCAT250-W0-4041</v>
          </cell>
          <cell r="B5229" t="str">
            <v>XZ-HMCAT250</v>
          </cell>
        </row>
        <row r="5230">
          <cell r="A5230" t="str">
            <v>XZ-HMCAT255</v>
          </cell>
          <cell r="B5230" t="str">
            <v>XZ-HMCAT255</v>
          </cell>
        </row>
        <row r="5231">
          <cell r="A5231" t="str">
            <v>XZ-HMCAT255-CO-4041</v>
          </cell>
          <cell r="B5231" t="str">
            <v>XZ-HMCAT255</v>
          </cell>
        </row>
        <row r="5232">
          <cell r="A5232" t="str">
            <v>XZ-HMCAT255-CO-4243</v>
          </cell>
          <cell r="B5232" t="str">
            <v>XZ-HMCAT255</v>
          </cell>
        </row>
        <row r="5233">
          <cell r="A5233" t="str">
            <v>XZ-HMCAT255-CO-4445</v>
          </cell>
          <cell r="B5233" t="str">
            <v>XZ-HMCAT255</v>
          </cell>
        </row>
        <row r="5234">
          <cell r="A5234" t="str">
            <v>XZ-HMCAT255-GR-4041</v>
          </cell>
          <cell r="B5234" t="str">
            <v>XZ-HMCAT255</v>
          </cell>
        </row>
        <row r="5235">
          <cell r="A5235" t="str">
            <v>XZ-HMCAT255-GR-4243</v>
          </cell>
          <cell r="B5235" t="str">
            <v>XZ-HMCAT255</v>
          </cell>
        </row>
        <row r="5236">
          <cell r="A5236" t="str">
            <v>XZ-HMCAT255-GR-4445</v>
          </cell>
          <cell r="B5236" t="str">
            <v>XZ-HMCAT255</v>
          </cell>
        </row>
        <row r="5237">
          <cell r="A5237" t="str">
            <v>XZ-HMCAT255-Pi-3637</v>
          </cell>
          <cell r="B5237" t="str">
            <v>XZ-HMCAT255</v>
          </cell>
        </row>
        <row r="5238">
          <cell r="A5238" t="str">
            <v>XZ-HMCAT255-Pi-3839</v>
          </cell>
          <cell r="B5238" t="str">
            <v>XZ-HMCAT255</v>
          </cell>
        </row>
        <row r="5239">
          <cell r="A5239" t="str">
            <v>XZ-HMCAT255-Pi-4041</v>
          </cell>
          <cell r="B5239" t="str">
            <v>XZ-HMCAT255</v>
          </cell>
        </row>
        <row r="5240">
          <cell r="A5240" t="str">
            <v>XZ-HMCAT255-W0-3637</v>
          </cell>
          <cell r="B5240" t="str">
            <v>XZ-HMCAT255</v>
          </cell>
        </row>
        <row r="5241">
          <cell r="A5241" t="str">
            <v>XZ-HMCAT255-W0-3839</v>
          </cell>
          <cell r="B5241" t="str">
            <v>XZ-HMCAT255</v>
          </cell>
        </row>
        <row r="5242">
          <cell r="A5242" t="str">
            <v>XZ-HMCAT255-W0-4041</v>
          </cell>
          <cell r="B5242" t="str">
            <v>XZ-HMCAT255</v>
          </cell>
        </row>
        <row r="5243">
          <cell r="A5243" t="str">
            <v>XZ-HMFox2200-B0-14/15</v>
          </cell>
          <cell r="B5243" t="str">
            <v>XZ-HMFox2200</v>
          </cell>
        </row>
        <row r="5244">
          <cell r="A5244" t="str">
            <v>XZ-HMFox2200-B0-16/17</v>
          </cell>
          <cell r="B5244" t="str">
            <v>XZ-HMFox2200</v>
          </cell>
        </row>
        <row r="5245">
          <cell r="A5245" t="str">
            <v>XZ-HMFox2200-B0-18/19</v>
          </cell>
          <cell r="B5245" t="str">
            <v>XZ-HMFox2200</v>
          </cell>
        </row>
        <row r="5246">
          <cell r="A5246" t="str">
            <v>XZ-HMFox2200-B0-20</v>
          </cell>
          <cell r="B5246" t="str">
            <v>XZ-HMFox2200</v>
          </cell>
        </row>
        <row r="5247">
          <cell r="A5247" t="str">
            <v>XZ-HMFox2200-CO-18/19</v>
          </cell>
          <cell r="B5247" t="str">
            <v>XZ-HMFox2200</v>
          </cell>
        </row>
        <row r="5248">
          <cell r="A5248" t="str">
            <v>XZ-HMFox2200-G0-16/17</v>
          </cell>
          <cell r="B5248" t="str">
            <v>XZ-HMFox2200</v>
          </cell>
        </row>
        <row r="5249">
          <cell r="A5249" t="str">
            <v>XZ-HMFox2200-G0-18/19</v>
          </cell>
          <cell r="B5249" t="str">
            <v>XZ-HMFox2200</v>
          </cell>
        </row>
        <row r="5250">
          <cell r="A5250" t="str">
            <v>XZ-HMFox2200-PI-18/19</v>
          </cell>
          <cell r="B5250" t="str">
            <v>XZ-HMFox2200</v>
          </cell>
        </row>
        <row r="5251">
          <cell r="A5251" t="str">
            <v>XZ-HMFox2200-R0-14/15</v>
          </cell>
          <cell r="B5251" t="str">
            <v>XZ-HMFox2200</v>
          </cell>
        </row>
        <row r="5252">
          <cell r="A5252" t="str">
            <v>XZ-HMFox2200-R0-16/17</v>
          </cell>
          <cell r="B5252" t="str">
            <v>XZ-HMFox2200</v>
          </cell>
        </row>
        <row r="5253">
          <cell r="A5253" t="str">
            <v>XZ-HMFox2200-R0-18/19</v>
          </cell>
          <cell r="B5253" t="str">
            <v>XZ-HMFox2200</v>
          </cell>
        </row>
        <row r="5254">
          <cell r="A5254" t="str">
            <v>XZ-HMFox2200-R0-20</v>
          </cell>
          <cell r="B5254" t="str">
            <v>XZ-HMFox2200</v>
          </cell>
        </row>
        <row r="5255">
          <cell r="A5255" t="str">
            <v>XZ-HMGG29</v>
          </cell>
          <cell r="B5255" t="str">
            <v>XZ-HMGG29</v>
          </cell>
        </row>
        <row r="5256">
          <cell r="A5256" t="str">
            <v>XZ-HMGG29-Y0-3637</v>
          </cell>
          <cell r="B5256" t="str">
            <v>XZ-HMGG29</v>
          </cell>
        </row>
        <row r="5257">
          <cell r="A5257" t="str">
            <v>XZ-HMGG29-Y0-3839</v>
          </cell>
          <cell r="B5257" t="str">
            <v>XZ-HMGG29</v>
          </cell>
        </row>
        <row r="5258">
          <cell r="A5258" t="str">
            <v>XZ-HMGR23</v>
          </cell>
          <cell r="B5258" t="str">
            <v>XZ-HMGR23</v>
          </cell>
        </row>
        <row r="5259">
          <cell r="A5259" t="str">
            <v>XZ-HMGR23-GR-3536</v>
          </cell>
          <cell r="B5259" t="str">
            <v>XZ-HMGR23</v>
          </cell>
        </row>
        <row r="5260">
          <cell r="A5260" t="str">
            <v>XZ-HMGR23-GR-3738</v>
          </cell>
          <cell r="B5260" t="str">
            <v>XZ-HMGR23</v>
          </cell>
        </row>
        <row r="5261">
          <cell r="A5261" t="str">
            <v>XZ-HMGR23-GR-3940</v>
          </cell>
          <cell r="B5261" t="str">
            <v>XZ-HMGR23</v>
          </cell>
        </row>
        <row r="5262">
          <cell r="A5262" t="str">
            <v>XZ-HMHM0133-W0-3637</v>
          </cell>
          <cell r="B5262" t="str">
            <v>XZ-HMHM0133</v>
          </cell>
        </row>
        <row r="5263">
          <cell r="A5263" t="str">
            <v>XZ-HMHM0133-W0-3839</v>
          </cell>
          <cell r="B5263" t="str">
            <v>XZ-HMHM0133</v>
          </cell>
        </row>
        <row r="5264">
          <cell r="A5264" t="str">
            <v>XZ-HMHX-ML299-B0-3536</v>
          </cell>
          <cell r="B5264" t="str">
            <v>XZ-HMHX-ML299</v>
          </cell>
        </row>
        <row r="5265">
          <cell r="A5265" t="str">
            <v>XZ-HMHX-ML299-B0-3738</v>
          </cell>
          <cell r="B5265" t="str">
            <v>XZ-HMHX-ML299</v>
          </cell>
        </row>
        <row r="5266">
          <cell r="A5266" t="str">
            <v>XZ-HMHX-ML299-B0-3940</v>
          </cell>
          <cell r="B5266" t="str">
            <v>XZ-HMHX-ML299</v>
          </cell>
        </row>
        <row r="5267">
          <cell r="A5267" t="str">
            <v>XZ-HMHX-ML299-PI-3536</v>
          </cell>
          <cell r="B5267" t="str">
            <v>XZ-HMHX-ML299</v>
          </cell>
        </row>
        <row r="5268">
          <cell r="A5268" t="str">
            <v>XZ-HMHX-ML299-PI-3738</v>
          </cell>
          <cell r="B5268" t="str">
            <v>XZ-HMHX-ML299</v>
          </cell>
        </row>
        <row r="5269">
          <cell r="A5269" t="str">
            <v>XZ-HMHX-ML299-PI-3940</v>
          </cell>
          <cell r="B5269" t="str">
            <v>XZ-HMHX-ML299</v>
          </cell>
        </row>
        <row r="5270">
          <cell r="A5270" t="str">
            <v>XZ-HMHX-ML299-PU-3536</v>
          </cell>
          <cell r="B5270" t="str">
            <v>XZ-HMHX-ML299</v>
          </cell>
        </row>
        <row r="5271">
          <cell r="A5271" t="str">
            <v>XZ-HMHX-ML299-PU-3738</v>
          </cell>
          <cell r="B5271" t="str">
            <v>XZ-HMHX-ML299</v>
          </cell>
        </row>
        <row r="5272">
          <cell r="A5272" t="str">
            <v>XZ-HMHX-ML299-PU-3940</v>
          </cell>
          <cell r="B5272" t="str">
            <v>XZ-HMHX-ML299</v>
          </cell>
        </row>
        <row r="5273">
          <cell r="A5273" t="str">
            <v>XZ-HMHX-QE004</v>
          </cell>
          <cell r="B5273" t="str">
            <v>XZ-HMHX-QE004</v>
          </cell>
        </row>
        <row r="5274">
          <cell r="A5274" t="str">
            <v>XZ-HMHX-QE004-GR-3536</v>
          </cell>
          <cell r="B5274" t="str">
            <v>XZ-HMHX-QE004</v>
          </cell>
        </row>
        <row r="5275">
          <cell r="A5275" t="str">
            <v>XZ-HMHX-QE004-GR-3738</v>
          </cell>
          <cell r="B5275" t="str">
            <v>XZ-HMHX-QE004</v>
          </cell>
        </row>
        <row r="5276">
          <cell r="A5276" t="str">
            <v>XZ-HMHX-QE004-GR-3940</v>
          </cell>
          <cell r="B5276" t="str">
            <v>XZ-HMHX-QE004</v>
          </cell>
        </row>
        <row r="5277">
          <cell r="A5277" t="str">
            <v>XZ-HMHX-QE004-GR-4142</v>
          </cell>
          <cell r="B5277" t="str">
            <v>XZ-HMHX-QE004</v>
          </cell>
        </row>
        <row r="5278">
          <cell r="A5278" t="str">
            <v>XZ-HMHX-QE004-GR-4344</v>
          </cell>
          <cell r="B5278" t="str">
            <v>XZ-HMHX-QE004</v>
          </cell>
        </row>
        <row r="5279">
          <cell r="A5279" t="str">
            <v>XZ-HMHX-QE004-K0-3536</v>
          </cell>
          <cell r="B5279" t="str">
            <v>XZ-HMHX-QE004</v>
          </cell>
        </row>
        <row r="5280">
          <cell r="A5280" t="str">
            <v>XZ-HMHX-QE004-K0-3738</v>
          </cell>
          <cell r="B5280" t="str">
            <v>XZ-HMHX-QE004</v>
          </cell>
        </row>
        <row r="5281">
          <cell r="A5281" t="str">
            <v>XZ-HMHX-QE004-K0-3940</v>
          </cell>
          <cell r="B5281" t="str">
            <v>XZ-HMHX-QE004</v>
          </cell>
        </row>
        <row r="5282">
          <cell r="A5282" t="str">
            <v>XZ-HMHX-QE004-K0-4142</v>
          </cell>
          <cell r="B5282" t="str">
            <v>XZ-HMHX-QE004</v>
          </cell>
        </row>
        <row r="5283">
          <cell r="A5283" t="str">
            <v>XZ-HMHX-QE004-K0-4344</v>
          </cell>
          <cell r="B5283" t="str">
            <v>XZ-HMHX-QE004</v>
          </cell>
        </row>
        <row r="5284">
          <cell r="A5284" t="str">
            <v>XZ-HMHX-QE004-PI-3536</v>
          </cell>
          <cell r="B5284" t="str">
            <v>XZ-HMHX-QE004</v>
          </cell>
        </row>
        <row r="5285">
          <cell r="A5285" t="str">
            <v>XZ-HMHX-QE004-PI-3738</v>
          </cell>
          <cell r="B5285" t="str">
            <v>XZ-HMHX-QE004</v>
          </cell>
        </row>
        <row r="5286">
          <cell r="A5286" t="str">
            <v>XZ-HMHX-QE004-PI-3940</v>
          </cell>
          <cell r="B5286" t="str">
            <v>XZ-HMHX-QE004</v>
          </cell>
        </row>
        <row r="5287">
          <cell r="A5287" t="str">
            <v>XZ-HMHX-QE298</v>
          </cell>
          <cell r="B5287" t="str">
            <v>XZ-HMHX-QE298</v>
          </cell>
        </row>
        <row r="5288">
          <cell r="A5288" t="str">
            <v>XZ-HMHX-TZ003-G0-3536</v>
          </cell>
          <cell r="B5288" t="str">
            <v>XZ-HMHX-TZ003</v>
          </cell>
        </row>
        <row r="5289">
          <cell r="A5289" t="str">
            <v>XZ-HMHX-TZ003-G0-3738</v>
          </cell>
          <cell r="B5289" t="str">
            <v>XZ-HMHX-TZ003</v>
          </cell>
        </row>
        <row r="5290">
          <cell r="A5290" t="str">
            <v>XZ-HMHX-TZ003-G0-3940</v>
          </cell>
          <cell r="B5290" t="str">
            <v>XZ-HMHX-TZ003</v>
          </cell>
        </row>
        <row r="5291">
          <cell r="A5291" t="str">
            <v>XZ-HMHX-TZ003-OR-3536</v>
          </cell>
          <cell r="B5291" t="str">
            <v>XZ-HMHX-TZ003</v>
          </cell>
        </row>
        <row r="5292">
          <cell r="A5292" t="str">
            <v>XZ-HMHX-TZ003-OR-3738</v>
          </cell>
          <cell r="B5292" t="str">
            <v>XZ-HMHX-TZ003</v>
          </cell>
        </row>
        <row r="5293">
          <cell r="A5293" t="str">
            <v>XZ-HMHX-TZ003-OR-3940</v>
          </cell>
          <cell r="B5293" t="str">
            <v>XZ-HMHX-TZ003</v>
          </cell>
        </row>
        <row r="5294">
          <cell r="A5294" t="str">
            <v>XZ-HMHX-TZ003-PI-3536</v>
          </cell>
          <cell r="B5294" t="str">
            <v>XZ-HMHX-TZ003</v>
          </cell>
        </row>
        <row r="5295">
          <cell r="A5295" t="str">
            <v>XZ-HMHX-TZ003-PI-3738</v>
          </cell>
          <cell r="B5295" t="str">
            <v>XZ-HMHX-TZ003</v>
          </cell>
        </row>
        <row r="5296">
          <cell r="A5296" t="str">
            <v>XZ-HMHX-TZ003-PI-3940</v>
          </cell>
          <cell r="B5296" t="str">
            <v>XZ-HMHX-TZ003</v>
          </cell>
        </row>
        <row r="5297">
          <cell r="A5297" t="str">
            <v>XZ-HMHX-TZ003-PU-3536</v>
          </cell>
          <cell r="B5297" t="str">
            <v>XZ-HMHX-TZ003</v>
          </cell>
        </row>
        <row r="5298">
          <cell r="A5298" t="str">
            <v>XZ-HMHX-TZ003-PU-3738</v>
          </cell>
          <cell r="B5298" t="str">
            <v>XZ-HMHX-TZ003</v>
          </cell>
        </row>
        <row r="5299">
          <cell r="A5299" t="str">
            <v>XZ-HMHX-TZ003-PU-3940</v>
          </cell>
          <cell r="B5299" t="str">
            <v>XZ-HMHX-TZ003</v>
          </cell>
        </row>
        <row r="5300">
          <cell r="A5300" t="str">
            <v>XZ-HMHX-YL001-PU-3940</v>
          </cell>
          <cell r="B5300" t="str">
            <v>XZ-HMHX-YL001</v>
          </cell>
        </row>
        <row r="5301">
          <cell r="A5301" t="str">
            <v>XZ-HMKid-XP04</v>
          </cell>
          <cell r="B5301" t="str">
            <v>XZ-HMKid-XP04</v>
          </cell>
        </row>
        <row r="5302">
          <cell r="A5302" t="str">
            <v>XZ-HMKid-XP04-BE-21</v>
          </cell>
          <cell r="B5302" t="str">
            <v>XZ-HMKid-XP04</v>
          </cell>
        </row>
        <row r="5303">
          <cell r="A5303" t="str">
            <v>XZ-HMKid-XP04-BE-22</v>
          </cell>
          <cell r="B5303" t="str">
            <v>XZ-HMKid-XP04</v>
          </cell>
        </row>
        <row r="5304">
          <cell r="A5304" t="str">
            <v>XZ-HMKid-XP04-CO-21</v>
          </cell>
          <cell r="B5304" t="str">
            <v>XZ-HMKid-XP04</v>
          </cell>
        </row>
        <row r="5305">
          <cell r="A5305" t="str">
            <v>XZ-HMKid-XP04-CO-22</v>
          </cell>
          <cell r="B5305" t="str">
            <v>XZ-HMKid-XP04</v>
          </cell>
        </row>
        <row r="5306">
          <cell r="A5306" t="str">
            <v>XZ-HMKid-XP04-PI-20</v>
          </cell>
          <cell r="B5306" t="str">
            <v>XZ-HMKid-XP04</v>
          </cell>
        </row>
        <row r="5307">
          <cell r="A5307" t="str">
            <v>XZ-HMKid-XP04-PI-21</v>
          </cell>
          <cell r="B5307" t="str">
            <v>XZ-HMKid-XP04</v>
          </cell>
        </row>
        <row r="5308">
          <cell r="A5308" t="str">
            <v>XZ-HMLion-3637</v>
          </cell>
          <cell r="B5308" t="str">
            <v>XZ-HMLion</v>
          </cell>
        </row>
        <row r="5309">
          <cell r="A5309" t="str">
            <v>XZ-HMLion-4041</v>
          </cell>
          <cell r="B5309" t="str">
            <v>XZ-HMLion</v>
          </cell>
        </row>
        <row r="5310">
          <cell r="A5310" t="str">
            <v>XZ-HMM311</v>
          </cell>
          <cell r="B5310" t="str">
            <v>XZ-HMM311</v>
          </cell>
        </row>
        <row r="5311">
          <cell r="A5311" t="str">
            <v>XZ-HMM311-B0-3637</v>
          </cell>
          <cell r="B5311" t="str">
            <v>XZ-HMM311</v>
          </cell>
        </row>
        <row r="5312">
          <cell r="A5312" t="str">
            <v>XZ-HMM311-B0-3839</v>
          </cell>
          <cell r="B5312" t="str">
            <v>XZ-HMM311</v>
          </cell>
        </row>
        <row r="5313">
          <cell r="A5313" t="str">
            <v>XZ-HMM311-B0-4041</v>
          </cell>
          <cell r="B5313" t="str">
            <v>XZ-HMM311</v>
          </cell>
        </row>
        <row r="5314">
          <cell r="A5314" t="str">
            <v>XZ-HMM311-GR-4243</v>
          </cell>
          <cell r="B5314" t="str">
            <v>XZ-HMM311</v>
          </cell>
        </row>
        <row r="5315">
          <cell r="A5315" t="str">
            <v>XZ-HMM311-GR-4445</v>
          </cell>
          <cell r="B5315" t="str">
            <v>XZ-HMM311</v>
          </cell>
        </row>
        <row r="5316">
          <cell r="A5316" t="str">
            <v>XZ-HMM311-KH-4243</v>
          </cell>
          <cell r="B5316" t="str">
            <v>XZ-HMM311</v>
          </cell>
        </row>
        <row r="5317">
          <cell r="A5317" t="str">
            <v>XZ-HMM311-KH-4445</v>
          </cell>
          <cell r="B5317" t="str">
            <v>XZ-HMM311</v>
          </cell>
        </row>
        <row r="5318">
          <cell r="A5318" t="str">
            <v>XZ-HMM311-PI-3637</v>
          </cell>
          <cell r="B5318" t="str">
            <v>XZ-HMM311</v>
          </cell>
        </row>
        <row r="5319">
          <cell r="A5319" t="str">
            <v>XZ-HMM311-PI-3839</v>
          </cell>
          <cell r="B5319" t="str">
            <v>XZ-HMM311</v>
          </cell>
        </row>
        <row r="5320">
          <cell r="A5320" t="str">
            <v>XZ-HMM311-PI-4041</v>
          </cell>
          <cell r="B5320" t="str">
            <v>XZ-HMM311</v>
          </cell>
        </row>
        <row r="5321">
          <cell r="A5321" t="str">
            <v>XZ-HMM311-W0-3637</v>
          </cell>
          <cell r="B5321" t="str">
            <v>XZ-HMM311</v>
          </cell>
        </row>
        <row r="5322">
          <cell r="A5322" t="str">
            <v>XZ-HMM311-W0-3839</v>
          </cell>
          <cell r="B5322" t="str">
            <v>XZ-HMM311</v>
          </cell>
        </row>
        <row r="5323">
          <cell r="A5323" t="str">
            <v>XZ-HMM311-W0-4041</v>
          </cell>
          <cell r="B5323" t="str">
            <v>XZ-HMM311</v>
          </cell>
        </row>
        <row r="5324">
          <cell r="A5324" t="str">
            <v>XZ-HMMC32-MC-3637</v>
          </cell>
          <cell r="B5324" t="str">
            <v>XZ-HMMC32</v>
          </cell>
        </row>
        <row r="5325">
          <cell r="A5325" t="str">
            <v>XZ-HMMC32-MC-3839</v>
          </cell>
          <cell r="B5325" t="str">
            <v>XZ-HMMC32</v>
          </cell>
        </row>
        <row r="5326">
          <cell r="A5326" t="str">
            <v>XZ-HMMC32-MC-4243</v>
          </cell>
          <cell r="B5326" t="str">
            <v>XZ-HMMC32</v>
          </cell>
        </row>
        <row r="5327">
          <cell r="A5327" t="str">
            <v>XZ-HMMC32-MC-4445</v>
          </cell>
          <cell r="B5327" t="str">
            <v>XZ-HMMC32</v>
          </cell>
        </row>
        <row r="5328">
          <cell r="A5328" t="str">
            <v>XZ-HMMG31-GR-37</v>
          </cell>
          <cell r="B5328" t="str">
            <v>XZ-HMMG31</v>
          </cell>
        </row>
        <row r="5329">
          <cell r="A5329" t="str">
            <v>XZ-HMMG60</v>
          </cell>
          <cell r="B5329" t="str">
            <v>XZ-HMMG60</v>
          </cell>
        </row>
        <row r="5330">
          <cell r="A5330" t="str">
            <v>XZ-HMMG60-GRH-30-31</v>
          </cell>
          <cell r="B5330" t="str">
            <v>XZ-HMMG60</v>
          </cell>
        </row>
        <row r="5331">
          <cell r="A5331" t="str">
            <v>XZ-HMMG60-GRH-32-33</v>
          </cell>
          <cell r="B5331" t="str">
            <v>XZ-HMMG60</v>
          </cell>
        </row>
        <row r="5332">
          <cell r="A5332" t="str">
            <v>XZ-HMMG60-GRH-34-35</v>
          </cell>
          <cell r="B5332" t="str">
            <v>XZ-HMMG60</v>
          </cell>
        </row>
        <row r="5333">
          <cell r="A5333" t="str">
            <v>XZ-HMMG60-GRH-40-41</v>
          </cell>
          <cell r="B5333" t="str">
            <v>XZ-HMMG60</v>
          </cell>
        </row>
        <row r="5334">
          <cell r="A5334" t="str">
            <v>XZ-HMMG60-GRH-42-43</v>
          </cell>
          <cell r="B5334" t="str">
            <v>XZ-HMMG60</v>
          </cell>
        </row>
        <row r="5335">
          <cell r="A5335" t="str">
            <v>XZ-HMMG60-PIB-34-35</v>
          </cell>
          <cell r="B5335" t="str">
            <v>XZ-HMMG60</v>
          </cell>
        </row>
        <row r="5336">
          <cell r="A5336" t="str">
            <v>XZ-HMMG60-PIH-34-35</v>
          </cell>
          <cell r="B5336" t="str">
            <v>XZ-HMMG60</v>
          </cell>
        </row>
        <row r="5337">
          <cell r="A5337" t="str">
            <v>XZ-HMMG60-PIH-36-37</v>
          </cell>
          <cell r="B5337" t="str">
            <v>XZ-HMMG60</v>
          </cell>
        </row>
        <row r="5338">
          <cell r="A5338" t="str">
            <v>XZ-HMMG60-PIH-38-39</v>
          </cell>
          <cell r="B5338" t="str">
            <v>XZ-HMMG60</v>
          </cell>
        </row>
        <row r="5339">
          <cell r="A5339" t="str">
            <v>XZ-HMMG60-PIH-40-41</v>
          </cell>
          <cell r="B5339" t="str">
            <v>XZ-HMMG60</v>
          </cell>
        </row>
        <row r="5340">
          <cell r="A5340" t="str">
            <v>XZ-HMMLD001-B0-3738</v>
          </cell>
          <cell r="B5340" t="str">
            <v>XZ-HMMLD001</v>
          </cell>
        </row>
        <row r="5341">
          <cell r="A5341" t="str">
            <v>XZ-HMMLD001-B0-3940</v>
          </cell>
          <cell r="B5341" t="str">
            <v>XZ-HMMLD001</v>
          </cell>
        </row>
        <row r="5342">
          <cell r="A5342" t="str">
            <v>XZ-HMMLD001-CO-4041</v>
          </cell>
          <cell r="B5342" t="str">
            <v>XZ-HMMLD001</v>
          </cell>
        </row>
        <row r="5343">
          <cell r="A5343" t="str">
            <v>XZ-HMMLD001-CO-4243</v>
          </cell>
          <cell r="B5343" t="str">
            <v>XZ-HMMLD001</v>
          </cell>
        </row>
        <row r="5344">
          <cell r="A5344" t="str">
            <v>XZ-HMMLD001-PI-3738</v>
          </cell>
          <cell r="B5344" t="str">
            <v>XZ-HMMLD001</v>
          </cell>
        </row>
        <row r="5345">
          <cell r="A5345" t="str">
            <v>XZ-HMMLD001-PI-3940</v>
          </cell>
          <cell r="B5345" t="str">
            <v>XZ-HMMLD001</v>
          </cell>
        </row>
        <row r="5346">
          <cell r="A5346" t="str">
            <v>XZ-HMMLD001-R0-3738</v>
          </cell>
          <cell r="B5346" t="str">
            <v>XZ-HMMLD001</v>
          </cell>
        </row>
        <row r="5347">
          <cell r="A5347" t="str">
            <v>XZ-HMMLD001-R0-3940</v>
          </cell>
          <cell r="B5347" t="str">
            <v>XZ-HMMLD001</v>
          </cell>
        </row>
        <row r="5348">
          <cell r="A5348" t="str">
            <v>XZ-HMMX360</v>
          </cell>
          <cell r="B5348" t="str">
            <v>XZ-HMMX360</v>
          </cell>
        </row>
        <row r="5349">
          <cell r="A5349" t="str">
            <v>XZ-HMMX360-GR-3637</v>
          </cell>
          <cell r="B5349" t="str">
            <v>XZ-HMMX360</v>
          </cell>
        </row>
        <row r="5350">
          <cell r="A5350" t="str">
            <v>XZ-HMMX360-GR-3839</v>
          </cell>
          <cell r="B5350" t="str">
            <v>XZ-HMMX360</v>
          </cell>
        </row>
        <row r="5351">
          <cell r="A5351" t="str">
            <v>XZ-HMMX360-GR-4041</v>
          </cell>
          <cell r="B5351" t="str">
            <v>XZ-HMMX360</v>
          </cell>
        </row>
        <row r="5352">
          <cell r="A5352" t="str">
            <v>XZ-HMSD269-K0-17</v>
          </cell>
          <cell r="B5352" t="str">
            <v>XZ-HMSD269</v>
          </cell>
        </row>
        <row r="5353">
          <cell r="A5353" t="str">
            <v>XZ-HMSD269-K0-19</v>
          </cell>
          <cell r="B5353" t="str">
            <v>XZ-HMSD269</v>
          </cell>
        </row>
        <row r="5354">
          <cell r="A5354" t="str">
            <v>XZ-HMSD269-K0-20</v>
          </cell>
          <cell r="B5354" t="str">
            <v>XZ-HMSD269</v>
          </cell>
        </row>
        <row r="5355">
          <cell r="A5355" t="str">
            <v>XZ-HMSD269-K0-21</v>
          </cell>
          <cell r="B5355" t="str">
            <v>XZ-HMSD269</v>
          </cell>
        </row>
        <row r="5356">
          <cell r="A5356" t="str">
            <v>XZ-HMSD269-K0-22</v>
          </cell>
          <cell r="B5356" t="str">
            <v>XZ-HMSD269</v>
          </cell>
        </row>
        <row r="5357">
          <cell r="A5357" t="str">
            <v>XZ-HMSD269-K0-24</v>
          </cell>
          <cell r="B5357" t="str">
            <v>XZ-HMSD269</v>
          </cell>
        </row>
        <row r="5358">
          <cell r="A5358" t="str">
            <v>XZ-HMSD269-R0-25</v>
          </cell>
          <cell r="B5358" t="str">
            <v>XZ-HMSD269</v>
          </cell>
        </row>
        <row r="5359">
          <cell r="A5359" t="str">
            <v>XZ-HMSD269-R0-26</v>
          </cell>
          <cell r="B5359" t="str">
            <v>XZ-HMSD269</v>
          </cell>
        </row>
        <row r="5360">
          <cell r="A5360" t="str">
            <v>XZ-HMSD269-R0-28</v>
          </cell>
          <cell r="B5360" t="str">
            <v>XZ-HMSD269</v>
          </cell>
        </row>
        <row r="5361">
          <cell r="A5361" t="str">
            <v>XZ-HMSD269-R0-29</v>
          </cell>
          <cell r="B5361" t="str">
            <v>XZ-HMSD269</v>
          </cell>
        </row>
        <row r="5362">
          <cell r="A5362" t="str">
            <v>XZ-HMTZ219</v>
          </cell>
          <cell r="B5362" t="str">
            <v>XZ-HMTZ219</v>
          </cell>
        </row>
        <row r="5363">
          <cell r="A5363" t="str">
            <v>XZ-HMTZ219-GR-4041</v>
          </cell>
          <cell r="B5363" t="str">
            <v>XZ-HMTZ219</v>
          </cell>
        </row>
        <row r="5364">
          <cell r="A5364" t="str">
            <v>XZ-HMTZ250</v>
          </cell>
          <cell r="B5364" t="str">
            <v>XZ-HMTZ250</v>
          </cell>
        </row>
        <row r="5365">
          <cell r="A5365" t="str">
            <v>XZ-HMTZ250-CO-4041</v>
          </cell>
          <cell r="B5365" t="str">
            <v>XZ-HMTZ250</v>
          </cell>
        </row>
        <row r="5366">
          <cell r="A5366" t="str">
            <v>XZ-HMTZ250-CO-4243</v>
          </cell>
          <cell r="B5366" t="str">
            <v>XZ-HMTZ250</v>
          </cell>
        </row>
        <row r="5367">
          <cell r="A5367" t="str">
            <v>XZ-HMTZ250-CO-4445</v>
          </cell>
          <cell r="B5367" t="str">
            <v>XZ-HMTZ250</v>
          </cell>
        </row>
        <row r="5368">
          <cell r="A5368" t="str">
            <v>XZ-HMTZ250-GR-4041</v>
          </cell>
          <cell r="B5368" t="str">
            <v>XZ-HMTZ250</v>
          </cell>
        </row>
        <row r="5369">
          <cell r="A5369" t="str">
            <v>XZ-HMTZ250-GR-4243</v>
          </cell>
          <cell r="B5369" t="str">
            <v>XZ-HMTZ250</v>
          </cell>
        </row>
        <row r="5370">
          <cell r="A5370" t="str">
            <v>XZ-HMTZ250-GR-4445</v>
          </cell>
          <cell r="B5370" t="str">
            <v>XZ-HMTZ250</v>
          </cell>
        </row>
        <row r="5371">
          <cell r="A5371" t="str">
            <v>XZ-HMTZ250-P0-3637</v>
          </cell>
          <cell r="B5371" t="str">
            <v>XZ-HMTZ250</v>
          </cell>
        </row>
        <row r="5372">
          <cell r="A5372" t="str">
            <v>XZ-HMTZ250-P0-3839</v>
          </cell>
          <cell r="B5372" t="str">
            <v>XZ-HMTZ250</v>
          </cell>
        </row>
        <row r="5373">
          <cell r="A5373" t="str">
            <v>XZ-HMTZ250-P0-4041</v>
          </cell>
          <cell r="B5373" t="str">
            <v>XZ-HMTZ250</v>
          </cell>
        </row>
        <row r="5374">
          <cell r="A5374" t="str">
            <v>XZ-HMTZ250-Pi-3637</v>
          </cell>
          <cell r="B5374" t="str">
            <v>XZ-HMTZ250</v>
          </cell>
        </row>
        <row r="5375">
          <cell r="A5375" t="str">
            <v>XZ-HMTZ250-Pi-3839</v>
          </cell>
          <cell r="B5375" t="str">
            <v>XZ-HMTZ250</v>
          </cell>
        </row>
        <row r="5376">
          <cell r="A5376" t="str">
            <v>XZ-HMTZ250-Pi-4041</v>
          </cell>
          <cell r="B5376" t="str">
            <v>XZ-HMTZ250</v>
          </cell>
        </row>
        <row r="5377">
          <cell r="A5377" t="str">
            <v>XZ-HMXX018</v>
          </cell>
          <cell r="B5377" t="str">
            <v>XZ-HMXX018</v>
          </cell>
        </row>
        <row r="5378">
          <cell r="A5378" t="str">
            <v>XZ-HMXX018-BR-3637</v>
          </cell>
          <cell r="B5378" t="str">
            <v>XZ-HMXX018</v>
          </cell>
        </row>
        <row r="5379">
          <cell r="A5379" t="str">
            <v>XZ-HMXX018-BR-3839</v>
          </cell>
          <cell r="B5379" t="str">
            <v>XZ-HMXX018</v>
          </cell>
        </row>
        <row r="5380">
          <cell r="A5380" t="str">
            <v>XZ-HMXX018-BR-4041</v>
          </cell>
          <cell r="B5380" t="str">
            <v>XZ-HMXX018</v>
          </cell>
        </row>
        <row r="5381">
          <cell r="A5381" t="str">
            <v>XZ-HMXX018-K0-3637</v>
          </cell>
          <cell r="B5381" t="str">
            <v>XZ-HMXX018</v>
          </cell>
        </row>
        <row r="5382">
          <cell r="A5382" t="str">
            <v>XZ-HMXX018-K0-3839</v>
          </cell>
          <cell r="B5382" t="str">
            <v>XZ-HMXX018</v>
          </cell>
        </row>
        <row r="5383">
          <cell r="A5383" t="str">
            <v>XZ-HMXX018-K0-3940</v>
          </cell>
          <cell r="B5383" t="str">
            <v>XZ-HMXX018</v>
          </cell>
        </row>
        <row r="5384">
          <cell r="A5384" t="str">
            <v>XZ-HMXX018-R0-3839</v>
          </cell>
          <cell r="B5384" t="str">
            <v>XZ-HMXX018</v>
          </cell>
        </row>
        <row r="5385">
          <cell r="A5385" t="str">
            <v>XZ-HMXX018-Y0-3637</v>
          </cell>
          <cell r="B5385" t="str">
            <v>XZ-HMXX018</v>
          </cell>
        </row>
        <row r="5386">
          <cell r="A5386" t="str">
            <v>XZ-HMXX018-Y0-3839</v>
          </cell>
          <cell r="B5386" t="str">
            <v>XZ-HMXX018</v>
          </cell>
        </row>
        <row r="5387">
          <cell r="A5387" t="str">
            <v>XZ-HMXX018-Y0-3940</v>
          </cell>
          <cell r="B5387" t="str">
            <v>XZ-HMXX018</v>
          </cell>
        </row>
        <row r="5388">
          <cell r="A5388" t="str">
            <v>XZ-HMXX390-Gird-P0-3637</v>
          </cell>
          <cell r="B5388" t="str">
            <v>XZ-HMXX390</v>
          </cell>
        </row>
        <row r="5389">
          <cell r="A5389" t="str">
            <v>XZ-HMXX390-Gird-P0-3839</v>
          </cell>
          <cell r="B5389" t="str">
            <v>XZ-HMXX390</v>
          </cell>
        </row>
        <row r="5390">
          <cell r="A5390" t="str">
            <v>XZ-HMXX390-Gird-YH-3637</v>
          </cell>
          <cell r="B5390" t="str">
            <v>XZ-HMXX390</v>
          </cell>
        </row>
        <row r="5391">
          <cell r="A5391" t="str">
            <v>XZ-HMXX390-Gird-YH-3839</v>
          </cell>
          <cell r="B5391" t="str">
            <v>XZ-HMXX390</v>
          </cell>
        </row>
        <row r="5392">
          <cell r="A5392" t="str">
            <v>XZ-HMXX390-Knit-BE-3637</v>
          </cell>
          <cell r="B5392" t="str">
            <v>XZ-HMXX390</v>
          </cell>
        </row>
        <row r="5393">
          <cell r="A5393" t="str">
            <v>XZ-HMXX390-Knit-BE-3839</v>
          </cell>
          <cell r="B5393" t="str">
            <v>XZ-HMXX390</v>
          </cell>
        </row>
        <row r="5394">
          <cell r="A5394" t="str">
            <v>XZ-HMXX390-Knit-P0-3637</v>
          </cell>
          <cell r="B5394" t="str">
            <v>XZ-HMXX390</v>
          </cell>
        </row>
        <row r="5395">
          <cell r="A5395" t="str">
            <v>XZ-HMXX390-Knit-P0-3839</v>
          </cell>
          <cell r="B5395" t="str">
            <v>XZ-HMXX390</v>
          </cell>
        </row>
        <row r="5396">
          <cell r="A5396" t="str">
            <v>XZ-HMXX390-Knit-PI-3637</v>
          </cell>
          <cell r="B5396" t="str">
            <v>XZ-HMXX390</v>
          </cell>
        </row>
        <row r="5397">
          <cell r="A5397" t="str">
            <v>XZ-HMXX390-Knit-PI-3839</v>
          </cell>
          <cell r="B5397" t="str">
            <v>XZ-HMXX390</v>
          </cell>
        </row>
        <row r="5398">
          <cell r="A5398" t="str">
            <v>XZ-HMXX390-Knit-QC-3637</v>
          </cell>
          <cell r="B5398" t="str">
            <v>XZ-HMXX390</v>
          </cell>
        </row>
        <row r="5399">
          <cell r="A5399" t="str">
            <v>XZ-HMXX390-Knit-QC-3839</v>
          </cell>
          <cell r="B5399" t="str">
            <v>XZ-HMXX390</v>
          </cell>
        </row>
        <row r="5400">
          <cell r="A5400" t="str">
            <v>XZ-HMXX390-Snow-R3-3637</v>
          </cell>
          <cell r="B5400" t="str">
            <v>XZ-HMXX390</v>
          </cell>
        </row>
        <row r="5401">
          <cell r="A5401" t="str">
            <v>XZ-HMXX390-Snow-R3-3839</v>
          </cell>
          <cell r="B5401" t="str">
            <v>XZ-HMXX390</v>
          </cell>
        </row>
        <row r="5402">
          <cell r="A5402" t="str">
            <v>XZ-HMXX390-Snow-W0-3637</v>
          </cell>
          <cell r="B5402" t="str">
            <v>XZ-HMXX390</v>
          </cell>
        </row>
        <row r="5403">
          <cell r="A5403" t="str">
            <v>XZ-HMXX390-Snow-W0-3839</v>
          </cell>
          <cell r="B5403" t="str">
            <v>XZ-HMXX390</v>
          </cell>
        </row>
        <row r="5404">
          <cell r="A5404" t="str">
            <v>XZ-HMXX390-Snow-ZL-3637</v>
          </cell>
          <cell r="B5404" t="str">
            <v>XZ-HMXX390</v>
          </cell>
        </row>
        <row r="5405">
          <cell r="A5405" t="str">
            <v>XZ-HMXX390-Snow-ZL-3839</v>
          </cell>
          <cell r="B5405" t="str">
            <v>XZ-HMXX390</v>
          </cell>
        </row>
        <row r="5406">
          <cell r="A5406" t="str">
            <v>XZ-HMXX390-Velet-P0-3637</v>
          </cell>
          <cell r="B5406" t="str">
            <v>XZ-HMXX390</v>
          </cell>
        </row>
        <row r="5407">
          <cell r="A5407" t="str">
            <v>XZ-HMXX390-Velet-P0-3839</v>
          </cell>
          <cell r="B5407" t="str">
            <v>XZ-HMXX390</v>
          </cell>
        </row>
        <row r="5408">
          <cell r="A5408" t="str">
            <v>XZ-HMXX390-Velet-R3-3637</v>
          </cell>
          <cell r="B5408" t="str">
            <v>XZ-HMXX390</v>
          </cell>
        </row>
        <row r="5409">
          <cell r="A5409" t="str">
            <v>XZ-HMXX390-Velet-R3-3839</v>
          </cell>
          <cell r="B5409" t="str">
            <v>XZ-HMXX390</v>
          </cell>
        </row>
        <row r="5410">
          <cell r="A5410" t="str">
            <v>XZ-HMXY21-R0-3637</v>
          </cell>
          <cell r="B5410" t="str">
            <v>XZ-HMXY21</v>
          </cell>
        </row>
        <row r="5411">
          <cell r="A5411" t="str">
            <v>XZ-HMXY21-R0-3839</v>
          </cell>
          <cell r="B5411" t="str">
            <v>XZ-HMXY21</v>
          </cell>
        </row>
        <row r="5412">
          <cell r="A5412" t="str">
            <v>XZ-HMXY21-ZL-4041</v>
          </cell>
          <cell r="B5412" t="str">
            <v>XZ-HMXY21</v>
          </cell>
        </row>
        <row r="5413">
          <cell r="A5413" t="str">
            <v>XZ-HMYZ22</v>
          </cell>
          <cell r="B5413" t="str">
            <v>XZ-HMYZ22</v>
          </cell>
        </row>
        <row r="5414">
          <cell r="A5414" t="str">
            <v>XZ-HMYZ22-GR-35(3)</v>
          </cell>
          <cell r="B5414" t="str">
            <v>XZ-HMYZ22</v>
          </cell>
        </row>
        <row r="5415">
          <cell r="A5415" t="str">
            <v>XZ-HMYZ22-GR-36(4)</v>
          </cell>
          <cell r="B5415" t="str">
            <v>XZ-HMYZ22</v>
          </cell>
        </row>
        <row r="5416">
          <cell r="A5416" t="str">
            <v>XZ-HMYZ22-GR-3637</v>
          </cell>
          <cell r="B5416" t="str">
            <v>XZ-HMYZ22</v>
          </cell>
        </row>
        <row r="5417">
          <cell r="A5417" t="str">
            <v>XZ-HMYZ22-GR-37(5)</v>
          </cell>
          <cell r="B5417" t="str">
            <v>XZ-HMYZ22</v>
          </cell>
        </row>
        <row r="5418">
          <cell r="A5418" t="str">
            <v>XZ-HMYZ22-GR-38(5.5)</v>
          </cell>
          <cell r="B5418" t="str">
            <v>XZ-HMYZ22</v>
          </cell>
        </row>
        <row r="5419">
          <cell r="A5419" t="str">
            <v>XZ-HMYZ22-GR-3839</v>
          </cell>
          <cell r="B5419" t="str">
            <v>XZ-HMYZ22</v>
          </cell>
        </row>
        <row r="5420">
          <cell r="A5420" t="str">
            <v>XZ-HMYZ22-GR-39(6)</v>
          </cell>
          <cell r="B5420" t="str">
            <v>XZ-HMYZ22</v>
          </cell>
        </row>
        <row r="5421">
          <cell r="A5421" t="str">
            <v>XZ-HMYZ22-GR-40(7)</v>
          </cell>
          <cell r="B5421" t="str">
            <v>XZ-HMYZ22</v>
          </cell>
        </row>
        <row r="5422">
          <cell r="A5422" t="str">
            <v>XZ-HMYZ22-GR-41(8)</v>
          </cell>
          <cell r="B5422" t="str">
            <v>XZ-HMYZ22</v>
          </cell>
        </row>
        <row r="5423">
          <cell r="A5423" t="str">
            <v>XZ-HMYZ22-GR-L</v>
          </cell>
          <cell r="B5423" t="str">
            <v>XZ-HMYZ22</v>
          </cell>
        </row>
        <row r="5424">
          <cell r="A5424" t="str">
            <v>XZ-HMYZ22-GR-M</v>
          </cell>
          <cell r="B5424" t="str">
            <v>XZ-HMYZ22</v>
          </cell>
        </row>
        <row r="5425">
          <cell r="A5425" t="str">
            <v>XZ-HMYZ22-GR-M+</v>
          </cell>
          <cell r="B5425" t="str">
            <v>XZ-HMYZ22</v>
          </cell>
        </row>
        <row r="5426">
          <cell r="A5426" t="str">
            <v>XZ-HMYZ22-GR-S</v>
          </cell>
          <cell r="B5426" t="str">
            <v>XZ-HMYZ22</v>
          </cell>
        </row>
        <row r="5427">
          <cell r="A5427" t="str">
            <v>XZ-HMYZ22-GR-XL</v>
          </cell>
          <cell r="B5427" t="str">
            <v>XZ-HMYZ22</v>
          </cell>
        </row>
        <row r="5428">
          <cell r="A5428" t="str">
            <v>XZ-HMYZ22-GR-XL+</v>
          </cell>
          <cell r="B5428" t="str">
            <v>XZ-HMYZ22</v>
          </cell>
        </row>
        <row r="5429">
          <cell r="A5429" t="str">
            <v>XZ-HMYZ22-PI-35(3)</v>
          </cell>
          <cell r="B5429" t="str">
            <v>XZ-HMYZ22</v>
          </cell>
        </row>
        <row r="5430">
          <cell r="A5430" t="str">
            <v>XZ-HMYZ22-PI-36(4)</v>
          </cell>
          <cell r="B5430" t="str">
            <v>XZ-HMYZ22</v>
          </cell>
        </row>
        <row r="5431">
          <cell r="A5431" t="str">
            <v>XZ-HMYZ22-PI-3637</v>
          </cell>
          <cell r="B5431" t="str">
            <v>XZ-HMYZ22</v>
          </cell>
        </row>
        <row r="5432">
          <cell r="A5432" t="str">
            <v>XZ-HMYZ22-PI-37(5)</v>
          </cell>
          <cell r="B5432" t="str">
            <v>XZ-HMYZ22</v>
          </cell>
        </row>
        <row r="5433">
          <cell r="A5433" t="str">
            <v>XZ-HMYZ22-PI-38(5.5)</v>
          </cell>
          <cell r="B5433" t="str">
            <v>XZ-HMYZ22</v>
          </cell>
        </row>
        <row r="5434">
          <cell r="A5434" t="str">
            <v>XZ-HMYZ22-PI-39(6)</v>
          </cell>
          <cell r="B5434" t="str">
            <v>XZ-HMYZ22</v>
          </cell>
        </row>
        <row r="5435">
          <cell r="A5435" t="str">
            <v>XZ-HMYZ22-PI-40(7)</v>
          </cell>
          <cell r="B5435" t="str">
            <v>XZ-HMYZ22</v>
          </cell>
        </row>
        <row r="5436">
          <cell r="A5436" t="str">
            <v>XZ-HMYZ22-PI-41(8)</v>
          </cell>
          <cell r="B5436" t="str">
            <v>XZ-HMYZ22</v>
          </cell>
        </row>
        <row r="5437">
          <cell r="A5437" t="str">
            <v>XZ-HMYZ22-PI-L</v>
          </cell>
          <cell r="B5437" t="str">
            <v>XZ-HMYZ22</v>
          </cell>
        </row>
        <row r="5438">
          <cell r="A5438" t="str">
            <v>XZ-HMYZ22-PI-M</v>
          </cell>
          <cell r="B5438" t="str">
            <v>XZ-HMYZ22</v>
          </cell>
        </row>
        <row r="5439">
          <cell r="A5439" t="str">
            <v>XZ-HMYZ22-PI-M+</v>
          </cell>
          <cell r="B5439" t="str">
            <v>XZ-HMYZ22</v>
          </cell>
        </row>
        <row r="5440">
          <cell r="A5440" t="str">
            <v>XZ-HMYZ22-PI-S</v>
          </cell>
          <cell r="B5440" t="str">
            <v>XZ-HMYZ22</v>
          </cell>
        </row>
        <row r="5441">
          <cell r="A5441" t="str">
            <v>XZ-HMYZ22-PI-XL</v>
          </cell>
          <cell r="B5441" t="str">
            <v>XZ-HMYZ22</v>
          </cell>
        </row>
        <row r="5442">
          <cell r="A5442" t="str">
            <v>XZ-HMYZ22-PI-XL+</v>
          </cell>
          <cell r="B5442" t="str">
            <v>XZ-HMYZ22</v>
          </cell>
        </row>
        <row r="5443">
          <cell r="A5443" t="str">
            <v>XZ-HMZJ23</v>
          </cell>
          <cell r="B5443" t="str">
            <v>XZ-HMZJ23</v>
          </cell>
        </row>
        <row r="5444">
          <cell r="A5444" t="str">
            <v>XZ-HMZJ23-GR-3637</v>
          </cell>
          <cell r="B5444" t="str">
            <v>XZ-HMZJ23</v>
          </cell>
        </row>
        <row r="5445">
          <cell r="A5445" t="str">
            <v>XZ-HMZJ23-GR-3839</v>
          </cell>
          <cell r="B5445" t="str">
            <v>XZ-HMZJ23</v>
          </cell>
        </row>
        <row r="5446">
          <cell r="A5446" t="str">
            <v>XZ-HMZJ23-GR-4041</v>
          </cell>
          <cell r="B5446" t="str">
            <v>XZ-HMZJ23</v>
          </cell>
        </row>
        <row r="5447">
          <cell r="A5447" t="str">
            <v>XZ-HMZJ23-GR-4243</v>
          </cell>
          <cell r="B5447" t="str">
            <v>XZ-HMZJ23</v>
          </cell>
        </row>
        <row r="5448">
          <cell r="A5448" t="str">
            <v>XZ-PW-1999-CO-37</v>
          </cell>
          <cell r="B5448" t="str">
            <v>XZ-PW-1999</v>
          </cell>
        </row>
        <row r="5449">
          <cell r="A5449" t="str">
            <v>XZ-PW-1999-CO-38</v>
          </cell>
          <cell r="B5449" t="str">
            <v>XZ-PW-1999</v>
          </cell>
        </row>
        <row r="5450">
          <cell r="A5450" t="str">
            <v>XZ-PW-1999-CO-39</v>
          </cell>
          <cell r="B5450" t="str">
            <v>XZ-PW-1999</v>
          </cell>
        </row>
        <row r="5451">
          <cell r="A5451" t="str">
            <v>XZ-PW-1999-CO-40</v>
          </cell>
          <cell r="B5451" t="str">
            <v>XZ-PW-1999</v>
          </cell>
        </row>
        <row r="5452">
          <cell r="A5452" t="str">
            <v>XZ-PW-1999-GR-36</v>
          </cell>
          <cell r="B5452" t="str">
            <v>XZ-PW-1999</v>
          </cell>
        </row>
        <row r="5453">
          <cell r="A5453" t="str">
            <v>XZ-PW-1999-GR-37</v>
          </cell>
          <cell r="B5453" t="str">
            <v>XZ-PW-1999</v>
          </cell>
        </row>
        <row r="5454">
          <cell r="A5454" t="str">
            <v>XZ-PW-1999-GR-38</v>
          </cell>
          <cell r="B5454" t="str">
            <v>XZ-PW-1999</v>
          </cell>
        </row>
        <row r="5455">
          <cell r="A5455" t="str">
            <v>XZ-PW-1999-GR-39</v>
          </cell>
          <cell r="B5455" t="str">
            <v>XZ-PW-1999</v>
          </cell>
        </row>
        <row r="5456">
          <cell r="A5456" t="str">
            <v>XZ-PW-1999-K0-36</v>
          </cell>
          <cell r="B5456" t="str">
            <v>XZ-PW-1999</v>
          </cell>
        </row>
        <row r="5457">
          <cell r="A5457" t="str">
            <v>XZ-PW-1999-K0-37</v>
          </cell>
          <cell r="B5457" t="str">
            <v>XZ-PW-1999</v>
          </cell>
        </row>
        <row r="5458">
          <cell r="A5458" t="str">
            <v>XZ-PW-1999-K0-38</v>
          </cell>
          <cell r="B5458" t="str">
            <v>XZ-PW-1999</v>
          </cell>
        </row>
        <row r="5459">
          <cell r="A5459" t="str">
            <v>XZ-PW-1999-K0-39</v>
          </cell>
          <cell r="B5459" t="str">
            <v>XZ-PW-1999</v>
          </cell>
        </row>
        <row r="5460">
          <cell r="A5460" t="str">
            <v>XZ-PW-1999-K0-40</v>
          </cell>
          <cell r="B5460" t="str">
            <v>XZ-PW-1999</v>
          </cell>
        </row>
        <row r="5461">
          <cell r="A5461" t="str">
            <v>XZ-PW-1999-LB-38</v>
          </cell>
          <cell r="B5461" t="str">
            <v>XZ-PW-1999</v>
          </cell>
        </row>
        <row r="5462">
          <cell r="A5462" t="str">
            <v>XZ-PW-1999-LB-39</v>
          </cell>
          <cell r="B5462" t="str">
            <v>XZ-PW-1999</v>
          </cell>
        </row>
        <row r="5463">
          <cell r="A5463" t="str">
            <v>XZ-PW-1999-LB-40</v>
          </cell>
          <cell r="B5463" t="str">
            <v>XZ-PW-1999</v>
          </cell>
        </row>
        <row r="5464">
          <cell r="A5464" t="str">
            <v>XZ-PW-1999-PU-40</v>
          </cell>
          <cell r="B5464" t="str">
            <v>XZ-PW-1999</v>
          </cell>
        </row>
        <row r="5465">
          <cell r="A5465" t="str">
            <v>XZ-PW-2001-BG-37</v>
          </cell>
          <cell r="B5465" t="str">
            <v>XZ-PW-2001</v>
          </cell>
        </row>
        <row r="5466">
          <cell r="A5466" t="str">
            <v>XZ-PW-2001-BG-38</v>
          </cell>
          <cell r="B5466" t="str">
            <v>XZ-PW-2001</v>
          </cell>
        </row>
        <row r="5467">
          <cell r="A5467" t="str">
            <v>XZ-PW-2001-C0-36</v>
          </cell>
          <cell r="B5467" t="str">
            <v>XZ-PW-2001</v>
          </cell>
        </row>
        <row r="5468">
          <cell r="A5468" t="str">
            <v>XZ-PW-2001-C0-37</v>
          </cell>
          <cell r="B5468" t="str">
            <v>XZ-PW-2001</v>
          </cell>
        </row>
        <row r="5469">
          <cell r="A5469" t="str">
            <v>XZ-PW-2001-G0-36</v>
          </cell>
          <cell r="B5469" t="str">
            <v>XZ-PW-2001</v>
          </cell>
        </row>
        <row r="5470">
          <cell r="A5470" t="str">
            <v>XZ-PW-2001-G0-37</v>
          </cell>
          <cell r="B5470" t="str">
            <v>XZ-PW-2001</v>
          </cell>
        </row>
        <row r="5471">
          <cell r="A5471" t="str">
            <v>XZ-PW-2001-G0-41</v>
          </cell>
          <cell r="B5471" t="str">
            <v>XZ-PW-2001</v>
          </cell>
        </row>
        <row r="5472">
          <cell r="A5472" t="str">
            <v>XZ-PW-2001-K0-36</v>
          </cell>
          <cell r="B5472" t="str">
            <v>XZ-PW-2001</v>
          </cell>
        </row>
        <row r="5473">
          <cell r="A5473" t="str">
            <v>XZ-PW-2001-K0-37</v>
          </cell>
          <cell r="B5473" t="str">
            <v>XZ-PW-2001</v>
          </cell>
        </row>
        <row r="5474">
          <cell r="A5474" t="str">
            <v>XZ-PW-2001-N0-36</v>
          </cell>
          <cell r="B5474" t="str">
            <v>XZ-PW-2001</v>
          </cell>
        </row>
        <row r="5475">
          <cell r="A5475" t="str">
            <v>XZ-PW-2001-N0-37</v>
          </cell>
          <cell r="B5475" t="str">
            <v>XZ-PW-2001</v>
          </cell>
        </row>
        <row r="5476">
          <cell r="A5476" t="str">
            <v>XZ-PW-2001-N0-38</v>
          </cell>
          <cell r="B5476" t="str">
            <v>XZ-PW-2001</v>
          </cell>
        </row>
        <row r="5477">
          <cell r="A5477" t="str">
            <v>XZ-PW-2001-R0-36</v>
          </cell>
          <cell r="B5477" t="str">
            <v>XZ-PW-2001</v>
          </cell>
        </row>
        <row r="5478">
          <cell r="A5478" t="str">
            <v>XZ-PW-2001-R0-37</v>
          </cell>
          <cell r="B5478" t="str">
            <v>XZ-PW-2001</v>
          </cell>
        </row>
        <row r="5479">
          <cell r="A5479" t="str">
            <v>XZ-SM-013GR1-S</v>
          </cell>
          <cell r="B5479" t="str">
            <v>XZ-SM-013</v>
          </cell>
        </row>
        <row r="5480">
          <cell r="A5480" t="str">
            <v>XZ-SM-013GR3-S</v>
          </cell>
          <cell r="B5480" t="str">
            <v>XZ-SM-013</v>
          </cell>
        </row>
        <row r="5481">
          <cell r="A5481" t="str">
            <v>XZ-SM-013PI3-M</v>
          </cell>
          <cell r="B5481" t="str">
            <v>XZ-SM-013</v>
          </cell>
        </row>
        <row r="5482">
          <cell r="A5482" t="str">
            <v>XZ-SM-013PI3-S</v>
          </cell>
          <cell r="B5482" t="str">
            <v>XZ-SM-013</v>
          </cell>
        </row>
        <row r="5483">
          <cell r="A5483" t="str">
            <v>XZ-SM-013WH1-S</v>
          </cell>
          <cell r="B5483" t="str">
            <v>XZ-SM-013</v>
          </cell>
        </row>
        <row r="5484">
          <cell r="A5484" t="str">
            <v>XZ-SM-013WH2-M</v>
          </cell>
          <cell r="B5484" t="str">
            <v>XZ-SM-013</v>
          </cell>
        </row>
        <row r="5485">
          <cell r="A5485" t="str">
            <v>XZ-SM-013WH2-S</v>
          </cell>
          <cell r="B5485" t="str">
            <v>XZ-SM-013</v>
          </cell>
        </row>
        <row r="5486">
          <cell r="A5486" t="str">
            <v>XZ-SM-013WH3-S</v>
          </cell>
          <cell r="B5486" t="str">
            <v>XZ-SM-013</v>
          </cell>
        </row>
        <row r="5487">
          <cell r="A5487" t="str">
            <v>XZ-SM-0299-SH-4243</v>
          </cell>
          <cell r="B5487" t="str">
            <v>XZ-SM-0299</v>
          </cell>
        </row>
        <row r="5488">
          <cell r="A5488" t="str">
            <v>XZ-SM-HMMF360-DB-L</v>
          </cell>
          <cell r="B5488" t="str">
            <v>XZ-SM-HMMF360</v>
          </cell>
        </row>
        <row r="5489">
          <cell r="A5489" t="str">
            <v>XZ-SM-HMMF360-LB-L</v>
          </cell>
          <cell r="B5489" t="str">
            <v>XZ-SM-HMMF360</v>
          </cell>
        </row>
        <row r="5490">
          <cell r="A5490" t="str">
            <v>XZ-SM-HMXX018-Y0-3839</v>
          </cell>
          <cell r="B5490" t="str">
            <v>XZ-SM-HMXX018</v>
          </cell>
        </row>
        <row r="5491">
          <cell r="A5491" t="str">
            <v>XZ-SM-YG7223Co4445</v>
          </cell>
          <cell r="B5491" t="str">
            <v>XZ-SM-YG7223</v>
          </cell>
        </row>
        <row r="5492">
          <cell r="A5492" t="str">
            <v>XZ-SM-YG7223Gr3637</v>
          </cell>
          <cell r="B5492" t="str">
            <v>XZ-SM-YG7223</v>
          </cell>
        </row>
        <row r="5493">
          <cell r="A5493" t="str">
            <v>XZ-SM-YG7223Gr3839</v>
          </cell>
          <cell r="B5493" t="str">
            <v>XZ-SM-YG7223</v>
          </cell>
        </row>
        <row r="5494">
          <cell r="A5494" t="str">
            <v>XZ-SM-YG7223Pu3637</v>
          </cell>
          <cell r="B5494" t="str">
            <v>XZ-SM-YG7223</v>
          </cell>
        </row>
        <row r="5495">
          <cell r="A5495" t="str">
            <v>XZ-SM-YG7223Pu3839</v>
          </cell>
          <cell r="B5495" t="str">
            <v>XZ-SM-YG7223</v>
          </cell>
        </row>
        <row r="5496">
          <cell r="A5496" t="str">
            <v>XZ-SM-ZQCB3056-B0-24</v>
          </cell>
          <cell r="B5496" t="str">
            <v>XZ-SM-ZQCB3056</v>
          </cell>
        </row>
        <row r="5497">
          <cell r="A5497" t="str">
            <v>XZ-SM-ZQCB3056-B0-25</v>
          </cell>
          <cell r="B5497" t="str">
            <v>XZ-SM-ZQCB3056</v>
          </cell>
        </row>
        <row r="5498">
          <cell r="A5498" t="str">
            <v>XZ-SM-ZQCB3056-E0-24</v>
          </cell>
          <cell r="B5498" t="str">
            <v>XZ-SM-ZQCB3056</v>
          </cell>
        </row>
        <row r="5499">
          <cell r="A5499" t="str">
            <v>XZ-SM-ZQCB3056-kQ-24</v>
          </cell>
          <cell r="B5499" t="str">
            <v>XZ-SM-ZQCB3056</v>
          </cell>
        </row>
        <row r="5500">
          <cell r="A5500" t="str">
            <v>XZ-SM-ZQCB3056-R1-24</v>
          </cell>
          <cell r="B5500" t="str">
            <v>XZ-SM-ZQCB3056</v>
          </cell>
        </row>
        <row r="5501">
          <cell r="A5501" t="str">
            <v>XZ-SM-ZQCB3056-R2-24</v>
          </cell>
          <cell r="B5501" t="str">
            <v>XZ-SM-ZQCB3056</v>
          </cell>
        </row>
        <row r="5502">
          <cell r="A5502" t="str">
            <v>XZ-SM-ZQCB3056-R2-25</v>
          </cell>
          <cell r="B5502" t="str">
            <v>XZ-SM-ZQCB3056</v>
          </cell>
        </row>
        <row r="5503">
          <cell r="A5503" t="str">
            <v>XZ-YG7223</v>
          </cell>
          <cell r="B5503" t="str">
            <v>XZ-YG7223-GM</v>
          </cell>
        </row>
        <row r="5504">
          <cell r="A5504" t="str">
            <v>XZ-YG7223Co4041</v>
          </cell>
          <cell r="B5504" t="str">
            <v>XZ-YG7223-GM</v>
          </cell>
        </row>
        <row r="5505">
          <cell r="A5505" t="str">
            <v>XZ-YG7223Co4243</v>
          </cell>
          <cell r="B5505" t="str">
            <v>XZ-YG7223-GM</v>
          </cell>
        </row>
        <row r="5506">
          <cell r="A5506" t="str">
            <v>XZ-YG7223Co4445</v>
          </cell>
          <cell r="B5506" t="str">
            <v>XZ-YG7223-GM</v>
          </cell>
        </row>
        <row r="5507">
          <cell r="A5507" t="str">
            <v>XZ-YG7223Da4041</v>
          </cell>
          <cell r="B5507" t="str">
            <v>XZ-YG7223-GM</v>
          </cell>
        </row>
        <row r="5508">
          <cell r="A5508" t="str">
            <v>XZ-YG7223Da4041-GM</v>
          </cell>
          <cell r="B5508" t="str">
            <v>XZ-YG7223-GM</v>
          </cell>
        </row>
        <row r="5509">
          <cell r="A5509" t="str">
            <v>XZ-YG7223Da4243</v>
          </cell>
          <cell r="B5509" t="str">
            <v>XZ-YG7223-GM</v>
          </cell>
        </row>
        <row r="5510">
          <cell r="A5510" t="str">
            <v>XZ-YG7223Da4445</v>
          </cell>
          <cell r="B5510" t="str">
            <v>XZ-YG7223-GM</v>
          </cell>
        </row>
        <row r="5511">
          <cell r="A5511" t="str">
            <v>XZ-YG7223Da4445-GM</v>
          </cell>
          <cell r="B5511" t="str">
            <v>XZ-YG7223-GM</v>
          </cell>
        </row>
        <row r="5512">
          <cell r="A5512" t="str">
            <v>XZ-YG7223-GM</v>
          </cell>
          <cell r="B5512" t="str">
            <v>XZ-YG7223-GM</v>
          </cell>
        </row>
        <row r="5513">
          <cell r="A5513" t="str">
            <v>XZ-YG7223Gr3637</v>
          </cell>
          <cell r="B5513" t="str">
            <v>XZ-YG7223-GM</v>
          </cell>
        </row>
        <row r="5514">
          <cell r="A5514" t="str">
            <v>XZ-YG7223Gr3839</v>
          </cell>
          <cell r="B5514" t="str">
            <v>XZ-YG7223-GM</v>
          </cell>
        </row>
        <row r="5515">
          <cell r="A5515" t="str">
            <v>XZ-YG7223Gr4041</v>
          </cell>
          <cell r="B5515" t="str">
            <v>XZ-YG7223-GM</v>
          </cell>
        </row>
        <row r="5516">
          <cell r="A5516" t="str">
            <v>XZ-YG7223Pu3637</v>
          </cell>
          <cell r="B5516" t="str">
            <v>XZ-YG7223-GM</v>
          </cell>
        </row>
        <row r="5517">
          <cell r="A5517" t="str">
            <v>XZ-YG7223Pu3839</v>
          </cell>
          <cell r="B5517" t="str">
            <v>XZ-YG7223-GM</v>
          </cell>
        </row>
        <row r="5518">
          <cell r="A5518" t="str">
            <v>XZ-YG7223Pu3839-GM</v>
          </cell>
          <cell r="B5518" t="str">
            <v>XZ-YG7223-GM</v>
          </cell>
        </row>
        <row r="5519">
          <cell r="A5519" t="str">
            <v>XZ-YG7223Pu3839-New</v>
          </cell>
          <cell r="B5519" t="str">
            <v>XZ-YG7223-GM</v>
          </cell>
        </row>
        <row r="5520">
          <cell r="A5520" t="str">
            <v>XZ-YG7223Pu4041</v>
          </cell>
          <cell r="B5520" t="str">
            <v>XZ-YG7223-GM</v>
          </cell>
        </row>
        <row r="5521">
          <cell r="A5521" t="str">
            <v>XZ-YG7223RB3637</v>
          </cell>
          <cell r="B5521" t="str">
            <v>XZ-YG7223-GM</v>
          </cell>
        </row>
        <row r="5522">
          <cell r="A5522" t="str">
            <v>XZ-YG7223RB3839</v>
          </cell>
          <cell r="B5522" t="str">
            <v>XZ-YG7223-GM</v>
          </cell>
        </row>
        <row r="5523">
          <cell r="A5523" t="str">
            <v>XZ-YG7223RB3839-GM</v>
          </cell>
          <cell r="B5523" t="str">
            <v>XZ-YG7223-GM</v>
          </cell>
        </row>
        <row r="5524">
          <cell r="A5524" t="str">
            <v>XZ-YG7223RB4041</v>
          </cell>
          <cell r="B5524" t="str">
            <v>XZ-YG7223-GM</v>
          </cell>
        </row>
        <row r="5525">
          <cell r="A5525" t="str">
            <v>XZ-ZQ1603-E0-270</v>
          </cell>
          <cell r="B5525" t="str">
            <v>XZ-ZQ1603</v>
          </cell>
        </row>
        <row r="5526">
          <cell r="A5526" t="str">
            <v>XZ-ZQ1603-KQ-240</v>
          </cell>
          <cell r="B5526" t="str">
            <v>XZ-ZQ1603</v>
          </cell>
        </row>
        <row r="5527">
          <cell r="A5527" t="str">
            <v>XZ-ZQ2176-B0-1415</v>
          </cell>
          <cell r="B5527" t="str">
            <v>XZ-ZQ2176</v>
          </cell>
        </row>
        <row r="5528">
          <cell r="A5528" t="str">
            <v>XZ-ZQ2176-B0-1617</v>
          </cell>
          <cell r="B5528" t="str">
            <v>XZ-ZQ2176</v>
          </cell>
        </row>
        <row r="5529">
          <cell r="A5529" t="str">
            <v>XZ-ZQ2176-B0-1819</v>
          </cell>
          <cell r="B5529" t="str">
            <v>XZ-ZQ2176</v>
          </cell>
        </row>
        <row r="5530">
          <cell r="A5530" t="str">
            <v>XZ-ZQ2176-B0-21</v>
          </cell>
          <cell r="B5530" t="str">
            <v>XZ-ZQ2176</v>
          </cell>
        </row>
        <row r="5531">
          <cell r="A5531" t="str">
            <v>XZ-ZQ2176-B0-22</v>
          </cell>
          <cell r="B5531" t="str">
            <v>XZ-ZQ2176</v>
          </cell>
        </row>
        <row r="5532">
          <cell r="A5532" t="str">
            <v>XZ-ZQ2176-B0-23</v>
          </cell>
          <cell r="B5532" t="str">
            <v>XZ-ZQ2176</v>
          </cell>
        </row>
        <row r="5533">
          <cell r="A5533" t="str">
            <v>XZ-ZQ2176-E0-1415</v>
          </cell>
          <cell r="B5533" t="str">
            <v>XZ-ZQ2176</v>
          </cell>
        </row>
        <row r="5534">
          <cell r="A5534" t="str">
            <v>XZ-ZQ2176-E0-1617</v>
          </cell>
          <cell r="B5534" t="str">
            <v>XZ-ZQ2176</v>
          </cell>
        </row>
        <row r="5535">
          <cell r="A5535" t="str">
            <v>XZ-ZQ2176-E0-1819</v>
          </cell>
          <cell r="B5535" t="str">
            <v>XZ-ZQ2176</v>
          </cell>
        </row>
        <row r="5536">
          <cell r="A5536" t="str">
            <v>XZ-ZQ2176-E0-20</v>
          </cell>
          <cell r="B5536" t="str">
            <v>XZ-ZQ2176</v>
          </cell>
        </row>
        <row r="5537">
          <cell r="A5537" t="str">
            <v>XZ-ZQ2176-E0-21</v>
          </cell>
          <cell r="B5537" t="str">
            <v>XZ-ZQ2176</v>
          </cell>
        </row>
        <row r="5538">
          <cell r="A5538" t="str">
            <v>XZ-ZQ2176-E0-22</v>
          </cell>
          <cell r="B5538" t="str">
            <v>XZ-ZQ2176</v>
          </cell>
        </row>
        <row r="5539">
          <cell r="A5539" t="str">
            <v>XZ-ZQ2176-E0-4041</v>
          </cell>
          <cell r="B5539" t="str">
            <v>XZ-ZQ2176</v>
          </cell>
        </row>
        <row r="5540">
          <cell r="A5540" t="str">
            <v>XZ-ZQ2176-E0-4243</v>
          </cell>
          <cell r="B5540" t="str">
            <v>XZ-ZQ2176</v>
          </cell>
        </row>
        <row r="5541">
          <cell r="A5541" t="str">
            <v>XZ-ZQ2176-E0-4445</v>
          </cell>
          <cell r="B5541" t="str">
            <v>XZ-ZQ2176</v>
          </cell>
        </row>
        <row r="5542">
          <cell r="A5542" t="str">
            <v>XZ-ZQ2176-K0-1415</v>
          </cell>
          <cell r="B5542" t="str">
            <v>XZ-ZQ2176</v>
          </cell>
        </row>
        <row r="5543">
          <cell r="A5543" t="str">
            <v>XZ-ZQ2176-K0-1617</v>
          </cell>
          <cell r="B5543" t="str">
            <v>XZ-ZQ2176</v>
          </cell>
        </row>
        <row r="5544">
          <cell r="A5544" t="str">
            <v>XZ-ZQ2176-K0-1819</v>
          </cell>
          <cell r="B5544" t="str">
            <v>XZ-ZQ2176</v>
          </cell>
        </row>
        <row r="5545">
          <cell r="A5545" t="str">
            <v>XZ-ZQ2176-K0-20</v>
          </cell>
          <cell r="B5545" t="str">
            <v>XZ-ZQ2176</v>
          </cell>
        </row>
        <row r="5546">
          <cell r="A5546" t="str">
            <v>XZ-ZQ2176-K0-21</v>
          </cell>
          <cell r="B5546" t="str">
            <v>XZ-ZQ2176</v>
          </cell>
        </row>
        <row r="5547">
          <cell r="A5547" t="str">
            <v>XZ-ZQ2176-K0-22</v>
          </cell>
          <cell r="B5547" t="str">
            <v>XZ-ZQ2176</v>
          </cell>
        </row>
        <row r="5548">
          <cell r="A5548" t="str">
            <v>XZ-ZQ2176-KQ-1415</v>
          </cell>
          <cell r="B5548" t="str">
            <v>XZ-ZQ2176</v>
          </cell>
        </row>
        <row r="5549">
          <cell r="A5549" t="str">
            <v>XZ-ZQ2176-KQ-1617</v>
          </cell>
          <cell r="B5549" t="str">
            <v>XZ-ZQ2176</v>
          </cell>
        </row>
        <row r="5550">
          <cell r="A5550" t="str">
            <v>XZ-ZQ2176-KQ-1819</v>
          </cell>
          <cell r="B5550" t="str">
            <v>XZ-ZQ2176</v>
          </cell>
        </row>
        <row r="5551">
          <cell r="A5551" t="str">
            <v>XZ-ZQ2176-KQ-20</v>
          </cell>
          <cell r="B5551" t="str">
            <v>XZ-ZQ2176</v>
          </cell>
        </row>
        <row r="5552">
          <cell r="A5552" t="str">
            <v>XZ-ZQ2176-KQ-21</v>
          </cell>
          <cell r="B5552" t="str">
            <v>XZ-ZQ2176</v>
          </cell>
        </row>
        <row r="5553">
          <cell r="A5553" t="str">
            <v>XZ-ZQ2176-KQ-22</v>
          </cell>
          <cell r="B5553" t="str">
            <v>XZ-ZQ2176</v>
          </cell>
        </row>
        <row r="5554">
          <cell r="A5554" t="str">
            <v>XZ-ZQ2176-KQ-4041</v>
          </cell>
          <cell r="B5554" t="str">
            <v>XZ-ZQ2176</v>
          </cell>
        </row>
        <row r="5555">
          <cell r="A5555" t="str">
            <v>XZ-ZQ2176-KQ-4243</v>
          </cell>
          <cell r="B5555" t="str">
            <v>XZ-ZQ2176</v>
          </cell>
        </row>
        <row r="5556">
          <cell r="A5556" t="str">
            <v>XZ-ZQ2176-KQ-4445</v>
          </cell>
          <cell r="B5556" t="str">
            <v>XZ-ZQ2176</v>
          </cell>
        </row>
        <row r="5557">
          <cell r="A5557" t="str">
            <v>XZ-ZQ2176-P0-1415</v>
          </cell>
          <cell r="B5557" t="str">
            <v>XZ-ZQ2176</v>
          </cell>
        </row>
        <row r="5558">
          <cell r="A5558" t="str">
            <v>XZ-ZQ2176-P0-1617</v>
          </cell>
          <cell r="B5558" t="str">
            <v>XZ-ZQ2176</v>
          </cell>
        </row>
        <row r="5559">
          <cell r="A5559" t="str">
            <v>XZ-ZQ2176-P0-1819</v>
          </cell>
          <cell r="B5559" t="str">
            <v>XZ-ZQ2176</v>
          </cell>
        </row>
        <row r="5560">
          <cell r="A5560" t="str">
            <v>XZ-ZQ2176-P0-20</v>
          </cell>
          <cell r="B5560" t="str">
            <v>XZ-ZQ2176</v>
          </cell>
        </row>
        <row r="5561">
          <cell r="A5561" t="str">
            <v>XZ-ZQ2176-P0-21</v>
          </cell>
          <cell r="B5561" t="str">
            <v>XZ-ZQ2176</v>
          </cell>
        </row>
        <row r="5562">
          <cell r="A5562" t="str">
            <v>XZ-ZQ2176-P0-22</v>
          </cell>
          <cell r="B5562" t="str">
            <v>XZ-ZQ2176</v>
          </cell>
        </row>
        <row r="5563">
          <cell r="A5563" t="str">
            <v>XZ-ZQ2176-P0-3637</v>
          </cell>
          <cell r="B5563" t="str">
            <v>XZ-ZQ2176</v>
          </cell>
        </row>
        <row r="5564">
          <cell r="A5564" t="str">
            <v>XZ-ZQ2176-P0-3839</v>
          </cell>
          <cell r="B5564" t="str">
            <v>XZ-ZQ2176</v>
          </cell>
        </row>
        <row r="5565">
          <cell r="A5565" t="str">
            <v>XZ-ZQ2176-P0-4041</v>
          </cell>
          <cell r="B5565" t="str">
            <v>XZ-ZQ2176</v>
          </cell>
        </row>
        <row r="5566">
          <cell r="A5566" t="str">
            <v>XZ-ZQ2176-R1-1415</v>
          </cell>
          <cell r="B5566" t="str">
            <v>XZ-ZQ2176</v>
          </cell>
        </row>
        <row r="5567">
          <cell r="A5567" t="str">
            <v>XZ-ZQ2176-R1-1617</v>
          </cell>
          <cell r="B5567" t="str">
            <v>XZ-ZQ2176</v>
          </cell>
        </row>
        <row r="5568">
          <cell r="A5568" t="str">
            <v>XZ-ZQ2176-R1-1617-GM</v>
          </cell>
          <cell r="B5568" t="str">
            <v>XZ-ZQ2176</v>
          </cell>
        </row>
        <row r="5569">
          <cell r="A5569" t="str">
            <v>XZ-ZQ2176-R1-1819</v>
          </cell>
          <cell r="B5569" t="str">
            <v>XZ-ZQ2176</v>
          </cell>
        </row>
        <row r="5570">
          <cell r="A5570" t="str">
            <v>XZ-ZQ2176-R1-20</v>
          </cell>
          <cell r="B5570" t="str">
            <v>XZ-ZQ2176</v>
          </cell>
        </row>
        <row r="5571">
          <cell r="A5571" t="str">
            <v>XZ-ZQ2176-R1-21</v>
          </cell>
          <cell r="B5571" t="str">
            <v>XZ-ZQ2176</v>
          </cell>
        </row>
        <row r="5572">
          <cell r="A5572" t="str">
            <v>XZ-ZQ2176-R1-22</v>
          </cell>
          <cell r="B5572" t="str">
            <v>XZ-ZQ2176</v>
          </cell>
        </row>
        <row r="5573">
          <cell r="A5573" t="str">
            <v>XZ-ZQ2176-R1-3637</v>
          </cell>
          <cell r="B5573" t="str">
            <v>XZ-ZQ2176</v>
          </cell>
        </row>
        <row r="5574">
          <cell r="A5574" t="str">
            <v>XZ-ZQ2176-R1-3839</v>
          </cell>
          <cell r="B5574" t="str">
            <v>XZ-ZQ2176</v>
          </cell>
        </row>
        <row r="5575">
          <cell r="A5575" t="str">
            <v>XZ-ZQ2176-R1-4041</v>
          </cell>
          <cell r="B5575" t="str">
            <v>XZ-ZQ2176</v>
          </cell>
        </row>
        <row r="5576">
          <cell r="A5576" t="str">
            <v>XZ-ZQ2182-B0-270</v>
          </cell>
          <cell r="B5576" t="str">
            <v>XZ-ZQ2182</v>
          </cell>
        </row>
        <row r="5577">
          <cell r="A5577" t="str">
            <v>XZ-ZQ2182-B0-280</v>
          </cell>
          <cell r="B5577" t="str">
            <v>XZ-ZQ2182</v>
          </cell>
        </row>
        <row r="5578">
          <cell r="A5578" t="str">
            <v>XZ-ZQ2182-B0-290</v>
          </cell>
          <cell r="B5578" t="str">
            <v>XZ-ZQ2182</v>
          </cell>
        </row>
        <row r="5579">
          <cell r="A5579" t="str">
            <v>XZ-ZQ2182-C0-270</v>
          </cell>
          <cell r="B5579" t="str">
            <v>XZ-ZQ2182</v>
          </cell>
        </row>
        <row r="5580">
          <cell r="A5580" t="str">
            <v>XZ-ZQ2182-C0-280</v>
          </cell>
          <cell r="B5580" t="str">
            <v>XZ-ZQ2182</v>
          </cell>
        </row>
        <row r="5581">
          <cell r="A5581" t="str">
            <v>XZ-ZQ2182-C0-290</v>
          </cell>
          <cell r="B5581" t="str">
            <v>XZ-ZQ2182</v>
          </cell>
        </row>
        <row r="5582">
          <cell r="A5582" t="str">
            <v>XZ-ZQ2182-E0-270</v>
          </cell>
          <cell r="B5582" t="str">
            <v>XZ-ZQ2182</v>
          </cell>
        </row>
        <row r="5583">
          <cell r="A5583" t="str">
            <v>XZ-ZQ2182-E0-280</v>
          </cell>
          <cell r="B5583" t="str">
            <v>XZ-ZQ2182</v>
          </cell>
        </row>
        <row r="5584">
          <cell r="A5584" t="str">
            <v>XZ-ZQ2182-E0-290</v>
          </cell>
          <cell r="B5584" t="str">
            <v>XZ-ZQ2182</v>
          </cell>
        </row>
        <row r="5585">
          <cell r="A5585" t="str">
            <v>XZ-ZQ2182-G0-3839</v>
          </cell>
          <cell r="B5585" t="str">
            <v>XZ-ZQ2182</v>
          </cell>
        </row>
        <row r="5586">
          <cell r="A5586" t="str">
            <v>XZ-ZQ2182-PI-3637</v>
          </cell>
          <cell r="B5586" t="str">
            <v>XZ-ZQ2182</v>
          </cell>
        </row>
        <row r="5587">
          <cell r="A5587" t="str">
            <v>XZ-ZQ2182-PI-3839</v>
          </cell>
          <cell r="B5587" t="str">
            <v>XZ-ZQ2182</v>
          </cell>
        </row>
        <row r="5588">
          <cell r="A5588" t="str">
            <v>XZ-ZQ2182-PI-4041</v>
          </cell>
          <cell r="B5588" t="str">
            <v>XZ-ZQ2182</v>
          </cell>
        </row>
        <row r="5589">
          <cell r="A5589" t="str">
            <v>XZ-ZQ2182-R0-3637</v>
          </cell>
          <cell r="B5589" t="str">
            <v>XZ-ZQ2182</v>
          </cell>
        </row>
        <row r="5590">
          <cell r="A5590" t="str">
            <v>XZ-ZQ2182-R0-3839</v>
          </cell>
          <cell r="B5590" t="str">
            <v>XZ-ZQ2182</v>
          </cell>
        </row>
        <row r="5591">
          <cell r="A5591" t="str">
            <v>XZ-ZQ2182-R0-4041</v>
          </cell>
          <cell r="B5591" t="str">
            <v>XZ-ZQ2182</v>
          </cell>
        </row>
        <row r="5592">
          <cell r="A5592" t="str">
            <v>XZ-ZQ2256-B0-1415</v>
          </cell>
          <cell r="B5592" t="str">
            <v>XZ-ZQ2256</v>
          </cell>
        </row>
        <row r="5593">
          <cell r="A5593" t="str">
            <v>XZ-ZQ2256-B0-1617</v>
          </cell>
          <cell r="B5593" t="str">
            <v>XZ-ZQ2256</v>
          </cell>
        </row>
        <row r="5594">
          <cell r="A5594" t="str">
            <v>XZ-ZQ2256-B0-1819</v>
          </cell>
          <cell r="B5594" t="str">
            <v>XZ-ZQ2256</v>
          </cell>
        </row>
        <row r="5595">
          <cell r="A5595" t="str">
            <v>XZ-ZQ2256-B0-20</v>
          </cell>
          <cell r="B5595" t="str">
            <v>XZ-ZQ2256</v>
          </cell>
        </row>
        <row r="5596">
          <cell r="A5596" t="str">
            <v>XZ-ZQ2256-B0-20-GM</v>
          </cell>
          <cell r="B5596" t="str">
            <v>XZ-ZQ2256</v>
          </cell>
        </row>
        <row r="5597">
          <cell r="A5597" t="str">
            <v>XZ-ZQ2256-B0-21</v>
          </cell>
          <cell r="B5597" t="str">
            <v>XZ-ZQ2256</v>
          </cell>
        </row>
        <row r="5598">
          <cell r="A5598" t="str">
            <v>XZ-ZQ2256-B0-21-GM</v>
          </cell>
          <cell r="B5598" t="str">
            <v>XZ-ZQ2256</v>
          </cell>
        </row>
        <row r="5599">
          <cell r="A5599" t="str">
            <v>XZ-ZQ2256-B0-22</v>
          </cell>
          <cell r="B5599" t="str">
            <v>XZ-ZQ2256</v>
          </cell>
        </row>
        <row r="5600">
          <cell r="A5600" t="str">
            <v>XZ-ZQ2256-B0-24</v>
          </cell>
          <cell r="B5600" t="str">
            <v>XZ-ZQ2256</v>
          </cell>
        </row>
        <row r="5601">
          <cell r="A5601" t="str">
            <v>XZ-ZQ2256-B0-24-GM</v>
          </cell>
          <cell r="B5601" t="str">
            <v>XZ-ZQ2256</v>
          </cell>
        </row>
        <row r="5602">
          <cell r="A5602" t="str">
            <v>XZ-ZQ2256-B0-25</v>
          </cell>
          <cell r="B5602" t="str">
            <v>XZ-ZQ2256</v>
          </cell>
        </row>
        <row r="5603">
          <cell r="A5603" t="str">
            <v>XZ-ZQ2256-B0-26</v>
          </cell>
          <cell r="B5603" t="str">
            <v>XZ-ZQ2256</v>
          </cell>
        </row>
        <row r="5604">
          <cell r="A5604" t="str">
            <v>XZ-ZQ2256-B0-27</v>
          </cell>
          <cell r="B5604" t="str">
            <v>XZ-ZQ2256</v>
          </cell>
        </row>
        <row r="5605">
          <cell r="A5605" t="str">
            <v>XZ-ZQ2256-B0-28</v>
          </cell>
          <cell r="B5605" t="str">
            <v>XZ-ZQ2256</v>
          </cell>
        </row>
        <row r="5606">
          <cell r="A5606" t="str">
            <v>XZ-ZQ2256-G0-1415</v>
          </cell>
          <cell r="B5606" t="str">
            <v>XZ-ZQ2256</v>
          </cell>
        </row>
        <row r="5607">
          <cell r="A5607" t="str">
            <v>XZ-ZQ2256-G0-1617</v>
          </cell>
          <cell r="B5607" t="str">
            <v>XZ-ZQ2256</v>
          </cell>
        </row>
        <row r="5608">
          <cell r="A5608" t="str">
            <v>XZ-ZQ2256-G0-1819</v>
          </cell>
          <cell r="B5608" t="str">
            <v>XZ-ZQ2256</v>
          </cell>
        </row>
        <row r="5609">
          <cell r="A5609" t="str">
            <v>XZ-ZQ2256-G0-20</v>
          </cell>
          <cell r="B5609" t="str">
            <v>XZ-ZQ2256</v>
          </cell>
        </row>
        <row r="5610">
          <cell r="A5610" t="str">
            <v>XZ-ZQ2256-G0-21</v>
          </cell>
          <cell r="B5610" t="str">
            <v>XZ-ZQ2256</v>
          </cell>
        </row>
        <row r="5611">
          <cell r="A5611" t="str">
            <v>XZ-ZQ2256-G0-22</v>
          </cell>
          <cell r="B5611" t="str">
            <v>XZ-ZQ2256</v>
          </cell>
        </row>
        <row r="5612">
          <cell r="A5612" t="str">
            <v>XZ-ZQ2256-G0-22-GM</v>
          </cell>
          <cell r="B5612" t="str">
            <v>XZ-ZQ2256</v>
          </cell>
        </row>
        <row r="5613">
          <cell r="A5613" t="str">
            <v>XZ-ZQ2256-G0-24</v>
          </cell>
          <cell r="B5613" t="str">
            <v>XZ-ZQ2256</v>
          </cell>
        </row>
        <row r="5614">
          <cell r="A5614" t="str">
            <v>XZ-ZQ2256-G0-25</v>
          </cell>
          <cell r="B5614" t="str">
            <v>XZ-ZQ2256</v>
          </cell>
        </row>
        <row r="5615">
          <cell r="A5615" t="str">
            <v>XZ-ZQ2256-G0-26</v>
          </cell>
          <cell r="B5615" t="str">
            <v>XZ-ZQ2256</v>
          </cell>
        </row>
        <row r="5616">
          <cell r="A5616" t="str">
            <v>XZ-ZQ2256-G0-27</v>
          </cell>
          <cell r="B5616" t="str">
            <v>XZ-ZQ2256</v>
          </cell>
        </row>
        <row r="5617">
          <cell r="A5617" t="str">
            <v>XZ-ZQ2256-G0-28</v>
          </cell>
          <cell r="B5617" t="str">
            <v>XZ-ZQ2256</v>
          </cell>
        </row>
        <row r="5618">
          <cell r="A5618" t="str">
            <v>XZ-ZQ2256-K0-1415</v>
          </cell>
          <cell r="B5618" t="str">
            <v>XZ-ZQ2256</v>
          </cell>
        </row>
        <row r="5619">
          <cell r="A5619" t="str">
            <v>XZ-ZQ2256-K0-1617</v>
          </cell>
          <cell r="B5619" t="str">
            <v>XZ-ZQ2256</v>
          </cell>
        </row>
        <row r="5620">
          <cell r="A5620" t="str">
            <v>XZ-ZQ2256-K0-1617-GM</v>
          </cell>
          <cell r="B5620" t="str">
            <v>XZ-ZQ2256</v>
          </cell>
        </row>
        <row r="5621">
          <cell r="A5621" t="str">
            <v>XZ-ZQ2256-K0-1819</v>
          </cell>
          <cell r="B5621" t="str">
            <v>XZ-ZQ2256</v>
          </cell>
        </row>
        <row r="5622">
          <cell r="A5622" t="str">
            <v>XZ-ZQ2256-K0-1819-GM</v>
          </cell>
          <cell r="B5622" t="str">
            <v>XZ-ZQ2256</v>
          </cell>
        </row>
        <row r="5623">
          <cell r="A5623" t="str">
            <v>XZ-ZQ2256-K0-20</v>
          </cell>
          <cell r="B5623" t="str">
            <v>XZ-ZQ2256</v>
          </cell>
        </row>
        <row r="5624">
          <cell r="A5624" t="str">
            <v>XZ-ZQ2256-K0-21</v>
          </cell>
          <cell r="B5624" t="str">
            <v>XZ-ZQ2256</v>
          </cell>
        </row>
        <row r="5625">
          <cell r="A5625" t="str">
            <v>XZ-ZQ2256-K0-22</v>
          </cell>
          <cell r="B5625" t="str">
            <v>XZ-ZQ2256</v>
          </cell>
        </row>
        <row r="5626">
          <cell r="A5626" t="str">
            <v>XZ-ZQ2256-K0-24</v>
          </cell>
          <cell r="B5626" t="str">
            <v>XZ-ZQ2256</v>
          </cell>
        </row>
        <row r="5627">
          <cell r="A5627" t="str">
            <v>XZ-ZQ2256-K0-24-GM</v>
          </cell>
          <cell r="B5627" t="str">
            <v>XZ-ZQ2256</v>
          </cell>
        </row>
        <row r="5628">
          <cell r="A5628" t="str">
            <v>XZ-ZQ2256-K0-25</v>
          </cell>
          <cell r="B5628" t="str">
            <v>XZ-ZQ2256</v>
          </cell>
        </row>
        <row r="5629">
          <cell r="A5629" t="str">
            <v>XZ-ZQ2256-K0-26</v>
          </cell>
          <cell r="B5629" t="str">
            <v>XZ-ZQ2256</v>
          </cell>
        </row>
        <row r="5630">
          <cell r="A5630" t="str">
            <v>XZ-ZQ2256-K0-27</v>
          </cell>
          <cell r="B5630" t="str">
            <v>XZ-ZQ2256</v>
          </cell>
        </row>
        <row r="5631">
          <cell r="A5631" t="str">
            <v>XZ-ZQ2256-K0-27-GM</v>
          </cell>
          <cell r="B5631" t="str">
            <v>XZ-ZQ2256</v>
          </cell>
        </row>
        <row r="5632">
          <cell r="A5632" t="str">
            <v>XZ-ZQ2256-K0-28</v>
          </cell>
          <cell r="B5632" t="str">
            <v>XZ-ZQ2256</v>
          </cell>
        </row>
        <row r="5633">
          <cell r="A5633" t="str">
            <v>XZ-ZQ2256-R0-1415</v>
          </cell>
          <cell r="B5633" t="str">
            <v>XZ-ZQ2256</v>
          </cell>
        </row>
        <row r="5634">
          <cell r="A5634" t="str">
            <v>XZ-ZQ2256-R0-1617</v>
          </cell>
          <cell r="B5634" t="str">
            <v>XZ-ZQ2256</v>
          </cell>
        </row>
        <row r="5635">
          <cell r="A5635" t="str">
            <v>XZ-ZQ2256-R0-1617-GM</v>
          </cell>
          <cell r="B5635" t="str">
            <v>XZ-ZQ2256</v>
          </cell>
        </row>
        <row r="5636">
          <cell r="A5636" t="str">
            <v>XZ-ZQ2256-R0-1819</v>
          </cell>
          <cell r="B5636" t="str">
            <v>XZ-ZQ2256</v>
          </cell>
        </row>
        <row r="5637">
          <cell r="A5637" t="str">
            <v>XZ-ZQ2256-R0-20</v>
          </cell>
          <cell r="B5637" t="str">
            <v>XZ-ZQ2256</v>
          </cell>
        </row>
        <row r="5638">
          <cell r="A5638" t="str">
            <v>XZ-ZQ2256-R0-21</v>
          </cell>
          <cell r="B5638" t="str">
            <v>XZ-ZQ2256</v>
          </cell>
        </row>
        <row r="5639">
          <cell r="A5639" t="str">
            <v>XZ-ZQ2256-R0-22</v>
          </cell>
          <cell r="B5639" t="str">
            <v>XZ-ZQ2256</v>
          </cell>
        </row>
        <row r="5640">
          <cell r="A5640" t="str">
            <v>XZ-ZQ2256-R0-22-GM</v>
          </cell>
          <cell r="B5640" t="str">
            <v>XZ-ZQ2256</v>
          </cell>
        </row>
        <row r="5641">
          <cell r="A5641" t="str">
            <v>XZ-ZQ2256-R0-24</v>
          </cell>
          <cell r="B5641" t="str">
            <v>XZ-ZQ2256</v>
          </cell>
        </row>
        <row r="5642">
          <cell r="A5642" t="str">
            <v>XZ-ZQ2256-R0-25</v>
          </cell>
          <cell r="B5642" t="str">
            <v>XZ-ZQ2256</v>
          </cell>
        </row>
        <row r="5643">
          <cell r="A5643" t="str">
            <v>XZ-ZQ2256-R0-26</v>
          </cell>
          <cell r="B5643" t="str">
            <v>XZ-ZQ2256</v>
          </cell>
        </row>
        <row r="5644">
          <cell r="A5644" t="str">
            <v>XZ-ZQ2256-R1-1415</v>
          </cell>
          <cell r="B5644" t="str">
            <v>XZ-ZQ2256</v>
          </cell>
        </row>
        <row r="5645">
          <cell r="A5645" t="str">
            <v>XZ-ZQ2256-R1-1617</v>
          </cell>
          <cell r="B5645" t="str">
            <v>XZ-ZQ2256</v>
          </cell>
        </row>
        <row r="5646">
          <cell r="A5646" t="str">
            <v>XZ-ZQ2256-R1-1819</v>
          </cell>
          <cell r="B5646" t="str">
            <v>XZ-ZQ2256</v>
          </cell>
        </row>
        <row r="5647">
          <cell r="A5647" t="str">
            <v>XZ-ZQ2256-R1-20</v>
          </cell>
          <cell r="B5647" t="str">
            <v>XZ-ZQ2256</v>
          </cell>
        </row>
        <row r="5648">
          <cell r="A5648" t="str">
            <v>XZ-ZQ2256-R1-21</v>
          </cell>
          <cell r="B5648" t="str">
            <v>XZ-ZQ2256</v>
          </cell>
        </row>
        <row r="5649">
          <cell r="A5649" t="str">
            <v>XZ-ZQ2256-R1-22</v>
          </cell>
          <cell r="B5649" t="str">
            <v>XZ-ZQ2256</v>
          </cell>
        </row>
        <row r="5650">
          <cell r="A5650" t="str">
            <v>XZ-ZQ2256-R1-24</v>
          </cell>
          <cell r="B5650" t="str">
            <v>XZ-ZQ2256</v>
          </cell>
        </row>
        <row r="5651">
          <cell r="A5651" t="str">
            <v>XZ-ZQ2256-R1-25</v>
          </cell>
          <cell r="B5651" t="str">
            <v>XZ-ZQ2256</v>
          </cell>
        </row>
        <row r="5652">
          <cell r="A5652" t="str">
            <v>XZ-ZQ2256-R1-26</v>
          </cell>
          <cell r="B5652" t="str">
            <v>XZ-ZQ2256</v>
          </cell>
        </row>
        <row r="5653">
          <cell r="A5653" t="str">
            <v>XZ-ZQ3115-B0-3738</v>
          </cell>
          <cell r="B5653" t="str">
            <v>XZ-ZQ3115</v>
          </cell>
        </row>
        <row r="5654">
          <cell r="A5654" t="str">
            <v>XZ-ZQ3115-B0-3940</v>
          </cell>
          <cell r="B5654" t="str">
            <v>XZ-ZQ3115</v>
          </cell>
        </row>
        <row r="5655">
          <cell r="A5655" t="str">
            <v>XZ-ZQ3115-B0-4142</v>
          </cell>
          <cell r="B5655" t="str">
            <v>XZ-ZQ3115</v>
          </cell>
        </row>
        <row r="5656">
          <cell r="A5656" t="str">
            <v>XZ-ZQ3115-B0-4344</v>
          </cell>
          <cell r="B5656" t="str">
            <v>XZ-ZQ3115</v>
          </cell>
        </row>
        <row r="5657">
          <cell r="A5657" t="str">
            <v>XZ-ZQ3115-C0-3738</v>
          </cell>
          <cell r="B5657" t="str">
            <v>XZ-ZQ3115</v>
          </cell>
        </row>
        <row r="5658">
          <cell r="A5658" t="str">
            <v>XZ-ZQ3115-C0-3940</v>
          </cell>
          <cell r="B5658" t="str">
            <v>XZ-ZQ3115</v>
          </cell>
        </row>
        <row r="5659">
          <cell r="A5659" t="str">
            <v>XZ-ZQ3115-C0-4142</v>
          </cell>
          <cell r="B5659" t="str">
            <v>XZ-ZQ3115</v>
          </cell>
        </row>
        <row r="5660">
          <cell r="A5660" t="str">
            <v>XZ-ZQ3115-C0-4344</v>
          </cell>
          <cell r="B5660" t="str">
            <v>XZ-ZQ3115</v>
          </cell>
        </row>
        <row r="5661">
          <cell r="A5661" t="str">
            <v>XZ-ZQ3115-R0-3738</v>
          </cell>
          <cell r="B5661" t="str">
            <v>XZ-ZQ3115</v>
          </cell>
        </row>
        <row r="5662">
          <cell r="A5662" t="str">
            <v>XZ-ZQ3115-R0-3940</v>
          </cell>
          <cell r="B5662" t="str">
            <v>XZ-ZQ3115</v>
          </cell>
        </row>
        <row r="5663">
          <cell r="A5663" t="str">
            <v>XZ-ZQ3115-R0-4142</v>
          </cell>
          <cell r="B5663" t="str">
            <v>XZ-ZQ3115</v>
          </cell>
        </row>
        <row r="5664">
          <cell r="A5664" t="str">
            <v>XZ-ZQ3115-R0-4344</v>
          </cell>
          <cell r="B5664" t="str">
            <v>XZ-ZQ3115</v>
          </cell>
        </row>
        <row r="5665">
          <cell r="A5665" t="str">
            <v>XZ-ZQ3115-R1-3738</v>
          </cell>
          <cell r="B5665" t="str">
            <v>XZ-ZQ3115</v>
          </cell>
        </row>
        <row r="5666">
          <cell r="A5666" t="str">
            <v>XZ-ZQ3115-R1-3940</v>
          </cell>
          <cell r="B5666" t="str">
            <v>XZ-ZQ3115</v>
          </cell>
        </row>
        <row r="5667">
          <cell r="A5667" t="str">
            <v>XZ-ZQ3115-R1-4142</v>
          </cell>
          <cell r="B5667" t="str">
            <v>XZ-ZQ3115</v>
          </cell>
        </row>
        <row r="5668">
          <cell r="A5668" t="str">
            <v>XZ-ZQ3115-R1-4344</v>
          </cell>
          <cell r="B5668" t="str">
            <v>XZ-ZQ3115</v>
          </cell>
        </row>
        <row r="5669">
          <cell r="A5669" t="str">
            <v>XZ-ZQ4176-GE-250</v>
          </cell>
          <cell r="B5669" t="str">
            <v>XZ-ZQ4176</v>
          </cell>
        </row>
        <row r="5670">
          <cell r="A5670" t="str">
            <v>XZ-ZQ4176-R2-240</v>
          </cell>
          <cell r="B5670" t="str">
            <v>XZ-ZQ4176</v>
          </cell>
        </row>
        <row r="5671">
          <cell r="A5671" t="str">
            <v>XZ-ZQ6001-B0-1415</v>
          </cell>
          <cell r="B5671" t="str">
            <v>XZ-ZQ6001</v>
          </cell>
        </row>
        <row r="5672">
          <cell r="A5672" t="str">
            <v>XZ-ZQ6001-B0-1617</v>
          </cell>
          <cell r="B5672" t="str">
            <v>XZ-ZQ6001</v>
          </cell>
        </row>
        <row r="5673">
          <cell r="A5673" t="str">
            <v>XZ-ZQ6001-B0-20</v>
          </cell>
          <cell r="B5673" t="str">
            <v>XZ-ZQ6001</v>
          </cell>
        </row>
        <row r="5674">
          <cell r="A5674" t="str">
            <v>XZ-ZQ6001-B0-21</v>
          </cell>
          <cell r="B5674" t="str">
            <v>XZ-ZQ6001</v>
          </cell>
        </row>
        <row r="5675">
          <cell r="A5675" t="str">
            <v>XZ-ZQ6001-B0-23</v>
          </cell>
          <cell r="B5675" t="str">
            <v>XZ-ZQ6001</v>
          </cell>
        </row>
        <row r="5676">
          <cell r="A5676" t="str">
            <v>XZ-ZQ6001-KQ-1415</v>
          </cell>
          <cell r="B5676" t="str">
            <v>XZ-ZQ6001</v>
          </cell>
        </row>
        <row r="5677">
          <cell r="A5677" t="str">
            <v>XZ-ZQ6001-KQ-20</v>
          </cell>
          <cell r="B5677" t="str">
            <v>XZ-ZQ6001</v>
          </cell>
        </row>
        <row r="5678">
          <cell r="A5678" t="str">
            <v>XZ-ZQ6001-KQ-21</v>
          </cell>
          <cell r="B5678" t="str">
            <v>XZ-ZQ6001</v>
          </cell>
        </row>
        <row r="5679">
          <cell r="A5679" t="str">
            <v>XZ-ZQ6001-KQ-22</v>
          </cell>
          <cell r="B5679" t="str">
            <v>XZ-ZQ6001</v>
          </cell>
        </row>
        <row r="5680">
          <cell r="A5680" t="str">
            <v>XZ-ZQ6001-R0-20</v>
          </cell>
          <cell r="B5680" t="str">
            <v>XZ-ZQ6001</v>
          </cell>
        </row>
        <row r="5681">
          <cell r="A5681" t="str">
            <v>XZ-ZQ6001-R0-21</v>
          </cell>
          <cell r="B5681" t="str">
            <v>XZ-ZQ6001</v>
          </cell>
        </row>
        <row r="5682">
          <cell r="A5682" t="str">
            <v>XZ-ZQ6001-R0-22</v>
          </cell>
          <cell r="B5682" t="str">
            <v>XZ-ZQ6001</v>
          </cell>
        </row>
        <row r="5683">
          <cell r="A5683" t="str">
            <v>XZ-ZQ6001-R1-1415</v>
          </cell>
          <cell r="B5683" t="str">
            <v>XZ-ZQ6001</v>
          </cell>
        </row>
        <row r="5684">
          <cell r="A5684" t="str">
            <v>XZ-ZQ6001-R1-1617</v>
          </cell>
          <cell r="B5684" t="str">
            <v>XZ-ZQ6001</v>
          </cell>
        </row>
        <row r="5685">
          <cell r="A5685" t="str">
            <v>XZ-ZQ6001-R1-1819</v>
          </cell>
          <cell r="B5685" t="str">
            <v>XZ-ZQ6001</v>
          </cell>
        </row>
        <row r="5686">
          <cell r="A5686" t="str">
            <v>XZ-ZQ6001-R1-20</v>
          </cell>
          <cell r="B5686" t="str">
            <v>XZ-ZQ6001</v>
          </cell>
        </row>
        <row r="5687">
          <cell r="A5687" t="str">
            <v>XZ-ZQ6001-R1-21</v>
          </cell>
          <cell r="B5687" t="str">
            <v>XZ-ZQ6001</v>
          </cell>
        </row>
        <row r="5688">
          <cell r="A5688" t="str">
            <v>XZ-ZQ6001-R1-22</v>
          </cell>
          <cell r="B5688" t="str">
            <v>XZ-ZQ6001</v>
          </cell>
        </row>
        <row r="5689">
          <cell r="A5689" t="str">
            <v>XZ-ZQ6102-K0-3637</v>
          </cell>
          <cell r="B5689" t="str">
            <v>XZ-ZQ6102</v>
          </cell>
        </row>
        <row r="5690">
          <cell r="A5690" t="str">
            <v>XZ-ZQ6102-K0-3839</v>
          </cell>
          <cell r="B5690" t="str">
            <v>XZ-ZQ6102</v>
          </cell>
        </row>
        <row r="5691">
          <cell r="A5691" t="str">
            <v>XZ-ZQ6102-K0-4041</v>
          </cell>
          <cell r="B5691" t="str">
            <v>XZ-ZQ6102</v>
          </cell>
        </row>
        <row r="5692">
          <cell r="A5692" t="str">
            <v>XZ-ZQ6102-K0-4243</v>
          </cell>
          <cell r="B5692" t="str">
            <v>XZ-ZQ6102</v>
          </cell>
        </row>
        <row r="5693">
          <cell r="A5693" t="str">
            <v>XZ-ZQ6102-K0-4445</v>
          </cell>
          <cell r="B5693" t="str">
            <v>XZ-ZQ6102</v>
          </cell>
        </row>
        <row r="5694">
          <cell r="A5694" t="str">
            <v>XZ-ZQ6102-KW-3637</v>
          </cell>
          <cell r="B5694" t="str">
            <v>XZ-ZQ6102</v>
          </cell>
        </row>
        <row r="5695">
          <cell r="A5695" t="str">
            <v>XZ-ZQ6102-KW-3839</v>
          </cell>
          <cell r="B5695" t="str">
            <v>XZ-ZQ6102</v>
          </cell>
        </row>
        <row r="5696">
          <cell r="A5696" t="str">
            <v>XZ-ZQ6102-KW-4041</v>
          </cell>
          <cell r="B5696" t="str">
            <v>XZ-ZQ6102</v>
          </cell>
        </row>
        <row r="5697">
          <cell r="A5697" t="str">
            <v>XZ-ZQ6102-KW-4243</v>
          </cell>
          <cell r="B5697" t="str">
            <v>XZ-ZQ6102</v>
          </cell>
        </row>
        <row r="5698">
          <cell r="A5698" t="str">
            <v>XZ-ZQ6102-KW-4445</v>
          </cell>
          <cell r="B5698" t="str">
            <v>XZ-ZQ6102</v>
          </cell>
        </row>
        <row r="5699">
          <cell r="A5699" t="str">
            <v>XZ-ZQ6102-N0-4041</v>
          </cell>
          <cell r="B5699" t="str">
            <v>XZ-ZQ6102</v>
          </cell>
        </row>
        <row r="5700">
          <cell r="A5700" t="str">
            <v>XZ-ZQ6102-N0-4243</v>
          </cell>
          <cell r="B5700" t="str">
            <v>XZ-ZQ6102</v>
          </cell>
        </row>
        <row r="5701">
          <cell r="A5701" t="str">
            <v>XZ-ZQ6102-N0-4445</v>
          </cell>
          <cell r="B5701" t="str">
            <v>XZ-ZQ6102</v>
          </cell>
        </row>
        <row r="5702">
          <cell r="A5702" t="str">
            <v>XZ-ZQ6102-R0-3637</v>
          </cell>
          <cell r="B5702" t="str">
            <v>XZ-ZQ6102</v>
          </cell>
        </row>
        <row r="5703">
          <cell r="A5703" t="str">
            <v>XZ-ZQ6102-R0-3839</v>
          </cell>
          <cell r="B5703" t="str">
            <v>XZ-ZQ6102</v>
          </cell>
        </row>
        <row r="5704">
          <cell r="A5704" t="str">
            <v>XZ-ZQ6102-R0-4041</v>
          </cell>
          <cell r="B5704" t="str">
            <v>XZ-ZQ6102</v>
          </cell>
        </row>
        <row r="5705">
          <cell r="A5705" t="str">
            <v>XZ-ZQ6102-R1-3637</v>
          </cell>
          <cell r="B5705" t="str">
            <v>XZ-ZQ6102</v>
          </cell>
        </row>
        <row r="5706">
          <cell r="A5706" t="str">
            <v>XZ-ZQ6102-R1-3839</v>
          </cell>
          <cell r="B5706" t="str">
            <v>XZ-ZQ6102</v>
          </cell>
        </row>
        <row r="5707">
          <cell r="A5707" t="str">
            <v>XZ-ZQ6102-R1-4041</v>
          </cell>
          <cell r="B5707" t="str">
            <v>XZ-ZQ6102</v>
          </cell>
        </row>
        <row r="5708">
          <cell r="A5708" t="str">
            <v>XZ-ZQ6102-W0-3637</v>
          </cell>
          <cell r="B5708" t="str">
            <v>XZ-ZQ6102</v>
          </cell>
        </row>
        <row r="5709">
          <cell r="A5709" t="str">
            <v>XZ-ZQ6102-W0-3839</v>
          </cell>
          <cell r="B5709" t="str">
            <v>XZ-ZQ6102</v>
          </cell>
        </row>
        <row r="5710">
          <cell r="A5710" t="str">
            <v>XZ-ZQ6102-W0-4041</v>
          </cell>
          <cell r="B5710" t="str">
            <v>XZ-ZQ6102</v>
          </cell>
        </row>
        <row r="5711">
          <cell r="A5711" t="str">
            <v>XZ-ZQ6102-W0-4243</v>
          </cell>
          <cell r="B5711" t="str">
            <v>XZ-ZQ6102</v>
          </cell>
        </row>
        <row r="5712">
          <cell r="A5712" t="str">
            <v>XZ-ZQ6102-W0-4445</v>
          </cell>
          <cell r="B5712" t="str">
            <v>XZ-ZQ6102</v>
          </cell>
        </row>
        <row r="5713">
          <cell r="A5713" t="str">
            <v>XZ-ZQ6102-W0-4445-New</v>
          </cell>
          <cell r="B5713" t="str">
            <v>XZ-ZQ6102</v>
          </cell>
        </row>
        <row r="5714">
          <cell r="A5714" t="str">
            <v>XZ-ZQ6603-B0-3637</v>
          </cell>
          <cell r="B5714" t="str">
            <v>XZ-ZQ6603</v>
          </cell>
        </row>
        <row r="5715">
          <cell r="A5715" t="str">
            <v>XZ-ZQ6603-E0-4243</v>
          </cell>
          <cell r="B5715" t="str">
            <v>XZ-ZQ6603</v>
          </cell>
        </row>
        <row r="5716">
          <cell r="A5716" t="str">
            <v>XZ-ZQ6606-C0-4041</v>
          </cell>
          <cell r="B5716" t="str">
            <v>XZ-ZQ6606</v>
          </cell>
        </row>
        <row r="5717">
          <cell r="A5717" t="str">
            <v>XZ-ZQ6606-C0-4243</v>
          </cell>
          <cell r="B5717" t="str">
            <v>XZ-ZQ6606</v>
          </cell>
        </row>
        <row r="5718">
          <cell r="A5718" t="str">
            <v>XZ-ZQ6606-C0-4445</v>
          </cell>
          <cell r="B5718" t="str">
            <v>XZ-ZQ6606</v>
          </cell>
        </row>
        <row r="5719">
          <cell r="A5719" t="str">
            <v>XZ-ZQ6606-E0-4041</v>
          </cell>
          <cell r="B5719" t="str">
            <v>XZ-ZQ6606</v>
          </cell>
        </row>
        <row r="5720">
          <cell r="A5720" t="str">
            <v>XZ-ZQ6606-E0-4243</v>
          </cell>
          <cell r="B5720" t="str">
            <v>XZ-ZQ6606</v>
          </cell>
        </row>
        <row r="5721">
          <cell r="A5721" t="str">
            <v>XZ-ZQ6606-E0-4445</v>
          </cell>
          <cell r="B5721" t="str">
            <v>XZ-ZQ6606</v>
          </cell>
        </row>
        <row r="5722">
          <cell r="A5722" t="str">
            <v>XZ-ZQ6606-E0-4445-GM</v>
          </cell>
          <cell r="B5722" t="str">
            <v>XZ-ZQ6606</v>
          </cell>
        </row>
        <row r="5723">
          <cell r="A5723" t="str">
            <v>XZ-ZQ6606-P0-3637</v>
          </cell>
          <cell r="B5723" t="str">
            <v>XZ-ZQ6606</v>
          </cell>
        </row>
        <row r="5724">
          <cell r="A5724" t="str">
            <v>XZ-ZQ6606-P0-3839</v>
          </cell>
          <cell r="B5724" t="str">
            <v>XZ-ZQ6606</v>
          </cell>
        </row>
        <row r="5725">
          <cell r="A5725" t="str">
            <v>XZ-ZQ6606-P0-4041</v>
          </cell>
          <cell r="B5725" t="str">
            <v>XZ-ZQ6606</v>
          </cell>
        </row>
        <row r="5726">
          <cell r="A5726" t="str">
            <v>XZ-ZQ6606-P2-3637</v>
          </cell>
          <cell r="B5726" t="str">
            <v>XZ-ZQ6606</v>
          </cell>
        </row>
        <row r="5727">
          <cell r="A5727" t="str">
            <v>XZ-ZQ6606-P2-3839</v>
          </cell>
          <cell r="B5727" t="str">
            <v>XZ-ZQ6606</v>
          </cell>
        </row>
        <row r="5728">
          <cell r="A5728" t="str">
            <v>XZ-ZQ6606-P2-4041</v>
          </cell>
          <cell r="B5728" t="str">
            <v>XZ-ZQ6606</v>
          </cell>
        </row>
        <row r="5729">
          <cell r="A5729" t="str">
            <v>XZ-ZQ6606-PI-3637</v>
          </cell>
          <cell r="B5729" t="str">
            <v>XZ-ZQ6606</v>
          </cell>
        </row>
        <row r="5730">
          <cell r="A5730" t="str">
            <v>XZ-ZQ6606-PI-3839</v>
          </cell>
          <cell r="B5730" t="str">
            <v>XZ-ZQ6606</v>
          </cell>
        </row>
        <row r="5731">
          <cell r="A5731" t="str">
            <v>XZ-ZQ6606-PI-4041</v>
          </cell>
          <cell r="B5731" t="str">
            <v>XZ-ZQ6606</v>
          </cell>
        </row>
        <row r="5732">
          <cell r="A5732" t="str">
            <v>XZ-ZQ6625-C0-4243</v>
          </cell>
          <cell r="B5732" t="str">
            <v>XZ-ZQ6625</v>
          </cell>
        </row>
        <row r="5733">
          <cell r="A5733" t="str">
            <v>XZ-ZQ6625-E0-4243</v>
          </cell>
          <cell r="B5733" t="str">
            <v>XZ-ZQ6625</v>
          </cell>
        </row>
        <row r="5734">
          <cell r="A5734" t="str">
            <v>XZ-ZQ6625-R2-3637</v>
          </cell>
          <cell r="B5734" t="str">
            <v>XZ-ZQ6625</v>
          </cell>
        </row>
        <row r="5735">
          <cell r="A5735" t="str">
            <v>XZ-ZQ6834-E0-14-15</v>
          </cell>
          <cell r="B5735" t="str">
            <v>XZ-ZQ6834</v>
          </cell>
        </row>
        <row r="5736">
          <cell r="A5736" t="str">
            <v>XZ-ZQ6834-E0-16-17</v>
          </cell>
          <cell r="B5736" t="str">
            <v>XZ-ZQ6834</v>
          </cell>
        </row>
        <row r="5737">
          <cell r="A5737" t="str">
            <v>XZ-ZQ6834-E0-18-19</v>
          </cell>
          <cell r="B5737" t="str">
            <v>XZ-ZQ6834</v>
          </cell>
        </row>
        <row r="5738">
          <cell r="A5738" t="str">
            <v>XZ-ZQ6834-E0-20</v>
          </cell>
          <cell r="B5738" t="str">
            <v>XZ-ZQ6834</v>
          </cell>
        </row>
        <row r="5739">
          <cell r="A5739" t="str">
            <v>XZ-ZQ6834-E0-21</v>
          </cell>
          <cell r="B5739" t="str">
            <v>XZ-ZQ6834</v>
          </cell>
        </row>
        <row r="5740">
          <cell r="A5740" t="str">
            <v>XZ-ZQ6834-E0-22</v>
          </cell>
          <cell r="B5740" t="str">
            <v>XZ-ZQ6834</v>
          </cell>
        </row>
        <row r="5741">
          <cell r="A5741" t="str">
            <v>XZ-ZQ6834-E0-22-GM</v>
          </cell>
          <cell r="B5741" t="str">
            <v>XZ-ZQ6834</v>
          </cell>
        </row>
        <row r="5742">
          <cell r="A5742" t="str">
            <v>XZ-ZQ6834-E0-270</v>
          </cell>
          <cell r="B5742" t="str">
            <v>XZ-ZQ6834</v>
          </cell>
        </row>
        <row r="5743">
          <cell r="A5743" t="str">
            <v>XZ-ZQ6834-E0-280</v>
          </cell>
          <cell r="B5743" t="str">
            <v>XZ-ZQ6834</v>
          </cell>
        </row>
        <row r="5744">
          <cell r="A5744" t="str">
            <v>XZ-ZQ6834-E0-290</v>
          </cell>
          <cell r="B5744" t="str">
            <v>XZ-ZQ6834</v>
          </cell>
        </row>
        <row r="5745">
          <cell r="A5745" t="str">
            <v>XZ-ZQ6834-GE-14-15</v>
          </cell>
          <cell r="B5745" t="str">
            <v>XZ-ZQ6834</v>
          </cell>
        </row>
        <row r="5746">
          <cell r="A5746" t="str">
            <v>XZ-ZQ6834-GE-16-17</v>
          </cell>
          <cell r="B5746" t="str">
            <v>XZ-ZQ6834</v>
          </cell>
        </row>
        <row r="5747">
          <cell r="A5747" t="str">
            <v>XZ-ZQ6834-GE-18-19</v>
          </cell>
          <cell r="B5747" t="str">
            <v>XZ-ZQ6834</v>
          </cell>
        </row>
        <row r="5748">
          <cell r="A5748" t="str">
            <v>XZ-ZQ6834-GE-20</v>
          </cell>
          <cell r="B5748" t="str">
            <v>XZ-ZQ6834</v>
          </cell>
        </row>
        <row r="5749">
          <cell r="A5749" t="str">
            <v>XZ-ZQ6834-GE-21</v>
          </cell>
          <cell r="B5749" t="str">
            <v>XZ-ZQ6834</v>
          </cell>
        </row>
        <row r="5750">
          <cell r="A5750" t="str">
            <v>XZ-ZQ6834-GE-22</v>
          </cell>
          <cell r="B5750" t="str">
            <v>XZ-ZQ6834</v>
          </cell>
        </row>
        <row r="5751">
          <cell r="A5751" t="str">
            <v>XZ-ZQ6834-GE-240</v>
          </cell>
          <cell r="B5751" t="str">
            <v>XZ-ZQ6834</v>
          </cell>
        </row>
        <row r="5752">
          <cell r="A5752" t="str">
            <v>XZ-ZQ6834-GE-250</v>
          </cell>
          <cell r="B5752" t="str">
            <v>XZ-ZQ6834</v>
          </cell>
        </row>
        <row r="5753">
          <cell r="A5753" t="str">
            <v>XZ-ZQ6834-GE-260</v>
          </cell>
          <cell r="B5753" t="str">
            <v>XZ-ZQ6834</v>
          </cell>
        </row>
        <row r="5754">
          <cell r="A5754" t="str">
            <v>XZ-ZQ6834-KQ-14-15</v>
          </cell>
          <cell r="B5754" t="str">
            <v>XZ-ZQ6834</v>
          </cell>
        </row>
        <row r="5755">
          <cell r="A5755" t="str">
            <v>XZ-ZQ6834-KQ-16-17</v>
          </cell>
          <cell r="B5755" t="str">
            <v>XZ-ZQ6834</v>
          </cell>
        </row>
        <row r="5756">
          <cell r="A5756" t="str">
            <v>XZ-ZQ6834-KQ-18-19</v>
          </cell>
          <cell r="B5756" t="str">
            <v>XZ-ZQ6834</v>
          </cell>
        </row>
        <row r="5757">
          <cell r="A5757" t="str">
            <v>XZ-ZQ6834-KQ-20</v>
          </cell>
          <cell r="B5757" t="str">
            <v>XZ-ZQ6834</v>
          </cell>
        </row>
        <row r="5758">
          <cell r="A5758" t="str">
            <v>XZ-ZQ6834-KQ-21</v>
          </cell>
          <cell r="B5758" t="str">
            <v>XZ-ZQ6834</v>
          </cell>
        </row>
        <row r="5759">
          <cell r="A5759" t="str">
            <v>XZ-ZQ6834-KQ-22</v>
          </cell>
          <cell r="B5759" t="str">
            <v>XZ-ZQ6834</v>
          </cell>
        </row>
        <row r="5760">
          <cell r="A5760" t="str">
            <v>XZ-ZQ6834-KQ-270</v>
          </cell>
          <cell r="B5760" t="str">
            <v>XZ-ZQ6834</v>
          </cell>
        </row>
        <row r="5761">
          <cell r="A5761" t="str">
            <v>XZ-ZQ6834-KQ-280</v>
          </cell>
          <cell r="B5761" t="str">
            <v>XZ-ZQ6834</v>
          </cell>
        </row>
        <row r="5762">
          <cell r="A5762" t="str">
            <v>XZ-ZQ6834-KQ-290</v>
          </cell>
          <cell r="B5762" t="str">
            <v>XZ-ZQ6834</v>
          </cell>
        </row>
        <row r="5763">
          <cell r="A5763" t="str">
            <v>XZ-ZQ6834-R1-14-15</v>
          </cell>
          <cell r="B5763" t="str">
            <v>XZ-ZQ6834</v>
          </cell>
        </row>
        <row r="5764">
          <cell r="A5764" t="str">
            <v>XZ-ZQ6834-R1-16-17</v>
          </cell>
          <cell r="B5764" t="str">
            <v>XZ-ZQ6834</v>
          </cell>
        </row>
        <row r="5765">
          <cell r="A5765" t="str">
            <v>XZ-ZQ6834-R1-18-19</v>
          </cell>
          <cell r="B5765" t="str">
            <v>XZ-ZQ6834</v>
          </cell>
        </row>
        <row r="5766">
          <cell r="A5766" t="str">
            <v>XZ-ZQ6834-R1-20</v>
          </cell>
          <cell r="B5766" t="str">
            <v>XZ-ZQ6834</v>
          </cell>
        </row>
        <row r="5767">
          <cell r="A5767" t="str">
            <v>XZ-ZQ6834-R1-21</v>
          </cell>
          <cell r="B5767" t="str">
            <v>XZ-ZQ6834</v>
          </cell>
        </row>
        <row r="5768">
          <cell r="A5768" t="str">
            <v>XZ-ZQ6834-R1-21-GM</v>
          </cell>
          <cell r="B5768" t="str">
            <v>XZ-ZQ6834</v>
          </cell>
        </row>
        <row r="5769">
          <cell r="A5769" t="str">
            <v>XZ-ZQ6834-R1-22</v>
          </cell>
          <cell r="B5769" t="str">
            <v>XZ-ZQ6834</v>
          </cell>
        </row>
        <row r="5770">
          <cell r="A5770" t="str">
            <v>XZ-ZQ6834-R1-240</v>
          </cell>
          <cell r="B5770" t="str">
            <v>XZ-ZQ6834</v>
          </cell>
        </row>
        <row r="5771">
          <cell r="A5771" t="str">
            <v>XZ-ZQ6834-R1-250</v>
          </cell>
          <cell r="B5771" t="str">
            <v>XZ-ZQ6834</v>
          </cell>
        </row>
        <row r="5772">
          <cell r="A5772" t="str">
            <v>XZ-ZQ6834-R1-260</v>
          </cell>
          <cell r="B5772" t="str">
            <v>XZ-ZQ6834</v>
          </cell>
        </row>
        <row r="5773">
          <cell r="A5773" t="str">
            <v>XZ-ZQ6834-R2-14-15</v>
          </cell>
          <cell r="B5773" t="str">
            <v>XZ-ZQ6834</v>
          </cell>
        </row>
        <row r="5774">
          <cell r="A5774" t="str">
            <v>XZ-ZQ6834-R2-16-17</v>
          </cell>
          <cell r="B5774" t="str">
            <v>XZ-ZQ6834</v>
          </cell>
        </row>
        <row r="5775">
          <cell r="A5775" t="str">
            <v>XZ-ZQ6834-R2-18-19</v>
          </cell>
          <cell r="B5775" t="str">
            <v>XZ-ZQ6834</v>
          </cell>
        </row>
        <row r="5776">
          <cell r="A5776" t="str">
            <v>XZ-ZQ6834-R2-20</v>
          </cell>
          <cell r="B5776" t="str">
            <v>XZ-ZQ6834</v>
          </cell>
        </row>
        <row r="5777">
          <cell r="A5777" t="str">
            <v>XZ-ZQ6834-R2-20-GM</v>
          </cell>
          <cell r="B5777" t="str">
            <v>XZ-ZQ6834</v>
          </cell>
        </row>
        <row r="5778">
          <cell r="A5778" t="str">
            <v>XZ-ZQ6834-R2-21</v>
          </cell>
          <cell r="B5778" t="str">
            <v>XZ-ZQ6834</v>
          </cell>
        </row>
        <row r="5779">
          <cell r="A5779" t="str">
            <v>XZ-ZQ6834-R2-22</v>
          </cell>
          <cell r="B5779" t="str">
            <v>XZ-ZQ6834</v>
          </cell>
        </row>
        <row r="5780">
          <cell r="A5780" t="str">
            <v>XZ-ZQ6834-R2-22-GM</v>
          </cell>
          <cell r="B5780" t="str">
            <v>XZ-ZQ6834</v>
          </cell>
        </row>
        <row r="5781">
          <cell r="A5781" t="str">
            <v>XZ-ZQ6834-R2-240</v>
          </cell>
          <cell r="B5781" t="str">
            <v>XZ-ZQ6834</v>
          </cell>
        </row>
        <row r="5782">
          <cell r="A5782" t="str">
            <v>XZ-ZQ6834-R2-240-GM</v>
          </cell>
          <cell r="B5782" t="str">
            <v>XZ-ZQ6834</v>
          </cell>
        </row>
        <row r="5783">
          <cell r="A5783" t="str">
            <v>XZ-ZQ6834-R2-250</v>
          </cell>
          <cell r="B5783" t="str">
            <v>XZ-ZQ6834</v>
          </cell>
        </row>
        <row r="5784">
          <cell r="A5784" t="str">
            <v>XZ-ZQ6834-R2-260</v>
          </cell>
          <cell r="B5784" t="str">
            <v>XZ-ZQ6834</v>
          </cell>
        </row>
        <row r="5785">
          <cell r="A5785" t="str">
            <v>XZ-ZQ6834-R3-14-15</v>
          </cell>
          <cell r="B5785" t="str">
            <v>XZ-ZQ6834</v>
          </cell>
        </row>
        <row r="5786">
          <cell r="A5786" t="str">
            <v>XZ-ZQ6834-R3-16-17</v>
          </cell>
          <cell r="B5786" t="str">
            <v>XZ-ZQ6834</v>
          </cell>
        </row>
        <row r="5787">
          <cell r="A5787" t="str">
            <v>XZ-ZQ6834-R3-18-19</v>
          </cell>
          <cell r="B5787" t="str">
            <v>XZ-ZQ6834</v>
          </cell>
        </row>
        <row r="5788">
          <cell r="A5788" t="str">
            <v>XZ-ZQ6834-R3-20</v>
          </cell>
          <cell r="B5788" t="str">
            <v>XZ-ZQ6834</v>
          </cell>
        </row>
        <row r="5789">
          <cell r="A5789" t="str">
            <v>XZ-ZQ6834-R3-21</v>
          </cell>
          <cell r="B5789" t="str">
            <v>XZ-ZQ6834</v>
          </cell>
        </row>
        <row r="5790">
          <cell r="A5790" t="str">
            <v>XZ-ZQ6834-R3-22</v>
          </cell>
          <cell r="B5790" t="str">
            <v>XZ-ZQ6834</v>
          </cell>
        </row>
        <row r="5791">
          <cell r="A5791" t="str">
            <v>XZ-ZQ6834-R3-240</v>
          </cell>
          <cell r="B5791" t="str">
            <v>XZ-ZQ6834</v>
          </cell>
        </row>
        <row r="5792">
          <cell r="A5792" t="str">
            <v>XZ-ZQ6834-R3-250</v>
          </cell>
          <cell r="B5792" t="str">
            <v>XZ-ZQ6834</v>
          </cell>
        </row>
        <row r="5793">
          <cell r="A5793" t="str">
            <v>XZ-ZQ6834-R3-260</v>
          </cell>
          <cell r="B5793" t="str">
            <v>XZ-ZQ6834</v>
          </cell>
        </row>
        <row r="5794">
          <cell r="A5794" t="str">
            <v>XZ-ZQ7032-B0-24</v>
          </cell>
          <cell r="B5794" t="str">
            <v>XZ-ZQ7032</v>
          </cell>
        </row>
        <row r="5795">
          <cell r="A5795" t="str">
            <v>XZ-ZQ7032-B0-26</v>
          </cell>
          <cell r="B5795" t="str">
            <v>XZ-ZQ7032</v>
          </cell>
        </row>
        <row r="5796">
          <cell r="A5796" t="str">
            <v>XZ-ZQ7032-K0-24</v>
          </cell>
          <cell r="B5796" t="str">
            <v>XZ-ZQ7032</v>
          </cell>
        </row>
        <row r="5797">
          <cell r="A5797" t="str">
            <v>XZ-ZQ7032-K0-25</v>
          </cell>
          <cell r="B5797" t="str">
            <v>XZ-ZQ7032</v>
          </cell>
        </row>
        <row r="5798">
          <cell r="A5798" t="str">
            <v>XZ-ZQ7032-K0-26</v>
          </cell>
          <cell r="B5798" t="str">
            <v>XZ-ZQ7032</v>
          </cell>
        </row>
        <row r="5799">
          <cell r="A5799" t="str">
            <v>XZ-ZQ7032-K0-27</v>
          </cell>
          <cell r="B5799" t="str">
            <v>XZ-ZQ7032</v>
          </cell>
        </row>
        <row r="5800">
          <cell r="A5800" t="str">
            <v>XZ-ZQ7032-K0-28</v>
          </cell>
          <cell r="B5800" t="str">
            <v>XZ-ZQ7032</v>
          </cell>
        </row>
        <row r="5801">
          <cell r="A5801" t="str">
            <v>XZ-ZQ8032-B0-1415</v>
          </cell>
          <cell r="B5801" t="str">
            <v>XZ-ZQ8032</v>
          </cell>
        </row>
        <row r="5802">
          <cell r="A5802" t="str">
            <v>XZ-ZQ8032-B0-1617</v>
          </cell>
          <cell r="B5802" t="str">
            <v>XZ-ZQ8032</v>
          </cell>
        </row>
        <row r="5803">
          <cell r="A5803" t="str">
            <v>XZ-ZQ8032-B0-1819</v>
          </cell>
          <cell r="B5803" t="str">
            <v>XZ-ZQ8032</v>
          </cell>
        </row>
        <row r="5804">
          <cell r="A5804" t="str">
            <v>XZ-ZQ8032-B0-20</v>
          </cell>
          <cell r="B5804" t="str">
            <v>XZ-ZQ8032</v>
          </cell>
        </row>
        <row r="5805">
          <cell r="A5805" t="str">
            <v>XZ-ZQ8032-B0-21</v>
          </cell>
          <cell r="B5805" t="str">
            <v>XZ-ZQ8032</v>
          </cell>
        </row>
        <row r="5806">
          <cell r="A5806" t="str">
            <v>XZ-ZQ8032-B0-22</v>
          </cell>
          <cell r="B5806" t="str">
            <v>XZ-ZQ8032</v>
          </cell>
        </row>
        <row r="5807">
          <cell r="A5807" t="str">
            <v>XZ-ZQ8032-B0-23</v>
          </cell>
          <cell r="B5807" t="str">
            <v>XZ-ZQ8032</v>
          </cell>
        </row>
        <row r="5808">
          <cell r="A5808" t="str">
            <v>XZ-ZQ8032-K0-1415</v>
          </cell>
          <cell r="B5808" t="str">
            <v>XZ-ZQ8032</v>
          </cell>
        </row>
        <row r="5809">
          <cell r="A5809" t="str">
            <v>XZ-ZQ8032-K0-1617</v>
          </cell>
          <cell r="B5809" t="str">
            <v>XZ-ZQ8032</v>
          </cell>
        </row>
        <row r="5810">
          <cell r="A5810" t="str">
            <v>XZ-ZQ8032-K0-1617-GM</v>
          </cell>
          <cell r="B5810" t="str">
            <v>XZ-ZQ8032</v>
          </cell>
        </row>
        <row r="5811">
          <cell r="A5811" t="str">
            <v>XZ-ZQ8032-K0-1819</v>
          </cell>
          <cell r="B5811" t="str">
            <v>XZ-ZQ8032</v>
          </cell>
        </row>
        <row r="5812">
          <cell r="A5812" t="str">
            <v>XZ-ZQ8032-K0-1819-GM</v>
          </cell>
          <cell r="B5812" t="str">
            <v>XZ-ZQ8032</v>
          </cell>
        </row>
        <row r="5813">
          <cell r="A5813" t="str">
            <v>XZ-ZQ8032-K0-20</v>
          </cell>
          <cell r="B5813" t="str">
            <v>XZ-ZQ8032</v>
          </cell>
        </row>
        <row r="5814">
          <cell r="A5814" t="str">
            <v>XZ-ZQ8032-K0-21</v>
          </cell>
          <cell r="B5814" t="str">
            <v>XZ-ZQ8032</v>
          </cell>
        </row>
        <row r="5815">
          <cell r="A5815" t="str">
            <v>XZ-ZQ8032-K0-22</v>
          </cell>
          <cell r="B5815" t="str">
            <v>XZ-ZQ8032</v>
          </cell>
        </row>
        <row r="5816">
          <cell r="A5816" t="str">
            <v>XZ-ZQ8032-K0-23</v>
          </cell>
          <cell r="B5816" t="str">
            <v>XZ-ZQ8032</v>
          </cell>
        </row>
        <row r="5817">
          <cell r="A5817" t="str">
            <v>XZ-ZQ8032-KQ-1415</v>
          </cell>
          <cell r="B5817" t="str">
            <v>XZ-ZQ8032</v>
          </cell>
        </row>
        <row r="5818">
          <cell r="A5818" t="str">
            <v>XZ-ZQ8032-KQ-1617</v>
          </cell>
          <cell r="B5818" t="str">
            <v>XZ-ZQ8032</v>
          </cell>
        </row>
        <row r="5819">
          <cell r="A5819" t="str">
            <v>XZ-ZQ8032-KQ-1819</v>
          </cell>
          <cell r="B5819" t="str">
            <v>XZ-ZQ8032</v>
          </cell>
        </row>
        <row r="5820">
          <cell r="A5820" t="str">
            <v>XZ-ZQ8032-KQ-20</v>
          </cell>
          <cell r="B5820" t="str">
            <v>XZ-ZQ8032</v>
          </cell>
        </row>
        <row r="5821">
          <cell r="A5821" t="str">
            <v>XZ-ZQ8032-KQ-21</v>
          </cell>
          <cell r="B5821" t="str">
            <v>XZ-ZQ8032</v>
          </cell>
        </row>
        <row r="5822">
          <cell r="A5822" t="str">
            <v>XZ-ZQ8032-KQ-22</v>
          </cell>
          <cell r="B5822" t="str">
            <v>XZ-ZQ8032</v>
          </cell>
        </row>
        <row r="5823">
          <cell r="A5823" t="str">
            <v>XZ-ZQ8032-KQ-23</v>
          </cell>
          <cell r="B5823" t="str">
            <v>XZ-ZQ8032</v>
          </cell>
        </row>
        <row r="5824">
          <cell r="A5824" t="str">
            <v>XZ-ZQ8032-R1-1415</v>
          </cell>
          <cell r="B5824" t="str">
            <v>XZ-ZQ8032</v>
          </cell>
        </row>
        <row r="5825">
          <cell r="A5825" t="str">
            <v>XZ-ZQ8032-R1-1617</v>
          </cell>
          <cell r="B5825" t="str">
            <v>XZ-ZQ8032</v>
          </cell>
        </row>
        <row r="5826">
          <cell r="A5826" t="str">
            <v>XZ-ZQ8032-R1-1819</v>
          </cell>
          <cell r="B5826" t="str">
            <v>XZ-ZQ8032</v>
          </cell>
        </row>
        <row r="5827">
          <cell r="A5827" t="str">
            <v>XZ-ZQ8032-R1-20</v>
          </cell>
          <cell r="B5827" t="str">
            <v>XZ-ZQ8032</v>
          </cell>
        </row>
        <row r="5828">
          <cell r="A5828" t="str">
            <v>XZ-ZQ8032-R1-21</v>
          </cell>
          <cell r="B5828" t="str">
            <v>XZ-ZQ8032</v>
          </cell>
        </row>
        <row r="5829">
          <cell r="A5829" t="str">
            <v>XZ-ZQ8032-R1-22</v>
          </cell>
          <cell r="B5829" t="str">
            <v>XZ-ZQ8032</v>
          </cell>
        </row>
        <row r="5830">
          <cell r="A5830" t="str">
            <v>XZ-ZQ8032-R1-23</v>
          </cell>
          <cell r="B5830" t="str">
            <v>XZ-ZQ8032</v>
          </cell>
        </row>
        <row r="5831">
          <cell r="A5831" t="str">
            <v>XZ-ZQ8812-K0-1415</v>
          </cell>
          <cell r="B5831" t="str">
            <v>XZ-ZQ8812</v>
          </cell>
        </row>
        <row r="5832">
          <cell r="A5832" t="str">
            <v>XZ-ZQ8812-K0-1617</v>
          </cell>
          <cell r="B5832" t="str">
            <v>XZ-ZQ8812</v>
          </cell>
        </row>
        <row r="5833">
          <cell r="A5833" t="str">
            <v>XZ-ZQ8812-K0-1819</v>
          </cell>
          <cell r="B5833" t="str">
            <v>XZ-ZQ8812</v>
          </cell>
        </row>
        <row r="5834">
          <cell r="A5834" t="str">
            <v>XZ-ZQ8812-K0-20</v>
          </cell>
          <cell r="B5834" t="str">
            <v>XZ-ZQ8812</v>
          </cell>
        </row>
        <row r="5835">
          <cell r="A5835" t="str">
            <v>XZ-ZQ8812-K0-21</v>
          </cell>
          <cell r="B5835" t="str">
            <v>XZ-ZQ8812</v>
          </cell>
        </row>
        <row r="5836">
          <cell r="A5836" t="str">
            <v>XZ-ZQ8812-K0-22</v>
          </cell>
          <cell r="B5836" t="str">
            <v>XZ-ZQ8812</v>
          </cell>
        </row>
        <row r="5837">
          <cell r="A5837" t="str">
            <v>XZ-ZQ8812-K0-240</v>
          </cell>
          <cell r="B5837" t="str">
            <v>XZ-ZQ8812</v>
          </cell>
        </row>
        <row r="5838">
          <cell r="A5838" t="str">
            <v>XZ-ZQ8812-K0-250</v>
          </cell>
          <cell r="B5838" t="str">
            <v>XZ-ZQ8812</v>
          </cell>
        </row>
        <row r="5839">
          <cell r="A5839" t="str">
            <v>XZ-ZQ8812-K0-260</v>
          </cell>
          <cell r="B5839" t="str">
            <v>XZ-ZQ8812</v>
          </cell>
        </row>
        <row r="5840">
          <cell r="A5840" t="str">
            <v>XZ-ZQ8812N-K0-260</v>
          </cell>
          <cell r="B5840" t="str">
            <v>XZ-ZQ8812</v>
          </cell>
        </row>
        <row r="5841">
          <cell r="A5841" t="str">
            <v>XZ-ZQ8812N-K0-270</v>
          </cell>
          <cell r="B5841" t="str">
            <v>XZ-ZQ8812</v>
          </cell>
        </row>
        <row r="5842">
          <cell r="A5842" t="str">
            <v>XZ-ZQ8812N-K0-280</v>
          </cell>
          <cell r="B5842" t="str">
            <v>XZ-ZQ8812</v>
          </cell>
        </row>
        <row r="5843">
          <cell r="A5843" t="str">
            <v>XZ-ZQ8812-R0-240</v>
          </cell>
          <cell r="B5843" t="str">
            <v>XZ-ZQ8812</v>
          </cell>
        </row>
        <row r="5844">
          <cell r="A5844" t="str">
            <v>XZ-ZQ8812-R0-250</v>
          </cell>
          <cell r="B5844" t="str">
            <v>XZ-ZQ8812</v>
          </cell>
        </row>
        <row r="5845">
          <cell r="A5845" t="str">
            <v>XZ-ZQ8812-R0-260</v>
          </cell>
          <cell r="B5845" t="str">
            <v>XZ-ZQ8812</v>
          </cell>
        </row>
        <row r="5846">
          <cell r="A5846" t="str">
            <v>XZ-ZQ8812-R1-1415</v>
          </cell>
          <cell r="B5846" t="str">
            <v>XZ-ZQ8812</v>
          </cell>
        </row>
        <row r="5847">
          <cell r="A5847" t="str">
            <v>XZ-ZQ8812-R1-1617</v>
          </cell>
          <cell r="B5847" t="str">
            <v>XZ-ZQ8812</v>
          </cell>
        </row>
        <row r="5848">
          <cell r="A5848" t="str">
            <v>XZ-ZQ8812-R1-1819</v>
          </cell>
          <cell r="B5848" t="str">
            <v>XZ-ZQ8812</v>
          </cell>
        </row>
        <row r="5849">
          <cell r="A5849" t="str">
            <v>XZ-ZQ8812-R1-20</v>
          </cell>
          <cell r="B5849" t="str">
            <v>XZ-ZQ8812</v>
          </cell>
        </row>
        <row r="5850">
          <cell r="A5850" t="str">
            <v>XZ-ZQ8812-R1-21</v>
          </cell>
          <cell r="B5850" t="str">
            <v>XZ-ZQ8812</v>
          </cell>
        </row>
        <row r="5851">
          <cell r="A5851" t="str">
            <v>XZ-ZQ8812-R1-22</v>
          </cell>
          <cell r="B5851" t="str">
            <v>XZ-ZQ8812</v>
          </cell>
        </row>
        <row r="5852">
          <cell r="A5852" t="str">
            <v>XZ-ZQ8812-R2-1415</v>
          </cell>
          <cell r="B5852" t="str">
            <v>XZ-ZQ8812</v>
          </cell>
        </row>
        <row r="5853">
          <cell r="A5853" t="str">
            <v>XZ-ZQ8812-R2-1617</v>
          </cell>
          <cell r="B5853" t="str">
            <v>XZ-ZQ8812</v>
          </cell>
        </row>
        <row r="5854">
          <cell r="A5854" t="str">
            <v>XZ-ZQ8812-R2-1819</v>
          </cell>
          <cell r="B5854" t="str">
            <v>XZ-ZQ8812</v>
          </cell>
        </row>
        <row r="5855">
          <cell r="A5855" t="str">
            <v>XZ-ZQ8812-R2-20</v>
          </cell>
          <cell r="B5855" t="str">
            <v>XZ-ZQ8812</v>
          </cell>
        </row>
        <row r="5856">
          <cell r="A5856" t="str">
            <v>XZ-ZQ8812-R2-21</v>
          </cell>
          <cell r="B5856" t="str">
            <v>XZ-ZQ8812</v>
          </cell>
        </row>
        <row r="5857">
          <cell r="A5857" t="str">
            <v>XZ-ZQ8812-R2-22</v>
          </cell>
          <cell r="B5857" t="str">
            <v>XZ-ZQ8812</v>
          </cell>
        </row>
        <row r="5858">
          <cell r="A5858" t="str">
            <v>XZ-ZQ9901-K0-240</v>
          </cell>
          <cell r="B5858" t="str">
            <v>XZ-ZQ9901</v>
          </cell>
        </row>
        <row r="5859">
          <cell r="A5859" t="str">
            <v>XZ-ZQ9901-K0-250</v>
          </cell>
          <cell r="B5859" t="str">
            <v>XZ-ZQ9901</v>
          </cell>
        </row>
        <row r="5860">
          <cell r="A5860" t="str">
            <v>XZ-ZQ9901-K0-260</v>
          </cell>
          <cell r="B5860" t="str">
            <v>XZ-ZQ9901</v>
          </cell>
        </row>
        <row r="5861">
          <cell r="A5861" t="str">
            <v>XZ-ZQ9901-K0-270</v>
          </cell>
          <cell r="B5861" t="str">
            <v>XZ-ZQ9901</v>
          </cell>
        </row>
        <row r="5862">
          <cell r="A5862" t="str">
            <v>XZ-ZQ9901-K0-280</v>
          </cell>
          <cell r="B5862" t="str">
            <v>XZ-ZQ9901</v>
          </cell>
        </row>
        <row r="5863">
          <cell r="A5863" t="str">
            <v>XZ-ZQ9901-KW-240</v>
          </cell>
          <cell r="B5863" t="str">
            <v>XZ-ZQ9901</v>
          </cell>
        </row>
        <row r="5864">
          <cell r="A5864" t="str">
            <v>XZ-ZQ9901-KW-250</v>
          </cell>
          <cell r="B5864" t="str">
            <v>XZ-ZQ9901</v>
          </cell>
        </row>
        <row r="5865">
          <cell r="A5865" t="str">
            <v>XZ-ZQ9901-KW-260</v>
          </cell>
          <cell r="B5865" t="str">
            <v>XZ-ZQ9901</v>
          </cell>
        </row>
        <row r="5866">
          <cell r="A5866" t="str">
            <v>XZ-ZQ9901-KW-270</v>
          </cell>
          <cell r="B5866" t="str">
            <v>XZ-ZQ9901</v>
          </cell>
        </row>
        <row r="5867">
          <cell r="A5867" t="str">
            <v>XZ-ZQ9901-KW-280</v>
          </cell>
          <cell r="B5867" t="str">
            <v>XZ-ZQ9901</v>
          </cell>
        </row>
        <row r="5868">
          <cell r="A5868" t="str">
            <v>XZ-ZQ9901-W0-240</v>
          </cell>
          <cell r="B5868" t="str">
            <v>XZ-ZQ9901</v>
          </cell>
        </row>
        <row r="5869">
          <cell r="A5869" t="str">
            <v>XZ-ZQ9901-W0-250</v>
          </cell>
          <cell r="B5869" t="str">
            <v>XZ-ZQ9901</v>
          </cell>
        </row>
        <row r="5870">
          <cell r="A5870" t="str">
            <v>XZ-ZQ9901-W0-260</v>
          </cell>
          <cell r="B5870" t="str">
            <v>XZ-ZQ9901</v>
          </cell>
        </row>
        <row r="5871">
          <cell r="A5871" t="str">
            <v>XZ-ZQ9901-W0-270</v>
          </cell>
          <cell r="B5871" t="str">
            <v>XZ-ZQ9901</v>
          </cell>
        </row>
        <row r="5872">
          <cell r="A5872" t="str">
            <v>XZ-ZQ9901-W0-280</v>
          </cell>
          <cell r="B5872" t="str">
            <v>XZ-ZQ9901</v>
          </cell>
        </row>
        <row r="5873">
          <cell r="A5873" t="str">
            <v>XZ-ZQCB1001-C0-40</v>
          </cell>
          <cell r="B5873" t="str">
            <v>XZ-ZQCB1001</v>
          </cell>
        </row>
        <row r="5874">
          <cell r="A5874" t="str">
            <v>XZ-ZQCB1001-C0-42</v>
          </cell>
          <cell r="B5874" t="str">
            <v>XZ-ZQCB1001</v>
          </cell>
        </row>
        <row r="5875">
          <cell r="A5875" t="str">
            <v>XZ-ZQCB1001-C0-44</v>
          </cell>
          <cell r="B5875" t="str">
            <v>XZ-ZQCB1001</v>
          </cell>
        </row>
        <row r="5876">
          <cell r="A5876" t="str">
            <v>XZ-ZQCB1001-K0-36</v>
          </cell>
          <cell r="B5876" t="str">
            <v>XZ-ZQCB1001</v>
          </cell>
        </row>
        <row r="5877">
          <cell r="A5877" t="str">
            <v>XZ-ZQCB1001-K0-38</v>
          </cell>
          <cell r="B5877" t="str">
            <v>XZ-ZQCB1001</v>
          </cell>
        </row>
        <row r="5878">
          <cell r="A5878" t="str">
            <v>XZ-ZQCB1001-K0-40</v>
          </cell>
          <cell r="B5878" t="str">
            <v>XZ-ZQCB1001</v>
          </cell>
        </row>
        <row r="5879">
          <cell r="A5879" t="str">
            <v>XZ-ZQCB1001-K0-42</v>
          </cell>
          <cell r="B5879" t="str">
            <v>XZ-ZQCB1001</v>
          </cell>
        </row>
        <row r="5880">
          <cell r="A5880" t="str">
            <v>XZ-ZQCB1001-K0-44</v>
          </cell>
          <cell r="B5880" t="str">
            <v>XZ-ZQCB1001</v>
          </cell>
        </row>
        <row r="5881">
          <cell r="A5881" t="str">
            <v>XZ-ZQCB1001-R1-36</v>
          </cell>
          <cell r="B5881" t="str">
            <v>XZ-ZQCB1001</v>
          </cell>
        </row>
        <row r="5882">
          <cell r="A5882" t="str">
            <v>XZ-ZQCB1001-R1-38</v>
          </cell>
          <cell r="B5882" t="str">
            <v>XZ-ZQCB1001</v>
          </cell>
        </row>
        <row r="5883">
          <cell r="A5883" t="str">
            <v>XZ-ZQCB1001-R1-40</v>
          </cell>
          <cell r="B5883" t="str">
            <v>XZ-ZQCB1001</v>
          </cell>
        </row>
        <row r="5884">
          <cell r="A5884" t="str">
            <v>XZ-ZQCB1001-R2-36</v>
          </cell>
          <cell r="B5884" t="str">
            <v>XZ-ZQCB1001</v>
          </cell>
        </row>
        <row r="5885">
          <cell r="A5885" t="str">
            <v>XZ-ZQCB1001-R2-38</v>
          </cell>
          <cell r="B5885" t="str">
            <v>XZ-ZQCB1001</v>
          </cell>
        </row>
        <row r="5886">
          <cell r="A5886" t="str">
            <v>XZ-ZQCB1001-R2-40</v>
          </cell>
          <cell r="B5886" t="str">
            <v>XZ-ZQCB1001</v>
          </cell>
        </row>
        <row r="5887">
          <cell r="A5887" t="str">
            <v>XZ-ZQCB2002-C0-40</v>
          </cell>
          <cell r="B5887" t="str">
            <v>XZ-ZQCB2002</v>
          </cell>
        </row>
        <row r="5888">
          <cell r="A5888" t="str">
            <v>XZ-ZQCB2002-C0-42</v>
          </cell>
          <cell r="B5888" t="str">
            <v>XZ-ZQCB2002</v>
          </cell>
        </row>
        <row r="5889">
          <cell r="A5889" t="str">
            <v>XZ-ZQCB2002-C0-44</v>
          </cell>
          <cell r="B5889" t="str">
            <v>XZ-ZQCB2002</v>
          </cell>
        </row>
        <row r="5890">
          <cell r="A5890" t="str">
            <v>XZ-ZQCB2002-K0-36</v>
          </cell>
          <cell r="B5890" t="str">
            <v>XZ-ZQCB2002</v>
          </cell>
        </row>
        <row r="5891">
          <cell r="A5891" t="str">
            <v>XZ-ZQCB2002-K0-38</v>
          </cell>
          <cell r="B5891" t="str">
            <v>XZ-ZQCB2002</v>
          </cell>
        </row>
        <row r="5892">
          <cell r="A5892" t="str">
            <v>XZ-ZQCB2002-K0-40</v>
          </cell>
          <cell r="B5892" t="str">
            <v>XZ-ZQCB2002</v>
          </cell>
        </row>
        <row r="5893">
          <cell r="A5893" t="str">
            <v>XZ-ZQCB2002-K0-42</v>
          </cell>
          <cell r="B5893" t="str">
            <v>XZ-ZQCB2002</v>
          </cell>
        </row>
        <row r="5894">
          <cell r="A5894" t="str">
            <v>XZ-ZQCB2002-K0-44</v>
          </cell>
          <cell r="B5894" t="str">
            <v>XZ-ZQCB2002</v>
          </cell>
        </row>
        <row r="5895">
          <cell r="A5895" t="str">
            <v>XZ-ZQCB2002-R1-36</v>
          </cell>
          <cell r="B5895" t="str">
            <v>XZ-ZQCB2002</v>
          </cell>
        </row>
        <row r="5896">
          <cell r="A5896" t="str">
            <v>XZ-ZQCB2002-R1-38</v>
          </cell>
          <cell r="B5896" t="str">
            <v>XZ-ZQCB2002</v>
          </cell>
        </row>
        <row r="5897">
          <cell r="A5897" t="str">
            <v>XZ-ZQCB2002-R1-40</v>
          </cell>
          <cell r="B5897" t="str">
            <v>XZ-ZQCB2002</v>
          </cell>
        </row>
        <row r="5898">
          <cell r="A5898" t="str">
            <v>XZ-ZQCB2002-R2-36</v>
          </cell>
          <cell r="B5898" t="str">
            <v>XZ-ZQCB2002</v>
          </cell>
        </row>
        <row r="5899">
          <cell r="A5899" t="str">
            <v>XZ-ZQCB2002-R2-38</v>
          </cell>
          <cell r="B5899" t="str">
            <v>XZ-ZQCB2002</v>
          </cell>
        </row>
        <row r="5900">
          <cell r="A5900" t="str">
            <v>XZ-ZQCB2002-R2-40</v>
          </cell>
          <cell r="B5900" t="str">
            <v>XZ-ZQCB2002</v>
          </cell>
        </row>
        <row r="5901">
          <cell r="A5901" t="str">
            <v>XZ-ZQCB2056-B0-1415</v>
          </cell>
          <cell r="B5901" t="str">
            <v>XZ-ZQCB3056</v>
          </cell>
        </row>
        <row r="5902">
          <cell r="A5902" t="str">
            <v>XZ-ZQCB2056-B0-1617</v>
          </cell>
          <cell r="B5902" t="str">
            <v>XZ-ZQCB3056</v>
          </cell>
        </row>
        <row r="5903">
          <cell r="A5903" t="str">
            <v>XZ-ZQCB2056-B0-1819</v>
          </cell>
          <cell r="B5903" t="str">
            <v>XZ-ZQCB3056</v>
          </cell>
        </row>
        <row r="5904">
          <cell r="A5904" t="str">
            <v>XZ-ZQCB2056-B0-21</v>
          </cell>
          <cell r="B5904" t="str">
            <v>XZ-ZQCB3056</v>
          </cell>
        </row>
        <row r="5905">
          <cell r="A5905" t="str">
            <v>XZ-ZQCB2056-B0-22</v>
          </cell>
          <cell r="B5905" t="str">
            <v>XZ-ZQCB3056</v>
          </cell>
        </row>
        <row r="5906">
          <cell r="A5906" t="str">
            <v>XZ-ZQCB2056-B0-22-CS</v>
          </cell>
          <cell r="B5906" t="str">
            <v>XZ-ZQCB3056</v>
          </cell>
        </row>
        <row r="5907">
          <cell r="A5907" t="str">
            <v>XZ-ZQCB2056-B0-23</v>
          </cell>
          <cell r="B5907" t="str">
            <v>XZ-ZQCB3056</v>
          </cell>
        </row>
        <row r="5908">
          <cell r="A5908" t="str">
            <v>XZ-ZQCB2056-E0-1415-GM</v>
          </cell>
          <cell r="B5908" t="str">
            <v>XZ-ZQCB3056</v>
          </cell>
        </row>
        <row r="5909">
          <cell r="A5909" t="str">
            <v>XZ-ZQCB2056-E0-1617</v>
          </cell>
          <cell r="B5909" t="str">
            <v>XZ-ZQCB3056</v>
          </cell>
        </row>
        <row r="5910">
          <cell r="A5910" t="str">
            <v>XZ-ZQCB2056-E0-1819</v>
          </cell>
          <cell r="B5910" t="str">
            <v>XZ-ZQCB3056</v>
          </cell>
        </row>
        <row r="5911">
          <cell r="A5911" t="str">
            <v>XZ-ZQCB2056-E0-21</v>
          </cell>
          <cell r="B5911" t="str">
            <v>XZ-ZQCB3056</v>
          </cell>
        </row>
        <row r="5912">
          <cell r="A5912" t="str">
            <v>XZ-ZQCB2056-E0-22</v>
          </cell>
          <cell r="B5912" t="str">
            <v>XZ-ZQCB3056</v>
          </cell>
        </row>
        <row r="5913">
          <cell r="A5913" t="str">
            <v>XZ-ZQCB2056-E0-23</v>
          </cell>
          <cell r="B5913" t="str">
            <v>XZ-ZQCB3056</v>
          </cell>
        </row>
        <row r="5914">
          <cell r="A5914" t="str">
            <v>XZ-ZQCB2056-E0-23-GM</v>
          </cell>
          <cell r="B5914" t="str">
            <v>XZ-ZQCB3056</v>
          </cell>
        </row>
        <row r="5915">
          <cell r="A5915" t="str">
            <v>XZ-ZQCB2056-KQ-1415</v>
          </cell>
          <cell r="B5915" t="str">
            <v>XZ-ZQCB3056</v>
          </cell>
        </row>
        <row r="5916">
          <cell r="A5916" t="str">
            <v>XZ-ZQCB2056-KQ-1617</v>
          </cell>
          <cell r="B5916" t="str">
            <v>XZ-ZQCB3056</v>
          </cell>
        </row>
        <row r="5917">
          <cell r="A5917" t="str">
            <v>XZ-ZQCB2056-KQ-1819</v>
          </cell>
          <cell r="B5917" t="str">
            <v>XZ-ZQCB3056</v>
          </cell>
        </row>
        <row r="5918">
          <cell r="A5918" t="str">
            <v>XZ-ZQCB2056-KQ-21</v>
          </cell>
          <cell r="B5918" t="str">
            <v>XZ-ZQCB3056</v>
          </cell>
        </row>
        <row r="5919">
          <cell r="A5919" t="str">
            <v>XZ-ZQCB2056-KQ-21-NEW</v>
          </cell>
          <cell r="B5919" t="str">
            <v>XZ-ZQCB3056</v>
          </cell>
        </row>
        <row r="5920">
          <cell r="A5920" t="str">
            <v>XZ-ZQCB2056-KQ-22</v>
          </cell>
          <cell r="B5920" t="str">
            <v>XZ-ZQCB3056</v>
          </cell>
        </row>
        <row r="5921">
          <cell r="A5921" t="str">
            <v>XZ-ZQCB2056-KQ-23</v>
          </cell>
          <cell r="B5921" t="str">
            <v>XZ-ZQCB3056</v>
          </cell>
        </row>
        <row r="5922">
          <cell r="A5922" t="str">
            <v>XZ-ZQCB2056-R1-1415</v>
          </cell>
          <cell r="B5922" t="str">
            <v>XZ-ZQCB3056</v>
          </cell>
        </row>
        <row r="5923">
          <cell r="A5923" t="str">
            <v>XZ-ZQCB2056-R1-1617</v>
          </cell>
          <cell r="B5923" t="str">
            <v>XZ-ZQCB3056</v>
          </cell>
        </row>
        <row r="5924">
          <cell r="A5924" t="str">
            <v>XZ-ZQCB2056-R1-1819</v>
          </cell>
          <cell r="B5924" t="str">
            <v>XZ-ZQCB3056</v>
          </cell>
        </row>
        <row r="5925">
          <cell r="A5925" t="str">
            <v>XZ-ZQCB2056-R1-21</v>
          </cell>
          <cell r="B5925" t="str">
            <v>XZ-ZQCB3056</v>
          </cell>
        </row>
        <row r="5926">
          <cell r="A5926" t="str">
            <v>XZ-ZQCB2056-R1-22</v>
          </cell>
          <cell r="B5926" t="str">
            <v>XZ-ZQCB3056</v>
          </cell>
        </row>
        <row r="5927">
          <cell r="A5927" t="str">
            <v>XZ-ZQCB2056-R1-22-CS</v>
          </cell>
          <cell r="B5927" t="str">
            <v>XZ-ZQCB3056</v>
          </cell>
        </row>
        <row r="5928">
          <cell r="A5928" t="str">
            <v>XZ-ZQCB2056-R1-23</v>
          </cell>
          <cell r="B5928" t="str">
            <v>XZ-ZQCB3056</v>
          </cell>
        </row>
        <row r="5929">
          <cell r="A5929" t="str">
            <v>XZ-ZQCB2056-R2-1415</v>
          </cell>
          <cell r="B5929" t="str">
            <v>XZ-ZQCB3056</v>
          </cell>
        </row>
        <row r="5930">
          <cell r="A5930" t="str">
            <v>XZ-ZQCB2056-R2-1617</v>
          </cell>
          <cell r="B5930" t="str">
            <v>XZ-ZQCB3056</v>
          </cell>
        </row>
        <row r="5931">
          <cell r="A5931" t="str">
            <v>XZ-ZQCB2056-R2-1617-GM</v>
          </cell>
          <cell r="B5931" t="str">
            <v>XZ-ZQCB3056</v>
          </cell>
        </row>
        <row r="5932">
          <cell r="A5932" t="str">
            <v>XZ-ZQCB2056-R2-1819</v>
          </cell>
          <cell r="B5932" t="str">
            <v>XZ-ZQCB3056</v>
          </cell>
        </row>
        <row r="5933">
          <cell r="A5933" t="str">
            <v>XZ-ZQCB2056-R2-1819-GM</v>
          </cell>
          <cell r="B5933" t="str">
            <v>XZ-ZQCB3056</v>
          </cell>
        </row>
        <row r="5934">
          <cell r="A5934" t="str">
            <v>XZ-ZQCB2056-R2-21</v>
          </cell>
          <cell r="B5934" t="str">
            <v>XZ-ZQCB3056</v>
          </cell>
        </row>
        <row r="5935">
          <cell r="A5935" t="str">
            <v>XZ-ZQCB2056-R2-21-CS</v>
          </cell>
          <cell r="B5935" t="str">
            <v>XZ-ZQCB3056</v>
          </cell>
        </row>
        <row r="5936">
          <cell r="A5936" t="str">
            <v>XZ-ZQCB2056-R2-22</v>
          </cell>
          <cell r="B5936" t="str">
            <v>XZ-ZQCB3056</v>
          </cell>
        </row>
        <row r="5937">
          <cell r="A5937" t="str">
            <v>XZ-ZQCB2056-R2-23</v>
          </cell>
          <cell r="B5937" t="str">
            <v>XZ-ZQCB3056</v>
          </cell>
        </row>
        <row r="5938">
          <cell r="A5938" t="str">
            <v>XZ-ZQCB3056-B0-24</v>
          </cell>
          <cell r="B5938" t="str">
            <v>XZ-ZQCB3056</v>
          </cell>
        </row>
        <row r="5939">
          <cell r="A5939" t="str">
            <v>XZ-ZQCB3056-B0-25</v>
          </cell>
          <cell r="B5939" t="str">
            <v>XZ-ZQCB3056</v>
          </cell>
        </row>
        <row r="5940">
          <cell r="A5940" t="str">
            <v>XZ-ZQCB3056-B0-26</v>
          </cell>
          <cell r="B5940" t="str">
            <v>XZ-ZQCB3056</v>
          </cell>
        </row>
        <row r="5941">
          <cell r="A5941" t="str">
            <v>XZ-ZQCB3056-B0-27</v>
          </cell>
          <cell r="B5941" t="str">
            <v>XZ-ZQCB3056</v>
          </cell>
        </row>
        <row r="5942">
          <cell r="A5942" t="str">
            <v>XZ-ZQCB3056-B0-28</v>
          </cell>
          <cell r="B5942" t="str">
            <v>XZ-ZQCB3056</v>
          </cell>
        </row>
        <row r="5943">
          <cell r="A5943" t="str">
            <v>XZ-ZQCB3056-E0-24</v>
          </cell>
          <cell r="B5943" t="str">
            <v>XZ-ZQCB3056</v>
          </cell>
        </row>
        <row r="5944">
          <cell r="A5944" t="str">
            <v>XZ-ZQCB3056-E0-25</v>
          </cell>
          <cell r="B5944" t="str">
            <v>XZ-ZQCB3056</v>
          </cell>
        </row>
        <row r="5945">
          <cell r="A5945" t="str">
            <v>XZ-ZQCB3056-E0-26</v>
          </cell>
          <cell r="B5945" t="str">
            <v>XZ-ZQCB3056</v>
          </cell>
        </row>
        <row r="5946">
          <cell r="A5946" t="str">
            <v>XZ-ZQCB3056-E0-27</v>
          </cell>
          <cell r="B5946" t="str">
            <v>XZ-ZQCB3056</v>
          </cell>
        </row>
        <row r="5947">
          <cell r="A5947" t="str">
            <v>XZ-ZQCB3056-E0-27-GM</v>
          </cell>
          <cell r="B5947" t="str">
            <v>XZ-ZQCB3056</v>
          </cell>
        </row>
        <row r="5948">
          <cell r="A5948" t="str">
            <v>XZ-ZQCB3056-E0-28</v>
          </cell>
          <cell r="B5948" t="str">
            <v>XZ-ZQCB3056</v>
          </cell>
        </row>
        <row r="5949">
          <cell r="A5949" t="str">
            <v>XZ-ZQCB3056-kQ-24</v>
          </cell>
          <cell r="B5949" t="str">
            <v>XZ-ZQCB3056</v>
          </cell>
        </row>
        <row r="5950">
          <cell r="A5950" t="str">
            <v>XZ-ZQCB3056-kQ-25</v>
          </cell>
          <cell r="B5950" t="str">
            <v>XZ-ZQCB3056</v>
          </cell>
        </row>
        <row r="5951">
          <cell r="A5951" t="str">
            <v>XZ-ZQCB3056-KQ-26</v>
          </cell>
          <cell r="B5951" t="str">
            <v>XZ-ZQCB3056</v>
          </cell>
        </row>
        <row r="5952">
          <cell r="A5952" t="str">
            <v>XZ-ZQCB3056-KQ-26-GM</v>
          </cell>
          <cell r="B5952" t="str">
            <v>XZ-ZQCB3056</v>
          </cell>
        </row>
        <row r="5953">
          <cell r="A5953" t="str">
            <v>XZ-ZQCB3056-kQ-27</v>
          </cell>
          <cell r="B5953" t="str">
            <v>XZ-ZQCB3056</v>
          </cell>
        </row>
        <row r="5954">
          <cell r="A5954" t="str">
            <v>XZ-ZQCB3056-KQ-28</v>
          </cell>
          <cell r="B5954" t="str">
            <v>XZ-ZQCB3056</v>
          </cell>
        </row>
        <row r="5955">
          <cell r="A5955" t="str">
            <v>XZ-ZQCB3056-R1-24</v>
          </cell>
          <cell r="B5955" t="str">
            <v>XZ-ZQCB3056</v>
          </cell>
        </row>
        <row r="5956">
          <cell r="A5956" t="str">
            <v>XZ-ZQCB3056-R1-24-New</v>
          </cell>
          <cell r="B5956" t="str">
            <v>XZ-ZQCB3056</v>
          </cell>
        </row>
        <row r="5957">
          <cell r="A5957" t="str">
            <v>XZ-ZQCB3056-R1-25</v>
          </cell>
          <cell r="B5957" t="str">
            <v>XZ-ZQCB3056</v>
          </cell>
        </row>
        <row r="5958">
          <cell r="A5958" t="str">
            <v>XZ-ZQCB3056-R1-26</v>
          </cell>
          <cell r="B5958" t="str">
            <v>XZ-ZQCB3056</v>
          </cell>
        </row>
        <row r="5959">
          <cell r="A5959" t="str">
            <v>XZ-ZQCB3056-R1-27</v>
          </cell>
          <cell r="B5959" t="str">
            <v>XZ-ZQCB3056</v>
          </cell>
        </row>
        <row r="5960">
          <cell r="A5960" t="str">
            <v>XZ-ZQCB3056-R1-28</v>
          </cell>
          <cell r="B5960" t="str">
            <v>XZ-ZQCB3056</v>
          </cell>
        </row>
        <row r="5961">
          <cell r="A5961" t="str">
            <v>XZ-ZQCB3056-R2-24</v>
          </cell>
          <cell r="B5961" t="str">
            <v>XZ-ZQCB3056</v>
          </cell>
        </row>
        <row r="5962">
          <cell r="A5962" t="str">
            <v>XZ-ZQCB3056-R2-25</v>
          </cell>
          <cell r="B5962" t="str">
            <v>XZ-ZQCB3056</v>
          </cell>
        </row>
        <row r="5963">
          <cell r="A5963" t="str">
            <v>XZ-ZQCB3056-R2-26</v>
          </cell>
          <cell r="B5963" t="str">
            <v>XZ-ZQCB3056</v>
          </cell>
        </row>
        <row r="5964">
          <cell r="A5964" t="str">
            <v>XZ-ZQCB3056-R2-27</v>
          </cell>
          <cell r="B5964" t="str">
            <v>XZ-ZQCB3056</v>
          </cell>
        </row>
        <row r="5965">
          <cell r="A5965" t="str">
            <v>XZ-ZQCB3056-R2-28</v>
          </cell>
          <cell r="B5965" t="str">
            <v>XZ-ZQCB3056</v>
          </cell>
        </row>
        <row r="5966">
          <cell r="A5966" t="str">
            <v>XZ-ZQFT720-C0-4243</v>
          </cell>
          <cell r="B5966" t="str">
            <v>XZ-ZQFT720</v>
          </cell>
        </row>
        <row r="5967">
          <cell r="A5967" t="str">
            <v>XZ-ZQFT720-PI-3839</v>
          </cell>
          <cell r="B5967" t="str">
            <v>XZ-ZQFT720</v>
          </cell>
        </row>
        <row r="5968">
          <cell r="A5968" t="str">
            <v>XZ-ZQFT730-B0-3637</v>
          </cell>
          <cell r="B5968" t="str">
            <v>XZ-ZQFT730</v>
          </cell>
        </row>
        <row r="5969">
          <cell r="A5969" t="str">
            <v>XZ-ZQFT730-B0-3839</v>
          </cell>
          <cell r="B5969" t="str">
            <v>XZ-ZQFT730</v>
          </cell>
        </row>
        <row r="5970">
          <cell r="A5970" t="str">
            <v>XZ-ZQFT730-B0-4041</v>
          </cell>
          <cell r="B5970" t="str">
            <v>XZ-ZQFT730</v>
          </cell>
        </row>
        <row r="5971">
          <cell r="A5971" t="str">
            <v>XZ-ZQFT730-C0-4243</v>
          </cell>
          <cell r="B5971" t="str">
            <v>XZ-ZQFT730</v>
          </cell>
        </row>
        <row r="5972">
          <cell r="A5972" t="str">
            <v>XZ-ZQFT730-C0-4445</v>
          </cell>
          <cell r="B5972" t="str">
            <v>XZ-ZQFT730</v>
          </cell>
        </row>
        <row r="5973">
          <cell r="A5973" t="str">
            <v>XZ-ZQFT730-C0-4647</v>
          </cell>
          <cell r="B5973" t="str">
            <v>XZ-ZQFT730</v>
          </cell>
        </row>
        <row r="5974">
          <cell r="A5974" t="str">
            <v>XZ-ZQFT730-E0-4243</v>
          </cell>
          <cell r="B5974" t="str">
            <v>XZ-ZQFT730</v>
          </cell>
        </row>
        <row r="5975">
          <cell r="A5975" t="str">
            <v>XZ-ZQFT730-E0-4445</v>
          </cell>
          <cell r="B5975" t="str">
            <v>XZ-ZQFT730</v>
          </cell>
        </row>
        <row r="5976">
          <cell r="A5976" t="str">
            <v>XZ-ZQFT730-E0-4647</v>
          </cell>
          <cell r="B5976" t="str">
            <v>XZ-ZQFT730</v>
          </cell>
        </row>
        <row r="5977">
          <cell r="A5977" t="str">
            <v>XZ-ZQFT730-K0-3637</v>
          </cell>
          <cell r="B5977" t="str">
            <v>XZ-ZQFT730</v>
          </cell>
        </row>
        <row r="5978">
          <cell r="A5978" t="str">
            <v>XZ-ZQFT730-K0-3839</v>
          </cell>
          <cell r="B5978" t="str">
            <v>XZ-ZQFT730</v>
          </cell>
        </row>
        <row r="5979">
          <cell r="A5979" t="str">
            <v>XZ-ZQFT730-K0-4041</v>
          </cell>
          <cell r="B5979" t="str">
            <v>XZ-ZQFT730</v>
          </cell>
        </row>
        <row r="5980">
          <cell r="A5980" t="str">
            <v>XZ-ZQFT730-K0-4243</v>
          </cell>
          <cell r="B5980" t="str">
            <v>XZ-ZQFT730</v>
          </cell>
        </row>
        <row r="5981">
          <cell r="A5981" t="str">
            <v>XZ-ZQFT730-K0-4445</v>
          </cell>
          <cell r="B5981" t="str">
            <v>XZ-ZQFT730</v>
          </cell>
        </row>
        <row r="5982">
          <cell r="A5982" t="str">
            <v>XZ-ZQFT730-K0-4647</v>
          </cell>
          <cell r="B5982" t="str">
            <v>XZ-ZQFT730</v>
          </cell>
        </row>
        <row r="5983">
          <cell r="A5983" t="str">
            <v>XZ-ZQFT730-P0-3637</v>
          </cell>
          <cell r="B5983" t="str">
            <v>XZ-ZQFT730</v>
          </cell>
        </row>
        <row r="5984">
          <cell r="A5984" t="str">
            <v>XZ-ZQFT730-P0-3839</v>
          </cell>
          <cell r="B5984" t="str">
            <v>XZ-ZQFT730</v>
          </cell>
        </row>
        <row r="5985">
          <cell r="A5985" t="str">
            <v>XZ-ZQFT730-P0-4041</v>
          </cell>
          <cell r="B5985" t="str">
            <v>XZ-ZQFT730</v>
          </cell>
        </row>
        <row r="5986">
          <cell r="A5986" t="str">
            <v>XZ-ZQFT730-PI-3637</v>
          </cell>
          <cell r="B5986" t="str">
            <v>XZ-ZQFT730</v>
          </cell>
        </row>
        <row r="5987">
          <cell r="A5987" t="str">
            <v>XZ-ZQFT730-PI-3839</v>
          </cell>
          <cell r="B5987" t="str">
            <v>XZ-ZQFT730</v>
          </cell>
        </row>
        <row r="5988">
          <cell r="A5988" t="str">
            <v>XZ-ZQFT730-PI-4041</v>
          </cell>
          <cell r="B5988" t="str">
            <v>XZ-ZQFT730</v>
          </cell>
        </row>
        <row r="5989">
          <cell r="A5989" t="str">
            <v>XZ-ZQFT730-R1-3637</v>
          </cell>
          <cell r="B5989" t="str">
            <v>XZ-ZQFT730</v>
          </cell>
        </row>
        <row r="5990">
          <cell r="A5990" t="str">
            <v>XZ-ZQFT730-R1-3839</v>
          </cell>
          <cell r="B5990" t="str">
            <v>XZ-ZQFT730</v>
          </cell>
        </row>
        <row r="5991">
          <cell r="A5991" t="str">
            <v>XZ-ZQFT730-R1-4041</v>
          </cell>
          <cell r="B5991" t="str">
            <v>XZ-ZQFT730</v>
          </cell>
        </row>
        <row r="5992">
          <cell r="A5992" t="str">
            <v>XZ-ZQFT730-R2-3637</v>
          </cell>
          <cell r="B5992" t="str">
            <v>XZ-ZQFT730</v>
          </cell>
        </row>
        <row r="5993">
          <cell r="A5993" t="str">
            <v>XZ-ZQFT730-R2-3839</v>
          </cell>
          <cell r="B5993" t="str">
            <v>XZ-ZQFT730</v>
          </cell>
        </row>
        <row r="5994">
          <cell r="A5994" t="str">
            <v>XZ-ZQFT730-R2-4041</v>
          </cell>
          <cell r="B5994" t="str">
            <v>XZ-ZQFT730</v>
          </cell>
        </row>
        <row r="5995">
          <cell r="A5995" t="str">
            <v>XZ-ZQFT730-ZL-4243</v>
          </cell>
          <cell r="B5995" t="str">
            <v>XZ-ZQFT730</v>
          </cell>
        </row>
        <row r="5996">
          <cell r="A5996" t="str">
            <v>XZ-ZQFT730-ZL-4445</v>
          </cell>
          <cell r="B5996" t="str">
            <v>XZ-ZQFT730</v>
          </cell>
        </row>
        <row r="5997">
          <cell r="A5997" t="str">
            <v>XZ-ZQFT730-ZL-4647</v>
          </cell>
          <cell r="B5997" t="str">
            <v>XZ-ZQFT730</v>
          </cell>
        </row>
        <row r="5998">
          <cell r="A5998" t="str">
            <v>XZ-ZQJZ100-C0-270</v>
          </cell>
          <cell r="B5998" t="str">
            <v>XZ-ZQJZ100</v>
          </cell>
        </row>
        <row r="5999">
          <cell r="A5999" t="str">
            <v>XZ-ZQJZ100-C0-280</v>
          </cell>
          <cell r="B5999" t="str">
            <v>XZ-ZQJZ100</v>
          </cell>
        </row>
        <row r="6000">
          <cell r="A6000" t="str">
            <v>XZ-ZQJZ100-C0-290</v>
          </cell>
          <cell r="B6000" t="str">
            <v>XZ-ZQJZ100</v>
          </cell>
        </row>
        <row r="6001">
          <cell r="A6001" t="str">
            <v>XZ-ZQJZ100-G0-250</v>
          </cell>
          <cell r="B6001" t="str">
            <v>XZ-ZQJZ100</v>
          </cell>
        </row>
        <row r="6002">
          <cell r="A6002" t="str">
            <v>XZ-ZQJZ100-G0-260</v>
          </cell>
          <cell r="B6002" t="str">
            <v>XZ-ZQJZ100</v>
          </cell>
        </row>
        <row r="6003">
          <cell r="A6003" t="str">
            <v>XZ-ZQJZ100-G0-270</v>
          </cell>
          <cell r="B6003" t="str">
            <v>XZ-ZQJZ100</v>
          </cell>
        </row>
        <row r="6004">
          <cell r="A6004" t="str">
            <v>XZ-ZQJZ100-P0-270</v>
          </cell>
          <cell r="B6004" t="str">
            <v>XZ-ZQJZ100</v>
          </cell>
        </row>
        <row r="6005">
          <cell r="A6005" t="str">
            <v>XZ-ZQJZ100-P0-280</v>
          </cell>
          <cell r="B6005" t="str">
            <v>XZ-ZQJZ100</v>
          </cell>
        </row>
        <row r="6006">
          <cell r="A6006" t="str">
            <v>XZ-ZQJZ100-P0-290</v>
          </cell>
          <cell r="B6006" t="str">
            <v>XZ-ZQJZ100</v>
          </cell>
        </row>
        <row r="6007">
          <cell r="A6007" t="str">
            <v>XZ-ZQJZ100-PI-250</v>
          </cell>
          <cell r="B6007" t="str">
            <v>XZ-ZQJZ100</v>
          </cell>
        </row>
        <row r="6008">
          <cell r="A6008" t="str">
            <v>XZ-ZQJZ100-PI-260</v>
          </cell>
          <cell r="B6008" t="str">
            <v>XZ-ZQJZ100</v>
          </cell>
        </row>
        <row r="6009">
          <cell r="A6009" t="str">
            <v>XZ-ZQJZ100-PI-270</v>
          </cell>
          <cell r="B6009" t="str">
            <v>XZ-ZQJZ100</v>
          </cell>
        </row>
        <row r="6010">
          <cell r="A6010" t="str">
            <v>XZ-ZQJZ100-R0-250</v>
          </cell>
          <cell r="B6010" t="str">
            <v>XZ-ZQJZ100</v>
          </cell>
        </row>
        <row r="6011">
          <cell r="A6011" t="str">
            <v>XZ-ZQJZ100-R0-260</v>
          </cell>
          <cell r="B6011" t="str">
            <v>XZ-ZQJZ100</v>
          </cell>
        </row>
        <row r="6012">
          <cell r="A6012" t="str">
            <v>XZ-ZQJZ100-R0-270</v>
          </cell>
          <cell r="B6012" t="str">
            <v>XZ-ZQJZ100</v>
          </cell>
        </row>
        <row r="6013">
          <cell r="A6013" t="str">
            <v>XZ-ZQJZ120-K0-250</v>
          </cell>
          <cell r="B6013" t="str">
            <v>XZ-ZQJZ120</v>
          </cell>
        </row>
        <row r="6014">
          <cell r="A6014" t="str">
            <v>XZ-ZQJZ120-K0-260</v>
          </cell>
          <cell r="B6014" t="str">
            <v>XZ-ZQJZ120</v>
          </cell>
        </row>
        <row r="6015">
          <cell r="A6015" t="str">
            <v>XZ-ZQJZ120-K0-270</v>
          </cell>
          <cell r="B6015" t="str">
            <v>XZ-ZQJZ120</v>
          </cell>
        </row>
        <row r="6016">
          <cell r="A6016" t="str">
            <v>XZ-ZQJZ120-KQ-250</v>
          </cell>
          <cell r="B6016" t="str">
            <v>XZ-ZQJZ120</v>
          </cell>
        </row>
        <row r="6017">
          <cell r="A6017" t="str">
            <v>XZ-ZQJZ120-KQ-260</v>
          </cell>
          <cell r="B6017" t="str">
            <v>XZ-ZQJZ120</v>
          </cell>
        </row>
        <row r="6018">
          <cell r="A6018" t="str">
            <v>XZ-ZQJZ120-KQ-270</v>
          </cell>
          <cell r="B6018" t="str">
            <v>XZ-ZQJZ120</v>
          </cell>
        </row>
        <row r="6019">
          <cell r="A6019" t="str">
            <v>XZ-ZQJZ120-PE-250</v>
          </cell>
          <cell r="B6019" t="str">
            <v>XZ-ZQJZ120</v>
          </cell>
        </row>
        <row r="6020">
          <cell r="A6020" t="str">
            <v>XZ-ZQJZ120-PE-260</v>
          </cell>
          <cell r="B6020" t="str">
            <v>XZ-ZQJZ120</v>
          </cell>
        </row>
        <row r="6021">
          <cell r="A6021" t="str">
            <v>XZ-ZQJZ120-PE-270</v>
          </cell>
          <cell r="B6021" t="str">
            <v>XZ-ZQJZ120</v>
          </cell>
        </row>
        <row r="6022">
          <cell r="A6022" t="str">
            <v>XZ-ZQJZ120-PR-250</v>
          </cell>
          <cell r="B6022" t="str">
            <v>XZ-ZQJZ120</v>
          </cell>
        </row>
        <row r="6023">
          <cell r="A6023" t="str">
            <v>XZ-ZQJZ120-PR-260</v>
          </cell>
          <cell r="B6023" t="str">
            <v>XZ-ZQJZ120</v>
          </cell>
        </row>
        <row r="6024">
          <cell r="A6024" t="str">
            <v>XZ-ZQJZ120-PR-270</v>
          </cell>
          <cell r="B6024" t="str">
            <v>XZ-ZQJZ120</v>
          </cell>
        </row>
        <row r="6025">
          <cell r="A6025" t="str">
            <v>XZ-ZQJZ609-BD-250</v>
          </cell>
          <cell r="B6025" t="str">
            <v>XZ-ZQJZ609</v>
          </cell>
        </row>
        <row r="6026">
          <cell r="A6026" t="str">
            <v>XZ-ZQJZ609-BD-260</v>
          </cell>
          <cell r="B6026" t="str">
            <v>XZ-ZQJZ609</v>
          </cell>
        </row>
        <row r="6027">
          <cell r="A6027" t="str">
            <v>XZ-ZQJZ609-BD-270</v>
          </cell>
          <cell r="B6027" t="str">
            <v>XZ-ZQJZ609</v>
          </cell>
        </row>
        <row r="6028">
          <cell r="A6028" t="str">
            <v>XZ-ZQJZ609-C0-270</v>
          </cell>
          <cell r="B6028" t="str">
            <v>XZ-ZQJZ609</v>
          </cell>
        </row>
        <row r="6029">
          <cell r="A6029" t="str">
            <v>XZ-ZQJZ609-C0-280</v>
          </cell>
          <cell r="B6029" t="str">
            <v>XZ-ZQJZ609</v>
          </cell>
        </row>
        <row r="6030">
          <cell r="A6030" t="str">
            <v>XZ-ZQJZ609-C0-290</v>
          </cell>
          <cell r="B6030" t="str">
            <v>XZ-ZQJZ609</v>
          </cell>
        </row>
        <row r="6031">
          <cell r="A6031" t="str">
            <v>XZ-ZQJZ609-E0-270</v>
          </cell>
          <cell r="B6031" t="str">
            <v>XZ-ZQJZ609</v>
          </cell>
        </row>
        <row r="6032">
          <cell r="A6032" t="str">
            <v>XZ-ZQJZ609-E0-280</v>
          </cell>
          <cell r="B6032" t="str">
            <v>XZ-ZQJZ609</v>
          </cell>
        </row>
        <row r="6033">
          <cell r="A6033" t="str">
            <v>XZ-ZQJZ609-E0-290</v>
          </cell>
          <cell r="B6033" t="str">
            <v>XZ-ZQJZ609</v>
          </cell>
        </row>
        <row r="6034">
          <cell r="A6034" t="str">
            <v>XZ-ZQJZ609-P0-250</v>
          </cell>
          <cell r="B6034" t="str">
            <v>XZ-ZQJZ609</v>
          </cell>
        </row>
        <row r="6035">
          <cell r="A6035" t="str">
            <v>XZ-ZQJZ609-P0-260</v>
          </cell>
          <cell r="B6035" t="str">
            <v>XZ-ZQJZ609</v>
          </cell>
        </row>
        <row r="6036">
          <cell r="A6036" t="str">
            <v>XZ-ZQJZ609-P0-270</v>
          </cell>
          <cell r="B6036" t="str">
            <v>XZ-ZQJZ609</v>
          </cell>
        </row>
        <row r="6037">
          <cell r="A6037" t="str">
            <v>XZ-ZQJZ609-PI-250</v>
          </cell>
          <cell r="B6037" t="str">
            <v>XZ-ZQJZ609</v>
          </cell>
        </row>
        <row r="6038">
          <cell r="A6038" t="str">
            <v>XZ-ZQJZ609-PI-260</v>
          </cell>
          <cell r="B6038" t="str">
            <v>XZ-ZQJZ609</v>
          </cell>
        </row>
        <row r="6039">
          <cell r="A6039" t="str">
            <v>XZ-ZQJZ609-PI-270</v>
          </cell>
          <cell r="B6039" t="str">
            <v>XZ-ZQJZ609</v>
          </cell>
        </row>
        <row r="6040">
          <cell r="A6040" t="str">
            <v>YDWJQWHQWH150*200CM</v>
          </cell>
          <cell r="B6040" t="str">
            <v>YDWJQWHQWH</v>
          </cell>
        </row>
        <row r="6041">
          <cell r="A6041" t="str">
            <v>YDYPFS-L</v>
          </cell>
          <cell r="B6041" t="str">
            <v>YDYPFS</v>
          </cell>
        </row>
        <row r="6042">
          <cell r="A6042" t="str">
            <v>YDYPFS-M-2</v>
          </cell>
          <cell r="B6042" t="str">
            <v>YDYPFS</v>
          </cell>
        </row>
        <row r="6043">
          <cell r="A6043" t="str">
            <v>YDYPFS-S</v>
          </cell>
          <cell r="B6043" t="str">
            <v>YDYPFS</v>
          </cell>
        </row>
        <row r="6044">
          <cell r="A6044" t="str">
            <v>YDYPFS-XL</v>
          </cell>
          <cell r="B6044" t="str">
            <v>YDYPFS</v>
          </cell>
        </row>
        <row r="6045">
          <cell r="A6045" t="str">
            <v>YDY-YUNDONGK-8756K0-XL</v>
          </cell>
          <cell r="B6045" t="str">
            <v>YDY-YUNDONGK</v>
          </cell>
        </row>
        <row r="6046">
          <cell r="A6046" t="str">
            <v>YHJRBHIS-L</v>
          </cell>
          <cell r="B6046" t="str">
            <v>YHJRBHIS</v>
          </cell>
        </row>
        <row r="6047">
          <cell r="A6047" t="str">
            <v>YI-IUYLTBH-Y0</v>
          </cell>
          <cell r="B6047" t="str">
            <v>YI-IUYLTBH</v>
          </cell>
        </row>
        <row r="6048">
          <cell r="A6048" t="str">
            <v>YI-IUYLTBY-N5</v>
          </cell>
          <cell r="B6048" t="str">
            <v>YI-IUYLTBY</v>
          </cell>
        </row>
        <row r="6049">
          <cell r="A6049" t="str">
            <v>YMQYGZZBGZ90*90CM</v>
          </cell>
          <cell r="B6049" t="str">
            <v>YMQYGZZBGZ</v>
          </cell>
        </row>
        <row r="6050">
          <cell r="A6050" t="str">
            <v>YMQYQDZMZM100*140CM</v>
          </cell>
          <cell r="B6050" t="str">
            <v>YMQYQDZMZM</v>
          </cell>
        </row>
        <row r="6051">
          <cell r="A6051" t="str">
            <v>YMQYQDZMZM140*140CM</v>
          </cell>
          <cell r="B6051" t="str">
            <v>YMQYQDZMZM</v>
          </cell>
        </row>
        <row r="6052">
          <cell r="A6052" t="str">
            <v>YMQYQDZMZM140*160CM</v>
          </cell>
          <cell r="B6052" t="str">
            <v>YMQYQDZMZM</v>
          </cell>
        </row>
        <row r="6053">
          <cell r="A6053" t="str">
            <v>YMQYQDZMZM140*200CM</v>
          </cell>
          <cell r="B6053" t="str">
            <v>YMQYQDZMZM</v>
          </cell>
        </row>
        <row r="6054">
          <cell r="A6054" t="str">
            <v>YMQYQDZMZM60*60CM</v>
          </cell>
          <cell r="B6054" t="str">
            <v>YMQYQDZMZM</v>
          </cell>
        </row>
        <row r="6055">
          <cell r="A6055" t="str">
            <v>YMQYQDZMZM90*90CM</v>
          </cell>
          <cell r="B6055" t="str">
            <v>YMQYQDZMZM</v>
          </cell>
        </row>
        <row r="6056">
          <cell r="A6056" t="str">
            <v>YMQYQJISZMSS100*140CM</v>
          </cell>
          <cell r="B6056" t="str">
            <v>YMQYQJISZM</v>
          </cell>
        </row>
        <row r="6057">
          <cell r="A6057" t="str">
            <v>YMQYQJISZMSS140*140CM</v>
          </cell>
          <cell r="B6057" t="str">
            <v>YMQYQJISZM</v>
          </cell>
        </row>
        <row r="6058">
          <cell r="A6058" t="str">
            <v>YMQYQJISZMSS140*180CM</v>
          </cell>
          <cell r="B6058" t="str">
            <v>YMQYQJISZM</v>
          </cell>
        </row>
        <row r="6059">
          <cell r="A6059" t="str">
            <v>YMQYQJISZMSS140*200CM</v>
          </cell>
          <cell r="B6059" t="str">
            <v>YMQYQJISZM</v>
          </cell>
        </row>
        <row r="6060">
          <cell r="A6060" t="str">
            <v>YMQYQJISZMSS140*250CM</v>
          </cell>
          <cell r="B6060" t="str">
            <v>YMQYQJISZM</v>
          </cell>
        </row>
        <row r="6061">
          <cell r="A6061" t="str">
            <v>YMQYQJISZMSS60*60CM</v>
          </cell>
          <cell r="B6061" t="str">
            <v>YMQYQJISZM</v>
          </cell>
        </row>
        <row r="6062">
          <cell r="A6062" t="str">
            <v>YMQYQJISZMSS90*90CM</v>
          </cell>
          <cell r="B6062" t="str">
            <v>YMQYQJISZM</v>
          </cell>
        </row>
        <row r="6063">
          <cell r="A6063" t="str">
            <v>YMQYQJISZMZM100*140CM</v>
          </cell>
          <cell r="B6063" t="str">
            <v>YMQYQJISZM</v>
          </cell>
        </row>
        <row r="6064">
          <cell r="A6064" t="str">
            <v>YMQYQJISZMZM140*140CM</v>
          </cell>
          <cell r="B6064" t="str">
            <v>YMQYQJISZM</v>
          </cell>
        </row>
        <row r="6065">
          <cell r="A6065" t="str">
            <v>YMQYQJISZMZM140*180CM</v>
          </cell>
          <cell r="B6065" t="str">
            <v>YMQYQJISZM</v>
          </cell>
        </row>
        <row r="6066">
          <cell r="A6066" t="str">
            <v>YMQYQJISZMZM140*200CM</v>
          </cell>
          <cell r="B6066" t="str">
            <v>YMQYQJISZM</v>
          </cell>
        </row>
        <row r="6067">
          <cell r="A6067" t="str">
            <v>YMQYQJISZMZM60*60CM</v>
          </cell>
          <cell r="B6067" t="str">
            <v>YMQYQJISZM</v>
          </cell>
        </row>
        <row r="6068">
          <cell r="A6068" t="str">
            <v>YMQYQJISZMZM90*90CM</v>
          </cell>
          <cell r="B6068" t="str">
            <v>YMQYQJISZM</v>
          </cell>
        </row>
        <row r="6069">
          <cell r="A6069" t="str">
            <v>YMQYQXDHG0100*140CM</v>
          </cell>
          <cell r="B6069" t="str">
            <v>YMQYQXDHG0</v>
          </cell>
        </row>
        <row r="6070">
          <cell r="A6070" t="str">
            <v>YMQYQXDHG0140*200CM</v>
          </cell>
          <cell r="B6070" t="str">
            <v>YMQYQXDHG0</v>
          </cell>
        </row>
        <row r="6071">
          <cell r="A6071" t="str">
            <v>YMQYQXDHKF100*140CM</v>
          </cell>
          <cell r="B6071" t="str">
            <v>YMQYQXDHKF</v>
          </cell>
        </row>
        <row r="6072">
          <cell r="A6072" t="str">
            <v>YMQYQXDHKF140*140CM</v>
          </cell>
          <cell r="B6072" t="str">
            <v>YMQYQXDHKF</v>
          </cell>
        </row>
        <row r="6073">
          <cell r="A6073" t="str">
            <v>YMQYQXDHKF140*180CM</v>
          </cell>
          <cell r="B6073" t="str">
            <v>YMQYQXDHKF</v>
          </cell>
        </row>
        <row r="6074">
          <cell r="A6074" t="str">
            <v>YMQYQXDHKF140*200CM</v>
          </cell>
          <cell r="B6074" t="str">
            <v>YMQYQXDHKF</v>
          </cell>
        </row>
        <row r="6075">
          <cell r="A6075" t="str">
            <v>YMQYQXDHKF140*220CM</v>
          </cell>
          <cell r="B6075" t="str">
            <v>YMQYQXDHKF</v>
          </cell>
        </row>
        <row r="6076">
          <cell r="A6076" t="str">
            <v>YMQYQXDHKF140*250CM</v>
          </cell>
          <cell r="B6076" t="str">
            <v>YMQYQXDHKF</v>
          </cell>
        </row>
        <row r="6077">
          <cell r="A6077" t="str">
            <v>YMQYQXDHKF90*90CM</v>
          </cell>
          <cell r="B6077" t="str">
            <v>YMQYQXDHKF</v>
          </cell>
        </row>
        <row r="6078">
          <cell r="A6078" t="str">
            <v>YMQYQXDHPO100*140CM</v>
          </cell>
          <cell r="B6078" t="str">
            <v>YMQYQXDHPO</v>
          </cell>
        </row>
        <row r="6079">
          <cell r="A6079" t="str">
            <v>YMQYQXDHPO140*180CM</v>
          </cell>
          <cell r="B6079" t="str">
            <v>YMQYQXDHPO</v>
          </cell>
        </row>
        <row r="6080">
          <cell r="A6080" t="str">
            <v>YMQYQXDHPO140*220CM</v>
          </cell>
          <cell r="B6080" t="str">
            <v>YMQYQXDHPO</v>
          </cell>
        </row>
        <row r="6081">
          <cell r="A6081" t="str">
            <v>YMQYQXDHPO90*90CM</v>
          </cell>
          <cell r="B6081" t="str">
            <v>YMQYQXDHPO</v>
          </cell>
        </row>
        <row r="6082">
          <cell r="A6082" t="str">
            <v>YMQYQXDHW0100*140CM</v>
          </cell>
          <cell r="B6082" t="str">
            <v>YMQYQXDHW0</v>
          </cell>
        </row>
        <row r="6083">
          <cell r="A6083" t="str">
            <v>YMQYQXDHW0140*140CM</v>
          </cell>
          <cell r="B6083" t="str">
            <v>YMQYQXDHW0</v>
          </cell>
        </row>
        <row r="6084">
          <cell r="A6084" t="str">
            <v>YMQYQXDHW0140*160CM</v>
          </cell>
          <cell r="B6084" t="str">
            <v>YMQYQXDHW0</v>
          </cell>
        </row>
        <row r="6085">
          <cell r="A6085" t="str">
            <v>YMQYQXDHW0140*180CM</v>
          </cell>
          <cell r="B6085" t="str">
            <v>YMQYQXDHW0</v>
          </cell>
        </row>
        <row r="6086">
          <cell r="A6086" t="str">
            <v>YMQYQXDHW0140*200CM</v>
          </cell>
          <cell r="B6086" t="str">
            <v>YMQYQXDHW0</v>
          </cell>
        </row>
        <row r="6087">
          <cell r="A6087" t="str">
            <v>YMQYQXDHW0140*220CM</v>
          </cell>
          <cell r="B6087" t="str">
            <v>YMQYQXDHW0</v>
          </cell>
        </row>
        <row r="6088">
          <cell r="A6088" t="str">
            <v>YMQYQXDHW0140*250CM</v>
          </cell>
          <cell r="B6088" t="str">
            <v>YMQYQXDHW0</v>
          </cell>
        </row>
        <row r="6089">
          <cell r="A6089" t="str">
            <v>YMQYQXDHW060*60CM</v>
          </cell>
          <cell r="B6089" t="str">
            <v>YMQYQXDHW0</v>
          </cell>
        </row>
        <row r="6090">
          <cell r="A6090" t="str">
            <v>YMQYQXDHW090*90CM</v>
          </cell>
          <cell r="B6090" t="str">
            <v>YMQYQXDHW0</v>
          </cell>
        </row>
        <row r="6091">
          <cell r="A6091" t="str">
            <v>YMQYQXDHY0100*140CM</v>
          </cell>
          <cell r="B6091" t="str">
            <v>YMQYQXDHY0</v>
          </cell>
        </row>
        <row r="6092">
          <cell r="A6092" t="str">
            <v>YMQYQXDHY0140*140CM</v>
          </cell>
          <cell r="B6092" t="str">
            <v>YMQYQXDHY0</v>
          </cell>
        </row>
        <row r="6093">
          <cell r="A6093" t="str">
            <v>YMQYQXDHY0140*180CM</v>
          </cell>
          <cell r="B6093" t="str">
            <v>YMQYQXDHY0</v>
          </cell>
        </row>
        <row r="6094">
          <cell r="A6094" t="str">
            <v>YMQYQXDHY0140*200CM</v>
          </cell>
          <cell r="B6094" t="str">
            <v>YMQYQXDHY0</v>
          </cell>
        </row>
        <row r="6095">
          <cell r="A6095" t="str">
            <v>YMQYQXDHY0140*250CM</v>
          </cell>
          <cell r="B6095" t="str">
            <v>YMQYQXDHY0</v>
          </cell>
        </row>
        <row r="6096">
          <cell r="A6096" t="str">
            <v>YMQYQXDHY060*60CM</v>
          </cell>
          <cell r="B6096" t="str">
            <v>YMQYQXDHY0</v>
          </cell>
        </row>
        <row r="6097">
          <cell r="A6097" t="str">
            <v>YMQYQXDHY090*90CM</v>
          </cell>
          <cell r="B6097" t="str">
            <v>YMQYQXDHY0</v>
          </cell>
        </row>
        <row r="6098">
          <cell r="A6098" t="str">
            <v>YMQYQZB05HS100*140CM</v>
          </cell>
          <cell r="B6098" t="str">
            <v>YMQYQZB05HS</v>
          </cell>
        </row>
        <row r="6099">
          <cell r="A6099" t="str">
            <v>YMQYQZBXHGSS90*90CM</v>
          </cell>
          <cell r="B6099" t="str">
            <v>YMQYQZBXHGSS</v>
          </cell>
        </row>
        <row r="6100">
          <cell r="A6100" t="str">
            <v>YMQYZB4DHD100*140CM</v>
          </cell>
          <cell r="B6100" t="str">
            <v>YMQYZB4DHD</v>
          </cell>
        </row>
        <row r="6101">
          <cell r="A6101" t="str">
            <v>YMQYZB4DHD140*140CM</v>
          </cell>
          <cell r="B6101" t="str">
            <v>YMQYZB4DHD</v>
          </cell>
        </row>
        <row r="6102">
          <cell r="A6102" t="str">
            <v>YMQYZBCSMS100*140CM</v>
          </cell>
          <cell r="B6102" t="str">
            <v>YMQYZBCSMS</v>
          </cell>
        </row>
        <row r="6103">
          <cell r="A6103" t="str">
            <v>YMQYZBCSMS140*140CM</v>
          </cell>
          <cell r="B6103" t="str">
            <v>YMQYZBCSMS</v>
          </cell>
        </row>
        <row r="6104">
          <cell r="A6104" t="str">
            <v>YMQYZBCSMS140*180CM</v>
          </cell>
          <cell r="B6104" t="str">
            <v>YMQYZBCSMS</v>
          </cell>
        </row>
        <row r="6105">
          <cell r="A6105" t="str">
            <v>YMQYZBCSMS140*200CM</v>
          </cell>
          <cell r="B6105" t="str">
            <v>YMQYZBCSMS</v>
          </cell>
        </row>
        <row r="6106">
          <cell r="A6106" t="str">
            <v>YMQYZBCSMS140*220CM</v>
          </cell>
          <cell r="B6106" t="str">
            <v>YMQYZBCSMS</v>
          </cell>
        </row>
        <row r="6107">
          <cell r="A6107" t="str">
            <v>YMQYZBCSMS140*250CM</v>
          </cell>
          <cell r="B6107" t="str">
            <v>YMQYZBCSMS</v>
          </cell>
        </row>
        <row r="6108">
          <cell r="A6108" t="str">
            <v>YMQYZBCSMS60*60CM</v>
          </cell>
          <cell r="B6108" t="str">
            <v>YMQYZBCSMS</v>
          </cell>
        </row>
        <row r="6109">
          <cell r="A6109" t="str">
            <v>YMQYZBCSMS90*90CM</v>
          </cell>
          <cell r="B6109" t="str">
            <v>YMQYZBCSMS</v>
          </cell>
        </row>
        <row r="6110">
          <cell r="A6110" t="str">
            <v>YMQYZBJTE0140*180CM</v>
          </cell>
          <cell r="B6110" t="str">
            <v>YMQYZBJTE0</v>
          </cell>
        </row>
        <row r="6111">
          <cell r="A6111" t="str">
            <v>YMQYZBJTE090*90CM</v>
          </cell>
          <cell r="B6111" t="str">
            <v>YMQYZBJTE0</v>
          </cell>
        </row>
        <row r="6112">
          <cell r="A6112" t="str">
            <v>YMQYZHUOBUJXXHB0140x250CM</v>
          </cell>
          <cell r="B6112" t="str">
            <v>YMQYZHUOBUJXXHB0</v>
          </cell>
        </row>
        <row r="6113">
          <cell r="A6113" t="str">
            <v>YX-IUCY-518-BO-L</v>
          </cell>
          <cell r="B6113" t="str">
            <v>YX-IUCY-518</v>
          </cell>
        </row>
        <row r="6114">
          <cell r="A6114" t="str">
            <v>YX-IUCY-518-BO-XL</v>
          </cell>
          <cell r="B6114" t="str">
            <v>YX-IUCY-518</v>
          </cell>
        </row>
        <row r="6115">
          <cell r="A6115" t="str">
            <v>YX-IUCY-518-N5-2XL</v>
          </cell>
          <cell r="B6115" t="str">
            <v>YX-IUCY-518</v>
          </cell>
        </row>
        <row r="6116">
          <cell r="A6116" t="str">
            <v>YX-IUCY-518-N5-XL</v>
          </cell>
          <cell r="B6116" t="str">
            <v>YX-IUCY-518</v>
          </cell>
        </row>
        <row r="6117">
          <cell r="A6117" t="str">
            <v>YX-IUCY-518-WO-2XL</v>
          </cell>
          <cell r="B6117" t="str">
            <v>YX-IUCY-518</v>
          </cell>
        </row>
        <row r="6118">
          <cell r="A6118" t="str">
            <v>YX-IUCY-518-WO-L</v>
          </cell>
          <cell r="B6118" t="str">
            <v>YX-IUCY-518</v>
          </cell>
        </row>
        <row r="6119">
          <cell r="A6119" t="str">
            <v>YX-IUCY-518-WO-XL</v>
          </cell>
          <cell r="B6119" t="str">
            <v>YX-IUCY-518</v>
          </cell>
        </row>
        <row r="6120">
          <cell r="A6120" t="str">
            <v>YX-IUCY-819-N5-2XL</v>
          </cell>
          <cell r="B6120" t="str">
            <v>YX-IUCY-819</v>
          </cell>
        </row>
        <row r="6121">
          <cell r="A6121" t="str">
            <v>YX-IUCY-819-N5-L</v>
          </cell>
          <cell r="B6121" t="str">
            <v>YX-IUCY-819</v>
          </cell>
        </row>
        <row r="6122">
          <cell r="A6122" t="str">
            <v>YX-IUCY-819-N5-XL</v>
          </cell>
          <cell r="B6122" t="str">
            <v>YX-IUCY-819</v>
          </cell>
        </row>
        <row r="6123">
          <cell r="A6123" t="str">
            <v>YX-IUCY-819-WO-2XL</v>
          </cell>
          <cell r="B6123" t="str">
            <v>YX-IUCY-819</v>
          </cell>
        </row>
        <row r="6124">
          <cell r="A6124" t="str">
            <v>YX-IUCY-819-WO-L</v>
          </cell>
          <cell r="B6124" t="str">
            <v>YX-IUCY-819</v>
          </cell>
        </row>
        <row r="6125">
          <cell r="A6125" t="str">
            <v>YX-IUCY-819-WO-XL</v>
          </cell>
          <cell r="B6125" t="str">
            <v>YX-IUCY-819</v>
          </cell>
        </row>
        <row r="6126">
          <cell r="A6126" t="str">
            <v>YY1100G0L</v>
          </cell>
          <cell r="B6126" t="str">
            <v>YY1100</v>
          </cell>
        </row>
        <row r="6127">
          <cell r="A6127" t="str">
            <v>YY1100G0M</v>
          </cell>
          <cell r="B6127" t="str">
            <v>YY1100</v>
          </cell>
        </row>
        <row r="6128">
          <cell r="A6128" t="str">
            <v>YY1100PR</v>
          </cell>
          <cell r="B6128" t="str">
            <v>YY1100</v>
          </cell>
        </row>
        <row r="6129">
          <cell r="A6129" t="str">
            <v>YY1100W0L</v>
          </cell>
          <cell r="B6129" t="str">
            <v>YY1100</v>
          </cell>
        </row>
        <row r="6130">
          <cell r="A6130" t="str">
            <v>YY1100W0M</v>
          </cell>
          <cell r="B6130" t="str">
            <v>YY1100</v>
          </cell>
        </row>
        <row r="6131">
          <cell r="A6131" t="str">
            <v>YY2127GR</v>
          </cell>
          <cell r="B6131" t="str">
            <v>YY2127</v>
          </cell>
        </row>
        <row r="6132">
          <cell r="A6132" t="str">
            <v>YY2127GRL</v>
          </cell>
          <cell r="B6132" t="str">
            <v>YY2127</v>
          </cell>
        </row>
        <row r="6133">
          <cell r="A6133" t="str">
            <v>YY2127GRYL</v>
          </cell>
          <cell r="B6133" t="str">
            <v>YY2127</v>
          </cell>
        </row>
        <row r="6134">
          <cell r="A6134" t="str">
            <v>YY2127GRYXL</v>
          </cell>
          <cell r="B6134" t="str">
            <v>YY2127</v>
          </cell>
        </row>
        <row r="6135">
          <cell r="A6135" t="str">
            <v>YY5100B0L</v>
          </cell>
          <cell r="B6135" t="str">
            <v>YY5100</v>
          </cell>
        </row>
        <row r="6136">
          <cell r="A6136" t="str">
            <v>YY5100B1XL</v>
          </cell>
          <cell r="B6136" t="str">
            <v>YY5100</v>
          </cell>
        </row>
        <row r="6137">
          <cell r="A6137" t="str">
            <v>YY5100R5L</v>
          </cell>
          <cell r="B6137" t="str">
            <v>YY5100</v>
          </cell>
        </row>
        <row r="6138">
          <cell r="A6138" t="str">
            <v>YY5100R5XL</v>
          </cell>
          <cell r="B6138" t="str">
            <v>YY5100</v>
          </cell>
        </row>
        <row r="6139">
          <cell r="A6139" t="str">
            <v>YY5100R5XXL</v>
          </cell>
          <cell r="B6139" t="str">
            <v>YY5100</v>
          </cell>
        </row>
        <row r="6140">
          <cell r="A6140" t="str">
            <v>YY5100XB0L</v>
          </cell>
          <cell r="B6140" t="str">
            <v>YY5100</v>
          </cell>
        </row>
        <row r="6141">
          <cell r="A6141" t="str">
            <v>YY5100XGZG0</v>
          </cell>
          <cell r="B6141" t="str">
            <v>YY5100</v>
          </cell>
        </row>
        <row r="6142">
          <cell r="A6142" t="str">
            <v>YY5100Y0M</v>
          </cell>
          <cell r="B6142" t="str">
            <v>YY5100</v>
          </cell>
        </row>
        <row r="6143">
          <cell r="A6143" t="str">
            <v>YY-IULCY-C9002-AG</v>
          </cell>
          <cell r="B6143" t="str">
            <v>YY-IULCY</v>
          </cell>
        </row>
        <row r="6144">
          <cell r="A6144" t="str">
            <v>YY-IULCY-C9002-DB</v>
          </cell>
          <cell r="B6144" t="str">
            <v>YY-IULCY</v>
          </cell>
        </row>
        <row r="6145">
          <cell r="A6145" t="str">
            <v>YY-IULCY-C9002-LG</v>
          </cell>
          <cell r="B6145" t="str">
            <v>YY-IULCY</v>
          </cell>
        </row>
        <row r="6146">
          <cell r="A6146" t="str">
            <v>YY-IULCY-HZYD100-BIGEYED-L</v>
          </cell>
          <cell r="B6146" t="str">
            <v>YY-IULCY</v>
          </cell>
        </row>
        <row r="6147">
          <cell r="A6147" t="str">
            <v>YY-IULCY-HZYD100-BIGEYED-M</v>
          </cell>
          <cell r="B6147" t="str">
            <v>YY-IULCY</v>
          </cell>
        </row>
        <row r="6148">
          <cell r="A6148" t="str">
            <v>YY-IULCY-HZYD100-BIGEYED-XL</v>
          </cell>
          <cell r="B6148" t="str">
            <v>YY-IULCY</v>
          </cell>
        </row>
        <row r="6149">
          <cell r="A6149" t="str">
            <v>YY-IULCY-HZYD200-LGSTAR-L</v>
          </cell>
          <cell r="B6149" t="str">
            <v>YY-IULCY</v>
          </cell>
        </row>
        <row r="6150">
          <cell r="A6150" t="str">
            <v>YY-IULCY-HZYD200-LGSTAR-M</v>
          </cell>
          <cell r="B6150" t="str">
            <v>YY-IULCY</v>
          </cell>
        </row>
        <row r="6151">
          <cell r="A6151" t="str">
            <v>YY-IULCY-HZYD200-LGSTAR-XL</v>
          </cell>
          <cell r="B6151" t="str">
            <v>YY-IULCY</v>
          </cell>
        </row>
        <row r="6152">
          <cell r="A6152" t="str">
            <v>YY-IULCY-KS369-ANCHOR-L</v>
          </cell>
          <cell r="B6152" t="str">
            <v>YY-IULCY</v>
          </cell>
        </row>
        <row r="6153">
          <cell r="A6153" t="str">
            <v>YY-IULCY-KS369-ANCHOR-M</v>
          </cell>
          <cell r="B6153" t="str">
            <v>YY-IULCY</v>
          </cell>
        </row>
        <row r="6154">
          <cell r="A6154" t="str">
            <v>YY-IULCY-KS369-BIRD-M</v>
          </cell>
          <cell r="B6154" t="str">
            <v>YY-IULCY</v>
          </cell>
        </row>
        <row r="6155">
          <cell r="A6155" t="str">
            <v>YY-IULCY-KS369-HEAD-L</v>
          </cell>
          <cell r="B6155" t="str">
            <v>YY-IULCY</v>
          </cell>
        </row>
        <row r="6156">
          <cell r="A6156" t="str">
            <v>YY-IULCY-KS369-HEAD-M</v>
          </cell>
          <cell r="B6156" t="str">
            <v>YY-IULCY</v>
          </cell>
        </row>
        <row r="6157">
          <cell r="A6157" t="str">
            <v>YY-IULCY-KS369-PLANT-L</v>
          </cell>
          <cell r="B6157" t="str">
            <v>YY-IULCY</v>
          </cell>
        </row>
        <row r="6158">
          <cell r="A6158" t="str">
            <v>YY-IULCY-KS369-PLANT-M</v>
          </cell>
          <cell r="B6158" t="str">
            <v>YY-IULCY</v>
          </cell>
        </row>
        <row r="6159">
          <cell r="A6159" t="str">
            <v>YY-IULCY-KS370-BL-L</v>
          </cell>
          <cell r="B6159" t="str">
            <v>YY-IULCY</v>
          </cell>
        </row>
        <row r="6160">
          <cell r="A6160" t="str">
            <v>YY-IULCY-KS370-RD-L</v>
          </cell>
          <cell r="B6160" t="str">
            <v>YY-IULCY</v>
          </cell>
        </row>
        <row r="6161">
          <cell r="A6161" t="str">
            <v>YY-IULCY-KS370-RD-M</v>
          </cell>
          <cell r="B6161" t="str">
            <v>YY-IULCY</v>
          </cell>
        </row>
        <row r="6162">
          <cell r="A6162" t="str">
            <v>YY-IULCY-KS371-BL-L</v>
          </cell>
          <cell r="B6162" t="str">
            <v>YY-IULCY</v>
          </cell>
        </row>
        <row r="6163">
          <cell r="A6163" t="str">
            <v>YY-IULCY-KS371-BL-M</v>
          </cell>
          <cell r="B6163" t="str">
            <v>YY-IULCY</v>
          </cell>
        </row>
        <row r="6164">
          <cell r="A6164" t="str">
            <v>YY-IULCY-KS371-BL-XL</v>
          </cell>
          <cell r="B6164" t="str">
            <v>YY-IULCY</v>
          </cell>
        </row>
        <row r="6165">
          <cell r="A6165" t="str">
            <v>YY-IULCY-KS371-GN-L</v>
          </cell>
          <cell r="B6165" t="str">
            <v>YY-IULCY</v>
          </cell>
        </row>
        <row r="6166">
          <cell r="A6166" t="str">
            <v>YY-IULCY-KS371-GN-M</v>
          </cell>
          <cell r="B6166" t="str">
            <v>YY-IULCY</v>
          </cell>
        </row>
        <row r="6167">
          <cell r="A6167" t="str">
            <v>YY-IULCY-KS371-GN-XL</v>
          </cell>
          <cell r="B6167" t="str">
            <v>YY-IULCY</v>
          </cell>
        </row>
        <row r="6168">
          <cell r="A6168" t="str">
            <v>YY-IULCY-KS371-PP-L</v>
          </cell>
          <cell r="B6168" t="str">
            <v>YY-IULCY</v>
          </cell>
        </row>
        <row r="6169">
          <cell r="A6169" t="str">
            <v>YY-IULCY-KS371-PP-M</v>
          </cell>
          <cell r="B6169" t="str">
            <v>YY-IULCY</v>
          </cell>
        </row>
        <row r="6170">
          <cell r="A6170" t="str">
            <v>YY-IULCY-KS371-PP-XL</v>
          </cell>
          <cell r="B6170" t="str">
            <v>YY-IULCY</v>
          </cell>
        </row>
        <row r="6171">
          <cell r="A6171" t="str">
            <v>YY-IULCY-KS371-WT-L</v>
          </cell>
          <cell r="B6171" t="str">
            <v>YY-IULCY</v>
          </cell>
        </row>
        <row r="6172">
          <cell r="A6172" t="str">
            <v>YY-IULCY-KS371-WT-M</v>
          </cell>
          <cell r="B6172" t="str">
            <v>YY-IULCY</v>
          </cell>
        </row>
        <row r="6173">
          <cell r="A6173" t="str">
            <v>YY-IULCY-KS371-WT-XL</v>
          </cell>
          <cell r="B6173" t="str">
            <v>YY-IULCY</v>
          </cell>
        </row>
        <row r="6174">
          <cell r="A6174" t="str">
            <v>YY-IULCY-KS371-YL-L</v>
          </cell>
          <cell r="B6174" t="str">
            <v>YY-IULCY</v>
          </cell>
        </row>
        <row r="6175">
          <cell r="A6175" t="str">
            <v>YY-IULCY-KS371-YL-M</v>
          </cell>
          <cell r="B6175" t="str">
            <v>YY-IULCY</v>
          </cell>
        </row>
        <row r="6176">
          <cell r="A6176" t="str">
            <v>YY-IULCY-KS371-YL-XL</v>
          </cell>
          <cell r="B6176" t="str">
            <v>YY-IULCY</v>
          </cell>
        </row>
        <row r="6177">
          <cell r="A6177" t="str">
            <v>YY-IULCY-KS372-BL-L</v>
          </cell>
          <cell r="B6177" t="str">
            <v>YY-IULCY</v>
          </cell>
        </row>
        <row r="6178">
          <cell r="A6178" t="str">
            <v>YY-IULCY-KS372-BL-M</v>
          </cell>
          <cell r="B6178" t="str">
            <v>YY-IULCY</v>
          </cell>
        </row>
        <row r="6179">
          <cell r="A6179" t="str">
            <v>YY-IULCY-KS372-BL-XL</v>
          </cell>
          <cell r="B6179" t="str">
            <v>YY-IULCY</v>
          </cell>
        </row>
        <row r="6180">
          <cell r="A6180" t="str">
            <v>YY-IULCY-KS372-GN-L</v>
          </cell>
          <cell r="B6180" t="str">
            <v>YY-IULCY</v>
          </cell>
        </row>
        <row r="6181">
          <cell r="A6181" t="str">
            <v>YY-IULCY-KS372-GN-M</v>
          </cell>
          <cell r="B6181" t="str">
            <v>YY-IULCY</v>
          </cell>
        </row>
        <row r="6182">
          <cell r="A6182" t="str">
            <v>YY-IULCY-KS372-PK-L</v>
          </cell>
          <cell r="B6182" t="str">
            <v>YY-IULCY</v>
          </cell>
        </row>
        <row r="6183">
          <cell r="A6183" t="str">
            <v>YY-IULCY-KS372-PK-M</v>
          </cell>
          <cell r="B6183" t="str">
            <v>YY-IULCY</v>
          </cell>
        </row>
        <row r="6184">
          <cell r="A6184" t="str">
            <v>YY-IULCY-KS372-PK-XL</v>
          </cell>
          <cell r="B6184" t="str">
            <v>YY-IULCY</v>
          </cell>
        </row>
        <row r="6185">
          <cell r="A6185" t="str">
            <v>YY-IULCY-KS372-PP-L</v>
          </cell>
          <cell r="B6185" t="str">
            <v>YY-IULCY</v>
          </cell>
        </row>
        <row r="6186">
          <cell r="A6186" t="str">
            <v>YY-IULCY-KS372-PP-M</v>
          </cell>
          <cell r="B6186" t="str">
            <v>YY-IULCY</v>
          </cell>
        </row>
        <row r="6187">
          <cell r="A6187" t="str">
            <v>YY-IULCY-KS372-PP-XL</v>
          </cell>
          <cell r="B6187" t="str">
            <v>YY-IULCY</v>
          </cell>
        </row>
        <row r="6188">
          <cell r="A6188" t="str">
            <v>YY-IULCY-KS372-WT-M</v>
          </cell>
          <cell r="B6188" t="str">
            <v>YY-IULCY</v>
          </cell>
        </row>
        <row r="6189">
          <cell r="A6189" t="str">
            <v>YY-IULCY-KS372-WT-XL</v>
          </cell>
          <cell r="B6189" t="str">
            <v>YY-IULCY</v>
          </cell>
        </row>
        <row r="6190">
          <cell r="A6190" t="str">
            <v>YY-IULCY-KS372-YL-L</v>
          </cell>
          <cell r="B6190" t="str">
            <v>YY-IULCY</v>
          </cell>
        </row>
        <row r="6191">
          <cell r="A6191" t="str">
            <v>YY-IULCY-KS372-YL-M</v>
          </cell>
          <cell r="B6191" t="str">
            <v>YY-IULCY</v>
          </cell>
        </row>
        <row r="6192">
          <cell r="A6192" t="str">
            <v>YY-IULCY-KS372-YL-XL</v>
          </cell>
          <cell r="B6192" t="str">
            <v>YY-IULCY</v>
          </cell>
        </row>
        <row r="6193">
          <cell r="A6193" t="str">
            <v>YY-IULCY-KS377-ANCHOR-L</v>
          </cell>
          <cell r="B6193" t="str">
            <v>YY-IULCY</v>
          </cell>
        </row>
        <row r="6194">
          <cell r="A6194" t="str">
            <v>YY-IULCY-KS377-BIRD-L</v>
          </cell>
          <cell r="B6194" t="str">
            <v>YY-IULCY</v>
          </cell>
        </row>
        <row r="6195">
          <cell r="A6195" t="str">
            <v>YY-IULCY-KS377-BIRD-M</v>
          </cell>
          <cell r="B6195" t="str">
            <v>YY-IULCY</v>
          </cell>
        </row>
        <row r="6196">
          <cell r="A6196" t="str">
            <v>YY-IULCY-KS377-HEAD-L</v>
          </cell>
          <cell r="B6196" t="str">
            <v>YY-IULCY</v>
          </cell>
        </row>
        <row r="6197">
          <cell r="A6197" t="str">
            <v>YY-IULCY-KS377-HEAD-M</v>
          </cell>
          <cell r="B6197" t="str">
            <v>YY-IULCY</v>
          </cell>
        </row>
        <row r="6198">
          <cell r="A6198" t="str">
            <v>YY-IULCY-KS377-PLANT-L</v>
          </cell>
          <cell r="B6198" t="str">
            <v>YY-IULCY</v>
          </cell>
        </row>
        <row r="6199">
          <cell r="A6199" t="str">
            <v>YY-IULCY-KS377-PLANT-M</v>
          </cell>
          <cell r="B6199" t="str">
            <v>YY-IULCY</v>
          </cell>
        </row>
        <row r="6200">
          <cell r="A6200" t="str">
            <v>YY-IULCY-XW100-DOG</v>
          </cell>
          <cell r="B6200" t="str">
            <v>YY-IULCY</v>
          </cell>
        </row>
        <row r="6201">
          <cell r="A6201" t="str">
            <v>YY-IULCY-XW100-LIGHT</v>
          </cell>
          <cell r="B6201" t="str">
            <v>YY-IULCY</v>
          </cell>
        </row>
        <row r="6202">
          <cell r="A6202" t="str">
            <v>YY-IULCY-XZM100-BKNWT</v>
          </cell>
          <cell r="B6202" t="str">
            <v>YY-IULCY</v>
          </cell>
        </row>
        <row r="6203">
          <cell r="A6203" t="str">
            <v>YY-IULCY-XZM100-BLNWT</v>
          </cell>
          <cell r="B6203" t="str">
            <v>YY-IULCY</v>
          </cell>
        </row>
        <row r="6204">
          <cell r="A6204" t="str">
            <v>YY-IULCY-XZM100-CFNWT</v>
          </cell>
          <cell r="B6204" t="str">
            <v>YY-IULCY</v>
          </cell>
        </row>
        <row r="6205">
          <cell r="A6205" t="str">
            <v>YY-IULCY-XZM100-GNNWT</v>
          </cell>
          <cell r="B6205" t="str">
            <v>YY-IULCY</v>
          </cell>
        </row>
        <row r="6206">
          <cell r="A6206" t="str">
            <v>YY-IULCY-XZM100-KKNWT</v>
          </cell>
          <cell r="B6206" t="str">
            <v>YY-IULCY</v>
          </cell>
        </row>
        <row r="6207">
          <cell r="A6207" t="str">
            <v>YY-IULCY-XZM100-RDNWT</v>
          </cell>
          <cell r="B6207" t="str">
            <v>YY-IULCY</v>
          </cell>
        </row>
        <row r="6208">
          <cell r="A6208" t="str">
            <v>YY-IULCY-XZM150-BK</v>
          </cell>
          <cell r="B6208" t="str">
            <v>YY-IULCY</v>
          </cell>
        </row>
        <row r="6209">
          <cell r="A6209" t="str">
            <v>YY-IULCY-XZM150-LB</v>
          </cell>
          <cell r="B6209" t="str">
            <v>YY-IULCY</v>
          </cell>
        </row>
        <row r="6210">
          <cell r="A6210" t="str">
            <v>YY-IULCY-XZM150-PK</v>
          </cell>
          <cell r="B6210" t="str">
            <v>YY-IULCY</v>
          </cell>
        </row>
        <row r="6211">
          <cell r="A6211" t="str">
            <v>YY-IULUY-KS374-DB-L</v>
          </cell>
          <cell r="B6211" t="str">
            <v>YY-IULCY</v>
          </cell>
        </row>
        <row r="6212">
          <cell r="A6212" t="str">
            <v>YY-IULUY-KS374-DB-M</v>
          </cell>
          <cell r="B6212" t="str">
            <v>YY-IULCY</v>
          </cell>
        </row>
        <row r="6213">
          <cell r="A6213" t="str">
            <v>YY-IULUY-KS374-DB-XL</v>
          </cell>
          <cell r="B6213" t="str">
            <v>YY-IULCY</v>
          </cell>
        </row>
        <row r="6214">
          <cell r="A6214" t="str">
            <v>YY-IULUY-KS374-YL-L</v>
          </cell>
          <cell r="B6214" t="str">
            <v>YY-IULCY</v>
          </cell>
        </row>
        <row r="6215">
          <cell r="A6215" t="str">
            <v>YY-IULUY-KS374-YL-M</v>
          </cell>
          <cell r="B6215" t="str">
            <v>YY-IULCY</v>
          </cell>
        </row>
        <row r="6216">
          <cell r="A6216" t="str">
            <v>YY-IULUY-KS374-YL-XL</v>
          </cell>
          <cell r="B6216" t="str">
            <v>YY-IULCY</v>
          </cell>
        </row>
        <row r="6217">
          <cell r="A6217" t="str">
            <v>YZ1458</v>
          </cell>
          <cell r="B6217" t="str">
            <v>YZ1458</v>
          </cell>
        </row>
        <row r="6218">
          <cell r="A6218" t="str">
            <v>YZ1458FB3XL</v>
          </cell>
          <cell r="B6218" t="str">
            <v>YZ1458</v>
          </cell>
        </row>
        <row r="6219">
          <cell r="A6219" t="str">
            <v>YZ1458FB4XL</v>
          </cell>
          <cell r="B6219" t="str">
            <v>YZ1458</v>
          </cell>
        </row>
        <row r="6220">
          <cell r="A6220" t="str">
            <v>YZ1458FB5XL</v>
          </cell>
          <cell r="B6220" t="str">
            <v>YZ1458</v>
          </cell>
        </row>
        <row r="6221">
          <cell r="A6221" t="str">
            <v>YZ1458FB6XL</v>
          </cell>
          <cell r="B6221" t="str">
            <v>YZ1458</v>
          </cell>
        </row>
        <row r="6222">
          <cell r="A6222" t="str">
            <v>YZ1458K03XL</v>
          </cell>
          <cell r="B6222" t="str">
            <v>YZ1458</v>
          </cell>
        </row>
        <row r="6223">
          <cell r="A6223" t="str">
            <v>YZ1458K04XL</v>
          </cell>
          <cell r="B6223" t="str">
            <v>YZ1458</v>
          </cell>
        </row>
        <row r="6224">
          <cell r="A6224" t="str">
            <v>YZ1458K05XL</v>
          </cell>
          <cell r="B6224" t="str">
            <v>YZ1458</v>
          </cell>
        </row>
        <row r="6225">
          <cell r="A6225" t="str">
            <v>YZ1458K06XL</v>
          </cell>
          <cell r="B6225" t="str">
            <v>YZ1458</v>
          </cell>
        </row>
        <row r="6226">
          <cell r="A6226" t="str">
            <v>YZ1458R23XL</v>
          </cell>
          <cell r="B6226" t="str">
            <v>YZ1458</v>
          </cell>
        </row>
        <row r="6227">
          <cell r="A6227" t="str">
            <v>YZ1458R24XL</v>
          </cell>
          <cell r="B6227" t="str">
            <v>YZ1458</v>
          </cell>
        </row>
        <row r="6228">
          <cell r="A6228" t="str">
            <v>YZ1458R25XL</v>
          </cell>
          <cell r="B6228" t="str">
            <v>YZ1458</v>
          </cell>
        </row>
        <row r="6229">
          <cell r="A6229" t="str">
            <v>YZ1458R26XL</v>
          </cell>
          <cell r="B6229" t="str">
            <v>YZ1458</v>
          </cell>
        </row>
        <row r="6230">
          <cell r="A6230" t="str">
            <v>YZ-160301</v>
          </cell>
          <cell r="B6230" t="str">
            <v>YZ-160301</v>
          </cell>
        </row>
        <row r="6231">
          <cell r="A6231" t="str">
            <v>YZ2216</v>
          </cell>
          <cell r="B6231" t="str">
            <v>YZ2216</v>
          </cell>
        </row>
        <row r="6232">
          <cell r="A6232" t="str">
            <v>YZ2216K0</v>
          </cell>
          <cell r="B6232" t="str">
            <v>YZ2216</v>
          </cell>
        </row>
        <row r="6233">
          <cell r="A6233" t="str">
            <v>YZ2216K01L</v>
          </cell>
          <cell r="B6233" t="str">
            <v>YZ2216</v>
          </cell>
        </row>
        <row r="6234">
          <cell r="A6234" t="str">
            <v>YZ2216K0L</v>
          </cell>
          <cell r="B6234" t="str">
            <v>YZ2216</v>
          </cell>
        </row>
        <row r="6235">
          <cell r="A6235" t="str">
            <v>YZ2216K0M</v>
          </cell>
          <cell r="B6235" t="str">
            <v>YZ2216</v>
          </cell>
        </row>
        <row r="6236">
          <cell r="A6236" t="str">
            <v>YZ2216K0S</v>
          </cell>
          <cell r="B6236" t="str">
            <v>YZ2216</v>
          </cell>
        </row>
        <row r="6237">
          <cell r="A6237" t="str">
            <v>YZ2216R6</v>
          </cell>
          <cell r="B6237" t="str">
            <v>YZ2216</v>
          </cell>
        </row>
        <row r="6238">
          <cell r="A6238" t="str">
            <v>YZ5060B2</v>
          </cell>
          <cell r="B6238" t="str">
            <v>YZ5060</v>
          </cell>
        </row>
        <row r="6239">
          <cell r="A6239" t="str">
            <v>YZ5060B21L</v>
          </cell>
          <cell r="B6239" t="str">
            <v>YZ5060</v>
          </cell>
        </row>
        <row r="6240">
          <cell r="A6240" t="str">
            <v>YZ5060B21L-GM</v>
          </cell>
          <cell r="B6240" t="str">
            <v>YZ5060</v>
          </cell>
        </row>
        <row r="6241">
          <cell r="A6241" t="str">
            <v>YZ5060B21L-MX</v>
          </cell>
          <cell r="B6241" t="str">
            <v>YZ5060</v>
          </cell>
        </row>
        <row r="6242">
          <cell r="A6242" t="str">
            <v>YZ5060B2L</v>
          </cell>
          <cell r="B6242" t="str">
            <v>YZ5060</v>
          </cell>
        </row>
        <row r="6243">
          <cell r="A6243" t="str">
            <v>YZ5060B2M</v>
          </cell>
          <cell r="B6243" t="str">
            <v>YZ5060</v>
          </cell>
        </row>
        <row r="6244">
          <cell r="A6244" t="str">
            <v>YZ5060B2-MX</v>
          </cell>
          <cell r="B6244" t="str">
            <v>YZ5060</v>
          </cell>
        </row>
        <row r="6245">
          <cell r="A6245" t="str">
            <v>YZ5060B2S</v>
          </cell>
          <cell r="B6245" t="str">
            <v>YZ5060</v>
          </cell>
        </row>
        <row r="6246">
          <cell r="A6246" t="str">
            <v>YZ5060B2S-MX</v>
          </cell>
          <cell r="B6246" t="str">
            <v>YZ5060</v>
          </cell>
        </row>
        <row r="6247">
          <cell r="A6247" t="str">
            <v>YZ5060B3</v>
          </cell>
          <cell r="B6247" t="str">
            <v>YZ5060</v>
          </cell>
        </row>
        <row r="6248">
          <cell r="A6248" t="str">
            <v>YZ5060R2</v>
          </cell>
          <cell r="B6248" t="str">
            <v>YZ5060</v>
          </cell>
        </row>
        <row r="6249">
          <cell r="A6249" t="str">
            <v>YZ5060R21L</v>
          </cell>
          <cell r="B6249" t="str">
            <v>YZ5060</v>
          </cell>
        </row>
        <row r="6250">
          <cell r="A6250" t="str">
            <v>YZ5060R21L-MX</v>
          </cell>
          <cell r="B6250" t="str">
            <v>YZ5060</v>
          </cell>
        </row>
        <row r="6251">
          <cell r="A6251" t="str">
            <v>YZ5060R2L</v>
          </cell>
          <cell r="B6251" t="str">
            <v>YZ5060</v>
          </cell>
        </row>
        <row r="6252">
          <cell r="A6252" t="str">
            <v>YZ5060R2L-MX</v>
          </cell>
          <cell r="B6252" t="str">
            <v>YZ5060</v>
          </cell>
        </row>
        <row r="6253">
          <cell r="A6253" t="str">
            <v>YZ5060R2M</v>
          </cell>
          <cell r="B6253" t="str">
            <v>YZ5060</v>
          </cell>
        </row>
        <row r="6254">
          <cell r="A6254" t="str">
            <v>YZ5060R2M-MX</v>
          </cell>
          <cell r="B6254" t="str">
            <v>YZ5060</v>
          </cell>
        </row>
        <row r="6255">
          <cell r="A6255" t="str">
            <v>YZ5060R2-MX</v>
          </cell>
          <cell r="B6255" t="str">
            <v>YZ5060</v>
          </cell>
        </row>
        <row r="6256">
          <cell r="A6256" t="str">
            <v>YZ5060R2S</v>
          </cell>
          <cell r="B6256" t="str">
            <v>YZ5060</v>
          </cell>
        </row>
        <row r="6257">
          <cell r="A6257" t="str">
            <v>YZ5060R2S-MX</v>
          </cell>
          <cell r="B6257" t="str">
            <v>YZ5060</v>
          </cell>
        </row>
        <row r="6258">
          <cell r="A6258" t="str">
            <v>YZ5060Y0</v>
          </cell>
          <cell r="B6258" t="str">
            <v>YZ5060</v>
          </cell>
        </row>
        <row r="6259">
          <cell r="A6259" t="str">
            <v>YZ5060Y01L</v>
          </cell>
          <cell r="B6259" t="str">
            <v>YZ5060</v>
          </cell>
        </row>
        <row r="6260">
          <cell r="A6260" t="str">
            <v>YZ5060Y01L-GM</v>
          </cell>
          <cell r="B6260" t="str">
            <v>YZ5060</v>
          </cell>
        </row>
        <row r="6261">
          <cell r="A6261" t="str">
            <v>YZ5060Y01L-MX</v>
          </cell>
          <cell r="B6261" t="str">
            <v>YZ5060</v>
          </cell>
        </row>
        <row r="6262">
          <cell r="A6262" t="str">
            <v>YZ5060Y0L</v>
          </cell>
          <cell r="B6262" t="str">
            <v>YZ5060</v>
          </cell>
        </row>
        <row r="6263">
          <cell r="A6263" t="str">
            <v>YZ5060Y0L-MX</v>
          </cell>
          <cell r="B6263" t="str">
            <v>YZ5060</v>
          </cell>
        </row>
        <row r="6264">
          <cell r="A6264" t="str">
            <v>YZ5060Y0M</v>
          </cell>
          <cell r="B6264" t="str">
            <v>YZ5060</v>
          </cell>
        </row>
        <row r="6265">
          <cell r="A6265" t="str">
            <v>YZ5060Y0-MX</v>
          </cell>
          <cell r="B6265" t="str">
            <v>YZ5060</v>
          </cell>
        </row>
        <row r="6266">
          <cell r="A6266" t="str">
            <v>YZ5060Y0S</v>
          </cell>
          <cell r="B6266" t="str">
            <v>YZ5060</v>
          </cell>
        </row>
        <row r="6267">
          <cell r="A6267" t="str">
            <v>YZ5060Y0S-MX</v>
          </cell>
          <cell r="B6267" t="str">
            <v>YZ5060</v>
          </cell>
        </row>
        <row r="6268">
          <cell r="A6268" t="str">
            <v>YZ5110B0</v>
          </cell>
          <cell r="B6268" t="str">
            <v>YZ5110</v>
          </cell>
        </row>
        <row r="6269">
          <cell r="A6269" t="str">
            <v>YZ5110R0</v>
          </cell>
          <cell r="B6269" t="str">
            <v>YZ5110</v>
          </cell>
        </row>
        <row r="6270">
          <cell r="A6270" t="str">
            <v>YZ5110Y0</v>
          </cell>
          <cell r="B6270" t="str">
            <v>YZ5110</v>
          </cell>
        </row>
        <row r="6271">
          <cell r="A6271" t="str">
            <v>YZ5118</v>
          </cell>
          <cell r="B6271" t="str">
            <v>YZ5118</v>
          </cell>
        </row>
        <row r="6272">
          <cell r="A6272" t="str">
            <v>YZ5118Da0L</v>
          </cell>
          <cell r="B6272" t="str">
            <v>YZ5118</v>
          </cell>
        </row>
        <row r="6273">
          <cell r="A6273" t="str">
            <v>YZ5118Da1L</v>
          </cell>
          <cell r="B6273" t="str">
            <v>YZ5118</v>
          </cell>
        </row>
        <row r="6274">
          <cell r="A6274" t="str">
            <v>YZ5118DaM</v>
          </cell>
          <cell r="B6274" t="str">
            <v>YZ5118</v>
          </cell>
        </row>
        <row r="6275">
          <cell r="A6275" t="str">
            <v>YZ5118DaS</v>
          </cell>
          <cell r="B6275" t="str">
            <v>YZ5118</v>
          </cell>
        </row>
        <row r="6276">
          <cell r="A6276" t="str">
            <v>YZ5118DaXS</v>
          </cell>
          <cell r="B6276" t="str">
            <v>YZ5118</v>
          </cell>
        </row>
        <row r="6277">
          <cell r="A6277" t="str">
            <v>YZ5505</v>
          </cell>
          <cell r="B6277" t="str">
            <v>YZ5505</v>
          </cell>
        </row>
        <row r="6278">
          <cell r="A6278" t="str">
            <v>YZ5505Da</v>
          </cell>
          <cell r="B6278" t="str">
            <v>YZ5505</v>
          </cell>
        </row>
        <row r="6279">
          <cell r="A6279" t="str">
            <v>YZ5505Da2L</v>
          </cell>
          <cell r="B6279" t="str">
            <v>YZ5505</v>
          </cell>
        </row>
        <row r="6280">
          <cell r="A6280" t="str">
            <v>YZ5505Da2L-Non Prime</v>
          </cell>
          <cell r="B6280" t="str">
            <v>YZ5505</v>
          </cell>
        </row>
        <row r="6281">
          <cell r="A6281" t="str">
            <v>YZ5505DaL</v>
          </cell>
          <cell r="B6281" t="str">
            <v>YZ5505</v>
          </cell>
        </row>
        <row r="6282">
          <cell r="A6282" t="str">
            <v>YZ5505DaL-GM</v>
          </cell>
          <cell r="B6282" t="str">
            <v>YZ5505</v>
          </cell>
        </row>
        <row r="6283">
          <cell r="A6283" t="str">
            <v>YZ5505DaL-Non Prime</v>
          </cell>
          <cell r="B6283" t="str">
            <v>YZ5505</v>
          </cell>
        </row>
        <row r="6284">
          <cell r="A6284" t="str">
            <v>YZ5505DaM</v>
          </cell>
          <cell r="B6284" t="str">
            <v>YZ5505</v>
          </cell>
        </row>
        <row r="6285">
          <cell r="A6285" t="str">
            <v>YZ5505DaM-Non Prime</v>
          </cell>
          <cell r="B6285" t="str">
            <v>YZ5505</v>
          </cell>
        </row>
        <row r="6286">
          <cell r="A6286" t="str">
            <v>YZ5505Da-Non Prime</v>
          </cell>
          <cell r="B6286" t="str">
            <v>YZ5505</v>
          </cell>
        </row>
        <row r="6287">
          <cell r="A6287" t="str">
            <v>YZ5505DaS</v>
          </cell>
          <cell r="B6287" t="str">
            <v>YZ5505</v>
          </cell>
        </row>
        <row r="6288">
          <cell r="A6288" t="str">
            <v>YZ5505DaS-Non Prime</v>
          </cell>
          <cell r="B6288" t="str">
            <v>YZ5505</v>
          </cell>
        </row>
        <row r="6289">
          <cell r="A6289" t="str">
            <v>YZ5505DaXL</v>
          </cell>
          <cell r="B6289" t="str">
            <v>YZ5505</v>
          </cell>
        </row>
        <row r="6290">
          <cell r="A6290" t="str">
            <v>YZ5505DaXL-Non Prime</v>
          </cell>
          <cell r="B6290" t="str">
            <v>YZ5505</v>
          </cell>
        </row>
        <row r="6291">
          <cell r="A6291" t="str">
            <v>YZ5505DaXS-FBM</v>
          </cell>
          <cell r="B6291" t="str">
            <v>YZ5505</v>
          </cell>
        </row>
        <row r="6292">
          <cell r="A6292" t="str">
            <v>YZ5505JR</v>
          </cell>
          <cell r="B6292" t="str">
            <v>YZ5505</v>
          </cell>
        </row>
        <row r="6293">
          <cell r="A6293" t="str">
            <v>YZ5505JR0L</v>
          </cell>
          <cell r="B6293" t="str">
            <v>YZ5505</v>
          </cell>
        </row>
        <row r="6294">
          <cell r="A6294" t="str">
            <v>YZ5505JR0S</v>
          </cell>
          <cell r="B6294" t="str">
            <v>YZ5505</v>
          </cell>
        </row>
        <row r="6295">
          <cell r="A6295" t="str">
            <v>YZ5505JR2L</v>
          </cell>
          <cell r="B6295" t="str">
            <v>YZ5505</v>
          </cell>
        </row>
        <row r="6296">
          <cell r="A6296" t="str">
            <v>YZ5505JR2L-GM</v>
          </cell>
          <cell r="B6296" t="str">
            <v>YZ5505</v>
          </cell>
        </row>
        <row r="6297">
          <cell r="A6297" t="str">
            <v>YZ5505JR2L-Non Prime</v>
          </cell>
          <cell r="B6297" t="str">
            <v>YZ5505</v>
          </cell>
        </row>
        <row r="6298">
          <cell r="A6298" t="str">
            <v>YZ5505JRL</v>
          </cell>
          <cell r="B6298" t="str">
            <v>YZ5505</v>
          </cell>
        </row>
        <row r="6299">
          <cell r="A6299" t="str">
            <v>YZ5505JRL-GM</v>
          </cell>
          <cell r="B6299" t="str">
            <v>YZ5505</v>
          </cell>
        </row>
        <row r="6300">
          <cell r="A6300" t="str">
            <v>YZ5505JRL-Non Prime</v>
          </cell>
          <cell r="B6300" t="str">
            <v>YZ5505</v>
          </cell>
        </row>
        <row r="6301">
          <cell r="A6301" t="str">
            <v>YZ5505JRM</v>
          </cell>
          <cell r="B6301" t="str">
            <v>YZ5505</v>
          </cell>
        </row>
        <row r="6302">
          <cell r="A6302" t="str">
            <v>YZ5505JRM-Non Prime</v>
          </cell>
          <cell r="B6302" t="str">
            <v>YZ5505</v>
          </cell>
        </row>
        <row r="6303">
          <cell r="A6303" t="str">
            <v>YZ5505JR-Non Prime</v>
          </cell>
          <cell r="B6303" t="str">
            <v>YZ5505</v>
          </cell>
        </row>
        <row r="6304">
          <cell r="A6304" t="str">
            <v>YZ5505JRS</v>
          </cell>
          <cell r="B6304" t="str">
            <v>YZ5505</v>
          </cell>
        </row>
        <row r="6305">
          <cell r="A6305" t="str">
            <v>YZ5505JRS-Non Prime</v>
          </cell>
          <cell r="B6305" t="str">
            <v>YZ5505</v>
          </cell>
        </row>
        <row r="6306">
          <cell r="A6306" t="str">
            <v>YZ5505JRXL</v>
          </cell>
          <cell r="B6306" t="str">
            <v>YZ5505</v>
          </cell>
        </row>
        <row r="6307">
          <cell r="A6307" t="str">
            <v>YZ5505JRXL-Non Prime</v>
          </cell>
          <cell r="B6307" t="str">
            <v>YZ5505</v>
          </cell>
        </row>
        <row r="6308">
          <cell r="A6308" t="str">
            <v>YZ5505JRXS</v>
          </cell>
          <cell r="B6308" t="str">
            <v>YZ5505</v>
          </cell>
        </row>
        <row r="6309">
          <cell r="A6309" t="str">
            <v>YZ5505K0-2XL</v>
          </cell>
          <cell r="B6309" t="str">
            <v>YZ5505</v>
          </cell>
        </row>
        <row r="6310">
          <cell r="A6310" t="str">
            <v>YZ5505K0-2XL-Non Prime</v>
          </cell>
          <cell r="B6310" t="str">
            <v>YZ5505</v>
          </cell>
        </row>
        <row r="6311">
          <cell r="A6311" t="str">
            <v>YZ5505K0-L</v>
          </cell>
          <cell r="B6311" t="str">
            <v>YZ5505</v>
          </cell>
        </row>
        <row r="6312">
          <cell r="A6312" t="str">
            <v>YZ5505K0-L-Non Prime</v>
          </cell>
          <cell r="B6312" t="str">
            <v>YZ5505</v>
          </cell>
        </row>
        <row r="6313">
          <cell r="A6313" t="str">
            <v>YZ5505K0-M</v>
          </cell>
          <cell r="B6313" t="str">
            <v>YZ5505</v>
          </cell>
        </row>
        <row r="6314">
          <cell r="A6314" t="str">
            <v>YZ5505K0-M-Non Prime</v>
          </cell>
          <cell r="B6314" t="str">
            <v>YZ5505</v>
          </cell>
        </row>
        <row r="6315">
          <cell r="A6315" t="str">
            <v>YZ5505K0-S</v>
          </cell>
          <cell r="B6315" t="str">
            <v>YZ5505</v>
          </cell>
        </row>
        <row r="6316">
          <cell r="A6316" t="str">
            <v>YZ5505K0-S-Non Prime</v>
          </cell>
          <cell r="B6316" t="str">
            <v>YZ5505</v>
          </cell>
        </row>
        <row r="6317">
          <cell r="A6317" t="str">
            <v>YZ5505K0-XL</v>
          </cell>
          <cell r="B6317" t="str">
            <v>YZ5505</v>
          </cell>
        </row>
        <row r="6318">
          <cell r="A6318" t="str">
            <v>YZ5505K0-XL-Non Prime</v>
          </cell>
          <cell r="B6318" t="str">
            <v>YZ5505</v>
          </cell>
        </row>
        <row r="6319">
          <cell r="A6319" t="str">
            <v>YZ5505K0-XS</v>
          </cell>
          <cell r="B6319" t="str">
            <v>YZ5505</v>
          </cell>
        </row>
        <row r="6320">
          <cell r="A6320" t="str">
            <v>YZ5505K0-XS-Non Prime</v>
          </cell>
          <cell r="B6320" t="str">
            <v>YZ5505</v>
          </cell>
        </row>
        <row r="6321">
          <cell r="A6321" t="str">
            <v>YZ5505LB</v>
          </cell>
          <cell r="B6321" t="str">
            <v>YZ5505</v>
          </cell>
        </row>
        <row r="6322">
          <cell r="A6322" t="str">
            <v>YZ5505Lb0XS</v>
          </cell>
          <cell r="B6322" t="str">
            <v>YZ5505</v>
          </cell>
        </row>
        <row r="6323">
          <cell r="A6323" t="str">
            <v>YZ5505Lb0XS-MX</v>
          </cell>
          <cell r="B6323" t="str">
            <v>YZ5505</v>
          </cell>
        </row>
        <row r="6324">
          <cell r="A6324" t="str">
            <v>YZ5505Lb0XS-Non Prime</v>
          </cell>
          <cell r="B6324" t="str">
            <v>YZ5505</v>
          </cell>
        </row>
        <row r="6325">
          <cell r="A6325" t="str">
            <v>YZ5505LbL</v>
          </cell>
          <cell r="B6325" t="str">
            <v>YZ5505</v>
          </cell>
        </row>
        <row r="6326">
          <cell r="A6326" t="str">
            <v>YZ5505LbL-MX</v>
          </cell>
          <cell r="B6326" t="str">
            <v>YZ5505</v>
          </cell>
        </row>
        <row r="6327">
          <cell r="A6327" t="str">
            <v>YZ5505LbL-Non Prime</v>
          </cell>
          <cell r="B6327" t="str">
            <v>YZ5505</v>
          </cell>
        </row>
        <row r="6328">
          <cell r="A6328" t="str">
            <v>YZ5505LbM</v>
          </cell>
          <cell r="B6328" t="str">
            <v>YZ5505</v>
          </cell>
        </row>
        <row r="6329">
          <cell r="A6329" t="str">
            <v>YZ5505LbM-MX</v>
          </cell>
          <cell r="B6329" t="str">
            <v>YZ5505</v>
          </cell>
        </row>
        <row r="6330">
          <cell r="A6330" t="str">
            <v>YZ5505LbM-Non Prime</v>
          </cell>
          <cell r="B6330" t="str">
            <v>YZ5505</v>
          </cell>
        </row>
        <row r="6331">
          <cell r="A6331" t="str">
            <v>YZ5505LbS</v>
          </cell>
          <cell r="B6331" t="str">
            <v>YZ5505</v>
          </cell>
        </row>
        <row r="6332">
          <cell r="A6332" t="str">
            <v>YZ5505LbS-MX</v>
          </cell>
          <cell r="B6332" t="str">
            <v>YZ5505</v>
          </cell>
        </row>
        <row r="6333">
          <cell r="A6333" t="str">
            <v>YZ5505LbS-Non Prime</v>
          </cell>
          <cell r="B6333" t="str">
            <v>YZ5505</v>
          </cell>
        </row>
        <row r="6334">
          <cell r="A6334" t="str">
            <v>YZ5505LbXL</v>
          </cell>
          <cell r="B6334" t="str">
            <v>YZ5505</v>
          </cell>
        </row>
        <row r="6335">
          <cell r="A6335" t="str">
            <v>YZ5505LbXL-MX</v>
          </cell>
          <cell r="B6335" t="str">
            <v>YZ5505</v>
          </cell>
        </row>
        <row r="6336">
          <cell r="A6336" t="str">
            <v>YZ5505LbXL-Non Prime</v>
          </cell>
          <cell r="B6336" t="str">
            <v>YZ5505</v>
          </cell>
        </row>
        <row r="6337">
          <cell r="A6337" t="str">
            <v>YZ5505LbXXL</v>
          </cell>
          <cell r="B6337" t="str">
            <v>YZ5505</v>
          </cell>
        </row>
        <row r="6338">
          <cell r="A6338" t="str">
            <v>YZ5505LbXXL-MX</v>
          </cell>
          <cell r="B6338" t="str">
            <v>YZ5505</v>
          </cell>
        </row>
        <row r="6339">
          <cell r="A6339" t="str">
            <v>YZ5505LbXXL-Non Prime</v>
          </cell>
          <cell r="B6339" t="str">
            <v>YZ5505</v>
          </cell>
        </row>
        <row r="6340">
          <cell r="A6340" t="str">
            <v>YZ5505R0-2X</v>
          </cell>
          <cell r="B6340" t="str">
            <v>YZ5505</v>
          </cell>
        </row>
        <row r="6341">
          <cell r="A6341" t="str">
            <v>YZ5505R0-2X-MX</v>
          </cell>
          <cell r="B6341" t="str">
            <v>YZ5505</v>
          </cell>
        </row>
        <row r="6342">
          <cell r="A6342" t="str">
            <v>YZ5505R0-2X-Non Prime</v>
          </cell>
          <cell r="B6342" t="str">
            <v>YZ5505</v>
          </cell>
        </row>
        <row r="6343">
          <cell r="A6343" t="str">
            <v>YZ5505R0-L</v>
          </cell>
          <cell r="B6343" t="str">
            <v>YZ5505</v>
          </cell>
        </row>
        <row r="6344">
          <cell r="A6344" t="str">
            <v>YZ5505R0-L-GM</v>
          </cell>
          <cell r="B6344" t="str">
            <v>YZ5505</v>
          </cell>
        </row>
        <row r="6345">
          <cell r="A6345" t="str">
            <v>YZ5505R0-L-MX</v>
          </cell>
          <cell r="B6345" t="str">
            <v>YZ5505</v>
          </cell>
        </row>
        <row r="6346">
          <cell r="A6346" t="str">
            <v>YZ5505R0-L-Non Prime</v>
          </cell>
          <cell r="B6346" t="str">
            <v>YZ5505</v>
          </cell>
        </row>
        <row r="6347">
          <cell r="A6347" t="str">
            <v>YZ5505R0-M</v>
          </cell>
          <cell r="B6347" t="str">
            <v>YZ5505</v>
          </cell>
        </row>
        <row r="6348">
          <cell r="A6348" t="str">
            <v>YZ5505R0-M-GM</v>
          </cell>
          <cell r="B6348" t="str">
            <v>YZ5505</v>
          </cell>
        </row>
        <row r="6349">
          <cell r="A6349" t="str">
            <v>YZ5505R0-M-MX</v>
          </cell>
          <cell r="B6349" t="str">
            <v>YZ5505</v>
          </cell>
        </row>
        <row r="6350">
          <cell r="A6350" t="str">
            <v>YZ5505R0-M-Non Prime</v>
          </cell>
          <cell r="B6350" t="str">
            <v>YZ5505</v>
          </cell>
        </row>
        <row r="6351">
          <cell r="A6351" t="str">
            <v>YZ5505R0-S</v>
          </cell>
          <cell r="B6351" t="str">
            <v>YZ5505</v>
          </cell>
        </row>
        <row r="6352">
          <cell r="A6352" t="str">
            <v>YZ5505R0-S-Non Prime</v>
          </cell>
          <cell r="B6352" t="str">
            <v>YZ5505</v>
          </cell>
        </row>
        <row r="6353">
          <cell r="A6353" t="str">
            <v>YZ5505R0-XL</v>
          </cell>
          <cell r="B6353" t="str">
            <v>YZ5505</v>
          </cell>
        </row>
        <row r="6354">
          <cell r="A6354" t="str">
            <v>YZ5505R0-XL-MX</v>
          </cell>
          <cell r="B6354" t="str">
            <v>YZ5505</v>
          </cell>
        </row>
        <row r="6355">
          <cell r="A6355" t="str">
            <v>YZ5505R0-XL-Non Prime</v>
          </cell>
          <cell r="B6355" t="str">
            <v>YZ5505</v>
          </cell>
        </row>
        <row r="6356">
          <cell r="A6356" t="str">
            <v>YZ5505R0-XS</v>
          </cell>
          <cell r="B6356" t="str">
            <v>YZ5505</v>
          </cell>
        </row>
        <row r="6357">
          <cell r="A6357" t="str">
            <v>YZ5505R0-XS-GM</v>
          </cell>
          <cell r="B6357" t="str">
            <v>YZ5505</v>
          </cell>
        </row>
        <row r="6358">
          <cell r="A6358" t="str">
            <v>YZ5505R0-XS-Non Prime</v>
          </cell>
          <cell r="B6358" t="str">
            <v>YZ5505</v>
          </cell>
        </row>
        <row r="6359">
          <cell r="A6359" t="str">
            <v>YZ-6010B0-L</v>
          </cell>
          <cell r="B6359" t="str">
            <v>YZ-6010</v>
          </cell>
        </row>
        <row r="6360">
          <cell r="A6360" t="str">
            <v>YZ-6010B0-XL</v>
          </cell>
          <cell r="B6360" t="str">
            <v>YZ-6010</v>
          </cell>
        </row>
        <row r="6361">
          <cell r="A6361" t="str">
            <v>YZ-6010R6-2XL</v>
          </cell>
          <cell r="B6361" t="str">
            <v>YZ-6010</v>
          </cell>
        </row>
        <row r="6362">
          <cell r="A6362" t="str">
            <v>YZ-6010R6-L</v>
          </cell>
          <cell r="B6362" t="str">
            <v>YZ-6010</v>
          </cell>
        </row>
        <row r="6363">
          <cell r="A6363" t="str">
            <v>YZ7438B04XL</v>
          </cell>
          <cell r="B6363" t="str">
            <v>YZ7438</v>
          </cell>
        </row>
        <row r="6364">
          <cell r="A6364" t="str">
            <v>YZ7438B0L</v>
          </cell>
          <cell r="B6364" t="str">
            <v>YZ7438</v>
          </cell>
        </row>
        <row r="6365">
          <cell r="A6365" t="str">
            <v>YZ7438B0M</v>
          </cell>
          <cell r="B6365" t="str">
            <v>YZ7438</v>
          </cell>
        </row>
        <row r="6366">
          <cell r="A6366" t="str">
            <v>YZ7438B0XL</v>
          </cell>
          <cell r="B6366" t="str">
            <v>YZ7438</v>
          </cell>
        </row>
        <row r="6367">
          <cell r="A6367" t="str">
            <v>YZ7438B0XXL</v>
          </cell>
          <cell r="B6367" t="str">
            <v>YZ7438</v>
          </cell>
        </row>
        <row r="6368">
          <cell r="A6368" t="str">
            <v>YZ7438B0XXXL</v>
          </cell>
          <cell r="B6368" t="str">
            <v>YZ7438</v>
          </cell>
        </row>
        <row r="6369">
          <cell r="A6369" t="str">
            <v>YZ7438K04xL</v>
          </cell>
          <cell r="B6369" t="str">
            <v>YZ7438</v>
          </cell>
        </row>
        <row r="6370">
          <cell r="A6370" t="str">
            <v>YZ7438K0-L</v>
          </cell>
          <cell r="B6370" t="str">
            <v>YZ7438</v>
          </cell>
        </row>
        <row r="6371">
          <cell r="A6371" t="str">
            <v>YZ7438K0M</v>
          </cell>
          <cell r="B6371" t="str">
            <v>YZ7438</v>
          </cell>
        </row>
        <row r="6372">
          <cell r="A6372" t="str">
            <v>YZ7438K0XL</v>
          </cell>
          <cell r="B6372" t="str">
            <v>YZ7438</v>
          </cell>
        </row>
        <row r="6373">
          <cell r="A6373" t="str">
            <v>YZ7438K0XXL</v>
          </cell>
          <cell r="B6373" t="str">
            <v>YZ7438</v>
          </cell>
        </row>
        <row r="6374">
          <cell r="A6374" t="str">
            <v>YZ7438K0XXXL</v>
          </cell>
          <cell r="B6374" t="str">
            <v>YZ7438</v>
          </cell>
        </row>
        <row r="6375">
          <cell r="A6375" t="str">
            <v>YZ-BD16-3XL</v>
          </cell>
          <cell r="B6375" t="str">
            <v>YZ-BD16</v>
          </cell>
        </row>
        <row r="6376">
          <cell r="A6376" t="str">
            <v>YZ-BD16-4XL</v>
          </cell>
          <cell r="B6376" t="str">
            <v>YZ-BD16</v>
          </cell>
        </row>
        <row r="6377">
          <cell r="A6377" t="str">
            <v>YZ-BD16-S</v>
          </cell>
          <cell r="B6377" t="str">
            <v>YZ-BD16</v>
          </cell>
        </row>
        <row r="6378">
          <cell r="A6378" t="str">
            <v>YZ-BD16-XL</v>
          </cell>
          <cell r="B6378" t="str">
            <v>YZ-BD16</v>
          </cell>
        </row>
        <row r="6379">
          <cell r="A6379" t="str">
            <v>YZ-BD1704-K0-2XL</v>
          </cell>
          <cell r="B6379" t="str">
            <v>YZ-BD1704</v>
          </cell>
        </row>
        <row r="6380">
          <cell r="A6380" t="str">
            <v>YZ-BD1704-K0-L</v>
          </cell>
          <cell r="B6380" t="str">
            <v>YZ-BD1704</v>
          </cell>
        </row>
        <row r="6381">
          <cell r="A6381" t="str">
            <v>YZ-BD1704-K0-M</v>
          </cell>
          <cell r="B6381" t="str">
            <v>YZ-BD1704</v>
          </cell>
        </row>
        <row r="6382">
          <cell r="A6382" t="str">
            <v>YZ-BD1704-K0-S</v>
          </cell>
          <cell r="B6382" t="str">
            <v>YZ-BD1704</v>
          </cell>
        </row>
        <row r="6383">
          <cell r="A6383" t="str">
            <v>YZ-BD1704-K0-XL</v>
          </cell>
          <cell r="B6383" t="str">
            <v>YZ-BD1704</v>
          </cell>
        </row>
        <row r="6384">
          <cell r="A6384" t="str">
            <v>YZ-BD1704-K0-XS</v>
          </cell>
          <cell r="B6384" t="str">
            <v>YZ-BD1704</v>
          </cell>
        </row>
        <row r="6385">
          <cell r="A6385" t="str">
            <v>YZ-BS11112R0XL</v>
          </cell>
          <cell r="B6385" t="str">
            <v>YZ-BS11112</v>
          </cell>
        </row>
        <row r="6386">
          <cell r="A6386" t="str">
            <v>YZ-BS5119ZL2XL</v>
          </cell>
          <cell r="B6386" t="str">
            <v>YZ-BShyl5119</v>
          </cell>
        </row>
        <row r="6387">
          <cell r="A6387" t="str">
            <v>YZ-BS5119ZL2XL-GM</v>
          </cell>
          <cell r="B6387" t="str">
            <v>YZ-BShyl5119</v>
          </cell>
        </row>
        <row r="6388">
          <cell r="A6388" t="str">
            <v>YZ-BS5119ZL3XL</v>
          </cell>
          <cell r="B6388" t="str">
            <v>YZ-BShyl5119</v>
          </cell>
        </row>
        <row r="6389">
          <cell r="A6389" t="str">
            <v>YZ-BS5119ZL3XL-MX</v>
          </cell>
          <cell r="B6389" t="str">
            <v>YZ-BShyl5119</v>
          </cell>
        </row>
        <row r="6390">
          <cell r="A6390" t="str">
            <v>YZ-BS5119ZL4XL</v>
          </cell>
          <cell r="B6390" t="str">
            <v>YZ-BShyl5119</v>
          </cell>
        </row>
        <row r="6391">
          <cell r="A6391" t="str">
            <v>YZ-BS5119ZL5XL</v>
          </cell>
          <cell r="B6391" t="str">
            <v>YZ-BShyl5119</v>
          </cell>
        </row>
        <row r="6392">
          <cell r="A6392" t="str">
            <v>YZ-BS5119ZLXL</v>
          </cell>
          <cell r="B6392" t="str">
            <v>YZ-BShyl5119</v>
          </cell>
        </row>
        <row r="6393">
          <cell r="A6393" t="str">
            <v>YZ-BSA160301B02XL</v>
          </cell>
          <cell r="B6393" t="str">
            <v>YZ-BSA160301</v>
          </cell>
        </row>
        <row r="6394">
          <cell r="A6394" t="str">
            <v>YZ-BSA160301B03XL</v>
          </cell>
          <cell r="B6394" t="str">
            <v>YZ-BSA160301</v>
          </cell>
        </row>
        <row r="6395">
          <cell r="A6395" t="str">
            <v>YZ-BSA160301B0L</v>
          </cell>
          <cell r="B6395" t="str">
            <v>YZ-BSA160301</v>
          </cell>
        </row>
        <row r="6396">
          <cell r="A6396" t="str">
            <v>YZ-BSA160301B0M</v>
          </cell>
          <cell r="B6396" t="str">
            <v>YZ-BSA160301</v>
          </cell>
        </row>
        <row r="6397">
          <cell r="A6397" t="str">
            <v>YZ-BSA160301B0XL</v>
          </cell>
          <cell r="B6397" t="str">
            <v>YZ-BSA160301</v>
          </cell>
        </row>
        <row r="6398">
          <cell r="A6398" t="str">
            <v>YZ-BSA160301K02XL</v>
          </cell>
          <cell r="B6398" t="str">
            <v>YZ-BSA160301</v>
          </cell>
        </row>
        <row r="6399">
          <cell r="A6399" t="str">
            <v>YZ-BSA160301K03XL</v>
          </cell>
          <cell r="B6399" t="str">
            <v>YZ-BSA160301</v>
          </cell>
        </row>
        <row r="6400">
          <cell r="A6400" t="str">
            <v>YZ-BSA160301K0L</v>
          </cell>
          <cell r="B6400" t="str">
            <v>YZ-BSA160301</v>
          </cell>
        </row>
        <row r="6401">
          <cell r="A6401" t="str">
            <v>YZ-BSA160301K0M</v>
          </cell>
          <cell r="B6401" t="str">
            <v>YZ-BSA160301</v>
          </cell>
        </row>
        <row r="6402">
          <cell r="A6402" t="str">
            <v>YZ-BSA160301K0XL</v>
          </cell>
          <cell r="B6402" t="str">
            <v>YZ-BSA160301</v>
          </cell>
        </row>
        <row r="6403">
          <cell r="A6403" t="str">
            <v>YZ-BSA160301R02XL</v>
          </cell>
          <cell r="B6403" t="str">
            <v>YZ-BSA160301</v>
          </cell>
        </row>
        <row r="6404">
          <cell r="A6404" t="str">
            <v>YZ-BSA160301R03XL</v>
          </cell>
          <cell r="B6404" t="str">
            <v>YZ-BSA160301</v>
          </cell>
        </row>
        <row r="6405">
          <cell r="A6405" t="str">
            <v>YZ-BSA160301R0L</v>
          </cell>
          <cell r="B6405" t="str">
            <v>YZ-BSA160301</v>
          </cell>
        </row>
        <row r="6406">
          <cell r="A6406" t="str">
            <v>YZ-BSA160301R0M</v>
          </cell>
          <cell r="B6406" t="str">
            <v>YZ-BSA160301</v>
          </cell>
        </row>
        <row r="6407">
          <cell r="A6407" t="str">
            <v>YZ-BSA160301R0XL</v>
          </cell>
          <cell r="B6407" t="str">
            <v>YZ-BSA160301</v>
          </cell>
        </row>
        <row r="6408">
          <cell r="A6408" t="str">
            <v>YZ-BShyl5119K02XL</v>
          </cell>
          <cell r="B6408" t="str">
            <v>YZ-BShyl5119</v>
          </cell>
        </row>
        <row r="6409">
          <cell r="A6409" t="str">
            <v>YZ-BShyl5119K03XL</v>
          </cell>
          <cell r="B6409" t="str">
            <v>YZ-BShyl5119</v>
          </cell>
        </row>
        <row r="6410">
          <cell r="A6410" t="str">
            <v>YZ-BShyl5119K03XL-MX</v>
          </cell>
          <cell r="B6410" t="str">
            <v>YZ-BShyl5119</v>
          </cell>
        </row>
        <row r="6411">
          <cell r="A6411" t="str">
            <v>YZ-BShyl5119K04XL</v>
          </cell>
          <cell r="B6411" t="str">
            <v>YZ-BShyl5119</v>
          </cell>
        </row>
        <row r="6412">
          <cell r="A6412" t="str">
            <v>YZ-BShyl5119K0L</v>
          </cell>
          <cell r="B6412" t="str">
            <v>YZ-BShyl5119</v>
          </cell>
        </row>
        <row r="6413">
          <cell r="A6413" t="str">
            <v>YZ-BShyl5119K0M</v>
          </cell>
          <cell r="B6413" t="str">
            <v>YZ-BShyl5119</v>
          </cell>
        </row>
        <row r="6414">
          <cell r="A6414" t="str">
            <v>YZ-BShyl5119K0S</v>
          </cell>
          <cell r="B6414" t="str">
            <v>YZ-BShyl5119</v>
          </cell>
        </row>
        <row r="6415">
          <cell r="A6415" t="str">
            <v>YZ-BShyl5119K0XL</v>
          </cell>
          <cell r="B6415" t="str">
            <v>YZ-BShyl5119</v>
          </cell>
        </row>
        <row r="6416">
          <cell r="A6416" t="str">
            <v>YZ-BShyl5119-YH-2XL</v>
          </cell>
          <cell r="B6416" t="str">
            <v>YZ-BShyl5119</v>
          </cell>
        </row>
        <row r="6417">
          <cell r="A6417" t="str">
            <v>YZ-BShyl5119-YH-3XL</v>
          </cell>
          <cell r="B6417" t="str">
            <v>YZ-BShyl5119</v>
          </cell>
        </row>
        <row r="6418">
          <cell r="A6418" t="str">
            <v>YZ-BShyl5119-YH-4XL</v>
          </cell>
          <cell r="B6418" t="str">
            <v>YZ-BShyl5119</v>
          </cell>
        </row>
        <row r="6419">
          <cell r="A6419" t="str">
            <v>YZ-BShyl5119-YH-5XL</v>
          </cell>
          <cell r="B6419" t="str">
            <v>YZ-BShyl5119</v>
          </cell>
        </row>
        <row r="6420">
          <cell r="A6420" t="str">
            <v>YZ-BShyl5119-YH-XL</v>
          </cell>
          <cell r="B6420" t="str">
            <v>YZ-BShyl5119</v>
          </cell>
        </row>
        <row r="6421">
          <cell r="A6421" t="str">
            <v>YZ-BShyl5119-YT-2XL</v>
          </cell>
          <cell r="B6421" t="str">
            <v>YZ-BShyl5119</v>
          </cell>
        </row>
        <row r="6422">
          <cell r="A6422" t="str">
            <v>YZ-BShyl5119-YT-3XL</v>
          </cell>
          <cell r="B6422" t="str">
            <v>YZ-BShyl5119</v>
          </cell>
        </row>
        <row r="6423">
          <cell r="A6423" t="str">
            <v>YZ-BShyl5119-YT-3XL-GM</v>
          </cell>
          <cell r="B6423" t="str">
            <v>YZ-BShyl5119</v>
          </cell>
        </row>
        <row r="6424">
          <cell r="A6424" t="str">
            <v>YZ-BShyl5119-YT-4XL</v>
          </cell>
          <cell r="B6424" t="str">
            <v>YZ-BShyl5119</v>
          </cell>
        </row>
        <row r="6425">
          <cell r="A6425" t="str">
            <v>YZ-BShyl5119-YT-5XL</v>
          </cell>
          <cell r="B6425" t="str">
            <v>YZ-BShyl5119</v>
          </cell>
        </row>
        <row r="6426">
          <cell r="A6426" t="str">
            <v>YZ-BShyl5119-YT-XL</v>
          </cell>
          <cell r="B6426" t="str">
            <v>YZ-BShyl5119</v>
          </cell>
        </row>
        <row r="6427">
          <cell r="A6427" t="str">
            <v>YZ-BSLLHT2XL</v>
          </cell>
          <cell r="B6427" t="str">
            <v>YZ-BSLL</v>
          </cell>
        </row>
        <row r="6428">
          <cell r="A6428" t="str">
            <v>YZ-BSLLHT3XL</v>
          </cell>
          <cell r="B6428" t="str">
            <v>YZ-BSLL</v>
          </cell>
        </row>
        <row r="6429">
          <cell r="A6429" t="str">
            <v>YZ-BSLLHT4XL</v>
          </cell>
          <cell r="B6429" t="str">
            <v>YZ-BSLL</v>
          </cell>
        </row>
        <row r="6430">
          <cell r="A6430" t="str">
            <v>YZ-BSLLHTL</v>
          </cell>
          <cell r="B6430" t="str">
            <v>YZ-BSLL</v>
          </cell>
        </row>
        <row r="6431">
          <cell r="A6431" t="str">
            <v>YZ-BSLLHTM</v>
          </cell>
          <cell r="B6431" t="str">
            <v>YZ-BSLL</v>
          </cell>
        </row>
        <row r="6432">
          <cell r="A6432" t="str">
            <v>YZ-BSLLHTM-GM</v>
          </cell>
          <cell r="B6432" t="str">
            <v>YZ-BSLL</v>
          </cell>
        </row>
        <row r="6433">
          <cell r="A6433" t="str">
            <v>YZ-BSLLHTS</v>
          </cell>
          <cell r="B6433" t="str">
            <v>YZ-BSLL</v>
          </cell>
        </row>
        <row r="6434">
          <cell r="A6434" t="str">
            <v>YZ-BSLLHTXL</v>
          </cell>
          <cell r="B6434" t="str">
            <v>YZ-BSLL</v>
          </cell>
        </row>
        <row r="6435">
          <cell r="A6435" t="str">
            <v>YZ-BSLLIT2XL</v>
          </cell>
          <cell r="B6435" t="str">
            <v>YZ-BSLL</v>
          </cell>
        </row>
        <row r="6436">
          <cell r="A6436" t="str">
            <v>YZ-BSLLIT3XL</v>
          </cell>
          <cell r="B6436" t="str">
            <v>YZ-BSLL</v>
          </cell>
        </row>
        <row r="6437">
          <cell r="A6437" t="str">
            <v>YZ-BSLLIT4XL</v>
          </cell>
          <cell r="B6437" t="str">
            <v>YZ-BSLL</v>
          </cell>
        </row>
        <row r="6438">
          <cell r="A6438" t="str">
            <v>YZ-BSLLITL</v>
          </cell>
          <cell r="B6438" t="str">
            <v>YZ-BSLL</v>
          </cell>
        </row>
        <row r="6439">
          <cell r="A6439" t="str">
            <v>YZ-BSLLITM</v>
          </cell>
          <cell r="B6439" t="str">
            <v>YZ-BSLL</v>
          </cell>
        </row>
        <row r="6440">
          <cell r="A6440" t="str">
            <v>YZ-BSLLITS</v>
          </cell>
          <cell r="B6440" t="str">
            <v>YZ-BSLL</v>
          </cell>
        </row>
        <row r="6441">
          <cell r="A6441" t="str">
            <v>YZ-BSLLITXL</v>
          </cell>
          <cell r="B6441" t="str">
            <v>YZ-BSLL</v>
          </cell>
        </row>
        <row r="6442">
          <cell r="A6442" t="str">
            <v>YZ-BSLLK02XL</v>
          </cell>
          <cell r="B6442" t="str">
            <v>YZ-BSLL</v>
          </cell>
        </row>
        <row r="6443">
          <cell r="A6443" t="str">
            <v>YZ-BSLLK03XL</v>
          </cell>
          <cell r="B6443" t="str">
            <v>YZ-BSLL</v>
          </cell>
        </row>
        <row r="6444">
          <cell r="A6444" t="str">
            <v>YZ-BSLLK04XL</v>
          </cell>
          <cell r="B6444" t="str">
            <v>YZ-BSLL</v>
          </cell>
        </row>
        <row r="6445">
          <cell r="A6445" t="str">
            <v>YZ-BSLLK0L</v>
          </cell>
          <cell r="B6445" t="str">
            <v>YZ-BSLL</v>
          </cell>
        </row>
        <row r="6446">
          <cell r="A6446" t="str">
            <v>YZ-BSLLK0M</v>
          </cell>
          <cell r="B6446" t="str">
            <v>YZ-BSLL</v>
          </cell>
        </row>
        <row r="6447">
          <cell r="A6447" t="str">
            <v>YZ-BSLLK0XL</v>
          </cell>
          <cell r="B6447" t="str">
            <v>YZ-BSLL</v>
          </cell>
        </row>
        <row r="6448">
          <cell r="A6448" t="str">
            <v>YZ-BSY97Z2L</v>
          </cell>
          <cell r="B6448" t="str">
            <v>YZ-BSY97</v>
          </cell>
        </row>
        <row r="6449">
          <cell r="A6449" t="str">
            <v>YZ-BSY97Z2M</v>
          </cell>
          <cell r="B6449" t="str">
            <v>YZ-BSY97</v>
          </cell>
        </row>
        <row r="6450">
          <cell r="A6450" t="str">
            <v>YZ-BSY97Z2XL</v>
          </cell>
          <cell r="B6450" t="str">
            <v>YZ-BSY97</v>
          </cell>
        </row>
        <row r="6451">
          <cell r="A6451" t="str">
            <v>YZ-BSY97Z3L</v>
          </cell>
          <cell r="B6451" t="str">
            <v>YZ-BSY97</v>
          </cell>
        </row>
        <row r="6452">
          <cell r="A6452" t="str">
            <v>YZ-BSY97Z3M</v>
          </cell>
          <cell r="B6452" t="str">
            <v>YZ-BSY97</v>
          </cell>
        </row>
        <row r="6453">
          <cell r="A6453" t="str">
            <v>YZ-BSY97Z3XL</v>
          </cell>
          <cell r="B6453" t="str">
            <v>YZ-BSY97</v>
          </cell>
        </row>
        <row r="6454">
          <cell r="A6454" t="str">
            <v>YZ-BX1443Bl0L</v>
          </cell>
          <cell r="B6454" t="str">
            <v>YZ-BX1443</v>
          </cell>
        </row>
        <row r="6455">
          <cell r="A6455" t="str">
            <v>YZ-BX1443Bl2L</v>
          </cell>
          <cell r="B6455" t="str">
            <v>YZ-BX1443</v>
          </cell>
        </row>
        <row r="6456">
          <cell r="A6456" t="str">
            <v>YZ-BX1443Bl3XL</v>
          </cell>
          <cell r="B6456" t="str">
            <v>YZ-BX1443</v>
          </cell>
        </row>
        <row r="6457">
          <cell r="A6457" t="str">
            <v>YZ-BX1443BlM</v>
          </cell>
          <cell r="B6457" t="str">
            <v>YZ-BX1443</v>
          </cell>
        </row>
        <row r="6458">
          <cell r="A6458" t="str">
            <v>YZ-BX1443BlXL</v>
          </cell>
          <cell r="B6458" t="str">
            <v>YZ-BX1443</v>
          </cell>
        </row>
        <row r="6459">
          <cell r="A6459" t="str">
            <v>YZ-BX1443Cl0L</v>
          </cell>
          <cell r="B6459" t="str">
            <v>YZ-BX1443</v>
          </cell>
        </row>
        <row r="6460">
          <cell r="A6460" t="str">
            <v>YZ-BX1443Cl2L</v>
          </cell>
          <cell r="B6460" t="str">
            <v>YZ-BX1443</v>
          </cell>
        </row>
        <row r="6461">
          <cell r="A6461" t="str">
            <v>YZ-BX1443Cl3L</v>
          </cell>
          <cell r="B6461" t="str">
            <v>YZ-BX1443</v>
          </cell>
        </row>
        <row r="6462">
          <cell r="A6462" t="str">
            <v>YZ-BX1443ClM</v>
          </cell>
          <cell r="B6462" t="str">
            <v>YZ-BX1443</v>
          </cell>
        </row>
        <row r="6463">
          <cell r="A6463" t="str">
            <v>YZ-BX1443ClXL</v>
          </cell>
          <cell r="B6463" t="str">
            <v>YZ-BX1443</v>
          </cell>
        </row>
        <row r="6464">
          <cell r="A6464" t="str">
            <v>YZ-BX1443Pi0L</v>
          </cell>
          <cell r="B6464" t="str">
            <v>YZ-BX1443</v>
          </cell>
        </row>
        <row r="6465">
          <cell r="A6465" t="str">
            <v>YZ-BX1443Pi2L</v>
          </cell>
          <cell r="B6465" t="str">
            <v>YZ-BX1443</v>
          </cell>
        </row>
        <row r="6466">
          <cell r="A6466" t="str">
            <v>YZ-BX1443Pi3L</v>
          </cell>
          <cell r="B6466" t="str">
            <v>YZ-BX1443</v>
          </cell>
        </row>
        <row r="6467">
          <cell r="A6467" t="str">
            <v>YZ-BX1443PiM</v>
          </cell>
          <cell r="B6467" t="str">
            <v>YZ-BX1443</v>
          </cell>
        </row>
        <row r="6468">
          <cell r="A6468" t="str">
            <v>YZ-BX1443PiXL</v>
          </cell>
          <cell r="B6468" t="str">
            <v>YZ-BX1443</v>
          </cell>
        </row>
        <row r="6469">
          <cell r="A6469" t="str">
            <v>YZ-BZ1707-B0-2XL</v>
          </cell>
          <cell r="B6469" t="str">
            <v>YZ-BZ1707</v>
          </cell>
        </row>
        <row r="6470">
          <cell r="A6470" t="str">
            <v>YZ-BZ1707-B0-L</v>
          </cell>
          <cell r="B6470" t="str">
            <v>YZ-BZ1707</v>
          </cell>
        </row>
        <row r="6471">
          <cell r="A6471" t="str">
            <v>YZ-BZ1707-B0-M</v>
          </cell>
          <cell r="B6471" t="str">
            <v>YZ-BZ1707</v>
          </cell>
        </row>
        <row r="6472">
          <cell r="A6472" t="str">
            <v>YZ-BZ1707-B0-S</v>
          </cell>
          <cell r="B6472" t="str">
            <v>YZ-BZ1707</v>
          </cell>
        </row>
        <row r="6473">
          <cell r="A6473" t="str">
            <v>YZ-BZ1707-B0-XL</v>
          </cell>
          <cell r="B6473" t="str">
            <v>YZ-BZ1707</v>
          </cell>
        </row>
        <row r="6474">
          <cell r="A6474" t="str">
            <v>YZ-BZ1707-B0-XS</v>
          </cell>
          <cell r="B6474" t="str">
            <v>YZ-BZ1707</v>
          </cell>
        </row>
        <row r="6475">
          <cell r="A6475" t="str">
            <v>YZ-CA1245001L</v>
          </cell>
          <cell r="B6475" t="str">
            <v>YZ-CA1245</v>
          </cell>
        </row>
        <row r="6476">
          <cell r="A6476" t="str">
            <v>YZ-CA1245003L</v>
          </cell>
          <cell r="B6476" t="str">
            <v>YZ-CA1245</v>
          </cell>
        </row>
        <row r="6477">
          <cell r="A6477" t="str">
            <v>YZ-CA124500L</v>
          </cell>
          <cell r="B6477" t="str">
            <v>YZ-CA1245</v>
          </cell>
        </row>
        <row r="6478">
          <cell r="A6478" t="str">
            <v>YZ-CA124500M</v>
          </cell>
          <cell r="B6478" t="str">
            <v>YZ-CA1245</v>
          </cell>
        </row>
        <row r="6479">
          <cell r="A6479" t="str">
            <v>YZ-CA1245G01L</v>
          </cell>
          <cell r="B6479" t="str">
            <v>YZ-CA1245</v>
          </cell>
        </row>
        <row r="6480">
          <cell r="A6480" t="str">
            <v>YZ-CA1245G02L</v>
          </cell>
          <cell r="B6480" t="str">
            <v>YZ-CA1245</v>
          </cell>
        </row>
        <row r="6481">
          <cell r="A6481" t="str">
            <v>YZ-CA1245G03L</v>
          </cell>
          <cell r="B6481" t="str">
            <v>YZ-CA1245</v>
          </cell>
        </row>
        <row r="6482">
          <cell r="A6482" t="str">
            <v>YZ-CA1245G0L</v>
          </cell>
          <cell r="B6482" t="str">
            <v>YZ-CA1245</v>
          </cell>
        </row>
        <row r="6483">
          <cell r="A6483" t="str">
            <v>YZ-CA1245G0M</v>
          </cell>
          <cell r="B6483" t="str">
            <v>YZ-CA1245</v>
          </cell>
        </row>
        <row r="6484">
          <cell r="A6484" t="str">
            <v>YZ-CA1245W01L</v>
          </cell>
          <cell r="B6484" t="str">
            <v>YZ-CA1245</v>
          </cell>
        </row>
        <row r="6485">
          <cell r="A6485" t="str">
            <v>YZ-CA1245W02L</v>
          </cell>
          <cell r="B6485" t="str">
            <v>YZ-CA1245</v>
          </cell>
        </row>
        <row r="6486">
          <cell r="A6486" t="str">
            <v>YZ-CA1245W03L</v>
          </cell>
          <cell r="B6486" t="str">
            <v>YZ-CA1245</v>
          </cell>
        </row>
        <row r="6487">
          <cell r="A6487" t="str">
            <v>YZ-CA1245W0L</v>
          </cell>
          <cell r="B6487" t="str">
            <v>YZ-CA1245</v>
          </cell>
        </row>
        <row r="6488">
          <cell r="A6488" t="str">
            <v>YZ-CA1245W0M</v>
          </cell>
          <cell r="B6488" t="str">
            <v>YZ-CA1245</v>
          </cell>
        </row>
        <row r="6489">
          <cell r="A6489" t="str">
            <v>YZ-CA160301B03XL</v>
          </cell>
          <cell r="B6489" t="str">
            <v>YZ-CA160301</v>
          </cell>
        </row>
        <row r="6490">
          <cell r="A6490" t="str">
            <v>YZ-CA160301K02XL</v>
          </cell>
          <cell r="B6490" t="str">
            <v>YZ-CA160301</v>
          </cell>
        </row>
        <row r="6491">
          <cell r="A6491" t="str">
            <v>YZ-CA160301K0L</v>
          </cell>
          <cell r="B6491" t="str">
            <v>YZ-CA160301</v>
          </cell>
        </row>
        <row r="6492">
          <cell r="A6492" t="str">
            <v>YZ-CA160301K0M</v>
          </cell>
          <cell r="B6492" t="str">
            <v>YZ-CA160301</v>
          </cell>
        </row>
        <row r="6493">
          <cell r="A6493" t="str">
            <v>YZ-CA160301K0XL</v>
          </cell>
          <cell r="B6493" t="str">
            <v>YZ-CA160301</v>
          </cell>
        </row>
        <row r="6494">
          <cell r="A6494" t="str">
            <v>YZ-CA2000-2XL</v>
          </cell>
          <cell r="B6494" t="str">
            <v>YZ-CA2000</v>
          </cell>
        </row>
        <row r="6495">
          <cell r="A6495" t="str">
            <v>YZ-CA2000-3XL</v>
          </cell>
          <cell r="B6495" t="str">
            <v>YZ-CA2000</v>
          </cell>
        </row>
        <row r="6496">
          <cell r="A6496" t="str">
            <v>YZ-CA2000-M</v>
          </cell>
          <cell r="B6496" t="str">
            <v>YZ-CA2000</v>
          </cell>
        </row>
        <row r="6497">
          <cell r="A6497" t="str">
            <v>YZ-CA2000-XL</v>
          </cell>
          <cell r="B6497" t="str">
            <v>YZ-CA2000</v>
          </cell>
        </row>
        <row r="6498">
          <cell r="A6498" t="str">
            <v>YZ-CA233-K0-XS</v>
          </cell>
          <cell r="B6498" t="str">
            <v>YZ-CA233</v>
          </cell>
        </row>
        <row r="6499">
          <cell r="A6499" t="str">
            <v>YZ-CA30CH-K0-L</v>
          </cell>
          <cell r="B6499" t="str">
            <v>YZ-CA30CH</v>
          </cell>
        </row>
        <row r="6500">
          <cell r="A6500" t="str">
            <v>YZ-CA30CH-K0-M</v>
          </cell>
          <cell r="B6500" t="str">
            <v>YZ-CA30CH</v>
          </cell>
        </row>
        <row r="6501">
          <cell r="A6501" t="str">
            <v>YZ-CA30CH-L</v>
          </cell>
          <cell r="B6501" t="str">
            <v>YZ-CA30CH</v>
          </cell>
        </row>
        <row r="6502">
          <cell r="A6502" t="str">
            <v>YZ-CA30CH-M</v>
          </cell>
          <cell r="B6502" t="str">
            <v>YZ-CA30CH</v>
          </cell>
        </row>
        <row r="6503">
          <cell r="A6503" t="str">
            <v>YZ-CA30CH-S</v>
          </cell>
          <cell r="B6503" t="str">
            <v>YZ-CA30CH</v>
          </cell>
        </row>
        <row r="6504">
          <cell r="A6504" t="str">
            <v>YZ-CA30CH-XL</v>
          </cell>
          <cell r="B6504" t="str">
            <v>YZ-CA30CH</v>
          </cell>
        </row>
        <row r="6505">
          <cell r="A6505" t="str">
            <v>YZ-CA30CH-XS</v>
          </cell>
          <cell r="B6505" t="str">
            <v>YZ-CA30CH</v>
          </cell>
        </row>
        <row r="6506">
          <cell r="A6506" t="str">
            <v>YZ-CA3233-K0-M</v>
          </cell>
          <cell r="B6506" t="str">
            <v>YZ-CA3233</v>
          </cell>
        </row>
        <row r="6507">
          <cell r="A6507" t="str">
            <v>YZ-CAA160301K03XL</v>
          </cell>
          <cell r="B6507" t="str">
            <v>YZ-CAA160301</v>
          </cell>
        </row>
        <row r="6508">
          <cell r="A6508" t="str">
            <v>YZ-CAY97Z2M</v>
          </cell>
          <cell r="B6508" t="str">
            <v>YZ-CAY97Z2</v>
          </cell>
        </row>
        <row r="6509">
          <cell r="A6509" t="str">
            <v>YZ-CAY97Z2XL</v>
          </cell>
          <cell r="B6509" t="str">
            <v>YZ-CAY97Z2</v>
          </cell>
        </row>
        <row r="6510">
          <cell r="A6510" t="str">
            <v>YZ-CAY97Z3XL</v>
          </cell>
          <cell r="B6510" t="str">
            <v>YZ-CAY97Z2</v>
          </cell>
        </row>
        <row r="6511">
          <cell r="A6511" t="str">
            <v>YZ-CF41998-BU-XL</v>
          </cell>
          <cell r="B6511" t="str">
            <v>YZ-CF41998</v>
          </cell>
        </row>
        <row r="6512">
          <cell r="A6512" t="str">
            <v>YZ-CFAM005-ARGR-M</v>
          </cell>
          <cell r="B6512" t="str">
            <v>YZ-CFAM005</v>
          </cell>
        </row>
        <row r="6513">
          <cell r="A6513" t="str">
            <v>YZ-CFAM005-LABUGR-L</v>
          </cell>
          <cell r="B6513" t="str">
            <v>YZ-CFAM005</v>
          </cell>
        </row>
        <row r="6514">
          <cell r="A6514" t="str">
            <v>YZ-CFAM005-LABUGR-M</v>
          </cell>
          <cell r="B6514" t="str">
            <v>YZ-CFAM005</v>
          </cell>
        </row>
        <row r="6515">
          <cell r="A6515" t="str">
            <v>YZ-CFAM005-LABUGR-S</v>
          </cell>
          <cell r="B6515" t="str">
            <v>YZ-CFAM005</v>
          </cell>
        </row>
        <row r="6516">
          <cell r="A6516" t="str">
            <v>YZ-CL0001-R0-XS</v>
          </cell>
          <cell r="B6516" t="str">
            <v>YZ-CL0001</v>
          </cell>
        </row>
        <row r="6517">
          <cell r="A6517" t="str">
            <v>YZ-CL0001-R1-S</v>
          </cell>
          <cell r="B6517" t="str">
            <v>YZ-CL0001</v>
          </cell>
        </row>
        <row r="6518">
          <cell r="A6518" t="str">
            <v>YZ-CL0001-R2-M</v>
          </cell>
          <cell r="B6518" t="str">
            <v>YZ-CL0001</v>
          </cell>
        </row>
        <row r="6519">
          <cell r="A6519" t="str">
            <v>YZ-CL0001-R3-L</v>
          </cell>
          <cell r="B6519" t="str">
            <v>YZ-CL0001</v>
          </cell>
        </row>
        <row r="6520">
          <cell r="A6520" t="str">
            <v>YZ-CL0001-R4-XL</v>
          </cell>
          <cell r="B6520" t="str">
            <v>YZ-CL0001</v>
          </cell>
        </row>
        <row r="6521">
          <cell r="A6521" t="str">
            <v>YZ-CL0393-B0-L</v>
          </cell>
          <cell r="B6521" t="str">
            <v>YZ-CL0393</v>
          </cell>
        </row>
        <row r="6522">
          <cell r="A6522" t="str">
            <v>YZ-CL0393-B0-M</v>
          </cell>
          <cell r="B6522" t="str">
            <v>YZ-CL0393</v>
          </cell>
        </row>
        <row r="6523">
          <cell r="A6523" t="str">
            <v>YZ-CL0393-B0-XL</v>
          </cell>
          <cell r="B6523" t="str">
            <v>YZ-CL0393</v>
          </cell>
        </row>
        <row r="6524">
          <cell r="A6524" t="str">
            <v>YZ-CL060-L</v>
          </cell>
          <cell r="B6524" t="str">
            <v>YZ-CL060</v>
          </cell>
        </row>
        <row r="6525">
          <cell r="A6525" t="str">
            <v>YZ-CL060-XL</v>
          </cell>
          <cell r="B6525" t="str">
            <v>YZ-CL060</v>
          </cell>
        </row>
        <row r="6526">
          <cell r="A6526" t="str">
            <v>YZ-CL1609-MU-L</v>
          </cell>
          <cell r="B6526" t="str">
            <v>YZ-CL1609</v>
          </cell>
        </row>
        <row r="6527">
          <cell r="A6527" t="str">
            <v>YZ-CL1609-MU-M</v>
          </cell>
          <cell r="B6527" t="str">
            <v>YZ-CL1609</v>
          </cell>
        </row>
        <row r="6528">
          <cell r="A6528" t="str">
            <v>YZ-CL1609-MU-S</v>
          </cell>
          <cell r="B6528" t="str">
            <v>YZ-CL1609</v>
          </cell>
        </row>
        <row r="6529">
          <cell r="A6529" t="str">
            <v>YZ-CL1609-MU-XL</v>
          </cell>
          <cell r="B6529" t="str">
            <v>YZ-CL1609</v>
          </cell>
        </row>
        <row r="6530">
          <cell r="A6530" t="str">
            <v>YZ-CL1704-B0-S</v>
          </cell>
          <cell r="B6530" t="str">
            <v>YZ-CL1704</v>
          </cell>
        </row>
        <row r="6531">
          <cell r="A6531" t="str">
            <v>YZ-CL1704-G0-L</v>
          </cell>
          <cell r="B6531" t="str">
            <v>YZ-CL1704</v>
          </cell>
        </row>
        <row r="6532">
          <cell r="A6532" t="str">
            <v>YZ-CL1704-G0-M</v>
          </cell>
          <cell r="B6532" t="str">
            <v>YZ-CL1704</v>
          </cell>
        </row>
        <row r="6533">
          <cell r="A6533" t="str">
            <v>YZ-CL1704-G0-S</v>
          </cell>
          <cell r="B6533" t="str">
            <v>YZ-CL1704</v>
          </cell>
        </row>
        <row r="6534">
          <cell r="A6534" t="str">
            <v>YZ-CL1704-G0-XL</v>
          </cell>
          <cell r="B6534" t="str">
            <v>YZ-CL1704</v>
          </cell>
        </row>
        <row r="6535">
          <cell r="A6535" t="str">
            <v>YZ-CL1704-R0-M</v>
          </cell>
          <cell r="B6535" t="str">
            <v>YZ-CL1704</v>
          </cell>
        </row>
        <row r="6536">
          <cell r="A6536" t="str">
            <v>YZ-CL1704-R0-S</v>
          </cell>
          <cell r="B6536" t="str">
            <v>YZ-CL1704</v>
          </cell>
        </row>
        <row r="6537">
          <cell r="A6537" t="str">
            <v>YZ-CL1717-W0-L</v>
          </cell>
          <cell r="B6537" t="str">
            <v>YZ-CL1717</v>
          </cell>
        </row>
        <row r="6538">
          <cell r="A6538" t="str">
            <v>YZ-CL1717-W0-M</v>
          </cell>
          <cell r="B6538" t="str">
            <v>YZ-CL1717</v>
          </cell>
        </row>
        <row r="6539">
          <cell r="A6539" t="str">
            <v>YZ-CL1717-W0-S</v>
          </cell>
          <cell r="B6539" t="str">
            <v>YZ-CL1717</v>
          </cell>
        </row>
        <row r="6540">
          <cell r="A6540" t="str">
            <v>YZ-CL7042-R0-L</v>
          </cell>
          <cell r="B6540" t="str">
            <v>YZ-CL7042</v>
          </cell>
        </row>
        <row r="6541">
          <cell r="A6541" t="str">
            <v>YZ-CL7042-R0-M</v>
          </cell>
          <cell r="B6541" t="str">
            <v>YZ-CL7042</v>
          </cell>
        </row>
        <row r="6542">
          <cell r="A6542" t="str">
            <v>YZ-CL7042-ZL-M</v>
          </cell>
          <cell r="B6542" t="str">
            <v>YZ-CL7042</v>
          </cell>
        </row>
        <row r="6543">
          <cell r="A6543" t="str">
            <v>YZ-CL912-BD-L</v>
          </cell>
          <cell r="B6543" t="str">
            <v>YZ-CL912</v>
          </cell>
        </row>
        <row r="6544">
          <cell r="A6544" t="str">
            <v>YZ-CL912-BD-M</v>
          </cell>
          <cell r="B6544" t="str">
            <v>YZ-CL912</v>
          </cell>
        </row>
        <row r="6545">
          <cell r="A6545" t="str">
            <v>YZ-CL912-BD-XL</v>
          </cell>
          <cell r="B6545" t="str">
            <v>YZ-CL912</v>
          </cell>
        </row>
        <row r="6546">
          <cell r="A6546" t="str">
            <v>YZ-CL912-BS-L</v>
          </cell>
          <cell r="B6546" t="str">
            <v>YZ-CL912</v>
          </cell>
        </row>
        <row r="6547">
          <cell r="A6547" t="str">
            <v>YZ-CL912-BS-M</v>
          </cell>
          <cell r="B6547" t="str">
            <v>YZ-CL912</v>
          </cell>
        </row>
        <row r="6548">
          <cell r="A6548" t="str">
            <v>YZ-CL912-FB-L</v>
          </cell>
          <cell r="B6548" t="str">
            <v>YZ-CL912</v>
          </cell>
        </row>
        <row r="6549">
          <cell r="A6549" t="str">
            <v>YZ-CL912-FB-M</v>
          </cell>
          <cell r="B6549" t="str">
            <v>YZ-CL912</v>
          </cell>
        </row>
        <row r="6550">
          <cell r="A6550" t="str">
            <v>YZ-CL912-FB-S</v>
          </cell>
          <cell r="B6550" t="str">
            <v>YZ-CL912</v>
          </cell>
        </row>
        <row r="6551">
          <cell r="A6551" t="str">
            <v>YZ-CL912-FB-XL</v>
          </cell>
          <cell r="B6551" t="str">
            <v>YZ-CL912</v>
          </cell>
        </row>
        <row r="6552">
          <cell r="A6552" t="str">
            <v>YZ-CL912-K0-L</v>
          </cell>
          <cell r="B6552" t="str">
            <v>YZ-CL912</v>
          </cell>
        </row>
        <row r="6553">
          <cell r="A6553" t="str">
            <v>YZ-CL912-K0-M</v>
          </cell>
          <cell r="B6553" t="str">
            <v>YZ-CL912</v>
          </cell>
        </row>
        <row r="6554">
          <cell r="A6554" t="str">
            <v>YZ-CL912-K0-S</v>
          </cell>
          <cell r="B6554" t="str">
            <v>YZ-CL912</v>
          </cell>
        </row>
        <row r="6555">
          <cell r="A6555" t="str">
            <v>YZ-CL912-K0-XL</v>
          </cell>
          <cell r="B6555" t="str">
            <v>YZ-CL912</v>
          </cell>
        </row>
        <row r="6556">
          <cell r="A6556" t="str">
            <v>YZ-CL912-R6-M</v>
          </cell>
          <cell r="B6556" t="str">
            <v>YZ-CL912</v>
          </cell>
        </row>
        <row r="6557">
          <cell r="A6557" t="str">
            <v>YZ-CL912-W0-L</v>
          </cell>
          <cell r="B6557" t="str">
            <v>YZ-CL912</v>
          </cell>
        </row>
        <row r="6558">
          <cell r="A6558" t="str">
            <v>YZ-CL912-W0-M</v>
          </cell>
          <cell r="B6558" t="str">
            <v>YZ-CL912</v>
          </cell>
        </row>
        <row r="6559">
          <cell r="A6559" t="str">
            <v>YZ-CLD072-K0-3XL</v>
          </cell>
          <cell r="B6559" t="str">
            <v>YZ-CLD072</v>
          </cell>
        </row>
        <row r="6560">
          <cell r="A6560" t="str">
            <v>YZ-CLD072-K0-4XL</v>
          </cell>
          <cell r="B6560" t="str">
            <v>YZ-CLD072</v>
          </cell>
        </row>
        <row r="6561">
          <cell r="A6561" t="str">
            <v>YZ-CLD072-K0-L</v>
          </cell>
          <cell r="B6561" t="str">
            <v>YZ-CLD072</v>
          </cell>
        </row>
        <row r="6562">
          <cell r="A6562" t="str">
            <v>YZ-CLD072-K0-M</v>
          </cell>
          <cell r="B6562" t="str">
            <v>YZ-CLD072</v>
          </cell>
        </row>
        <row r="6563">
          <cell r="A6563" t="str">
            <v>YZ-CLD072-K0-S</v>
          </cell>
          <cell r="B6563" t="str">
            <v>YZ-CLD072</v>
          </cell>
        </row>
        <row r="6564">
          <cell r="A6564" t="str">
            <v>YZ-CLD072-K0-XL</v>
          </cell>
          <cell r="B6564" t="str">
            <v>YZ-CLD072</v>
          </cell>
        </row>
        <row r="6565">
          <cell r="A6565" t="str">
            <v>YZ-CLD072-K0-XXL</v>
          </cell>
          <cell r="B6565" t="str">
            <v>YZ-CLD072</v>
          </cell>
        </row>
        <row r="6566">
          <cell r="A6566" t="str">
            <v>YZ-CLD072-MU-3XL</v>
          </cell>
          <cell r="B6566" t="str">
            <v>YZ-CLD072</v>
          </cell>
        </row>
        <row r="6567">
          <cell r="A6567" t="str">
            <v>YZ-CLD072-MU-4XL</v>
          </cell>
          <cell r="B6567" t="str">
            <v>YZ-CLD072</v>
          </cell>
        </row>
        <row r="6568">
          <cell r="A6568" t="str">
            <v>YZ-CLD072-MU-L</v>
          </cell>
          <cell r="B6568" t="str">
            <v>YZ-CLD072</v>
          </cell>
        </row>
        <row r="6569">
          <cell r="A6569" t="str">
            <v>YZ-CLD072-MU-M</v>
          </cell>
          <cell r="B6569" t="str">
            <v>YZ-CLD072</v>
          </cell>
        </row>
        <row r="6570">
          <cell r="A6570" t="str">
            <v>YZ-CLD072-MU-S</v>
          </cell>
          <cell r="B6570" t="str">
            <v>YZ-CLD072</v>
          </cell>
        </row>
        <row r="6571">
          <cell r="A6571" t="str">
            <v>YZ-CLD072-MU-XL</v>
          </cell>
          <cell r="B6571" t="str">
            <v>YZ-CLD072</v>
          </cell>
        </row>
        <row r="6572">
          <cell r="A6572" t="str">
            <v>YZ-CLD072-MU-XXL</v>
          </cell>
          <cell r="B6572" t="str">
            <v>YZ-CLD072</v>
          </cell>
        </row>
        <row r="6573">
          <cell r="A6573" t="str">
            <v>YZ-CLD072-W0-3XL</v>
          </cell>
          <cell r="B6573" t="str">
            <v>YZ-CLD072</v>
          </cell>
        </row>
        <row r="6574">
          <cell r="A6574" t="str">
            <v>YZ-CLD072-W0-4XL</v>
          </cell>
          <cell r="B6574" t="str">
            <v>YZ-CLD072</v>
          </cell>
        </row>
        <row r="6575">
          <cell r="A6575" t="str">
            <v>YZ-CLD072-W0-L</v>
          </cell>
          <cell r="B6575" t="str">
            <v>YZ-CLD072</v>
          </cell>
        </row>
        <row r="6576">
          <cell r="A6576" t="str">
            <v>YZ-CLD072-W0-M</v>
          </cell>
          <cell r="B6576" t="str">
            <v>YZ-CLD072</v>
          </cell>
        </row>
        <row r="6577">
          <cell r="A6577" t="str">
            <v>YZ-CLD072-W0-S</v>
          </cell>
          <cell r="B6577" t="str">
            <v>YZ-CLD072</v>
          </cell>
        </row>
        <row r="6578">
          <cell r="A6578" t="str">
            <v>YZ-CLD072-W0-XL</v>
          </cell>
          <cell r="B6578" t="str">
            <v>YZ-CLD072</v>
          </cell>
        </row>
        <row r="6579">
          <cell r="A6579" t="str">
            <v>YZ-CLD072-W0-XXL</v>
          </cell>
          <cell r="B6579" t="str">
            <v>YZ-CLD072</v>
          </cell>
        </row>
        <row r="6580">
          <cell r="A6580" t="str">
            <v>YZ-CLFZ1766-R0-L</v>
          </cell>
          <cell r="B6580" t="str">
            <v>YZ-CLFZ1766</v>
          </cell>
        </row>
        <row r="6581">
          <cell r="A6581" t="str">
            <v>YZ-CLFZ1766-R0-M</v>
          </cell>
          <cell r="B6581" t="str">
            <v>YZ-CLFZ1766</v>
          </cell>
        </row>
        <row r="6582">
          <cell r="A6582" t="str">
            <v>YZ-CLFZ1766-R0-S</v>
          </cell>
          <cell r="B6582" t="str">
            <v>YZ-CLFZ1766</v>
          </cell>
        </row>
        <row r="6583">
          <cell r="A6583" t="str">
            <v>YZ-CLFZ1766-R0-XL</v>
          </cell>
          <cell r="B6583" t="str">
            <v>YZ-CLFZ1766</v>
          </cell>
        </row>
        <row r="6584">
          <cell r="A6584" t="str">
            <v>YZ-CLNK78-B6-L</v>
          </cell>
          <cell r="B6584" t="str">
            <v>YZ-CLNK78</v>
          </cell>
        </row>
        <row r="6585">
          <cell r="A6585" t="str">
            <v>YZ-CLNK78-B6-M</v>
          </cell>
          <cell r="B6585" t="str">
            <v>YZ-CLNK78</v>
          </cell>
        </row>
        <row r="6586">
          <cell r="A6586" t="str">
            <v>YZ-CLNK78-B6-S</v>
          </cell>
          <cell r="B6586" t="str">
            <v>YZ-CLNK78</v>
          </cell>
        </row>
        <row r="6587">
          <cell r="A6587" t="str">
            <v>YZ-CLNK78-BD-L</v>
          </cell>
          <cell r="B6587" t="str">
            <v>YZ-CLNK78</v>
          </cell>
        </row>
        <row r="6588">
          <cell r="A6588" t="str">
            <v>YZ-CLNK78-BD-M</v>
          </cell>
          <cell r="B6588" t="str">
            <v>YZ-CLNK78</v>
          </cell>
        </row>
        <row r="6589">
          <cell r="A6589" t="str">
            <v>YZ-CLNK78-BD-S</v>
          </cell>
          <cell r="B6589" t="str">
            <v>YZ-CLNK78</v>
          </cell>
        </row>
        <row r="6590">
          <cell r="A6590" t="str">
            <v>YZ-CLNK78-K0-L</v>
          </cell>
          <cell r="B6590" t="str">
            <v>YZ-CLNK78</v>
          </cell>
        </row>
        <row r="6591">
          <cell r="A6591" t="str">
            <v>YZ-CLNK78-K0-M</v>
          </cell>
          <cell r="B6591" t="str">
            <v>YZ-CLNK78</v>
          </cell>
        </row>
        <row r="6592">
          <cell r="A6592" t="str">
            <v>YZ-CLNK78-K0-S</v>
          </cell>
          <cell r="B6592" t="str">
            <v>YZ-CLNK78</v>
          </cell>
        </row>
        <row r="6593">
          <cell r="A6593" t="str">
            <v>YZ-CLNK78-N5-L</v>
          </cell>
          <cell r="B6593" t="str">
            <v>YZ-CLNK78</v>
          </cell>
        </row>
        <row r="6594">
          <cell r="A6594" t="str">
            <v>YZ-CLNK78-N5-M</v>
          </cell>
          <cell r="B6594" t="str">
            <v>YZ-CLNK78</v>
          </cell>
        </row>
        <row r="6595">
          <cell r="A6595" t="str">
            <v>YZ-CLNK78-N5-S</v>
          </cell>
          <cell r="B6595" t="str">
            <v>YZ-CLNK78</v>
          </cell>
        </row>
        <row r="6596">
          <cell r="A6596" t="str">
            <v>YZ-CLNK78-R0-L</v>
          </cell>
          <cell r="B6596" t="str">
            <v>YZ-CLNK78</v>
          </cell>
        </row>
        <row r="6597">
          <cell r="A6597" t="str">
            <v>YZ-CLNK78-R0-M</v>
          </cell>
          <cell r="B6597" t="str">
            <v>YZ-CLNK78</v>
          </cell>
        </row>
        <row r="6598">
          <cell r="A6598" t="str">
            <v>YZ-CLNK78-R0-S</v>
          </cell>
          <cell r="B6598" t="str">
            <v>YZ-CLNK78</v>
          </cell>
        </row>
        <row r="6599">
          <cell r="A6599" t="str">
            <v>YZ-CLNK78-R6-L</v>
          </cell>
          <cell r="B6599" t="str">
            <v>YZ-CLNK78</v>
          </cell>
        </row>
        <row r="6600">
          <cell r="A6600" t="str">
            <v>YZ-CLNK78-R6-M</v>
          </cell>
          <cell r="B6600" t="str">
            <v>YZ-CLNK78</v>
          </cell>
        </row>
        <row r="6601">
          <cell r="A6601" t="str">
            <v>YZ-CLNK78-R6-S</v>
          </cell>
          <cell r="B6601" t="str">
            <v>YZ-CLNK78</v>
          </cell>
        </row>
        <row r="6602">
          <cell r="A6602" t="str">
            <v>YZ-CLNK78-W0-L</v>
          </cell>
          <cell r="B6602" t="str">
            <v>YZ-CLNK78</v>
          </cell>
        </row>
        <row r="6603">
          <cell r="A6603" t="str">
            <v>YZ-CLNK78-W0-M</v>
          </cell>
          <cell r="B6603" t="str">
            <v>YZ-CLNK78</v>
          </cell>
        </row>
        <row r="6604">
          <cell r="A6604" t="str">
            <v>YZ-CLNK78-W0-S</v>
          </cell>
          <cell r="B6604" t="str">
            <v>YZ-CLNK78</v>
          </cell>
        </row>
        <row r="6605">
          <cell r="A6605" t="str">
            <v>YZ-DB1443Gr2XL</v>
          </cell>
          <cell r="B6605" t="str">
            <v>YZ-BX1443</v>
          </cell>
        </row>
        <row r="6606">
          <cell r="A6606" t="str">
            <v>YZ-DB1443Gr3XL</v>
          </cell>
          <cell r="B6606" t="str">
            <v>YZ-BX1443</v>
          </cell>
        </row>
        <row r="6607">
          <cell r="A6607" t="str">
            <v>YZ-DB1443GrL</v>
          </cell>
          <cell r="B6607" t="str">
            <v>YZ-BX1443</v>
          </cell>
        </row>
        <row r="6608">
          <cell r="A6608" t="str">
            <v>YZ-DB1443GrM</v>
          </cell>
          <cell r="B6608" t="str">
            <v>YZ-BX1443</v>
          </cell>
        </row>
        <row r="6609">
          <cell r="A6609" t="str">
            <v>YZ-DB1443GrXL</v>
          </cell>
          <cell r="B6609" t="str">
            <v>YZ-BX1443</v>
          </cell>
        </row>
        <row r="6610">
          <cell r="A6610" t="str">
            <v>YZ-FQ008G11L</v>
          </cell>
          <cell r="B6610" t="str">
            <v>YZ-FQ008</v>
          </cell>
        </row>
        <row r="6611">
          <cell r="A6611" t="str">
            <v>YZ-FQ008G12L</v>
          </cell>
          <cell r="B6611" t="str">
            <v>YZ-FQ008</v>
          </cell>
        </row>
        <row r="6612">
          <cell r="A6612" t="str">
            <v>YZ-FQ008G13L</v>
          </cell>
          <cell r="B6612" t="str">
            <v>YZ-FQ008</v>
          </cell>
        </row>
        <row r="6613">
          <cell r="A6613" t="str">
            <v>YZ-FQ008G1L</v>
          </cell>
          <cell r="B6613" t="str">
            <v>YZ-FQ008</v>
          </cell>
        </row>
        <row r="6614">
          <cell r="A6614" t="str">
            <v>YZ-FQ008G1M</v>
          </cell>
          <cell r="B6614" t="str">
            <v>YZ-FQ008</v>
          </cell>
        </row>
        <row r="6615">
          <cell r="A6615" t="str">
            <v>YZ-FQ008K01L</v>
          </cell>
          <cell r="B6615" t="str">
            <v>YZ-FQ008</v>
          </cell>
        </row>
        <row r="6616">
          <cell r="A6616" t="str">
            <v>YZ-FQ008K02L</v>
          </cell>
          <cell r="B6616" t="str">
            <v>YZ-FQ008</v>
          </cell>
        </row>
        <row r="6617">
          <cell r="A6617" t="str">
            <v>YZ-FQ008K03L</v>
          </cell>
          <cell r="B6617" t="str">
            <v>YZ-FQ008</v>
          </cell>
        </row>
        <row r="6618">
          <cell r="A6618" t="str">
            <v>YZ-FQ008K0M</v>
          </cell>
          <cell r="B6618" t="str">
            <v>YZ-FQ008</v>
          </cell>
        </row>
        <row r="6619">
          <cell r="A6619" t="str">
            <v>YZ-FQ008R22L</v>
          </cell>
          <cell r="B6619" t="str">
            <v>YZ-FQ008</v>
          </cell>
        </row>
        <row r="6620">
          <cell r="A6620" t="str">
            <v>YZ-FQ008R23L</v>
          </cell>
          <cell r="B6620" t="str">
            <v>YZ-FQ008</v>
          </cell>
        </row>
        <row r="6621">
          <cell r="A6621" t="str">
            <v>YZ-HE13037EZ1L</v>
          </cell>
          <cell r="B6621" t="str">
            <v>YZ-HE13037</v>
          </cell>
        </row>
        <row r="6622">
          <cell r="A6622" t="str">
            <v>YZ-HE13037EZ1L-MX</v>
          </cell>
          <cell r="B6622" t="str">
            <v>YZ-HE13037</v>
          </cell>
        </row>
        <row r="6623">
          <cell r="A6623" t="str">
            <v>YZ-HE13037EZ2L</v>
          </cell>
          <cell r="B6623" t="str">
            <v>YZ-HE13037</v>
          </cell>
        </row>
        <row r="6624">
          <cell r="A6624" t="str">
            <v>YZ-HE13037EZ3L</v>
          </cell>
          <cell r="B6624" t="str">
            <v>YZ-HE13037</v>
          </cell>
        </row>
        <row r="6625">
          <cell r="A6625" t="str">
            <v>YZ-HE13037EZ4L</v>
          </cell>
          <cell r="B6625" t="str">
            <v>YZ-HE13037</v>
          </cell>
        </row>
        <row r="6626">
          <cell r="A6626" t="str">
            <v>YZ-HE13037EZ5L</v>
          </cell>
          <cell r="B6626" t="str">
            <v>YZ-HE13037</v>
          </cell>
        </row>
        <row r="6627">
          <cell r="A6627" t="str">
            <v>YZ-HE13037EZ6L</v>
          </cell>
          <cell r="B6627" t="str">
            <v>YZ-HE13037</v>
          </cell>
        </row>
        <row r="6628">
          <cell r="A6628" t="str">
            <v>YZ-HE13037EZ6L-GM</v>
          </cell>
          <cell r="B6628" t="str">
            <v>YZ-HE13037</v>
          </cell>
        </row>
        <row r="6629">
          <cell r="A6629" t="str">
            <v>YZ-HE13037EZ7L</v>
          </cell>
          <cell r="B6629" t="str">
            <v>YZ-HE13037</v>
          </cell>
        </row>
        <row r="6630">
          <cell r="A6630" t="str">
            <v>YZ-HE13037EZ8L</v>
          </cell>
          <cell r="B6630" t="str">
            <v>YZ-HE13037</v>
          </cell>
        </row>
        <row r="6631">
          <cell r="A6631" t="str">
            <v>YZ-HE13037EZ8L-GM</v>
          </cell>
          <cell r="B6631" t="str">
            <v>YZ-HE13037</v>
          </cell>
        </row>
        <row r="6632">
          <cell r="A6632" t="str">
            <v>YZ-HE13037EZ9L</v>
          </cell>
          <cell r="B6632" t="str">
            <v>YZ-HE13037</v>
          </cell>
        </row>
        <row r="6633">
          <cell r="A6633" t="str">
            <v>YZ-HE13037Or1L</v>
          </cell>
          <cell r="B6633" t="str">
            <v>YZ-HE13037</v>
          </cell>
        </row>
        <row r="6634">
          <cell r="A6634" t="str">
            <v>YZ-HE13037Or1L-MX</v>
          </cell>
          <cell r="B6634" t="str">
            <v>YZ-HE13037</v>
          </cell>
        </row>
        <row r="6635">
          <cell r="A6635" t="str">
            <v>YZ-HE13037Or2L</v>
          </cell>
          <cell r="B6635" t="str">
            <v>YZ-HE13037</v>
          </cell>
        </row>
        <row r="6636">
          <cell r="A6636" t="str">
            <v>YZ-HE13037Or3L</v>
          </cell>
          <cell r="B6636" t="str">
            <v>YZ-HE13037</v>
          </cell>
        </row>
        <row r="6637">
          <cell r="A6637" t="str">
            <v>YZ-HE13037Or4L</v>
          </cell>
          <cell r="B6637" t="str">
            <v>YZ-HE13037</v>
          </cell>
        </row>
        <row r="6638">
          <cell r="A6638" t="str">
            <v>YZ-HE13037Or5L</v>
          </cell>
          <cell r="B6638" t="str">
            <v>YZ-HE13037</v>
          </cell>
        </row>
        <row r="6639">
          <cell r="A6639" t="str">
            <v>YZ-HE13037Or6L</v>
          </cell>
          <cell r="B6639" t="str">
            <v>YZ-HE13037</v>
          </cell>
        </row>
        <row r="6640">
          <cell r="A6640" t="str">
            <v>YZ-HE13037Or7L</v>
          </cell>
          <cell r="B6640" t="str">
            <v>YZ-HE13037</v>
          </cell>
        </row>
        <row r="6641">
          <cell r="A6641" t="str">
            <v>YZ-HE13037Or7L-MX</v>
          </cell>
          <cell r="B6641" t="str">
            <v>YZ-HE13037</v>
          </cell>
        </row>
        <row r="6642">
          <cell r="A6642" t="str">
            <v>YZ-HE13037Or8L</v>
          </cell>
          <cell r="B6642" t="str">
            <v>YZ-HE13037</v>
          </cell>
        </row>
        <row r="6643">
          <cell r="A6643" t="str">
            <v>YZ-HE13037Or8L-MX</v>
          </cell>
          <cell r="B6643" t="str">
            <v>YZ-HE13037</v>
          </cell>
        </row>
        <row r="6644">
          <cell r="A6644" t="str">
            <v>YZ-HE13037Or9L</v>
          </cell>
          <cell r="B6644" t="str">
            <v>YZ-HE13037</v>
          </cell>
        </row>
        <row r="6645">
          <cell r="A6645" t="str">
            <v>YZ-HE13037Pu1L</v>
          </cell>
          <cell r="B6645" t="str">
            <v>YZ-HE13037</v>
          </cell>
        </row>
        <row r="6646">
          <cell r="A6646" t="str">
            <v>YZ-HE13037Pu1L-MX</v>
          </cell>
          <cell r="B6646" t="str">
            <v>YZ-HE13037</v>
          </cell>
        </row>
        <row r="6647">
          <cell r="A6647" t="str">
            <v>YZ-HE13037Pu2L</v>
          </cell>
          <cell r="B6647" t="str">
            <v>YZ-HE13037</v>
          </cell>
        </row>
        <row r="6648">
          <cell r="A6648" t="str">
            <v>YZ-HE13037Pu3L</v>
          </cell>
          <cell r="B6648" t="str">
            <v>YZ-HE13037</v>
          </cell>
        </row>
        <row r="6649">
          <cell r="A6649" t="str">
            <v>YZ-HE13037Pu4L</v>
          </cell>
          <cell r="B6649" t="str">
            <v>YZ-HE13037</v>
          </cell>
        </row>
        <row r="6650">
          <cell r="A6650" t="str">
            <v>YZ-HE13037Pu4L-MX</v>
          </cell>
          <cell r="B6650" t="str">
            <v>YZ-HE13037</v>
          </cell>
        </row>
        <row r="6651">
          <cell r="A6651" t="str">
            <v>YZ-HE13037Pu5L</v>
          </cell>
          <cell r="B6651" t="str">
            <v>YZ-HE13037</v>
          </cell>
        </row>
        <row r="6652">
          <cell r="A6652" t="str">
            <v>YZ-HE13037Pu6L</v>
          </cell>
          <cell r="B6652" t="str">
            <v>YZ-HE13037</v>
          </cell>
        </row>
        <row r="6653">
          <cell r="A6653" t="str">
            <v>YZ-HE13037Pu6L-MX</v>
          </cell>
          <cell r="B6653" t="str">
            <v>YZ-HE13037</v>
          </cell>
        </row>
        <row r="6654">
          <cell r="A6654" t="str">
            <v>YZ-HE13037Pu7L</v>
          </cell>
          <cell r="B6654" t="str">
            <v>YZ-HE13037</v>
          </cell>
        </row>
        <row r="6655">
          <cell r="A6655" t="str">
            <v>YZ-HE13037Pu8L</v>
          </cell>
          <cell r="B6655" t="str">
            <v>YZ-HE13037</v>
          </cell>
        </row>
        <row r="6656">
          <cell r="A6656" t="str">
            <v>YZ-HE13037Pu9L</v>
          </cell>
          <cell r="B6656" t="str">
            <v>YZ-HE13037</v>
          </cell>
        </row>
        <row r="6657">
          <cell r="A6657" t="str">
            <v>YZ-HE13037Wi1L</v>
          </cell>
          <cell r="B6657" t="str">
            <v>YZ-HE13037</v>
          </cell>
        </row>
        <row r="6658">
          <cell r="A6658" t="str">
            <v>YZ-HE13037Wi1L-MX</v>
          </cell>
          <cell r="B6658" t="str">
            <v>YZ-HE13037</v>
          </cell>
        </row>
        <row r="6659">
          <cell r="A6659" t="str">
            <v>YZ-HE13037Wi2L</v>
          </cell>
          <cell r="B6659" t="str">
            <v>YZ-HE13037</v>
          </cell>
        </row>
        <row r="6660">
          <cell r="A6660" t="str">
            <v>YZ-HE13037Wi2L-MX</v>
          </cell>
          <cell r="B6660" t="str">
            <v>YZ-HE13037</v>
          </cell>
        </row>
        <row r="6661">
          <cell r="A6661" t="str">
            <v>YZ-HE13037Wi3L</v>
          </cell>
          <cell r="B6661" t="str">
            <v>YZ-HE13037</v>
          </cell>
        </row>
        <row r="6662">
          <cell r="A6662" t="str">
            <v>YZ-HE13037Wi4L</v>
          </cell>
          <cell r="B6662" t="str">
            <v>YZ-HE13037</v>
          </cell>
        </row>
        <row r="6663">
          <cell r="A6663" t="str">
            <v>YZ-HE13037Wi5L</v>
          </cell>
          <cell r="B6663" t="str">
            <v>YZ-HE13037</v>
          </cell>
        </row>
        <row r="6664">
          <cell r="A6664" t="str">
            <v>YZ-HE13037Wi5L-MX</v>
          </cell>
          <cell r="B6664" t="str">
            <v>YZ-HE13037</v>
          </cell>
        </row>
        <row r="6665">
          <cell r="A6665" t="str">
            <v>YZ-HE13037Wi6L</v>
          </cell>
          <cell r="B6665" t="str">
            <v>YZ-HE13037</v>
          </cell>
        </row>
        <row r="6666">
          <cell r="A6666" t="str">
            <v>YZ-HE13037Wi7L</v>
          </cell>
          <cell r="B6666" t="str">
            <v>YZ-HE13037</v>
          </cell>
        </row>
        <row r="6667">
          <cell r="A6667" t="str">
            <v>YZ-HE13037Wi7L-MX</v>
          </cell>
          <cell r="B6667" t="str">
            <v>YZ-HE13037</v>
          </cell>
        </row>
        <row r="6668">
          <cell r="A6668" t="str">
            <v>YZ-HE13037Wi8L</v>
          </cell>
          <cell r="B6668" t="str">
            <v>YZ-HE13037</v>
          </cell>
        </row>
        <row r="6669">
          <cell r="A6669" t="str">
            <v>YZ-HE13037Wi8L-MX</v>
          </cell>
          <cell r="B6669" t="str">
            <v>YZ-HE13037</v>
          </cell>
        </row>
        <row r="6670">
          <cell r="A6670" t="str">
            <v>YZ-HE13037Wi9L</v>
          </cell>
          <cell r="B6670" t="str">
            <v>YZ-HE13037</v>
          </cell>
        </row>
        <row r="6671">
          <cell r="A6671" t="str">
            <v>YZ-HE9007</v>
          </cell>
          <cell r="B6671" t="str">
            <v>YZ-HE9007</v>
          </cell>
        </row>
        <row r="6672">
          <cell r="A6672" t="str">
            <v>YZ-HE9007Sa1L</v>
          </cell>
          <cell r="B6672" t="str">
            <v>YZ-HE9007</v>
          </cell>
        </row>
        <row r="6673">
          <cell r="A6673" t="str">
            <v>YZ-HE9007Sa2L</v>
          </cell>
          <cell r="B6673" t="str">
            <v>YZ-HE9007</v>
          </cell>
        </row>
        <row r="6674">
          <cell r="A6674" t="str">
            <v>YZ-HE9007Sa3L</v>
          </cell>
          <cell r="B6674" t="str">
            <v>YZ-HE9007</v>
          </cell>
        </row>
        <row r="6675">
          <cell r="A6675" t="str">
            <v>YZ-HE9007Sa4L</v>
          </cell>
          <cell r="B6675" t="str">
            <v>YZ-HE9007</v>
          </cell>
        </row>
        <row r="6676">
          <cell r="A6676" t="str">
            <v>YZ-HE9007Sa5L</v>
          </cell>
          <cell r="B6676" t="str">
            <v>YZ-HE9007</v>
          </cell>
        </row>
        <row r="6677">
          <cell r="A6677" t="str">
            <v>YZ-HE9007Sa5L-MX</v>
          </cell>
          <cell r="B6677" t="str">
            <v>YZ-HE9007</v>
          </cell>
        </row>
        <row r="6678">
          <cell r="A6678" t="str">
            <v>YZ-HE9007Sa6L</v>
          </cell>
          <cell r="B6678" t="str">
            <v>YZ-HE9007</v>
          </cell>
        </row>
        <row r="6679">
          <cell r="A6679" t="str">
            <v>YZ-HE9007Sa7L</v>
          </cell>
          <cell r="B6679" t="str">
            <v>YZ-HE9007</v>
          </cell>
        </row>
        <row r="6680">
          <cell r="A6680" t="str">
            <v>YZ-HE9007Sa8L</v>
          </cell>
          <cell r="B6680" t="str">
            <v>YZ-HE9007</v>
          </cell>
        </row>
        <row r="6681">
          <cell r="A6681" t="str">
            <v>YZ-HE9007Sa9L</v>
          </cell>
          <cell r="B6681" t="str">
            <v>YZ-HE9007</v>
          </cell>
        </row>
        <row r="6682">
          <cell r="A6682" t="str">
            <v>YZ-HE9007Se1L</v>
          </cell>
          <cell r="B6682" t="str">
            <v>YZ-HE9007</v>
          </cell>
        </row>
        <row r="6683">
          <cell r="A6683" t="str">
            <v>YZ-HE9007Se2L</v>
          </cell>
          <cell r="B6683" t="str">
            <v>YZ-HE9007</v>
          </cell>
        </row>
        <row r="6684">
          <cell r="A6684" t="str">
            <v>YZ-HE9007Se3L</v>
          </cell>
          <cell r="B6684" t="str">
            <v>YZ-HE9007</v>
          </cell>
        </row>
        <row r="6685">
          <cell r="A6685" t="str">
            <v>YZ-HE9007Se4L</v>
          </cell>
          <cell r="B6685" t="str">
            <v>YZ-HE9007</v>
          </cell>
        </row>
        <row r="6686">
          <cell r="A6686" t="str">
            <v>YZ-HE9007Se4L-MX</v>
          </cell>
          <cell r="B6686" t="str">
            <v>YZ-HE9007</v>
          </cell>
        </row>
        <row r="6687">
          <cell r="A6687" t="str">
            <v>YZ-HE9007Se5L</v>
          </cell>
          <cell r="B6687" t="str">
            <v>YZ-HE9007</v>
          </cell>
        </row>
        <row r="6688">
          <cell r="A6688" t="str">
            <v>YZ-HE9007Se6L</v>
          </cell>
          <cell r="B6688" t="str">
            <v>YZ-HE9007</v>
          </cell>
        </row>
        <row r="6689">
          <cell r="A6689" t="str">
            <v>YZ-HE9007Se7L</v>
          </cell>
          <cell r="B6689" t="str">
            <v>YZ-HE9007</v>
          </cell>
        </row>
        <row r="6690">
          <cell r="A6690" t="str">
            <v>YZ-HE9007Se8L</v>
          </cell>
          <cell r="B6690" t="str">
            <v>YZ-HE9007</v>
          </cell>
        </row>
        <row r="6691">
          <cell r="A6691" t="str">
            <v>YZ-HE9007Se9L</v>
          </cell>
          <cell r="B6691" t="str">
            <v>YZ-HE9007</v>
          </cell>
        </row>
        <row r="6692">
          <cell r="A6692" t="str">
            <v>YZ-HE9008Sa1L</v>
          </cell>
          <cell r="B6692" t="str">
            <v>YZ-HE9008</v>
          </cell>
        </row>
        <row r="6693">
          <cell r="A6693" t="str">
            <v>YZ-HE9008Sa2L</v>
          </cell>
          <cell r="B6693" t="str">
            <v>YZ-HE9008</v>
          </cell>
        </row>
        <row r="6694">
          <cell r="A6694" t="str">
            <v>YZ-HE9008Sa3L</v>
          </cell>
          <cell r="B6694" t="str">
            <v>YZ-HE9008</v>
          </cell>
        </row>
        <row r="6695">
          <cell r="A6695" t="str">
            <v>YZ-HE9008Sa4L</v>
          </cell>
          <cell r="B6695" t="str">
            <v>YZ-HE9008</v>
          </cell>
        </row>
        <row r="6696">
          <cell r="A6696" t="str">
            <v>YZ-HE9008Sa4L-GM</v>
          </cell>
          <cell r="B6696" t="str">
            <v>YZ-HE9008</v>
          </cell>
        </row>
        <row r="6697">
          <cell r="A6697" t="str">
            <v>YZ-HE9008Sa5L</v>
          </cell>
          <cell r="B6697" t="str">
            <v>YZ-HE9008</v>
          </cell>
        </row>
        <row r="6698">
          <cell r="A6698" t="str">
            <v>YZ-HE9008Sa6L</v>
          </cell>
          <cell r="B6698" t="str">
            <v>YZ-HE9008</v>
          </cell>
        </row>
        <row r="6699">
          <cell r="A6699" t="str">
            <v>YZ-HE9008Sa7L</v>
          </cell>
          <cell r="B6699" t="str">
            <v>YZ-HE9008</v>
          </cell>
        </row>
        <row r="6700">
          <cell r="A6700" t="str">
            <v>YZ-HE9008Sa8L</v>
          </cell>
          <cell r="B6700" t="str">
            <v>YZ-HE9008</v>
          </cell>
        </row>
        <row r="6701">
          <cell r="A6701" t="str">
            <v>YZ-HE9008Sa9L</v>
          </cell>
          <cell r="B6701" t="str">
            <v>YZ-HE9008</v>
          </cell>
        </row>
        <row r="6702">
          <cell r="A6702" t="str">
            <v>YZ-HE9008Se1L</v>
          </cell>
          <cell r="B6702" t="str">
            <v>YZ-HE9008</v>
          </cell>
        </row>
        <row r="6703">
          <cell r="A6703" t="str">
            <v>YZ-HE9008Se2L</v>
          </cell>
          <cell r="B6703" t="str">
            <v>YZ-HE9008</v>
          </cell>
        </row>
        <row r="6704">
          <cell r="A6704" t="str">
            <v>YZ-HE9008Se3L</v>
          </cell>
          <cell r="B6704" t="str">
            <v>YZ-HE9008</v>
          </cell>
        </row>
        <row r="6705">
          <cell r="A6705" t="str">
            <v>YZ-HE9008Se4L</v>
          </cell>
          <cell r="B6705" t="str">
            <v>YZ-HE9008</v>
          </cell>
        </row>
        <row r="6706">
          <cell r="A6706" t="str">
            <v>YZ-HE9008Se5L</v>
          </cell>
          <cell r="B6706" t="str">
            <v>YZ-HE9008</v>
          </cell>
        </row>
        <row r="6707">
          <cell r="A6707" t="str">
            <v>YZ-HE9008Se5L-MX</v>
          </cell>
          <cell r="B6707" t="str">
            <v>YZ-HE9008</v>
          </cell>
        </row>
        <row r="6708">
          <cell r="A6708" t="str">
            <v>YZ-HE9008Se6L</v>
          </cell>
          <cell r="B6708" t="str">
            <v>YZ-HE9008</v>
          </cell>
        </row>
        <row r="6709">
          <cell r="A6709" t="str">
            <v>YZ-HE9008Se7L</v>
          </cell>
          <cell r="B6709" t="str">
            <v>YZ-HE9008</v>
          </cell>
        </row>
        <row r="6710">
          <cell r="A6710" t="str">
            <v>YZ-HE9008Se8L</v>
          </cell>
          <cell r="B6710" t="str">
            <v>YZ-HE9008</v>
          </cell>
        </row>
        <row r="6711">
          <cell r="A6711" t="str">
            <v>YZ-HE9008Se9L</v>
          </cell>
          <cell r="B6711" t="str">
            <v>YZ-HM0007</v>
          </cell>
        </row>
        <row r="6712">
          <cell r="A6712" t="str">
            <v>YZ-HM0007</v>
          </cell>
          <cell r="B6712" t="str">
            <v>YZ-HM0007</v>
          </cell>
        </row>
        <row r="6713">
          <cell r="A6713" t="str">
            <v>YZ-HM0007-B0-2XL</v>
          </cell>
          <cell r="B6713" t="str">
            <v>YZ-HM0007</v>
          </cell>
        </row>
        <row r="6714">
          <cell r="A6714" t="str">
            <v>YZ-HM0007-B0-3XL</v>
          </cell>
          <cell r="B6714" t="str">
            <v>YZ-HM0007</v>
          </cell>
        </row>
        <row r="6715">
          <cell r="A6715" t="str">
            <v>YZ-HM0007-B0-L</v>
          </cell>
          <cell r="B6715" t="str">
            <v>YZ-HM0007</v>
          </cell>
        </row>
        <row r="6716">
          <cell r="A6716" t="str">
            <v>YZ-HM0007-B0-XL</v>
          </cell>
          <cell r="B6716" t="str">
            <v>YZ-HM0007</v>
          </cell>
        </row>
        <row r="6717">
          <cell r="A6717" t="str">
            <v>YZ-HM0007-K0-2XL</v>
          </cell>
          <cell r="B6717" t="str">
            <v>YZ-HM0007</v>
          </cell>
        </row>
        <row r="6718">
          <cell r="A6718" t="str">
            <v>YZ-HM0007-K0-3XL</v>
          </cell>
          <cell r="B6718" t="str">
            <v>YZ-HM0007</v>
          </cell>
        </row>
        <row r="6719">
          <cell r="A6719" t="str">
            <v>YZ-HM0007-K0-L</v>
          </cell>
          <cell r="B6719" t="str">
            <v>YZ-HM0007</v>
          </cell>
        </row>
        <row r="6720">
          <cell r="A6720" t="str">
            <v>YZ-HM0007-K0-XL</v>
          </cell>
          <cell r="B6720" t="str">
            <v>YZ-HM0007</v>
          </cell>
        </row>
        <row r="6721">
          <cell r="A6721" t="str">
            <v>YZ-HM0007-R0-2XL</v>
          </cell>
          <cell r="B6721" t="str">
            <v>YZ-HM0007</v>
          </cell>
        </row>
        <row r="6722">
          <cell r="A6722" t="str">
            <v>YZ-HM0007-R0-3XL</v>
          </cell>
          <cell r="B6722" t="str">
            <v>YZ-HM0007</v>
          </cell>
        </row>
        <row r="6723">
          <cell r="A6723" t="str">
            <v>YZ-HM0007-R0-L</v>
          </cell>
          <cell r="B6723" t="str">
            <v>YZ-HM0007</v>
          </cell>
        </row>
        <row r="6724">
          <cell r="A6724" t="str">
            <v>YZ-HM0007-R0-XL</v>
          </cell>
          <cell r="B6724" t="str">
            <v>YZ-HM0007</v>
          </cell>
        </row>
        <row r="6725">
          <cell r="A6725" t="str">
            <v>YZ-HM0034-TW-L</v>
          </cell>
          <cell r="B6725" t="str">
            <v>YZ-HM0034</v>
          </cell>
        </row>
        <row r="6726">
          <cell r="A6726" t="str">
            <v>YZ-HM0034-TW-M</v>
          </cell>
          <cell r="B6726" t="str">
            <v>YZ-HM0034</v>
          </cell>
        </row>
        <row r="6727">
          <cell r="A6727" t="str">
            <v>YZ-HM0034-TW-S</v>
          </cell>
          <cell r="B6727" t="str">
            <v>YZ-HM0034</v>
          </cell>
        </row>
        <row r="6728">
          <cell r="A6728" t="str">
            <v>YZ-HM0034-TW-XL</v>
          </cell>
          <cell r="B6728" t="str">
            <v>YZ-HM0034</v>
          </cell>
        </row>
        <row r="6729">
          <cell r="A6729" t="str">
            <v>YZ-HM0047-P0-S</v>
          </cell>
          <cell r="B6729" t="str">
            <v>YZ-HM0047</v>
          </cell>
        </row>
        <row r="6730">
          <cell r="A6730" t="str">
            <v>YZ-HM0047-P0-XL</v>
          </cell>
          <cell r="B6730" t="str">
            <v>YZ-HM0047</v>
          </cell>
        </row>
        <row r="6731">
          <cell r="A6731" t="str">
            <v>YZ-HM0052-B0-L</v>
          </cell>
          <cell r="B6731" t="str">
            <v>YZ-HM0052</v>
          </cell>
        </row>
        <row r="6732">
          <cell r="A6732" t="str">
            <v>YZ-HM0052-B0-M</v>
          </cell>
          <cell r="B6732" t="str">
            <v>YZ-HM0052</v>
          </cell>
        </row>
        <row r="6733">
          <cell r="A6733" t="str">
            <v>YZ-HM0052-B0-S</v>
          </cell>
          <cell r="B6733" t="str">
            <v>YZ-HM0052</v>
          </cell>
        </row>
        <row r="6734">
          <cell r="A6734" t="str">
            <v>YZ-HM0052-B0-XL</v>
          </cell>
          <cell r="B6734" t="str">
            <v>YZ-HM0052</v>
          </cell>
        </row>
        <row r="6735">
          <cell r="A6735" t="str">
            <v>YZ-HM007-B0-2XL</v>
          </cell>
          <cell r="B6735" t="str">
            <v>YZ-HM0007</v>
          </cell>
        </row>
        <row r="6736">
          <cell r="A6736" t="str">
            <v>YZ-HM015-K0-4</v>
          </cell>
          <cell r="B6736" t="str">
            <v>YZ-HM015</v>
          </cell>
        </row>
        <row r="6737">
          <cell r="A6737" t="str">
            <v>YZ-HM0182-W0-L</v>
          </cell>
          <cell r="B6737" t="str">
            <v>YZ-HM0182</v>
          </cell>
        </row>
        <row r="6738">
          <cell r="A6738" t="str">
            <v>YZ-HM0182-W0-M</v>
          </cell>
          <cell r="B6738" t="str">
            <v>YZ-HM0182</v>
          </cell>
        </row>
        <row r="6739">
          <cell r="A6739" t="str">
            <v>YZ-HM0182-W0-S</v>
          </cell>
          <cell r="B6739" t="str">
            <v>YZ-HM0182</v>
          </cell>
        </row>
        <row r="6740">
          <cell r="A6740" t="str">
            <v>YZ-HM0182-W0-XL</v>
          </cell>
          <cell r="B6740" t="str">
            <v>YZ-HM0182</v>
          </cell>
        </row>
        <row r="6741">
          <cell r="A6741" t="str">
            <v>YZ-HM0182-W0-XXL</v>
          </cell>
          <cell r="B6741" t="str">
            <v>YZ-HM0182</v>
          </cell>
        </row>
        <row r="6742">
          <cell r="A6742" t="str">
            <v>YZ-HM0669-W0-L</v>
          </cell>
          <cell r="B6742" t="str">
            <v>YZ-HM0669</v>
          </cell>
        </row>
        <row r="6743">
          <cell r="A6743" t="str">
            <v>YZ-HM0669-W0-M</v>
          </cell>
          <cell r="B6743" t="str">
            <v>YZ-HM0669</v>
          </cell>
        </row>
        <row r="6744">
          <cell r="A6744" t="str">
            <v>YZ-HM0669-W0-S</v>
          </cell>
          <cell r="B6744" t="str">
            <v>YZ-HM0669</v>
          </cell>
        </row>
        <row r="6745">
          <cell r="A6745" t="str">
            <v>YZ-HM0669-W0-XL</v>
          </cell>
          <cell r="B6745" t="str">
            <v>YZ-HM0669</v>
          </cell>
        </row>
        <row r="6746">
          <cell r="A6746" t="str">
            <v>YZ-HM111-B0-L</v>
          </cell>
          <cell r="B6746" t="str">
            <v>YZ-HM111</v>
          </cell>
        </row>
        <row r="6747">
          <cell r="A6747" t="str">
            <v>YZ-HM111-B0-M</v>
          </cell>
          <cell r="B6747" t="str">
            <v>YZ-HM111</v>
          </cell>
        </row>
        <row r="6748">
          <cell r="A6748" t="str">
            <v>YZ-HM111-B0-S</v>
          </cell>
          <cell r="B6748" t="str">
            <v>YZ-HM111</v>
          </cell>
        </row>
        <row r="6749">
          <cell r="A6749" t="str">
            <v>YZ-HM111-B0-XL</v>
          </cell>
          <cell r="B6749" t="str">
            <v>YZ-HM111</v>
          </cell>
        </row>
        <row r="6750">
          <cell r="A6750" t="str">
            <v>YZ-HM111-K0-L</v>
          </cell>
          <cell r="B6750" t="str">
            <v>YZ-HM111</v>
          </cell>
        </row>
        <row r="6751">
          <cell r="A6751" t="str">
            <v>YZ-HM111-K0-L-GM</v>
          </cell>
          <cell r="B6751" t="str">
            <v>YZ-HM111</v>
          </cell>
        </row>
        <row r="6752">
          <cell r="A6752" t="str">
            <v>YZ-HM111-K0-M</v>
          </cell>
          <cell r="B6752" t="str">
            <v>YZ-HM111</v>
          </cell>
        </row>
        <row r="6753">
          <cell r="A6753" t="str">
            <v>YZ-HM111-K0-M-GM</v>
          </cell>
          <cell r="B6753" t="str">
            <v>YZ-HM111</v>
          </cell>
        </row>
        <row r="6754">
          <cell r="A6754" t="str">
            <v>YZ-HM111-K0-S</v>
          </cell>
          <cell r="B6754" t="str">
            <v>YZ-HM111</v>
          </cell>
        </row>
        <row r="6755">
          <cell r="A6755" t="str">
            <v>YZ-HM111-K0-S-GM</v>
          </cell>
          <cell r="B6755" t="str">
            <v>YZ-HM111</v>
          </cell>
        </row>
        <row r="6756">
          <cell r="A6756" t="str">
            <v>YZ-HM111-K0-XL</v>
          </cell>
          <cell r="B6756" t="str">
            <v>YZ-HM111</v>
          </cell>
        </row>
        <row r="6757">
          <cell r="A6757" t="str">
            <v>YZ-HM111-K0-XL-GM</v>
          </cell>
          <cell r="B6757" t="str">
            <v>YZ-HM111</v>
          </cell>
        </row>
        <row r="6758">
          <cell r="A6758" t="str">
            <v>YZ-HM111-YH-L</v>
          </cell>
          <cell r="B6758" t="str">
            <v>YZ-HM111</v>
          </cell>
        </row>
        <row r="6759">
          <cell r="A6759" t="str">
            <v>YZ-HM111-YH-M</v>
          </cell>
          <cell r="B6759" t="str">
            <v>YZ-HM111</v>
          </cell>
        </row>
        <row r="6760">
          <cell r="A6760" t="str">
            <v>YZ-HM111-YH-S</v>
          </cell>
          <cell r="B6760" t="str">
            <v>YZ-HM111</v>
          </cell>
        </row>
        <row r="6761">
          <cell r="A6761" t="str">
            <v>YZ-HM111-YH-XL</v>
          </cell>
          <cell r="B6761" t="str">
            <v>YZ-HM111</v>
          </cell>
        </row>
        <row r="6762">
          <cell r="A6762" t="str">
            <v>YZ-HM1288-B0-2XL</v>
          </cell>
          <cell r="B6762" t="str">
            <v>YZ-HM1288</v>
          </cell>
        </row>
        <row r="6763">
          <cell r="A6763" t="str">
            <v>YZ-HM1288-B0-3XL</v>
          </cell>
          <cell r="B6763" t="str">
            <v>YZ-HM1288</v>
          </cell>
        </row>
        <row r="6764">
          <cell r="A6764" t="str">
            <v>YZ-HM1288-B0-4XL</v>
          </cell>
          <cell r="B6764" t="str">
            <v>YZ-HM1288</v>
          </cell>
        </row>
        <row r="6765">
          <cell r="A6765" t="str">
            <v>YZ-HM1288-B0-5XL</v>
          </cell>
          <cell r="B6765" t="str">
            <v>YZ-HM1288</v>
          </cell>
        </row>
        <row r="6766">
          <cell r="A6766" t="str">
            <v>YZ-HM1288-B0-L</v>
          </cell>
          <cell r="B6766" t="str">
            <v>YZ-HM1288</v>
          </cell>
        </row>
        <row r="6767">
          <cell r="A6767" t="str">
            <v>YZ-HM1288-B0-M</v>
          </cell>
          <cell r="B6767" t="str">
            <v>YZ-HM1288</v>
          </cell>
        </row>
        <row r="6768">
          <cell r="A6768" t="str">
            <v>YZ-HM1288-B0-S</v>
          </cell>
          <cell r="B6768" t="str">
            <v>YZ-HM1288</v>
          </cell>
        </row>
        <row r="6769">
          <cell r="A6769" t="str">
            <v>YZ-HM1288-B0-XL</v>
          </cell>
          <cell r="B6769" t="str">
            <v>YZ-HM1288</v>
          </cell>
        </row>
        <row r="6770">
          <cell r="A6770" t="str">
            <v>YZ-HM1423-B0-2XL</v>
          </cell>
          <cell r="B6770" t="str">
            <v>YZ-HM1423</v>
          </cell>
        </row>
        <row r="6771">
          <cell r="A6771" t="str">
            <v>YZ-HM1423-Y0-2XL</v>
          </cell>
          <cell r="B6771" t="str">
            <v>YZ-HM1423</v>
          </cell>
        </row>
        <row r="6772">
          <cell r="A6772" t="str">
            <v>YZ-HM1478-K0-L</v>
          </cell>
          <cell r="B6772" t="str">
            <v>YZ-HM1478</v>
          </cell>
        </row>
        <row r="6773">
          <cell r="A6773" t="str">
            <v>YZ-HM1478-K0-M</v>
          </cell>
          <cell r="B6773" t="str">
            <v>YZ-HM1478</v>
          </cell>
        </row>
        <row r="6774">
          <cell r="A6774" t="str">
            <v>YZ-HM1478-K0-XL</v>
          </cell>
          <cell r="B6774" t="str">
            <v>YZ-HM1478</v>
          </cell>
        </row>
        <row r="6775">
          <cell r="A6775" t="str">
            <v>YZ-HM1478-Wi-L</v>
          </cell>
          <cell r="B6775" t="str">
            <v>YZ-HM1478</v>
          </cell>
        </row>
        <row r="6776">
          <cell r="A6776" t="str">
            <v>YZ-HM1478-Wi-M</v>
          </cell>
          <cell r="B6776" t="str">
            <v>YZ-HM1478</v>
          </cell>
        </row>
        <row r="6777">
          <cell r="A6777" t="str">
            <v>YZ-HM1534</v>
          </cell>
          <cell r="B6777" t="str">
            <v>YZ-HM1534</v>
          </cell>
        </row>
        <row r="6778">
          <cell r="A6778" t="str">
            <v>YZ-HM1534-G0-L</v>
          </cell>
          <cell r="B6778" t="str">
            <v>YZ-HM1534</v>
          </cell>
        </row>
        <row r="6779">
          <cell r="A6779" t="str">
            <v>YZ-HM1534-G0-M</v>
          </cell>
          <cell r="B6779" t="str">
            <v>YZ-HM1534</v>
          </cell>
        </row>
        <row r="6780">
          <cell r="A6780" t="str">
            <v>YZ-HM1534-YH-L</v>
          </cell>
          <cell r="B6780" t="str">
            <v>YZ-HM1534</v>
          </cell>
        </row>
        <row r="6781">
          <cell r="A6781" t="str">
            <v>YZ-HM1534-YH-M</v>
          </cell>
          <cell r="B6781" t="str">
            <v>YZ-HM1534</v>
          </cell>
        </row>
        <row r="6782">
          <cell r="A6782" t="str">
            <v>YZ-HM1584</v>
          </cell>
          <cell r="B6782" t="str">
            <v>YZ-HM1584</v>
          </cell>
        </row>
        <row r="6783">
          <cell r="A6783" t="str">
            <v>YZ-HM1584-K0-1XL</v>
          </cell>
          <cell r="B6783" t="str">
            <v>YZ-HM1584</v>
          </cell>
        </row>
        <row r="6784">
          <cell r="A6784" t="str">
            <v>YZ-HM1584-K0-2XL</v>
          </cell>
          <cell r="B6784" t="str">
            <v>YZ-HM1584</v>
          </cell>
        </row>
        <row r="6785">
          <cell r="A6785" t="str">
            <v>YZ-HM1584-K0-3XL</v>
          </cell>
          <cell r="B6785" t="str">
            <v>YZ-HM1584</v>
          </cell>
        </row>
        <row r="6786">
          <cell r="A6786" t="str">
            <v>YZ-HM1584-K0-3XL-GM</v>
          </cell>
          <cell r="B6786" t="str">
            <v>YZ-HM1584</v>
          </cell>
        </row>
        <row r="6787">
          <cell r="A6787" t="str">
            <v>YZ-HM1584-K0-L</v>
          </cell>
          <cell r="B6787" t="str">
            <v>YZ-HM1584</v>
          </cell>
        </row>
        <row r="6788">
          <cell r="A6788" t="str">
            <v>YZ-HM1584-K0-M</v>
          </cell>
          <cell r="B6788" t="str">
            <v>YZ-HM1584</v>
          </cell>
        </row>
        <row r="6789">
          <cell r="A6789" t="str">
            <v>YZ-HM1584-K0-S</v>
          </cell>
          <cell r="B6789" t="str">
            <v>YZ-HM1584</v>
          </cell>
        </row>
        <row r="6790">
          <cell r="A6790" t="str">
            <v>YZ-HM1625-BD-2XL</v>
          </cell>
          <cell r="B6790" t="str">
            <v>YZ-HM1625</v>
          </cell>
        </row>
        <row r="6791">
          <cell r="A6791" t="str">
            <v>YZ-HM1625-BD-3XL</v>
          </cell>
          <cell r="B6791" t="str">
            <v>YZ-HM1625</v>
          </cell>
        </row>
        <row r="6792">
          <cell r="A6792" t="str">
            <v>YZ-HM1625-BD-L</v>
          </cell>
          <cell r="B6792" t="str">
            <v>YZ-HM1625</v>
          </cell>
        </row>
        <row r="6793">
          <cell r="A6793" t="str">
            <v>YZ-HM1625-BD-M</v>
          </cell>
          <cell r="B6793" t="str">
            <v>YZ-HM1625</v>
          </cell>
        </row>
        <row r="6794">
          <cell r="A6794" t="str">
            <v>YZ-HM1625-BD-S</v>
          </cell>
          <cell r="B6794" t="str">
            <v>YZ-HM1625</v>
          </cell>
        </row>
        <row r="6795">
          <cell r="A6795" t="str">
            <v>YZ-HM1625-BD-XL</v>
          </cell>
          <cell r="B6795" t="str">
            <v>YZ-HM1625</v>
          </cell>
        </row>
        <row r="6796">
          <cell r="A6796" t="str">
            <v>YZ-HM1625-G0-2XL</v>
          </cell>
          <cell r="B6796" t="str">
            <v>YZ-HM1625</v>
          </cell>
        </row>
        <row r="6797">
          <cell r="A6797" t="str">
            <v>YZ-HM1625-G0-3XL</v>
          </cell>
          <cell r="B6797" t="str">
            <v>YZ-HM1625</v>
          </cell>
        </row>
        <row r="6798">
          <cell r="A6798" t="str">
            <v>YZ-HM1625-G0-L</v>
          </cell>
          <cell r="B6798" t="str">
            <v>YZ-HM1625</v>
          </cell>
        </row>
        <row r="6799">
          <cell r="A6799" t="str">
            <v>YZ-HM1625-G0-M</v>
          </cell>
          <cell r="B6799" t="str">
            <v>YZ-HM1625</v>
          </cell>
        </row>
        <row r="6800">
          <cell r="A6800" t="str">
            <v>YZ-HM1625-G0-S</v>
          </cell>
          <cell r="B6800" t="str">
            <v>YZ-HM1625</v>
          </cell>
        </row>
        <row r="6801">
          <cell r="A6801" t="str">
            <v>YZ-HM1625-G0-XL</v>
          </cell>
          <cell r="B6801" t="str">
            <v>YZ-HM1625</v>
          </cell>
        </row>
        <row r="6802">
          <cell r="A6802" t="str">
            <v>YZ-HM1625-GR-2XL</v>
          </cell>
          <cell r="B6802" t="str">
            <v>YZ-HM1625</v>
          </cell>
        </row>
        <row r="6803">
          <cell r="A6803" t="str">
            <v>YZ-HM1625-GR-3XL</v>
          </cell>
          <cell r="B6803" t="str">
            <v>YZ-HM1625</v>
          </cell>
        </row>
        <row r="6804">
          <cell r="A6804" t="str">
            <v>YZ-HM1625-GR-L</v>
          </cell>
          <cell r="B6804" t="str">
            <v>YZ-HM1625</v>
          </cell>
        </row>
        <row r="6805">
          <cell r="A6805" t="str">
            <v>YZ-HM1625-GR-S</v>
          </cell>
          <cell r="B6805" t="str">
            <v>YZ-HM1625</v>
          </cell>
        </row>
        <row r="6806">
          <cell r="A6806" t="str">
            <v>YZ-HM1625-GR-XL</v>
          </cell>
          <cell r="B6806" t="str">
            <v>YZ-HM1625</v>
          </cell>
        </row>
        <row r="6807">
          <cell r="A6807" t="str">
            <v>YZ-HM1625-R0-2XL</v>
          </cell>
          <cell r="B6807" t="str">
            <v>YZ-HM1625</v>
          </cell>
        </row>
        <row r="6808">
          <cell r="A6808" t="str">
            <v>YZ-HM1625-R0-3XL</v>
          </cell>
          <cell r="B6808" t="str">
            <v>YZ-HM1625</v>
          </cell>
        </row>
        <row r="6809">
          <cell r="A6809" t="str">
            <v>YZ-HM1625-R0-L</v>
          </cell>
          <cell r="B6809" t="str">
            <v>YZ-HM1625</v>
          </cell>
        </row>
        <row r="6810">
          <cell r="A6810" t="str">
            <v>YZ-HM1625-R0-S</v>
          </cell>
          <cell r="B6810" t="str">
            <v>YZ-HM1625</v>
          </cell>
        </row>
        <row r="6811">
          <cell r="A6811" t="str">
            <v>YZ-HM1625-R0-XL</v>
          </cell>
          <cell r="B6811" t="str">
            <v>YZ-HM1625</v>
          </cell>
        </row>
        <row r="6812">
          <cell r="A6812" t="str">
            <v>YZ-HM1625-YT-2XL</v>
          </cell>
          <cell r="B6812" t="str">
            <v>YZ-HM1625</v>
          </cell>
        </row>
        <row r="6813">
          <cell r="A6813" t="str">
            <v>YZ-HM1625-YT-3XL</v>
          </cell>
          <cell r="B6813" t="str">
            <v>YZ-HM1625</v>
          </cell>
        </row>
        <row r="6814">
          <cell r="A6814" t="str">
            <v>YZ-HM1625-YT-M</v>
          </cell>
          <cell r="B6814" t="str">
            <v>YZ-HM1625</v>
          </cell>
        </row>
        <row r="6815">
          <cell r="A6815" t="str">
            <v>YZ-HM1625-YT-S</v>
          </cell>
          <cell r="B6815" t="str">
            <v>YZ-HM1625</v>
          </cell>
        </row>
        <row r="6816">
          <cell r="A6816" t="str">
            <v>YZ-HM1625-YT-XL</v>
          </cell>
          <cell r="B6816" t="str">
            <v>YZ-HM1625</v>
          </cell>
        </row>
        <row r="6817">
          <cell r="A6817" t="str">
            <v>YZ-HM1625-ZL-2XL</v>
          </cell>
          <cell r="B6817" t="str">
            <v>YZ-HM1625</v>
          </cell>
        </row>
        <row r="6818">
          <cell r="A6818" t="str">
            <v>YZ-HM1625-ZL-3XL</v>
          </cell>
          <cell r="B6818" t="str">
            <v>YZ-HM1625</v>
          </cell>
        </row>
        <row r="6819">
          <cell r="A6819" t="str">
            <v>YZ-HM1625-ZL-M</v>
          </cell>
          <cell r="B6819" t="str">
            <v>YZ-HM1625</v>
          </cell>
        </row>
        <row r="6820">
          <cell r="A6820" t="str">
            <v>YZ-HM1625-ZL-S</v>
          </cell>
          <cell r="B6820" t="str">
            <v>YZ-HM1625</v>
          </cell>
        </row>
        <row r="6821">
          <cell r="A6821" t="str">
            <v>YZ-HM1625-ZL-XL</v>
          </cell>
          <cell r="B6821" t="str">
            <v>YZ-HM1625</v>
          </cell>
        </row>
        <row r="6822">
          <cell r="A6822" t="str">
            <v>YZ-HM1683-B0-48</v>
          </cell>
          <cell r="B6822" t="str">
            <v>YZ-HM1683</v>
          </cell>
        </row>
        <row r="6823">
          <cell r="A6823" t="str">
            <v>YZ-HM1683-B0-50</v>
          </cell>
          <cell r="B6823" t="str">
            <v>YZ-HM1683</v>
          </cell>
        </row>
        <row r="6824">
          <cell r="A6824" t="str">
            <v>YZ-HM1683-B0-52</v>
          </cell>
          <cell r="B6824" t="str">
            <v>YZ-HM1683</v>
          </cell>
        </row>
        <row r="6825">
          <cell r="A6825" t="str">
            <v>YZ-HM1683-BDB0-50</v>
          </cell>
          <cell r="B6825" t="str">
            <v>YZ-HM1683</v>
          </cell>
        </row>
        <row r="6826">
          <cell r="A6826" t="str">
            <v>YZ-HM1683-BDB0-52</v>
          </cell>
          <cell r="B6826" t="str">
            <v>YZ-HM1683</v>
          </cell>
        </row>
        <row r="6827">
          <cell r="A6827" t="str">
            <v>YZ-HM1683-BDG0-54</v>
          </cell>
          <cell r="B6827" t="str">
            <v>YZ-HM1683</v>
          </cell>
        </row>
        <row r="6828">
          <cell r="A6828" t="str">
            <v>YZ-HM1683-BDG0-56</v>
          </cell>
          <cell r="B6828" t="str">
            <v>YZ-HM1683</v>
          </cell>
        </row>
        <row r="6829">
          <cell r="A6829" t="str">
            <v>YZ-HM1683-BDZL-48</v>
          </cell>
          <cell r="B6829" t="str">
            <v>YZ-HM1683</v>
          </cell>
        </row>
        <row r="6830">
          <cell r="A6830" t="str">
            <v>YZ-HM1683-BDZL-50</v>
          </cell>
          <cell r="B6830" t="str">
            <v>YZ-HM1683</v>
          </cell>
        </row>
        <row r="6831">
          <cell r="A6831" t="str">
            <v>YZ-HM1683-BDZL-54</v>
          </cell>
          <cell r="B6831" t="str">
            <v>YZ-HM1683</v>
          </cell>
        </row>
        <row r="6832">
          <cell r="A6832" t="str">
            <v>YZ-HM1683-BDZL-56</v>
          </cell>
          <cell r="B6832" t="str">
            <v>YZ-HM1683</v>
          </cell>
        </row>
        <row r="6833">
          <cell r="A6833" t="str">
            <v>YZ-HM1683-G0-48</v>
          </cell>
          <cell r="B6833" t="str">
            <v>YZ-HM1683</v>
          </cell>
        </row>
        <row r="6834">
          <cell r="A6834" t="str">
            <v>YZ-HM1683-G0-50</v>
          </cell>
          <cell r="B6834" t="str">
            <v>YZ-HM1683</v>
          </cell>
        </row>
        <row r="6835">
          <cell r="A6835" t="str">
            <v>YZ-HM1683-G0-54</v>
          </cell>
          <cell r="B6835" t="str">
            <v>YZ-HM1683</v>
          </cell>
        </row>
        <row r="6836">
          <cell r="A6836" t="str">
            <v>YZ-HM1683-G0-56</v>
          </cell>
          <cell r="B6836" t="str">
            <v>YZ-HM1683</v>
          </cell>
        </row>
        <row r="6837">
          <cell r="A6837" t="str">
            <v>YZ-HM1683-R0-50</v>
          </cell>
          <cell r="B6837" t="str">
            <v>YZ-HM1683</v>
          </cell>
        </row>
        <row r="6838">
          <cell r="A6838" t="str">
            <v>YZ-HM1683-R0-52</v>
          </cell>
          <cell r="B6838" t="str">
            <v>YZ-HM1683</v>
          </cell>
        </row>
        <row r="6839">
          <cell r="A6839" t="str">
            <v>YZ-HM1683-R0-54</v>
          </cell>
          <cell r="B6839" t="str">
            <v>YZ-HM1683</v>
          </cell>
        </row>
        <row r="6840">
          <cell r="A6840" t="str">
            <v>YZ-HM1683-ZL-48</v>
          </cell>
          <cell r="B6840" t="str">
            <v>YZ-HM1683</v>
          </cell>
        </row>
        <row r="6841">
          <cell r="A6841" t="str">
            <v>YZ-HM1683-ZL-52</v>
          </cell>
          <cell r="B6841" t="str">
            <v>YZ-HM1683</v>
          </cell>
        </row>
        <row r="6842">
          <cell r="A6842" t="str">
            <v>YZ-HM1683-ZL-54</v>
          </cell>
          <cell r="B6842" t="str">
            <v>YZ-HM1683</v>
          </cell>
        </row>
        <row r="6843">
          <cell r="A6843" t="str">
            <v>YZ-HM1689-R0-50</v>
          </cell>
          <cell r="B6843" t="str">
            <v>YZ-HM1689</v>
          </cell>
        </row>
        <row r="6844">
          <cell r="A6844" t="str">
            <v>YZ-HM1689-R0-52</v>
          </cell>
          <cell r="B6844" t="str">
            <v>YZ-HM1689</v>
          </cell>
        </row>
        <row r="6845">
          <cell r="A6845" t="str">
            <v>YZ-HM1689-R0-54</v>
          </cell>
          <cell r="B6845" t="str">
            <v>YZ-HM1689</v>
          </cell>
        </row>
        <row r="6846">
          <cell r="A6846" t="str">
            <v>YZ-HM1689-R0-56</v>
          </cell>
          <cell r="B6846" t="str">
            <v>YZ-HM1689</v>
          </cell>
        </row>
        <row r="6847">
          <cell r="A6847" t="str">
            <v>YZ-HM17015</v>
          </cell>
          <cell r="B6847" t="str">
            <v>YZ-HM17015</v>
          </cell>
        </row>
        <row r="6848">
          <cell r="A6848" t="str">
            <v>YZ-HM17015-B0-L</v>
          </cell>
          <cell r="B6848" t="str">
            <v>YZ-HM17015</v>
          </cell>
        </row>
        <row r="6849">
          <cell r="A6849" t="str">
            <v>YZ-HM17015-B0-M</v>
          </cell>
          <cell r="B6849" t="str">
            <v>YZ-HM17015</v>
          </cell>
        </row>
        <row r="6850">
          <cell r="A6850" t="str">
            <v>YZ-HM17015-B0-S</v>
          </cell>
          <cell r="B6850" t="str">
            <v>YZ-HM17015</v>
          </cell>
        </row>
        <row r="6851">
          <cell r="A6851" t="str">
            <v>YZ-HM17015-B0-XL</v>
          </cell>
          <cell r="B6851" t="str">
            <v>YZ-HM17015</v>
          </cell>
        </row>
        <row r="6852">
          <cell r="A6852" t="str">
            <v>YZ-HM17015-K0-L</v>
          </cell>
          <cell r="B6852" t="str">
            <v>YZ-HM17015</v>
          </cell>
        </row>
        <row r="6853">
          <cell r="A6853" t="str">
            <v>YZ-HM17015-K0-M</v>
          </cell>
          <cell r="B6853" t="str">
            <v>YZ-HM17015</v>
          </cell>
        </row>
        <row r="6854">
          <cell r="A6854" t="str">
            <v>YZ-HM17015-K0-S</v>
          </cell>
          <cell r="B6854" t="str">
            <v>YZ-HM17015</v>
          </cell>
        </row>
        <row r="6855">
          <cell r="A6855" t="str">
            <v>YZ-HM17015-K0-XL</v>
          </cell>
          <cell r="B6855" t="str">
            <v>YZ-HM17015</v>
          </cell>
        </row>
        <row r="6856">
          <cell r="A6856" t="str">
            <v>YZ-HM17015-OR-L</v>
          </cell>
          <cell r="B6856" t="str">
            <v>YZ-HM17015</v>
          </cell>
        </row>
        <row r="6857">
          <cell r="A6857" t="str">
            <v>YZ-HM17015-OR-M</v>
          </cell>
          <cell r="B6857" t="str">
            <v>YZ-HM17015</v>
          </cell>
        </row>
        <row r="6858">
          <cell r="A6858" t="str">
            <v>YZ-HM17015-OR-S</v>
          </cell>
          <cell r="B6858" t="str">
            <v>YZ-HM17015</v>
          </cell>
        </row>
        <row r="6859">
          <cell r="A6859" t="str">
            <v>YZ-HM17015-OR-XL</v>
          </cell>
          <cell r="B6859" t="str">
            <v>YZ-HM17015</v>
          </cell>
        </row>
        <row r="6860">
          <cell r="A6860" t="str">
            <v>YZ-HM17015-WI-L</v>
          </cell>
          <cell r="B6860" t="str">
            <v>YZ-HM17015</v>
          </cell>
        </row>
        <row r="6861">
          <cell r="A6861" t="str">
            <v>YZ-HM17015-WI-M</v>
          </cell>
          <cell r="B6861" t="str">
            <v>YZ-HM17015</v>
          </cell>
        </row>
        <row r="6862">
          <cell r="A6862" t="str">
            <v>YZ-HM17015-WI-S</v>
          </cell>
          <cell r="B6862" t="str">
            <v>YZ-HM17015</v>
          </cell>
        </row>
        <row r="6863">
          <cell r="A6863" t="str">
            <v>YZ-HM17015-WI-XL</v>
          </cell>
          <cell r="B6863" t="str">
            <v>YZ-HM17015</v>
          </cell>
        </row>
        <row r="6864">
          <cell r="A6864" t="str">
            <v>YZ-HM17077-B0-L</v>
          </cell>
          <cell r="B6864" t="str">
            <v>YZ-HM17077</v>
          </cell>
        </row>
        <row r="6865">
          <cell r="A6865" t="str">
            <v>YZ-HM17077-B0-M</v>
          </cell>
          <cell r="B6865" t="str">
            <v>YZ-HM17077</v>
          </cell>
        </row>
        <row r="6866">
          <cell r="A6866" t="str">
            <v>YZ-HM17077-B0-XL</v>
          </cell>
          <cell r="B6866" t="str">
            <v>YZ-HM17077</v>
          </cell>
        </row>
        <row r="6867">
          <cell r="A6867" t="str">
            <v>YZ-HM17077-CO-L</v>
          </cell>
          <cell r="B6867" t="str">
            <v>YZ-HM17077</v>
          </cell>
        </row>
        <row r="6868">
          <cell r="A6868" t="str">
            <v>YZ-HM17077-CO-M</v>
          </cell>
          <cell r="B6868" t="str">
            <v>YZ-HM17077</v>
          </cell>
        </row>
        <row r="6869">
          <cell r="A6869" t="str">
            <v>YZ-HM17077-K0-L</v>
          </cell>
          <cell r="B6869" t="str">
            <v>YZ-HM17077</v>
          </cell>
        </row>
        <row r="6870">
          <cell r="A6870" t="str">
            <v>YZ-HM17077-K0-M</v>
          </cell>
          <cell r="B6870" t="str">
            <v>YZ-HM17077</v>
          </cell>
        </row>
        <row r="6871">
          <cell r="A6871" t="str">
            <v>YZ-HM17077-K0-XL</v>
          </cell>
          <cell r="B6871" t="str">
            <v>YZ-HM17077</v>
          </cell>
        </row>
        <row r="6872">
          <cell r="A6872" t="str">
            <v>YZ-HM17077-PI-L</v>
          </cell>
          <cell r="B6872" t="str">
            <v>YZ-HM17077</v>
          </cell>
        </row>
        <row r="6873">
          <cell r="A6873" t="str">
            <v>YZ-HM17077-PI-M</v>
          </cell>
          <cell r="B6873" t="str">
            <v>YZ-HM17077</v>
          </cell>
        </row>
        <row r="6874">
          <cell r="A6874" t="str">
            <v>YZ-HM17077-PI-S</v>
          </cell>
          <cell r="B6874" t="str">
            <v>YZ-HM17077</v>
          </cell>
        </row>
        <row r="6875">
          <cell r="A6875" t="str">
            <v>YZ-HM17077-W0-L</v>
          </cell>
          <cell r="B6875" t="str">
            <v>YZ-HM17077</v>
          </cell>
        </row>
        <row r="6876">
          <cell r="A6876" t="str">
            <v>YZ-HM17077-W0-M</v>
          </cell>
          <cell r="B6876" t="str">
            <v>YZ-HM17077</v>
          </cell>
        </row>
        <row r="6877">
          <cell r="A6877" t="str">
            <v>YZ-HM17077-W0-XL</v>
          </cell>
          <cell r="B6877" t="str">
            <v>YZ-HM17077</v>
          </cell>
        </row>
        <row r="6878">
          <cell r="A6878" t="str">
            <v>YZ-HM1711-B0-L</v>
          </cell>
          <cell r="B6878" t="str">
            <v>YZ-HM1711</v>
          </cell>
        </row>
        <row r="6879">
          <cell r="A6879" t="str">
            <v>YZ-HM1711-B0-M</v>
          </cell>
          <cell r="B6879" t="str">
            <v>YZ-HM1711</v>
          </cell>
        </row>
        <row r="6880">
          <cell r="A6880" t="str">
            <v>YZ-HM1711-B0-S</v>
          </cell>
          <cell r="B6880" t="str">
            <v>YZ-HM1711</v>
          </cell>
        </row>
        <row r="6881">
          <cell r="A6881" t="str">
            <v>YZ-HM1711-B0-XL</v>
          </cell>
          <cell r="B6881" t="str">
            <v>YZ-HM1711</v>
          </cell>
        </row>
        <row r="6882">
          <cell r="A6882" t="str">
            <v>YZ-HM1711-K0-L</v>
          </cell>
          <cell r="B6882" t="str">
            <v>YZ-HM1711</v>
          </cell>
        </row>
        <row r="6883">
          <cell r="A6883" t="str">
            <v>YZ-HM1711-K0-M</v>
          </cell>
          <cell r="B6883" t="str">
            <v>YZ-HM1711</v>
          </cell>
        </row>
        <row r="6884">
          <cell r="A6884" t="str">
            <v>YZ-HM1711-K0-S</v>
          </cell>
          <cell r="B6884" t="str">
            <v>YZ-HM1711</v>
          </cell>
        </row>
        <row r="6885">
          <cell r="A6885" t="str">
            <v>YZ-HM1711-K0-XL</v>
          </cell>
          <cell r="B6885" t="str">
            <v>YZ-HM1711</v>
          </cell>
        </row>
        <row r="6886">
          <cell r="A6886" t="str">
            <v>YZ-HM17125-K0-2XL</v>
          </cell>
          <cell r="B6886" t="str">
            <v>YZ-HM17125</v>
          </cell>
        </row>
        <row r="6887">
          <cell r="A6887" t="str">
            <v>YZ-HM17125-K0-3XL</v>
          </cell>
          <cell r="B6887" t="str">
            <v>YZ-HM17125</v>
          </cell>
        </row>
        <row r="6888">
          <cell r="A6888" t="str">
            <v>YZ-HM17125-K0-4XL</v>
          </cell>
          <cell r="B6888" t="str">
            <v>YZ-HM17125</v>
          </cell>
        </row>
        <row r="6889">
          <cell r="A6889" t="str">
            <v>YZ-HM17125-K0-5XL</v>
          </cell>
          <cell r="B6889" t="str">
            <v>YZ-HM17125</v>
          </cell>
        </row>
        <row r="6890">
          <cell r="A6890" t="str">
            <v>YZ-HM1718-K0-2XL</v>
          </cell>
          <cell r="B6890" t="str">
            <v>YZ-HM1718</v>
          </cell>
        </row>
        <row r="6891">
          <cell r="A6891" t="str">
            <v>YZ-HM1718-K0-3XL</v>
          </cell>
          <cell r="B6891" t="str">
            <v>YZ-HM1718</v>
          </cell>
        </row>
        <row r="6892">
          <cell r="A6892" t="str">
            <v>YZ-HM1718-K0-4XL</v>
          </cell>
          <cell r="B6892" t="str">
            <v>YZ-HM1718</v>
          </cell>
        </row>
        <row r="6893">
          <cell r="A6893" t="str">
            <v>YZ-HM1718-K0-L</v>
          </cell>
          <cell r="B6893" t="str">
            <v>YZ-HM1718</v>
          </cell>
        </row>
        <row r="6894">
          <cell r="A6894" t="str">
            <v>YZ-HM1718-K0-M</v>
          </cell>
          <cell r="B6894" t="str">
            <v>YZ-HM1718</v>
          </cell>
        </row>
        <row r="6895">
          <cell r="A6895" t="str">
            <v>YZ-HM1718-K0-S</v>
          </cell>
          <cell r="B6895" t="str">
            <v>YZ-HM1718</v>
          </cell>
        </row>
        <row r="6896">
          <cell r="A6896" t="str">
            <v>YZ-HM1718-K0-XL</v>
          </cell>
          <cell r="B6896" t="str">
            <v>YZ-HM1718</v>
          </cell>
        </row>
        <row r="6897">
          <cell r="A6897" t="str">
            <v>YZ-HM1718-R0-2XL</v>
          </cell>
          <cell r="B6897" t="str">
            <v>YZ-HM1718</v>
          </cell>
        </row>
        <row r="6898">
          <cell r="A6898" t="str">
            <v>YZ-HM1718-R0-3XL</v>
          </cell>
          <cell r="B6898" t="str">
            <v>YZ-HM1718</v>
          </cell>
        </row>
        <row r="6899">
          <cell r="A6899" t="str">
            <v>YZ-HM1718-R0-4XL</v>
          </cell>
          <cell r="B6899" t="str">
            <v>YZ-HM1718</v>
          </cell>
        </row>
        <row r="6900">
          <cell r="A6900" t="str">
            <v>YZ-HM1718-R0-L</v>
          </cell>
          <cell r="B6900" t="str">
            <v>YZ-HM1718</v>
          </cell>
        </row>
        <row r="6901">
          <cell r="A6901" t="str">
            <v>YZ-HM1718-R0-M</v>
          </cell>
          <cell r="B6901" t="str">
            <v>YZ-HM1718</v>
          </cell>
        </row>
        <row r="6902">
          <cell r="A6902" t="str">
            <v>YZ-HM1718-R0-S</v>
          </cell>
          <cell r="B6902" t="str">
            <v>YZ-HM1718</v>
          </cell>
        </row>
        <row r="6903">
          <cell r="A6903" t="str">
            <v>YZ-HM1718-R0-XL</v>
          </cell>
          <cell r="B6903" t="str">
            <v>YZ-HM1718</v>
          </cell>
        </row>
        <row r="6904">
          <cell r="A6904" t="str">
            <v>YZ-HM1727-Pi-2XL</v>
          </cell>
          <cell r="B6904" t="str">
            <v>YZ-HM1727</v>
          </cell>
        </row>
        <row r="6905">
          <cell r="A6905" t="str">
            <v>YZ-HM1727-Pi-3XL</v>
          </cell>
          <cell r="B6905" t="str">
            <v>YZ-HM1727</v>
          </cell>
        </row>
        <row r="6906">
          <cell r="A6906" t="str">
            <v>YZ-HM1727-Pi-4XL</v>
          </cell>
          <cell r="B6906" t="str">
            <v>YZ-HM1727</v>
          </cell>
        </row>
        <row r="6907">
          <cell r="A6907" t="str">
            <v>YZ-HM1727-Pi-5XL</v>
          </cell>
          <cell r="B6907" t="str">
            <v>YZ-HM1727</v>
          </cell>
        </row>
        <row r="6908">
          <cell r="A6908" t="str">
            <v>YZ-HM1727-Pi-L</v>
          </cell>
          <cell r="B6908" t="str">
            <v>YZ-HM1727</v>
          </cell>
        </row>
        <row r="6909">
          <cell r="A6909" t="str">
            <v>YZ-HM1727-Pi-L-GM</v>
          </cell>
          <cell r="B6909" t="str">
            <v>YZ-HM1727</v>
          </cell>
        </row>
        <row r="6910">
          <cell r="A6910" t="str">
            <v>YZ-HM1727-Pi-M</v>
          </cell>
          <cell r="B6910" t="str">
            <v>YZ-HM1727</v>
          </cell>
        </row>
        <row r="6911">
          <cell r="A6911" t="str">
            <v>YZ-HM1727-Pi-M-GM</v>
          </cell>
          <cell r="B6911" t="str">
            <v>YZ-HM1727</v>
          </cell>
        </row>
        <row r="6912">
          <cell r="A6912" t="str">
            <v>YZ-HM1727-Pi-S</v>
          </cell>
          <cell r="B6912" t="str">
            <v>YZ-HM1727</v>
          </cell>
        </row>
        <row r="6913">
          <cell r="A6913" t="str">
            <v>YZ-HM1727-Pi-XL</v>
          </cell>
          <cell r="B6913" t="str">
            <v>YZ-HM1727</v>
          </cell>
        </row>
        <row r="6914">
          <cell r="A6914" t="str">
            <v>YZ-HM1727-Pi-XL-GM</v>
          </cell>
          <cell r="B6914" t="str">
            <v>YZ-HM1727</v>
          </cell>
        </row>
        <row r="6915">
          <cell r="A6915" t="str">
            <v>YZ-HM1727-Pi-XL-NEW</v>
          </cell>
          <cell r="B6915" t="str">
            <v>YZ-HM1727</v>
          </cell>
        </row>
        <row r="6916">
          <cell r="A6916" t="str">
            <v>YZ-HM1728-ZL-L</v>
          </cell>
          <cell r="B6916" t="str">
            <v>YZ-HM1728</v>
          </cell>
        </row>
        <row r="6917">
          <cell r="A6917" t="str">
            <v>YZ-HM1728-ZL-M</v>
          </cell>
          <cell r="B6917" t="str">
            <v>YZ-HM1728</v>
          </cell>
        </row>
        <row r="6918">
          <cell r="A6918" t="str">
            <v>YZ-HM1728-ZL-S</v>
          </cell>
          <cell r="B6918" t="str">
            <v>YZ-HM1728</v>
          </cell>
        </row>
        <row r="6919">
          <cell r="A6919" t="str">
            <v>YZ-HM1728-ZL-S-New</v>
          </cell>
          <cell r="B6919" t="str">
            <v>YZ-HM1728</v>
          </cell>
        </row>
        <row r="6920">
          <cell r="A6920" t="str">
            <v>YZ-HM1728-ZL-XL</v>
          </cell>
          <cell r="B6920" t="str">
            <v>YZ-HM1728</v>
          </cell>
        </row>
        <row r="6921">
          <cell r="A6921" t="str">
            <v>YZ-HM174164-SY-2XL</v>
          </cell>
          <cell r="B6921" t="str">
            <v>YZ-HM174164</v>
          </cell>
        </row>
        <row r="6922">
          <cell r="A6922" t="str">
            <v>YZ-HM174164-SY-3XL</v>
          </cell>
          <cell r="B6922" t="str">
            <v>YZ-HM174164</v>
          </cell>
        </row>
        <row r="6923">
          <cell r="A6923" t="str">
            <v>YZ-HM174164-SY-4XL</v>
          </cell>
          <cell r="B6923" t="str">
            <v>YZ-HM174164</v>
          </cell>
        </row>
        <row r="6924">
          <cell r="A6924" t="str">
            <v>YZ-HM174164-SY-5XL</v>
          </cell>
          <cell r="B6924" t="str">
            <v>YZ-HM174164</v>
          </cell>
        </row>
        <row r="6925">
          <cell r="A6925" t="str">
            <v>YZ-HM174164-SY-L</v>
          </cell>
          <cell r="B6925" t="str">
            <v>YZ-HM174164</v>
          </cell>
        </row>
        <row r="6926">
          <cell r="A6926" t="str">
            <v>YZ-HM174164-SY-M</v>
          </cell>
          <cell r="B6926" t="str">
            <v>YZ-HM174164</v>
          </cell>
        </row>
        <row r="6927">
          <cell r="A6927" t="str">
            <v>YZ-HM174164-SY-S</v>
          </cell>
          <cell r="B6927" t="str">
            <v>YZ-HM174164</v>
          </cell>
        </row>
        <row r="6928">
          <cell r="A6928" t="str">
            <v>YZ-HM174164-SY-XL</v>
          </cell>
          <cell r="B6928" t="str">
            <v>YZ-HM174164</v>
          </cell>
        </row>
        <row r="6929">
          <cell r="A6929" t="str">
            <v>YZ-HM1757-K0-L</v>
          </cell>
          <cell r="B6929" t="str">
            <v>YZ-HM1757</v>
          </cell>
        </row>
        <row r="6930">
          <cell r="A6930" t="str">
            <v>YZ-HM1757-K0-M</v>
          </cell>
          <cell r="B6930" t="str">
            <v>YZ-HM1757</v>
          </cell>
        </row>
        <row r="6931">
          <cell r="A6931" t="str">
            <v>YZ-HM1757-K0-M-GM</v>
          </cell>
          <cell r="B6931" t="str">
            <v>YZ-HM1757</v>
          </cell>
        </row>
        <row r="6932">
          <cell r="A6932" t="str">
            <v>YZ-HM1757-K0-S</v>
          </cell>
          <cell r="B6932" t="str">
            <v>YZ-HM1757</v>
          </cell>
        </row>
        <row r="6933">
          <cell r="A6933" t="str">
            <v>YZ-HM1757-K0-S-GM</v>
          </cell>
          <cell r="B6933" t="str">
            <v>YZ-HM1757</v>
          </cell>
        </row>
        <row r="6934">
          <cell r="A6934" t="str">
            <v>YZ-HM1757-K0-XL</v>
          </cell>
          <cell r="B6934" t="str">
            <v>YZ-HM1757</v>
          </cell>
        </row>
        <row r="6935">
          <cell r="A6935" t="str">
            <v>YZ-HM1757-Pi-L</v>
          </cell>
          <cell r="B6935" t="str">
            <v>YZ-HM1757</v>
          </cell>
        </row>
        <row r="6936">
          <cell r="A6936" t="str">
            <v>YZ-HM1757-Pi-L-GM</v>
          </cell>
          <cell r="B6936" t="str">
            <v>YZ-HM1757</v>
          </cell>
        </row>
        <row r="6937">
          <cell r="A6937" t="str">
            <v>YZ-HM1757-Pi-M</v>
          </cell>
          <cell r="B6937" t="str">
            <v>YZ-HM1757</v>
          </cell>
        </row>
        <row r="6938">
          <cell r="A6938" t="str">
            <v>YZ-HM1757-Pi-M-GM</v>
          </cell>
          <cell r="B6938" t="str">
            <v>YZ-HM1757</v>
          </cell>
        </row>
        <row r="6939">
          <cell r="A6939" t="str">
            <v>YZ-HM1757-Pi-S</v>
          </cell>
          <cell r="B6939" t="str">
            <v>YZ-HM1757</v>
          </cell>
        </row>
        <row r="6940">
          <cell r="A6940" t="str">
            <v>YZ-HM1757-Pi-S-GM</v>
          </cell>
          <cell r="B6940" t="str">
            <v>YZ-HM1757</v>
          </cell>
        </row>
        <row r="6941">
          <cell r="A6941" t="str">
            <v>YZ-HM1757-Pi-XL</v>
          </cell>
          <cell r="B6941" t="str">
            <v>YZ-HM1757</v>
          </cell>
        </row>
        <row r="6942">
          <cell r="A6942" t="str">
            <v>YZ-HM1757-Pi-XL-GM</v>
          </cell>
          <cell r="B6942" t="str">
            <v>YZ-HM1757</v>
          </cell>
        </row>
        <row r="6943">
          <cell r="A6943" t="str">
            <v>YZ-HM17845-YH-L</v>
          </cell>
          <cell r="B6943" t="str">
            <v>YZ-HM17845</v>
          </cell>
        </row>
        <row r="6944">
          <cell r="A6944" t="str">
            <v>YZ-HM17845-YH-M</v>
          </cell>
          <cell r="B6944" t="str">
            <v>YZ-HM17845</v>
          </cell>
        </row>
        <row r="6945">
          <cell r="A6945" t="str">
            <v>YZ-HM17845-YH-S</v>
          </cell>
          <cell r="B6945" t="str">
            <v>YZ-HM17845</v>
          </cell>
        </row>
        <row r="6946">
          <cell r="A6946" t="str">
            <v>YZ-HM17845-YH-S-GM</v>
          </cell>
          <cell r="B6946" t="str">
            <v>YZ-HM17845</v>
          </cell>
        </row>
        <row r="6947">
          <cell r="A6947" t="str">
            <v>YZ-HM17845-YH-XL</v>
          </cell>
          <cell r="B6947" t="str">
            <v>YZ-HM17845</v>
          </cell>
        </row>
        <row r="6948">
          <cell r="A6948" t="str">
            <v>YZ-HM17-G0-2XL</v>
          </cell>
          <cell r="B6948" t="str">
            <v>YZ-HM17</v>
          </cell>
        </row>
        <row r="6949">
          <cell r="A6949" t="str">
            <v>YZ-HM17-G0-L</v>
          </cell>
          <cell r="B6949" t="str">
            <v>YZ-HM17</v>
          </cell>
        </row>
        <row r="6950">
          <cell r="A6950" t="str">
            <v>YZ-HM17-G0-M</v>
          </cell>
          <cell r="B6950" t="str">
            <v>YZ-HM17</v>
          </cell>
        </row>
        <row r="6951">
          <cell r="A6951" t="str">
            <v>YZ-HM17-G0-XL</v>
          </cell>
          <cell r="B6951" t="str">
            <v>YZ-HM17</v>
          </cell>
        </row>
        <row r="6952">
          <cell r="A6952" t="str">
            <v>YZ-HM241-DS-2XL</v>
          </cell>
          <cell r="B6952" t="str">
            <v>YZ-HM241</v>
          </cell>
        </row>
        <row r="6953">
          <cell r="A6953" t="str">
            <v>YZ-HM241-DS-L</v>
          </cell>
          <cell r="B6953" t="str">
            <v>YZ-HM241</v>
          </cell>
        </row>
        <row r="6954">
          <cell r="A6954" t="str">
            <v>YZ-HM241-DS-M</v>
          </cell>
          <cell r="B6954" t="str">
            <v>YZ-HM241</v>
          </cell>
        </row>
        <row r="6955">
          <cell r="A6955" t="str">
            <v>YZ-HM241-DS-XL</v>
          </cell>
          <cell r="B6955" t="str">
            <v>YZ-HM241</v>
          </cell>
        </row>
        <row r="6956">
          <cell r="A6956" t="str">
            <v>YZ-HM241-G0-2XL</v>
          </cell>
          <cell r="B6956" t="str">
            <v>YZ-HM241</v>
          </cell>
        </row>
        <row r="6957">
          <cell r="A6957" t="str">
            <v>YZ-HM241-G0-3XL</v>
          </cell>
          <cell r="B6957" t="str">
            <v>YZ-HM241</v>
          </cell>
        </row>
        <row r="6958">
          <cell r="A6958" t="str">
            <v>YZ-HM241-G0-L</v>
          </cell>
          <cell r="B6958" t="str">
            <v>YZ-HM241</v>
          </cell>
        </row>
        <row r="6959">
          <cell r="A6959" t="str">
            <v>YZ-HM241-G0-M</v>
          </cell>
          <cell r="B6959" t="str">
            <v>YZ-HM241</v>
          </cell>
        </row>
        <row r="6960">
          <cell r="A6960" t="str">
            <v>YZ-HM241-G0-S</v>
          </cell>
          <cell r="B6960" t="str">
            <v>YZ-HM241</v>
          </cell>
        </row>
        <row r="6961">
          <cell r="A6961" t="str">
            <v>YZ-HM241-G0-XL</v>
          </cell>
          <cell r="B6961" t="str">
            <v>YZ-HM241</v>
          </cell>
        </row>
        <row r="6962">
          <cell r="A6962" t="str">
            <v>YZ-HM241-K0-2XL</v>
          </cell>
          <cell r="B6962" t="str">
            <v>YZ-HM241</v>
          </cell>
        </row>
        <row r="6963">
          <cell r="A6963" t="str">
            <v>YZ-HM241-K0-3XL</v>
          </cell>
          <cell r="B6963" t="str">
            <v>YZ-HM241</v>
          </cell>
        </row>
        <row r="6964">
          <cell r="A6964" t="str">
            <v>YZ-HM241-K0-4XL</v>
          </cell>
          <cell r="B6964" t="str">
            <v>YZ-HM241</v>
          </cell>
        </row>
        <row r="6965">
          <cell r="A6965" t="str">
            <v>YZ-HM241-K0-5XL</v>
          </cell>
          <cell r="B6965" t="str">
            <v>YZ-HM241</v>
          </cell>
        </row>
        <row r="6966">
          <cell r="A6966" t="str">
            <v>YZ-HM241-K0-L</v>
          </cell>
          <cell r="B6966" t="str">
            <v>YZ-HM241</v>
          </cell>
        </row>
        <row r="6967">
          <cell r="A6967" t="str">
            <v>YZ-HM241-K0-M</v>
          </cell>
          <cell r="B6967" t="str">
            <v>YZ-HM241</v>
          </cell>
        </row>
        <row r="6968">
          <cell r="A6968" t="str">
            <v>YZ-HM241-K0-S</v>
          </cell>
          <cell r="B6968" t="str">
            <v>YZ-HM241</v>
          </cell>
        </row>
        <row r="6969">
          <cell r="A6969" t="str">
            <v>YZ-HM241-K0-XL</v>
          </cell>
          <cell r="B6969" t="str">
            <v>YZ-HM241</v>
          </cell>
        </row>
        <row r="6970">
          <cell r="A6970" t="str">
            <v>YZ-HM241-R0-2XL</v>
          </cell>
          <cell r="B6970" t="str">
            <v>YZ-HM241</v>
          </cell>
        </row>
        <row r="6971">
          <cell r="A6971" t="str">
            <v>YZ-HM241-R0-3XL</v>
          </cell>
          <cell r="B6971" t="str">
            <v>YZ-HM241</v>
          </cell>
        </row>
        <row r="6972">
          <cell r="A6972" t="str">
            <v>YZ-HM241-R0-L</v>
          </cell>
          <cell r="B6972" t="str">
            <v>YZ-HM241</v>
          </cell>
        </row>
        <row r="6973">
          <cell r="A6973" t="str">
            <v>YZ-HM241-R0-M</v>
          </cell>
          <cell r="B6973" t="str">
            <v>YZ-HM241</v>
          </cell>
        </row>
        <row r="6974">
          <cell r="A6974" t="str">
            <v>YZ-HM241-R0-S</v>
          </cell>
          <cell r="B6974" t="str">
            <v>YZ-HM241</v>
          </cell>
        </row>
        <row r="6975">
          <cell r="A6975" t="str">
            <v>YZ-HM241-R0-XL</v>
          </cell>
          <cell r="B6975" t="str">
            <v>YZ-HM241</v>
          </cell>
        </row>
        <row r="6976">
          <cell r="A6976" t="str">
            <v>YZ-HM241-SH-2XL</v>
          </cell>
          <cell r="B6976" t="str">
            <v>YZ-HM241</v>
          </cell>
        </row>
        <row r="6977">
          <cell r="A6977" t="str">
            <v>YZ-HM241-SH-3XL</v>
          </cell>
          <cell r="B6977" t="str">
            <v>YZ-HM241</v>
          </cell>
        </row>
        <row r="6978">
          <cell r="A6978" t="str">
            <v>YZ-HM241-SH-4XL</v>
          </cell>
          <cell r="B6978" t="str">
            <v>YZ-HM241</v>
          </cell>
        </row>
        <row r="6979">
          <cell r="A6979" t="str">
            <v>YZ-HM241-SH-5XL</v>
          </cell>
          <cell r="B6979" t="str">
            <v>YZ-HM241</v>
          </cell>
        </row>
        <row r="6980">
          <cell r="A6980" t="str">
            <v>YZ-HM241-SH-L</v>
          </cell>
          <cell r="B6980" t="str">
            <v>YZ-HM241</v>
          </cell>
        </row>
        <row r="6981">
          <cell r="A6981" t="str">
            <v>YZ-HM241-SH-M</v>
          </cell>
          <cell r="B6981" t="str">
            <v>YZ-HM241</v>
          </cell>
        </row>
        <row r="6982">
          <cell r="A6982" t="str">
            <v>YZ-HM241-SH-S</v>
          </cell>
          <cell r="B6982" t="str">
            <v>YZ-HM241</v>
          </cell>
        </row>
        <row r="6983">
          <cell r="A6983" t="str">
            <v>YZ-HM241-SH-XL</v>
          </cell>
          <cell r="B6983" t="str">
            <v>YZ-HM241</v>
          </cell>
        </row>
        <row r="6984">
          <cell r="A6984" t="str">
            <v>YZ-HM241-ZL-2XL</v>
          </cell>
          <cell r="B6984" t="str">
            <v>YZ-HM241</v>
          </cell>
        </row>
        <row r="6985">
          <cell r="A6985" t="str">
            <v>YZ-HM241-ZL-3XL</v>
          </cell>
          <cell r="B6985" t="str">
            <v>YZ-HM241</v>
          </cell>
        </row>
        <row r="6986">
          <cell r="A6986" t="str">
            <v>YZ-HM241-ZL-L</v>
          </cell>
          <cell r="B6986" t="str">
            <v>YZ-HM241</v>
          </cell>
        </row>
        <row r="6987">
          <cell r="A6987" t="str">
            <v>YZ-HM241-ZL-M</v>
          </cell>
          <cell r="B6987" t="str">
            <v>YZ-HM241</v>
          </cell>
        </row>
        <row r="6988">
          <cell r="A6988" t="str">
            <v>YZ-HM241-ZL-S</v>
          </cell>
          <cell r="B6988" t="str">
            <v>YZ-HM241</v>
          </cell>
        </row>
        <row r="6989">
          <cell r="A6989" t="str">
            <v>YZ-HM241-ZL-XL</v>
          </cell>
          <cell r="B6989" t="str">
            <v>YZ-HM241</v>
          </cell>
        </row>
        <row r="6990">
          <cell r="A6990" t="str">
            <v>YZ-HM2508-G0-L</v>
          </cell>
          <cell r="B6990" t="str">
            <v>YZ-HM2508</v>
          </cell>
        </row>
        <row r="6991">
          <cell r="A6991" t="str">
            <v>YZ-HM2508-G0-M</v>
          </cell>
          <cell r="B6991" t="str">
            <v>YZ-HM2508</v>
          </cell>
        </row>
        <row r="6992">
          <cell r="A6992" t="str">
            <v>YZ-HM2508-K0-L</v>
          </cell>
          <cell r="B6992" t="str">
            <v>YZ-HM2508</v>
          </cell>
        </row>
        <row r="6993">
          <cell r="A6993" t="str">
            <v>YZ-HM2508-K0-M</v>
          </cell>
          <cell r="B6993" t="str">
            <v>YZ-HM2508</v>
          </cell>
        </row>
        <row r="6994">
          <cell r="A6994" t="str">
            <v>YZ-HM2508-R0-L</v>
          </cell>
          <cell r="B6994" t="str">
            <v>YZ-HM2508</v>
          </cell>
        </row>
        <row r="6995">
          <cell r="A6995" t="str">
            <v>YZ-HM2508-R0-M</v>
          </cell>
          <cell r="B6995" t="str">
            <v>YZ-HM2508</v>
          </cell>
        </row>
        <row r="6996">
          <cell r="A6996" t="str">
            <v>YZ-HM30CH</v>
          </cell>
          <cell r="B6996" t="str">
            <v>YZ-HM30CH</v>
          </cell>
        </row>
        <row r="6997">
          <cell r="A6997" t="str">
            <v>YZ-HM30CH-K0-L</v>
          </cell>
          <cell r="B6997" t="str">
            <v>YZ-HM30CH</v>
          </cell>
        </row>
        <row r="6998">
          <cell r="A6998" t="str">
            <v>YZ-HM30CH-K0-M</v>
          </cell>
          <cell r="B6998" t="str">
            <v>YZ-HM30CH</v>
          </cell>
        </row>
        <row r="6999">
          <cell r="A6999" t="str">
            <v>YZ-HM30CH-K0-S</v>
          </cell>
          <cell r="B6999" t="str">
            <v>YZ-HM30CH</v>
          </cell>
        </row>
        <row r="7000">
          <cell r="A7000" t="str">
            <v>YZ-HM30CH-K0-S-GM</v>
          </cell>
          <cell r="B7000" t="str">
            <v>YZ-HM30CH</v>
          </cell>
        </row>
        <row r="7001">
          <cell r="A7001" t="str">
            <v>YZ-HM30CH-K0-XL</v>
          </cell>
          <cell r="B7001" t="str">
            <v>YZ-HM30CH</v>
          </cell>
        </row>
        <row r="7002">
          <cell r="A7002" t="str">
            <v>YZ-HM30CH-K0-XS</v>
          </cell>
          <cell r="B7002" t="str">
            <v>YZ-HM30CH</v>
          </cell>
        </row>
        <row r="7003">
          <cell r="A7003" t="str">
            <v>YZ-HM30CH-L</v>
          </cell>
          <cell r="B7003" t="str">
            <v>YZ-HM30CH</v>
          </cell>
        </row>
        <row r="7004">
          <cell r="A7004" t="str">
            <v>YZ-HM30CH-L-GM</v>
          </cell>
          <cell r="B7004" t="str">
            <v>YZ-HM30CH</v>
          </cell>
        </row>
        <row r="7005">
          <cell r="A7005" t="str">
            <v>YZ-HM30CH-M</v>
          </cell>
          <cell r="B7005" t="str">
            <v>YZ-HM30CH</v>
          </cell>
        </row>
        <row r="7006">
          <cell r="A7006" t="str">
            <v>YZ-HM30CH-M-GM</v>
          </cell>
          <cell r="B7006" t="str">
            <v>YZ-HM30CH</v>
          </cell>
        </row>
        <row r="7007">
          <cell r="A7007" t="str">
            <v>YZ-HM30CH-Pi-L</v>
          </cell>
          <cell r="B7007" t="str">
            <v>YZ-HM30CH</v>
          </cell>
        </row>
        <row r="7008">
          <cell r="A7008" t="str">
            <v>YZ-HM30CH-Pi-M</v>
          </cell>
          <cell r="B7008" t="str">
            <v>YZ-HM30CH</v>
          </cell>
        </row>
        <row r="7009">
          <cell r="A7009" t="str">
            <v>YZ-HM30CH-Pi-S</v>
          </cell>
          <cell r="B7009" t="str">
            <v>YZ-HM30CH</v>
          </cell>
        </row>
        <row r="7010">
          <cell r="A7010" t="str">
            <v>YZ-HM30CH-Pi-XL</v>
          </cell>
          <cell r="B7010" t="str">
            <v>YZ-HM30CH</v>
          </cell>
        </row>
        <row r="7011">
          <cell r="A7011" t="str">
            <v>YZ-HM30CH-Pi-XS</v>
          </cell>
          <cell r="B7011" t="str">
            <v>YZ-HM30CH</v>
          </cell>
        </row>
        <row r="7012">
          <cell r="A7012" t="str">
            <v>YZ-HM30CH-S</v>
          </cell>
          <cell r="B7012" t="str">
            <v>YZ-HM30CH</v>
          </cell>
        </row>
        <row r="7013">
          <cell r="A7013" t="str">
            <v>YZ-HM30CH-S-GM</v>
          </cell>
          <cell r="B7013" t="str">
            <v>YZ-HM30CH</v>
          </cell>
        </row>
        <row r="7014">
          <cell r="A7014" t="str">
            <v>YZ-HM30CH-XL</v>
          </cell>
          <cell r="B7014" t="str">
            <v>YZ-HM30CH</v>
          </cell>
        </row>
        <row r="7015">
          <cell r="A7015" t="str">
            <v>YZ-HM30CH-XL-GM</v>
          </cell>
          <cell r="B7015" t="str">
            <v>YZ-HM30CH</v>
          </cell>
        </row>
        <row r="7016">
          <cell r="A7016" t="str">
            <v>YZ-HM30CH-XL-GMM</v>
          </cell>
          <cell r="B7016" t="str">
            <v>YZ-HM30CH</v>
          </cell>
        </row>
        <row r="7017">
          <cell r="A7017" t="str">
            <v>YZ-HM30CH-XS</v>
          </cell>
          <cell r="B7017" t="str">
            <v>YZ-HM30CH</v>
          </cell>
        </row>
        <row r="7018">
          <cell r="A7018" t="str">
            <v>YZ-HM30CH-XS-GM</v>
          </cell>
          <cell r="B7018" t="str">
            <v>YZ-HM30CH</v>
          </cell>
        </row>
        <row r="7019">
          <cell r="A7019" t="str">
            <v>YZ-HM33-B0-L</v>
          </cell>
          <cell r="B7019" t="str">
            <v>YZ-HM33</v>
          </cell>
        </row>
        <row r="7020">
          <cell r="A7020" t="str">
            <v>YZ-HM33-B0-M</v>
          </cell>
          <cell r="B7020" t="str">
            <v>YZ-HM33</v>
          </cell>
        </row>
        <row r="7021">
          <cell r="A7021" t="str">
            <v>YZ-HM33-K0-L</v>
          </cell>
          <cell r="B7021" t="str">
            <v>YZ-HM33</v>
          </cell>
        </row>
        <row r="7022">
          <cell r="A7022" t="str">
            <v>YZ-HM33-K0-M</v>
          </cell>
          <cell r="B7022" t="str">
            <v>YZ-HM33</v>
          </cell>
        </row>
        <row r="7023">
          <cell r="A7023" t="str">
            <v>YZ-HM33-K0-S</v>
          </cell>
          <cell r="B7023" t="str">
            <v>YZ-HM33</v>
          </cell>
        </row>
        <row r="7024">
          <cell r="A7024" t="str">
            <v>YZ-HM33-K0-XL</v>
          </cell>
          <cell r="B7024" t="str">
            <v>YZ-HM33</v>
          </cell>
        </row>
        <row r="7025">
          <cell r="A7025" t="str">
            <v>YZ-HM33-R0-L</v>
          </cell>
          <cell r="B7025" t="str">
            <v>YZ-HM33</v>
          </cell>
        </row>
        <row r="7026">
          <cell r="A7026" t="str">
            <v>YZ-HM33-R0-M</v>
          </cell>
          <cell r="B7026" t="str">
            <v>YZ-HM33</v>
          </cell>
        </row>
        <row r="7027">
          <cell r="A7027" t="str">
            <v>YZ-HM33-R0-S</v>
          </cell>
          <cell r="B7027" t="str">
            <v>YZ-HM33</v>
          </cell>
        </row>
        <row r="7028">
          <cell r="A7028" t="str">
            <v>YZ-HM33-R0-XL</v>
          </cell>
          <cell r="B7028" t="str">
            <v>YZ-HM33</v>
          </cell>
        </row>
        <row r="7029">
          <cell r="A7029" t="str">
            <v>YZ-HM41843-AS-2XL</v>
          </cell>
          <cell r="B7029" t="str">
            <v>YZ-HM41843</v>
          </cell>
        </row>
        <row r="7030">
          <cell r="A7030" t="str">
            <v>YZ-HM462-WR-4XL</v>
          </cell>
          <cell r="B7030" t="str">
            <v>YZ-HM462</v>
          </cell>
        </row>
        <row r="7031">
          <cell r="A7031" t="str">
            <v>YZ-HM5036-B0-2XL</v>
          </cell>
          <cell r="B7031" t="str">
            <v>YZ-HM5036-B0-2XL</v>
          </cell>
        </row>
        <row r="7032">
          <cell r="A7032" t="str">
            <v>YZ-HM5036-W0-2XL</v>
          </cell>
          <cell r="B7032" t="str">
            <v>YZ-HM5048</v>
          </cell>
        </row>
        <row r="7033">
          <cell r="A7033" t="str">
            <v>YZ-HM5036-W0-3XL</v>
          </cell>
          <cell r="B7033" t="str">
            <v>YZ-HM5048</v>
          </cell>
        </row>
        <row r="7034">
          <cell r="A7034" t="str">
            <v>YZ-HM5036-W0-L</v>
          </cell>
          <cell r="B7034" t="str">
            <v>YZ-HM5048</v>
          </cell>
        </row>
        <row r="7035">
          <cell r="A7035" t="str">
            <v>YZ-HM5036-W0-XL</v>
          </cell>
          <cell r="B7035" t="str">
            <v>YZ-HM5048</v>
          </cell>
        </row>
        <row r="7036">
          <cell r="A7036" t="str">
            <v>YZ-HM5048-K0-L</v>
          </cell>
          <cell r="B7036" t="str">
            <v>YZ-HM5048</v>
          </cell>
        </row>
        <row r="7037">
          <cell r="A7037" t="str">
            <v>YZ-HM5048-K0-XL</v>
          </cell>
          <cell r="B7037" t="str">
            <v>YZ-HM5048</v>
          </cell>
        </row>
        <row r="7038">
          <cell r="A7038" t="str">
            <v>YZ-HM5263-K0-L</v>
          </cell>
          <cell r="B7038" t="str">
            <v>YZ-HM5263</v>
          </cell>
        </row>
        <row r="7039">
          <cell r="A7039" t="str">
            <v>YZ-HM5263-K0-M</v>
          </cell>
          <cell r="B7039" t="str">
            <v>YZ-HM5263</v>
          </cell>
        </row>
        <row r="7040">
          <cell r="A7040" t="str">
            <v>YZ-HM5263-R0-L</v>
          </cell>
          <cell r="B7040" t="str">
            <v>YZ-HM5263</v>
          </cell>
        </row>
        <row r="7041">
          <cell r="A7041" t="str">
            <v>YZ-HM5263-R0-M</v>
          </cell>
          <cell r="B7041" t="str">
            <v>YZ-HM5263</v>
          </cell>
        </row>
        <row r="7042">
          <cell r="A7042" t="str">
            <v>YZ-HM5263-R0-S</v>
          </cell>
          <cell r="B7042" t="str">
            <v>YZ-HM5263</v>
          </cell>
        </row>
        <row r="7043">
          <cell r="A7043" t="str">
            <v>YZ-HM5263-W0-L</v>
          </cell>
          <cell r="B7043" t="str">
            <v>YZ-HM5263</v>
          </cell>
        </row>
        <row r="7044">
          <cell r="A7044" t="str">
            <v>YZ-HM5263-W0-XL</v>
          </cell>
          <cell r="B7044" t="str">
            <v>YZ-HM5263</v>
          </cell>
        </row>
        <row r="7045">
          <cell r="A7045" t="str">
            <v>YZ-HM6175-B0-L</v>
          </cell>
          <cell r="B7045" t="str">
            <v>YZ-HM6175</v>
          </cell>
        </row>
        <row r="7046">
          <cell r="A7046" t="str">
            <v>YZ-HM6175-B0-M</v>
          </cell>
          <cell r="B7046" t="str">
            <v>YZ-HM6175</v>
          </cell>
        </row>
        <row r="7047">
          <cell r="A7047" t="str">
            <v>YZ-HM6175-G0-M</v>
          </cell>
          <cell r="B7047" t="str">
            <v>YZ-HM6175</v>
          </cell>
        </row>
        <row r="7048">
          <cell r="A7048" t="str">
            <v>YZ-HM6175-K0-L</v>
          </cell>
          <cell r="B7048" t="str">
            <v>YZ-HM6175</v>
          </cell>
        </row>
        <row r="7049">
          <cell r="A7049" t="str">
            <v>YZ-HM6175-K0-M</v>
          </cell>
          <cell r="B7049" t="str">
            <v>YZ-HM6175</v>
          </cell>
        </row>
        <row r="7050">
          <cell r="A7050" t="str">
            <v>YZ-HM6175-R0-M</v>
          </cell>
          <cell r="B7050" t="str">
            <v>YZ-HM6175</v>
          </cell>
        </row>
        <row r="7051">
          <cell r="A7051" t="str">
            <v>YZ-HM6175-R0-XL</v>
          </cell>
          <cell r="B7051" t="str">
            <v>YZ-HM6175</v>
          </cell>
        </row>
        <row r="7052">
          <cell r="A7052" t="str">
            <v>YZ-HM635-FB-4XL</v>
          </cell>
          <cell r="B7052" t="str">
            <v>YZ-HM635</v>
          </cell>
        </row>
        <row r="7053">
          <cell r="A7053" t="str">
            <v>YZ-HM635-LB-L</v>
          </cell>
          <cell r="B7053" t="str">
            <v>YZ-HM635</v>
          </cell>
        </row>
        <row r="7054">
          <cell r="A7054" t="str">
            <v>YZ-HM635-R0-2XL</v>
          </cell>
          <cell r="B7054" t="str">
            <v>YZ-HM635</v>
          </cell>
        </row>
        <row r="7055">
          <cell r="A7055" t="str">
            <v>YZ-HM635-R0-L</v>
          </cell>
          <cell r="B7055" t="str">
            <v>YZ-HM635</v>
          </cell>
        </row>
        <row r="7056">
          <cell r="A7056" t="str">
            <v>YZ-HM635-R2-XL</v>
          </cell>
          <cell r="B7056" t="str">
            <v>YZ-HM635</v>
          </cell>
        </row>
        <row r="7057">
          <cell r="A7057" t="str">
            <v>YZ-HM635-Y0-L</v>
          </cell>
          <cell r="B7057" t="str">
            <v>YZ-HM635</v>
          </cell>
        </row>
        <row r="7058">
          <cell r="A7058" t="str">
            <v>YZ-HM688-K0-L</v>
          </cell>
          <cell r="B7058" t="str">
            <v>YZ-HM688</v>
          </cell>
        </row>
        <row r="7059">
          <cell r="A7059" t="str">
            <v>YZ-HM688-K0-XL</v>
          </cell>
          <cell r="B7059" t="str">
            <v>YZ-HM688</v>
          </cell>
        </row>
        <row r="7060">
          <cell r="A7060" t="str">
            <v>YZ-HM7035-DJG0-L</v>
          </cell>
          <cell r="B7060" t="str">
            <v>YZ-HM7035</v>
          </cell>
        </row>
        <row r="7061">
          <cell r="A7061" t="str">
            <v>YZ-HM7035-DJG0-M</v>
          </cell>
          <cell r="B7061" t="str">
            <v>YZ-HM7035</v>
          </cell>
        </row>
        <row r="7062">
          <cell r="A7062" t="str">
            <v>YZ-HM7035-DJG0-S</v>
          </cell>
          <cell r="B7062" t="str">
            <v>YZ-HM7035</v>
          </cell>
        </row>
        <row r="7063">
          <cell r="A7063" t="str">
            <v>YZ-HM7035-DJG0-XL</v>
          </cell>
          <cell r="B7063" t="str">
            <v>YZ-HM7035</v>
          </cell>
        </row>
        <row r="7064">
          <cell r="A7064" t="str">
            <v>YZ-HM7035-G0-L</v>
          </cell>
          <cell r="B7064" t="str">
            <v>YZ-HM7035</v>
          </cell>
        </row>
        <row r="7065">
          <cell r="A7065" t="str">
            <v>YZ-HM7035-G0-M</v>
          </cell>
          <cell r="B7065" t="str">
            <v>YZ-HM7035</v>
          </cell>
        </row>
        <row r="7066">
          <cell r="A7066" t="str">
            <v>YZ-HM7035-G0-S</v>
          </cell>
          <cell r="B7066" t="str">
            <v>YZ-HM7035</v>
          </cell>
        </row>
        <row r="7067">
          <cell r="A7067" t="str">
            <v>YZ-HM7035-G0-XL</v>
          </cell>
          <cell r="B7067" t="str">
            <v>YZ-HM7035</v>
          </cell>
        </row>
        <row r="7068">
          <cell r="A7068" t="str">
            <v>YZ-HM7040-ZL-L</v>
          </cell>
          <cell r="B7068" t="str">
            <v>YZ-HM7040</v>
          </cell>
        </row>
        <row r="7069">
          <cell r="A7069" t="str">
            <v>YZ-HM7040-ZL-M</v>
          </cell>
          <cell r="B7069" t="str">
            <v>YZ-HM7040</v>
          </cell>
        </row>
        <row r="7070">
          <cell r="A7070" t="str">
            <v>YZ-HM7040-ZL-S</v>
          </cell>
          <cell r="B7070" t="str">
            <v>YZ-HM7040</v>
          </cell>
        </row>
        <row r="7071">
          <cell r="A7071" t="str">
            <v>YZ-HM7040-ZL-XL</v>
          </cell>
          <cell r="B7071" t="str">
            <v>YZ-HM7040</v>
          </cell>
        </row>
        <row r="7072">
          <cell r="A7072" t="str">
            <v>YZ-HM7889-B0-1X</v>
          </cell>
          <cell r="B7072" t="str">
            <v>YZ-HM7889</v>
          </cell>
        </row>
        <row r="7073">
          <cell r="A7073" t="str">
            <v>YZ-HM7889-B0-2X</v>
          </cell>
          <cell r="B7073" t="str">
            <v>YZ-HM7889</v>
          </cell>
        </row>
        <row r="7074">
          <cell r="A7074" t="str">
            <v>YZ-HM7889-B0-4X</v>
          </cell>
          <cell r="B7074" t="str">
            <v>YZ-HM7889</v>
          </cell>
        </row>
        <row r="7075">
          <cell r="A7075" t="str">
            <v>YZ-HM7889-B0-5X</v>
          </cell>
          <cell r="B7075" t="str">
            <v>YZ-HM7889</v>
          </cell>
        </row>
        <row r="7076">
          <cell r="A7076" t="str">
            <v>YZ-HM7889-R0-1X</v>
          </cell>
          <cell r="B7076" t="str">
            <v>YZ-HM7889</v>
          </cell>
        </row>
        <row r="7077">
          <cell r="A7077" t="str">
            <v>YZ-HM7889-R0-3X</v>
          </cell>
          <cell r="B7077" t="str">
            <v>YZ-HM7889</v>
          </cell>
        </row>
        <row r="7078">
          <cell r="A7078" t="str">
            <v>YZ-HM7889-R0-4X</v>
          </cell>
          <cell r="B7078" t="str">
            <v>YZ-HM7889</v>
          </cell>
        </row>
        <row r="7079">
          <cell r="A7079" t="str">
            <v>YZ-HM7889-R0-5X</v>
          </cell>
          <cell r="B7079" t="str">
            <v>YZ-HM7889</v>
          </cell>
        </row>
        <row r="7080">
          <cell r="A7080" t="str">
            <v>YZ-HMBKN0193-W0-XL</v>
          </cell>
          <cell r="B7080" t="str">
            <v>YZ-HMBKN0193</v>
          </cell>
        </row>
        <row r="7081">
          <cell r="A7081" t="str">
            <v>YZ-HMBKN0193-W0-XXL</v>
          </cell>
          <cell r="B7081" t="str">
            <v>YZ-HMBKN0193</v>
          </cell>
        </row>
        <row r="7082">
          <cell r="A7082" t="str">
            <v>YZ-HMBKN1209</v>
          </cell>
          <cell r="B7082" t="str">
            <v>YZ-HMBKN1209</v>
          </cell>
        </row>
        <row r="7083">
          <cell r="A7083" t="str">
            <v>YZ-HMBKN1209-L</v>
          </cell>
          <cell r="B7083" t="str">
            <v>YZ-HMBKN1209</v>
          </cell>
        </row>
        <row r="7084">
          <cell r="A7084" t="str">
            <v>YZ-HMBKN1209-M</v>
          </cell>
          <cell r="B7084" t="str">
            <v>YZ-HMBKN1209</v>
          </cell>
        </row>
        <row r="7085">
          <cell r="A7085" t="str">
            <v>YZ-HMBKN1209-S</v>
          </cell>
          <cell r="B7085" t="str">
            <v>YZ-HMBKN1209</v>
          </cell>
        </row>
        <row r="7086">
          <cell r="A7086" t="str">
            <v>YZ-HMBKN1209-XL</v>
          </cell>
          <cell r="B7086" t="str">
            <v>YZ-HMBKN1209</v>
          </cell>
        </row>
        <row r="7087">
          <cell r="A7087" t="str">
            <v>YZ-HMBKN1209-XXL</v>
          </cell>
          <cell r="B7087" t="str">
            <v>YZ-HMBKN1209</v>
          </cell>
        </row>
        <row r="7088">
          <cell r="A7088" t="str">
            <v>YZ-HMBKN16024-G0-L</v>
          </cell>
          <cell r="B7088" t="str">
            <v>YZ-HMBKN16024</v>
          </cell>
        </row>
        <row r="7089">
          <cell r="A7089" t="str">
            <v>YZ-HMBKN16024-G0-M</v>
          </cell>
          <cell r="B7089" t="str">
            <v>YZ-HMBKN16024</v>
          </cell>
        </row>
        <row r="7090">
          <cell r="A7090" t="str">
            <v>YZ-HMBKN16024-G0-S</v>
          </cell>
          <cell r="B7090" t="str">
            <v>YZ-HMBKN16024</v>
          </cell>
        </row>
        <row r="7091">
          <cell r="A7091" t="str">
            <v>YZ-HMBKN16024-Y0-L</v>
          </cell>
          <cell r="B7091" t="str">
            <v>YZ-HMBKN16024</v>
          </cell>
        </row>
        <row r="7092">
          <cell r="A7092" t="str">
            <v>YZ-HMBKN16024-Y0-M</v>
          </cell>
          <cell r="B7092" t="str">
            <v>YZ-HMBKN16024</v>
          </cell>
        </row>
        <row r="7093">
          <cell r="A7093" t="str">
            <v>YZ-HMBKN16024-Y0-S</v>
          </cell>
          <cell r="B7093" t="str">
            <v>YZ-HMBKN16024</v>
          </cell>
        </row>
        <row r="7094">
          <cell r="A7094" t="str">
            <v>YZ-HMBKN1645-R0-S</v>
          </cell>
          <cell r="B7094" t="str">
            <v>YZ-HMBKN1645</v>
          </cell>
        </row>
        <row r="7095">
          <cell r="A7095" t="str">
            <v>YZ-HMBKN17015-K0-L</v>
          </cell>
          <cell r="B7095" t="str">
            <v>YZ-HMBKN17015</v>
          </cell>
        </row>
        <row r="7096">
          <cell r="A7096" t="str">
            <v>YZ-HMBKN17015-K0-M</v>
          </cell>
          <cell r="B7096" t="str">
            <v>YZ-HMBKN17015</v>
          </cell>
        </row>
        <row r="7097">
          <cell r="A7097" t="str">
            <v>YZ-HMBKN17015-K0-S</v>
          </cell>
          <cell r="B7097" t="str">
            <v>YZ-HMBKN17015</v>
          </cell>
        </row>
        <row r="7098">
          <cell r="A7098" t="str">
            <v>YZ-HMBKN17015-K0-XL</v>
          </cell>
          <cell r="B7098" t="str">
            <v>YZ-HMBKN17015</v>
          </cell>
        </row>
        <row r="7099">
          <cell r="A7099" t="str">
            <v>YZ-HMBKN17015-OR-L</v>
          </cell>
          <cell r="B7099" t="str">
            <v>YZ-HMBKN17015</v>
          </cell>
        </row>
        <row r="7100">
          <cell r="A7100" t="str">
            <v>YZ-HMBKN17015-OR-M</v>
          </cell>
          <cell r="B7100" t="str">
            <v>YZ-HMBKN17015</v>
          </cell>
        </row>
        <row r="7101">
          <cell r="A7101" t="str">
            <v>YZ-HMBKN17015-OR-S</v>
          </cell>
          <cell r="B7101" t="str">
            <v>YZ-HMBKN17015</v>
          </cell>
        </row>
        <row r="7102">
          <cell r="A7102" t="str">
            <v>YZ-HMBKN17015-OR-XL</v>
          </cell>
          <cell r="B7102" t="str">
            <v>YZ-HMBKN17015</v>
          </cell>
        </row>
        <row r="7103">
          <cell r="A7103" t="str">
            <v>YZ-HMBKN1715-B0-L</v>
          </cell>
          <cell r="B7103" t="str">
            <v>YZ-HMBKN1715</v>
          </cell>
        </row>
        <row r="7104">
          <cell r="A7104" t="str">
            <v>YZ-HMBKN1715-B0-M</v>
          </cell>
          <cell r="B7104" t="str">
            <v>YZ-HMBKN1715</v>
          </cell>
        </row>
        <row r="7105">
          <cell r="A7105" t="str">
            <v>YZ-HMBKN1715-B0-S</v>
          </cell>
          <cell r="B7105" t="str">
            <v>YZ-HMBKN1715</v>
          </cell>
        </row>
        <row r="7106">
          <cell r="A7106" t="str">
            <v>YZ-HMBKN1715-R0-L</v>
          </cell>
          <cell r="B7106" t="str">
            <v>YZ-HMBKN1715</v>
          </cell>
        </row>
        <row r="7107">
          <cell r="A7107" t="str">
            <v>YZ-HMBKN1715-R0-M</v>
          </cell>
          <cell r="B7107" t="str">
            <v>YZ-HMBKN1715</v>
          </cell>
        </row>
        <row r="7108">
          <cell r="A7108" t="str">
            <v>YZ-HMBKN1715-R0-S</v>
          </cell>
          <cell r="B7108" t="str">
            <v>YZ-HMBKN1715</v>
          </cell>
        </row>
        <row r="7109">
          <cell r="A7109" t="str">
            <v>YZ-HMBKN2600-K0-M</v>
          </cell>
          <cell r="B7109" t="str">
            <v>YZ-HMBKN2600</v>
          </cell>
        </row>
        <row r="7110">
          <cell r="A7110" t="str">
            <v>YZ-HMBKN30-B0YH-L</v>
          </cell>
          <cell r="B7110" t="str">
            <v>YZ-HMBKN30</v>
          </cell>
        </row>
        <row r="7111">
          <cell r="A7111" t="str">
            <v>YZ-HMBKN30-B0YH-M</v>
          </cell>
          <cell r="B7111" t="str">
            <v>YZ-HMBKN30</v>
          </cell>
        </row>
        <row r="7112">
          <cell r="A7112" t="str">
            <v>YZ-HMBKN30-B0YH-S</v>
          </cell>
          <cell r="B7112" t="str">
            <v>YZ-HMBKN30</v>
          </cell>
        </row>
        <row r="7113">
          <cell r="A7113" t="str">
            <v>YZ-HMBKN30-B0YH-XL</v>
          </cell>
          <cell r="B7113" t="str">
            <v>YZ-HMBKN30</v>
          </cell>
        </row>
        <row r="7114">
          <cell r="A7114" t="str">
            <v>YZ-HMBKN30-K0-L</v>
          </cell>
          <cell r="B7114" t="str">
            <v>YZ-HMBKN30</v>
          </cell>
        </row>
        <row r="7115">
          <cell r="A7115" t="str">
            <v>YZ-HMBKN30-K0-M</v>
          </cell>
          <cell r="B7115" t="str">
            <v>YZ-HMBKN30</v>
          </cell>
        </row>
        <row r="7116">
          <cell r="A7116" t="str">
            <v>YZ-HMBKN30-K0-S</v>
          </cell>
          <cell r="B7116" t="str">
            <v>YZ-HMBKN30</v>
          </cell>
        </row>
        <row r="7117">
          <cell r="A7117" t="str">
            <v>YZ-HMBKN30-K0YH-L</v>
          </cell>
          <cell r="B7117" t="str">
            <v>YZ-HMBKN30</v>
          </cell>
        </row>
        <row r="7118">
          <cell r="A7118" t="str">
            <v>YZ-HMBKN30-K0YH-M</v>
          </cell>
          <cell r="B7118" t="str">
            <v>YZ-HMBKN30</v>
          </cell>
        </row>
        <row r="7119">
          <cell r="A7119" t="str">
            <v>YZ-HMBKN30-K0YH-S</v>
          </cell>
          <cell r="B7119" t="str">
            <v>YZ-HMBKN30</v>
          </cell>
        </row>
        <row r="7120">
          <cell r="A7120" t="str">
            <v>YZ-HMBKN30-K0YH-XL</v>
          </cell>
          <cell r="B7120" t="str">
            <v>YZ-HMBKN30</v>
          </cell>
        </row>
        <row r="7121">
          <cell r="A7121" t="str">
            <v>YZ-HMBKN30-PI-L</v>
          </cell>
          <cell r="B7121" t="str">
            <v>YZ-HMBKN30</v>
          </cell>
        </row>
        <row r="7122">
          <cell r="A7122" t="str">
            <v>YZ-HMBKN30-PI-M</v>
          </cell>
          <cell r="B7122" t="str">
            <v>YZ-HMBKN30</v>
          </cell>
        </row>
        <row r="7123">
          <cell r="A7123" t="str">
            <v>YZ-HMBKN30-PI-S</v>
          </cell>
          <cell r="B7123" t="str">
            <v>YZ-HMBKN30</v>
          </cell>
        </row>
        <row r="7124">
          <cell r="A7124" t="str">
            <v>YZ-HMBKN30-PI-XL</v>
          </cell>
          <cell r="B7124" t="str">
            <v>YZ-HMBKN30</v>
          </cell>
        </row>
        <row r="7125">
          <cell r="A7125" t="str">
            <v>YZ-HMBKN30-WR-L</v>
          </cell>
          <cell r="B7125" t="str">
            <v>YZ-HMBKN30</v>
          </cell>
        </row>
        <row r="7126">
          <cell r="A7126" t="str">
            <v>YZ-HMBKN30-WR-XL</v>
          </cell>
          <cell r="B7126" t="str">
            <v>YZ-HMBKN30</v>
          </cell>
        </row>
        <row r="7127">
          <cell r="A7127" t="str">
            <v>YZ-HMBKN30-ZL-L</v>
          </cell>
          <cell r="B7127" t="str">
            <v>YZ-HMBKN30</v>
          </cell>
        </row>
        <row r="7128">
          <cell r="A7128" t="str">
            <v>YZ-HMBKN30-ZL-M</v>
          </cell>
          <cell r="B7128" t="str">
            <v>YZ-HMBKN30</v>
          </cell>
        </row>
        <row r="7129">
          <cell r="A7129" t="str">
            <v>YZ-HMBKN30-ZL-S</v>
          </cell>
          <cell r="B7129" t="str">
            <v>YZ-HMBKN30</v>
          </cell>
        </row>
        <row r="7130">
          <cell r="A7130" t="str">
            <v>YZ-HMBKN30-ZL-XL</v>
          </cell>
          <cell r="B7130" t="str">
            <v>YZ-HMBKN30</v>
          </cell>
        </row>
        <row r="7131">
          <cell r="A7131" t="str">
            <v>YZ-HMBKN3308-K0-2XL</v>
          </cell>
          <cell r="B7131" t="str">
            <v>YZ-HMBKN3308</v>
          </cell>
        </row>
        <row r="7132">
          <cell r="A7132" t="str">
            <v>YZ-HMBKN3308-K0-3XL</v>
          </cell>
          <cell r="B7132" t="str">
            <v>YZ-HMBKN3308</v>
          </cell>
        </row>
        <row r="7133">
          <cell r="A7133" t="str">
            <v>YZ-HMBKN3308-K0-4XL</v>
          </cell>
          <cell r="B7133" t="str">
            <v>YZ-HMBKN3308</v>
          </cell>
        </row>
        <row r="7134">
          <cell r="A7134" t="str">
            <v>YZ-HMBKN3308-K0-5XL</v>
          </cell>
          <cell r="B7134" t="str">
            <v>YZ-HMBKN3308</v>
          </cell>
        </row>
        <row r="7135">
          <cell r="A7135" t="str">
            <v>YZ-HMBKN3308-K0-6XL</v>
          </cell>
          <cell r="B7135" t="str">
            <v>YZ-HMBKN3308</v>
          </cell>
        </row>
        <row r="7136">
          <cell r="A7136" t="str">
            <v>YZ-HMBKN3308-K0-7XL</v>
          </cell>
          <cell r="B7136" t="str">
            <v>YZ-HMBKN3308</v>
          </cell>
        </row>
        <row r="7137">
          <cell r="A7137" t="str">
            <v>YZ-HMBKN3308-K0-L</v>
          </cell>
          <cell r="B7137" t="str">
            <v>YZ-HMBKN3308</v>
          </cell>
        </row>
        <row r="7138">
          <cell r="A7138" t="str">
            <v>YZ-HMBKN3308-K0-XL</v>
          </cell>
          <cell r="B7138" t="str">
            <v>YZ-HMBKN3308</v>
          </cell>
        </row>
        <row r="7139">
          <cell r="A7139" t="str">
            <v>YZ-HMBKN7017-Pi-L</v>
          </cell>
          <cell r="B7139" t="str">
            <v>YZ-HMBKN7017</v>
          </cell>
        </row>
        <row r="7140">
          <cell r="A7140" t="str">
            <v>YZ-HMBKN7017-Pi-M</v>
          </cell>
          <cell r="B7140" t="str">
            <v>YZ-HMBKN7017</v>
          </cell>
        </row>
        <row r="7141">
          <cell r="A7141" t="str">
            <v>YZ-HMBKN967-B0-L</v>
          </cell>
          <cell r="B7141" t="str">
            <v>YZ-HMBKN967</v>
          </cell>
        </row>
        <row r="7142">
          <cell r="A7142" t="str">
            <v>YZ-HMBKN967-B0-M</v>
          </cell>
          <cell r="B7142" t="str">
            <v>YZ-HMBKN967</v>
          </cell>
        </row>
        <row r="7143">
          <cell r="A7143" t="str">
            <v>YZ-HMBKN967-B0-S</v>
          </cell>
          <cell r="B7143" t="str">
            <v>YZ-HMBKN967</v>
          </cell>
        </row>
        <row r="7144">
          <cell r="A7144" t="str">
            <v>YZ-HMBKN967-K0-L</v>
          </cell>
          <cell r="B7144" t="str">
            <v>YZ-HMBKN967</v>
          </cell>
        </row>
        <row r="7145">
          <cell r="A7145" t="str">
            <v>YZ-HMBKN967-K0-M</v>
          </cell>
          <cell r="B7145" t="str">
            <v>YZ-HMBKN967</v>
          </cell>
        </row>
        <row r="7146">
          <cell r="A7146" t="str">
            <v>YZ-HMBKN967-K0-S</v>
          </cell>
          <cell r="B7146" t="str">
            <v>YZ-HMBKN967</v>
          </cell>
        </row>
        <row r="7147">
          <cell r="A7147" t="str">
            <v>YZ-HMBKN967-R0-L</v>
          </cell>
          <cell r="B7147" t="str">
            <v>YZ-HMBKN967</v>
          </cell>
        </row>
        <row r="7148">
          <cell r="A7148" t="str">
            <v>YZ-HMBKN967-R0-M</v>
          </cell>
          <cell r="B7148" t="str">
            <v>YZ-HMBKN967</v>
          </cell>
        </row>
        <row r="7149">
          <cell r="A7149" t="str">
            <v>YZ-HMBKN967-R0-S</v>
          </cell>
          <cell r="B7149" t="str">
            <v>YZ-HMBKN967</v>
          </cell>
        </row>
        <row r="7150">
          <cell r="A7150" t="str">
            <v>YZ-HMCX218-R0-L</v>
          </cell>
          <cell r="B7150" t="str">
            <v>YZ-HMCX218</v>
          </cell>
        </row>
        <row r="7151">
          <cell r="A7151" t="str">
            <v>YZ-HMCX218-R0-M</v>
          </cell>
          <cell r="B7151" t="str">
            <v>YZ-HMCX218</v>
          </cell>
        </row>
        <row r="7152">
          <cell r="A7152" t="str">
            <v>YZ-HMCX218-R0-S</v>
          </cell>
          <cell r="B7152" t="str">
            <v>YZ-HMCX218</v>
          </cell>
        </row>
        <row r="7153">
          <cell r="A7153" t="str">
            <v>YZ-HMCX218-R0-XL</v>
          </cell>
          <cell r="B7153" t="str">
            <v>YZ-HMCX218</v>
          </cell>
        </row>
        <row r="7154">
          <cell r="A7154" t="str">
            <v>YZ-HMJ005-B0-2XL</v>
          </cell>
          <cell r="B7154" t="str">
            <v>YZ-HMJ005</v>
          </cell>
        </row>
        <row r="7155">
          <cell r="A7155" t="str">
            <v>YZ-HMJ005-B0-L</v>
          </cell>
          <cell r="B7155" t="str">
            <v>YZ-HMJ005</v>
          </cell>
        </row>
        <row r="7156">
          <cell r="A7156" t="str">
            <v>YZ-HMJ005-B0-M</v>
          </cell>
          <cell r="B7156" t="str">
            <v>YZ-HMJ005</v>
          </cell>
        </row>
        <row r="7157">
          <cell r="A7157" t="str">
            <v>YZ-HMJ005-B0-S</v>
          </cell>
          <cell r="B7157" t="str">
            <v>YZ-HMJ005</v>
          </cell>
        </row>
        <row r="7158">
          <cell r="A7158" t="str">
            <v>YZ-HMJ005-B0-XL</v>
          </cell>
          <cell r="B7158" t="str">
            <v>YZ-HMJ005</v>
          </cell>
        </row>
        <row r="7159">
          <cell r="A7159" t="str">
            <v>YZ-HMJ005-K0-2XL</v>
          </cell>
          <cell r="B7159" t="str">
            <v>YZ-HMJ005</v>
          </cell>
        </row>
        <row r="7160">
          <cell r="A7160" t="str">
            <v>YZ-HMJ005-K0-L</v>
          </cell>
          <cell r="B7160" t="str">
            <v>YZ-HMJ005</v>
          </cell>
        </row>
        <row r="7161">
          <cell r="A7161" t="str">
            <v>YZ-HMJ005-K0-M</v>
          </cell>
          <cell r="B7161" t="str">
            <v>YZ-HMJ005</v>
          </cell>
        </row>
        <row r="7162">
          <cell r="A7162" t="str">
            <v>YZ-HMJ005-K0-S</v>
          </cell>
          <cell r="B7162" t="str">
            <v>YZ-HMJ005</v>
          </cell>
        </row>
        <row r="7163">
          <cell r="A7163" t="str">
            <v>YZ-HMJ005-K0-XL</v>
          </cell>
          <cell r="B7163" t="str">
            <v>YZ-HMJ005</v>
          </cell>
        </row>
        <row r="7164">
          <cell r="A7164" t="str">
            <v>YZ-HMSG001-G0-L</v>
          </cell>
          <cell r="B7164" t="str">
            <v>YZ-HMSG001</v>
          </cell>
        </row>
        <row r="7165">
          <cell r="A7165" t="str">
            <v>YZ-HMSG001-G0-M</v>
          </cell>
          <cell r="B7165" t="str">
            <v>YZ-HMSG001</v>
          </cell>
        </row>
        <row r="7166">
          <cell r="A7166" t="str">
            <v>YZ-HMSG001-K0-S</v>
          </cell>
          <cell r="B7166" t="str">
            <v>YZ-HMSG001</v>
          </cell>
        </row>
        <row r="7167">
          <cell r="A7167" t="str">
            <v>YZ-HMTW001</v>
          </cell>
          <cell r="B7167" t="str">
            <v>YZ-HMTW001</v>
          </cell>
        </row>
        <row r="7168">
          <cell r="A7168" t="str">
            <v>YZ-HMTW001-K0-L</v>
          </cell>
          <cell r="B7168" t="str">
            <v>YZ-HMTW001</v>
          </cell>
        </row>
        <row r="7169">
          <cell r="A7169" t="str">
            <v>YZ-HMTW001-K0-M</v>
          </cell>
          <cell r="B7169" t="str">
            <v>YZ-HMTW001</v>
          </cell>
        </row>
        <row r="7170">
          <cell r="A7170" t="str">
            <v>YZ-HMTW001-K0-S</v>
          </cell>
          <cell r="B7170" t="str">
            <v>YZ-HMTW001</v>
          </cell>
        </row>
        <row r="7171">
          <cell r="A7171" t="str">
            <v>YZ-HMTW001-K0-XL</v>
          </cell>
          <cell r="B7171" t="str">
            <v>YZ-HMTW001</v>
          </cell>
        </row>
        <row r="7172">
          <cell r="A7172" t="str">
            <v>YZ-HMTW001-K0-XS</v>
          </cell>
          <cell r="B7172" t="str">
            <v>YZ-HMTW001</v>
          </cell>
        </row>
        <row r="7173">
          <cell r="A7173" t="str">
            <v>YZ-HMVS-W0-M</v>
          </cell>
          <cell r="B7173" t="str">
            <v>YZ-HMVS</v>
          </cell>
        </row>
        <row r="7174">
          <cell r="A7174" t="str">
            <v>YZ-HMVS-W0-S</v>
          </cell>
          <cell r="B7174" t="str">
            <v>YZ-HMVS</v>
          </cell>
        </row>
        <row r="7175">
          <cell r="A7175" t="str">
            <v>YZ-HN6902BD1L</v>
          </cell>
          <cell r="B7175" t="str">
            <v>YZ-HN6902</v>
          </cell>
        </row>
        <row r="7176">
          <cell r="A7176" t="str">
            <v>YZ-HN6902BD2L</v>
          </cell>
          <cell r="B7176" t="str">
            <v>YZ-HN6902</v>
          </cell>
        </row>
        <row r="7177">
          <cell r="A7177" t="str">
            <v>YZ-HN6902BDL</v>
          </cell>
          <cell r="B7177" t="str">
            <v>YZ-HN6902</v>
          </cell>
        </row>
        <row r="7178">
          <cell r="A7178" t="str">
            <v>YZ-HN6902BDM</v>
          </cell>
          <cell r="B7178" t="str">
            <v>YZ-HN6902</v>
          </cell>
        </row>
        <row r="7179">
          <cell r="A7179" t="str">
            <v>YZ-HN6902FB1L</v>
          </cell>
          <cell r="B7179" t="str">
            <v>YZ-HN6902</v>
          </cell>
        </row>
        <row r="7180">
          <cell r="A7180" t="str">
            <v>YZ-HN6902FB2L</v>
          </cell>
          <cell r="B7180" t="str">
            <v>YZ-HN6902</v>
          </cell>
        </row>
        <row r="7181">
          <cell r="A7181" t="str">
            <v>YZ-HN6902FBL</v>
          </cell>
          <cell r="B7181" t="str">
            <v>YZ-HN6902</v>
          </cell>
        </row>
        <row r="7182">
          <cell r="A7182" t="str">
            <v>YZ-HN6902FBM</v>
          </cell>
          <cell r="B7182" t="str">
            <v>YZ-HN6902</v>
          </cell>
        </row>
        <row r="7183">
          <cell r="A7183" t="str">
            <v>YZ-HN6902G01L</v>
          </cell>
          <cell r="B7183" t="str">
            <v>YZ-HN6902</v>
          </cell>
        </row>
        <row r="7184">
          <cell r="A7184" t="str">
            <v>YZ-HN6902G02L</v>
          </cell>
          <cell r="B7184" t="str">
            <v>YZ-HN6902</v>
          </cell>
        </row>
        <row r="7185">
          <cell r="A7185" t="str">
            <v>YZ-HN6902G0L</v>
          </cell>
          <cell r="B7185" t="str">
            <v>YZ-HN6902</v>
          </cell>
        </row>
        <row r="7186">
          <cell r="A7186" t="str">
            <v>YZ-HN6902G0M</v>
          </cell>
          <cell r="B7186" t="str">
            <v>YZ-HN6902</v>
          </cell>
        </row>
        <row r="7187">
          <cell r="A7187" t="str">
            <v>YZ-HN6902K01L</v>
          </cell>
          <cell r="B7187" t="str">
            <v>YZ-HN6902</v>
          </cell>
        </row>
        <row r="7188">
          <cell r="A7188" t="str">
            <v>YZ-HN6902K02L</v>
          </cell>
          <cell r="B7188" t="str">
            <v>YZ-HN6902</v>
          </cell>
        </row>
        <row r="7189">
          <cell r="A7189" t="str">
            <v>YZ-HN6902K0L</v>
          </cell>
          <cell r="B7189" t="str">
            <v>YZ-HN6902</v>
          </cell>
        </row>
        <row r="7190">
          <cell r="A7190" t="str">
            <v>YZ-HN6902K0M</v>
          </cell>
          <cell r="B7190" t="str">
            <v>YZ-HN6902</v>
          </cell>
        </row>
        <row r="7191">
          <cell r="A7191" t="str">
            <v>YZ-HT1304G01L</v>
          </cell>
          <cell r="B7191" t="str">
            <v>YZ-HT1304</v>
          </cell>
        </row>
        <row r="7192">
          <cell r="A7192" t="str">
            <v>YZ-HT1304G02L</v>
          </cell>
          <cell r="B7192" t="str">
            <v>YZ-HT1304</v>
          </cell>
        </row>
        <row r="7193">
          <cell r="A7193" t="str">
            <v>YZ-HT1304G03L</v>
          </cell>
          <cell r="B7193" t="str">
            <v>YZ-HT1304</v>
          </cell>
        </row>
        <row r="7194">
          <cell r="A7194" t="str">
            <v>YZ-HT1304G04L</v>
          </cell>
          <cell r="B7194" t="str">
            <v>YZ-HT1304</v>
          </cell>
        </row>
        <row r="7195">
          <cell r="A7195" t="str">
            <v>YZ-HT1304G05L</v>
          </cell>
          <cell r="B7195" t="str">
            <v>YZ-HT1304</v>
          </cell>
        </row>
        <row r="7196">
          <cell r="A7196" t="str">
            <v>YZ-HT1304Y01L</v>
          </cell>
          <cell r="B7196" t="str">
            <v>YZ-HT1304</v>
          </cell>
        </row>
        <row r="7197">
          <cell r="A7197" t="str">
            <v>YZ-HT1304Y02L</v>
          </cell>
          <cell r="B7197" t="str">
            <v>YZ-HT1304</v>
          </cell>
        </row>
        <row r="7198">
          <cell r="A7198" t="str">
            <v>YZ-HT1304Y03L</v>
          </cell>
          <cell r="B7198" t="str">
            <v>YZ-HT1304</v>
          </cell>
        </row>
        <row r="7199">
          <cell r="A7199" t="str">
            <v>YZ-HT1304Y04L</v>
          </cell>
          <cell r="B7199" t="str">
            <v>YZ-HT1304</v>
          </cell>
        </row>
        <row r="7200">
          <cell r="A7200" t="str">
            <v>YZ-HT1304Y05L</v>
          </cell>
          <cell r="B7200" t="str">
            <v>YZ-HT1304</v>
          </cell>
        </row>
        <row r="7201">
          <cell r="A7201" t="str">
            <v>YZ-JG2631001L</v>
          </cell>
          <cell r="B7201" t="str">
            <v>YZ-JG2631</v>
          </cell>
        </row>
        <row r="7202">
          <cell r="A7202" t="str">
            <v>YZ-JG2631001L-GM</v>
          </cell>
          <cell r="B7202" t="str">
            <v>YZ-JG2631</v>
          </cell>
        </row>
        <row r="7203">
          <cell r="A7203" t="str">
            <v>YZ-JG2631002L</v>
          </cell>
          <cell r="B7203" t="str">
            <v>YZ-JG2631</v>
          </cell>
        </row>
        <row r="7204">
          <cell r="A7204" t="str">
            <v>YZ-JG2631002L-GM</v>
          </cell>
          <cell r="B7204" t="str">
            <v>YZ-JG2631</v>
          </cell>
        </row>
        <row r="7205">
          <cell r="A7205" t="str">
            <v>YZ-JG2631003L</v>
          </cell>
          <cell r="B7205" t="str">
            <v>YZ-JG2631</v>
          </cell>
        </row>
        <row r="7206">
          <cell r="A7206" t="str">
            <v>YZ-JG263100L</v>
          </cell>
          <cell r="B7206" t="str">
            <v>YZ-JG2631</v>
          </cell>
        </row>
        <row r="7207">
          <cell r="A7207" t="str">
            <v>YZ-JG263100M</v>
          </cell>
          <cell r="B7207" t="str">
            <v>YZ-JG2631</v>
          </cell>
        </row>
        <row r="7208">
          <cell r="A7208" t="str">
            <v>YZ-JG2631HS1L</v>
          </cell>
          <cell r="B7208" t="str">
            <v>YZ-JG2631</v>
          </cell>
        </row>
        <row r="7209">
          <cell r="A7209" t="str">
            <v>YZ-JG2631HSL</v>
          </cell>
          <cell r="B7209" t="str">
            <v>YZ-JG2631</v>
          </cell>
        </row>
        <row r="7210">
          <cell r="A7210" t="str">
            <v>YZ-JG2631HSM</v>
          </cell>
          <cell r="B7210" t="str">
            <v>YZ-JG2631</v>
          </cell>
        </row>
        <row r="7211">
          <cell r="A7211" t="str">
            <v>YZ-JG2631HSM-GM</v>
          </cell>
          <cell r="B7211" t="str">
            <v>YZ-JG2631</v>
          </cell>
        </row>
        <row r="7212">
          <cell r="A7212" t="str">
            <v>YZ-JG2631HSS</v>
          </cell>
          <cell r="B7212" t="str">
            <v>YZ-JG2631</v>
          </cell>
        </row>
        <row r="7213">
          <cell r="A7213" t="str">
            <v>YZ-JG2631HSXS</v>
          </cell>
          <cell r="B7213" t="str">
            <v>YZ-JG2631</v>
          </cell>
        </row>
        <row r="7214">
          <cell r="A7214" t="str">
            <v>YZ-JG2631K01L</v>
          </cell>
          <cell r="B7214" t="str">
            <v>YZ-JG2631</v>
          </cell>
        </row>
        <row r="7215">
          <cell r="A7215" t="str">
            <v>YZ-JG2631K02L</v>
          </cell>
          <cell r="B7215" t="str">
            <v>YZ-JG2631</v>
          </cell>
        </row>
        <row r="7216">
          <cell r="A7216" t="str">
            <v>YZ-JG2631K02L-GM</v>
          </cell>
          <cell r="B7216" t="str">
            <v>YZ-JG2631</v>
          </cell>
        </row>
        <row r="7217">
          <cell r="A7217" t="str">
            <v>YZ-JG2631K03L</v>
          </cell>
          <cell r="B7217" t="str">
            <v>YZ-JG2631</v>
          </cell>
        </row>
        <row r="7218">
          <cell r="A7218" t="str">
            <v>YZ-JG2631K0L</v>
          </cell>
          <cell r="B7218" t="str">
            <v>YZ-JG2631</v>
          </cell>
        </row>
        <row r="7219">
          <cell r="A7219" t="str">
            <v>YZ-JG2631K0M</v>
          </cell>
          <cell r="B7219" t="str">
            <v>YZ-JY8419</v>
          </cell>
        </row>
        <row r="7220">
          <cell r="A7220" t="str">
            <v>YZ-JG2631R01L</v>
          </cell>
          <cell r="B7220" t="str">
            <v>YZ-JY8419</v>
          </cell>
        </row>
        <row r="7221">
          <cell r="A7221" t="str">
            <v>YZ-JG2631R0L</v>
          </cell>
          <cell r="B7221" t="str">
            <v>YZ-JG2631</v>
          </cell>
        </row>
        <row r="7222">
          <cell r="A7222" t="str">
            <v>YZ-JG2631R0M</v>
          </cell>
          <cell r="B7222" t="str">
            <v>YZ-JG2631</v>
          </cell>
        </row>
        <row r="7223">
          <cell r="A7223" t="str">
            <v>YZ-JG2631R0S</v>
          </cell>
          <cell r="B7223" t="str">
            <v>YZ-JG2631</v>
          </cell>
        </row>
        <row r="7224">
          <cell r="A7224" t="str">
            <v>YZ-JG2631R0XS</v>
          </cell>
          <cell r="B7224" t="str">
            <v>YZ-JG2631</v>
          </cell>
        </row>
        <row r="7225">
          <cell r="A7225" t="str">
            <v>YZ-JG2631ZL1L</v>
          </cell>
          <cell r="B7225" t="str">
            <v>YZ-JG2631</v>
          </cell>
        </row>
        <row r="7226">
          <cell r="A7226" t="str">
            <v>YZ-JG2631ZL2L</v>
          </cell>
          <cell r="B7226" t="str">
            <v>YZ-JG2631</v>
          </cell>
        </row>
        <row r="7227">
          <cell r="A7227" t="str">
            <v>YZ-JG2631ZL3L</v>
          </cell>
          <cell r="B7227" t="str">
            <v>YZ-JG2631</v>
          </cell>
        </row>
        <row r="7228">
          <cell r="A7228" t="str">
            <v>YZ-JG2631ZLL</v>
          </cell>
          <cell r="B7228" t="str">
            <v>YZ-JG2631</v>
          </cell>
        </row>
        <row r="7229">
          <cell r="A7229" t="str">
            <v>YZ-JG2631ZLM</v>
          </cell>
          <cell r="B7229" t="str">
            <v>YZ-JG2631</v>
          </cell>
        </row>
        <row r="7230">
          <cell r="A7230" t="str">
            <v>YZ-JY1008-K0-M</v>
          </cell>
          <cell r="B7230" t="str">
            <v>YZ-JY1008</v>
          </cell>
        </row>
        <row r="7231">
          <cell r="A7231" t="str">
            <v>YZ-JY1151-K0-2XL</v>
          </cell>
          <cell r="B7231" t="str">
            <v>YZ-JY1151</v>
          </cell>
        </row>
        <row r="7232">
          <cell r="A7232" t="str">
            <v>YZ-JY1151-K0-L</v>
          </cell>
          <cell r="B7232" t="str">
            <v>YZ-JY1151</v>
          </cell>
        </row>
        <row r="7233">
          <cell r="A7233" t="str">
            <v>YZ-JY1151-K0-M</v>
          </cell>
          <cell r="B7233" t="str">
            <v>YZ-JY1151</v>
          </cell>
        </row>
        <row r="7234">
          <cell r="A7234" t="str">
            <v>YZ-JY1151-K0-XL</v>
          </cell>
          <cell r="B7234" t="str">
            <v>YZ-JY1151</v>
          </cell>
        </row>
        <row r="7235">
          <cell r="A7235" t="str">
            <v>YZ-JY1151-R0-2XL</v>
          </cell>
          <cell r="B7235" t="str">
            <v>YZ-JY1151</v>
          </cell>
        </row>
        <row r="7236">
          <cell r="A7236" t="str">
            <v>YZ-JY1151-R0-L</v>
          </cell>
          <cell r="B7236" t="str">
            <v>YZ-JY1151</v>
          </cell>
        </row>
        <row r="7237">
          <cell r="A7237" t="str">
            <v>YZ-JY1151-R0-M</v>
          </cell>
          <cell r="B7237" t="str">
            <v>YZ-JY1151</v>
          </cell>
        </row>
        <row r="7238">
          <cell r="A7238" t="str">
            <v>YZ-JY1151-R0-XL</v>
          </cell>
          <cell r="B7238" t="str">
            <v>YZ-JY1151</v>
          </cell>
        </row>
        <row r="7239">
          <cell r="A7239" t="str">
            <v>YZ-JY1151-ZL-2XL</v>
          </cell>
          <cell r="B7239" t="str">
            <v>YZ-JY1151</v>
          </cell>
        </row>
        <row r="7240">
          <cell r="A7240" t="str">
            <v>YZ-JY1151-ZL-L</v>
          </cell>
          <cell r="B7240" t="str">
            <v>YZ-JY1151</v>
          </cell>
        </row>
        <row r="7241">
          <cell r="A7241" t="str">
            <v>YZ-JY1151-ZL-M</v>
          </cell>
          <cell r="B7241" t="str">
            <v>YZ-JY1151</v>
          </cell>
        </row>
        <row r="7242">
          <cell r="A7242" t="str">
            <v>YZ-JY1151-ZL-XL</v>
          </cell>
          <cell r="B7242" t="str">
            <v>YZ-JY1151</v>
          </cell>
        </row>
        <row r="7243">
          <cell r="A7243" t="str">
            <v>YZ-JY15963-B0-2XL</v>
          </cell>
          <cell r="B7243" t="str">
            <v>YZ-JY15963</v>
          </cell>
        </row>
        <row r="7244">
          <cell r="A7244" t="str">
            <v>YZ-JY15963-B0-3XL</v>
          </cell>
          <cell r="B7244" t="str">
            <v>YZ-JY15963</v>
          </cell>
        </row>
        <row r="7245">
          <cell r="A7245" t="str">
            <v>YZ-JY15963-B0-L</v>
          </cell>
          <cell r="B7245" t="str">
            <v>YZ-JY15963</v>
          </cell>
        </row>
        <row r="7246">
          <cell r="A7246" t="str">
            <v>YZ-JY15963-B0-S</v>
          </cell>
          <cell r="B7246" t="str">
            <v>YZ-JY15963</v>
          </cell>
        </row>
        <row r="7247">
          <cell r="A7247" t="str">
            <v>YZ-JY1671-GR-1L</v>
          </cell>
          <cell r="B7247" t="str">
            <v>YZ-JY1671</v>
          </cell>
        </row>
        <row r="7248">
          <cell r="A7248" t="str">
            <v>YZ-JY2526-R0-2XL</v>
          </cell>
          <cell r="B7248" t="str">
            <v>YZ-JY2526</v>
          </cell>
        </row>
        <row r="7249">
          <cell r="A7249" t="str">
            <v>YZ-JY2526-R0-3XL</v>
          </cell>
          <cell r="B7249" t="str">
            <v>YZ-JY2526</v>
          </cell>
        </row>
        <row r="7250">
          <cell r="A7250" t="str">
            <v>YZ-JY2526-R0-4XL</v>
          </cell>
          <cell r="B7250" t="str">
            <v>YZ-JY2526</v>
          </cell>
        </row>
        <row r="7251">
          <cell r="A7251" t="str">
            <v>YZ-JY2526-R0-XL</v>
          </cell>
          <cell r="B7251" t="str">
            <v>YZ-JY2526</v>
          </cell>
        </row>
        <row r="7252">
          <cell r="A7252" t="str">
            <v>YZ-JY3233-K0-L</v>
          </cell>
          <cell r="B7252" t="str">
            <v>YZ-JY3233</v>
          </cell>
        </row>
        <row r="7253">
          <cell r="A7253" t="str">
            <v>YZ-JY3233-K0-M</v>
          </cell>
          <cell r="B7253" t="str">
            <v>YZ-JY3233</v>
          </cell>
        </row>
        <row r="7254">
          <cell r="A7254" t="str">
            <v>YZ-JY3233-K0-S</v>
          </cell>
          <cell r="B7254" t="str">
            <v>YZ-JY3233</v>
          </cell>
        </row>
        <row r="7255">
          <cell r="A7255" t="str">
            <v>YZ-JY3233-K0-XL</v>
          </cell>
          <cell r="B7255" t="str">
            <v>YZ-JY3233</v>
          </cell>
        </row>
        <row r="7256">
          <cell r="A7256" t="str">
            <v>YZ-JY3233-K0-XS</v>
          </cell>
          <cell r="B7256" t="str">
            <v>YZ-JY3233</v>
          </cell>
        </row>
        <row r="7257">
          <cell r="A7257" t="str">
            <v>YZ-JY3288-B0-1L</v>
          </cell>
          <cell r="B7257" t="str">
            <v>YZ-JY3288</v>
          </cell>
        </row>
        <row r="7258">
          <cell r="A7258" t="str">
            <v>YZ-JY5694-K0-2XL</v>
          </cell>
          <cell r="B7258" t="str">
            <v>YZ-JY5694</v>
          </cell>
        </row>
        <row r="7259">
          <cell r="A7259" t="str">
            <v>YZ-JY5694-K0-3XL</v>
          </cell>
          <cell r="B7259" t="str">
            <v>YZ-JY5694</v>
          </cell>
        </row>
        <row r="7260">
          <cell r="A7260" t="str">
            <v>YZ-JY5694-K0-4XL</v>
          </cell>
          <cell r="B7260" t="str">
            <v>YZ-JY5694</v>
          </cell>
        </row>
        <row r="7261">
          <cell r="A7261" t="str">
            <v>YZ-JY5694-K0-5XL</v>
          </cell>
          <cell r="B7261" t="str">
            <v>YZ-JY5694</v>
          </cell>
        </row>
        <row r="7262">
          <cell r="A7262" t="str">
            <v>YZ-JY5694-K0-L</v>
          </cell>
          <cell r="B7262" t="str">
            <v>YZ-JY5694</v>
          </cell>
        </row>
        <row r="7263">
          <cell r="A7263" t="str">
            <v>YZ-JY5694-K0-M</v>
          </cell>
          <cell r="B7263" t="str">
            <v>YZ-JY5694</v>
          </cell>
        </row>
        <row r="7264">
          <cell r="A7264" t="str">
            <v>YZ-JY5694-K0-S</v>
          </cell>
          <cell r="B7264" t="str">
            <v>YZ-JY5694</v>
          </cell>
        </row>
        <row r="7265">
          <cell r="A7265" t="str">
            <v>YZ-JY5694-K0-XL</v>
          </cell>
          <cell r="B7265" t="str">
            <v>YZ-JY5694</v>
          </cell>
        </row>
        <row r="7266">
          <cell r="A7266" t="str">
            <v>YZ-JY7015-K0-L</v>
          </cell>
          <cell r="B7266" t="str">
            <v>YZ-JY7015</v>
          </cell>
        </row>
        <row r="7267">
          <cell r="A7267" t="str">
            <v>YZ-JY7015-K0-M</v>
          </cell>
          <cell r="B7267" t="str">
            <v>YZ-JY7015</v>
          </cell>
        </row>
        <row r="7268">
          <cell r="A7268" t="str">
            <v>YZ-JY7015-R0-L</v>
          </cell>
          <cell r="B7268" t="str">
            <v>YZ-JY7015</v>
          </cell>
        </row>
        <row r="7269">
          <cell r="A7269" t="str">
            <v>YZ-JY7015-R0-XL</v>
          </cell>
          <cell r="B7269" t="str">
            <v>YZ-JY7015</v>
          </cell>
        </row>
        <row r="7270">
          <cell r="A7270" t="str">
            <v>YZ-JY7105-K0-XL</v>
          </cell>
          <cell r="B7270" t="str">
            <v>YZ-JY7015</v>
          </cell>
        </row>
        <row r="7271">
          <cell r="A7271" t="str">
            <v>YZ-JY7755-HL-1L</v>
          </cell>
          <cell r="B7271" t="str">
            <v>YZ-JY7755</v>
          </cell>
        </row>
        <row r="7272">
          <cell r="A7272" t="str">
            <v>YZ-JY7755-HL-2L</v>
          </cell>
          <cell r="B7272" t="str">
            <v>YZ-JY7755</v>
          </cell>
        </row>
        <row r="7273">
          <cell r="A7273" t="str">
            <v>YZ-JY7755-HL-L</v>
          </cell>
          <cell r="B7273" t="str">
            <v>YZ-JY7755</v>
          </cell>
        </row>
        <row r="7274">
          <cell r="A7274" t="str">
            <v>YZ-JY7755-HL-M</v>
          </cell>
          <cell r="B7274" t="str">
            <v>YZ-JY7755</v>
          </cell>
        </row>
        <row r="7275">
          <cell r="A7275" t="str">
            <v>YZ-JY7755-HL-S</v>
          </cell>
          <cell r="B7275" t="str">
            <v>YZ-JY7755</v>
          </cell>
        </row>
        <row r="7276">
          <cell r="A7276" t="str">
            <v>YZ-JY8419-B0-2XL</v>
          </cell>
          <cell r="B7276" t="str">
            <v>YZ-JY8419</v>
          </cell>
        </row>
        <row r="7277">
          <cell r="A7277" t="str">
            <v>YZ-JY8419-ZL-2XL</v>
          </cell>
          <cell r="B7277" t="str">
            <v>YZ-JY8419</v>
          </cell>
        </row>
        <row r="7278">
          <cell r="A7278" t="str">
            <v>YZ-JY888-K0-2XL</v>
          </cell>
          <cell r="B7278" t="str">
            <v>YZ-JY888</v>
          </cell>
        </row>
        <row r="7279">
          <cell r="A7279" t="str">
            <v>YZ-JY888-K0-3XL</v>
          </cell>
          <cell r="B7279" t="str">
            <v>YZ-JY888</v>
          </cell>
        </row>
        <row r="7280">
          <cell r="A7280" t="str">
            <v>YZ-JY888-K0-M</v>
          </cell>
          <cell r="B7280" t="str">
            <v>YZ-JY888</v>
          </cell>
        </row>
        <row r="7281">
          <cell r="A7281" t="str">
            <v>YZ-KL5020FL1L</v>
          </cell>
          <cell r="B7281" t="str">
            <v>YZ-KL5020</v>
          </cell>
        </row>
        <row r="7282">
          <cell r="A7282" t="str">
            <v>YZ-KL5020FL2L</v>
          </cell>
          <cell r="B7282" t="str">
            <v>YZ-KL5020</v>
          </cell>
        </row>
        <row r="7283">
          <cell r="A7283" t="str">
            <v>YZ-KL5020FL3L</v>
          </cell>
          <cell r="B7283" t="str">
            <v>YZ-KL5020</v>
          </cell>
        </row>
        <row r="7284">
          <cell r="A7284" t="str">
            <v>YZ-KL5020FL4L</v>
          </cell>
          <cell r="B7284" t="str">
            <v>YZ-KL5020</v>
          </cell>
        </row>
        <row r="7285">
          <cell r="A7285" t="str">
            <v>YZ-KL5020FL5L</v>
          </cell>
          <cell r="B7285" t="str">
            <v>YZ-KL5020</v>
          </cell>
        </row>
        <row r="7286">
          <cell r="A7286" t="str">
            <v>YZ-KL5020ST1L</v>
          </cell>
          <cell r="B7286" t="str">
            <v>YZ-KL5020</v>
          </cell>
        </row>
        <row r="7287">
          <cell r="A7287" t="str">
            <v>YZ-KL5020ST2L</v>
          </cell>
          <cell r="B7287" t="str">
            <v>YZ-KL5020</v>
          </cell>
        </row>
        <row r="7288">
          <cell r="A7288" t="str">
            <v>YZ-KL5020ST3L</v>
          </cell>
          <cell r="B7288" t="str">
            <v>YZ-KL5020</v>
          </cell>
        </row>
        <row r="7289">
          <cell r="A7289" t="str">
            <v>YZ-KL5020ST4L</v>
          </cell>
          <cell r="B7289" t="str">
            <v>YZ-KL5020</v>
          </cell>
        </row>
        <row r="7290">
          <cell r="A7290" t="str">
            <v>YZ-KL5020ST5L</v>
          </cell>
          <cell r="B7290" t="str">
            <v>YZ-KL5020</v>
          </cell>
        </row>
        <row r="7291">
          <cell r="A7291" t="str">
            <v>YZ-KL5020TW1L</v>
          </cell>
          <cell r="B7291" t="str">
            <v>YZ-KL5020</v>
          </cell>
        </row>
        <row r="7292">
          <cell r="A7292" t="str">
            <v>YZ-KL5020TW2L</v>
          </cell>
          <cell r="B7292" t="str">
            <v>YZ-KL5020</v>
          </cell>
        </row>
        <row r="7293">
          <cell r="A7293" t="str">
            <v>YZ-KL5020TW3L</v>
          </cell>
          <cell r="B7293" t="str">
            <v>YZ-KL5020</v>
          </cell>
        </row>
        <row r="7294">
          <cell r="A7294" t="str">
            <v>YZ-KL5020TW4L</v>
          </cell>
          <cell r="B7294" t="str">
            <v>YZ-KL5020</v>
          </cell>
        </row>
        <row r="7295">
          <cell r="A7295" t="str">
            <v>YZ-KL5020TW5L</v>
          </cell>
          <cell r="B7295" t="str">
            <v>YZ-KL5020</v>
          </cell>
        </row>
        <row r="7296">
          <cell r="A7296" t="str">
            <v>YZ-KL5020YH1L</v>
          </cell>
          <cell r="B7296" t="str">
            <v>YZ-KL5020</v>
          </cell>
        </row>
        <row r="7297">
          <cell r="A7297" t="str">
            <v>YZ-KL5020YH2L</v>
          </cell>
          <cell r="B7297" t="str">
            <v>YZ-KL5020</v>
          </cell>
        </row>
        <row r="7298">
          <cell r="A7298" t="str">
            <v>YZ-KL5020YH3L</v>
          </cell>
          <cell r="B7298" t="str">
            <v>YZ-KL5020</v>
          </cell>
        </row>
        <row r="7299">
          <cell r="A7299" t="str">
            <v>YZ-KL5020YH4L</v>
          </cell>
          <cell r="B7299" t="str">
            <v>YZ-KL5020</v>
          </cell>
        </row>
        <row r="7300">
          <cell r="A7300" t="str">
            <v>YZ-KL5020YH5L</v>
          </cell>
          <cell r="B7300" t="str">
            <v>YZ-KL5020</v>
          </cell>
        </row>
        <row r="7301">
          <cell r="A7301" t="str">
            <v>YZ-LS1068B01L</v>
          </cell>
          <cell r="B7301" t="str">
            <v>YZ-LS1068</v>
          </cell>
        </row>
        <row r="7302">
          <cell r="A7302" t="str">
            <v>YZ-LS1068B0L</v>
          </cell>
          <cell r="B7302" t="str">
            <v>YZ-LS1068</v>
          </cell>
        </row>
        <row r="7303">
          <cell r="A7303" t="str">
            <v>YZ-LS1068B0M</v>
          </cell>
          <cell r="B7303" t="str">
            <v>YZ-LS1068</v>
          </cell>
        </row>
        <row r="7304">
          <cell r="A7304" t="str">
            <v>YZ-LS1068B0S</v>
          </cell>
          <cell r="B7304" t="str">
            <v>YZ-LS1068</v>
          </cell>
        </row>
        <row r="7305">
          <cell r="A7305" t="str">
            <v>YZ-LS1068K01L</v>
          </cell>
          <cell r="B7305" t="str">
            <v>YZ-LS1068</v>
          </cell>
        </row>
        <row r="7306">
          <cell r="A7306" t="str">
            <v>YZ-LS1068K0L</v>
          </cell>
          <cell r="B7306" t="str">
            <v>YZ-LS1068</v>
          </cell>
        </row>
        <row r="7307">
          <cell r="A7307" t="str">
            <v>YZ-LS1068K0M</v>
          </cell>
          <cell r="B7307" t="str">
            <v>YZ-LS1068</v>
          </cell>
        </row>
        <row r="7308">
          <cell r="A7308" t="str">
            <v>YZ-LS1068K0S</v>
          </cell>
          <cell r="B7308" t="str">
            <v>YZ-LS1068</v>
          </cell>
        </row>
        <row r="7309">
          <cell r="A7309" t="str">
            <v>YZ-LS1068W01L</v>
          </cell>
          <cell r="B7309" t="str">
            <v>YZ-LS1068</v>
          </cell>
        </row>
        <row r="7310">
          <cell r="A7310" t="str">
            <v>YZ-LS1068W0L</v>
          </cell>
          <cell r="B7310" t="str">
            <v>YZ-LS1068</v>
          </cell>
        </row>
        <row r="7311">
          <cell r="A7311" t="str">
            <v>YZ-LS1068W0M</v>
          </cell>
          <cell r="B7311" t="str">
            <v>YZ-LS1068</v>
          </cell>
        </row>
        <row r="7312">
          <cell r="A7312" t="str">
            <v>YZ-LS1068W0S</v>
          </cell>
          <cell r="B7312" t="str">
            <v>YZ-LS1068</v>
          </cell>
        </row>
        <row r="7313">
          <cell r="A7313" t="str">
            <v>YZ-LS1068WOL</v>
          </cell>
          <cell r="B7313" t="str">
            <v>YZ-LS1068</v>
          </cell>
        </row>
        <row r="7314">
          <cell r="A7314" t="str">
            <v>YZ-LS1068WOM</v>
          </cell>
          <cell r="B7314" t="str">
            <v>YZ-LS1068</v>
          </cell>
        </row>
        <row r="7315">
          <cell r="A7315" t="str">
            <v>YZ-MC5119-K0BD-2XL</v>
          </cell>
          <cell r="B7315" t="str">
            <v>YZ-MC5119</v>
          </cell>
        </row>
        <row r="7316">
          <cell r="A7316" t="str">
            <v>YZ-MC5119-K0BD-3XL</v>
          </cell>
          <cell r="B7316" t="str">
            <v>YZ-MC5119</v>
          </cell>
        </row>
        <row r="7317">
          <cell r="A7317" t="str">
            <v>YZ-MC5119-K0BD-L</v>
          </cell>
          <cell r="B7317" t="str">
            <v>YZ-MC5119</v>
          </cell>
        </row>
        <row r="7318">
          <cell r="A7318" t="str">
            <v>YZ-MC5119-ZLBD-2XL</v>
          </cell>
          <cell r="B7318" t="str">
            <v>YZ-MC5119</v>
          </cell>
        </row>
        <row r="7319">
          <cell r="A7319" t="str">
            <v>YZ-MC5119-ZLBD-3XL</v>
          </cell>
          <cell r="B7319" t="str">
            <v>YZ-MC5119</v>
          </cell>
        </row>
        <row r="7320">
          <cell r="A7320" t="str">
            <v>YZ-MC5119-ZLBD-L</v>
          </cell>
          <cell r="B7320" t="str">
            <v>YZ-MC5119</v>
          </cell>
        </row>
        <row r="7321">
          <cell r="A7321" t="str">
            <v>YZ-MC5119-ZLBD-M</v>
          </cell>
          <cell r="B7321" t="str">
            <v>YZ-MC5119</v>
          </cell>
        </row>
        <row r="7322">
          <cell r="A7322" t="str">
            <v>YZ-MC5119-ZLBD-XL</v>
          </cell>
          <cell r="B7322" t="str">
            <v>YZ-MC5119</v>
          </cell>
        </row>
        <row r="7323">
          <cell r="A7323" t="str">
            <v>YZ-MC5119ZL-S</v>
          </cell>
          <cell r="B7323" t="str">
            <v>YZ-MC5119</v>
          </cell>
        </row>
        <row r="7324">
          <cell r="A7324" t="str">
            <v>YZ-MC666-B0-S</v>
          </cell>
          <cell r="B7324" t="str">
            <v>YZ-MC666</v>
          </cell>
        </row>
        <row r="7325">
          <cell r="A7325" t="str">
            <v>YZ-MC666-B0-XS</v>
          </cell>
          <cell r="B7325" t="str">
            <v>YZ-MC666</v>
          </cell>
        </row>
        <row r="7326">
          <cell r="A7326" t="str">
            <v>YZ-MC666-HB-M</v>
          </cell>
          <cell r="B7326" t="str">
            <v>YZ-MC666</v>
          </cell>
        </row>
        <row r="7327">
          <cell r="A7327" t="str">
            <v>YZ-MCCL173-K0-M</v>
          </cell>
          <cell r="B7327" t="str">
            <v>YZ-MCCL173</v>
          </cell>
        </row>
        <row r="7328">
          <cell r="A7328" t="str">
            <v>YZ-MCCL173-K0-S</v>
          </cell>
          <cell r="B7328" t="str">
            <v>YZ-MCCL173</v>
          </cell>
        </row>
        <row r="7329">
          <cell r="A7329" t="str">
            <v>YZ-MCCL173-K0-XL</v>
          </cell>
          <cell r="B7329" t="str">
            <v>YZ-MCCL173</v>
          </cell>
        </row>
        <row r="7330">
          <cell r="A7330" t="str">
            <v>YZ-MCCL173-K0-XXL</v>
          </cell>
          <cell r="B7330" t="str">
            <v>YZ-MCCL173</v>
          </cell>
        </row>
        <row r="7331">
          <cell r="A7331" t="str">
            <v>YZ-MCCL173-OR-L</v>
          </cell>
          <cell r="B7331" t="str">
            <v>YZ-MCCL173</v>
          </cell>
        </row>
        <row r="7332">
          <cell r="A7332" t="str">
            <v>YZ-MCCL173-OR-M</v>
          </cell>
          <cell r="B7332" t="str">
            <v>YZ-MCCL173</v>
          </cell>
        </row>
        <row r="7333">
          <cell r="A7333" t="str">
            <v>YZ-MCCL173-OR-S</v>
          </cell>
          <cell r="B7333" t="str">
            <v>YZ-MCCL173</v>
          </cell>
        </row>
        <row r="7334">
          <cell r="A7334" t="str">
            <v>YZ-MCCL173-OR-XL</v>
          </cell>
          <cell r="B7334" t="str">
            <v>YZ-MCCL173</v>
          </cell>
        </row>
        <row r="7335">
          <cell r="A7335" t="str">
            <v>YZ-MCCL173-OR-XXL</v>
          </cell>
          <cell r="B7335" t="str">
            <v>YZ-MCCL173</v>
          </cell>
        </row>
        <row r="7336">
          <cell r="A7336" t="str">
            <v>YZ-MCCL173-P0-M</v>
          </cell>
          <cell r="B7336" t="str">
            <v>YZ-MCCL173</v>
          </cell>
        </row>
        <row r="7337">
          <cell r="A7337" t="str">
            <v>YZ-MCCL173-P0-XL</v>
          </cell>
          <cell r="B7337" t="str">
            <v>YZ-MCCL173</v>
          </cell>
        </row>
        <row r="7338">
          <cell r="A7338" t="str">
            <v>YZ-MCCL173-P0-XXL</v>
          </cell>
          <cell r="B7338" t="str">
            <v>YZ-MCCL173</v>
          </cell>
        </row>
        <row r="7339">
          <cell r="A7339" t="str">
            <v>YZ-MCCL252-R0-2XL</v>
          </cell>
          <cell r="B7339" t="str">
            <v>YZ-MCCL252</v>
          </cell>
        </row>
        <row r="7340">
          <cell r="A7340" t="str">
            <v>YZ-MCCL252-R0-4XL</v>
          </cell>
          <cell r="B7340" t="str">
            <v>YZ-MCCL252</v>
          </cell>
        </row>
        <row r="7341">
          <cell r="A7341" t="str">
            <v>YZ-MCCL252-R0-XL</v>
          </cell>
          <cell r="B7341" t="str">
            <v>YZ-MCCL252</v>
          </cell>
        </row>
        <row r="7342">
          <cell r="A7342" t="str">
            <v>YZ-MCHM111-K0-L</v>
          </cell>
          <cell r="B7342" t="str">
            <v>YZ-MCHM111</v>
          </cell>
        </row>
        <row r="7343">
          <cell r="A7343" t="str">
            <v>YZ-MCHM111-K0-M</v>
          </cell>
          <cell r="B7343" t="str">
            <v>YZ-MCHM111</v>
          </cell>
        </row>
        <row r="7344">
          <cell r="A7344" t="str">
            <v>YZ-MCHM111-K0-S</v>
          </cell>
          <cell r="B7344" t="str">
            <v>YZ-MCHM111</v>
          </cell>
        </row>
        <row r="7345">
          <cell r="A7345" t="str">
            <v>YZ-MCHM111-K0-XL</v>
          </cell>
          <cell r="B7345" t="str">
            <v>YZ-MCHM111</v>
          </cell>
        </row>
        <row r="7346">
          <cell r="A7346" t="str">
            <v>YZ-MCHM17077-B0-M</v>
          </cell>
          <cell r="B7346" t="str">
            <v>YZ-MCHM17077</v>
          </cell>
        </row>
        <row r="7347">
          <cell r="A7347" t="str">
            <v>YZ-MCHM17077-C0-M</v>
          </cell>
          <cell r="B7347" t="str">
            <v>YZ-MCHM17077</v>
          </cell>
        </row>
        <row r="7348">
          <cell r="A7348" t="str">
            <v>YZ-MCHM17077-C0-S</v>
          </cell>
          <cell r="B7348" t="str">
            <v>YZ-MCHM17077</v>
          </cell>
        </row>
        <row r="7349">
          <cell r="A7349" t="str">
            <v>YZ-MCHM17077-K0-S</v>
          </cell>
          <cell r="B7349" t="str">
            <v>YZ-MCHM17077</v>
          </cell>
        </row>
        <row r="7350">
          <cell r="A7350" t="str">
            <v>YZ-MCHM17077-Pi-M</v>
          </cell>
          <cell r="B7350" t="str">
            <v>YZ-MCHM17077</v>
          </cell>
        </row>
        <row r="7351">
          <cell r="A7351" t="str">
            <v>YZ-MCHM170-B0-L</v>
          </cell>
          <cell r="B7351" t="str">
            <v>YZ-MCHM170</v>
          </cell>
        </row>
        <row r="7352">
          <cell r="A7352" t="str">
            <v>YZ-MCHM170-B0-M</v>
          </cell>
          <cell r="B7352" t="str">
            <v>YZ-MCHM170</v>
          </cell>
        </row>
        <row r="7353">
          <cell r="A7353" t="str">
            <v>YZ-MCHM170-B0-S</v>
          </cell>
          <cell r="B7353" t="str">
            <v>YZ-MCHM170</v>
          </cell>
        </row>
        <row r="7354">
          <cell r="A7354" t="str">
            <v>YZ-MCHM170-K0-M</v>
          </cell>
          <cell r="B7354" t="str">
            <v>YZ-MCHM170</v>
          </cell>
        </row>
        <row r="7355">
          <cell r="A7355" t="str">
            <v>YZ-MCHM170-OR-M</v>
          </cell>
          <cell r="B7355" t="str">
            <v>YZ-MCHM170</v>
          </cell>
        </row>
        <row r="7356">
          <cell r="A7356" t="str">
            <v>YZ-MCHM170-OR-S</v>
          </cell>
          <cell r="B7356" t="str">
            <v>YZ-MCHM170</v>
          </cell>
        </row>
        <row r="7357">
          <cell r="A7357" t="str">
            <v>YZ-MCHM170-WI-L</v>
          </cell>
          <cell r="B7357" t="str">
            <v>YZ-MCHM170</v>
          </cell>
        </row>
        <row r="7358">
          <cell r="A7358" t="str">
            <v>YZ-MCHM170-WI-M</v>
          </cell>
          <cell r="B7358" t="str">
            <v>YZ-MCHM170</v>
          </cell>
        </row>
        <row r="7359">
          <cell r="A7359" t="str">
            <v>YZ-MCHM170-WI-S</v>
          </cell>
          <cell r="B7359" t="str">
            <v>YZ-MCHM170</v>
          </cell>
        </row>
        <row r="7360">
          <cell r="A7360" t="str">
            <v>YZ-MCHM170-WI-XL</v>
          </cell>
          <cell r="B7360" t="str">
            <v>YZ-MCHM170</v>
          </cell>
        </row>
        <row r="7361">
          <cell r="A7361" t="str">
            <v>YZ-MCHM172-ZL-L</v>
          </cell>
          <cell r="B7361" t="str">
            <v>YZ-MCHM172</v>
          </cell>
        </row>
        <row r="7362">
          <cell r="A7362" t="str">
            <v>YZ-MCHM172-ZL-M</v>
          </cell>
          <cell r="B7362" t="str">
            <v>YZ-MCHM172</v>
          </cell>
        </row>
        <row r="7363">
          <cell r="A7363" t="str">
            <v>YZ-MCHM172-ZL-S</v>
          </cell>
          <cell r="B7363" t="str">
            <v>YZ-MCHM172</v>
          </cell>
        </row>
        <row r="7364">
          <cell r="A7364" t="str">
            <v>YZ-MCHM172-ZL-XL</v>
          </cell>
          <cell r="B7364" t="str">
            <v>YZ-MCHM172</v>
          </cell>
        </row>
        <row r="7365">
          <cell r="A7365" t="str">
            <v>YZ-MCHM175-Pi-L</v>
          </cell>
          <cell r="B7365" t="str">
            <v>YZ-MCHM175</v>
          </cell>
        </row>
        <row r="7366">
          <cell r="A7366" t="str">
            <v>YZ-MCHM175-Pi-M</v>
          </cell>
          <cell r="B7366" t="str">
            <v>YZ-MCHM175</v>
          </cell>
        </row>
        <row r="7367">
          <cell r="A7367" t="str">
            <v>YZ-MCHM175-Pi-S</v>
          </cell>
          <cell r="B7367" t="str">
            <v>YZ-MCHM175</v>
          </cell>
        </row>
        <row r="7368">
          <cell r="A7368" t="str">
            <v>YZ-MCHM175-Pi-XL</v>
          </cell>
          <cell r="B7368" t="str">
            <v>YZ-MCHM175</v>
          </cell>
        </row>
        <row r="7369">
          <cell r="A7369" t="str">
            <v>YZ-MCHM178-YH-L</v>
          </cell>
          <cell r="B7369" t="str">
            <v>YZ-MCHM178</v>
          </cell>
        </row>
        <row r="7370">
          <cell r="A7370" t="str">
            <v>YZ-MCHM178-YH-XL</v>
          </cell>
          <cell r="B7370" t="str">
            <v>YZ-MCHM178</v>
          </cell>
        </row>
        <row r="7371">
          <cell r="A7371" t="str">
            <v>YZ-MCHM241-DS-2XL</v>
          </cell>
          <cell r="B7371" t="str">
            <v>YZ-MCHM241</v>
          </cell>
        </row>
        <row r="7372">
          <cell r="A7372" t="str">
            <v>YZ-MCHM241-DS-L</v>
          </cell>
          <cell r="B7372" t="str">
            <v>YZ-MCHM241</v>
          </cell>
        </row>
        <row r="7373">
          <cell r="A7373" t="str">
            <v>YZ-MCHM241-DS-XL</v>
          </cell>
          <cell r="B7373" t="str">
            <v>YZ-MCHM241</v>
          </cell>
        </row>
        <row r="7374">
          <cell r="A7374" t="str">
            <v>YZ-MCHM241-G0-2XL</v>
          </cell>
          <cell r="B7374" t="str">
            <v>YZ-MCHM241</v>
          </cell>
        </row>
        <row r="7375">
          <cell r="A7375" t="str">
            <v>YZ-MCHM241-G0-S</v>
          </cell>
          <cell r="B7375" t="str">
            <v>YZ-MCHM241</v>
          </cell>
        </row>
        <row r="7376">
          <cell r="A7376" t="str">
            <v>YZ-MCHM241-G0-XL</v>
          </cell>
          <cell r="B7376" t="str">
            <v>YZ-MCHM241</v>
          </cell>
        </row>
        <row r="7377">
          <cell r="A7377" t="str">
            <v>YZ-MCHM241-K0-2XL</v>
          </cell>
          <cell r="B7377" t="str">
            <v>YZ-MCHM241</v>
          </cell>
        </row>
        <row r="7378">
          <cell r="A7378" t="str">
            <v>YZ-MCHM241-K0-L</v>
          </cell>
          <cell r="B7378" t="str">
            <v>YZ-MCHM241</v>
          </cell>
        </row>
        <row r="7379">
          <cell r="A7379" t="str">
            <v>YZ-MCHM241-K0-M</v>
          </cell>
          <cell r="B7379" t="str">
            <v>YZ-MCHM241</v>
          </cell>
        </row>
        <row r="7380">
          <cell r="A7380" t="str">
            <v>YZ-MCHM241-K0-S</v>
          </cell>
          <cell r="B7380" t="str">
            <v>YZ-MCHM241</v>
          </cell>
        </row>
        <row r="7381">
          <cell r="A7381" t="str">
            <v>YZ-MCHM241-K0-XL</v>
          </cell>
          <cell r="B7381" t="str">
            <v>YZ-MCHM241</v>
          </cell>
        </row>
        <row r="7382">
          <cell r="A7382" t="str">
            <v>YZ-MCYF184-B0-XL</v>
          </cell>
          <cell r="B7382" t="str">
            <v>YZ-MCYF184</v>
          </cell>
        </row>
        <row r="7383">
          <cell r="A7383" t="str">
            <v>YZ-MCZQ159B0L</v>
          </cell>
          <cell r="B7383" t="str">
            <v>YZ-MCZQ159</v>
          </cell>
        </row>
        <row r="7384">
          <cell r="A7384" t="str">
            <v>YZ-MCZQ161-BH-3XL</v>
          </cell>
          <cell r="B7384" t="str">
            <v>YZ-MCZQ161</v>
          </cell>
        </row>
        <row r="7385">
          <cell r="A7385" t="str">
            <v>YZ-MCZQ161-BH-L</v>
          </cell>
          <cell r="B7385" t="str">
            <v>YZ-MCZQ161</v>
          </cell>
        </row>
        <row r="7386">
          <cell r="A7386" t="str">
            <v>YZ-MCZQ161-BH-XL</v>
          </cell>
          <cell r="B7386" t="str">
            <v>YZ-MCZQ161</v>
          </cell>
        </row>
        <row r="7387">
          <cell r="A7387" t="str">
            <v>YZ-MCZQ161-K0-3XL</v>
          </cell>
          <cell r="B7387" t="str">
            <v>YZ-MCZQ161</v>
          </cell>
        </row>
        <row r="7388">
          <cell r="A7388" t="str">
            <v>YZ-MCZQ161-KH-XL</v>
          </cell>
          <cell r="B7388" t="str">
            <v>YZ-MCZQ161</v>
          </cell>
        </row>
        <row r="7389">
          <cell r="A7389" t="str">
            <v>YZ-MCZQ161-R0-XL</v>
          </cell>
          <cell r="B7389" t="str">
            <v>YZ-MCZQ161</v>
          </cell>
        </row>
        <row r="7390">
          <cell r="A7390" t="str">
            <v>YZ-MCZQ161-ZL-2XL</v>
          </cell>
          <cell r="B7390" t="str">
            <v>YZ-MCZQ161</v>
          </cell>
        </row>
        <row r="7391">
          <cell r="A7391" t="str">
            <v>YZ-MCZQ187-K0-2X</v>
          </cell>
          <cell r="B7391" t="str">
            <v>YZ-MCZQ187</v>
          </cell>
        </row>
        <row r="7392">
          <cell r="A7392" t="str">
            <v>YZ-MCZQ187-K0-3X</v>
          </cell>
          <cell r="B7392" t="str">
            <v>YZ-MCZQ187</v>
          </cell>
        </row>
        <row r="7393">
          <cell r="A7393" t="str">
            <v>YZ-MCZQ187-K0-5X</v>
          </cell>
          <cell r="B7393" t="str">
            <v>YZ-MCZQ187</v>
          </cell>
        </row>
        <row r="7394">
          <cell r="A7394" t="str">
            <v>YZ-MCZQ187-K0-L</v>
          </cell>
          <cell r="B7394" t="str">
            <v>YZ-MCZQ187</v>
          </cell>
        </row>
        <row r="7395">
          <cell r="A7395" t="str">
            <v>YZ-MCZQ187-K0-S</v>
          </cell>
          <cell r="B7395" t="str">
            <v>YZ-MCZQ187</v>
          </cell>
        </row>
        <row r="7396">
          <cell r="A7396" t="str">
            <v>YZ-MCZQ187-K0-XL</v>
          </cell>
          <cell r="B7396" t="str">
            <v>YZ-MCZQ187</v>
          </cell>
        </row>
        <row r="7397">
          <cell r="A7397" t="str">
            <v>YZ-MCZQ298BR3XL</v>
          </cell>
          <cell r="B7397" t="str">
            <v>YZ-MCZQ298</v>
          </cell>
        </row>
        <row r="7398">
          <cell r="A7398" t="str">
            <v>YZ-MCZQ298BR4XL</v>
          </cell>
          <cell r="B7398" t="str">
            <v>YZ-MCZQ298</v>
          </cell>
        </row>
        <row r="7399">
          <cell r="A7399" t="str">
            <v>YZ-MCZQ298BR5XL</v>
          </cell>
          <cell r="B7399" t="str">
            <v>YZ-MCZQ298</v>
          </cell>
        </row>
        <row r="7400">
          <cell r="A7400" t="str">
            <v>YZ-MCZQ789K03XL</v>
          </cell>
          <cell r="B7400" t="str">
            <v>YZ-MCZQ298</v>
          </cell>
        </row>
        <row r="7401">
          <cell r="A7401" t="str">
            <v>YZ-MCZQ789K04XL</v>
          </cell>
          <cell r="B7401" t="str">
            <v>YZ-MCZQ298</v>
          </cell>
        </row>
        <row r="7402">
          <cell r="A7402" t="str">
            <v>YZ-MCZQ789K0XL</v>
          </cell>
          <cell r="B7402" t="str">
            <v>YZ-MCZQ298</v>
          </cell>
        </row>
        <row r="7403">
          <cell r="A7403" t="str">
            <v>YZ-MCZQL02-G0-L</v>
          </cell>
          <cell r="B7403" t="str">
            <v>YZ-MCZQL02</v>
          </cell>
        </row>
        <row r="7404">
          <cell r="A7404" t="str">
            <v>YZ-MCZQL02-G0-M</v>
          </cell>
          <cell r="B7404" t="str">
            <v>YZ-MCZQL02</v>
          </cell>
        </row>
        <row r="7405">
          <cell r="A7405" t="str">
            <v>YZ-MCZQL02-G0-S</v>
          </cell>
          <cell r="B7405" t="str">
            <v>YZ-MCZQL02</v>
          </cell>
        </row>
        <row r="7406">
          <cell r="A7406" t="str">
            <v>YZ-MCZQL02-G0-XL</v>
          </cell>
          <cell r="B7406" t="str">
            <v>YZ-MCZQL02</v>
          </cell>
        </row>
        <row r="7407">
          <cell r="A7407" t="str">
            <v>YZ-MU180-B0-L</v>
          </cell>
          <cell r="B7407" t="str">
            <v>YZ-MU180</v>
          </cell>
        </row>
        <row r="7408">
          <cell r="A7408" t="str">
            <v>YZ-MU180-B0-M</v>
          </cell>
          <cell r="B7408" t="str">
            <v>YZ-MU180</v>
          </cell>
        </row>
        <row r="7409">
          <cell r="A7409" t="str">
            <v>YZ-MU180-B0-S</v>
          </cell>
          <cell r="B7409" t="str">
            <v>YZ-MU180</v>
          </cell>
        </row>
        <row r="7410">
          <cell r="A7410" t="str">
            <v>YZ-MU180-B0-XL</v>
          </cell>
          <cell r="B7410" t="str">
            <v>YZ-MU180</v>
          </cell>
        </row>
        <row r="7411">
          <cell r="A7411" t="str">
            <v>YZ-MU180-E0-M</v>
          </cell>
          <cell r="B7411" t="str">
            <v>YZ-MU180</v>
          </cell>
        </row>
        <row r="7412">
          <cell r="A7412" t="str">
            <v>YZ-MU180-E0-S</v>
          </cell>
          <cell r="B7412" t="str">
            <v>YZ-MU180</v>
          </cell>
        </row>
        <row r="7413">
          <cell r="A7413" t="str">
            <v>YZ-MU180-E0-XL</v>
          </cell>
          <cell r="B7413" t="str">
            <v>YZ-MU180</v>
          </cell>
        </row>
        <row r="7414">
          <cell r="A7414" t="str">
            <v>YZ-MU180-K0-2XL</v>
          </cell>
          <cell r="B7414" t="str">
            <v>YZ-MU180</v>
          </cell>
        </row>
        <row r="7415">
          <cell r="A7415" t="str">
            <v>YZ-MU180-K0-L</v>
          </cell>
          <cell r="B7415" t="str">
            <v>YZ-MU180</v>
          </cell>
        </row>
        <row r="7416">
          <cell r="A7416" t="str">
            <v>YZ-MU180-K0-M</v>
          </cell>
          <cell r="B7416" t="str">
            <v>YZ-MU180</v>
          </cell>
        </row>
        <row r="7417">
          <cell r="A7417" t="str">
            <v>YZ-MU180-K0-S</v>
          </cell>
          <cell r="B7417" t="str">
            <v>YZ-MU180</v>
          </cell>
        </row>
        <row r="7418">
          <cell r="A7418" t="str">
            <v>YZ-MU180-K0-XL</v>
          </cell>
          <cell r="B7418" t="str">
            <v>YZ-MU180</v>
          </cell>
        </row>
        <row r="7419">
          <cell r="A7419" t="str">
            <v>YZ-MU180-OR-2XL</v>
          </cell>
          <cell r="B7419" t="str">
            <v>YZ-MU180</v>
          </cell>
        </row>
        <row r="7420">
          <cell r="A7420" t="str">
            <v>YZ-MU180-OR-L</v>
          </cell>
          <cell r="B7420" t="str">
            <v>YZ-MU180</v>
          </cell>
        </row>
        <row r="7421">
          <cell r="A7421" t="str">
            <v>YZ-MU180-OR-M</v>
          </cell>
          <cell r="B7421" t="str">
            <v>YZ-MU180</v>
          </cell>
        </row>
        <row r="7422">
          <cell r="A7422" t="str">
            <v>YZ-MU180-OR-S</v>
          </cell>
          <cell r="B7422" t="str">
            <v>YZ-MU180</v>
          </cell>
        </row>
        <row r="7423">
          <cell r="A7423" t="str">
            <v>YZ-MU180-OR-XL</v>
          </cell>
          <cell r="B7423" t="str">
            <v>YZ-MU180</v>
          </cell>
        </row>
        <row r="7424">
          <cell r="A7424" t="str">
            <v>YZ-MU180-WI-L</v>
          </cell>
          <cell r="B7424" t="str">
            <v>YZ-MU180</v>
          </cell>
        </row>
        <row r="7425">
          <cell r="A7425" t="str">
            <v>YZ-MU180-WI-M</v>
          </cell>
          <cell r="B7425" t="str">
            <v>YZ-MU180</v>
          </cell>
        </row>
        <row r="7426">
          <cell r="A7426" t="str">
            <v>YZ-MU180-WI-S</v>
          </cell>
          <cell r="B7426" t="str">
            <v>YZ-MU180</v>
          </cell>
        </row>
        <row r="7427">
          <cell r="A7427" t="str">
            <v>YZ-MU181-Gr-2XL</v>
          </cell>
          <cell r="B7427" t="str">
            <v>YZ-MU181</v>
          </cell>
        </row>
        <row r="7428">
          <cell r="A7428" t="str">
            <v>YZ-MU181-Gr-L</v>
          </cell>
          <cell r="B7428" t="str">
            <v>YZ-MU181</v>
          </cell>
        </row>
        <row r="7429">
          <cell r="A7429" t="str">
            <v>YZ-MU181-Gr-M</v>
          </cell>
          <cell r="B7429" t="str">
            <v>YZ-MU181</v>
          </cell>
        </row>
        <row r="7430">
          <cell r="A7430" t="str">
            <v>YZ-MU181-Gr-S</v>
          </cell>
          <cell r="B7430" t="str">
            <v>YZ-MU181</v>
          </cell>
        </row>
        <row r="7431">
          <cell r="A7431" t="str">
            <v>YZ-MU181-Gr-XL</v>
          </cell>
          <cell r="B7431" t="str">
            <v>YZ-MU181</v>
          </cell>
        </row>
        <row r="7432">
          <cell r="A7432" t="str">
            <v>YZ-MU181-K0-2XL</v>
          </cell>
          <cell r="B7432" t="str">
            <v>YZ-MU181</v>
          </cell>
        </row>
        <row r="7433">
          <cell r="A7433" t="str">
            <v>YZ-MU181-K0-L</v>
          </cell>
          <cell r="B7433" t="str">
            <v>YZ-MU181</v>
          </cell>
        </row>
        <row r="7434">
          <cell r="A7434" t="str">
            <v>YZ-MU181-K0-M</v>
          </cell>
          <cell r="B7434" t="str">
            <v>YZ-MU181</v>
          </cell>
        </row>
        <row r="7435">
          <cell r="A7435" t="str">
            <v>YZ-MU181-K0-S</v>
          </cell>
          <cell r="B7435" t="str">
            <v>YZ-MU181</v>
          </cell>
        </row>
        <row r="7436">
          <cell r="A7436" t="str">
            <v>YZ-MU181-K0-XL</v>
          </cell>
          <cell r="B7436" t="str">
            <v>YZ-MU181</v>
          </cell>
        </row>
        <row r="7437">
          <cell r="A7437" t="str">
            <v>YZ-MU181-OR-2XL</v>
          </cell>
          <cell r="B7437" t="str">
            <v>YZ-MU181</v>
          </cell>
        </row>
        <row r="7438">
          <cell r="A7438" t="str">
            <v>YZ-MU181-OR-L</v>
          </cell>
          <cell r="B7438" t="str">
            <v>YZ-MU181</v>
          </cell>
        </row>
        <row r="7439">
          <cell r="A7439" t="str">
            <v>YZ-MU181-OR-M</v>
          </cell>
          <cell r="B7439" t="str">
            <v>YZ-MU181</v>
          </cell>
        </row>
        <row r="7440">
          <cell r="A7440" t="str">
            <v>YZ-MU181-OR-S</v>
          </cell>
          <cell r="B7440" t="str">
            <v>YZ-MU181</v>
          </cell>
        </row>
        <row r="7441">
          <cell r="A7441" t="str">
            <v>YZ-MU181-OR-XL</v>
          </cell>
          <cell r="B7441" t="str">
            <v>YZ-MU181</v>
          </cell>
        </row>
        <row r="7442">
          <cell r="A7442" t="str">
            <v>YZ-MU181-R0-L</v>
          </cell>
          <cell r="B7442" t="str">
            <v>YZ-MU181</v>
          </cell>
        </row>
        <row r="7443">
          <cell r="A7443" t="str">
            <v>YZ-MU181-R0-M</v>
          </cell>
          <cell r="B7443" t="str">
            <v>YZ-MU181</v>
          </cell>
        </row>
        <row r="7444">
          <cell r="A7444" t="str">
            <v>YZ-MU181-R0-S</v>
          </cell>
          <cell r="B7444" t="str">
            <v>YZ-MU181</v>
          </cell>
        </row>
        <row r="7445">
          <cell r="A7445" t="str">
            <v>YZ-MU181-R0-XL</v>
          </cell>
          <cell r="B7445" t="str">
            <v>YZ-MU181</v>
          </cell>
        </row>
        <row r="7446">
          <cell r="A7446" t="str">
            <v>YZ-MU181-W0-2XL</v>
          </cell>
          <cell r="B7446" t="str">
            <v>YZ-MU181</v>
          </cell>
        </row>
        <row r="7447">
          <cell r="A7447" t="str">
            <v>YZ-MU181-W0-L</v>
          </cell>
          <cell r="B7447" t="str">
            <v>YZ-MU181</v>
          </cell>
        </row>
        <row r="7448">
          <cell r="A7448" t="str">
            <v>YZ-MU181-W0-M</v>
          </cell>
          <cell r="B7448" t="str">
            <v>YZ-MU181</v>
          </cell>
        </row>
        <row r="7449">
          <cell r="A7449" t="str">
            <v>YZ-MU181-W0-S</v>
          </cell>
          <cell r="B7449" t="str">
            <v>YZ-MU181</v>
          </cell>
        </row>
        <row r="7450">
          <cell r="A7450" t="str">
            <v>YZ-MU181-W0-XL</v>
          </cell>
          <cell r="B7450" t="str">
            <v>YZ-MU181</v>
          </cell>
        </row>
        <row r="7451">
          <cell r="A7451" t="str">
            <v>YZ-MU30CH-K0-L</v>
          </cell>
          <cell r="B7451" t="str">
            <v>YZ-MU30CH</v>
          </cell>
        </row>
        <row r="7452">
          <cell r="A7452" t="str">
            <v>YZ-MU30CH-K0-XS</v>
          </cell>
          <cell r="B7452" t="str">
            <v>YZ-MU30CH</v>
          </cell>
        </row>
        <row r="7453">
          <cell r="A7453" t="str">
            <v>YZ-MU511-K0BD-2XL</v>
          </cell>
          <cell r="B7453" t="str">
            <v>YZ-MU511</v>
          </cell>
        </row>
        <row r="7454">
          <cell r="A7454" t="str">
            <v>YZ-MU511-K0BD-3XL</v>
          </cell>
          <cell r="B7454" t="str">
            <v>YZ-MU511</v>
          </cell>
        </row>
        <row r="7455">
          <cell r="A7455" t="str">
            <v>YZ-MU511-K0BD-L</v>
          </cell>
          <cell r="B7455" t="str">
            <v>YZ-MU511</v>
          </cell>
        </row>
        <row r="7456">
          <cell r="A7456" t="str">
            <v>YZ-MU511-K0BD-M</v>
          </cell>
          <cell r="B7456" t="str">
            <v>YZ-MU511</v>
          </cell>
        </row>
        <row r="7457">
          <cell r="A7457" t="str">
            <v>YZ-MU511-K0BD-XL</v>
          </cell>
          <cell r="B7457" t="str">
            <v>YZ-MU511</v>
          </cell>
        </row>
        <row r="7458">
          <cell r="A7458" t="str">
            <v>YZ-MU511-ZLBD-2XL</v>
          </cell>
          <cell r="B7458" t="str">
            <v>YZ-MU511</v>
          </cell>
        </row>
        <row r="7459">
          <cell r="A7459" t="str">
            <v>YZ-MU511-ZLBD-3XL</v>
          </cell>
          <cell r="B7459" t="str">
            <v>YZ-MU511</v>
          </cell>
        </row>
        <row r="7460">
          <cell r="A7460" t="str">
            <v>YZ-MU511-ZLBD-L</v>
          </cell>
          <cell r="B7460" t="str">
            <v>YZ-MU511</v>
          </cell>
        </row>
        <row r="7461">
          <cell r="A7461" t="str">
            <v>YZ-MU511-ZLBD-M</v>
          </cell>
          <cell r="B7461" t="str">
            <v>YZ-MU511</v>
          </cell>
        </row>
        <row r="7462">
          <cell r="A7462" t="str">
            <v>YZ-MU511-ZLBD-XL</v>
          </cell>
          <cell r="B7462" t="str">
            <v>YZ-MU511</v>
          </cell>
        </row>
        <row r="7463">
          <cell r="A7463" t="str">
            <v>YZ-MU511-ZLSY-2XL</v>
          </cell>
          <cell r="B7463" t="str">
            <v>YZ-MU511</v>
          </cell>
        </row>
        <row r="7464">
          <cell r="A7464" t="str">
            <v>YZ-MU511-ZLSY-3XL</v>
          </cell>
          <cell r="B7464" t="str">
            <v>YZ-MU511</v>
          </cell>
        </row>
        <row r="7465">
          <cell r="A7465" t="str">
            <v>YZ-MU511-ZLSY-L</v>
          </cell>
          <cell r="B7465" t="str">
            <v>YZ-MU511</v>
          </cell>
        </row>
        <row r="7466">
          <cell r="A7466" t="str">
            <v>YZ-MU511-ZLSY-M</v>
          </cell>
          <cell r="B7466" t="str">
            <v>YZ-MU511</v>
          </cell>
        </row>
        <row r="7467">
          <cell r="A7467" t="str">
            <v>YZ-MU511-ZLSY-XL</v>
          </cell>
          <cell r="B7467" t="str">
            <v>YZ-MU511</v>
          </cell>
        </row>
        <row r="7468">
          <cell r="A7468" t="str">
            <v>YZ-MU511-ZLYH-2XL</v>
          </cell>
          <cell r="B7468" t="str">
            <v>YZ-MU511</v>
          </cell>
        </row>
        <row r="7469">
          <cell r="A7469" t="str">
            <v>YZ-MU511-ZLYH-3XL</v>
          </cell>
          <cell r="B7469" t="str">
            <v>YZ-MU511</v>
          </cell>
        </row>
        <row r="7470">
          <cell r="A7470" t="str">
            <v>YZ-MU511-ZLYH-L</v>
          </cell>
          <cell r="B7470" t="str">
            <v>YZ-MU511</v>
          </cell>
        </row>
        <row r="7471">
          <cell r="A7471" t="str">
            <v>YZ-MU511-ZLYH-M</v>
          </cell>
          <cell r="B7471" t="str">
            <v>YZ-MU511</v>
          </cell>
        </row>
        <row r="7472">
          <cell r="A7472" t="str">
            <v>YZ-MU511-ZLYH-XL</v>
          </cell>
          <cell r="B7472" t="str">
            <v>YZ-MU511</v>
          </cell>
        </row>
        <row r="7473">
          <cell r="A7473" t="str">
            <v>YZ-MU727-Pi-XL</v>
          </cell>
          <cell r="B7473" t="str">
            <v>YZ-MU727</v>
          </cell>
        </row>
        <row r="7474">
          <cell r="A7474" t="str">
            <v>YZ-MUBD001-R0-M</v>
          </cell>
          <cell r="B7474" t="str">
            <v>YZ-MUBD001</v>
          </cell>
        </row>
        <row r="7475">
          <cell r="A7475" t="str">
            <v>YZ-MUBD001-R0-S</v>
          </cell>
          <cell r="B7475" t="str">
            <v>YZ-MUBD001</v>
          </cell>
        </row>
        <row r="7476">
          <cell r="A7476" t="str">
            <v>YZ-MUBD001-R0-XS</v>
          </cell>
          <cell r="B7476" t="str">
            <v>YZ-MUBD001</v>
          </cell>
        </row>
        <row r="7477">
          <cell r="A7477" t="str">
            <v>YZ-MUBK187-BD-M</v>
          </cell>
          <cell r="B7477" t="str">
            <v>YZ-MUBK187</v>
          </cell>
        </row>
        <row r="7478">
          <cell r="A7478" t="str">
            <v>YZ-MUBK187-G7-S</v>
          </cell>
          <cell r="B7478" t="str">
            <v>YZ-MUBK187</v>
          </cell>
        </row>
        <row r="7479">
          <cell r="A7479" t="str">
            <v>YZ-MUBK187-K0-L</v>
          </cell>
          <cell r="B7479" t="str">
            <v>YZ-MUBK187</v>
          </cell>
        </row>
        <row r="7480">
          <cell r="A7480" t="str">
            <v>YZ-MUBK187-K0-M</v>
          </cell>
          <cell r="B7480" t="str">
            <v>YZ-MUBK187</v>
          </cell>
        </row>
        <row r="7481">
          <cell r="A7481" t="str">
            <v>YZ-MUBK187-K0-S</v>
          </cell>
          <cell r="B7481" t="str">
            <v>YZ-MUBK187</v>
          </cell>
        </row>
        <row r="7482">
          <cell r="A7482" t="str">
            <v>YZ-MUBK187-OR-L</v>
          </cell>
          <cell r="B7482" t="str">
            <v>YZ-MUBK187</v>
          </cell>
        </row>
        <row r="7483">
          <cell r="A7483" t="str">
            <v>YZ-MUBK187-OR-M</v>
          </cell>
          <cell r="B7483" t="str">
            <v>YZ-MUBK187</v>
          </cell>
        </row>
        <row r="7484">
          <cell r="A7484" t="str">
            <v>YZ-MUC19P-OR-2XL</v>
          </cell>
          <cell r="B7484" t="str">
            <v>YZ-MUC19P</v>
          </cell>
        </row>
        <row r="7485">
          <cell r="A7485" t="str">
            <v>YZ-MUC19P-W0-XL</v>
          </cell>
          <cell r="B7485" t="str">
            <v>YZ-MUC19P</v>
          </cell>
        </row>
        <row r="7486">
          <cell r="A7486" t="str">
            <v>YZ-MUCL17015-B0-L</v>
          </cell>
          <cell r="B7486" t="str">
            <v>YZ-MUCL17015</v>
          </cell>
        </row>
        <row r="7487">
          <cell r="A7487" t="str">
            <v>YZ-MUCL17015-P0-2XL</v>
          </cell>
          <cell r="B7487" t="str">
            <v>YZ-MUCL17015</v>
          </cell>
        </row>
        <row r="7488">
          <cell r="A7488" t="str">
            <v>YZ-MUCL17015-P0-L</v>
          </cell>
          <cell r="B7488" t="str">
            <v>YZ-MUCL17015</v>
          </cell>
        </row>
        <row r="7489">
          <cell r="A7489" t="str">
            <v>YZ-MUCL17015-P0-M</v>
          </cell>
          <cell r="B7489" t="str">
            <v>YZ-MUCL17015</v>
          </cell>
        </row>
        <row r="7490">
          <cell r="A7490" t="str">
            <v>YZ-MUCLC19-K0-L</v>
          </cell>
          <cell r="B7490" t="str">
            <v>YZ-MUCLC19</v>
          </cell>
        </row>
        <row r="7491">
          <cell r="A7491" t="str">
            <v>YZ-MUCLC19-K0-M</v>
          </cell>
          <cell r="B7491" t="str">
            <v>YZ-MUCLC19</v>
          </cell>
        </row>
        <row r="7492">
          <cell r="A7492" t="str">
            <v>YZ-MUCLC19-K0-S</v>
          </cell>
          <cell r="B7492" t="str">
            <v>YZ-MUCLC19</v>
          </cell>
        </row>
        <row r="7493">
          <cell r="A7493" t="str">
            <v>YZ-MUCLC19-K0-XL</v>
          </cell>
          <cell r="B7493" t="str">
            <v>YZ-MUCLC19</v>
          </cell>
        </row>
        <row r="7494">
          <cell r="A7494" t="str">
            <v>YZ-MUCLC19-OR-L</v>
          </cell>
          <cell r="B7494" t="str">
            <v>YZ-MUCLC19</v>
          </cell>
        </row>
        <row r="7495">
          <cell r="A7495" t="str">
            <v>YZ-MUCLC19-OR-M</v>
          </cell>
          <cell r="B7495" t="str">
            <v>YZ-MUCLC19</v>
          </cell>
        </row>
        <row r="7496">
          <cell r="A7496" t="str">
            <v>YZ-MUCLC19-OR-S</v>
          </cell>
          <cell r="B7496" t="str">
            <v>YZ-MUCLC19</v>
          </cell>
        </row>
        <row r="7497">
          <cell r="A7497" t="str">
            <v>YZ-MUCLC19-OR-XL</v>
          </cell>
          <cell r="B7497" t="str">
            <v>YZ-MUCLC19</v>
          </cell>
        </row>
        <row r="7498">
          <cell r="A7498" t="str">
            <v>YZ-MUCLC19-R0-L</v>
          </cell>
          <cell r="B7498" t="str">
            <v>YZ-MUCLC19</v>
          </cell>
        </row>
        <row r="7499">
          <cell r="A7499" t="str">
            <v>YZ-MUCLC19-R0-S</v>
          </cell>
          <cell r="B7499" t="str">
            <v>YZ-MUCLC19</v>
          </cell>
        </row>
        <row r="7500">
          <cell r="A7500" t="str">
            <v>YZ-MUCLC19-R0-XL</v>
          </cell>
          <cell r="B7500" t="str">
            <v>YZ-MUCLC19</v>
          </cell>
        </row>
        <row r="7501">
          <cell r="A7501" t="str">
            <v>YZ-MUCLC19-W0-2XL</v>
          </cell>
          <cell r="B7501" t="str">
            <v>YZ-MUCLC19</v>
          </cell>
        </row>
        <row r="7502">
          <cell r="A7502" t="str">
            <v>YZ-MUCLC19-W0-L</v>
          </cell>
          <cell r="B7502" t="str">
            <v>YZ-MUCLC19</v>
          </cell>
        </row>
        <row r="7503">
          <cell r="A7503" t="str">
            <v>YZ-MUCLC19-W0-M</v>
          </cell>
          <cell r="B7503" t="str">
            <v>YZ-MUCLC19</v>
          </cell>
        </row>
        <row r="7504">
          <cell r="A7504" t="str">
            <v>YZ-MUCLC19-W0-S</v>
          </cell>
          <cell r="B7504" t="str">
            <v>YZ-MUCLC19</v>
          </cell>
        </row>
        <row r="7505">
          <cell r="A7505" t="str">
            <v>YZ-MUCLC19-W0-XL</v>
          </cell>
          <cell r="B7505" t="str">
            <v>YZ-MUCLC19</v>
          </cell>
        </row>
        <row r="7506">
          <cell r="A7506" t="str">
            <v>YZ-MUHM511-ZL-S</v>
          </cell>
          <cell r="B7506" t="str">
            <v>YZ-MUHM511</v>
          </cell>
        </row>
        <row r="7507">
          <cell r="A7507" t="str">
            <v>YZ-MULE001-W0-M</v>
          </cell>
          <cell r="B7507" t="str">
            <v>YZ-MULE001</v>
          </cell>
        </row>
        <row r="7508">
          <cell r="A7508" t="str">
            <v>YZ-MULE001-W0-S</v>
          </cell>
          <cell r="B7508" t="str">
            <v>YZ-MULE001</v>
          </cell>
        </row>
        <row r="7509">
          <cell r="A7509" t="str">
            <v>YZ-MULE001-W0-XS</v>
          </cell>
          <cell r="B7509" t="str">
            <v>YZ-MULE001</v>
          </cell>
        </row>
        <row r="7510">
          <cell r="A7510" t="str">
            <v>YZ-MUSM807-K0-S</v>
          </cell>
          <cell r="B7510" t="str">
            <v>YZ-MUSM807</v>
          </cell>
        </row>
        <row r="7511">
          <cell r="A7511" t="str">
            <v>YZ-MUYF181-B0-L</v>
          </cell>
          <cell r="B7511" t="str">
            <v>YZ-MUYF181</v>
          </cell>
        </row>
        <row r="7512">
          <cell r="A7512" t="str">
            <v>YZ-MUYF181-G0-2XL</v>
          </cell>
          <cell r="B7512" t="str">
            <v>YZ-MUYF181</v>
          </cell>
        </row>
        <row r="7513">
          <cell r="A7513" t="str">
            <v>YZ-MUYF181-G0-L</v>
          </cell>
          <cell r="B7513" t="str">
            <v>YZ-MUYF181</v>
          </cell>
        </row>
        <row r="7514">
          <cell r="A7514" t="str">
            <v>YZ-MUYF181-G0-M</v>
          </cell>
          <cell r="B7514" t="str">
            <v>YZ-MUYF181</v>
          </cell>
        </row>
        <row r="7515">
          <cell r="A7515" t="str">
            <v>YZ-MUYF181-G0-XL</v>
          </cell>
          <cell r="B7515" t="str">
            <v>YZ-MUYF181</v>
          </cell>
        </row>
        <row r="7516">
          <cell r="A7516" t="str">
            <v>YZ-MUYF181-PI-L</v>
          </cell>
          <cell r="B7516" t="str">
            <v>YZ-MUYF181</v>
          </cell>
        </row>
        <row r="7517">
          <cell r="A7517" t="str">
            <v>YZ-MUYF181-PI-S</v>
          </cell>
          <cell r="B7517" t="str">
            <v>YZ-MUYF181</v>
          </cell>
        </row>
        <row r="7518">
          <cell r="A7518" t="str">
            <v>YZ-MUYF181-PI-XL</v>
          </cell>
          <cell r="B7518" t="str">
            <v>YZ-MUYF181</v>
          </cell>
        </row>
        <row r="7519">
          <cell r="A7519" t="str">
            <v>YZ-MUYF182-R0-2XL</v>
          </cell>
          <cell r="B7519" t="str">
            <v>YZ-MUYF182</v>
          </cell>
        </row>
        <row r="7520">
          <cell r="A7520" t="str">
            <v>YZ-MUYF182-R0-M</v>
          </cell>
          <cell r="B7520" t="str">
            <v>YZ-MUYF182</v>
          </cell>
        </row>
        <row r="7521">
          <cell r="A7521" t="str">
            <v>YZ-MUYF183-TW-2XL</v>
          </cell>
          <cell r="B7521" t="str">
            <v>YZ-MUYF183</v>
          </cell>
        </row>
        <row r="7522">
          <cell r="A7522" t="str">
            <v>YZ-MUYF183-TW-L</v>
          </cell>
          <cell r="B7522" t="str">
            <v>YZ-MUYF183</v>
          </cell>
        </row>
        <row r="7523">
          <cell r="A7523" t="str">
            <v>YZ-MUYF183-TW-S</v>
          </cell>
          <cell r="B7523" t="str">
            <v>YZ-MUYF183</v>
          </cell>
        </row>
        <row r="7524">
          <cell r="A7524" t="str">
            <v>YZ-MUYF184-B0-2XL</v>
          </cell>
          <cell r="B7524" t="str">
            <v>YZ-MUYF184</v>
          </cell>
        </row>
        <row r="7525">
          <cell r="A7525" t="str">
            <v>YZ-MUYF184-B0-L</v>
          </cell>
          <cell r="B7525" t="str">
            <v>YZ-MUYF184</v>
          </cell>
        </row>
        <row r="7526">
          <cell r="A7526" t="str">
            <v>YZ-MUYF184-B0-M</v>
          </cell>
          <cell r="B7526" t="str">
            <v>YZ-MUYF184</v>
          </cell>
        </row>
        <row r="7527">
          <cell r="A7527" t="str">
            <v>YZ-MUYF184-B0-S</v>
          </cell>
          <cell r="B7527" t="str">
            <v>YZ-MUYF184</v>
          </cell>
        </row>
        <row r="7528">
          <cell r="A7528" t="str">
            <v>YZ-MUYF184-B0-XL</v>
          </cell>
          <cell r="B7528" t="str">
            <v>YZ-MUYF184</v>
          </cell>
        </row>
        <row r="7529">
          <cell r="A7529" t="str">
            <v>YZ-MY1701</v>
          </cell>
          <cell r="B7529" t="str">
            <v>YZ-MY1701</v>
          </cell>
        </row>
        <row r="7530">
          <cell r="A7530" t="str">
            <v>YZ-MY1701-KO-L</v>
          </cell>
          <cell r="B7530" t="str">
            <v>YZ-MY1701</v>
          </cell>
        </row>
        <row r="7531">
          <cell r="A7531" t="str">
            <v>YZ-MY1701-KO-M</v>
          </cell>
          <cell r="B7531" t="str">
            <v>YZ-MY1701</v>
          </cell>
        </row>
        <row r="7532">
          <cell r="A7532" t="str">
            <v>YZ-MY1701-KO-S</v>
          </cell>
          <cell r="B7532" t="str">
            <v>YZ-MY1701</v>
          </cell>
        </row>
        <row r="7533">
          <cell r="A7533" t="str">
            <v>YZ-MY1701-KO-XL</v>
          </cell>
          <cell r="B7533" t="str">
            <v>YZ-MY1701</v>
          </cell>
        </row>
        <row r="7534">
          <cell r="A7534" t="str">
            <v>YZ-MY1701-KO-XS</v>
          </cell>
          <cell r="B7534" t="str">
            <v>YZ-MY1701</v>
          </cell>
        </row>
        <row r="7535">
          <cell r="A7535" t="str">
            <v>YZ-MY1702</v>
          </cell>
          <cell r="B7535" t="str">
            <v>YZ-MY1702</v>
          </cell>
        </row>
        <row r="7536">
          <cell r="A7536" t="str">
            <v>YZ-MY1702-GO-L</v>
          </cell>
          <cell r="B7536" t="str">
            <v>YZ-MY1702</v>
          </cell>
        </row>
        <row r="7537">
          <cell r="A7537" t="str">
            <v>YZ-MY1702-GO-M</v>
          </cell>
          <cell r="B7537" t="str">
            <v>YZ-MY1702</v>
          </cell>
        </row>
        <row r="7538">
          <cell r="A7538" t="str">
            <v>YZ-MY1702-GO-S</v>
          </cell>
          <cell r="B7538" t="str">
            <v>YZ-MY1702</v>
          </cell>
        </row>
        <row r="7539">
          <cell r="A7539" t="str">
            <v>YZ-MY1702-GO-XL</v>
          </cell>
          <cell r="B7539" t="str">
            <v>YZ-MY1702</v>
          </cell>
        </row>
        <row r="7540">
          <cell r="A7540" t="str">
            <v>YZ-MY1702-GO-XS</v>
          </cell>
          <cell r="B7540" t="str">
            <v>YZ-MY1702</v>
          </cell>
        </row>
        <row r="7541">
          <cell r="A7541" t="str">
            <v>YZ-MY1727</v>
          </cell>
          <cell r="B7541" t="str">
            <v>YZ-MY1727</v>
          </cell>
        </row>
        <row r="7542">
          <cell r="A7542" t="str">
            <v>YZ-MY1727-2XL</v>
          </cell>
          <cell r="B7542" t="str">
            <v>YZ-MY1727</v>
          </cell>
        </row>
        <row r="7543">
          <cell r="A7543" t="str">
            <v>YZ-MY1727-L</v>
          </cell>
          <cell r="B7543" t="str">
            <v>YZ-MY1727</v>
          </cell>
        </row>
        <row r="7544">
          <cell r="A7544" t="str">
            <v>YZ-MY1727-M</v>
          </cell>
          <cell r="B7544" t="str">
            <v>YZ-MY1727</v>
          </cell>
        </row>
        <row r="7545">
          <cell r="A7545" t="str">
            <v>YZ-MY1727-S</v>
          </cell>
          <cell r="B7545" t="str">
            <v>YZ-MY1727</v>
          </cell>
        </row>
        <row r="7546">
          <cell r="A7546" t="str">
            <v>YZ-MY1727-XL</v>
          </cell>
          <cell r="B7546" t="str">
            <v>YZ-MY1727</v>
          </cell>
        </row>
        <row r="7547">
          <cell r="A7547" t="str">
            <v>YZ-MYBKN1703</v>
          </cell>
          <cell r="B7547" t="str">
            <v>YZ-MYBKN1703</v>
          </cell>
        </row>
        <row r="7548">
          <cell r="A7548" t="str">
            <v>YZ-MYBKN1703-R0-L</v>
          </cell>
          <cell r="B7548" t="str">
            <v>YZ-MYBKN1703</v>
          </cell>
        </row>
        <row r="7549">
          <cell r="A7549" t="str">
            <v>YZ-MYBKN1703-R0-M</v>
          </cell>
          <cell r="B7549" t="str">
            <v>YZ-MYBKN1703</v>
          </cell>
        </row>
        <row r="7550">
          <cell r="A7550" t="str">
            <v>YZ-MYBKN1703-R0-S</v>
          </cell>
          <cell r="B7550" t="str">
            <v>YZ-MYBKN1703</v>
          </cell>
        </row>
        <row r="7551">
          <cell r="A7551" t="str">
            <v>YZ-MYBKN1703-R0-XL</v>
          </cell>
          <cell r="B7551" t="str">
            <v>YZ-MYBKN1703</v>
          </cell>
        </row>
        <row r="7552">
          <cell r="A7552" t="str">
            <v>YZ-MYBKN1703-R0-XS</v>
          </cell>
          <cell r="B7552" t="str">
            <v>YZ-MYBKN1703</v>
          </cell>
        </row>
        <row r="7553">
          <cell r="A7553" t="str">
            <v>YZ-MY-JY3233</v>
          </cell>
          <cell r="B7553" t="str">
            <v>YZ-MY-JY3233</v>
          </cell>
        </row>
        <row r="7554">
          <cell r="A7554" t="str">
            <v>YZ-MY-JY3233-K0-L</v>
          </cell>
          <cell r="B7554" t="str">
            <v>YZ-MY-JY3233</v>
          </cell>
        </row>
        <row r="7555">
          <cell r="A7555" t="str">
            <v>YZ-MY-JY3233-K0-M</v>
          </cell>
          <cell r="B7555" t="str">
            <v>YZ-MY-JY3233</v>
          </cell>
        </row>
        <row r="7556">
          <cell r="A7556" t="str">
            <v>YZ-MY-JY3233-K0-S</v>
          </cell>
          <cell r="B7556" t="str">
            <v>YZ-MY-JY3233</v>
          </cell>
        </row>
        <row r="7557">
          <cell r="A7557" t="str">
            <v>YZ-MY-JY3233-K0-XL</v>
          </cell>
          <cell r="B7557" t="str">
            <v>YZ-MY-JY3233</v>
          </cell>
        </row>
        <row r="7558">
          <cell r="A7558" t="str">
            <v>YZ-MY-JY3233-K0-XS</v>
          </cell>
          <cell r="B7558" t="str">
            <v>YZ-MY-JY3233</v>
          </cell>
        </row>
        <row r="7559">
          <cell r="A7559" t="str">
            <v>YZ-MYQQ1706</v>
          </cell>
          <cell r="B7559" t="str">
            <v>YZ-MYQQ1706</v>
          </cell>
        </row>
        <row r="7560">
          <cell r="A7560" t="str">
            <v>YZ-MYQQ1706-K0-2XL</v>
          </cell>
          <cell r="B7560" t="str">
            <v>YZ-MYQQ1706</v>
          </cell>
        </row>
        <row r="7561">
          <cell r="A7561" t="str">
            <v>YZ-MYQQ1706-K0-L</v>
          </cell>
          <cell r="B7561" t="str">
            <v>YZ-MYQQ1706</v>
          </cell>
        </row>
        <row r="7562">
          <cell r="A7562" t="str">
            <v>YZ-MYQQ1706-K0-M</v>
          </cell>
          <cell r="B7562" t="str">
            <v>YZ-MYQQ1706</v>
          </cell>
        </row>
        <row r="7563">
          <cell r="A7563" t="str">
            <v>YZ-MYQQ1706-K0-S</v>
          </cell>
          <cell r="B7563" t="str">
            <v>YZ-MYQQ1706</v>
          </cell>
        </row>
        <row r="7564">
          <cell r="A7564" t="str">
            <v>YZ-MYQQ1706-K0-XL</v>
          </cell>
          <cell r="B7564" t="str">
            <v>YZ-MYQQ1706</v>
          </cell>
        </row>
        <row r="7565">
          <cell r="A7565" t="str">
            <v>YZ-MYQQ1706-K0-XS</v>
          </cell>
          <cell r="B7565" t="str">
            <v>YZ-MYQQ1706</v>
          </cell>
        </row>
        <row r="7566">
          <cell r="A7566" t="str">
            <v>YZ-MYQZ1709</v>
          </cell>
          <cell r="B7566" t="str">
            <v>YZ-MYQZ1709</v>
          </cell>
        </row>
        <row r="7567">
          <cell r="A7567" t="str">
            <v>YZ-MYQZ1709-K0-2XL</v>
          </cell>
          <cell r="B7567" t="str">
            <v>YZ-MYQZ1709</v>
          </cell>
        </row>
        <row r="7568">
          <cell r="A7568" t="str">
            <v>YZ-MYQZ1709-K0-3XL</v>
          </cell>
          <cell r="B7568" t="str">
            <v>YZ-MYQZ1709</v>
          </cell>
        </row>
        <row r="7569">
          <cell r="A7569" t="str">
            <v>YZ-MYQZ1709-K0-L</v>
          </cell>
          <cell r="B7569" t="str">
            <v>YZ-MYQZ1709</v>
          </cell>
        </row>
        <row r="7570">
          <cell r="A7570" t="str">
            <v>YZ-MYQZ1709-K0-M</v>
          </cell>
          <cell r="B7570" t="str">
            <v>YZ-MYQZ1709</v>
          </cell>
        </row>
        <row r="7571">
          <cell r="A7571" t="str">
            <v>YZ-MYQZ1709-K0-S</v>
          </cell>
          <cell r="B7571" t="str">
            <v>YZ-MYQZ1709</v>
          </cell>
        </row>
        <row r="7572">
          <cell r="A7572" t="str">
            <v>YZ-MYQZ1709-K0-XL</v>
          </cell>
          <cell r="B7572" t="str">
            <v>YZ-MYQZ1709</v>
          </cell>
        </row>
        <row r="7573">
          <cell r="A7573" t="str">
            <v>YZ-MYQZ1709-K0-XS</v>
          </cell>
          <cell r="B7573" t="str">
            <v>YZ-MYQZ1709</v>
          </cell>
        </row>
        <row r="7574">
          <cell r="A7574" t="str">
            <v>YZ-MYQZ1709-R0-2XL</v>
          </cell>
          <cell r="B7574" t="str">
            <v>YZ-MYQZ1709</v>
          </cell>
        </row>
        <row r="7575">
          <cell r="A7575" t="str">
            <v>YZ-MYQZ1709-R0-3XL</v>
          </cell>
          <cell r="B7575" t="str">
            <v>YZ-MYQZ1709</v>
          </cell>
        </row>
        <row r="7576">
          <cell r="A7576" t="str">
            <v>YZ-MYQZ1709-R0-L</v>
          </cell>
          <cell r="B7576" t="str">
            <v>YZ-MYQZ1709</v>
          </cell>
        </row>
        <row r="7577">
          <cell r="A7577" t="str">
            <v>YZ-MYQZ1709-R0-M</v>
          </cell>
          <cell r="B7577" t="str">
            <v>YZ-MYQZ1709</v>
          </cell>
        </row>
        <row r="7578">
          <cell r="A7578" t="str">
            <v>YZ-MYQZ1709-R0-S</v>
          </cell>
          <cell r="B7578" t="str">
            <v>YZ-MYQZ1709</v>
          </cell>
        </row>
        <row r="7579">
          <cell r="A7579" t="str">
            <v>YZ-MYQZ1709-R0-XL</v>
          </cell>
          <cell r="B7579" t="str">
            <v>YZ-MYQZ1709</v>
          </cell>
        </row>
        <row r="7580">
          <cell r="A7580" t="str">
            <v>YZ-MYQZ1709-R0-XS</v>
          </cell>
          <cell r="B7580" t="str">
            <v>YZ-MYQZ1709</v>
          </cell>
        </row>
        <row r="7581">
          <cell r="A7581" t="str">
            <v>YZ-MYSJ1708</v>
          </cell>
          <cell r="B7581" t="str">
            <v>YZ-MYSJ1708</v>
          </cell>
        </row>
        <row r="7582">
          <cell r="A7582" t="str">
            <v>YZ-MYSJ1708-K0-2XL</v>
          </cell>
          <cell r="B7582" t="str">
            <v>YZ-MYSJ1708</v>
          </cell>
        </row>
        <row r="7583">
          <cell r="A7583" t="str">
            <v>YZ-MYSJ1708-K0-L</v>
          </cell>
          <cell r="B7583" t="str">
            <v>YZ-MYSJ1708</v>
          </cell>
        </row>
        <row r="7584">
          <cell r="A7584" t="str">
            <v>YZ-MYSJ1708-K0-M</v>
          </cell>
          <cell r="B7584" t="str">
            <v>YZ-MYSJ1708</v>
          </cell>
        </row>
        <row r="7585">
          <cell r="A7585" t="str">
            <v>YZ-MYSJ1708-K0-S</v>
          </cell>
          <cell r="B7585" t="str">
            <v>YZ-MYSJ1708</v>
          </cell>
        </row>
        <row r="7586">
          <cell r="A7586" t="str">
            <v>YZ-MYSJ1708-K0-XL</v>
          </cell>
          <cell r="B7586" t="str">
            <v>YZ-MYSJ1708</v>
          </cell>
        </row>
        <row r="7587">
          <cell r="A7587" t="str">
            <v>YZ-MYSJ1708-K0-XS</v>
          </cell>
          <cell r="B7587" t="str">
            <v>YZ-MYSJ1708</v>
          </cell>
        </row>
        <row r="7588">
          <cell r="A7588" t="str">
            <v>YZ-MYSJ1708-R0-2XL</v>
          </cell>
          <cell r="B7588" t="str">
            <v>YZ-MYSJ1708</v>
          </cell>
        </row>
        <row r="7589">
          <cell r="A7589" t="str">
            <v>YZ-MYSJ1708-R0-L</v>
          </cell>
          <cell r="B7589" t="str">
            <v>YZ-MYSJ1708</v>
          </cell>
        </row>
        <row r="7590">
          <cell r="A7590" t="str">
            <v>YZ-MYSJ1708-R0-M</v>
          </cell>
          <cell r="B7590" t="str">
            <v>YZ-MYSJ1708</v>
          </cell>
        </row>
        <row r="7591">
          <cell r="A7591" t="str">
            <v>YZ-MYSJ1708-R0-S</v>
          </cell>
          <cell r="B7591" t="str">
            <v>YZ-MYSJ1708</v>
          </cell>
        </row>
        <row r="7592">
          <cell r="A7592" t="str">
            <v>YZ-MYSJ1708-R0-XL</v>
          </cell>
          <cell r="B7592" t="str">
            <v>YZ-MYSJ1708</v>
          </cell>
        </row>
        <row r="7593">
          <cell r="A7593" t="str">
            <v>YZ-MYSJ1708-R0-XS</v>
          </cell>
          <cell r="B7593" t="str">
            <v>YZ-MYSJ1708</v>
          </cell>
        </row>
        <row r="7594">
          <cell r="A7594" t="str">
            <v>YZNA11B04XL</v>
          </cell>
          <cell r="B7594" t="str">
            <v>YZNA11</v>
          </cell>
        </row>
        <row r="7595">
          <cell r="A7595" t="str">
            <v>YZNA11B0L</v>
          </cell>
          <cell r="B7595" t="str">
            <v>YZNA11</v>
          </cell>
        </row>
        <row r="7596">
          <cell r="A7596" t="str">
            <v>YZNA11B0M</v>
          </cell>
          <cell r="B7596" t="str">
            <v>YZNA11</v>
          </cell>
        </row>
        <row r="7597">
          <cell r="A7597" t="str">
            <v>YZNA11B0XL</v>
          </cell>
          <cell r="B7597" t="str">
            <v>YZNA11</v>
          </cell>
        </row>
        <row r="7598">
          <cell r="A7598" t="str">
            <v>YZNA11B0XXXL</v>
          </cell>
          <cell r="B7598" t="str">
            <v>YZNA11</v>
          </cell>
        </row>
        <row r="7599">
          <cell r="A7599" t="str">
            <v>YZNA11K04xL</v>
          </cell>
          <cell r="B7599" t="str">
            <v>YZNA11</v>
          </cell>
        </row>
        <row r="7600">
          <cell r="A7600" t="str">
            <v>YZNA11K0L</v>
          </cell>
          <cell r="B7600" t="str">
            <v>YZNA11</v>
          </cell>
        </row>
        <row r="7601">
          <cell r="A7601" t="str">
            <v>YZNA11K0M</v>
          </cell>
          <cell r="B7601" t="str">
            <v>YZNA11</v>
          </cell>
        </row>
        <row r="7602">
          <cell r="A7602" t="str">
            <v>YZNA11K0XL</v>
          </cell>
          <cell r="B7602" t="str">
            <v>YZNA11</v>
          </cell>
        </row>
        <row r="7603">
          <cell r="A7603" t="str">
            <v>YZNA11K0XXXL</v>
          </cell>
          <cell r="B7603" t="str">
            <v>YZNA11</v>
          </cell>
        </row>
        <row r="7604">
          <cell r="A7604" t="str">
            <v>YZ-NA13037EZ1L</v>
          </cell>
          <cell r="B7604" t="str">
            <v>YZ-NA13037</v>
          </cell>
        </row>
        <row r="7605">
          <cell r="A7605" t="str">
            <v>YZ-NA13037EZ2L</v>
          </cell>
          <cell r="B7605" t="str">
            <v>YZ-NA13037</v>
          </cell>
        </row>
        <row r="7606">
          <cell r="A7606" t="str">
            <v>YZ-NA13037EZ3L</v>
          </cell>
          <cell r="B7606" t="str">
            <v>YZ-NA13037</v>
          </cell>
        </row>
        <row r="7607">
          <cell r="A7607" t="str">
            <v>YZ-NA13037EZ4L</v>
          </cell>
          <cell r="B7607" t="str">
            <v>YZ-NA13037</v>
          </cell>
        </row>
        <row r="7608">
          <cell r="A7608" t="str">
            <v>YZ-NA13037EZ5L</v>
          </cell>
          <cell r="B7608" t="str">
            <v>YZ-NA13037</v>
          </cell>
        </row>
        <row r="7609">
          <cell r="A7609" t="str">
            <v>YZ-NA13037EZ6L</v>
          </cell>
          <cell r="B7609" t="str">
            <v>YZ-NA13037</v>
          </cell>
        </row>
        <row r="7610">
          <cell r="A7610" t="str">
            <v>YZ-NA13037EZ7L</v>
          </cell>
          <cell r="B7610" t="str">
            <v>YZ-NA13037</v>
          </cell>
        </row>
        <row r="7611">
          <cell r="A7611" t="str">
            <v>YZ-NA13037EZ8L</v>
          </cell>
          <cell r="B7611" t="str">
            <v>YZ-NA13037</v>
          </cell>
        </row>
        <row r="7612">
          <cell r="A7612" t="str">
            <v>YZ-NA13037EZ9L</v>
          </cell>
          <cell r="B7612" t="str">
            <v>YZ-NA13037</v>
          </cell>
        </row>
        <row r="7613">
          <cell r="A7613" t="str">
            <v>YZ-NA13037Or1L</v>
          </cell>
          <cell r="B7613" t="str">
            <v>YZ-NA13037</v>
          </cell>
        </row>
        <row r="7614">
          <cell r="A7614" t="str">
            <v>YZ-NA13037Or2L</v>
          </cell>
          <cell r="B7614" t="str">
            <v>YZ-NA13037</v>
          </cell>
        </row>
        <row r="7615">
          <cell r="A7615" t="str">
            <v>YZ-NA13037Or3L</v>
          </cell>
          <cell r="B7615" t="str">
            <v>YZ-NA13037</v>
          </cell>
        </row>
        <row r="7616">
          <cell r="A7616" t="str">
            <v>YZ-NA13037Or4L</v>
          </cell>
          <cell r="B7616" t="str">
            <v>YZ-NA13037</v>
          </cell>
        </row>
        <row r="7617">
          <cell r="A7617" t="str">
            <v>YZ-NA13037Or5L</v>
          </cell>
          <cell r="B7617" t="str">
            <v>YZ-NA13037</v>
          </cell>
        </row>
        <row r="7618">
          <cell r="A7618" t="str">
            <v>YZ-NA13037Or6L</v>
          </cell>
          <cell r="B7618" t="str">
            <v>YZ-NA13037</v>
          </cell>
        </row>
        <row r="7619">
          <cell r="A7619" t="str">
            <v>YZ-NA13037Or7L</v>
          </cell>
          <cell r="B7619" t="str">
            <v>YZ-NA13037</v>
          </cell>
        </row>
        <row r="7620">
          <cell r="A7620" t="str">
            <v>YZ-NA13037Or8L</v>
          </cell>
          <cell r="B7620" t="str">
            <v>YZ-NA13037</v>
          </cell>
        </row>
        <row r="7621">
          <cell r="A7621" t="str">
            <v>YZ-NA13037Or9L</v>
          </cell>
          <cell r="B7621" t="str">
            <v>YZ-NA13037</v>
          </cell>
        </row>
        <row r="7622">
          <cell r="A7622" t="str">
            <v>YZ-NA13037Pu1L</v>
          </cell>
          <cell r="B7622" t="str">
            <v>YZ-NA13037</v>
          </cell>
        </row>
        <row r="7623">
          <cell r="A7623" t="str">
            <v>YZ-NA13037Pu2L</v>
          </cell>
          <cell r="B7623" t="str">
            <v>YZ-NA13037</v>
          </cell>
        </row>
        <row r="7624">
          <cell r="A7624" t="str">
            <v>YZ-NA13037Pu3L</v>
          </cell>
          <cell r="B7624" t="str">
            <v>YZ-NA13037</v>
          </cell>
        </row>
        <row r="7625">
          <cell r="A7625" t="str">
            <v>YZ-NA13037Pu4L</v>
          </cell>
          <cell r="B7625" t="str">
            <v>YZ-NA13037</v>
          </cell>
        </row>
        <row r="7626">
          <cell r="A7626" t="str">
            <v>YZ-NA13037Pu5L</v>
          </cell>
          <cell r="B7626" t="str">
            <v>YZ-NA13037</v>
          </cell>
        </row>
        <row r="7627">
          <cell r="A7627" t="str">
            <v>YZ-NA13037Pu6L</v>
          </cell>
          <cell r="B7627" t="str">
            <v>YZ-NA13037</v>
          </cell>
        </row>
        <row r="7628">
          <cell r="A7628" t="str">
            <v>YZ-NA13037Pu7L</v>
          </cell>
          <cell r="B7628" t="str">
            <v>YZ-NA13037</v>
          </cell>
        </row>
        <row r="7629">
          <cell r="A7629" t="str">
            <v>YZ-NA13037Pu8L</v>
          </cell>
          <cell r="B7629" t="str">
            <v>YZ-NA13037</v>
          </cell>
        </row>
        <row r="7630">
          <cell r="A7630" t="str">
            <v>YZ-NA13037Pu9L</v>
          </cell>
          <cell r="B7630" t="str">
            <v>YZ-NA13037</v>
          </cell>
        </row>
        <row r="7631">
          <cell r="A7631" t="str">
            <v>YZ-NA13037Wi1L</v>
          </cell>
          <cell r="B7631" t="str">
            <v>YZ-NA13037</v>
          </cell>
        </row>
        <row r="7632">
          <cell r="A7632" t="str">
            <v>YZ-NA13037Wi2L</v>
          </cell>
          <cell r="B7632" t="str">
            <v>YZ-NA13037</v>
          </cell>
        </row>
        <row r="7633">
          <cell r="A7633" t="str">
            <v>YZ-NA13037Wi3L</v>
          </cell>
          <cell r="B7633" t="str">
            <v>YZ-NA13037</v>
          </cell>
        </row>
        <row r="7634">
          <cell r="A7634" t="str">
            <v>YZ-NA13037Wi4L</v>
          </cell>
          <cell r="B7634" t="str">
            <v>YZ-NA13037</v>
          </cell>
        </row>
        <row r="7635">
          <cell r="A7635" t="str">
            <v>YZ-NA13037Wi5L</v>
          </cell>
          <cell r="B7635" t="str">
            <v>YZ-NA13037</v>
          </cell>
        </row>
        <row r="7636">
          <cell r="A7636" t="str">
            <v>YZ-NA13037Wi6L</v>
          </cell>
          <cell r="B7636" t="str">
            <v>YZ-NA13037</v>
          </cell>
        </row>
        <row r="7637">
          <cell r="A7637" t="str">
            <v>YZ-NA13037Wi7L</v>
          </cell>
          <cell r="B7637" t="str">
            <v>YZ-NA13037</v>
          </cell>
        </row>
        <row r="7638">
          <cell r="A7638" t="str">
            <v>YZ-NA13037Wi8L</v>
          </cell>
          <cell r="B7638" t="str">
            <v>YZ-NA13037</v>
          </cell>
        </row>
        <row r="7639">
          <cell r="A7639" t="str">
            <v>YZ-NA13037Wi9L</v>
          </cell>
          <cell r="B7639" t="str">
            <v>YZ-NA13037</v>
          </cell>
        </row>
        <row r="7640">
          <cell r="A7640" t="str">
            <v>YZ-NA1304G02L</v>
          </cell>
          <cell r="B7640" t="str">
            <v>YZ-NA1304</v>
          </cell>
        </row>
        <row r="7641">
          <cell r="A7641" t="str">
            <v>YZ-NA1304G05L</v>
          </cell>
          <cell r="B7641" t="str">
            <v>YZ-NA1304</v>
          </cell>
        </row>
        <row r="7642">
          <cell r="A7642" t="str">
            <v>YZ-NA1304Y02L</v>
          </cell>
          <cell r="B7642" t="str">
            <v>YZ-NA1304</v>
          </cell>
        </row>
        <row r="7643">
          <cell r="A7643" t="str">
            <v>YZ-NA1304Y05L</v>
          </cell>
          <cell r="B7643" t="str">
            <v>YZ-NA1304</v>
          </cell>
        </row>
        <row r="7644">
          <cell r="A7644" t="str">
            <v>YZ-NA1521-BF-2XL</v>
          </cell>
          <cell r="B7644" t="str">
            <v>YZ-NA1521</v>
          </cell>
        </row>
        <row r="7645">
          <cell r="A7645" t="str">
            <v>YZ-NA1521-BF-3XL</v>
          </cell>
          <cell r="B7645" t="str">
            <v>YZ-NA1521</v>
          </cell>
        </row>
        <row r="7646">
          <cell r="A7646" t="str">
            <v>YZ-NA1521-BF-5XL</v>
          </cell>
          <cell r="B7646" t="str">
            <v>YZ-NA1521</v>
          </cell>
        </row>
        <row r="7647">
          <cell r="A7647" t="str">
            <v>YZ-NA1521-BL-2XL</v>
          </cell>
          <cell r="B7647" t="str">
            <v>YZ-NA1521</v>
          </cell>
        </row>
        <row r="7648">
          <cell r="A7648" t="str">
            <v>YZ-NA1521-BL-4XL</v>
          </cell>
          <cell r="B7648" t="str">
            <v>YZ-NA1521</v>
          </cell>
        </row>
        <row r="7649">
          <cell r="A7649" t="str">
            <v>YZ-NA1521-BL-5XL</v>
          </cell>
          <cell r="B7649" t="str">
            <v>YZ-NA1521</v>
          </cell>
        </row>
        <row r="7650">
          <cell r="A7650" t="str">
            <v>YZ-NA1521-GF-2XL</v>
          </cell>
          <cell r="B7650" t="str">
            <v>YZ-NA1521</v>
          </cell>
        </row>
        <row r="7651">
          <cell r="A7651" t="str">
            <v>YZ-NA1521-GF-3XL</v>
          </cell>
          <cell r="B7651" t="str">
            <v>YZ-NA1521</v>
          </cell>
        </row>
        <row r="7652">
          <cell r="A7652" t="str">
            <v>YZ-NA1521-GF-4XL</v>
          </cell>
          <cell r="B7652" t="str">
            <v>YZ-NA1521</v>
          </cell>
        </row>
        <row r="7653">
          <cell r="A7653" t="str">
            <v>YZ-NA1521-GF-5XL</v>
          </cell>
          <cell r="B7653" t="str">
            <v>YZ-NA1521</v>
          </cell>
        </row>
        <row r="7654">
          <cell r="A7654" t="str">
            <v>YZ-NA1521-GF-XL</v>
          </cell>
          <cell r="B7654" t="str">
            <v>YZ-NA1521</v>
          </cell>
        </row>
        <row r="7655">
          <cell r="A7655" t="str">
            <v>YZ-NA1521-GW-2XL</v>
          </cell>
          <cell r="B7655" t="str">
            <v>YZ-NA1521</v>
          </cell>
        </row>
        <row r="7656">
          <cell r="A7656" t="str">
            <v>YZ-NA1521-GW-3XL</v>
          </cell>
          <cell r="B7656" t="str">
            <v>YZ-NA1521</v>
          </cell>
        </row>
        <row r="7657">
          <cell r="A7657" t="str">
            <v>YZ-NA1521-GW-4XL</v>
          </cell>
          <cell r="B7657" t="str">
            <v>YZ-NA1521</v>
          </cell>
        </row>
        <row r="7658">
          <cell r="A7658" t="str">
            <v>YZ-NA1521-GW-5XL</v>
          </cell>
          <cell r="B7658" t="str">
            <v>YZ-NA1521</v>
          </cell>
        </row>
        <row r="7659">
          <cell r="A7659" t="str">
            <v>YZ-NA1521-KF-4XL</v>
          </cell>
          <cell r="B7659" t="str">
            <v>YZ-NA1521</v>
          </cell>
        </row>
        <row r="7660">
          <cell r="A7660" t="str">
            <v>YZ-NA1521-KF-5XL</v>
          </cell>
          <cell r="B7660" t="str">
            <v>YZ-NA1521</v>
          </cell>
        </row>
        <row r="7661">
          <cell r="A7661" t="str">
            <v>YZ-NA1521-KF-XL</v>
          </cell>
          <cell r="B7661" t="str">
            <v>YZ-NA1521</v>
          </cell>
        </row>
        <row r="7662">
          <cell r="A7662" t="str">
            <v>YZ-NA1521-RF-2XL</v>
          </cell>
          <cell r="B7662" t="str">
            <v>YZ-NA1521</v>
          </cell>
        </row>
        <row r="7663">
          <cell r="A7663" t="str">
            <v>YZ-NA1521-RF-3XL</v>
          </cell>
          <cell r="B7663" t="str">
            <v>YZ-NA1521</v>
          </cell>
        </row>
        <row r="7664">
          <cell r="A7664" t="str">
            <v>YZ-NA1521-RF-4XL</v>
          </cell>
          <cell r="B7664" t="str">
            <v>YZ-NA1521</v>
          </cell>
        </row>
        <row r="7665">
          <cell r="A7665" t="str">
            <v>YZ-NA1521-RF-5XL</v>
          </cell>
          <cell r="B7665" t="str">
            <v>YZ-NA1521</v>
          </cell>
        </row>
        <row r="7666">
          <cell r="A7666" t="str">
            <v>YZ-NA1521-RF-XL</v>
          </cell>
          <cell r="B7666" t="str">
            <v>YZ-NA1521</v>
          </cell>
        </row>
        <row r="7667">
          <cell r="A7667" t="str">
            <v>YZ-NA1521-RL-3XL</v>
          </cell>
          <cell r="B7667" t="str">
            <v>YZ-NA1521</v>
          </cell>
        </row>
        <row r="7668">
          <cell r="A7668" t="str">
            <v>YZ-NA1521-RL-4XL</v>
          </cell>
          <cell r="B7668" t="str">
            <v>YZ-NA1521</v>
          </cell>
        </row>
        <row r="7669">
          <cell r="A7669" t="str">
            <v>YZ-NA1521-RL-5XL</v>
          </cell>
          <cell r="B7669" t="str">
            <v>YZ-NA1521</v>
          </cell>
        </row>
        <row r="7670">
          <cell r="A7670" t="str">
            <v>YZ-NA1521-RM-2XL</v>
          </cell>
          <cell r="B7670" t="str">
            <v>YZ-NA1521</v>
          </cell>
        </row>
        <row r="7671">
          <cell r="A7671" t="str">
            <v>YZ-NA1521-RM-3XL</v>
          </cell>
          <cell r="B7671" t="str">
            <v>YZ-NA1521</v>
          </cell>
        </row>
        <row r="7672">
          <cell r="A7672" t="str">
            <v>YZ-NA1521-RM-4XL</v>
          </cell>
          <cell r="B7672" t="str">
            <v>YZ-NA1521</v>
          </cell>
        </row>
        <row r="7673">
          <cell r="A7673" t="str">
            <v>YZ-NA1521-RM-5XL</v>
          </cell>
          <cell r="B7673" t="str">
            <v>YZ-NA1521</v>
          </cell>
        </row>
        <row r="7674">
          <cell r="A7674" t="str">
            <v>YZ-NA1521-RM-XL</v>
          </cell>
          <cell r="B7674" t="str">
            <v>YZ-NA1521</v>
          </cell>
        </row>
        <row r="7675">
          <cell r="A7675" t="str">
            <v>YZ-NA1521-WP-2XL</v>
          </cell>
          <cell r="B7675" t="str">
            <v>YZ-NA1521</v>
          </cell>
        </row>
        <row r="7676">
          <cell r="A7676" t="str">
            <v>YZ-NA1521-WP-3XL</v>
          </cell>
          <cell r="B7676" t="str">
            <v>YZ-NA1521</v>
          </cell>
        </row>
        <row r="7677">
          <cell r="A7677" t="str">
            <v>YZ-NA1521-WP-4XL</v>
          </cell>
          <cell r="B7677" t="str">
            <v>YZ-NA1521</v>
          </cell>
        </row>
        <row r="7678">
          <cell r="A7678" t="str">
            <v>YZ-NA1521-WP-5XL</v>
          </cell>
          <cell r="B7678" t="str">
            <v>YZ-NA1521</v>
          </cell>
        </row>
        <row r="7679">
          <cell r="A7679" t="str">
            <v>YZ-NA1521-WP-XL</v>
          </cell>
          <cell r="B7679" t="str">
            <v>YZ-NA1521</v>
          </cell>
        </row>
        <row r="7680">
          <cell r="A7680" t="str">
            <v>YZ-NA15827-B0-2X</v>
          </cell>
          <cell r="B7680" t="str">
            <v>YZ-NA15827</v>
          </cell>
        </row>
        <row r="7681">
          <cell r="A7681" t="str">
            <v>YZ-NA15827-B0-4X</v>
          </cell>
          <cell r="B7681" t="str">
            <v>YZ-NA15827</v>
          </cell>
        </row>
        <row r="7682">
          <cell r="A7682" t="str">
            <v>YZ-NA15827-K0-5X</v>
          </cell>
          <cell r="B7682" t="str">
            <v>YZ-NA15827</v>
          </cell>
        </row>
        <row r="7683">
          <cell r="A7683" t="str">
            <v>YZ-NA15827-R0-4X</v>
          </cell>
          <cell r="B7683" t="str">
            <v>YZ-NA15827</v>
          </cell>
        </row>
        <row r="7684">
          <cell r="A7684" t="str">
            <v>YZ-NA15827-R0-5X</v>
          </cell>
          <cell r="B7684" t="str">
            <v>YZ-NA15827</v>
          </cell>
        </row>
        <row r="7685">
          <cell r="A7685" t="str">
            <v>YZ-NA15827-R0-L</v>
          </cell>
          <cell r="B7685" t="str">
            <v>YZ-NA15827</v>
          </cell>
        </row>
        <row r="7686">
          <cell r="A7686" t="str">
            <v>YZ-NA15827-SB-3X</v>
          </cell>
          <cell r="B7686" t="str">
            <v>YZ-NA15827</v>
          </cell>
        </row>
        <row r="7687">
          <cell r="A7687" t="str">
            <v>YZ-NA15827-SB-4X</v>
          </cell>
          <cell r="B7687" t="str">
            <v>YZ-NA15827</v>
          </cell>
        </row>
        <row r="7688">
          <cell r="A7688" t="str">
            <v>YZ-NA15827-SB-5X</v>
          </cell>
          <cell r="B7688" t="str">
            <v>YZ-NA15827</v>
          </cell>
        </row>
        <row r="7689">
          <cell r="A7689" t="str">
            <v>YZ-NA263100-1L</v>
          </cell>
          <cell r="B7689" t="str">
            <v>YZ-NA263100</v>
          </cell>
        </row>
        <row r="7690">
          <cell r="A7690" t="str">
            <v>YZ-NA263100-2L</v>
          </cell>
          <cell r="B7690" t="str">
            <v>YZ-NA263100</v>
          </cell>
        </row>
        <row r="7691">
          <cell r="A7691" t="str">
            <v>YZ-NA263100-3L</v>
          </cell>
          <cell r="B7691" t="str">
            <v>YZ-NA263100</v>
          </cell>
        </row>
        <row r="7692">
          <cell r="A7692" t="str">
            <v>YZ-NA263100L</v>
          </cell>
          <cell r="B7692" t="str">
            <v>YZ-NA263100</v>
          </cell>
        </row>
        <row r="7693">
          <cell r="A7693" t="str">
            <v>YZ-NA263100M</v>
          </cell>
          <cell r="B7693" t="str">
            <v>YZ-NA263100</v>
          </cell>
        </row>
        <row r="7694">
          <cell r="A7694" t="str">
            <v>YZ-NA2631HS1L</v>
          </cell>
          <cell r="B7694" t="str">
            <v>YZ-NA2631</v>
          </cell>
        </row>
        <row r="7695">
          <cell r="A7695" t="str">
            <v>YZ-NA2631HSL</v>
          </cell>
          <cell r="B7695" t="str">
            <v>YZ-NA2631</v>
          </cell>
        </row>
        <row r="7696">
          <cell r="A7696" t="str">
            <v>YZ-NA2631HSM</v>
          </cell>
          <cell r="B7696" t="str">
            <v>YZ-NA2631</v>
          </cell>
        </row>
        <row r="7697">
          <cell r="A7697" t="str">
            <v>YZ-NA2631HSS</v>
          </cell>
          <cell r="B7697" t="str">
            <v>YZ-NA2631</v>
          </cell>
        </row>
        <row r="7698">
          <cell r="A7698" t="str">
            <v>YZ-NA2631HSXS</v>
          </cell>
          <cell r="B7698" t="str">
            <v>YZ-NA2631</v>
          </cell>
        </row>
        <row r="7699">
          <cell r="A7699" t="str">
            <v>YZ-NA2631K01L</v>
          </cell>
          <cell r="B7699" t="str">
            <v>YZ-NA2631</v>
          </cell>
        </row>
        <row r="7700">
          <cell r="A7700" t="str">
            <v>YZ-NA2631K02L</v>
          </cell>
          <cell r="B7700" t="str">
            <v>YZ-NA2631</v>
          </cell>
        </row>
        <row r="7701">
          <cell r="A7701" t="str">
            <v>YZ-NA2631K03L</v>
          </cell>
          <cell r="B7701" t="str">
            <v>YZ-NA2631</v>
          </cell>
        </row>
        <row r="7702">
          <cell r="A7702" t="str">
            <v>YZ-NA2631K0L</v>
          </cell>
          <cell r="B7702" t="str">
            <v>YZ-NA2631</v>
          </cell>
        </row>
        <row r="7703">
          <cell r="A7703" t="str">
            <v>YZ-NA2631K0M</v>
          </cell>
          <cell r="B7703" t="str">
            <v>YZ-NA2631</v>
          </cell>
        </row>
        <row r="7704">
          <cell r="A7704" t="str">
            <v>YZ-NA2631R01L</v>
          </cell>
          <cell r="B7704" t="str">
            <v>YZ-NA2631</v>
          </cell>
        </row>
        <row r="7705">
          <cell r="A7705" t="str">
            <v>YZ-NA2631R0L</v>
          </cell>
          <cell r="B7705" t="str">
            <v>YZ-NA2631</v>
          </cell>
        </row>
        <row r="7706">
          <cell r="A7706" t="str">
            <v>YZ-NA2631R0M</v>
          </cell>
          <cell r="B7706" t="str">
            <v>YZ-NA2631</v>
          </cell>
        </row>
        <row r="7707">
          <cell r="A7707" t="str">
            <v>YZ-NA2631R0S</v>
          </cell>
          <cell r="B7707" t="str">
            <v>YZ-NA2631</v>
          </cell>
        </row>
        <row r="7708">
          <cell r="A7708" t="str">
            <v>YZ-NA2631R0XS</v>
          </cell>
          <cell r="B7708" t="str">
            <v>YZ-NA2631</v>
          </cell>
        </row>
        <row r="7709">
          <cell r="A7709" t="str">
            <v>YZ-NA2631ZL1L</v>
          </cell>
          <cell r="B7709" t="str">
            <v>YZ-NA2631</v>
          </cell>
        </row>
        <row r="7710">
          <cell r="A7710" t="str">
            <v>YZ-NA2631ZL2L</v>
          </cell>
          <cell r="B7710" t="str">
            <v>YZ-NA2631</v>
          </cell>
        </row>
        <row r="7711">
          <cell r="A7711" t="str">
            <v>YZ-NA2631ZL3L</v>
          </cell>
          <cell r="B7711" t="str">
            <v>YZ-NA2631</v>
          </cell>
        </row>
        <row r="7712">
          <cell r="A7712" t="str">
            <v>YZ-NA2631ZLL</v>
          </cell>
          <cell r="B7712" t="str">
            <v>YZ-NA2631</v>
          </cell>
        </row>
        <row r="7713">
          <cell r="A7713" t="str">
            <v>YZ-NA2631ZLM</v>
          </cell>
          <cell r="B7713" t="str">
            <v>YZ-NA2631</v>
          </cell>
        </row>
        <row r="7714">
          <cell r="A7714" t="str">
            <v>YZ-NA5060B2</v>
          </cell>
          <cell r="B7714" t="str">
            <v>YZ-NA5060</v>
          </cell>
        </row>
        <row r="7715">
          <cell r="A7715" t="str">
            <v>YZ-NA5060B21L</v>
          </cell>
          <cell r="B7715" t="str">
            <v>YZ-NA5060</v>
          </cell>
        </row>
        <row r="7716">
          <cell r="A7716" t="str">
            <v>YZ-NA5060B2L</v>
          </cell>
          <cell r="B7716" t="str">
            <v>YZ-NA5060</v>
          </cell>
        </row>
        <row r="7717">
          <cell r="A7717" t="str">
            <v>YZ-NA5060B2M</v>
          </cell>
          <cell r="B7717" t="str">
            <v>YZ-NA5060</v>
          </cell>
        </row>
        <row r="7718">
          <cell r="A7718" t="str">
            <v>YZ-NA5060B2S</v>
          </cell>
          <cell r="B7718" t="str">
            <v>YZ-NA5060</v>
          </cell>
        </row>
        <row r="7719">
          <cell r="A7719" t="str">
            <v>YZ-NA5060R2</v>
          </cell>
          <cell r="B7719" t="str">
            <v>YZ-NA5060</v>
          </cell>
        </row>
        <row r="7720">
          <cell r="A7720" t="str">
            <v>YZ-NA5060R2L</v>
          </cell>
          <cell r="B7720" t="str">
            <v>YZ-NA5060</v>
          </cell>
        </row>
        <row r="7721">
          <cell r="A7721" t="str">
            <v>YZ-NA5060R2S</v>
          </cell>
          <cell r="B7721" t="str">
            <v>YZ-NA5060</v>
          </cell>
        </row>
        <row r="7722">
          <cell r="A7722" t="str">
            <v>YZ-NA5060Y0</v>
          </cell>
          <cell r="B7722" t="str">
            <v>YZ-NA5060</v>
          </cell>
        </row>
        <row r="7723">
          <cell r="A7723" t="str">
            <v>YZ-NA5060Y01L</v>
          </cell>
          <cell r="B7723" t="str">
            <v>YZ-NA5060</v>
          </cell>
        </row>
        <row r="7724">
          <cell r="A7724" t="str">
            <v>YZ-NA5060Y0L</v>
          </cell>
          <cell r="B7724" t="str">
            <v>YZ-NA5060</v>
          </cell>
        </row>
        <row r="7725">
          <cell r="A7725" t="str">
            <v>YZ-NA5060Y0M</v>
          </cell>
          <cell r="B7725" t="str">
            <v>YZ-NA5060</v>
          </cell>
        </row>
        <row r="7726">
          <cell r="A7726" t="str">
            <v>YZ-NA5060Y0S</v>
          </cell>
          <cell r="B7726" t="str">
            <v>YZ-NA5060</v>
          </cell>
        </row>
        <row r="7727">
          <cell r="A7727" t="str">
            <v>YZ-NA5119K0-2XL</v>
          </cell>
          <cell r="B7727" t="str">
            <v>YZ-NA5119</v>
          </cell>
        </row>
        <row r="7728">
          <cell r="A7728" t="str">
            <v>YZ-NA5119K0-3XL</v>
          </cell>
          <cell r="B7728" t="str">
            <v>YZ-NA5119</v>
          </cell>
        </row>
        <row r="7729">
          <cell r="A7729" t="str">
            <v>YZ-NA5119K0-4XL</v>
          </cell>
          <cell r="B7729" t="str">
            <v>YZ-NA5119</v>
          </cell>
        </row>
        <row r="7730">
          <cell r="A7730" t="str">
            <v>YZ-NA5119K0-5XL</v>
          </cell>
          <cell r="B7730" t="str">
            <v>YZ-NA5119</v>
          </cell>
        </row>
        <row r="7731">
          <cell r="A7731" t="str">
            <v>YZ-NA5119K0-XL</v>
          </cell>
          <cell r="B7731" t="str">
            <v>YZ-NA5119</v>
          </cell>
        </row>
        <row r="7732">
          <cell r="A7732" t="str">
            <v>YZ-NA5119-YH-2XL</v>
          </cell>
          <cell r="B7732" t="str">
            <v>YZ-NA5119</v>
          </cell>
        </row>
        <row r="7733">
          <cell r="A7733" t="str">
            <v>YZ-NA5119-YH-3XL</v>
          </cell>
          <cell r="B7733" t="str">
            <v>YZ-NA5119</v>
          </cell>
        </row>
        <row r="7734">
          <cell r="A7734" t="str">
            <v>YZ-NA5119-YH-4XL</v>
          </cell>
          <cell r="B7734" t="str">
            <v>YZ-NA5119</v>
          </cell>
        </row>
        <row r="7735">
          <cell r="A7735" t="str">
            <v>YZ-NA5119-YH-5XL</v>
          </cell>
          <cell r="B7735" t="str">
            <v>YZ-NA5119</v>
          </cell>
        </row>
        <row r="7736">
          <cell r="A7736" t="str">
            <v>YZ-NA5119-YH-XL</v>
          </cell>
          <cell r="B7736" t="str">
            <v>YZ-NA5119</v>
          </cell>
        </row>
        <row r="7737">
          <cell r="A7737" t="str">
            <v>YZ-NA5119-YT-2XL</v>
          </cell>
          <cell r="B7737" t="str">
            <v>YZ-NA5119</v>
          </cell>
        </row>
        <row r="7738">
          <cell r="A7738" t="str">
            <v>YZ-NA5119-YT-3XL</v>
          </cell>
          <cell r="B7738" t="str">
            <v>YZ-NA5119</v>
          </cell>
        </row>
        <row r="7739">
          <cell r="A7739" t="str">
            <v>YZ-NA5119-YT-4XL</v>
          </cell>
          <cell r="B7739" t="str">
            <v>YZ-NA5119</v>
          </cell>
        </row>
        <row r="7740">
          <cell r="A7740" t="str">
            <v>YZ-NA5119-YT-5XL</v>
          </cell>
          <cell r="B7740" t="str">
            <v>YZ-NA5119</v>
          </cell>
        </row>
        <row r="7741">
          <cell r="A7741" t="str">
            <v>YZ-NA5119-YT-XL</v>
          </cell>
          <cell r="B7741" t="str">
            <v>YZ-NA5119</v>
          </cell>
        </row>
        <row r="7742">
          <cell r="A7742" t="str">
            <v>YZ-NA5119ZL2XL</v>
          </cell>
          <cell r="B7742" t="str">
            <v>YZ-NA5119</v>
          </cell>
        </row>
        <row r="7743">
          <cell r="A7743" t="str">
            <v>YZ-NA5119ZL3XL</v>
          </cell>
          <cell r="B7743" t="str">
            <v>YZ-NA5119</v>
          </cell>
        </row>
        <row r="7744">
          <cell r="A7744" t="str">
            <v>YZ-NA5119ZL4XL</v>
          </cell>
          <cell r="B7744" t="str">
            <v>YZ-NA5119</v>
          </cell>
        </row>
        <row r="7745">
          <cell r="A7745" t="str">
            <v>YZ-NA5119ZL5XL</v>
          </cell>
          <cell r="B7745" t="str">
            <v>YZ-NA5119</v>
          </cell>
        </row>
        <row r="7746">
          <cell r="A7746" t="str">
            <v>YZ-NA5119ZLXL</v>
          </cell>
          <cell r="B7746" t="str">
            <v>YZ-NA5119</v>
          </cell>
        </row>
        <row r="7747">
          <cell r="A7747" t="str">
            <v>YZ-NA5505Da</v>
          </cell>
          <cell r="B7747" t="str">
            <v>YZ-NA5505</v>
          </cell>
        </row>
        <row r="7748">
          <cell r="A7748" t="str">
            <v>YZ-NA5505Da2L</v>
          </cell>
          <cell r="B7748" t="str">
            <v>YZ-NA5505</v>
          </cell>
        </row>
        <row r="7749">
          <cell r="A7749" t="str">
            <v>YZ-NA5505DaL</v>
          </cell>
          <cell r="B7749" t="str">
            <v>YZ-NA5505</v>
          </cell>
        </row>
        <row r="7750">
          <cell r="A7750" t="str">
            <v>YZ-NA5505DaM</v>
          </cell>
          <cell r="B7750" t="str">
            <v>YZ-NA5505</v>
          </cell>
        </row>
        <row r="7751">
          <cell r="A7751" t="str">
            <v>YZ-NA5505DaS</v>
          </cell>
          <cell r="B7751" t="str">
            <v>YZ-NA5505</v>
          </cell>
        </row>
        <row r="7752">
          <cell r="A7752" t="str">
            <v>YZ-NA5505DaXL</v>
          </cell>
          <cell r="B7752" t="str">
            <v>YZ-NA5505</v>
          </cell>
        </row>
        <row r="7753">
          <cell r="A7753" t="str">
            <v>YZ-NA5505JR</v>
          </cell>
          <cell r="B7753" t="str">
            <v>YZ-NA5505</v>
          </cell>
        </row>
        <row r="7754">
          <cell r="A7754" t="str">
            <v>YZ-NA5505JR2L</v>
          </cell>
          <cell r="B7754" t="str">
            <v>YZ-NA5505</v>
          </cell>
        </row>
        <row r="7755">
          <cell r="A7755" t="str">
            <v>YZ-NA5505JRL</v>
          </cell>
          <cell r="B7755" t="str">
            <v>YZ-NA5505</v>
          </cell>
        </row>
        <row r="7756">
          <cell r="A7756" t="str">
            <v>YZ-NA5505JRM</v>
          </cell>
          <cell r="B7756" t="str">
            <v>YZ-NA5505</v>
          </cell>
        </row>
        <row r="7757">
          <cell r="A7757" t="str">
            <v>YZ-NA5505JRS</v>
          </cell>
          <cell r="B7757" t="str">
            <v>YZ-NA5505</v>
          </cell>
        </row>
        <row r="7758">
          <cell r="A7758" t="str">
            <v>YZ-NA5505JRXL</v>
          </cell>
          <cell r="B7758" t="str">
            <v>YZ-NA5505</v>
          </cell>
        </row>
        <row r="7759">
          <cell r="A7759" t="str">
            <v>YZ-NA5505-K0-L</v>
          </cell>
          <cell r="B7759" t="str">
            <v>YZ-NA5505</v>
          </cell>
        </row>
        <row r="7760">
          <cell r="A7760" t="str">
            <v>YZ-NA5505-K0-M</v>
          </cell>
          <cell r="B7760" t="str">
            <v>YZ-NA5505</v>
          </cell>
        </row>
        <row r="7761">
          <cell r="A7761" t="str">
            <v>YZ-NA5505-K0-XL</v>
          </cell>
          <cell r="B7761" t="str">
            <v>YZ-NA5505</v>
          </cell>
        </row>
        <row r="7762">
          <cell r="A7762" t="str">
            <v>YZ-NA5505-K0-XXL</v>
          </cell>
          <cell r="B7762" t="str">
            <v>YZ-NA5505</v>
          </cell>
        </row>
        <row r="7763">
          <cell r="A7763" t="str">
            <v>YZ-NA5505Lb0XS</v>
          </cell>
          <cell r="B7763" t="str">
            <v>YZ-NA5505</v>
          </cell>
        </row>
        <row r="7764">
          <cell r="A7764" t="str">
            <v>YZ-NA5505LbL</v>
          </cell>
          <cell r="B7764" t="str">
            <v>YZ-NA5505</v>
          </cell>
        </row>
        <row r="7765">
          <cell r="A7765" t="str">
            <v>YZ-NA5505LbM</v>
          </cell>
          <cell r="B7765" t="str">
            <v>YZ-NA5505</v>
          </cell>
        </row>
        <row r="7766">
          <cell r="A7766" t="str">
            <v>YZ-NA5505LbS</v>
          </cell>
          <cell r="B7766" t="str">
            <v>YZ-NA5505</v>
          </cell>
        </row>
        <row r="7767">
          <cell r="A7767" t="str">
            <v>YZ-NA5505LbXL</v>
          </cell>
          <cell r="B7767" t="str">
            <v>YZ-NA5505</v>
          </cell>
        </row>
        <row r="7768">
          <cell r="A7768" t="str">
            <v>YZ-NA5505LbXXL</v>
          </cell>
          <cell r="B7768" t="str">
            <v>YZ-NA5505</v>
          </cell>
        </row>
        <row r="7769">
          <cell r="A7769" t="str">
            <v>YZ-NA5505R0-2X</v>
          </cell>
          <cell r="B7769" t="str">
            <v>YZ-NA5505</v>
          </cell>
        </row>
        <row r="7770">
          <cell r="A7770" t="str">
            <v>YZ-NA5505R0-L</v>
          </cell>
          <cell r="B7770" t="str">
            <v>YZ-NA5505</v>
          </cell>
        </row>
        <row r="7771">
          <cell r="A7771" t="str">
            <v>YZ-NA5505R0-M</v>
          </cell>
          <cell r="B7771" t="str">
            <v>YZ-NA5505</v>
          </cell>
        </row>
        <row r="7772">
          <cell r="A7772" t="str">
            <v>YZ-NA5505R0-S</v>
          </cell>
          <cell r="B7772" t="str">
            <v>YZ-NA5505</v>
          </cell>
        </row>
        <row r="7773">
          <cell r="A7773" t="str">
            <v>YZ-NA5505R0-XL</v>
          </cell>
          <cell r="B7773" t="str">
            <v>YZ-NA5505</v>
          </cell>
        </row>
        <row r="7774">
          <cell r="A7774" t="str">
            <v>YZ-NA5505R0-XS</v>
          </cell>
          <cell r="B7774" t="str">
            <v>YZ-NA5505</v>
          </cell>
        </row>
        <row r="7775">
          <cell r="A7775" t="str">
            <v>YZ-NA9007Sa1L</v>
          </cell>
          <cell r="B7775" t="str">
            <v>YZ-NA9007</v>
          </cell>
        </row>
        <row r="7776">
          <cell r="A7776" t="str">
            <v>YZ-NA9007Sa2L</v>
          </cell>
          <cell r="B7776" t="str">
            <v>YZ-NA9007</v>
          </cell>
        </row>
        <row r="7777">
          <cell r="A7777" t="str">
            <v>YZ-NA9007Sa3L</v>
          </cell>
          <cell r="B7777" t="str">
            <v>YZ-NA9007</v>
          </cell>
        </row>
        <row r="7778">
          <cell r="A7778" t="str">
            <v>YZ-NA9007Sa4L</v>
          </cell>
          <cell r="B7778" t="str">
            <v>YZ-NA9007</v>
          </cell>
        </row>
        <row r="7779">
          <cell r="A7779" t="str">
            <v>YZ-NA9007Sa5L</v>
          </cell>
          <cell r="B7779" t="str">
            <v>YZ-NA9007</v>
          </cell>
        </row>
        <row r="7780">
          <cell r="A7780" t="str">
            <v>YZ-NA9007Sa6L</v>
          </cell>
          <cell r="B7780" t="str">
            <v>YZ-NA9007</v>
          </cell>
        </row>
        <row r="7781">
          <cell r="A7781" t="str">
            <v>YZ-NA9007Sa7L</v>
          </cell>
          <cell r="B7781" t="str">
            <v>YZ-NA9007</v>
          </cell>
        </row>
        <row r="7782">
          <cell r="A7782" t="str">
            <v>YZ-NA9007Sa8L</v>
          </cell>
          <cell r="B7782" t="str">
            <v>YZ-NA9007</v>
          </cell>
        </row>
        <row r="7783">
          <cell r="A7783" t="str">
            <v>YZ-NA9007Sa9L</v>
          </cell>
          <cell r="B7783" t="str">
            <v>YZ-NA9007</v>
          </cell>
        </row>
        <row r="7784">
          <cell r="A7784" t="str">
            <v>YZ-NA9007Se1L</v>
          </cell>
          <cell r="B7784" t="str">
            <v>YZ-NA9007</v>
          </cell>
        </row>
        <row r="7785">
          <cell r="A7785" t="str">
            <v>YZ-NA9007Se2L</v>
          </cell>
          <cell r="B7785" t="str">
            <v>YZ-NA9007</v>
          </cell>
        </row>
        <row r="7786">
          <cell r="A7786" t="str">
            <v>YZ-NA9007Se3L</v>
          </cell>
          <cell r="B7786" t="str">
            <v>YZ-NA9007</v>
          </cell>
        </row>
        <row r="7787">
          <cell r="A7787" t="str">
            <v>YZ-NA9007Se4L</v>
          </cell>
          <cell r="B7787" t="str">
            <v>YZ-NA9007</v>
          </cell>
        </row>
        <row r="7788">
          <cell r="A7788" t="str">
            <v>YZ-NA9007Se5L</v>
          </cell>
          <cell r="B7788" t="str">
            <v>YZ-NA9007</v>
          </cell>
        </row>
        <row r="7789">
          <cell r="A7789" t="str">
            <v>YZ-NA9007Se6L</v>
          </cell>
          <cell r="B7789" t="str">
            <v>YZ-NA9007</v>
          </cell>
        </row>
        <row r="7790">
          <cell r="A7790" t="str">
            <v>YZ-NA9007Se7L</v>
          </cell>
          <cell r="B7790" t="str">
            <v>YZ-NA9007</v>
          </cell>
        </row>
        <row r="7791">
          <cell r="A7791" t="str">
            <v>YZ-NA9007Se8L</v>
          </cell>
          <cell r="B7791" t="str">
            <v>YZ-NA9007</v>
          </cell>
        </row>
        <row r="7792">
          <cell r="A7792" t="str">
            <v>YZ-NA9007Se9L</v>
          </cell>
          <cell r="B7792" t="str">
            <v>YZ-NA9007</v>
          </cell>
        </row>
        <row r="7793">
          <cell r="A7793" t="str">
            <v>YZ-NA9008Sa1L</v>
          </cell>
          <cell r="B7793" t="str">
            <v>YZ-NA9008</v>
          </cell>
        </row>
        <row r="7794">
          <cell r="A7794" t="str">
            <v>YZ-NA9008Sa2L</v>
          </cell>
          <cell r="B7794" t="str">
            <v>YZ-NA9008</v>
          </cell>
        </row>
        <row r="7795">
          <cell r="A7795" t="str">
            <v>YZ-NA9008Sa3L</v>
          </cell>
          <cell r="B7795" t="str">
            <v>YZ-NA9008</v>
          </cell>
        </row>
        <row r="7796">
          <cell r="A7796" t="str">
            <v>YZ-NA9008Sa4L</v>
          </cell>
          <cell r="B7796" t="str">
            <v>YZ-NA9008</v>
          </cell>
        </row>
        <row r="7797">
          <cell r="A7797" t="str">
            <v>YZ-NA9008Sa5L</v>
          </cell>
          <cell r="B7797" t="str">
            <v>YZ-NA9008</v>
          </cell>
        </row>
        <row r="7798">
          <cell r="A7798" t="str">
            <v>YZ-NA9008Sa6L</v>
          </cell>
          <cell r="B7798" t="str">
            <v>YZ-NA9008</v>
          </cell>
        </row>
        <row r="7799">
          <cell r="A7799" t="str">
            <v>YZ-NA9008Sa7L</v>
          </cell>
          <cell r="B7799" t="str">
            <v>YZ-NA9008</v>
          </cell>
        </row>
        <row r="7800">
          <cell r="A7800" t="str">
            <v>YZ-NA9008Sa8L</v>
          </cell>
          <cell r="B7800" t="str">
            <v>YZ-NA9008</v>
          </cell>
        </row>
        <row r="7801">
          <cell r="A7801" t="str">
            <v>YZ-NA9008Sa9L</v>
          </cell>
          <cell r="B7801" t="str">
            <v>YZ-NA9008</v>
          </cell>
        </row>
        <row r="7802">
          <cell r="A7802" t="str">
            <v>YZ-NA9008Se1L</v>
          </cell>
          <cell r="B7802" t="str">
            <v>YZ-NA9008</v>
          </cell>
        </row>
        <row r="7803">
          <cell r="A7803" t="str">
            <v>YZ-NA9008Se2L</v>
          </cell>
          <cell r="B7803" t="str">
            <v>YZ-NA9008</v>
          </cell>
        </row>
        <row r="7804">
          <cell r="A7804" t="str">
            <v>YZ-NA9008Se3L</v>
          </cell>
          <cell r="B7804" t="str">
            <v>YZ-NA9008</v>
          </cell>
        </row>
        <row r="7805">
          <cell r="A7805" t="str">
            <v>YZ-NA9008Se4L</v>
          </cell>
          <cell r="B7805" t="str">
            <v>YZ-NA9008</v>
          </cell>
        </row>
        <row r="7806">
          <cell r="A7806" t="str">
            <v>YZ-NA9008Se5L</v>
          </cell>
          <cell r="B7806" t="str">
            <v>YZ-NA9008</v>
          </cell>
        </row>
        <row r="7807">
          <cell r="A7807" t="str">
            <v>YZ-NA9008Se6L</v>
          </cell>
          <cell r="B7807" t="str">
            <v>YZ-NA9008</v>
          </cell>
        </row>
        <row r="7808">
          <cell r="A7808" t="str">
            <v>YZ-NA9008Se7L</v>
          </cell>
          <cell r="B7808" t="str">
            <v>YZ-NA9008</v>
          </cell>
        </row>
        <row r="7809">
          <cell r="A7809" t="str">
            <v>YZ-NA9008Se8L</v>
          </cell>
          <cell r="B7809" t="str">
            <v>YZ-NA9008</v>
          </cell>
        </row>
        <row r="7810">
          <cell r="A7810" t="str">
            <v>YZ-NA9008Se9L</v>
          </cell>
          <cell r="B7810" t="str">
            <v>YZ-NA9008</v>
          </cell>
        </row>
        <row r="7811">
          <cell r="A7811" t="str">
            <v>YZ-NALLHT2XL</v>
          </cell>
          <cell r="B7811" t="str">
            <v>YZ-NALL</v>
          </cell>
        </row>
        <row r="7812">
          <cell r="A7812" t="str">
            <v>YZ-NALLHT4XL</v>
          </cell>
          <cell r="B7812" t="str">
            <v>YZ-NALL</v>
          </cell>
        </row>
        <row r="7813">
          <cell r="A7813" t="str">
            <v>YZ-NALLHTL</v>
          </cell>
          <cell r="B7813" t="str">
            <v>YZ-NALL</v>
          </cell>
        </row>
        <row r="7814">
          <cell r="A7814" t="str">
            <v>YZ-NALLHTM</v>
          </cell>
          <cell r="B7814" t="str">
            <v>YZ-NALL</v>
          </cell>
        </row>
        <row r="7815">
          <cell r="A7815" t="str">
            <v>YZ-NALLHTXL</v>
          </cell>
          <cell r="B7815" t="str">
            <v>YZ-NALL</v>
          </cell>
        </row>
        <row r="7816">
          <cell r="A7816" t="str">
            <v>YZ-NALLIT4XL</v>
          </cell>
          <cell r="B7816" t="str">
            <v>YZ-NALL</v>
          </cell>
        </row>
        <row r="7817">
          <cell r="A7817" t="str">
            <v>YZ-NALLK03XL</v>
          </cell>
          <cell r="B7817" t="str">
            <v>YZ-NALL</v>
          </cell>
        </row>
        <row r="7818">
          <cell r="A7818" t="str">
            <v>YZ-PP1705-K0-2XL</v>
          </cell>
          <cell r="B7818" t="str">
            <v>YZ-PP1705</v>
          </cell>
        </row>
        <row r="7819">
          <cell r="A7819" t="str">
            <v>YZ-PP1705-K0-L</v>
          </cell>
          <cell r="B7819" t="str">
            <v>YZ-PP1705</v>
          </cell>
        </row>
        <row r="7820">
          <cell r="A7820" t="str">
            <v>YZ-PP1705-K0-M</v>
          </cell>
          <cell r="B7820" t="str">
            <v>YZ-PP1705</v>
          </cell>
        </row>
        <row r="7821">
          <cell r="A7821" t="str">
            <v>YZ-PP1705-K0-S</v>
          </cell>
          <cell r="B7821" t="str">
            <v>YZ-PP1705</v>
          </cell>
        </row>
        <row r="7822">
          <cell r="A7822" t="str">
            <v>YZ-PP1705-K0-XL</v>
          </cell>
          <cell r="B7822" t="str">
            <v>YZ-PP1705</v>
          </cell>
        </row>
        <row r="7823">
          <cell r="A7823" t="str">
            <v>YZ-PP1705-K0-XS</v>
          </cell>
          <cell r="B7823" t="str">
            <v>YZ-PP1705</v>
          </cell>
        </row>
        <row r="7824">
          <cell r="A7824" t="str">
            <v>YZ-RF1123-B0-2X</v>
          </cell>
          <cell r="B7824" t="str">
            <v>YZ-RF1123</v>
          </cell>
        </row>
        <row r="7825">
          <cell r="A7825" t="str">
            <v>YZ-RF1123-B0-3X</v>
          </cell>
          <cell r="B7825" t="str">
            <v>YZ-RF1123</v>
          </cell>
        </row>
        <row r="7826">
          <cell r="A7826" t="str">
            <v>YZ-RF1123-B0-4X</v>
          </cell>
          <cell r="B7826" t="str">
            <v>YZ-RF1123</v>
          </cell>
        </row>
        <row r="7827">
          <cell r="A7827" t="str">
            <v>YZ-RF1123-B0-5X</v>
          </cell>
          <cell r="B7827" t="str">
            <v>YZ-RF1123</v>
          </cell>
        </row>
        <row r="7828">
          <cell r="A7828" t="str">
            <v>YZ-RF1123-B0-L</v>
          </cell>
          <cell r="B7828" t="str">
            <v>YZ-RF1123</v>
          </cell>
        </row>
        <row r="7829">
          <cell r="A7829" t="str">
            <v>YZ-RF1123-B0-M</v>
          </cell>
          <cell r="B7829" t="str">
            <v>YZ-RF1123</v>
          </cell>
        </row>
        <row r="7830">
          <cell r="A7830" t="str">
            <v>YZ-RF1123-B0-S</v>
          </cell>
          <cell r="B7830" t="str">
            <v>YZ-RF1123</v>
          </cell>
        </row>
        <row r="7831">
          <cell r="A7831" t="str">
            <v>YZ-RF1123-B0-XL</v>
          </cell>
          <cell r="B7831" t="str">
            <v>YZ-RF1123</v>
          </cell>
        </row>
        <row r="7832">
          <cell r="A7832" t="str">
            <v>YZ-RF1123-K0-2X</v>
          </cell>
          <cell r="B7832" t="str">
            <v>YZ-RF1123</v>
          </cell>
        </row>
        <row r="7833">
          <cell r="A7833" t="str">
            <v>YZ-RF1123-K0-3X</v>
          </cell>
          <cell r="B7833" t="str">
            <v>YZ-RF1123</v>
          </cell>
        </row>
        <row r="7834">
          <cell r="A7834" t="str">
            <v>YZ-RF1123-K0-3XL</v>
          </cell>
          <cell r="B7834" t="str">
            <v>YZ-RF1123</v>
          </cell>
        </row>
        <row r="7835">
          <cell r="A7835" t="str">
            <v>YZ-RF1123-K0-4X</v>
          </cell>
          <cell r="B7835" t="str">
            <v>YZ-RF1123</v>
          </cell>
        </row>
        <row r="7836">
          <cell r="A7836" t="str">
            <v>YZ-RF1123-K0-5X</v>
          </cell>
          <cell r="B7836" t="str">
            <v>YZ-RF1123</v>
          </cell>
        </row>
        <row r="7837">
          <cell r="A7837" t="str">
            <v>YZ-RF1123-K0-L</v>
          </cell>
          <cell r="B7837" t="str">
            <v>YZ-RF1123</v>
          </cell>
        </row>
        <row r="7838">
          <cell r="A7838" t="str">
            <v>YZ-RF1123-K0-M</v>
          </cell>
          <cell r="B7838" t="str">
            <v>YZ-RF1123</v>
          </cell>
        </row>
        <row r="7839">
          <cell r="A7839" t="str">
            <v>YZ-RF1123-K0-S</v>
          </cell>
          <cell r="B7839" t="str">
            <v>YZ-RF1123</v>
          </cell>
        </row>
        <row r="7840">
          <cell r="A7840" t="str">
            <v>YZ-RF1123-K0-XL</v>
          </cell>
          <cell r="B7840" t="str">
            <v>YZ-RF1123</v>
          </cell>
        </row>
        <row r="7841">
          <cell r="A7841" t="str">
            <v>YZ-RF1123-R0-2X</v>
          </cell>
          <cell r="B7841" t="str">
            <v>YZ-RF1123</v>
          </cell>
        </row>
        <row r="7842">
          <cell r="A7842" t="str">
            <v>YZ-RF1123-R0-3X</v>
          </cell>
          <cell r="B7842" t="str">
            <v>YZ-RF1123</v>
          </cell>
        </row>
        <row r="7843">
          <cell r="A7843" t="str">
            <v>YZ-RF1123-R0-4X</v>
          </cell>
          <cell r="B7843" t="str">
            <v>YZ-RF1123</v>
          </cell>
        </row>
        <row r="7844">
          <cell r="A7844" t="str">
            <v>YZ-RF1123-R0-5X</v>
          </cell>
          <cell r="B7844" t="str">
            <v>YZ-RF1123</v>
          </cell>
        </row>
        <row r="7845">
          <cell r="A7845" t="str">
            <v>YZ-RF1123-R0-L</v>
          </cell>
          <cell r="B7845" t="str">
            <v>YZ-RF1123</v>
          </cell>
        </row>
        <row r="7846">
          <cell r="A7846" t="str">
            <v>YZ-RF1123-R0-M</v>
          </cell>
          <cell r="B7846" t="str">
            <v>YZ-RF1123</v>
          </cell>
        </row>
        <row r="7847">
          <cell r="A7847" t="str">
            <v>YZ-RF1123-R0-S</v>
          </cell>
          <cell r="B7847" t="str">
            <v>YZ-RF1123</v>
          </cell>
        </row>
        <row r="7848">
          <cell r="A7848" t="str">
            <v>YZ-RF1123-R0-XL</v>
          </cell>
          <cell r="B7848" t="str">
            <v>YZ-RF1123</v>
          </cell>
        </row>
        <row r="7849">
          <cell r="A7849" t="str">
            <v>YZ-RF1123-SB-2X</v>
          </cell>
          <cell r="B7849" t="str">
            <v>YZ-RF1123</v>
          </cell>
        </row>
        <row r="7850">
          <cell r="A7850" t="str">
            <v>YZ-RF1123-SB-3X</v>
          </cell>
          <cell r="B7850" t="str">
            <v>YZ-RF1123</v>
          </cell>
        </row>
        <row r="7851">
          <cell r="A7851" t="str">
            <v>YZ-RF1123-SB-4X</v>
          </cell>
          <cell r="B7851" t="str">
            <v>YZ-RF1123</v>
          </cell>
        </row>
        <row r="7852">
          <cell r="A7852" t="str">
            <v>YZ-RF1123-SB-5X</v>
          </cell>
          <cell r="B7852" t="str">
            <v>YZ-RF1123</v>
          </cell>
        </row>
        <row r="7853">
          <cell r="A7853" t="str">
            <v>YZ-RF1123-SB-L</v>
          </cell>
          <cell r="B7853" t="str">
            <v>YZ-RF1123</v>
          </cell>
        </row>
        <row r="7854">
          <cell r="A7854" t="str">
            <v>YZ-RF1123-SB-M</v>
          </cell>
          <cell r="B7854" t="str">
            <v>YZ-RF1123</v>
          </cell>
        </row>
        <row r="7855">
          <cell r="A7855" t="str">
            <v>YZ-RF1123-SB-S</v>
          </cell>
          <cell r="B7855" t="str">
            <v>YZ-RF1123</v>
          </cell>
        </row>
        <row r="7856">
          <cell r="A7856" t="str">
            <v>YZ-RF1123-SB-XL</v>
          </cell>
          <cell r="B7856" t="str">
            <v>YZ-RF1123</v>
          </cell>
        </row>
        <row r="7857">
          <cell r="A7857" t="str">
            <v>YZ-S6006TP4M</v>
          </cell>
          <cell r="B7857" t="str">
            <v>YZ-S6006</v>
          </cell>
        </row>
        <row r="7858">
          <cell r="A7858" t="str">
            <v>YZ-S6006TP4S</v>
          </cell>
          <cell r="B7858" t="str">
            <v>YZ-S6006</v>
          </cell>
        </row>
        <row r="7859">
          <cell r="A7859" t="str">
            <v>YZ-SCZQL03-K0-2XL</v>
          </cell>
          <cell r="B7859" t="str">
            <v>YZ-SCZQL03</v>
          </cell>
        </row>
        <row r="7860">
          <cell r="A7860" t="str">
            <v>YZ-SCZQL03-K0-3XL</v>
          </cell>
          <cell r="B7860" t="str">
            <v>YZ-SCZQL03</v>
          </cell>
        </row>
        <row r="7861">
          <cell r="A7861" t="str">
            <v>YZ-SCZQL03-K0-L</v>
          </cell>
          <cell r="B7861" t="str">
            <v>YZ-SCZQL03</v>
          </cell>
        </row>
        <row r="7862">
          <cell r="A7862" t="str">
            <v>YZ-SCZQL03-K0-M</v>
          </cell>
          <cell r="B7862" t="str">
            <v>YZ-SCZQL03</v>
          </cell>
        </row>
        <row r="7863">
          <cell r="A7863" t="str">
            <v>YZ-SCZQL03-K0-S</v>
          </cell>
          <cell r="B7863" t="str">
            <v>YZ-SCZQL03</v>
          </cell>
        </row>
        <row r="7864">
          <cell r="A7864" t="str">
            <v>YZ-SCZQL03-K0-XL</v>
          </cell>
          <cell r="B7864" t="str">
            <v>YZ-SCZQL03</v>
          </cell>
        </row>
        <row r="7865">
          <cell r="A7865" t="str">
            <v>YZ-SH15508BB0L</v>
          </cell>
          <cell r="B7865" t="str">
            <v>YZ-SH15508</v>
          </cell>
        </row>
        <row r="7866">
          <cell r="A7866" t="str">
            <v>YZ-SH15508BB1L</v>
          </cell>
          <cell r="B7866" t="str">
            <v>YZ-SH15508</v>
          </cell>
        </row>
        <row r="7867">
          <cell r="A7867" t="str">
            <v>YZ-SH15508BB2L</v>
          </cell>
          <cell r="B7867" t="str">
            <v>YZ-SH15508</v>
          </cell>
        </row>
        <row r="7868">
          <cell r="A7868" t="str">
            <v>YZ-SH15508BBM</v>
          </cell>
          <cell r="B7868" t="str">
            <v>YZ-SH15508</v>
          </cell>
        </row>
        <row r="7869">
          <cell r="A7869" t="str">
            <v>YZ-SH15508BBS</v>
          </cell>
          <cell r="B7869" t="str">
            <v>YZ-SH15508</v>
          </cell>
        </row>
        <row r="7870">
          <cell r="A7870" t="str">
            <v>YZ-SH15508Bl0L</v>
          </cell>
          <cell r="B7870" t="str">
            <v>YZ-SH15508</v>
          </cell>
        </row>
        <row r="7871">
          <cell r="A7871" t="str">
            <v>YZ-SH15508Bl1L</v>
          </cell>
          <cell r="B7871" t="str">
            <v>YZ-SH15508</v>
          </cell>
        </row>
        <row r="7872">
          <cell r="A7872" t="str">
            <v>YZ-SH15508Bl2L</v>
          </cell>
          <cell r="B7872" t="str">
            <v>YZ-SH15508</v>
          </cell>
        </row>
        <row r="7873">
          <cell r="A7873" t="str">
            <v>YZ-SH15508Bl3L</v>
          </cell>
          <cell r="B7873" t="str">
            <v>YZ-SH15508</v>
          </cell>
        </row>
        <row r="7874">
          <cell r="A7874" t="str">
            <v>YZ-SH15508BlM</v>
          </cell>
          <cell r="B7874" t="str">
            <v>YZ-SH15508</v>
          </cell>
        </row>
        <row r="7875">
          <cell r="A7875" t="str">
            <v>YZ-SH15508BlS</v>
          </cell>
          <cell r="B7875" t="str">
            <v>YZ-SH15508</v>
          </cell>
        </row>
        <row r="7876">
          <cell r="A7876" t="str">
            <v>YZ-SH15508BS0L</v>
          </cell>
          <cell r="B7876" t="str">
            <v>YZ-SH15508</v>
          </cell>
        </row>
        <row r="7877">
          <cell r="A7877" t="str">
            <v>YZ-SH15508BS1L</v>
          </cell>
          <cell r="B7877" t="str">
            <v>YZ-SH15508</v>
          </cell>
        </row>
        <row r="7878">
          <cell r="A7878" t="str">
            <v>YZ-SH15508BS2L</v>
          </cell>
          <cell r="B7878" t="str">
            <v>YZ-SH15508</v>
          </cell>
        </row>
        <row r="7879">
          <cell r="A7879" t="str">
            <v>YZ-SH15508BS3L</v>
          </cell>
          <cell r="B7879" t="str">
            <v>YZ-SH15508</v>
          </cell>
        </row>
        <row r="7880">
          <cell r="A7880" t="str">
            <v>YZ-SH15508BSM</v>
          </cell>
          <cell r="B7880" t="str">
            <v>YZ-SH15508</v>
          </cell>
        </row>
        <row r="7881">
          <cell r="A7881" t="str">
            <v>YZ-SH15508BSS</v>
          </cell>
          <cell r="B7881" t="str">
            <v>YZ-SH15508</v>
          </cell>
        </row>
        <row r="7882">
          <cell r="A7882" t="str">
            <v>YZ-SH15508BW0L</v>
          </cell>
          <cell r="B7882" t="str">
            <v>YZ-SH15508</v>
          </cell>
        </row>
        <row r="7883">
          <cell r="A7883" t="str">
            <v>YZ-SH15508BW1L</v>
          </cell>
          <cell r="B7883" t="str">
            <v>YZ-SH15508</v>
          </cell>
        </row>
        <row r="7884">
          <cell r="A7884" t="str">
            <v>YZ-SH15508BW2L</v>
          </cell>
          <cell r="B7884" t="str">
            <v>YZ-SH15508</v>
          </cell>
        </row>
        <row r="7885">
          <cell r="A7885" t="str">
            <v>YZ-SH15508BW3L</v>
          </cell>
          <cell r="B7885" t="str">
            <v>YZ-SH15508</v>
          </cell>
        </row>
        <row r="7886">
          <cell r="A7886" t="str">
            <v>YZ-SH15508BWM</v>
          </cell>
          <cell r="B7886" t="str">
            <v>YZ-SH15508</v>
          </cell>
        </row>
        <row r="7887">
          <cell r="A7887" t="str">
            <v>YZ-SH15508BWS</v>
          </cell>
          <cell r="B7887" t="str">
            <v>YZ-SH15508</v>
          </cell>
        </row>
        <row r="7888">
          <cell r="A7888" t="str">
            <v>YZ-SH15508Re0L</v>
          </cell>
          <cell r="B7888" t="str">
            <v>YZ-SH15508</v>
          </cell>
        </row>
        <row r="7889">
          <cell r="A7889" t="str">
            <v>YZ-SH15508Re1L</v>
          </cell>
          <cell r="B7889" t="str">
            <v>YZ-SH15508</v>
          </cell>
        </row>
        <row r="7890">
          <cell r="A7890" t="str">
            <v>YZ-SH15508Re2L</v>
          </cell>
          <cell r="B7890" t="str">
            <v>YZ-SH15508</v>
          </cell>
        </row>
        <row r="7891">
          <cell r="A7891" t="str">
            <v>YZ-SH15508Re3L</v>
          </cell>
          <cell r="B7891" t="str">
            <v>YZ-SH15508</v>
          </cell>
        </row>
        <row r="7892">
          <cell r="A7892" t="str">
            <v>YZ-SH15508ReM</v>
          </cell>
          <cell r="B7892" t="str">
            <v>YZ-SH15508</v>
          </cell>
        </row>
        <row r="7893">
          <cell r="A7893" t="str">
            <v>YZ-SH15508ReS</v>
          </cell>
          <cell r="B7893" t="str">
            <v>YZ-SH15508</v>
          </cell>
        </row>
        <row r="7894">
          <cell r="A7894" t="str">
            <v>YZ-SH15508WB0L</v>
          </cell>
          <cell r="B7894" t="str">
            <v>YZ-SH15508</v>
          </cell>
        </row>
        <row r="7895">
          <cell r="A7895" t="str">
            <v>YZ-SH15508WB1L</v>
          </cell>
          <cell r="B7895" t="str">
            <v>YZ-SH15508</v>
          </cell>
        </row>
        <row r="7896">
          <cell r="A7896" t="str">
            <v>YZ-SH15508WB2L</v>
          </cell>
          <cell r="B7896" t="str">
            <v>YZ-SH15508</v>
          </cell>
        </row>
        <row r="7897">
          <cell r="A7897" t="str">
            <v>YZ-SH15508WB3L</v>
          </cell>
          <cell r="B7897" t="str">
            <v>YZ-SH15508</v>
          </cell>
        </row>
        <row r="7898">
          <cell r="A7898" t="str">
            <v>YZ-SH15508WBM</v>
          </cell>
          <cell r="B7898" t="str">
            <v>YZ-SH15508</v>
          </cell>
        </row>
        <row r="7899">
          <cell r="A7899" t="str">
            <v>YZ-SH15508WBS</v>
          </cell>
          <cell r="B7899" t="str">
            <v>YZ-SH15508</v>
          </cell>
        </row>
        <row r="7900">
          <cell r="A7900" t="str">
            <v>YZ-SM-HM30CH-L</v>
          </cell>
          <cell r="B7900" t="str">
            <v>YZ-SM-HM30CH</v>
          </cell>
        </row>
        <row r="7901">
          <cell r="A7901" t="str">
            <v>YZ-SM-HM30CH-M</v>
          </cell>
          <cell r="B7901" t="str">
            <v>YZ-SM-HM30CH</v>
          </cell>
        </row>
        <row r="7902">
          <cell r="A7902" t="str">
            <v>YZ-SM-HM30CH-S</v>
          </cell>
          <cell r="B7902" t="str">
            <v>YZ-SM-HM30CH</v>
          </cell>
        </row>
        <row r="7903">
          <cell r="A7903" t="str">
            <v>YZ-SM-HM30CH-XL</v>
          </cell>
          <cell r="B7903" t="str">
            <v>YZ-SM-HM30CH</v>
          </cell>
        </row>
        <row r="7904">
          <cell r="A7904" t="str">
            <v>YZ-SM-HM30CH-XS</v>
          </cell>
          <cell r="B7904" t="str">
            <v>YZ-SM-HM30CH</v>
          </cell>
        </row>
        <row r="7905">
          <cell r="A7905" t="str">
            <v>YZ-SU16103-R0-2XL</v>
          </cell>
          <cell r="B7905" t="str">
            <v>YZ-SU16103</v>
          </cell>
        </row>
        <row r="7906">
          <cell r="A7906" t="str">
            <v>YZ-SU16103-R0-L</v>
          </cell>
          <cell r="B7906" t="str">
            <v>YZ-SU16103</v>
          </cell>
        </row>
        <row r="7907">
          <cell r="A7907" t="str">
            <v>YZ-SU16103-ZL-2XL</v>
          </cell>
          <cell r="B7907" t="str">
            <v>YZ-SU16103</v>
          </cell>
        </row>
        <row r="7908">
          <cell r="A7908" t="str">
            <v>YZ-SU1617-BH-4XL</v>
          </cell>
          <cell r="B7908" t="str">
            <v>YZ-SU1617</v>
          </cell>
        </row>
        <row r="7909">
          <cell r="A7909" t="str">
            <v>YZ-SU1617-BH-M</v>
          </cell>
          <cell r="B7909" t="str">
            <v>YZ-SU1617</v>
          </cell>
        </row>
        <row r="7910">
          <cell r="A7910" t="str">
            <v>YZ-SU1617-BH-XL</v>
          </cell>
          <cell r="B7910" t="str">
            <v>YZ-SU1617</v>
          </cell>
        </row>
        <row r="7911">
          <cell r="A7911" t="str">
            <v>YZ-SU1617-K0-M</v>
          </cell>
          <cell r="B7911" t="str">
            <v>YZ-SU1617</v>
          </cell>
        </row>
        <row r="7912">
          <cell r="A7912" t="str">
            <v>YZ-SU1617-KH-L</v>
          </cell>
          <cell r="B7912" t="str">
            <v>YZ-SU1617</v>
          </cell>
        </row>
        <row r="7913">
          <cell r="A7913" t="str">
            <v>YZ-SU1617-KH-M</v>
          </cell>
          <cell r="B7913" t="str">
            <v>YZ-SU1617</v>
          </cell>
        </row>
        <row r="7914">
          <cell r="A7914" t="str">
            <v>YZ-SU1617-ZL-L</v>
          </cell>
          <cell r="B7914" t="str">
            <v>YZ-SU1617</v>
          </cell>
        </row>
        <row r="7915">
          <cell r="A7915" t="str">
            <v>YZ-SU1617-ZL-XL</v>
          </cell>
          <cell r="B7915" t="str">
            <v>YZ-SU1617</v>
          </cell>
        </row>
        <row r="7916">
          <cell r="A7916" t="str">
            <v>YZ-SU45984-K0-5XL</v>
          </cell>
          <cell r="B7916" t="str">
            <v>YZ-SU45984</v>
          </cell>
        </row>
        <row r="7917">
          <cell r="A7917" t="str">
            <v>YZ-SU45984-K0-L</v>
          </cell>
          <cell r="B7917" t="str">
            <v>YZ-SU45984</v>
          </cell>
        </row>
        <row r="7918">
          <cell r="A7918" t="str">
            <v>YZ-SU45984-K0-M</v>
          </cell>
          <cell r="B7918" t="str">
            <v>YZ-SU45984</v>
          </cell>
        </row>
        <row r="7919">
          <cell r="A7919" t="str">
            <v>YZ-SUA100-G0-XL</v>
          </cell>
          <cell r="B7919" t="str">
            <v>YZ-SUA100</v>
          </cell>
        </row>
        <row r="7920">
          <cell r="A7920" t="str">
            <v>YZ-SUBL03-B0-L</v>
          </cell>
          <cell r="B7920" t="str">
            <v>YZ-SUBL03</v>
          </cell>
        </row>
        <row r="7921">
          <cell r="A7921" t="str">
            <v>YZ-SUBL03-B0-M</v>
          </cell>
          <cell r="B7921" t="str">
            <v>YZ-SUBL03</v>
          </cell>
        </row>
        <row r="7922">
          <cell r="A7922" t="str">
            <v>YZ-SUBL03-B0-S</v>
          </cell>
          <cell r="B7922" t="str">
            <v>YZ-SUBL03</v>
          </cell>
        </row>
        <row r="7923">
          <cell r="A7923" t="str">
            <v>YZ-SUBL03-B0-XL</v>
          </cell>
          <cell r="B7923" t="str">
            <v>YZ-SUBL03</v>
          </cell>
        </row>
        <row r="7924">
          <cell r="A7924" t="str">
            <v>YZ-SUBL03-B0-XS</v>
          </cell>
          <cell r="B7924" t="str">
            <v>YZ-SUBL03</v>
          </cell>
        </row>
        <row r="7925">
          <cell r="A7925" t="str">
            <v>YZ-SUBL03-K0-L</v>
          </cell>
          <cell r="B7925" t="str">
            <v>YZ-SUBL03</v>
          </cell>
        </row>
        <row r="7926">
          <cell r="A7926" t="str">
            <v>YZ-SUBL03-K0-M</v>
          </cell>
          <cell r="B7926" t="str">
            <v>YZ-SUBL03</v>
          </cell>
        </row>
        <row r="7927">
          <cell r="A7927" t="str">
            <v>YZ-SUBL03-K0-S</v>
          </cell>
          <cell r="B7927" t="str">
            <v>YZ-SUBL03</v>
          </cell>
        </row>
        <row r="7928">
          <cell r="A7928" t="str">
            <v>YZ-SUBL03-K0-XL</v>
          </cell>
          <cell r="B7928" t="str">
            <v>YZ-SUBL03</v>
          </cell>
        </row>
        <row r="7929">
          <cell r="A7929" t="str">
            <v>YZ-SUBL03-K0-XS</v>
          </cell>
          <cell r="B7929" t="str">
            <v>YZ-SUBL03</v>
          </cell>
        </row>
        <row r="7930">
          <cell r="A7930" t="str">
            <v>YZ-SUBL03-R2-L</v>
          </cell>
          <cell r="B7930" t="str">
            <v>YZ-SUBL03</v>
          </cell>
        </row>
        <row r="7931">
          <cell r="A7931" t="str">
            <v>YZ-SUBL03-R2-M</v>
          </cell>
          <cell r="B7931" t="str">
            <v>YZ-SUBL03</v>
          </cell>
        </row>
        <row r="7932">
          <cell r="A7932" t="str">
            <v>YZ-SUBL03-R2-S</v>
          </cell>
          <cell r="B7932" t="str">
            <v>YZ-SUBL03</v>
          </cell>
        </row>
        <row r="7933">
          <cell r="A7933" t="str">
            <v>YZ-SUBL03-R2-XL</v>
          </cell>
          <cell r="B7933" t="str">
            <v>YZ-SUBL03</v>
          </cell>
        </row>
        <row r="7934">
          <cell r="A7934" t="str">
            <v>YZ-SUBL03-R2-XS</v>
          </cell>
          <cell r="B7934" t="str">
            <v>YZ-SUBL03</v>
          </cell>
        </row>
        <row r="7935">
          <cell r="A7935" t="str">
            <v>YZ-SULS062-K0-2XL</v>
          </cell>
          <cell r="B7935" t="str">
            <v>YZ-SULS062</v>
          </cell>
        </row>
        <row r="7936">
          <cell r="A7936" t="str">
            <v>YZ-SULS062-K0-L</v>
          </cell>
          <cell r="B7936" t="str">
            <v>YZ-SULS062</v>
          </cell>
        </row>
        <row r="7937">
          <cell r="A7937" t="str">
            <v>YZ-SULS062-K0-M</v>
          </cell>
          <cell r="B7937" t="str">
            <v>YZ-SULS062</v>
          </cell>
        </row>
        <row r="7938">
          <cell r="A7938" t="str">
            <v>YZ-SULS062-K0-S</v>
          </cell>
          <cell r="B7938" t="str">
            <v>YZ-SULS062</v>
          </cell>
        </row>
        <row r="7939">
          <cell r="A7939" t="str">
            <v>YZ-SULS062-K0-XL</v>
          </cell>
          <cell r="B7939" t="str">
            <v>YZ-SULS062</v>
          </cell>
        </row>
        <row r="7940">
          <cell r="A7940" t="str">
            <v>YZ-SUTWA100-K0-2XL</v>
          </cell>
          <cell r="B7940" t="str">
            <v>YZ-SUTWA100</v>
          </cell>
        </row>
        <row r="7941">
          <cell r="A7941" t="str">
            <v>YZ-SUTWA100-K0-5XL</v>
          </cell>
          <cell r="B7941" t="str">
            <v>YZ-SUTWA100</v>
          </cell>
        </row>
        <row r="7942">
          <cell r="A7942" t="str">
            <v>YZ-SUTWA100-K0-L</v>
          </cell>
          <cell r="B7942" t="str">
            <v>YZ-SUTWA100</v>
          </cell>
        </row>
        <row r="7943">
          <cell r="A7943" t="str">
            <v>YZ-SUTWA100-K0-M</v>
          </cell>
          <cell r="B7943" t="str">
            <v>YZ-SUTWA100</v>
          </cell>
        </row>
        <row r="7944">
          <cell r="A7944" t="str">
            <v>YZ-SUTWA100-K0-S</v>
          </cell>
          <cell r="B7944" t="str">
            <v>YZ-SUTWA100</v>
          </cell>
        </row>
        <row r="7945">
          <cell r="A7945" t="str">
            <v>YZ-SUTWA100-K0-XL</v>
          </cell>
          <cell r="B7945" t="str">
            <v>YZ-SUTWA100</v>
          </cell>
        </row>
        <row r="7946">
          <cell r="A7946" t="str">
            <v>YZ-SUXZBL03-B0-L</v>
          </cell>
          <cell r="B7946" t="str">
            <v>YZ-SUXZBL03</v>
          </cell>
        </row>
        <row r="7947">
          <cell r="A7947" t="str">
            <v>YZ-SUXZBL03-K0-S</v>
          </cell>
          <cell r="B7947" t="str">
            <v>YZ-SUXZBL03</v>
          </cell>
        </row>
        <row r="7948">
          <cell r="A7948" t="str">
            <v>YZ-SUXZBL03-R2-S</v>
          </cell>
          <cell r="B7948" t="str">
            <v>YZ-SUXZBL03</v>
          </cell>
        </row>
        <row r="7949">
          <cell r="A7949" t="str">
            <v>YZ-SUZQ078-K0-S</v>
          </cell>
          <cell r="B7949" t="str">
            <v>YZ-SUZQ078</v>
          </cell>
        </row>
        <row r="7950">
          <cell r="A7950" t="str">
            <v>YZ-SUZQ161-E0-2XL</v>
          </cell>
          <cell r="B7950" t="str">
            <v>YZ-SUZQ161</v>
          </cell>
        </row>
        <row r="7951">
          <cell r="A7951" t="str">
            <v>YZ-SUZQ161-E0-3XL</v>
          </cell>
          <cell r="B7951" t="str">
            <v>YZ-SUZQ161</v>
          </cell>
        </row>
        <row r="7952">
          <cell r="A7952" t="str">
            <v>YZ-SUZQ161-E0-L</v>
          </cell>
          <cell r="B7952" t="str">
            <v>YZ-SUZQ161</v>
          </cell>
        </row>
        <row r="7953">
          <cell r="A7953" t="str">
            <v>YZ-SUZQ161-E0-XL</v>
          </cell>
          <cell r="B7953" t="str">
            <v>YZ-SUZQ161</v>
          </cell>
        </row>
        <row r="7954">
          <cell r="A7954" t="str">
            <v>YZ-SUZQ161-R0-2XL</v>
          </cell>
          <cell r="B7954" t="str">
            <v>YZ-SUZQ161</v>
          </cell>
        </row>
        <row r="7955">
          <cell r="A7955" t="str">
            <v>YZ-SUZQ161-R0-3XL</v>
          </cell>
          <cell r="B7955" t="str">
            <v>YZ-SUZQ161</v>
          </cell>
        </row>
        <row r="7956">
          <cell r="A7956" t="str">
            <v>YZ-SUZQ161-R0-L</v>
          </cell>
          <cell r="B7956" t="str">
            <v>YZ-SUZQ161</v>
          </cell>
        </row>
        <row r="7957">
          <cell r="A7957" t="str">
            <v>YZ-SUZQ161-R0-XL</v>
          </cell>
          <cell r="B7957" t="str">
            <v>YZ-SUZQ161</v>
          </cell>
        </row>
        <row r="7958">
          <cell r="A7958" t="str">
            <v>YZ-SUZQ161-Y0-2XL</v>
          </cell>
          <cell r="B7958" t="str">
            <v>YZ-SUZQ161</v>
          </cell>
        </row>
        <row r="7959">
          <cell r="A7959" t="str">
            <v>YZ-SUZQ161-Y0-3XL</v>
          </cell>
          <cell r="B7959" t="str">
            <v>YZ-SUZQ161</v>
          </cell>
        </row>
        <row r="7960">
          <cell r="A7960" t="str">
            <v>YZ-SUZQ161-Y0-L</v>
          </cell>
          <cell r="B7960" t="str">
            <v>YZ-SUZQ161</v>
          </cell>
        </row>
        <row r="7961">
          <cell r="A7961" t="str">
            <v>YZ-SUZQ161-Y0-XL</v>
          </cell>
          <cell r="B7961" t="str">
            <v>YZ-SUZQ161</v>
          </cell>
        </row>
        <row r="7962">
          <cell r="A7962" t="str">
            <v>YZ-SUZQ165-OR-XL</v>
          </cell>
          <cell r="B7962" t="str">
            <v>YZ-SUZQ165</v>
          </cell>
        </row>
        <row r="7963">
          <cell r="A7963" t="str">
            <v>YZ-SUZQ165-PI-M</v>
          </cell>
          <cell r="B7963" t="str">
            <v>YZ-SUZQ165</v>
          </cell>
        </row>
        <row r="7964">
          <cell r="A7964" t="str">
            <v>YZ-SUZQ172-B0-L</v>
          </cell>
          <cell r="B7964" t="str">
            <v>YZ-SUZQ172</v>
          </cell>
        </row>
        <row r="7965">
          <cell r="A7965" t="str">
            <v>YZ-SUZQ172-B0-M</v>
          </cell>
          <cell r="B7965" t="str">
            <v>YZ-SUZQ172</v>
          </cell>
        </row>
        <row r="7966">
          <cell r="A7966" t="str">
            <v>YZ-SUZQ172-B0-S</v>
          </cell>
          <cell r="B7966" t="str">
            <v>YZ-SUZQ172</v>
          </cell>
        </row>
        <row r="7967">
          <cell r="A7967" t="str">
            <v>YZ-SUZQ172-B0-XL</v>
          </cell>
          <cell r="B7967" t="str">
            <v>YZ-SUZQ172</v>
          </cell>
        </row>
        <row r="7968">
          <cell r="A7968" t="str">
            <v>YZ-SUZQ172-K0-L</v>
          </cell>
          <cell r="B7968" t="str">
            <v>YZ-SUZQ172</v>
          </cell>
        </row>
        <row r="7969">
          <cell r="A7969" t="str">
            <v>YZ-SUZQ172-K0-M</v>
          </cell>
          <cell r="B7969" t="str">
            <v>YZ-SUZQ172</v>
          </cell>
        </row>
        <row r="7970">
          <cell r="A7970" t="str">
            <v>YZ-SUZQ172-K0-S</v>
          </cell>
          <cell r="B7970" t="str">
            <v>YZ-SUZQ172</v>
          </cell>
        </row>
        <row r="7971">
          <cell r="A7971" t="str">
            <v>YZ-SUZQ172-K0-XL</v>
          </cell>
          <cell r="B7971" t="str">
            <v>YZ-SUZQ172</v>
          </cell>
        </row>
        <row r="7972">
          <cell r="A7972" t="str">
            <v>YZ-SUZQ172-R0-L</v>
          </cell>
          <cell r="B7972" t="str">
            <v>YZ-SUZQ172</v>
          </cell>
        </row>
        <row r="7973">
          <cell r="A7973" t="str">
            <v>YZ-SUZQ172-R0-M</v>
          </cell>
          <cell r="B7973" t="str">
            <v>YZ-SUZQ172</v>
          </cell>
        </row>
        <row r="7974">
          <cell r="A7974" t="str">
            <v>YZ-SUZQ172-R0-S</v>
          </cell>
          <cell r="B7974" t="str">
            <v>YZ-SUZQ172</v>
          </cell>
        </row>
        <row r="7975">
          <cell r="A7975" t="str">
            <v>YZ-SUZQ172-R0-XL</v>
          </cell>
          <cell r="B7975" t="str">
            <v>YZ-SUZQ172</v>
          </cell>
        </row>
        <row r="7976">
          <cell r="A7976" t="str">
            <v>YZ-SUZQ173-K0-2XL</v>
          </cell>
          <cell r="B7976" t="str">
            <v>YZ-SUZQ173</v>
          </cell>
        </row>
        <row r="7977">
          <cell r="A7977" t="str">
            <v>YZ-SUZQ173-K0-3XL</v>
          </cell>
          <cell r="B7977" t="str">
            <v>YZ-SUZQ173</v>
          </cell>
        </row>
        <row r="7978">
          <cell r="A7978" t="str">
            <v>YZ-SUZQ173-K0-L</v>
          </cell>
          <cell r="B7978" t="str">
            <v>YZ-SUZQ173</v>
          </cell>
        </row>
        <row r="7979">
          <cell r="A7979" t="str">
            <v>YZ-SUZQ173-K0-M</v>
          </cell>
          <cell r="B7979" t="str">
            <v>YZ-SUZQ173</v>
          </cell>
        </row>
        <row r="7980">
          <cell r="A7980" t="str">
            <v>YZ-SUZQ173-K0-S</v>
          </cell>
          <cell r="B7980" t="str">
            <v>YZ-SUZQ173</v>
          </cell>
        </row>
        <row r="7981">
          <cell r="A7981" t="str">
            <v>YZ-SUZQ173-K0-XL</v>
          </cell>
          <cell r="B7981" t="str">
            <v>YZ-SUZQ173</v>
          </cell>
        </row>
        <row r="7982">
          <cell r="A7982" t="str">
            <v>YZ-SUZQ173-NB-2XL</v>
          </cell>
          <cell r="B7982" t="str">
            <v>YZ-SUZQ173</v>
          </cell>
        </row>
        <row r="7983">
          <cell r="A7983" t="str">
            <v>YZ-SUZQ173-NB-3XL</v>
          </cell>
          <cell r="B7983" t="str">
            <v>YZ-SUZQ173</v>
          </cell>
        </row>
        <row r="7984">
          <cell r="A7984" t="str">
            <v>YZ-SUZQ173-NB-L</v>
          </cell>
          <cell r="B7984" t="str">
            <v>YZ-SUZQ173</v>
          </cell>
        </row>
        <row r="7985">
          <cell r="A7985" t="str">
            <v>YZ-SUZQ173-NB-M</v>
          </cell>
          <cell r="B7985" t="str">
            <v>YZ-SUZQ173</v>
          </cell>
        </row>
        <row r="7986">
          <cell r="A7986" t="str">
            <v>YZ-SUZQ173-NB-S</v>
          </cell>
          <cell r="B7986" t="str">
            <v>YZ-SUZQ173</v>
          </cell>
        </row>
        <row r="7987">
          <cell r="A7987" t="str">
            <v>YZ-SUZQ173-NB-XL</v>
          </cell>
          <cell r="B7987" t="str">
            <v>YZ-SUZQ173</v>
          </cell>
        </row>
        <row r="7988">
          <cell r="A7988" t="str">
            <v>YZ-SUZQ173-R0-2XL</v>
          </cell>
          <cell r="B7988" t="str">
            <v>YZ-SUZQ173</v>
          </cell>
        </row>
        <row r="7989">
          <cell r="A7989" t="str">
            <v>YZ-SUZQ173-R0-3XL</v>
          </cell>
          <cell r="B7989" t="str">
            <v>YZ-SUZQ173</v>
          </cell>
        </row>
        <row r="7990">
          <cell r="A7990" t="str">
            <v>YZ-SUZQ173-R0-L</v>
          </cell>
          <cell r="B7990" t="str">
            <v>YZ-SUZQ173</v>
          </cell>
        </row>
        <row r="7991">
          <cell r="A7991" t="str">
            <v>YZ-SUZQ173-R0-M</v>
          </cell>
          <cell r="B7991" t="str">
            <v>YZ-SUZQ173</v>
          </cell>
        </row>
        <row r="7992">
          <cell r="A7992" t="str">
            <v>YZ-SUZQ173-R0-S</v>
          </cell>
          <cell r="B7992" t="str">
            <v>YZ-SUZQ173</v>
          </cell>
        </row>
        <row r="7993">
          <cell r="A7993" t="str">
            <v>YZ-SUZQ173-R0-XL</v>
          </cell>
          <cell r="B7993" t="str">
            <v>YZ-SUZQ173</v>
          </cell>
        </row>
        <row r="7994">
          <cell r="A7994" t="str">
            <v>YZ-SUZQ173-SB-2XL</v>
          </cell>
          <cell r="B7994" t="str">
            <v>YZ-SUZQ173</v>
          </cell>
        </row>
        <row r="7995">
          <cell r="A7995" t="str">
            <v>YZ-SUZQ173-SB-3XL</v>
          </cell>
          <cell r="B7995" t="str">
            <v>YZ-SUZQ173</v>
          </cell>
        </row>
        <row r="7996">
          <cell r="A7996" t="str">
            <v>YZ-SUZQ173-SB-L</v>
          </cell>
          <cell r="B7996" t="str">
            <v>YZ-SUZQ173</v>
          </cell>
        </row>
        <row r="7997">
          <cell r="A7997" t="str">
            <v>YZ-SUZQ173-SB-M</v>
          </cell>
          <cell r="B7997" t="str">
            <v>YZ-SUZQ173</v>
          </cell>
        </row>
        <row r="7998">
          <cell r="A7998" t="str">
            <v>YZ-SUZQ173-SB-S</v>
          </cell>
          <cell r="B7998" t="str">
            <v>YZ-SUZQ173</v>
          </cell>
        </row>
        <row r="7999">
          <cell r="A7999" t="str">
            <v>YZ-SUZQ173-SB-XL</v>
          </cell>
          <cell r="B7999" t="str">
            <v>YZ-SUZQ173</v>
          </cell>
        </row>
        <row r="8000">
          <cell r="A8000" t="str">
            <v>YZ-SUZQ1815-PI-S</v>
          </cell>
          <cell r="B8000" t="str">
            <v>YZ-SUZQ1815</v>
          </cell>
        </row>
        <row r="8001">
          <cell r="A8001" t="str">
            <v>YZ-SUZQ187-K0-2X</v>
          </cell>
          <cell r="B8001" t="str">
            <v>YZ-SUZQ187</v>
          </cell>
        </row>
        <row r="8002">
          <cell r="A8002" t="str">
            <v>YZ-SUZQ187-K0-3X</v>
          </cell>
          <cell r="B8002" t="str">
            <v>YZ-SUZQ187</v>
          </cell>
        </row>
        <row r="8003">
          <cell r="A8003" t="str">
            <v>YZ-SUZQ187-K0-4X</v>
          </cell>
          <cell r="B8003" t="str">
            <v>YZ-SUZQ187</v>
          </cell>
        </row>
        <row r="8004">
          <cell r="A8004" t="str">
            <v>YZ-SUZQ187-K0-5X</v>
          </cell>
          <cell r="B8004" t="str">
            <v>YZ-SUZQ187</v>
          </cell>
        </row>
        <row r="8005">
          <cell r="A8005" t="str">
            <v>YZ-SUZQ187-K0-L</v>
          </cell>
          <cell r="B8005" t="str">
            <v>YZ-SUZQ187</v>
          </cell>
        </row>
        <row r="8006">
          <cell r="A8006" t="str">
            <v>YZ-SUZQ187-K0-M</v>
          </cell>
          <cell r="B8006" t="str">
            <v>YZ-SUZQ187</v>
          </cell>
        </row>
        <row r="8007">
          <cell r="A8007" t="str">
            <v>YZ-SUZQ187-K0-S</v>
          </cell>
          <cell r="B8007" t="str">
            <v>YZ-SUZQ187</v>
          </cell>
        </row>
        <row r="8008">
          <cell r="A8008" t="str">
            <v>YZ-SUZQ187-K0-XL</v>
          </cell>
          <cell r="B8008" t="str">
            <v>YZ-SUZQ187</v>
          </cell>
        </row>
        <row r="8009">
          <cell r="A8009" t="str">
            <v>YZ-SUZQ201-G7-M</v>
          </cell>
          <cell r="B8009" t="str">
            <v>YZ-SUZQ201</v>
          </cell>
        </row>
        <row r="8010">
          <cell r="A8010" t="str">
            <v>YZ-SUZQ201-W0-L</v>
          </cell>
          <cell r="B8010" t="str">
            <v>YZ-SUZQ201</v>
          </cell>
        </row>
        <row r="8011">
          <cell r="A8011" t="str">
            <v>YZ-SUZQ388-K0-L</v>
          </cell>
          <cell r="B8011" t="str">
            <v>YZ-SUZQ388</v>
          </cell>
        </row>
        <row r="8012">
          <cell r="A8012" t="str">
            <v>YZ-SUZQ388-K0-M</v>
          </cell>
          <cell r="B8012" t="str">
            <v>YZ-SUZQ388</v>
          </cell>
        </row>
        <row r="8013">
          <cell r="A8013" t="str">
            <v>YZ-SUZQ388-K0-S</v>
          </cell>
          <cell r="B8013" t="str">
            <v>YZ-SUZQ388</v>
          </cell>
        </row>
        <row r="8014">
          <cell r="A8014" t="str">
            <v>YZ-SUZQ388-K0-XL</v>
          </cell>
          <cell r="B8014" t="str">
            <v>YZ-SUZQ388</v>
          </cell>
        </row>
        <row r="8015">
          <cell r="A8015" t="str">
            <v>YZ-SUZQ388-K0-XS</v>
          </cell>
          <cell r="B8015" t="str">
            <v>YZ-SUZQ388</v>
          </cell>
        </row>
        <row r="8016">
          <cell r="A8016" t="str">
            <v>YZ-SUZQ388-W0-L</v>
          </cell>
          <cell r="B8016" t="str">
            <v>YZ-SUZQ388</v>
          </cell>
        </row>
        <row r="8017">
          <cell r="A8017" t="str">
            <v>YZ-SUZQ388-W0-M</v>
          </cell>
          <cell r="B8017" t="str">
            <v>YZ-SUZQ388</v>
          </cell>
        </row>
        <row r="8018">
          <cell r="A8018" t="str">
            <v>YZ-SUZQ388-W0-S</v>
          </cell>
          <cell r="B8018" t="str">
            <v>YZ-SUZQ388</v>
          </cell>
        </row>
        <row r="8019">
          <cell r="A8019" t="str">
            <v>YZ-SUZQ388-W0-XL</v>
          </cell>
          <cell r="B8019" t="str">
            <v>YZ-SUZQ388</v>
          </cell>
        </row>
        <row r="8020">
          <cell r="A8020" t="str">
            <v>YZ-SUZQ388-W0-XS</v>
          </cell>
          <cell r="B8020" t="str">
            <v>YZ-SUZQ388</v>
          </cell>
        </row>
        <row r="8021">
          <cell r="A8021" t="str">
            <v>YZ-SUZQ598-R0-2XL</v>
          </cell>
          <cell r="B8021" t="str">
            <v>YZ-SUZQ598</v>
          </cell>
        </row>
        <row r="8022">
          <cell r="A8022" t="str">
            <v>YZ-SUZQ598-R0-3XL</v>
          </cell>
          <cell r="B8022" t="str">
            <v>YZ-SUZQ598</v>
          </cell>
        </row>
        <row r="8023">
          <cell r="A8023" t="str">
            <v>YZ-SUZQ598-R0-4XL</v>
          </cell>
          <cell r="B8023" t="str">
            <v>YZ-SUZQ598</v>
          </cell>
        </row>
        <row r="8024">
          <cell r="A8024" t="str">
            <v>YZ-SUZQ598-R0-5XL</v>
          </cell>
          <cell r="B8024" t="str">
            <v>YZ-SUZQ598</v>
          </cell>
        </row>
        <row r="8025">
          <cell r="A8025" t="str">
            <v>YZ-SUZQ598-R0-L</v>
          </cell>
          <cell r="B8025" t="str">
            <v>YZ-SUZQ598</v>
          </cell>
        </row>
        <row r="8026">
          <cell r="A8026" t="str">
            <v>YZ-SUZQ598-R0-XL</v>
          </cell>
          <cell r="B8026" t="str">
            <v>YZ-SUZQ598</v>
          </cell>
        </row>
        <row r="8027">
          <cell r="A8027" t="str">
            <v>YZ-SUZQ733-K0-2XL</v>
          </cell>
          <cell r="B8027" t="str">
            <v>YZ-SUZQ733</v>
          </cell>
        </row>
        <row r="8028">
          <cell r="A8028" t="str">
            <v>YZ-SUZQ733-K0-3XL</v>
          </cell>
          <cell r="B8028" t="str">
            <v>YZ-SUZQ733</v>
          </cell>
        </row>
        <row r="8029">
          <cell r="A8029" t="str">
            <v>YZ-SUZQ733-K0-L</v>
          </cell>
          <cell r="B8029" t="str">
            <v>YZ-SUZQ733</v>
          </cell>
        </row>
        <row r="8030">
          <cell r="A8030" t="str">
            <v>YZ-SUZQ733-K0-M</v>
          </cell>
          <cell r="B8030" t="str">
            <v>YZ-SUZQ733</v>
          </cell>
        </row>
        <row r="8031">
          <cell r="A8031" t="str">
            <v>YZ-SUZQ733-K0-S</v>
          </cell>
          <cell r="B8031" t="str">
            <v>YZ-SUZQ733</v>
          </cell>
        </row>
        <row r="8032">
          <cell r="A8032" t="str">
            <v>YZ-SUZQ733-K0-XL</v>
          </cell>
          <cell r="B8032" t="str">
            <v>YZ-SUZQ733</v>
          </cell>
        </row>
        <row r="8033">
          <cell r="A8033" t="str">
            <v>YZ-SUZQ733-NB-2XL</v>
          </cell>
          <cell r="B8033" t="str">
            <v>YZ-SUZQ733</v>
          </cell>
        </row>
        <row r="8034">
          <cell r="A8034" t="str">
            <v>YZ-SUZQ733-NB-3XL</v>
          </cell>
          <cell r="B8034" t="str">
            <v>YZ-SUZQ733</v>
          </cell>
        </row>
        <row r="8035">
          <cell r="A8035" t="str">
            <v>YZ-SUZQ733-NB-L</v>
          </cell>
          <cell r="B8035" t="str">
            <v>YZ-SUZQ733</v>
          </cell>
        </row>
        <row r="8036">
          <cell r="A8036" t="str">
            <v>YZ-SUZQ733-NB-M</v>
          </cell>
          <cell r="B8036" t="str">
            <v>YZ-SUZQ733</v>
          </cell>
        </row>
        <row r="8037">
          <cell r="A8037" t="str">
            <v>YZ-SUZQ733-NB-S</v>
          </cell>
          <cell r="B8037" t="str">
            <v>YZ-SUZQ733</v>
          </cell>
        </row>
        <row r="8038">
          <cell r="A8038" t="str">
            <v>YZ-SUZQ733-NB-XL</v>
          </cell>
          <cell r="B8038" t="str">
            <v>YZ-SUZQ733</v>
          </cell>
        </row>
        <row r="8039">
          <cell r="A8039" t="str">
            <v>YZ-SUZQ733-R0-2XL</v>
          </cell>
          <cell r="B8039" t="str">
            <v>YZ-SUZQ733</v>
          </cell>
        </row>
        <row r="8040">
          <cell r="A8040" t="str">
            <v>YZ-SUZQ733-R0-3XL</v>
          </cell>
          <cell r="B8040" t="str">
            <v>YZ-SUZQ733</v>
          </cell>
        </row>
        <row r="8041">
          <cell r="A8041" t="str">
            <v>YZ-SUZQ733-R0-L</v>
          </cell>
          <cell r="B8041" t="str">
            <v>YZ-SUZQ733</v>
          </cell>
        </row>
        <row r="8042">
          <cell r="A8042" t="str">
            <v>YZ-SUZQ733-R0-M</v>
          </cell>
          <cell r="B8042" t="str">
            <v>YZ-SUZQ733</v>
          </cell>
        </row>
        <row r="8043">
          <cell r="A8043" t="str">
            <v>YZ-SUZQ733-R0-S</v>
          </cell>
          <cell r="B8043" t="str">
            <v>YZ-SUZQ733</v>
          </cell>
        </row>
        <row r="8044">
          <cell r="A8044" t="str">
            <v>YZ-SUZQ733-R0-XL</v>
          </cell>
          <cell r="B8044" t="str">
            <v>YZ-SUZQ733</v>
          </cell>
        </row>
        <row r="8045">
          <cell r="A8045" t="str">
            <v>YZ-SUZQ733-SB-2XL</v>
          </cell>
          <cell r="B8045" t="str">
            <v>YZ-SUZQ733</v>
          </cell>
        </row>
        <row r="8046">
          <cell r="A8046" t="str">
            <v>YZ-SUZQ733-SB-3XL</v>
          </cell>
          <cell r="B8046" t="str">
            <v>YZ-SUZQ733</v>
          </cell>
        </row>
        <row r="8047">
          <cell r="A8047" t="str">
            <v>YZ-SUZQ733-SB-L</v>
          </cell>
          <cell r="B8047" t="str">
            <v>YZ-SUZQ733</v>
          </cell>
        </row>
        <row r="8048">
          <cell r="A8048" t="str">
            <v>YZ-SUZQ733-SB-M</v>
          </cell>
          <cell r="B8048" t="str">
            <v>YZ-SUZQ733</v>
          </cell>
        </row>
        <row r="8049">
          <cell r="A8049" t="str">
            <v>YZ-SUZQ733-SB-S</v>
          </cell>
          <cell r="B8049" t="str">
            <v>YZ-SUZQ733</v>
          </cell>
        </row>
        <row r="8050">
          <cell r="A8050" t="str">
            <v>YZ-SUZQ733-SB-XL</v>
          </cell>
          <cell r="B8050" t="str">
            <v>YZ-SUZQ733</v>
          </cell>
        </row>
        <row r="8051">
          <cell r="A8051" t="str">
            <v>YZ-SUZQ9441-K0-2XL</v>
          </cell>
          <cell r="B8051" t="str">
            <v>YZ-SUZQ9441</v>
          </cell>
        </row>
        <row r="8052">
          <cell r="A8052" t="str">
            <v>YZ-SUZQ9441-K0-2XL-GM</v>
          </cell>
          <cell r="B8052" t="str">
            <v>YZ-SUZQ9441</v>
          </cell>
        </row>
        <row r="8053">
          <cell r="A8053" t="str">
            <v>YZ-SUZQ9441-K0-3XL</v>
          </cell>
          <cell r="B8053" t="str">
            <v>YZ-SUZQ9441</v>
          </cell>
        </row>
        <row r="8054">
          <cell r="A8054" t="str">
            <v>YZ-SUZQ9441-K0-3XL-GM</v>
          </cell>
          <cell r="B8054" t="str">
            <v>YZ-SUZQ9441</v>
          </cell>
        </row>
        <row r="8055">
          <cell r="A8055" t="str">
            <v>YZ-SUZQ9441-K0-L</v>
          </cell>
          <cell r="B8055" t="str">
            <v>YZ-SUZQ9441</v>
          </cell>
        </row>
        <row r="8056">
          <cell r="A8056" t="str">
            <v>YZ-SUZQ9441-K0-L-GM</v>
          </cell>
          <cell r="B8056" t="str">
            <v>YZ-SUZQ9441</v>
          </cell>
        </row>
        <row r="8057">
          <cell r="A8057" t="str">
            <v>YZ-SUZQ9441-K0-M</v>
          </cell>
          <cell r="B8057" t="str">
            <v>YZ-SUZQ9441</v>
          </cell>
        </row>
        <row r="8058">
          <cell r="A8058" t="str">
            <v>YZ-SUZQ9441-K0-M-GM</v>
          </cell>
          <cell r="B8058" t="str">
            <v>YZ-SUZQ9441</v>
          </cell>
        </row>
        <row r="8059">
          <cell r="A8059" t="str">
            <v>YZ-SUZQ9441-K0-S</v>
          </cell>
          <cell r="B8059" t="str">
            <v>YZ-SUZQ9441</v>
          </cell>
        </row>
        <row r="8060">
          <cell r="A8060" t="str">
            <v>YZ-SUZQ9441-K0-S-GM</v>
          </cell>
          <cell r="B8060" t="str">
            <v>YZ-SUZQ9441</v>
          </cell>
        </row>
        <row r="8061">
          <cell r="A8061" t="str">
            <v>YZ-SUZQ9441-K0-XL</v>
          </cell>
          <cell r="B8061" t="str">
            <v>YZ-SUZQ9441</v>
          </cell>
        </row>
        <row r="8062">
          <cell r="A8062" t="str">
            <v>YZ-SUZQ9441-K0-XL-GM</v>
          </cell>
          <cell r="B8062" t="str">
            <v>YZ-SUZQ9441</v>
          </cell>
        </row>
        <row r="8063">
          <cell r="A8063" t="str">
            <v>YZ-SUZQ9441-R0-2XL</v>
          </cell>
          <cell r="B8063" t="str">
            <v>YZ-SUZQ9441</v>
          </cell>
        </row>
        <row r="8064">
          <cell r="A8064" t="str">
            <v>YZ-SUZQ9441-R0-2XL-GM</v>
          </cell>
          <cell r="B8064" t="str">
            <v>YZ-SUZQ9441</v>
          </cell>
        </row>
        <row r="8065">
          <cell r="A8065" t="str">
            <v>YZ-SUZQ9441-R0-3XL</v>
          </cell>
          <cell r="B8065" t="str">
            <v>YZ-SUZQ9441</v>
          </cell>
        </row>
        <row r="8066">
          <cell r="A8066" t="str">
            <v>YZ-SUZQ9441-R0-3XL-GM</v>
          </cell>
          <cell r="B8066" t="str">
            <v>YZ-SUZQ9441</v>
          </cell>
        </row>
        <row r="8067">
          <cell r="A8067" t="str">
            <v>YZ-SUZQ9441-R0-L</v>
          </cell>
          <cell r="B8067" t="str">
            <v>YZ-SUZQ9441</v>
          </cell>
        </row>
        <row r="8068">
          <cell r="A8068" t="str">
            <v>YZ-SUZQ9441-R0-L-GM</v>
          </cell>
          <cell r="B8068" t="str">
            <v>YZ-SUZQ9441</v>
          </cell>
        </row>
        <row r="8069">
          <cell r="A8069" t="str">
            <v>YZ-SUZQ9441-R0-M</v>
          </cell>
          <cell r="B8069" t="str">
            <v>YZ-SUZQ9441</v>
          </cell>
        </row>
        <row r="8070">
          <cell r="A8070" t="str">
            <v>YZ-SUZQ9441-R0-M-GM</v>
          </cell>
          <cell r="B8070" t="str">
            <v>YZ-SUZQ9441</v>
          </cell>
        </row>
        <row r="8071">
          <cell r="A8071" t="str">
            <v>YZ-SUZQ9441-R0-S</v>
          </cell>
          <cell r="B8071" t="str">
            <v>YZ-SUZQ9441</v>
          </cell>
        </row>
        <row r="8072">
          <cell r="A8072" t="str">
            <v>YZ-SUZQ9441-R0-S-GM</v>
          </cell>
          <cell r="B8072" t="str">
            <v>YZ-SUZQ9441</v>
          </cell>
        </row>
        <row r="8073">
          <cell r="A8073" t="str">
            <v>YZ-SUZQ9441-R0-XL</v>
          </cell>
          <cell r="B8073" t="str">
            <v>YZ-SUZQ9441</v>
          </cell>
        </row>
        <row r="8074">
          <cell r="A8074" t="str">
            <v>YZ-SUZQ9441-R0-XL-GM</v>
          </cell>
          <cell r="B8074" t="str">
            <v>YZ-SUZQ9441</v>
          </cell>
        </row>
        <row r="8075">
          <cell r="A8075" t="str">
            <v>YZ-SUZQ946-B0-L</v>
          </cell>
          <cell r="B8075" t="str">
            <v>YZ-SUZQ946</v>
          </cell>
        </row>
        <row r="8076">
          <cell r="A8076" t="str">
            <v>YZ-SUZQBL03-B0-2X</v>
          </cell>
          <cell r="B8076" t="str">
            <v>YZ-SUZQBL03</v>
          </cell>
        </row>
        <row r="8077">
          <cell r="A8077" t="str">
            <v>YZ-SUZQBL03-B0-3X</v>
          </cell>
          <cell r="B8077" t="str">
            <v>YZ-SUZQBL03</v>
          </cell>
        </row>
        <row r="8078">
          <cell r="A8078" t="str">
            <v>YZ-SUZQBL03-B0-L</v>
          </cell>
          <cell r="B8078" t="str">
            <v>YZ-SUZQBL03</v>
          </cell>
        </row>
        <row r="8079">
          <cell r="A8079" t="str">
            <v>YZ-SUZQBL03-B0-M</v>
          </cell>
          <cell r="B8079" t="str">
            <v>YZ-SUZQBL03</v>
          </cell>
        </row>
        <row r="8080">
          <cell r="A8080" t="str">
            <v>YZ-SUZQBL03-B0-S</v>
          </cell>
          <cell r="B8080" t="str">
            <v>YZ-SUZQBL03</v>
          </cell>
        </row>
        <row r="8081">
          <cell r="A8081" t="str">
            <v>YZ-SUZQBL03-B0-XL</v>
          </cell>
          <cell r="B8081" t="str">
            <v>YZ-SUZQBL03</v>
          </cell>
        </row>
        <row r="8082">
          <cell r="A8082" t="str">
            <v>YZ-SUZQBL03-K0-2X</v>
          </cell>
          <cell r="B8082" t="str">
            <v>YZ-SUZQBL03</v>
          </cell>
        </row>
        <row r="8083">
          <cell r="A8083" t="str">
            <v>YZ-SUZQBL03-K0-3X</v>
          </cell>
          <cell r="B8083" t="str">
            <v>YZ-SUZQBL03</v>
          </cell>
        </row>
        <row r="8084">
          <cell r="A8084" t="str">
            <v>YZ-SUZQBL03-K0-L</v>
          </cell>
          <cell r="B8084" t="str">
            <v>YZ-SUZQBL03</v>
          </cell>
        </row>
        <row r="8085">
          <cell r="A8085" t="str">
            <v>YZ-SUZQBL03-K0-M</v>
          </cell>
          <cell r="B8085" t="str">
            <v>YZ-SUZQBL03</v>
          </cell>
        </row>
        <row r="8086">
          <cell r="A8086" t="str">
            <v>YZ-SUZQBL03-K0-S</v>
          </cell>
          <cell r="B8086" t="str">
            <v>YZ-SUZQBL03</v>
          </cell>
        </row>
        <row r="8087">
          <cell r="A8087" t="str">
            <v>YZ-SUZQBL03-K0-XL</v>
          </cell>
          <cell r="B8087" t="str">
            <v>YZ-SUZQBL03</v>
          </cell>
        </row>
        <row r="8088">
          <cell r="A8088" t="str">
            <v>YZ-SUZQBL03-R2-2X</v>
          </cell>
          <cell r="B8088" t="str">
            <v>YZ-SUZQBL03</v>
          </cell>
        </row>
        <row r="8089">
          <cell r="A8089" t="str">
            <v>YZ-SUZQBL03-R2-3X</v>
          </cell>
          <cell r="B8089" t="str">
            <v>YZ-SUZQBL03</v>
          </cell>
        </row>
        <row r="8090">
          <cell r="A8090" t="str">
            <v>YZ-SUZQBL03-R2-L</v>
          </cell>
          <cell r="B8090" t="str">
            <v>YZ-SUZQBL03</v>
          </cell>
        </row>
        <row r="8091">
          <cell r="A8091" t="str">
            <v>YZ-SUZQBL03-R2-M</v>
          </cell>
          <cell r="B8091" t="str">
            <v>YZ-SUZQBL03</v>
          </cell>
        </row>
        <row r="8092">
          <cell r="A8092" t="str">
            <v>YZ-SUZQBL03-R2-S</v>
          </cell>
          <cell r="B8092" t="str">
            <v>YZ-SUZQBL03</v>
          </cell>
        </row>
        <row r="8093">
          <cell r="A8093" t="str">
            <v>YZ-SUZQBL03-R2-XL</v>
          </cell>
          <cell r="B8093" t="str">
            <v>YZ-SUZQBL03</v>
          </cell>
        </row>
        <row r="8094">
          <cell r="A8094" t="str">
            <v>YZ-SYCA1018YeM</v>
          </cell>
          <cell r="B8094" t="str">
            <v>YZ-SYCA1018</v>
          </cell>
        </row>
        <row r="8095">
          <cell r="A8095" t="str">
            <v>YZ-TJ1245001L</v>
          </cell>
          <cell r="B8095" t="str">
            <v>YZ-TJ1245</v>
          </cell>
        </row>
        <row r="8096">
          <cell r="A8096" t="str">
            <v>YZ-TJ1245002L</v>
          </cell>
          <cell r="B8096" t="str">
            <v>YZ-TJ1245</v>
          </cell>
        </row>
        <row r="8097">
          <cell r="A8097" t="str">
            <v>YZ-TJ1245003L</v>
          </cell>
          <cell r="B8097" t="str">
            <v>YZ-TJ1245</v>
          </cell>
        </row>
        <row r="8098">
          <cell r="A8098" t="str">
            <v>YZ-TJ1245003L-GM</v>
          </cell>
          <cell r="B8098" t="str">
            <v>YZ-TJ1245</v>
          </cell>
        </row>
        <row r="8099">
          <cell r="A8099" t="str">
            <v>YZ-TJ124500L</v>
          </cell>
          <cell r="B8099" t="str">
            <v>YZ-TJ1245</v>
          </cell>
        </row>
        <row r="8100">
          <cell r="A8100" t="str">
            <v>YZ-TJ124500M</v>
          </cell>
          <cell r="B8100" t="str">
            <v>YZ-TJ1245</v>
          </cell>
        </row>
        <row r="8101">
          <cell r="A8101" t="str">
            <v>YZ-TJ1245G01L</v>
          </cell>
          <cell r="B8101" t="str">
            <v>YZ-TJ1245</v>
          </cell>
        </row>
        <row r="8102">
          <cell r="A8102" t="str">
            <v>YZ-TJ1245G02L</v>
          </cell>
          <cell r="B8102" t="str">
            <v>YZ-TJ1245</v>
          </cell>
        </row>
        <row r="8103">
          <cell r="A8103" t="str">
            <v>YZ-TJ1245G03L</v>
          </cell>
          <cell r="B8103" t="str">
            <v>YZ-TJ1245</v>
          </cell>
        </row>
        <row r="8104">
          <cell r="A8104" t="str">
            <v>YZ-TJ1245G03L-GM</v>
          </cell>
          <cell r="B8104" t="str">
            <v>YZ-TJ1245</v>
          </cell>
        </row>
        <row r="8105">
          <cell r="A8105" t="str">
            <v>YZ-TJ1245G0L</v>
          </cell>
          <cell r="B8105" t="str">
            <v>YZ-TJ1245</v>
          </cell>
        </row>
        <row r="8106">
          <cell r="A8106" t="str">
            <v>YZ-TJ1245G0M</v>
          </cell>
          <cell r="B8106" t="str">
            <v>YZ-TJ1245</v>
          </cell>
        </row>
        <row r="8107">
          <cell r="A8107" t="str">
            <v>YZ-TJ1245-K0-M</v>
          </cell>
          <cell r="B8107" t="str">
            <v>YZ-TJ1245</v>
          </cell>
        </row>
        <row r="8108">
          <cell r="A8108" t="str">
            <v>YZ-TJ1245-K0-XL</v>
          </cell>
          <cell r="B8108" t="str">
            <v>YZ-TJ1245</v>
          </cell>
        </row>
        <row r="8109">
          <cell r="A8109" t="str">
            <v>YZ-TJ1245W01L</v>
          </cell>
          <cell r="B8109" t="str">
            <v>YZ-TJ1245</v>
          </cell>
        </row>
        <row r="8110">
          <cell r="A8110" t="str">
            <v>YZ-TJ1245W02L</v>
          </cell>
          <cell r="B8110" t="str">
            <v>YZ-TJ1245</v>
          </cell>
        </row>
        <row r="8111">
          <cell r="A8111" t="str">
            <v>YZ-TJ1245W03L</v>
          </cell>
          <cell r="B8111" t="str">
            <v>YZ-TJ1245</v>
          </cell>
        </row>
        <row r="8112">
          <cell r="A8112" t="str">
            <v>YZ-TJ1245W0L</v>
          </cell>
          <cell r="B8112" t="str">
            <v>YZ-TJ1245</v>
          </cell>
        </row>
        <row r="8113">
          <cell r="A8113" t="str">
            <v>YZ-TJ1245W0M</v>
          </cell>
          <cell r="B8113" t="str">
            <v>YZ-TJ1245</v>
          </cell>
        </row>
        <row r="8114">
          <cell r="A8114" t="str">
            <v>YZ-WHZ766-R0-L</v>
          </cell>
          <cell r="B8114" t="str">
            <v>YZ-WHZ766</v>
          </cell>
        </row>
        <row r="8115">
          <cell r="A8115" t="str">
            <v>YZ-WHZ766-R0-M</v>
          </cell>
          <cell r="B8115" t="str">
            <v>YZ-WHZ766</v>
          </cell>
        </row>
        <row r="8116">
          <cell r="A8116" t="str">
            <v>YZ-WHZ766-R0-S</v>
          </cell>
          <cell r="B8116" t="str">
            <v>YZ-WHZ766</v>
          </cell>
        </row>
        <row r="8117">
          <cell r="A8117" t="str">
            <v>YZ-WHZ766-R0-XL</v>
          </cell>
          <cell r="B8117" t="str">
            <v>YZ-WHZ766</v>
          </cell>
        </row>
        <row r="8118">
          <cell r="A8118" t="str">
            <v>YZ-XJ001Gr2L</v>
          </cell>
          <cell r="B8118" t="str">
            <v>YZ-XJ001</v>
          </cell>
        </row>
        <row r="8119">
          <cell r="A8119" t="str">
            <v>YZ-XJ001GrXL</v>
          </cell>
          <cell r="B8119" t="str">
            <v>YZ-XJ001</v>
          </cell>
        </row>
        <row r="8120">
          <cell r="A8120" t="str">
            <v>YZ-XQ1443K02XL</v>
          </cell>
          <cell r="B8120" t="str">
            <v>YZ-XQ1443</v>
          </cell>
        </row>
        <row r="8121">
          <cell r="A8121" t="str">
            <v>YZ-XQ1443K03XL</v>
          </cell>
          <cell r="B8121" t="str">
            <v>YZ-XQ1443</v>
          </cell>
        </row>
        <row r="8122">
          <cell r="A8122" t="str">
            <v>YZ-XQ1443K0L</v>
          </cell>
          <cell r="B8122" t="str">
            <v>YZ-XQ1443</v>
          </cell>
        </row>
        <row r="8123">
          <cell r="A8123" t="str">
            <v>YZ-XQ1443K0M</v>
          </cell>
          <cell r="B8123" t="str">
            <v>YZ-XQ1443</v>
          </cell>
        </row>
        <row r="8124">
          <cell r="A8124" t="str">
            <v>YZ-XQ1443K0XL</v>
          </cell>
          <cell r="B8124" t="str">
            <v>YZ-XQ1443</v>
          </cell>
        </row>
        <row r="8125">
          <cell r="A8125" t="str">
            <v>YZ-XQ1443Re2XL</v>
          </cell>
          <cell r="B8125" t="str">
            <v>YZ-XQ1443</v>
          </cell>
        </row>
        <row r="8126">
          <cell r="A8126" t="str">
            <v>YZ-XQ1443Re3XL</v>
          </cell>
          <cell r="B8126" t="str">
            <v>YZ-XQ1443</v>
          </cell>
        </row>
        <row r="8127">
          <cell r="A8127" t="str">
            <v>YZ-XQ1443ReL</v>
          </cell>
          <cell r="B8127" t="str">
            <v>YZ-XQ1443</v>
          </cell>
        </row>
        <row r="8128">
          <cell r="A8128" t="str">
            <v>YZ-XQ1443ReM</v>
          </cell>
          <cell r="B8128" t="str">
            <v>YZ-XQ1443</v>
          </cell>
        </row>
        <row r="8129">
          <cell r="A8129" t="str">
            <v>YZ-XQ1443ReXL</v>
          </cell>
          <cell r="B8129" t="str">
            <v>YZ-XQ1443</v>
          </cell>
        </row>
        <row r="8130">
          <cell r="A8130" t="str">
            <v>YZ-XSW3071Feather5L</v>
          </cell>
          <cell r="B8130" t="str">
            <v>YZ-XSW3071</v>
          </cell>
        </row>
        <row r="8131">
          <cell r="A8131" t="str">
            <v>YZ-YGD2000-2XL</v>
          </cell>
          <cell r="B8131" t="str">
            <v>YZ-YGD2000</v>
          </cell>
        </row>
        <row r="8132">
          <cell r="A8132" t="str">
            <v>YZ-YGD2000-3XL</v>
          </cell>
          <cell r="B8132" t="str">
            <v>YZ-YGD2000</v>
          </cell>
        </row>
        <row r="8133">
          <cell r="A8133" t="str">
            <v>YZ-YGD2000-L</v>
          </cell>
          <cell r="B8133" t="str">
            <v>YZ-YGD2000</v>
          </cell>
        </row>
        <row r="8134">
          <cell r="A8134" t="str">
            <v>YZ-YGD2000-M</v>
          </cell>
          <cell r="B8134" t="str">
            <v>YZ-YGD2000</v>
          </cell>
        </row>
        <row r="8135">
          <cell r="A8135" t="str">
            <v>YZ-YGD2000-S</v>
          </cell>
          <cell r="B8135" t="str">
            <v>YZ-YGD2000</v>
          </cell>
        </row>
        <row r="8136">
          <cell r="A8136" t="str">
            <v>YZ-YGD2000-XL</v>
          </cell>
          <cell r="B8136" t="str">
            <v>YZ-YGD2000</v>
          </cell>
        </row>
        <row r="8137">
          <cell r="A8137" t="str">
            <v>YZ-YO1521-BF-2XL</v>
          </cell>
          <cell r="B8137" t="str">
            <v>YZ-YO1521</v>
          </cell>
        </row>
        <row r="8138">
          <cell r="A8138" t="str">
            <v>YZ-YO1521-BF-3XL</v>
          </cell>
          <cell r="B8138" t="str">
            <v>YZ-YO1521</v>
          </cell>
        </row>
        <row r="8139">
          <cell r="A8139" t="str">
            <v>YZ-YO1521-BF-4XL</v>
          </cell>
          <cell r="B8139" t="str">
            <v>YZ-YO1521</v>
          </cell>
        </row>
        <row r="8140">
          <cell r="A8140" t="str">
            <v>YZ-YO1521-BF-5XL</v>
          </cell>
          <cell r="B8140" t="str">
            <v>YZ-YO1521</v>
          </cell>
        </row>
        <row r="8141">
          <cell r="A8141" t="str">
            <v>YZ-YO1521-BF-XL</v>
          </cell>
          <cell r="B8141" t="str">
            <v>YZ-YO1521</v>
          </cell>
        </row>
        <row r="8142">
          <cell r="A8142" t="str">
            <v>YZ-YO1521-BL-2XL</v>
          </cell>
          <cell r="B8142" t="str">
            <v>YZ-YO1521</v>
          </cell>
        </row>
        <row r="8143">
          <cell r="A8143" t="str">
            <v>YZ-YO1521-BL-3XL</v>
          </cell>
          <cell r="B8143" t="str">
            <v>YZ-YO1521</v>
          </cell>
        </row>
        <row r="8144">
          <cell r="A8144" t="str">
            <v>YZ-YO1521-BL-4XL</v>
          </cell>
          <cell r="B8144" t="str">
            <v>YZ-YO1521</v>
          </cell>
        </row>
        <row r="8145">
          <cell r="A8145" t="str">
            <v>YZ-YO1521-BL-5XL</v>
          </cell>
          <cell r="B8145" t="str">
            <v>YZ-YO1521</v>
          </cell>
        </row>
        <row r="8146">
          <cell r="A8146" t="str">
            <v>YZ-YO1521-BL-XL</v>
          </cell>
          <cell r="B8146" t="str">
            <v>YZ-YO1521</v>
          </cell>
        </row>
        <row r="8147">
          <cell r="A8147" t="str">
            <v>YZ-YO1521-GF-2XL</v>
          </cell>
          <cell r="B8147" t="str">
            <v>YZ-YO1521</v>
          </cell>
        </row>
        <row r="8148">
          <cell r="A8148" t="str">
            <v>YZ-YO1521-GF-3XL</v>
          </cell>
          <cell r="B8148" t="str">
            <v>YZ-YO1521</v>
          </cell>
        </row>
        <row r="8149">
          <cell r="A8149" t="str">
            <v>YZ-YO1521-GF-4XL</v>
          </cell>
          <cell r="B8149" t="str">
            <v>YZ-YO1521</v>
          </cell>
        </row>
        <row r="8150">
          <cell r="A8150" t="str">
            <v>YZ-YO1521-GF-5XL</v>
          </cell>
          <cell r="B8150" t="str">
            <v>YZ-YO1521</v>
          </cell>
        </row>
        <row r="8151">
          <cell r="A8151" t="str">
            <v>YZ-YO1521-GF-XL</v>
          </cell>
          <cell r="B8151" t="str">
            <v>YZ-YO1521</v>
          </cell>
        </row>
        <row r="8152">
          <cell r="A8152" t="str">
            <v>YZ-YO1521-GW-2XL</v>
          </cell>
          <cell r="B8152" t="str">
            <v>YZ-YO1521</v>
          </cell>
        </row>
        <row r="8153">
          <cell r="A8153" t="str">
            <v>YZ-YO1521-GW-3XL</v>
          </cell>
          <cell r="B8153" t="str">
            <v>YZ-YO1521</v>
          </cell>
        </row>
        <row r="8154">
          <cell r="A8154" t="str">
            <v>YZ-YO1521-GW-4XL</v>
          </cell>
          <cell r="B8154" t="str">
            <v>YZ-YO1521</v>
          </cell>
        </row>
        <row r="8155">
          <cell r="A8155" t="str">
            <v>YZ-YO1521-GW-5XL</v>
          </cell>
          <cell r="B8155" t="str">
            <v>YZ-YO1521</v>
          </cell>
        </row>
        <row r="8156">
          <cell r="A8156" t="str">
            <v>YZ-YO1521-GW-XL</v>
          </cell>
          <cell r="B8156" t="str">
            <v>YZ-YO1521</v>
          </cell>
        </row>
        <row r="8157">
          <cell r="A8157" t="str">
            <v>YZ-YO1521-KF-2XL</v>
          </cell>
          <cell r="B8157" t="str">
            <v>YZ-YO1521</v>
          </cell>
        </row>
        <row r="8158">
          <cell r="A8158" t="str">
            <v>YZ-YO1521-KF-3XL</v>
          </cell>
          <cell r="B8158" t="str">
            <v>YZ-YO1521</v>
          </cell>
        </row>
        <row r="8159">
          <cell r="A8159" t="str">
            <v>YZ-YO1521-KF-4XL</v>
          </cell>
          <cell r="B8159" t="str">
            <v>YZ-YO1521</v>
          </cell>
        </row>
        <row r="8160">
          <cell r="A8160" t="str">
            <v>YZ-YO1521-KF-5XL</v>
          </cell>
          <cell r="B8160" t="str">
            <v>YZ-YO1521</v>
          </cell>
        </row>
        <row r="8161">
          <cell r="A8161" t="str">
            <v>YZ-YO1521-KF-XL</v>
          </cell>
          <cell r="B8161" t="str">
            <v>YZ-YO1521</v>
          </cell>
        </row>
        <row r="8162">
          <cell r="A8162" t="str">
            <v>YZ-YO1521-RF-2XL</v>
          </cell>
          <cell r="B8162" t="str">
            <v>YZ-YO1521</v>
          </cell>
        </row>
        <row r="8163">
          <cell r="A8163" t="str">
            <v>YZ-YO1521-RF-3XL</v>
          </cell>
          <cell r="B8163" t="str">
            <v>YZ-YO1521</v>
          </cell>
        </row>
        <row r="8164">
          <cell r="A8164" t="str">
            <v>YZ-YO1521-RF-4XL</v>
          </cell>
          <cell r="B8164" t="str">
            <v>YZ-YO1521</v>
          </cell>
        </row>
        <row r="8165">
          <cell r="A8165" t="str">
            <v>YZ-YO1521-RF-5XL</v>
          </cell>
          <cell r="B8165" t="str">
            <v>YZ-YO1521</v>
          </cell>
        </row>
        <row r="8166">
          <cell r="A8166" t="str">
            <v>YZ-YO1521-RF-XL</v>
          </cell>
          <cell r="B8166" t="str">
            <v>YZ-YO1521</v>
          </cell>
        </row>
        <row r="8167">
          <cell r="A8167" t="str">
            <v>YZ-YO1521-RL-2XL</v>
          </cell>
          <cell r="B8167" t="str">
            <v>YZ-YO1521</v>
          </cell>
        </row>
        <row r="8168">
          <cell r="A8168" t="str">
            <v>YZ-YO1521-RL-3XL</v>
          </cell>
          <cell r="B8168" t="str">
            <v>YZ-YO1521</v>
          </cell>
        </row>
        <row r="8169">
          <cell r="A8169" t="str">
            <v>YZ-YO1521-RL-4XL</v>
          </cell>
          <cell r="B8169" t="str">
            <v>YZ-YO1521</v>
          </cell>
        </row>
        <row r="8170">
          <cell r="A8170" t="str">
            <v>YZ-YO1521-RL-5XL</v>
          </cell>
          <cell r="B8170" t="str">
            <v>YZ-YO1521</v>
          </cell>
        </row>
        <row r="8171">
          <cell r="A8171" t="str">
            <v>YZ-YO1521-RL-XL</v>
          </cell>
          <cell r="B8171" t="str">
            <v>YZ-YO1521</v>
          </cell>
        </row>
        <row r="8172">
          <cell r="A8172" t="str">
            <v>YZ-YO1521-RM-2XL</v>
          </cell>
          <cell r="B8172" t="str">
            <v>YZ-YO1521</v>
          </cell>
        </row>
        <row r="8173">
          <cell r="A8173" t="str">
            <v>YZ-YO1521-RM-3XL</v>
          </cell>
          <cell r="B8173" t="str">
            <v>YZ-YO1521</v>
          </cell>
        </row>
        <row r="8174">
          <cell r="A8174" t="str">
            <v>YZ-YO1521-RM-4XL</v>
          </cell>
          <cell r="B8174" t="str">
            <v>YZ-YO1521</v>
          </cell>
        </row>
        <row r="8175">
          <cell r="A8175" t="str">
            <v>YZ-YO1521-RM-5XL</v>
          </cell>
          <cell r="B8175" t="str">
            <v>YZ-YO1521</v>
          </cell>
        </row>
        <row r="8176">
          <cell r="A8176" t="str">
            <v>YZ-YO1521-RM-XL</v>
          </cell>
          <cell r="B8176" t="str">
            <v>YZ-YO1521</v>
          </cell>
        </row>
        <row r="8177">
          <cell r="A8177" t="str">
            <v>YZ-YO1521-WP-2XL</v>
          </cell>
          <cell r="B8177" t="str">
            <v>YZ-YO1521</v>
          </cell>
        </row>
        <row r="8178">
          <cell r="A8178" t="str">
            <v>YZ-YO1521-WP-3XL</v>
          </cell>
          <cell r="B8178" t="str">
            <v>YZ-YO1521</v>
          </cell>
        </row>
        <row r="8179">
          <cell r="A8179" t="str">
            <v>YZ-YO1521-WP-4XL</v>
          </cell>
          <cell r="B8179" t="str">
            <v>YZ-YO1521</v>
          </cell>
        </row>
        <row r="8180">
          <cell r="A8180" t="str">
            <v>YZ-YO1521-WP-5XL</v>
          </cell>
          <cell r="B8180" t="str">
            <v>YZ-YO1521</v>
          </cell>
        </row>
        <row r="8181">
          <cell r="A8181" t="str">
            <v>YZ-YO1521-WP-XL</v>
          </cell>
          <cell r="B8181" t="str">
            <v>YZ-YO1521</v>
          </cell>
        </row>
        <row r="8182">
          <cell r="A8182" t="str">
            <v>YZ-ZQ0707-G0-L</v>
          </cell>
          <cell r="B8182" t="str">
            <v>YZ-ZQ0707</v>
          </cell>
        </row>
        <row r="8183">
          <cell r="A8183" t="str">
            <v>YZ-ZQ0707-G0-M</v>
          </cell>
          <cell r="B8183" t="str">
            <v>YZ-ZQ0707</v>
          </cell>
        </row>
        <row r="8184">
          <cell r="A8184" t="str">
            <v>YZ-ZQ0707-G0-XL</v>
          </cell>
          <cell r="B8184" t="str">
            <v>YZ-ZQ0707</v>
          </cell>
        </row>
        <row r="8185">
          <cell r="A8185" t="str">
            <v>YZ-ZQ0707-ORTW-2XL</v>
          </cell>
          <cell r="B8185" t="str">
            <v>YZ-ZQ0707</v>
          </cell>
        </row>
        <row r="8186">
          <cell r="A8186" t="str">
            <v>YZ-ZQ0707-ORTW-XL</v>
          </cell>
          <cell r="B8186" t="str">
            <v>YZ-ZQ0707</v>
          </cell>
        </row>
        <row r="8187">
          <cell r="A8187" t="str">
            <v>YZ-ZQ0707-PITW-2XL</v>
          </cell>
          <cell r="B8187" t="str">
            <v>YZ-ZQ0707</v>
          </cell>
        </row>
        <row r="8188">
          <cell r="A8188" t="str">
            <v>YZ-ZQ0707-PITW-L</v>
          </cell>
          <cell r="B8188" t="str">
            <v>YZ-ZQ0707</v>
          </cell>
        </row>
        <row r="8189">
          <cell r="A8189" t="str">
            <v>YZ-ZQ0707-PITW-M</v>
          </cell>
          <cell r="B8189" t="str">
            <v>YZ-ZQ0707</v>
          </cell>
        </row>
        <row r="8190">
          <cell r="A8190" t="str">
            <v>YZ-ZQ0707-PITW-S</v>
          </cell>
          <cell r="B8190" t="str">
            <v>YZ-ZQ0707</v>
          </cell>
        </row>
        <row r="8191">
          <cell r="A8191" t="str">
            <v>YZ-ZQ0707-PITW-XL</v>
          </cell>
          <cell r="B8191" t="str">
            <v>YZ-ZQ0707</v>
          </cell>
        </row>
        <row r="8192">
          <cell r="A8192" t="str">
            <v>YZ-ZQ0707-R0-L</v>
          </cell>
          <cell r="B8192" t="str">
            <v>YZ-ZQ0707</v>
          </cell>
        </row>
        <row r="8193">
          <cell r="A8193" t="str">
            <v>YZ-ZQ0707-R0-XL</v>
          </cell>
          <cell r="B8193" t="str">
            <v>YZ-ZQ0707</v>
          </cell>
        </row>
        <row r="8194">
          <cell r="A8194" t="str">
            <v>YZ-ZQ0707-Y0TW-L</v>
          </cell>
          <cell r="B8194" t="str">
            <v>YZ-ZQ0707</v>
          </cell>
        </row>
        <row r="8195">
          <cell r="A8195" t="str">
            <v>YZ-ZQ0707-Y0TW-XL</v>
          </cell>
          <cell r="B8195" t="str">
            <v>YZ-ZQ0707</v>
          </cell>
        </row>
        <row r="8196">
          <cell r="A8196" t="str">
            <v>YZ-ZQ1126-K0-2X</v>
          </cell>
          <cell r="B8196" t="str">
            <v>YZ-ZQ1126</v>
          </cell>
        </row>
        <row r="8197">
          <cell r="A8197" t="str">
            <v>YZ-ZQ1126-K0-3X</v>
          </cell>
          <cell r="B8197" t="str">
            <v>YZ-ZQ1126</v>
          </cell>
        </row>
        <row r="8198">
          <cell r="A8198" t="str">
            <v>YZ-ZQ1126-K0-4X</v>
          </cell>
          <cell r="B8198" t="str">
            <v>YZ-ZQ1126</v>
          </cell>
        </row>
        <row r="8199">
          <cell r="A8199" t="str">
            <v>YZ-ZQ1126-K0-XL</v>
          </cell>
          <cell r="B8199" t="str">
            <v>YZ-ZQ1126</v>
          </cell>
        </row>
        <row r="8200">
          <cell r="A8200" t="str">
            <v>YZ-ZQ112B0L</v>
          </cell>
          <cell r="B8200" t="str">
            <v>YZ-ZQ112</v>
          </cell>
        </row>
        <row r="8201">
          <cell r="A8201" t="str">
            <v>YZ-ZQ112B0M</v>
          </cell>
          <cell r="B8201" t="str">
            <v>YZ-ZQ112</v>
          </cell>
        </row>
        <row r="8202">
          <cell r="A8202" t="str">
            <v>YZ-ZQ112B0S</v>
          </cell>
          <cell r="B8202" t="str">
            <v>YZ-ZQ112</v>
          </cell>
        </row>
        <row r="8203">
          <cell r="A8203" t="str">
            <v>YZ-ZQ112B0XL</v>
          </cell>
          <cell r="B8203" t="str">
            <v>YZ-ZQ112</v>
          </cell>
        </row>
        <row r="8204">
          <cell r="A8204" t="str">
            <v>YZ-ZQ1197-KW-2X</v>
          </cell>
          <cell r="B8204" t="str">
            <v>YZ-ZQ1197</v>
          </cell>
        </row>
        <row r="8205">
          <cell r="A8205" t="str">
            <v>YZ-ZQ1197-KW-L</v>
          </cell>
          <cell r="B8205" t="str">
            <v>YZ-ZQ1197</v>
          </cell>
        </row>
        <row r="8206">
          <cell r="A8206" t="str">
            <v>YZ-ZQ1197-KW-M</v>
          </cell>
          <cell r="B8206" t="str">
            <v>YZ-ZQ1197</v>
          </cell>
        </row>
        <row r="8207">
          <cell r="A8207" t="str">
            <v>YZ-ZQ1197-KW-XL</v>
          </cell>
          <cell r="B8207" t="str">
            <v>YZ-ZQ1197</v>
          </cell>
        </row>
        <row r="8208">
          <cell r="A8208" t="str">
            <v>YZ-ZQ1197-W0-L</v>
          </cell>
          <cell r="B8208" t="str">
            <v>YZ-ZQ1197</v>
          </cell>
        </row>
        <row r="8209">
          <cell r="A8209" t="str">
            <v>YZ-ZQ1197-W0-M</v>
          </cell>
          <cell r="B8209" t="str">
            <v>YZ-ZQ1197</v>
          </cell>
        </row>
        <row r="8210">
          <cell r="A8210" t="str">
            <v>YZ-ZQ1197-W0-XL</v>
          </cell>
          <cell r="B8210" t="str">
            <v>YZ-ZQ1197</v>
          </cell>
        </row>
        <row r="8211">
          <cell r="A8211" t="str">
            <v>YZ-ZQ123B02XL</v>
          </cell>
          <cell r="B8211" t="str">
            <v>YZ-ZQ123</v>
          </cell>
        </row>
        <row r="8212">
          <cell r="A8212" t="str">
            <v>YZ-ZQ123B03XL</v>
          </cell>
          <cell r="B8212" t="str">
            <v>YZ-ZQ123</v>
          </cell>
        </row>
        <row r="8213">
          <cell r="A8213" t="str">
            <v>YZ-ZQ123B04XL</v>
          </cell>
          <cell r="B8213" t="str">
            <v>YZ-ZQ123</v>
          </cell>
        </row>
        <row r="8214">
          <cell r="A8214" t="str">
            <v>YZ-ZQ123B05XL</v>
          </cell>
          <cell r="B8214" t="str">
            <v>YZ-ZQ123</v>
          </cell>
        </row>
        <row r="8215">
          <cell r="A8215" t="str">
            <v>YZ-ZQ123B0L</v>
          </cell>
          <cell r="B8215" t="str">
            <v>YZ-ZQ123</v>
          </cell>
        </row>
        <row r="8216">
          <cell r="A8216" t="str">
            <v>YZ-ZQ123B0XL</v>
          </cell>
          <cell r="B8216" t="str">
            <v>YZ-ZQ123</v>
          </cell>
        </row>
        <row r="8217">
          <cell r="A8217" t="str">
            <v>YZ-ZQ1328-Y0-L</v>
          </cell>
          <cell r="B8217" t="str">
            <v>YZ-ZQ1328</v>
          </cell>
        </row>
        <row r="8218">
          <cell r="A8218" t="str">
            <v>YZ-ZQ1328-Y0-M</v>
          </cell>
          <cell r="B8218" t="str">
            <v>YZ-ZQ1328</v>
          </cell>
        </row>
        <row r="8219">
          <cell r="A8219" t="str">
            <v>YZ-ZQ1328-Y0-XL</v>
          </cell>
          <cell r="B8219" t="str">
            <v>YZ-ZQ1328</v>
          </cell>
        </row>
        <row r="8220">
          <cell r="A8220" t="str">
            <v>YZ-ZQ144K02XL</v>
          </cell>
          <cell r="B8220" t="str">
            <v>YZ-ZQ144</v>
          </cell>
        </row>
        <row r="8221">
          <cell r="A8221" t="str">
            <v>YZ-ZQ144K03XL</v>
          </cell>
          <cell r="B8221" t="str">
            <v>YZ-ZQ144</v>
          </cell>
        </row>
        <row r="8222">
          <cell r="A8222" t="str">
            <v>YZ-ZQ144K0M</v>
          </cell>
          <cell r="B8222" t="str">
            <v>YZ-ZQ144</v>
          </cell>
        </row>
        <row r="8223">
          <cell r="A8223" t="str">
            <v>YZ-ZQ144K0XL</v>
          </cell>
          <cell r="B8223" t="str">
            <v>YZ-ZQ144</v>
          </cell>
        </row>
        <row r="8224">
          <cell r="A8224" t="str">
            <v>YZ-ZQ144R03XL</v>
          </cell>
          <cell r="B8224" t="str">
            <v>YZ-ZQ144</v>
          </cell>
        </row>
        <row r="8225">
          <cell r="A8225" t="str">
            <v>YZ-ZQ14578-K0-2X</v>
          </cell>
          <cell r="B8225" t="str">
            <v>YZ-ZQ14578</v>
          </cell>
        </row>
        <row r="8226">
          <cell r="A8226" t="str">
            <v>YZ-ZQ14578-K0-3X</v>
          </cell>
          <cell r="B8226" t="str">
            <v>YZ-ZQ14578</v>
          </cell>
        </row>
        <row r="8227">
          <cell r="A8227" t="str">
            <v>YZ-ZQ14578-K0-4X</v>
          </cell>
          <cell r="B8227" t="str">
            <v>YZ-ZQ14578</v>
          </cell>
        </row>
        <row r="8228">
          <cell r="A8228" t="str">
            <v>YZ-ZQ14578-K0-5X</v>
          </cell>
          <cell r="B8228" t="str">
            <v>YZ-ZQ14578</v>
          </cell>
        </row>
        <row r="8229">
          <cell r="A8229" t="str">
            <v>YZ-ZQ14578-K0-L</v>
          </cell>
          <cell r="B8229" t="str">
            <v>YZ-ZQ14578</v>
          </cell>
        </row>
        <row r="8230">
          <cell r="A8230" t="str">
            <v>YZ-ZQ14578-K0-XL</v>
          </cell>
          <cell r="B8230" t="str">
            <v>YZ-ZQ14578</v>
          </cell>
        </row>
        <row r="8231">
          <cell r="A8231" t="str">
            <v>YZ-ZQ14976-R0-2X</v>
          </cell>
          <cell r="B8231" t="str">
            <v>YZ-ZQ14976</v>
          </cell>
        </row>
        <row r="8232">
          <cell r="A8232" t="str">
            <v>YZ-ZQ14976-R0-3X</v>
          </cell>
          <cell r="B8232" t="str">
            <v>YZ-ZQ14976</v>
          </cell>
        </row>
        <row r="8233">
          <cell r="A8233" t="str">
            <v>YZ-ZQ14976-R0-4X</v>
          </cell>
          <cell r="B8233" t="str">
            <v>YZ-ZQ14976</v>
          </cell>
        </row>
        <row r="8234">
          <cell r="A8234" t="str">
            <v>YZ-ZQ14976-R0-5X</v>
          </cell>
          <cell r="B8234" t="str">
            <v>YZ-ZQ14976</v>
          </cell>
        </row>
        <row r="8235">
          <cell r="A8235" t="str">
            <v>YZ-ZQ14976-R0-L</v>
          </cell>
          <cell r="B8235" t="str">
            <v>YZ-ZQ14976</v>
          </cell>
        </row>
        <row r="8236">
          <cell r="A8236" t="str">
            <v>YZ-ZQ14976-R0-M</v>
          </cell>
          <cell r="B8236" t="str">
            <v>YZ-ZQ14976</v>
          </cell>
        </row>
        <row r="8237">
          <cell r="A8237" t="str">
            <v>YZ-ZQ14976-R0-XL</v>
          </cell>
          <cell r="B8237" t="str">
            <v>YZ-ZQ14976</v>
          </cell>
        </row>
        <row r="8238">
          <cell r="A8238" t="str">
            <v>YZ-ZQ14976-Y0-100X</v>
          </cell>
          <cell r="B8238" t="str">
            <v>YZ-ZQ14976</v>
          </cell>
        </row>
        <row r="8239">
          <cell r="A8239" t="str">
            <v>YZ-ZQ14976-Y0-101X</v>
          </cell>
          <cell r="B8239" t="str">
            <v>YZ-ZQ14976</v>
          </cell>
        </row>
        <row r="8240">
          <cell r="A8240" t="str">
            <v>YZ-ZQ14976-Y0-102X</v>
          </cell>
          <cell r="B8240" t="str">
            <v>YZ-ZQ14976</v>
          </cell>
        </row>
        <row r="8241">
          <cell r="A8241" t="str">
            <v>YZ-ZQ14976-Y0-103X</v>
          </cell>
          <cell r="B8241" t="str">
            <v>YZ-ZQ14976</v>
          </cell>
        </row>
        <row r="8242">
          <cell r="A8242" t="str">
            <v>YZ-ZQ14976-Y0-104X</v>
          </cell>
          <cell r="B8242" t="str">
            <v>YZ-ZQ14976</v>
          </cell>
        </row>
        <row r="8243">
          <cell r="A8243" t="str">
            <v>YZ-ZQ14976-Y0-105X</v>
          </cell>
          <cell r="B8243" t="str">
            <v>YZ-ZQ14976</v>
          </cell>
        </row>
        <row r="8244">
          <cell r="A8244" t="str">
            <v>YZ-ZQ14976-Y0-106X</v>
          </cell>
          <cell r="B8244" t="str">
            <v>YZ-ZQ14976</v>
          </cell>
        </row>
        <row r="8245">
          <cell r="A8245" t="str">
            <v>YZ-ZQ14976-Y0-107X</v>
          </cell>
          <cell r="B8245" t="str">
            <v>YZ-ZQ14976</v>
          </cell>
        </row>
        <row r="8246">
          <cell r="A8246" t="str">
            <v>YZ-ZQ14976-Y0-108X</v>
          </cell>
          <cell r="B8246" t="str">
            <v>YZ-ZQ14976</v>
          </cell>
        </row>
        <row r="8247">
          <cell r="A8247" t="str">
            <v>YZ-ZQ14976-Y0-109X</v>
          </cell>
          <cell r="B8247" t="str">
            <v>YZ-ZQ14976</v>
          </cell>
        </row>
        <row r="8248">
          <cell r="A8248" t="str">
            <v>YZ-ZQ14976-Y0-10X</v>
          </cell>
          <cell r="B8248" t="str">
            <v>YZ-ZQ14976</v>
          </cell>
        </row>
        <row r="8249">
          <cell r="A8249" t="str">
            <v>YZ-ZQ14976-Y0-110X</v>
          </cell>
          <cell r="B8249" t="str">
            <v>YZ-ZQ14976</v>
          </cell>
        </row>
        <row r="8250">
          <cell r="A8250" t="str">
            <v>YZ-ZQ14976-Y0-111X</v>
          </cell>
          <cell r="B8250" t="str">
            <v>YZ-ZQ14976</v>
          </cell>
        </row>
        <row r="8251">
          <cell r="A8251" t="str">
            <v>YZ-ZQ14976-Y0-112X</v>
          </cell>
          <cell r="B8251" t="str">
            <v>YZ-ZQ14976</v>
          </cell>
        </row>
        <row r="8252">
          <cell r="A8252" t="str">
            <v>YZ-ZQ14976-Y0-113X</v>
          </cell>
          <cell r="B8252" t="str">
            <v>YZ-ZQ14976</v>
          </cell>
        </row>
        <row r="8253">
          <cell r="A8253" t="str">
            <v>YZ-ZQ14976-Y0-114X</v>
          </cell>
          <cell r="B8253" t="str">
            <v>YZ-ZQ14976</v>
          </cell>
        </row>
        <row r="8254">
          <cell r="A8254" t="str">
            <v>YZ-ZQ14976-Y0-115X</v>
          </cell>
          <cell r="B8254" t="str">
            <v>YZ-ZQ14976</v>
          </cell>
        </row>
        <row r="8255">
          <cell r="A8255" t="str">
            <v>YZ-ZQ14976-Y0-116X</v>
          </cell>
          <cell r="B8255" t="str">
            <v>YZ-ZQ14976</v>
          </cell>
        </row>
        <row r="8256">
          <cell r="A8256" t="str">
            <v>YZ-ZQ14976-Y0-117X</v>
          </cell>
          <cell r="B8256" t="str">
            <v>YZ-ZQ14976</v>
          </cell>
        </row>
        <row r="8257">
          <cell r="A8257" t="str">
            <v>YZ-ZQ14976-Y0-118X</v>
          </cell>
          <cell r="B8257" t="str">
            <v>YZ-ZQ14976</v>
          </cell>
        </row>
        <row r="8258">
          <cell r="A8258" t="str">
            <v>YZ-ZQ14976-Y0-119X</v>
          </cell>
          <cell r="B8258" t="str">
            <v>YZ-ZQ14976</v>
          </cell>
        </row>
        <row r="8259">
          <cell r="A8259" t="str">
            <v>YZ-ZQ14976-Y0-11X</v>
          </cell>
          <cell r="B8259" t="str">
            <v>YZ-ZQ14976</v>
          </cell>
        </row>
        <row r="8260">
          <cell r="A8260" t="str">
            <v>YZ-ZQ14976-Y0-120X</v>
          </cell>
          <cell r="B8260" t="str">
            <v>YZ-ZQ14976</v>
          </cell>
        </row>
        <row r="8261">
          <cell r="A8261" t="str">
            <v>YZ-ZQ14976-Y0-121X</v>
          </cell>
          <cell r="B8261" t="str">
            <v>YZ-ZQ14976</v>
          </cell>
        </row>
        <row r="8262">
          <cell r="A8262" t="str">
            <v>YZ-ZQ14976-Y0-122X</v>
          </cell>
          <cell r="B8262" t="str">
            <v>YZ-ZQ14976</v>
          </cell>
        </row>
        <row r="8263">
          <cell r="A8263" t="str">
            <v>YZ-ZQ14976-Y0-123X</v>
          </cell>
          <cell r="B8263" t="str">
            <v>YZ-ZQ14976</v>
          </cell>
        </row>
        <row r="8264">
          <cell r="A8264" t="str">
            <v>YZ-ZQ14976-Y0-124X</v>
          </cell>
          <cell r="B8264" t="str">
            <v>YZ-ZQ14976</v>
          </cell>
        </row>
        <row r="8265">
          <cell r="A8265" t="str">
            <v>YZ-ZQ14976-Y0-125X</v>
          </cell>
          <cell r="B8265" t="str">
            <v>YZ-ZQ14976</v>
          </cell>
        </row>
        <row r="8266">
          <cell r="A8266" t="str">
            <v>YZ-ZQ14976-Y0-126X</v>
          </cell>
          <cell r="B8266" t="str">
            <v>YZ-ZQ14976</v>
          </cell>
        </row>
        <row r="8267">
          <cell r="A8267" t="str">
            <v>YZ-ZQ14976-Y0-127X</v>
          </cell>
          <cell r="B8267" t="str">
            <v>YZ-ZQ14976</v>
          </cell>
        </row>
        <row r="8268">
          <cell r="A8268" t="str">
            <v>YZ-ZQ14976-Y0-128X</v>
          </cell>
          <cell r="B8268" t="str">
            <v>YZ-ZQ14976</v>
          </cell>
        </row>
        <row r="8269">
          <cell r="A8269" t="str">
            <v>YZ-ZQ14976-Y0-129X</v>
          </cell>
          <cell r="B8269" t="str">
            <v>YZ-ZQ14976</v>
          </cell>
        </row>
        <row r="8270">
          <cell r="A8270" t="str">
            <v>YZ-ZQ14976-Y0-12X</v>
          </cell>
          <cell r="B8270" t="str">
            <v>YZ-ZQ14976</v>
          </cell>
        </row>
        <row r="8271">
          <cell r="A8271" t="str">
            <v>YZ-ZQ14976-Y0-130X</v>
          </cell>
          <cell r="B8271" t="str">
            <v>YZ-ZQ14976</v>
          </cell>
        </row>
        <row r="8272">
          <cell r="A8272" t="str">
            <v>YZ-ZQ14976-Y0-131X</v>
          </cell>
          <cell r="B8272" t="str">
            <v>YZ-ZQ14976</v>
          </cell>
        </row>
        <row r="8273">
          <cell r="A8273" t="str">
            <v>YZ-ZQ14976-Y0-132X</v>
          </cell>
          <cell r="B8273" t="str">
            <v>YZ-ZQ14976</v>
          </cell>
        </row>
        <row r="8274">
          <cell r="A8274" t="str">
            <v>YZ-ZQ14976-Y0-133X</v>
          </cell>
          <cell r="B8274" t="str">
            <v>YZ-ZQ14976</v>
          </cell>
        </row>
        <row r="8275">
          <cell r="A8275" t="str">
            <v>YZ-ZQ14976-Y0-134X</v>
          </cell>
          <cell r="B8275" t="str">
            <v>YZ-ZQ14976</v>
          </cell>
        </row>
        <row r="8276">
          <cell r="A8276" t="str">
            <v>YZ-ZQ14976-Y0-135X</v>
          </cell>
          <cell r="B8276" t="str">
            <v>YZ-ZQ14976</v>
          </cell>
        </row>
        <row r="8277">
          <cell r="A8277" t="str">
            <v>YZ-ZQ14976-Y0-136X</v>
          </cell>
          <cell r="B8277" t="str">
            <v>YZ-ZQ14976</v>
          </cell>
        </row>
        <row r="8278">
          <cell r="A8278" t="str">
            <v>YZ-ZQ14976-Y0-137X</v>
          </cell>
          <cell r="B8278" t="str">
            <v>YZ-ZQ14976</v>
          </cell>
        </row>
        <row r="8279">
          <cell r="A8279" t="str">
            <v>YZ-ZQ14976-Y0-138X</v>
          </cell>
          <cell r="B8279" t="str">
            <v>YZ-ZQ14976</v>
          </cell>
        </row>
        <row r="8280">
          <cell r="A8280" t="str">
            <v>YZ-ZQ14976-Y0-139X</v>
          </cell>
          <cell r="B8280" t="str">
            <v>YZ-ZQ14976</v>
          </cell>
        </row>
        <row r="8281">
          <cell r="A8281" t="str">
            <v>YZ-ZQ14976-Y0-13X</v>
          </cell>
          <cell r="B8281" t="str">
            <v>YZ-ZQ14976</v>
          </cell>
        </row>
        <row r="8282">
          <cell r="A8282" t="str">
            <v>YZ-ZQ14976-Y0-140X</v>
          </cell>
          <cell r="B8282" t="str">
            <v>YZ-ZQ14976</v>
          </cell>
        </row>
        <row r="8283">
          <cell r="A8283" t="str">
            <v>YZ-ZQ14976-Y0-141X</v>
          </cell>
          <cell r="B8283" t="str">
            <v>YZ-ZQ14976</v>
          </cell>
        </row>
        <row r="8284">
          <cell r="A8284" t="str">
            <v>YZ-ZQ14976-Y0-142X</v>
          </cell>
          <cell r="B8284" t="str">
            <v>YZ-ZQ14976</v>
          </cell>
        </row>
        <row r="8285">
          <cell r="A8285" t="str">
            <v>YZ-ZQ14976-Y0-143X</v>
          </cell>
          <cell r="B8285" t="str">
            <v>YZ-ZQ14976</v>
          </cell>
        </row>
        <row r="8286">
          <cell r="A8286" t="str">
            <v>YZ-ZQ14976-Y0-144X</v>
          </cell>
          <cell r="B8286" t="str">
            <v>YZ-ZQ14976</v>
          </cell>
        </row>
        <row r="8287">
          <cell r="A8287" t="str">
            <v>YZ-ZQ14976-Y0-145X</v>
          </cell>
          <cell r="B8287" t="str">
            <v>YZ-ZQ14976</v>
          </cell>
        </row>
        <row r="8288">
          <cell r="A8288" t="str">
            <v>YZ-ZQ14976-Y0-146X</v>
          </cell>
          <cell r="B8288" t="str">
            <v>YZ-ZQ14976</v>
          </cell>
        </row>
        <row r="8289">
          <cell r="A8289" t="str">
            <v>YZ-ZQ14976-Y0-147X</v>
          </cell>
          <cell r="B8289" t="str">
            <v>YZ-ZQ14976</v>
          </cell>
        </row>
        <row r="8290">
          <cell r="A8290" t="str">
            <v>YZ-ZQ14976-Y0-148X</v>
          </cell>
          <cell r="B8290" t="str">
            <v>YZ-ZQ14976</v>
          </cell>
        </row>
        <row r="8291">
          <cell r="A8291" t="str">
            <v>YZ-ZQ14976-Y0-149X</v>
          </cell>
          <cell r="B8291" t="str">
            <v>YZ-ZQ14976</v>
          </cell>
        </row>
        <row r="8292">
          <cell r="A8292" t="str">
            <v>YZ-ZQ14976-Y0-14X</v>
          </cell>
          <cell r="B8292" t="str">
            <v>YZ-ZQ14976</v>
          </cell>
        </row>
        <row r="8293">
          <cell r="A8293" t="str">
            <v>YZ-ZQ14976-Y0-150X</v>
          </cell>
          <cell r="B8293" t="str">
            <v>YZ-ZQ14976</v>
          </cell>
        </row>
        <row r="8294">
          <cell r="A8294" t="str">
            <v>YZ-ZQ14976-Y0-151X</v>
          </cell>
          <cell r="B8294" t="str">
            <v>YZ-ZQ14976</v>
          </cell>
        </row>
        <row r="8295">
          <cell r="A8295" t="str">
            <v>YZ-ZQ14976-Y0-152X</v>
          </cell>
          <cell r="B8295" t="str">
            <v>YZ-ZQ14976</v>
          </cell>
        </row>
        <row r="8296">
          <cell r="A8296" t="str">
            <v>YZ-ZQ14976-Y0-153X</v>
          </cell>
          <cell r="B8296" t="str">
            <v>YZ-ZQ14976</v>
          </cell>
        </row>
        <row r="8297">
          <cell r="A8297" t="str">
            <v>YZ-ZQ14976-Y0-154X</v>
          </cell>
          <cell r="B8297" t="str">
            <v>YZ-ZQ14976</v>
          </cell>
        </row>
        <row r="8298">
          <cell r="A8298" t="str">
            <v>YZ-ZQ14976-Y0-155X</v>
          </cell>
          <cell r="B8298" t="str">
            <v>YZ-ZQ14976</v>
          </cell>
        </row>
        <row r="8299">
          <cell r="A8299" t="str">
            <v>YZ-ZQ14976-Y0-156X</v>
          </cell>
          <cell r="B8299" t="str">
            <v>YZ-ZQ14976</v>
          </cell>
        </row>
        <row r="8300">
          <cell r="A8300" t="str">
            <v>YZ-ZQ14976-Y0-157X</v>
          </cell>
          <cell r="B8300" t="str">
            <v>YZ-ZQ14976</v>
          </cell>
        </row>
        <row r="8301">
          <cell r="A8301" t="str">
            <v>YZ-ZQ14976-Y0-158X</v>
          </cell>
          <cell r="B8301" t="str">
            <v>YZ-ZQ14976</v>
          </cell>
        </row>
        <row r="8302">
          <cell r="A8302" t="str">
            <v>YZ-ZQ14976-Y0-159X</v>
          </cell>
          <cell r="B8302" t="str">
            <v>YZ-ZQ14976</v>
          </cell>
        </row>
        <row r="8303">
          <cell r="A8303" t="str">
            <v>YZ-ZQ14976-Y0-15X</v>
          </cell>
          <cell r="B8303" t="str">
            <v>YZ-ZQ14976</v>
          </cell>
        </row>
        <row r="8304">
          <cell r="A8304" t="str">
            <v>YZ-ZQ14976-Y0-160X</v>
          </cell>
          <cell r="B8304" t="str">
            <v>YZ-ZQ14976</v>
          </cell>
        </row>
        <row r="8305">
          <cell r="A8305" t="str">
            <v>YZ-ZQ14976-Y0-161X</v>
          </cell>
          <cell r="B8305" t="str">
            <v>YZ-ZQ14976</v>
          </cell>
        </row>
        <row r="8306">
          <cell r="A8306" t="str">
            <v>YZ-ZQ14976-Y0-162X</v>
          </cell>
          <cell r="B8306" t="str">
            <v>YZ-ZQ14976</v>
          </cell>
        </row>
        <row r="8307">
          <cell r="A8307" t="str">
            <v>YZ-ZQ14976-Y0-163X</v>
          </cell>
          <cell r="B8307" t="str">
            <v>YZ-ZQ14976</v>
          </cell>
        </row>
        <row r="8308">
          <cell r="A8308" t="str">
            <v>YZ-ZQ14976-Y0-164X</v>
          </cell>
          <cell r="B8308" t="str">
            <v>YZ-ZQ14976</v>
          </cell>
        </row>
        <row r="8309">
          <cell r="A8309" t="str">
            <v>YZ-ZQ14976-Y0-165X</v>
          </cell>
          <cell r="B8309" t="str">
            <v>YZ-ZQ14976</v>
          </cell>
        </row>
        <row r="8310">
          <cell r="A8310" t="str">
            <v>YZ-ZQ14976-Y0-166X</v>
          </cell>
          <cell r="B8310" t="str">
            <v>YZ-ZQ14976</v>
          </cell>
        </row>
        <row r="8311">
          <cell r="A8311" t="str">
            <v>YZ-ZQ14976-Y0-167X</v>
          </cell>
          <cell r="B8311" t="str">
            <v>YZ-ZQ14976</v>
          </cell>
        </row>
        <row r="8312">
          <cell r="A8312" t="str">
            <v>YZ-ZQ14976-Y0-168X</v>
          </cell>
          <cell r="B8312" t="str">
            <v>YZ-ZQ14976</v>
          </cell>
        </row>
        <row r="8313">
          <cell r="A8313" t="str">
            <v>YZ-ZQ14976-Y0-169X</v>
          </cell>
          <cell r="B8313" t="str">
            <v>YZ-ZQ14976</v>
          </cell>
        </row>
        <row r="8314">
          <cell r="A8314" t="str">
            <v>YZ-ZQ14976-Y0-16X</v>
          </cell>
          <cell r="B8314" t="str">
            <v>YZ-ZQ14976</v>
          </cell>
        </row>
        <row r="8315">
          <cell r="A8315" t="str">
            <v>YZ-ZQ14976-Y0-170X</v>
          </cell>
          <cell r="B8315" t="str">
            <v>YZ-ZQ14976</v>
          </cell>
        </row>
        <row r="8316">
          <cell r="A8316" t="str">
            <v>YZ-ZQ14976-Y0-171X</v>
          </cell>
          <cell r="B8316" t="str">
            <v>YZ-ZQ14976</v>
          </cell>
        </row>
        <row r="8317">
          <cell r="A8317" t="str">
            <v>YZ-ZQ14976-Y0-172X</v>
          </cell>
          <cell r="B8317" t="str">
            <v>YZ-ZQ14976</v>
          </cell>
        </row>
        <row r="8318">
          <cell r="A8318" t="str">
            <v>YZ-ZQ14976-Y0-173X</v>
          </cell>
          <cell r="B8318" t="str">
            <v>YZ-ZQ14976</v>
          </cell>
        </row>
        <row r="8319">
          <cell r="A8319" t="str">
            <v>YZ-ZQ14976-Y0-174X</v>
          </cell>
          <cell r="B8319" t="str">
            <v>YZ-ZQ14976</v>
          </cell>
        </row>
        <row r="8320">
          <cell r="A8320" t="str">
            <v>YZ-ZQ14976-Y0-175X</v>
          </cell>
          <cell r="B8320" t="str">
            <v>YZ-ZQ14976</v>
          </cell>
        </row>
        <row r="8321">
          <cell r="A8321" t="str">
            <v>YZ-ZQ14976-Y0-176X</v>
          </cell>
          <cell r="B8321" t="str">
            <v>YZ-ZQ14976</v>
          </cell>
        </row>
        <row r="8322">
          <cell r="A8322" t="str">
            <v>YZ-ZQ14976-Y0-177X</v>
          </cell>
          <cell r="B8322" t="str">
            <v>YZ-ZQ14976</v>
          </cell>
        </row>
        <row r="8323">
          <cell r="A8323" t="str">
            <v>YZ-ZQ14976-Y0-178X</v>
          </cell>
          <cell r="B8323" t="str">
            <v>YZ-ZQ14976</v>
          </cell>
        </row>
        <row r="8324">
          <cell r="A8324" t="str">
            <v>YZ-ZQ14976-Y0-179X</v>
          </cell>
          <cell r="B8324" t="str">
            <v>YZ-ZQ14976</v>
          </cell>
        </row>
        <row r="8325">
          <cell r="A8325" t="str">
            <v>YZ-ZQ14976-Y0-17X</v>
          </cell>
          <cell r="B8325" t="str">
            <v>YZ-ZQ14976</v>
          </cell>
        </row>
        <row r="8326">
          <cell r="A8326" t="str">
            <v>YZ-ZQ14976-Y0-180X</v>
          </cell>
          <cell r="B8326" t="str">
            <v>YZ-ZQ14976</v>
          </cell>
        </row>
        <row r="8327">
          <cell r="A8327" t="str">
            <v>YZ-ZQ14976-Y0-181X</v>
          </cell>
          <cell r="B8327" t="str">
            <v>YZ-ZQ14976</v>
          </cell>
        </row>
        <row r="8328">
          <cell r="A8328" t="str">
            <v>YZ-ZQ14976-Y0-182X</v>
          </cell>
          <cell r="B8328" t="str">
            <v>YZ-ZQ14976</v>
          </cell>
        </row>
        <row r="8329">
          <cell r="A8329" t="str">
            <v>YZ-ZQ14976-Y0-183X</v>
          </cell>
          <cell r="B8329" t="str">
            <v>YZ-ZQ14976</v>
          </cell>
        </row>
        <row r="8330">
          <cell r="A8330" t="str">
            <v>YZ-ZQ14976-Y0-186X</v>
          </cell>
          <cell r="B8330" t="str">
            <v>YZ-ZQ14976</v>
          </cell>
        </row>
        <row r="8331">
          <cell r="A8331" t="str">
            <v>YZ-ZQ14976-Y0-187X</v>
          </cell>
          <cell r="B8331" t="str">
            <v>YZ-ZQ14976</v>
          </cell>
        </row>
        <row r="8332">
          <cell r="A8332" t="str">
            <v>YZ-ZQ14976-Y0-188X</v>
          </cell>
          <cell r="B8332" t="str">
            <v>YZ-ZQ14976</v>
          </cell>
        </row>
        <row r="8333">
          <cell r="A8333" t="str">
            <v>YZ-ZQ14976-Y0-189X</v>
          </cell>
          <cell r="B8333" t="str">
            <v>YZ-ZQ14976</v>
          </cell>
        </row>
        <row r="8334">
          <cell r="A8334" t="str">
            <v>YZ-ZQ14976-Y0-18X</v>
          </cell>
          <cell r="B8334" t="str">
            <v>YZ-ZQ14976</v>
          </cell>
        </row>
        <row r="8335">
          <cell r="A8335" t="str">
            <v>YZ-ZQ14976-Y0-190X</v>
          </cell>
          <cell r="B8335" t="str">
            <v>YZ-ZQ14976</v>
          </cell>
        </row>
        <row r="8336">
          <cell r="A8336" t="str">
            <v>YZ-ZQ14976-Y0-191X</v>
          </cell>
          <cell r="B8336" t="str">
            <v>YZ-ZQ14976</v>
          </cell>
        </row>
        <row r="8337">
          <cell r="A8337" t="str">
            <v>YZ-ZQ14976-Y0-192X</v>
          </cell>
          <cell r="B8337" t="str">
            <v>YZ-ZQ14976</v>
          </cell>
        </row>
        <row r="8338">
          <cell r="A8338" t="str">
            <v>YZ-ZQ14976-Y0-193X</v>
          </cell>
          <cell r="B8338" t="str">
            <v>YZ-ZQ14976</v>
          </cell>
        </row>
        <row r="8339">
          <cell r="A8339" t="str">
            <v>YZ-ZQ14976-Y0-194X</v>
          </cell>
          <cell r="B8339" t="str">
            <v>YZ-ZQ14976</v>
          </cell>
        </row>
        <row r="8340">
          <cell r="A8340" t="str">
            <v>YZ-ZQ14976-Y0-195X</v>
          </cell>
          <cell r="B8340" t="str">
            <v>YZ-ZQ14976</v>
          </cell>
        </row>
        <row r="8341">
          <cell r="A8341" t="str">
            <v>YZ-ZQ14976-Y0-196X</v>
          </cell>
          <cell r="B8341" t="str">
            <v>YZ-ZQ14976</v>
          </cell>
        </row>
        <row r="8342">
          <cell r="A8342" t="str">
            <v>YZ-ZQ14976-Y0-197X</v>
          </cell>
          <cell r="B8342" t="str">
            <v>YZ-ZQ14976</v>
          </cell>
        </row>
        <row r="8343">
          <cell r="A8343" t="str">
            <v>YZ-ZQ14976-Y0-198X</v>
          </cell>
          <cell r="B8343" t="str">
            <v>YZ-ZQ14976</v>
          </cell>
        </row>
        <row r="8344">
          <cell r="A8344" t="str">
            <v>YZ-ZQ14976-Y0-199X</v>
          </cell>
          <cell r="B8344" t="str">
            <v>YZ-ZQ14976</v>
          </cell>
        </row>
        <row r="8345">
          <cell r="A8345" t="str">
            <v>YZ-ZQ14976-Y0-19X</v>
          </cell>
          <cell r="B8345" t="str">
            <v>YZ-ZQ14976</v>
          </cell>
        </row>
        <row r="8346">
          <cell r="A8346" t="str">
            <v>YZ-ZQ14976-Y0-200X</v>
          </cell>
          <cell r="B8346" t="str">
            <v>YZ-ZQ14976</v>
          </cell>
        </row>
        <row r="8347">
          <cell r="A8347" t="str">
            <v>YZ-ZQ14976-Y0-201X</v>
          </cell>
          <cell r="B8347" t="str">
            <v>YZ-ZQ14976</v>
          </cell>
        </row>
        <row r="8348">
          <cell r="A8348" t="str">
            <v>YZ-ZQ14976-Y0-202X</v>
          </cell>
          <cell r="B8348" t="str">
            <v>YZ-ZQ14976</v>
          </cell>
        </row>
        <row r="8349">
          <cell r="A8349" t="str">
            <v>YZ-ZQ14976-Y0-203X</v>
          </cell>
          <cell r="B8349" t="str">
            <v>YZ-ZQ14976</v>
          </cell>
        </row>
        <row r="8350">
          <cell r="A8350" t="str">
            <v>YZ-ZQ14976-Y0-204X</v>
          </cell>
          <cell r="B8350" t="str">
            <v>YZ-ZQ14976</v>
          </cell>
        </row>
        <row r="8351">
          <cell r="A8351" t="str">
            <v>YZ-ZQ14976-Y0-205X</v>
          </cell>
          <cell r="B8351" t="str">
            <v>YZ-ZQ14976</v>
          </cell>
        </row>
        <row r="8352">
          <cell r="A8352" t="str">
            <v>YZ-ZQ14976-Y0-206X</v>
          </cell>
          <cell r="B8352" t="str">
            <v>YZ-ZQ14976</v>
          </cell>
        </row>
        <row r="8353">
          <cell r="A8353" t="str">
            <v>YZ-ZQ14976-Y0-207X</v>
          </cell>
          <cell r="B8353" t="str">
            <v>YZ-ZQ14976</v>
          </cell>
        </row>
        <row r="8354">
          <cell r="A8354" t="str">
            <v>YZ-ZQ14976-Y0-208X</v>
          </cell>
          <cell r="B8354" t="str">
            <v>YZ-ZQ14976</v>
          </cell>
        </row>
        <row r="8355">
          <cell r="A8355" t="str">
            <v>YZ-ZQ14976-Y0-209X</v>
          </cell>
          <cell r="B8355" t="str">
            <v>YZ-ZQ14976</v>
          </cell>
        </row>
        <row r="8356">
          <cell r="A8356" t="str">
            <v>YZ-ZQ14976-Y0-20X</v>
          </cell>
          <cell r="B8356" t="str">
            <v>YZ-ZQ14976</v>
          </cell>
        </row>
        <row r="8357">
          <cell r="A8357" t="str">
            <v>YZ-ZQ14976-Y0-210X</v>
          </cell>
          <cell r="B8357" t="str">
            <v>YZ-ZQ14976</v>
          </cell>
        </row>
        <row r="8358">
          <cell r="A8358" t="str">
            <v>YZ-ZQ14976-Y0-211X</v>
          </cell>
          <cell r="B8358" t="str">
            <v>YZ-ZQ14976</v>
          </cell>
        </row>
        <row r="8359">
          <cell r="A8359" t="str">
            <v>YZ-ZQ14976-Y0-212X</v>
          </cell>
          <cell r="B8359" t="str">
            <v>YZ-ZQ14976</v>
          </cell>
        </row>
        <row r="8360">
          <cell r="A8360" t="str">
            <v>YZ-ZQ14976-Y0-213X</v>
          </cell>
          <cell r="B8360" t="str">
            <v>YZ-ZQ14976</v>
          </cell>
        </row>
        <row r="8361">
          <cell r="A8361" t="str">
            <v>YZ-ZQ14976-Y0-214X</v>
          </cell>
          <cell r="B8361" t="str">
            <v>YZ-ZQ14976</v>
          </cell>
        </row>
        <row r="8362">
          <cell r="A8362" t="str">
            <v>YZ-ZQ14976-Y0-215X</v>
          </cell>
          <cell r="B8362" t="str">
            <v>YZ-ZQ14976</v>
          </cell>
        </row>
        <row r="8363">
          <cell r="A8363" t="str">
            <v>YZ-ZQ14976-Y0-216X</v>
          </cell>
          <cell r="B8363" t="str">
            <v>YZ-ZQ14976</v>
          </cell>
        </row>
        <row r="8364">
          <cell r="A8364" t="str">
            <v>YZ-ZQ14976-Y0-217X</v>
          </cell>
          <cell r="B8364" t="str">
            <v>YZ-ZQ14976</v>
          </cell>
        </row>
        <row r="8365">
          <cell r="A8365" t="str">
            <v>YZ-ZQ14976-Y0-218X</v>
          </cell>
          <cell r="B8365" t="str">
            <v>YZ-ZQ14976</v>
          </cell>
        </row>
        <row r="8366">
          <cell r="A8366" t="str">
            <v>YZ-ZQ14976-Y0-219X</v>
          </cell>
          <cell r="B8366" t="str">
            <v>YZ-ZQ14976</v>
          </cell>
        </row>
        <row r="8367">
          <cell r="A8367" t="str">
            <v>YZ-ZQ14976-Y0-21X</v>
          </cell>
          <cell r="B8367" t="str">
            <v>YZ-ZQ14976</v>
          </cell>
        </row>
        <row r="8368">
          <cell r="A8368" t="str">
            <v>YZ-ZQ14976-Y0-220X</v>
          </cell>
          <cell r="B8368" t="str">
            <v>YZ-ZQ14976</v>
          </cell>
        </row>
        <row r="8369">
          <cell r="A8369" t="str">
            <v>YZ-ZQ14976-Y0-221X</v>
          </cell>
          <cell r="B8369" t="str">
            <v>YZ-ZQ14976</v>
          </cell>
        </row>
        <row r="8370">
          <cell r="A8370" t="str">
            <v>YZ-ZQ14976-Y0-222X</v>
          </cell>
          <cell r="B8370" t="str">
            <v>YZ-ZQ14976</v>
          </cell>
        </row>
        <row r="8371">
          <cell r="A8371" t="str">
            <v>YZ-ZQ14976-Y0-223X</v>
          </cell>
          <cell r="B8371" t="str">
            <v>YZ-ZQ14976</v>
          </cell>
        </row>
        <row r="8372">
          <cell r="A8372" t="str">
            <v>YZ-ZQ14976-Y0-224X</v>
          </cell>
          <cell r="B8372" t="str">
            <v>YZ-ZQ14976</v>
          </cell>
        </row>
        <row r="8373">
          <cell r="A8373" t="str">
            <v>YZ-ZQ14976-Y0-225X</v>
          </cell>
          <cell r="B8373" t="str">
            <v>YZ-ZQ14976</v>
          </cell>
        </row>
        <row r="8374">
          <cell r="A8374" t="str">
            <v>YZ-ZQ14976-Y0-226X</v>
          </cell>
          <cell r="B8374" t="str">
            <v>YZ-ZQ14976</v>
          </cell>
        </row>
        <row r="8375">
          <cell r="A8375" t="str">
            <v>YZ-ZQ14976-Y0-227X</v>
          </cell>
          <cell r="B8375" t="str">
            <v>YZ-ZQ14976</v>
          </cell>
        </row>
        <row r="8376">
          <cell r="A8376" t="str">
            <v>YZ-ZQ14976-Y0-228X</v>
          </cell>
          <cell r="B8376" t="str">
            <v>YZ-ZQ14976</v>
          </cell>
        </row>
        <row r="8377">
          <cell r="A8377" t="str">
            <v>YZ-ZQ14976-Y0-229X</v>
          </cell>
          <cell r="B8377" t="str">
            <v>YZ-ZQ14976</v>
          </cell>
        </row>
        <row r="8378">
          <cell r="A8378" t="str">
            <v>YZ-ZQ14976-Y0-22X</v>
          </cell>
          <cell r="B8378" t="str">
            <v>YZ-ZQ14976</v>
          </cell>
        </row>
        <row r="8379">
          <cell r="A8379" t="str">
            <v>YZ-ZQ14976-Y0-230X</v>
          </cell>
          <cell r="B8379" t="str">
            <v>YZ-ZQ14976</v>
          </cell>
        </row>
        <row r="8380">
          <cell r="A8380" t="str">
            <v>YZ-ZQ14976-Y0-231X</v>
          </cell>
          <cell r="B8380" t="str">
            <v>YZ-ZQ14976</v>
          </cell>
        </row>
        <row r="8381">
          <cell r="A8381" t="str">
            <v>YZ-ZQ14976-Y0-232X</v>
          </cell>
          <cell r="B8381" t="str">
            <v>YZ-ZQ14976</v>
          </cell>
        </row>
        <row r="8382">
          <cell r="A8382" t="str">
            <v>YZ-ZQ14976-Y0-233X</v>
          </cell>
          <cell r="B8382" t="str">
            <v>YZ-ZQ14976</v>
          </cell>
        </row>
        <row r="8383">
          <cell r="A8383" t="str">
            <v>YZ-ZQ14976-Y0-234X</v>
          </cell>
          <cell r="B8383" t="str">
            <v>YZ-ZQ14976</v>
          </cell>
        </row>
        <row r="8384">
          <cell r="A8384" t="str">
            <v>YZ-ZQ14976-Y0-235X</v>
          </cell>
          <cell r="B8384" t="str">
            <v>YZ-ZQ14976</v>
          </cell>
        </row>
        <row r="8385">
          <cell r="A8385" t="str">
            <v>YZ-ZQ14976-Y0-236X</v>
          </cell>
          <cell r="B8385" t="str">
            <v>YZ-ZQ14976</v>
          </cell>
        </row>
        <row r="8386">
          <cell r="A8386" t="str">
            <v>YZ-ZQ14976-Y0-237X</v>
          </cell>
          <cell r="B8386" t="str">
            <v>YZ-ZQ14976</v>
          </cell>
        </row>
        <row r="8387">
          <cell r="A8387" t="str">
            <v>YZ-ZQ14976-Y0-238X</v>
          </cell>
          <cell r="B8387" t="str">
            <v>YZ-ZQ14976</v>
          </cell>
        </row>
        <row r="8388">
          <cell r="A8388" t="str">
            <v>YZ-ZQ14976-Y0-239X</v>
          </cell>
          <cell r="B8388" t="str">
            <v>YZ-ZQ14976</v>
          </cell>
        </row>
        <row r="8389">
          <cell r="A8389" t="str">
            <v>YZ-ZQ14976-Y0-23X</v>
          </cell>
          <cell r="B8389" t="str">
            <v>YZ-ZQ14976</v>
          </cell>
        </row>
        <row r="8390">
          <cell r="A8390" t="str">
            <v>YZ-ZQ14976-Y0-240X</v>
          </cell>
          <cell r="B8390" t="str">
            <v>YZ-ZQ14976</v>
          </cell>
        </row>
        <row r="8391">
          <cell r="A8391" t="str">
            <v>YZ-ZQ14976-Y0-241X</v>
          </cell>
          <cell r="B8391" t="str">
            <v>YZ-ZQ14976</v>
          </cell>
        </row>
        <row r="8392">
          <cell r="A8392" t="str">
            <v>YZ-ZQ14976-Y0-242X</v>
          </cell>
          <cell r="B8392" t="str">
            <v>YZ-ZQ14976</v>
          </cell>
        </row>
        <row r="8393">
          <cell r="A8393" t="str">
            <v>YZ-ZQ14976-Y0-243X</v>
          </cell>
          <cell r="B8393" t="str">
            <v>YZ-ZQ14976</v>
          </cell>
        </row>
        <row r="8394">
          <cell r="A8394" t="str">
            <v>YZ-ZQ14976-Y0-244X</v>
          </cell>
          <cell r="B8394" t="str">
            <v>YZ-ZQ14976</v>
          </cell>
        </row>
        <row r="8395">
          <cell r="A8395" t="str">
            <v>YZ-ZQ14976-Y0-245X</v>
          </cell>
          <cell r="B8395" t="str">
            <v>YZ-ZQ14976</v>
          </cell>
        </row>
        <row r="8396">
          <cell r="A8396" t="str">
            <v>YZ-ZQ14976-Y0-246X</v>
          </cell>
          <cell r="B8396" t="str">
            <v>YZ-ZQ14976</v>
          </cell>
        </row>
        <row r="8397">
          <cell r="A8397" t="str">
            <v>YZ-ZQ14976-Y0-247X</v>
          </cell>
          <cell r="B8397" t="str">
            <v>YZ-ZQ14976</v>
          </cell>
        </row>
        <row r="8398">
          <cell r="A8398" t="str">
            <v>YZ-ZQ14976-Y0-248X</v>
          </cell>
          <cell r="B8398" t="str">
            <v>YZ-ZQ14976</v>
          </cell>
        </row>
        <row r="8399">
          <cell r="A8399" t="str">
            <v>YZ-ZQ14976-Y0-249X</v>
          </cell>
          <cell r="B8399" t="str">
            <v>YZ-ZQ14976</v>
          </cell>
        </row>
        <row r="8400">
          <cell r="A8400" t="str">
            <v>YZ-ZQ14976-Y0-24X</v>
          </cell>
          <cell r="B8400" t="str">
            <v>YZ-ZQ14976</v>
          </cell>
        </row>
        <row r="8401">
          <cell r="A8401" t="str">
            <v>YZ-ZQ14976-Y0-250X</v>
          </cell>
          <cell r="B8401" t="str">
            <v>YZ-ZQ14976</v>
          </cell>
        </row>
        <row r="8402">
          <cell r="A8402" t="str">
            <v>YZ-ZQ14976-Y0-251X</v>
          </cell>
          <cell r="B8402" t="str">
            <v>YZ-ZQ14976</v>
          </cell>
        </row>
        <row r="8403">
          <cell r="A8403" t="str">
            <v>YZ-ZQ14976-Y0-252X</v>
          </cell>
          <cell r="B8403" t="str">
            <v>YZ-ZQ14976</v>
          </cell>
        </row>
        <row r="8404">
          <cell r="A8404" t="str">
            <v>YZ-ZQ14976-Y0-253X</v>
          </cell>
          <cell r="B8404" t="str">
            <v>YZ-ZQ14976</v>
          </cell>
        </row>
        <row r="8405">
          <cell r="A8405" t="str">
            <v>YZ-ZQ14976-Y0-254X</v>
          </cell>
          <cell r="B8405" t="str">
            <v>YZ-ZQ14976</v>
          </cell>
        </row>
        <row r="8406">
          <cell r="A8406" t="str">
            <v>YZ-ZQ14976-Y0-255X</v>
          </cell>
          <cell r="B8406" t="str">
            <v>YZ-ZQ14976</v>
          </cell>
        </row>
        <row r="8407">
          <cell r="A8407" t="str">
            <v>YZ-ZQ14976-Y0-256X</v>
          </cell>
          <cell r="B8407" t="str">
            <v>YZ-ZQ14976</v>
          </cell>
        </row>
        <row r="8408">
          <cell r="A8408" t="str">
            <v>YZ-ZQ14976-Y0-257X</v>
          </cell>
          <cell r="B8408" t="str">
            <v>YZ-ZQ14976</v>
          </cell>
        </row>
        <row r="8409">
          <cell r="A8409" t="str">
            <v>YZ-ZQ14976-Y0-258X</v>
          </cell>
          <cell r="B8409" t="str">
            <v>YZ-ZQ14976</v>
          </cell>
        </row>
        <row r="8410">
          <cell r="A8410" t="str">
            <v>YZ-ZQ14976-Y0-259X</v>
          </cell>
          <cell r="B8410" t="str">
            <v>YZ-ZQ14976</v>
          </cell>
        </row>
        <row r="8411">
          <cell r="A8411" t="str">
            <v>YZ-ZQ14976-Y0-25X</v>
          </cell>
          <cell r="B8411" t="str">
            <v>YZ-ZQ14976</v>
          </cell>
        </row>
        <row r="8412">
          <cell r="A8412" t="str">
            <v>YZ-ZQ14976-Y0-260X</v>
          </cell>
          <cell r="B8412" t="str">
            <v>YZ-ZQ14976</v>
          </cell>
        </row>
        <row r="8413">
          <cell r="A8413" t="str">
            <v>YZ-ZQ14976-Y0-261X</v>
          </cell>
          <cell r="B8413" t="str">
            <v>YZ-ZQ14976</v>
          </cell>
        </row>
        <row r="8414">
          <cell r="A8414" t="str">
            <v>YZ-ZQ14976-Y0-262X</v>
          </cell>
          <cell r="B8414" t="str">
            <v>YZ-ZQ14976</v>
          </cell>
        </row>
        <row r="8415">
          <cell r="A8415" t="str">
            <v>YZ-ZQ14976-Y0-263X</v>
          </cell>
          <cell r="B8415" t="str">
            <v>YZ-ZQ14976</v>
          </cell>
        </row>
        <row r="8416">
          <cell r="A8416" t="str">
            <v>YZ-ZQ14976-Y0-264X</v>
          </cell>
          <cell r="B8416" t="str">
            <v>YZ-ZQ14976</v>
          </cell>
        </row>
        <row r="8417">
          <cell r="A8417" t="str">
            <v>YZ-ZQ14976-Y0-265X</v>
          </cell>
          <cell r="B8417" t="str">
            <v>YZ-ZQ14976</v>
          </cell>
        </row>
        <row r="8418">
          <cell r="A8418" t="str">
            <v>YZ-ZQ14976-Y0-266X</v>
          </cell>
          <cell r="B8418" t="str">
            <v>YZ-ZQ14976</v>
          </cell>
        </row>
        <row r="8419">
          <cell r="A8419" t="str">
            <v>YZ-ZQ14976-Y0-267X</v>
          </cell>
          <cell r="B8419" t="str">
            <v>YZ-ZQ14976</v>
          </cell>
        </row>
        <row r="8420">
          <cell r="A8420" t="str">
            <v>YZ-ZQ14976-Y0-268X</v>
          </cell>
          <cell r="B8420" t="str">
            <v>YZ-ZQ14976</v>
          </cell>
        </row>
        <row r="8421">
          <cell r="A8421" t="str">
            <v>YZ-ZQ14976-Y0-269X</v>
          </cell>
          <cell r="B8421" t="str">
            <v>YZ-ZQ14976</v>
          </cell>
        </row>
        <row r="8422">
          <cell r="A8422" t="str">
            <v>YZ-ZQ14976-Y0-26X</v>
          </cell>
          <cell r="B8422" t="str">
            <v>YZ-ZQ14976</v>
          </cell>
        </row>
        <row r="8423">
          <cell r="A8423" t="str">
            <v>YZ-ZQ14976-Y0-270X</v>
          </cell>
          <cell r="B8423" t="str">
            <v>YZ-ZQ14976</v>
          </cell>
        </row>
        <row r="8424">
          <cell r="A8424" t="str">
            <v>YZ-ZQ14976-Y0-271X</v>
          </cell>
          <cell r="B8424" t="str">
            <v>YZ-ZQ14976</v>
          </cell>
        </row>
        <row r="8425">
          <cell r="A8425" t="str">
            <v>YZ-ZQ14976-Y0-272X</v>
          </cell>
          <cell r="B8425" t="str">
            <v>YZ-ZQ14976</v>
          </cell>
        </row>
        <row r="8426">
          <cell r="A8426" t="str">
            <v>YZ-ZQ14976-Y0-273X</v>
          </cell>
          <cell r="B8426" t="str">
            <v>YZ-ZQ14976</v>
          </cell>
        </row>
        <row r="8427">
          <cell r="A8427" t="str">
            <v>YZ-ZQ14976-Y0-274X</v>
          </cell>
          <cell r="B8427" t="str">
            <v>YZ-ZQ14976</v>
          </cell>
        </row>
        <row r="8428">
          <cell r="A8428" t="str">
            <v>YZ-ZQ14976-Y0-275X</v>
          </cell>
          <cell r="B8428" t="str">
            <v>YZ-ZQ14976</v>
          </cell>
        </row>
        <row r="8429">
          <cell r="A8429" t="str">
            <v>YZ-ZQ14976-Y0-276X</v>
          </cell>
          <cell r="B8429" t="str">
            <v>YZ-ZQ14976</v>
          </cell>
        </row>
        <row r="8430">
          <cell r="A8430" t="str">
            <v>YZ-ZQ14976-Y0-277X</v>
          </cell>
          <cell r="B8430" t="str">
            <v>YZ-ZQ14976</v>
          </cell>
        </row>
        <row r="8431">
          <cell r="A8431" t="str">
            <v>YZ-ZQ14976-Y0-278X</v>
          </cell>
          <cell r="B8431" t="str">
            <v>YZ-ZQ14976</v>
          </cell>
        </row>
        <row r="8432">
          <cell r="A8432" t="str">
            <v>YZ-ZQ14976-Y0-279X</v>
          </cell>
          <cell r="B8432" t="str">
            <v>YZ-ZQ14976</v>
          </cell>
        </row>
        <row r="8433">
          <cell r="A8433" t="str">
            <v>YZ-ZQ14976-Y0-27X</v>
          </cell>
          <cell r="B8433" t="str">
            <v>YZ-ZQ14976</v>
          </cell>
        </row>
        <row r="8434">
          <cell r="A8434" t="str">
            <v>YZ-ZQ14976-Y0-280X</v>
          </cell>
          <cell r="B8434" t="str">
            <v>YZ-ZQ14976</v>
          </cell>
        </row>
        <row r="8435">
          <cell r="A8435" t="str">
            <v>YZ-ZQ14976-Y0-281X</v>
          </cell>
          <cell r="B8435" t="str">
            <v>YZ-ZQ14976</v>
          </cell>
        </row>
        <row r="8436">
          <cell r="A8436" t="str">
            <v>YZ-ZQ14976-Y0-282X</v>
          </cell>
          <cell r="B8436" t="str">
            <v>YZ-ZQ14976</v>
          </cell>
        </row>
        <row r="8437">
          <cell r="A8437" t="str">
            <v>YZ-ZQ14976-Y0-283X</v>
          </cell>
          <cell r="B8437" t="str">
            <v>YZ-ZQ14976</v>
          </cell>
        </row>
        <row r="8438">
          <cell r="A8438" t="str">
            <v>YZ-ZQ14976-Y0-284X</v>
          </cell>
          <cell r="B8438" t="str">
            <v>YZ-ZQ14976</v>
          </cell>
        </row>
        <row r="8439">
          <cell r="A8439" t="str">
            <v>YZ-ZQ14976-Y0-285X</v>
          </cell>
          <cell r="B8439" t="str">
            <v>YZ-ZQ14976</v>
          </cell>
        </row>
        <row r="8440">
          <cell r="A8440" t="str">
            <v>YZ-ZQ14976-Y0-286X</v>
          </cell>
          <cell r="B8440" t="str">
            <v>YZ-ZQ14976</v>
          </cell>
        </row>
        <row r="8441">
          <cell r="A8441" t="str">
            <v>YZ-ZQ14976-Y0-287X</v>
          </cell>
          <cell r="B8441" t="str">
            <v>YZ-ZQ14976</v>
          </cell>
        </row>
        <row r="8442">
          <cell r="A8442" t="str">
            <v>YZ-ZQ14976-Y0-288X</v>
          </cell>
          <cell r="B8442" t="str">
            <v>YZ-ZQ14976</v>
          </cell>
        </row>
        <row r="8443">
          <cell r="A8443" t="str">
            <v>YZ-ZQ14976-Y0-289X</v>
          </cell>
          <cell r="B8443" t="str">
            <v>YZ-ZQ14976</v>
          </cell>
        </row>
        <row r="8444">
          <cell r="A8444" t="str">
            <v>YZ-ZQ14976-Y0-28X</v>
          </cell>
          <cell r="B8444" t="str">
            <v>YZ-ZQ14976</v>
          </cell>
        </row>
        <row r="8445">
          <cell r="A8445" t="str">
            <v>YZ-ZQ14976-Y0-290X</v>
          </cell>
          <cell r="B8445" t="str">
            <v>YZ-ZQ14976</v>
          </cell>
        </row>
        <row r="8446">
          <cell r="A8446" t="str">
            <v>YZ-ZQ14976-Y0-292X</v>
          </cell>
          <cell r="B8446" t="str">
            <v>YZ-ZQ14976</v>
          </cell>
        </row>
        <row r="8447">
          <cell r="A8447" t="str">
            <v>YZ-ZQ14976-Y0-293X</v>
          </cell>
          <cell r="B8447" t="str">
            <v>YZ-ZQ14976</v>
          </cell>
        </row>
        <row r="8448">
          <cell r="A8448" t="str">
            <v>YZ-ZQ14976-Y0-294X</v>
          </cell>
          <cell r="B8448" t="str">
            <v>YZ-ZQ14976</v>
          </cell>
        </row>
        <row r="8449">
          <cell r="A8449" t="str">
            <v>YZ-ZQ14976-Y0-295X</v>
          </cell>
          <cell r="B8449" t="str">
            <v>YZ-ZQ14976</v>
          </cell>
        </row>
        <row r="8450">
          <cell r="A8450" t="str">
            <v>YZ-ZQ14976-Y0-296X</v>
          </cell>
          <cell r="B8450" t="str">
            <v>YZ-ZQ14976</v>
          </cell>
        </row>
        <row r="8451">
          <cell r="A8451" t="str">
            <v>YZ-ZQ14976-Y0-297X</v>
          </cell>
          <cell r="B8451" t="str">
            <v>YZ-ZQ14976</v>
          </cell>
        </row>
        <row r="8452">
          <cell r="A8452" t="str">
            <v>YZ-ZQ14976-Y0-298X</v>
          </cell>
          <cell r="B8452" t="str">
            <v>YZ-ZQ14976</v>
          </cell>
        </row>
        <row r="8453">
          <cell r="A8453" t="str">
            <v>YZ-ZQ14976-Y0-299X</v>
          </cell>
          <cell r="B8453" t="str">
            <v>YZ-ZQ14976</v>
          </cell>
        </row>
        <row r="8454">
          <cell r="A8454" t="str">
            <v>YZ-ZQ14976-Y0-29X</v>
          </cell>
          <cell r="B8454" t="str">
            <v>YZ-ZQ14976</v>
          </cell>
        </row>
        <row r="8455">
          <cell r="A8455" t="str">
            <v>YZ-ZQ14976-Y0-2X</v>
          </cell>
          <cell r="B8455" t="str">
            <v>YZ-ZQ14976</v>
          </cell>
        </row>
        <row r="8456">
          <cell r="A8456" t="str">
            <v>YZ-ZQ14976-Y0-300X</v>
          </cell>
          <cell r="B8456" t="str">
            <v>YZ-ZQ14976</v>
          </cell>
        </row>
        <row r="8457">
          <cell r="A8457" t="str">
            <v>YZ-ZQ14976-Y0-301X</v>
          </cell>
          <cell r="B8457" t="str">
            <v>YZ-ZQ14976</v>
          </cell>
        </row>
        <row r="8458">
          <cell r="A8458" t="str">
            <v>YZ-ZQ14976-Y0-302X</v>
          </cell>
          <cell r="B8458" t="str">
            <v>YZ-ZQ14976</v>
          </cell>
        </row>
        <row r="8459">
          <cell r="A8459" t="str">
            <v>YZ-ZQ14976-Y0-303X</v>
          </cell>
          <cell r="B8459" t="str">
            <v>YZ-ZQ14976</v>
          </cell>
        </row>
        <row r="8460">
          <cell r="A8460" t="str">
            <v>YZ-ZQ14976-Y0-304X</v>
          </cell>
          <cell r="B8460" t="str">
            <v>YZ-ZQ14976</v>
          </cell>
        </row>
        <row r="8461">
          <cell r="A8461" t="str">
            <v>YZ-ZQ14976-Y0-305X</v>
          </cell>
          <cell r="B8461" t="str">
            <v>YZ-ZQ14976</v>
          </cell>
        </row>
        <row r="8462">
          <cell r="A8462" t="str">
            <v>YZ-ZQ14976-Y0-306X</v>
          </cell>
          <cell r="B8462" t="str">
            <v>YZ-ZQ14976</v>
          </cell>
        </row>
        <row r="8463">
          <cell r="A8463" t="str">
            <v>YZ-ZQ14976-Y0-307X</v>
          </cell>
          <cell r="B8463" t="str">
            <v>YZ-ZQ14976</v>
          </cell>
        </row>
        <row r="8464">
          <cell r="A8464" t="str">
            <v>YZ-ZQ14976-Y0-308X</v>
          </cell>
          <cell r="B8464" t="str">
            <v>YZ-ZQ14976</v>
          </cell>
        </row>
        <row r="8465">
          <cell r="A8465" t="str">
            <v>YZ-ZQ14976-Y0-309X</v>
          </cell>
          <cell r="B8465" t="str">
            <v>YZ-ZQ14976</v>
          </cell>
        </row>
        <row r="8466">
          <cell r="A8466" t="str">
            <v>YZ-ZQ14976-Y0-30X</v>
          </cell>
          <cell r="B8466" t="str">
            <v>YZ-ZQ14976</v>
          </cell>
        </row>
        <row r="8467">
          <cell r="A8467" t="str">
            <v>YZ-ZQ14976-Y0-310X</v>
          </cell>
          <cell r="B8467" t="str">
            <v>YZ-ZQ14976</v>
          </cell>
        </row>
        <row r="8468">
          <cell r="A8468" t="str">
            <v>YZ-ZQ14976-Y0-311X</v>
          </cell>
          <cell r="B8468" t="str">
            <v>YZ-ZQ14976</v>
          </cell>
        </row>
        <row r="8469">
          <cell r="A8469" t="str">
            <v>YZ-ZQ14976-Y0-312X</v>
          </cell>
          <cell r="B8469" t="str">
            <v>YZ-ZQ14976</v>
          </cell>
        </row>
        <row r="8470">
          <cell r="A8470" t="str">
            <v>YZ-ZQ14976-Y0-313X</v>
          </cell>
          <cell r="B8470" t="str">
            <v>YZ-ZQ14976</v>
          </cell>
        </row>
        <row r="8471">
          <cell r="A8471" t="str">
            <v>YZ-ZQ14976-Y0-314X</v>
          </cell>
          <cell r="B8471" t="str">
            <v>YZ-ZQ14976</v>
          </cell>
        </row>
        <row r="8472">
          <cell r="A8472" t="str">
            <v>YZ-ZQ14976-Y0-315X</v>
          </cell>
          <cell r="B8472" t="str">
            <v>YZ-ZQ14976</v>
          </cell>
        </row>
        <row r="8473">
          <cell r="A8473" t="str">
            <v>YZ-ZQ14976-Y0-316X</v>
          </cell>
          <cell r="B8473" t="str">
            <v>YZ-ZQ14976</v>
          </cell>
        </row>
        <row r="8474">
          <cell r="A8474" t="str">
            <v>YZ-ZQ14976-Y0-317X</v>
          </cell>
          <cell r="B8474" t="str">
            <v>YZ-ZQ14976</v>
          </cell>
        </row>
        <row r="8475">
          <cell r="A8475" t="str">
            <v>YZ-ZQ14976-Y0-318X</v>
          </cell>
          <cell r="B8475" t="str">
            <v>YZ-ZQ14976</v>
          </cell>
        </row>
        <row r="8476">
          <cell r="A8476" t="str">
            <v>YZ-ZQ14976-Y0-319X</v>
          </cell>
          <cell r="B8476" t="str">
            <v>YZ-ZQ14976</v>
          </cell>
        </row>
        <row r="8477">
          <cell r="A8477" t="str">
            <v>YZ-ZQ14976-Y0-31X</v>
          </cell>
          <cell r="B8477" t="str">
            <v>YZ-ZQ14976</v>
          </cell>
        </row>
        <row r="8478">
          <cell r="A8478" t="str">
            <v>YZ-ZQ14976-Y0-320X</v>
          </cell>
          <cell r="B8478" t="str">
            <v>YZ-ZQ14976</v>
          </cell>
        </row>
        <row r="8479">
          <cell r="A8479" t="str">
            <v>YZ-ZQ14976-Y0-321X</v>
          </cell>
          <cell r="B8479" t="str">
            <v>YZ-ZQ14976</v>
          </cell>
        </row>
        <row r="8480">
          <cell r="A8480" t="str">
            <v>YZ-ZQ14976-Y0-322X</v>
          </cell>
          <cell r="B8480" t="str">
            <v>YZ-ZQ14976</v>
          </cell>
        </row>
        <row r="8481">
          <cell r="A8481" t="str">
            <v>YZ-ZQ14976-Y0-323X</v>
          </cell>
          <cell r="B8481" t="str">
            <v>YZ-ZQ14976</v>
          </cell>
        </row>
        <row r="8482">
          <cell r="A8482" t="str">
            <v>YZ-ZQ14976-Y0-324X</v>
          </cell>
          <cell r="B8482" t="str">
            <v>YZ-ZQ14976</v>
          </cell>
        </row>
        <row r="8483">
          <cell r="A8483" t="str">
            <v>YZ-ZQ14976-Y0-325X</v>
          </cell>
          <cell r="B8483" t="str">
            <v>YZ-ZQ14976</v>
          </cell>
        </row>
        <row r="8484">
          <cell r="A8484" t="str">
            <v>YZ-ZQ14976-Y0-326X</v>
          </cell>
          <cell r="B8484" t="str">
            <v>YZ-ZQ14976</v>
          </cell>
        </row>
        <row r="8485">
          <cell r="A8485" t="str">
            <v>YZ-ZQ14976-Y0-327X</v>
          </cell>
          <cell r="B8485" t="str">
            <v>YZ-ZQ14976</v>
          </cell>
        </row>
        <row r="8486">
          <cell r="A8486" t="str">
            <v>YZ-ZQ14976-Y0-328X</v>
          </cell>
          <cell r="B8486" t="str">
            <v>YZ-ZQ14976</v>
          </cell>
        </row>
        <row r="8487">
          <cell r="A8487" t="str">
            <v>YZ-ZQ14976-Y0-329X</v>
          </cell>
          <cell r="B8487" t="str">
            <v>YZ-ZQ14976</v>
          </cell>
        </row>
        <row r="8488">
          <cell r="A8488" t="str">
            <v>YZ-ZQ14976-Y0-32X</v>
          </cell>
          <cell r="B8488" t="str">
            <v>YZ-ZQ14976</v>
          </cell>
        </row>
        <row r="8489">
          <cell r="A8489" t="str">
            <v>YZ-ZQ14976-Y0-330X</v>
          </cell>
          <cell r="B8489" t="str">
            <v>YZ-ZQ14976</v>
          </cell>
        </row>
        <row r="8490">
          <cell r="A8490" t="str">
            <v>YZ-ZQ14976-Y0-331X</v>
          </cell>
          <cell r="B8490" t="str">
            <v>YZ-ZQ14976</v>
          </cell>
        </row>
        <row r="8491">
          <cell r="A8491" t="str">
            <v>YZ-ZQ14976-Y0-332X</v>
          </cell>
          <cell r="B8491" t="str">
            <v>YZ-ZQ14976</v>
          </cell>
        </row>
        <row r="8492">
          <cell r="A8492" t="str">
            <v>YZ-ZQ14976-Y0-333X</v>
          </cell>
          <cell r="B8492" t="str">
            <v>YZ-ZQ14976</v>
          </cell>
        </row>
        <row r="8493">
          <cell r="A8493" t="str">
            <v>YZ-ZQ14976-Y0-334X</v>
          </cell>
          <cell r="B8493" t="str">
            <v>YZ-ZQ14976</v>
          </cell>
        </row>
        <row r="8494">
          <cell r="A8494" t="str">
            <v>YZ-ZQ14976-Y0-335X</v>
          </cell>
          <cell r="B8494" t="str">
            <v>YZ-ZQ14976</v>
          </cell>
        </row>
        <row r="8495">
          <cell r="A8495" t="str">
            <v>YZ-ZQ14976-Y0-336X</v>
          </cell>
          <cell r="B8495" t="str">
            <v>YZ-ZQ14976</v>
          </cell>
        </row>
        <row r="8496">
          <cell r="A8496" t="str">
            <v>YZ-ZQ14976-Y0-337X</v>
          </cell>
          <cell r="B8496" t="str">
            <v>YZ-ZQ14976</v>
          </cell>
        </row>
        <row r="8497">
          <cell r="A8497" t="str">
            <v>YZ-ZQ14976-Y0-338X</v>
          </cell>
          <cell r="B8497" t="str">
            <v>YZ-ZQ14976</v>
          </cell>
        </row>
        <row r="8498">
          <cell r="A8498" t="str">
            <v>YZ-ZQ14976-Y0-339X</v>
          </cell>
          <cell r="B8498" t="str">
            <v>YZ-ZQ14976</v>
          </cell>
        </row>
        <row r="8499">
          <cell r="A8499" t="str">
            <v>YZ-ZQ14976-Y0-33X</v>
          </cell>
          <cell r="B8499" t="str">
            <v>YZ-ZQ14976</v>
          </cell>
        </row>
        <row r="8500">
          <cell r="A8500" t="str">
            <v>YZ-ZQ14976-Y0-340X</v>
          </cell>
          <cell r="B8500" t="str">
            <v>YZ-ZQ14976</v>
          </cell>
        </row>
        <row r="8501">
          <cell r="A8501" t="str">
            <v>YZ-ZQ14976-Y0-341X</v>
          </cell>
          <cell r="B8501" t="str">
            <v>YZ-ZQ14976</v>
          </cell>
        </row>
        <row r="8502">
          <cell r="A8502" t="str">
            <v>YZ-ZQ14976-Y0-342X</v>
          </cell>
          <cell r="B8502" t="str">
            <v>YZ-ZQ14976</v>
          </cell>
        </row>
        <row r="8503">
          <cell r="A8503" t="str">
            <v>YZ-ZQ14976-Y0-343X</v>
          </cell>
          <cell r="B8503" t="str">
            <v>YZ-ZQ14976</v>
          </cell>
        </row>
        <row r="8504">
          <cell r="A8504" t="str">
            <v>YZ-ZQ14976-Y0-344X</v>
          </cell>
          <cell r="B8504" t="str">
            <v>YZ-ZQ14976</v>
          </cell>
        </row>
        <row r="8505">
          <cell r="A8505" t="str">
            <v>YZ-ZQ14976-Y0-345X</v>
          </cell>
          <cell r="B8505" t="str">
            <v>YZ-ZQ14976</v>
          </cell>
        </row>
        <row r="8506">
          <cell r="A8506" t="str">
            <v>YZ-ZQ14976-Y0-346X</v>
          </cell>
          <cell r="B8506" t="str">
            <v>YZ-ZQ14976</v>
          </cell>
        </row>
        <row r="8507">
          <cell r="A8507" t="str">
            <v>YZ-ZQ14976-Y0-347X</v>
          </cell>
          <cell r="B8507" t="str">
            <v>YZ-ZQ14976</v>
          </cell>
        </row>
        <row r="8508">
          <cell r="A8508" t="str">
            <v>YZ-ZQ14976-Y0-348X</v>
          </cell>
          <cell r="B8508" t="str">
            <v>YZ-ZQ14976</v>
          </cell>
        </row>
        <row r="8509">
          <cell r="A8509" t="str">
            <v>YZ-ZQ14976-Y0-349X</v>
          </cell>
          <cell r="B8509" t="str">
            <v>YZ-ZQ14976</v>
          </cell>
        </row>
        <row r="8510">
          <cell r="A8510" t="str">
            <v>YZ-ZQ14976-Y0-34X</v>
          </cell>
          <cell r="B8510" t="str">
            <v>YZ-ZQ14976</v>
          </cell>
        </row>
        <row r="8511">
          <cell r="A8511" t="str">
            <v>YZ-ZQ14976-Y0-350X</v>
          </cell>
          <cell r="B8511" t="str">
            <v>YZ-ZQ14976</v>
          </cell>
        </row>
        <row r="8512">
          <cell r="A8512" t="str">
            <v>YZ-ZQ14976-Y0-351X</v>
          </cell>
          <cell r="B8512" t="str">
            <v>YZ-ZQ14976</v>
          </cell>
        </row>
        <row r="8513">
          <cell r="A8513" t="str">
            <v>YZ-ZQ14976-Y0-352X</v>
          </cell>
          <cell r="B8513" t="str">
            <v>YZ-ZQ14976</v>
          </cell>
        </row>
        <row r="8514">
          <cell r="A8514" t="str">
            <v>YZ-ZQ14976-Y0-353X</v>
          </cell>
          <cell r="B8514" t="str">
            <v>YZ-ZQ14976</v>
          </cell>
        </row>
        <row r="8515">
          <cell r="A8515" t="str">
            <v>YZ-ZQ14976-Y0-354X</v>
          </cell>
          <cell r="B8515" t="str">
            <v>YZ-ZQ14976</v>
          </cell>
        </row>
        <row r="8516">
          <cell r="A8516" t="str">
            <v>YZ-ZQ14976-Y0-355X</v>
          </cell>
          <cell r="B8516" t="str">
            <v>YZ-ZQ14976</v>
          </cell>
        </row>
        <row r="8517">
          <cell r="A8517" t="str">
            <v>YZ-ZQ14976-Y0-356X</v>
          </cell>
          <cell r="B8517" t="str">
            <v>YZ-ZQ14976</v>
          </cell>
        </row>
        <row r="8518">
          <cell r="A8518" t="str">
            <v>YZ-ZQ14976-Y0-357X</v>
          </cell>
          <cell r="B8518" t="str">
            <v>YZ-ZQ14976</v>
          </cell>
        </row>
        <row r="8519">
          <cell r="A8519" t="str">
            <v>YZ-ZQ14976-Y0-358X</v>
          </cell>
          <cell r="B8519" t="str">
            <v>YZ-ZQ14976</v>
          </cell>
        </row>
        <row r="8520">
          <cell r="A8520" t="str">
            <v>YZ-ZQ14976-Y0-359X</v>
          </cell>
          <cell r="B8520" t="str">
            <v>YZ-ZQ14976</v>
          </cell>
        </row>
        <row r="8521">
          <cell r="A8521" t="str">
            <v>YZ-ZQ14976-Y0-35X</v>
          </cell>
          <cell r="B8521" t="str">
            <v>YZ-ZQ14976</v>
          </cell>
        </row>
        <row r="8522">
          <cell r="A8522" t="str">
            <v>YZ-ZQ14976-Y0-360X</v>
          </cell>
          <cell r="B8522" t="str">
            <v>YZ-ZQ14976</v>
          </cell>
        </row>
        <row r="8523">
          <cell r="A8523" t="str">
            <v>YZ-ZQ14976-Y0-361X</v>
          </cell>
          <cell r="B8523" t="str">
            <v>YZ-ZQ14976</v>
          </cell>
        </row>
        <row r="8524">
          <cell r="A8524" t="str">
            <v>YZ-ZQ14976-Y0-362X</v>
          </cell>
          <cell r="B8524" t="str">
            <v>YZ-ZQ14976</v>
          </cell>
        </row>
        <row r="8525">
          <cell r="A8525" t="str">
            <v>YZ-ZQ14976-Y0-363X</v>
          </cell>
          <cell r="B8525" t="str">
            <v>YZ-ZQ14976</v>
          </cell>
        </row>
        <row r="8526">
          <cell r="A8526" t="str">
            <v>YZ-ZQ14976-Y0-364X</v>
          </cell>
          <cell r="B8526" t="str">
            <v>YZ-ZQ14976</v>
          </cell>
        </row>
        <row r="8527">
          <cell r="A8527" t="str">
            <v>YZ-ZQ14976-Y0-365X</v>
          </cell>
          <cell r="B8527" t="str">
            <v>YZ-ZQ14976</v>
          </cell>
        </row>
        <row r="8528">
          <cell r="A8528" t="str">
            <v>YZ-ZQ14976-Y0-366X</v>
          </cell>
          <cell r="B8528" t="str">
            <v>YZ-ZQ14976</v>
          </cell>
        </row>
        <row r="8529">
          <cell r="A8529" t="str">
            <v>YZ-ZQ14976-Y0-367X</v>
          </cell>
          <cell r="B8529" t="str">
            <v>YZ-ZQ14976</v>
          </cell>
        </row>
        <row r="8530">
          <cell r="A8530" t="str">
            <v>YZ-ZQ14976-Y0-368X</v>
          </cell>
          <cell r="B8530" t="str">
            <v>YZ-ZQ14976</v>
          </cell>
        </row>
        <row r="8531">
          <cell r="A8531" t="str">
            <v>YZ-ZQ14976-Y0-369X</v>
          </cell>
          <cell r="B8531" t="str">
            <v>YZ-ZQ14976</v>
          </cell>
        </row>
        <row r="8532">
          <cell r="A8532" t="str">
            <v>YZ-ZQ14976-Y0-36X</v>
          </cell>
          <cell r="B8532" t="str">
            <v>YZ-ZQ14976</v>
          </cell>
        </row>
        <row r="8533">
          <cell r="A8533" t="str">
            <v>YZ-ZQ14976-Y0-370X</v>
          </cell>
          <cell r="B8533" t="str">
            <v>YZ-ZQ14976</v>
          </cell>
        </row>
        <row r="8534">
          <cell r="A8534" t="str">
            <v>YZ-ZQ14976-Y0-371X</v>
          </cell>
          <cell r="B8534" t="str">
            <v>YZ-ZQ14976</v>
          </cell>
        </row>
        <row r="8535">
          <cell r="A8535" t="str">
            <v>YZ-ZQ14976-Y0-372X</v>
          </cell>
          <cell r="B8535" t="str">
            <v>YZ-ZQ14976</v>
          </cell>
        </row>
        <row r="8536">
          <cell r="A8536" t="str">
            <v>YZ-ZQ14976-Y0-373X</v>
          </cell>
          <cell r="B8536" t="str">
            <v>YZ-ZQ14976</v>
          </cell>
        </row>
        <row r="8537">
          <cell r="A8537" t="str">
            <v>YZ-ZQ14976-Y0-374X</v>
          </cell>
          <cell r="B8537" t="str">
            <v>YZ-ZQ14976</v>
          </cell>
        </row>
        <row r="8538">
          <cell r="A8538" t="str">
            <v>YZ-ZQ14976-Y0-375X</v>
          </cell>
          <cell r="B8538" t="str">
            <v>YZ-ZQ14976</v>
          </cell>
        </row>
        <row r="8539">
          <cell r="A8539" t="str">
            <v>YZ-ZQ14976-Y0-376X</v>
          </cell>
          <cell r="B8539" t="str">
            <v>YZ-ZQ14976</v>
          </cell>
        </row>
        <row r="8540">
          <cell r="A8540" t="str">
            <v>YZ-ZQ14976-Y0-377X</v>
          </cell>
          <cell r="B8540" t="str">
            <v>YZ-ZQ14976</v>
          </cell>
        </row>
        <row r="8541">
          <cell r="A8541" t="str">
            <v>YZ-ZQ14976-Y0-378X</v>
          </cell>
          <cell r="B8541" t="str">
            <v>YZ-ZQ14976</v>
          </cell>
        </row>
        <row r="8542">
          <cell r="A8542" t="str">
            <v>YZ-ZQ14976-Y0-379X</v>
          </cell>
          <cell r="B8542" t="str">
            <v>YZ-ZQ14976</v>
          </cell>
        </row>
        <row r="8543">
          <cell r="A8543" t="str">
            <v>YZ-ZQ14976-Y0-37X</v>
          </cell>
          <cell r="B8543" t="str">
            <v>YZ-ZQ14976</v>
          </cell>
        </row>
        <row r="8544">
          <cell r="A8544" t="str">
            <v>YZ-ZQ14976-Y0-380X</v>
          </cell>
          <cell r="B8544" t="str">
            <v>YZ-ZQ14976</v>
          </cell>
        </row>
        <row r="8545">
          <cell r="A8545" t="str">
            <v>YZ-ZQ14976-Y0-381X</v>
          </cell>
          <cell r="B8545" t="str">
            <v>YZ-ZQ14976</v>
          </cell>
        </row>
        <row r="8546">
          <cell r="A8546" t="str">
            <v>YZ-ZQ14976-Y0-382X</v>
          </cell>
          <cell r="B8546" t="str">
            <v>YZ-ZQ14976</v>
          </cell>
        </row>
        <row r="8547">
          <cell r="A8547" t="str">
            <v>YZ-ZQ14976-Y0-383X</v>
          </cell>
          <cell r="B8547" t="str">
            <v>YZ-ZQ14976</v>
          </cell>
        </row>
        <row r="8548">
          <cell r="A8548" t="str">
            <v>YZ-ZQ14976-Y0-384X</v>
          </cell>
          <cell r="B8548" t="str">
            <v>YZ-ZQ14976</v>
          </cell>
        </row>
        <row r="8549">
          <cell r="A8549" t="str">
            <v>YZ-ZQ14976-Y0-385X</v>
          </cell>
          <cell r="B8549" t="str">
            <v>YZ-ZQ14976</v>
          </cell>
        </row>
        <row r="8550">
          <cell r="A8550" t="str">
            <v>YZ-ZQ14976-Y0-386X</v>
          </cell>
          <cell r="B8550" t="str">
            <v>YZ-ZQ14976</v>
          </cell>
        </row>
        <row r="8551">
          <cell r="A8551" t="str">
            <v>YZ-ZQ14976-Y0-387X</v>
          </cell>
          <cell r="B8551" t="str">
            <v>YZ-ZQ14976</v>
          </cell>
        </row>
        <row r="8552">
          <cell r="A8552" t="str">
            <v>YZ-ZQ14976-Y0-388X</v>
          </cell>
          <cell r="B8552" t="str">
            <v>YZ-ZQ14976</v>
          </cell>
        </row>
        <row r="8553">
          <cell r="A8553" t="str">
            <v>YZ-ZQ14976-Y0-389X</v>
          </cell>
          <cell r="B8553" t="str">
            <v>YZ-ZQ14976</v>
          </cell>
        </row>
        <row r="8554">
          <cell r="A8554" t="str">
            <v>YZ-ZQ14976-Y0-38X</v>
          </cell>
          <cell r="B8554" t="str">
            <v>YZ-ZQ14976</v>
          </cell>
        </row>
        <row r="8555">
          <cell r="A8555" t="str">
            <v>YZ-ZQ14976-Y0-390X</v>
          </cell>
          <cell r="B8555" t="str">
            <v>YZ-ZQ14976</v>
          </cell>
        </row>
        <row r="8556">
          <cell r="A8556" t="str">
            <v>YZ-ZQ14976-Y0-391X</v>
          </cell>
          <cell r="B8556" t="str">
            <v>YZ-ZQ14976</v>
          </cell>
        </row>
        <row r="8557">
          <cell r="A8557" t="str">
            <v>YZ-ZQ14976-Y0-392X</v>
          </cell>
          <cell r="B8557" t="str">
            <v>YZ-ZQ14976</v>
          </cell>
        </row>
        <row r="8558">
          <cell r="A8558" t="str">
            <v>YZ-ZQ14976-Y0-393X</v>
          </cell>
          <cell r="B8558" t="str">
            <v>YZ-ZQ14976</v>
          </cell>
        </row>
        <row r="8559">
          <cell r="A8559" t="str">
            <v>YZ-ZQ14976-Y0-394X</v>
          </cell>
          <cell r="B8559" t="str">
            <v>YZ-ZQ14976</v>
          </cell>
        </row>
        <row r="8560">
          <cell r="A8560" t="str">
            <v>YZ-ZQ14976-Y0-395X</v>
          </cell>
          <cell r="B8560" t="str">
            <v>YZ-ZQ14976</v>
          </cell>
        </row>
        <row r="8561">
          <cell r="A8561" t="str">
            <v>YZ-ZQ14976-Y0-396X</v>
          </cell>
          <cell r="B8561" t="str">
            <v>YZ-ZQ14976</v>
          </cell>
        </row>
        <row r="8562">
          <cell r="A8562" t="str">
            <v>YZ-ZQ14976-Y0-397X</v>
          </cell>
          <cell r="B8562" t="str">
            <v>YZ-ZQ14976</v>
          </cell>
        </row>
        <row r="8563">
          <cell r="A8563" t="str">
            <v>YZ-ZQ14976-Y0-398X</v>
          </cell>
          <cell r="B8563" t="str">
            <v>YZ-ZQ14976</v>
          </cell>
        </row>
        <row r="8564">
          <cell r="A8564" t="str">
            <v>YZ-ZQ14976-Y0-399X</v>
          </cell>
          <cell r="B8564" t="str">
            <v>YZ-ZQ14976</v>
          </cell>
        </row>
        <row r="8565">
          <cell r="A8565" t="str">
            <v>YZ-ZQ14976-Y0-39X</v>
          </cell>
          <cell r="B8565" t="str">
            <v>YZ-ZQ14976</v>
          </cell>
        </row>
        <row r="8566">
          <cell r="A8566" t="str">
            <v>YZ-ZQ14976-Y0-3X</v>
          </cell>
          <cell r="B8566" t="str">
            <v>YZ-ZQ14976</v>
          </cell>
        </row>
        <row r="8567">
          <cell r="A8567" t="str">
            <v>YZ-ZQ14976-Y0-400X</v>
          </cell>
          <cell r="B8567" t="str">
            <v>YZ-ZQ14976</v>
          </cell>
        </row>
        <row r="8568">
          <cell r="A8568" t="str">
            <v>YZ-ZQ14976-Y0-401X</v>
          </cell>
          <cell r="B8568" t="str">
            <v>YZ-ZQ14976</v>
          </cell>
        </row>
        <row r="8569">
          <cell r="A8569" t="str">
            <v>YZ-ZQ14976-Y0-402X</v>
          </cell>
          <cell r="B8569" t="str">
            <v>YZ-ZQ14976</v>
          </cell>
        </row>
        <row r="8570">
          <cell r="A8570" t="str">
            <v>YZ-ZQ14976-Y0-403X</v>
          </cell>
          <cell r="B8570" t="str">
            <v>YZ-ZQ14976</v>
          </cell>
        </row>
        <row r="8571">
          <cell r="A8571" t="str">
            <v>YZ-ZQ14976-Y0-404X</v>
          </cell>
          <cell r="B8571" t="str">
            <v>YZ-ZQ14976</v>
          </cell>
        </row>
        <row r="8572">
          <cell r="A8572" t="str">
            <v>YZ-ZQ14976-Y0-405X</v>
          </cell>
          <cell r="B8572" t="str">
            <v>YZ-ZQ14976</v>
          </cell>
        </row>
        <row r="8573">
          <cell r="A8573" t="str">
            <v>YZ-ZQ14976-Y0-406X</v>
          </cell>
          <cell r="B8573" t="str">
            <v>YZ-ZQ14976</v>
          </cell>
        </row>
        <row r="8574">
          <cell r="A8574" t="str">
            <v>YZ-ZQ14976-Y0-407X</v>
          </cell>
          <cell r="B8574" t="str">
            <v>YZ-ZQ14976</v>
          </cell>
        </row>
        <row r="8575">
          <cell r="A8575" t="str">
            <v>YZ-ZQ14976-Y0-408X</v>
          </cell>
          <cell r="B8575" t="str">
            <v>YZ-ZQ14976</v>
          </cell>
        </row>
        <row r="8576">
          <cell r="A8576" t="str">
            <v>YZ-ZQ14976-Y0-409X</v>
          </cell>
          <cell r="B8576" t="str">
            <v>YZ-ZQ14976</v>
          </cell>
        </row>
        <row r="8577">
          <cell r="A8577" t="str">
            <v>YZ-ZQ14976-Y0-40X</v>
          </cell>
          <cell r="B8577" t="str">
            <v>YZ-ZQ14976</v>
          </cell>
        </row>
        <row r="8578">
          <cell r="A8578" t="str">
            <v>YZ-ZQ14976-Y0-410X</v>
          </cell>
          <cell r="B8578" t="str">
            <v>YZ-ZQ14976</v>
          </cell>
        </row>
        <row r="8579">
          <cell r="A8579" t="str">
            <v>YZ-ZQ14976-Y0-411X</v>
          </cell>
          <cell r="B8579" t="str">
            <v>YZ-ZQ14976</v>
          </cell>
        </row>
        <row r="8580">
          <cell r="A8580" t="str">
            <v>YZ-ZQ14976-Y0-412X</v>
          </cell>
          <cell r="B8580" t="str">
            <v>YZ-ZQ14976</v>
          </cell>
        </row>
        <row r="8581">
          <cell r="A8581" t="str">
            <v>YZ-ZQ14976-Y0-413X</v>
          </cell>
          <cell r="B8581" t="str">
            <v>YZ-ZQ14976</v>
          </cell>
        </row>
        <row r="8582">
          <cell r="A8582" t="str">
            <v>YZ-ZQ14976-Y0-414X</v>
          </cell>
          <cell r="B8582" t="str">
            <v>YZ-ZQ14976</v>
          </cell>
        </row>
        <row r="8583">
          <cell r="A8583" t="str">
            <v>YZ-ZQ14976-Y0-415X</v>
          </cell>
          <cell r="B8583" t="str">
            <v>YZ-ZQ14976</v>
          </cell>
        </row>
        <row r="8584">
          <cell r="A8584" t="str">
            <v>YZ-ZQ14976-Y0-416X</v>
          </cell>
          <cell r="B8584" t="str">
            <v>YZ-ZQ14976</v>
          </cell>
        </row>
        <row r="8585">
          <cell r="A8585" t="str">
            <v>YZ-ZQ14976-Y0-417X</v>
          </cell>
          <cell r="B8585" t="str">
            <v>YZ-ZQ14976</v>
          </cell>
        </row>
        <row r="8586">
          <cell r="A8586" t="str">
            <v>YZ-ZQ14976-Y0-418X</v>
          </cell>
          <cell r="B8586" t="str">
            <v>YZ-ZQ14976</v>
          </cell>
        </row>
        <row r="8587">
          <cell r="A8587" t="str">
            <v>YZ-ZQ14976-Y0-419X</v>
          </cell>
          <cell r="B8587" t="str">
            <v>YZ-ZQ14976</v>
          </cell>
        </row>
        <row r="8588">
          <cell r="A8588" t="str">
            <v>YZ-ZQ14976-Y0-41X</v>
          </cell>
          <cell r="B8588" t="str">
            <v>YZ-ZQ14976</v>
          </cell>
        </row>
        <row r="8589">
          <cell r="A8589" t="str">
            <v>YZ-ZQ14976-Y0-420X</v>
          </cell>
          <cell r="B8589" t="str">
            <v>YZ-ZQ14976</v>
          </cell>
        </row>
        <row r="8590">
          <cell r="A8590" t="str">
            <v>YZ-ZQ14976-Y0-421X</v>
          </cell>
          <cell r="B8590" t="str">
            <v>YZ-ZQ14976</v>
          </cell>
        </row>
        <row r="8591">
          <cell r="A8591" t="str">
            <v>YZ-ZQ14976-Y0-422X</v>
          </cell>
          <cell r="B8591" t="str">
            <v>YZ-ZQ14976</v>
          </cell>
        </row>
        <row r="8592">
          <cell r="A8592" t="str">
            <v>YZ-ZQ14976-Y0-423X</v>
          </cell>
          <cell r="B8592" t="str">
            <v>YZ-ZQ14976</v>
          </cell>
        </row>
        <row r="8593">
          <cell r="A8593" t="str">
            <v>YZ-ZQ14976-Y0-424X</v>
          </cell>
          <cell r="B8593" t="str">
            <v>YZ-ZQ14976</v>
          </cell>
        </row>
        <row r="8594">
          <cell r="A8594" t="str">
            <v>YZ-ZQ14976-Y0-425X</v>
          </cell>
          <cell r="B8594" t="str">
            <v>YZ-ZQ14976</v>
          </cell>
        </row>
        <row r="8595">
          <cell r="A8595" t="str">
            <v>YZ-ZQ14976-Y0-426X</v>
          </cell>
          <cell r="B8595" t="str">
            <v>YZ-ZQ14976</v>
          </cell>
        </row>
        <row r="8596">
          <cell r="A8596" t="str">
            <v>YZ-ZQ14976-Y0-427X</v>
          </cell>
          <cell r="B8596" t="str">
            <v>YZ-ZQ14976</v>
          </cell>
        </row>
        <row r="8597">
          <cell r="A8597" t="str">
            <v>YZ-ZQ14976-Y0-428X</v>
          </cell>
          <cell r="B8597" t="str">
            <v>YZ-ZQ14976</v>
          </cell>
        </row>
        <row r="8598">
          <cell r="A8598" t="str">
            <v>YZ-ZQ14976-Y0-429X</v>
          </cell>
          <cell r="B8598" t="str">
            <v>YZ-ZQ14976</v>
          </cell>
        </row>
        <row r="8599">
          <cell r="A8599" t="str">
            <v>YZ-ZQ14976-Y0-42X</v>
          </cell>
          <cell r="B8599" t="str">
            <v>YZ-ZQ14976</v>
          </cell>
        </row>
        <row r="8600">
          <cell r="A8600" t="str">
            <v>YZ-ZQ14976-Y0-430X</v>
          </cell>
          <cell r="B8600" t="str">
            <v>YZ-ZQ14976</v>
          </cell>
        </row>
        <row r="8601">
          <cell r="A8601" t="str">
            <v>YZ-ZQ14976-Y0-431X</v>
          </cell>
          <cell r="B8601" t="str">
            <v>YZ-ZQ14976</v>
          </cell>
        </row>
        <row r="8602">
          <cell r="A8602" t="str">
            <v>YZ-ZQ14976-Y0-432X</v>
          </cell>
          <cell r="B8602" t="str">
            <v>YZ-ZQ14976</v>
          </cell>
        </row>
        <row r="8603">
          <cell r="A8603" t="str">
            <v>YZ-ZQ14976-Y0-433X</v>
          </cell>
          <cell r="B8603" t="str">
            <v>YZ-ZQ14976</v>
          </cell>
        </row>
        <row r="8604">
          <cell r="A8604" t="str">
            <v>YZ-ZQ14976-Y0-434X</v>
          </cell>
          <cell r="B8604" t="str">
            <v>YZ-ZQ14976</v>
          </cell>
        </row>
        <row r="8605">
          <cell r="A8605" t="str">
            <v>YZ-ZQ14976-Y0-435X</v>
          </cell>
          <cell r="B8605" t="str">
            <v>YZ-ZQ14976</v>
          </cell>
        </row>
        <row r="8606">
          <cell r="A8606" t="str">
            <v>YZ-ZQ14976-Y0-436X</v>
          </cell>
          <cell r="B8606" t="str">
            <v>YZ-ZQ14976</v>
          </cell>
        </row>
        <row r="8607">
          <cell r="A8607" t="str">
            <v>YZ-ZQ14976-Y0-437X</v>
          </cell>
          <cell r="B8607" t="str">
            <v>YZ-ZQ14976</v>
          </cell>
        </row>
        <row r="8608">
          <cell r="A8608" t="str">
            <v>YZ-ZQ14976-Y0-438X</v>
          </cell>
          <cell r="B8608" t="str">
            <v>YZ-ZQ14976</v>
          </cell>
        </row>
        <row r="8609">
          <cell r="A8609" t="str">
            <v>YZ-ZQ14976-Y0-439X</v>
          </cell>
          <cell r="B8609" t="str">
            <v>YZ-ZQ14976</v>
          </cell>
        </row>
        <row r="8610">
          <cell r="A8610" t="str">
            <v>YZ-ZQ14976-Y0-43X</v>
          </cell>
          <cell r="B8610" t="str">
            <v>YZ-ZQ14976</v>
          </cell>
        </row>
        <row r="8611">
          <cell r="A8611" t="str">
            <v>YZ-ZQ14976-Y0-440X</v>
          </cell>
          <cell r="B8611" t="str">
            <v>YZ-ZQ14976</v>
          </cell>
        </row>
        <row r="8612">
          <cell r="A8612" t="str">
            <v>YZ-ZQ14976-Y0-441X</v>
          </cell>
          <cell r="B8612" t="str">
            <v>YZ-ZQ14976</v>
          </cell>
        </row>
        <row r="8613">
          <cell r="A8613" t="str">
            <v>YZ-ZQ14976-Y0-442X</v>
          </cell>
          <cell r="B8613" t="str">
            <v>YZ-ZQ14976</v>
          </cell>
        </row>
        <row r="8614">
          <cell r="A8614" t="str">
            <v>YZ-ZQ14976-Y0-443X</v>
          </cell>
          <cell r="B8614" t="str">
            <v>YZ-ZQ14976</v>
          </cell>
        </row>
        <row r="8615">
          <cell r="A8615" t="str">
            <v>YZ-ZQ14976-Y0-444X</v>
          </cell>
          <cell r="B8615" t="str">
            <v>YZ-ZQ14976</v>
          </cell>
        </row>
        <row r="8616">
          <cell r="A8616" t="str">
            <v>YZ-ZQ14976-Y0-445X</v>
          </cell>
          <cell r="B8616" t="str">
            <v>YZ-ZQ14976</v>
          </cell>
        </row>
        <row r="8617">
          <cell r="A8617" t="str">
            <v>YZ-ZQ14976-Y0-446X</v>
          </cell>
          <cell r="B8617" t="str">
            <v>YZ-ZQ14976</v>
          </cell>
        </row>
        <row r="8618">
          <cell r="A8618" t="str">
            <v>YZ-ZQ14976-Y0-447X</v>
          </cell>
          <cell r="B8618" t="str">
            <v>YZ-ZQ14976</v>
          </cell>
        </row>
        <row r="8619">
          <cell r="A8619" t="str">
            <v>YZ-ZQ14976-Y0-448X</v>
          </cell>
          <cell r="B8619" t="str">
            <v>YZ-ZQ14976</v>
          </cell>
        </row>
        <row r="8620">
          <cell r="A8620" t="str">
            <v>YZ-ZQ14976-Y0-449X</v>
          </cell>
          <cell r="B8620" t="str">
            <v>YZ-ZQ14976</v>
          </cell>
        </row>
        <row r="8621">
          <cell r="A8621" t="str">
            <v>YZ-ZQ14976-Y0-44X</v>
          </cell>
          <cell r="B8621" t="str">
            <v>YZ-ZQ14976</v>
          </cell>
        </row>
        <row r="8622">
          <cell r="A8622" t="str">
            <v>YZ-ZQ14976-Y0-450X</v>
          </cell>
          <cell r="B8622" t="str">
            <v>YZ-ZQ14976</v>
          </cell>
        </row>
        <row r="8623">
          <cell r="A8623" t="str">
            <v>YZ-ZQ14976-Y0-451X</v>
          </cell>
          <cell r="B8623" t="str">
            <v>YZ-ZQ14976</v>
          </cell>
        </row>
        <row r="8624">
          <cell r="A8624" t="str">
            <v>YZ-ZQ14976-Y0-452X</v>
          </cell>
          <cell r="B8624" t="str">
            <v>YZ-ZQ14976</v>
          </cell>
        </row>
        <row r="8625">
          <cell r="A8625" t="str">
            <v>YZ-ZQ14976-Y0-453X</v>
          </cell>
          <cell r="B8625" t="str">
            <v>YZ-ZQ14976</v>
          </cell>
        </row>
        <row r="8626">
          <cell r="A8626" t="str">
            <v>YZ-ZQ14976-Y0-454X</v>
          </cell>
          <cell r="B8626" t="str">
            <v>YZ-ZQ14976</v>
          </cell>
        </row>
        <row r="8627">
          <cell r="A8627" t="str">
            <v>YZ-ZQ14976-Y0-455X</v>
          </cell>
          <cell r="B8627" t="str">
            <v>YZ-ZQ14976</v>
          </cell>
        </row>
        <row r="8628">
          <cell r="A8628" t="str">
            <v>YZ-ZQ14976-Y0-457X</v>
          </cell>
          <cell r="B8628" t="str">
            <v>YZ-ZQ14976</v>
          </cell>
        </row>
        <row r="8629">
          <cell r="A8629" t="str">
            <v>YZ-ZQ14976-Y0-458X</v>
          </cell>
          <cell r="B8629" t="str">
            <v>YZ-ZQ14976</v>
          </cell>
        </row>
        <row r="8630">
          <cell r="A8630" t="str">
            <v>YZ-ZQ14976-Y0-459X</v>
          </cell>
          <cell r="B8630" t="str">
            <v>YZ-ZQ14976</v>
          </cell>
        </row>
        <row r="8631">
          <cell r="A8631" t="str">
            <v>YZ-ZQ14976-Y0-45X</v>
          </cell>
          <cell r="B8631" t="str">
            <v>YZ-ZQ14976</v>
          </cell>
        </row>
        <row r="8632">
          <cell r="A8632" t="str">
            <v>YZ-ZQ14976-Y0-460X</v>
          </cell>
          <cell r="B8632" t="str">
            <v>YZ-ZQ14976</v>
          </cell>
        </row>
        <row r="8633">
          <cell r="A8633" t="str">
            <v>YZ-ZQ14976-Y0-461X</v>
          </cell>
          <cell r="B8633" t="str">
            <v>YZ-ZQ14976</v>
          </cell>
        </row>
        <row r="8634">
          <cell r="A8634" t="str">
            <v>YZ-ZQ14976-Y0-462X</v>
          </cell>
          <cell r="B8634" t="str">
            <v>YZ-ZQ14976</v>
          </cell>
        </row>
        <row r="8635">
          <cell r="A8635" t="str">
            <v>YZ-ZQ14976-Y0-463X</v>
          </cell>
          <cell r="B8635" t="str">
            <v>YZ-ZQ14976</v>
          </cell>
        </row>
        <row r="8636">
          <cell r="A8636" t="str">
            <v>YZ-ZQ14976-Y0-464X</v>
          </cell>
          <cell r="B8636" t="str">
            <v>YZ-ZQ14976</v>
          </cell>
        </row>
        <row r="8637">
          <cell r="A8637" t="str">
            <v>YZ-ZQ14976-Y0-465X</v>
          </cell>
          <cell r="B8637" t="str">
            <v>YZ-ZQ14976</v>
          </cell>
        </row>
        <row r="8638">
          <cell r="A8638" t="str">
            <v>YZ-ZQ14976-Y0-466X</v>
          </cell>
          <cell r="B8638" t="str">
            <v>YZ-ZQ14976</v>
          </cell>
        </row>
        <row r="8639">
          <cell r="A8639" t="str">
            <v>YZ-ZQ14976-Y0-467X</v>
          </cell>
          <cell r="B8639" t="str">
            <v>YZ-ZQ14976</v>
          </cell>
        </row>
        <row r="8640">
          <cell r="A8640" t="str">
            <v>YZ-ZQ14976-Y0-468X</v>
          </cell>
          <cell r="B8640" t="str">
            <v>YZ-ZQ14976</v>
          </cell>
        </row>
        <row r="8641">
          <cell r="A8641" t="str">
            <v>YZ-ZQ14976-Y0-469X</v>
          </cell>
          <cell r="B8641" t="str">
            <v>YZ-ZQ14976</v>
          </cell>
        </row>
        <row r="8642">
          <cell r="A8642" t="str">
            <v>YZ-ZQ14976-Y0-46X</v>
          </cell>
          <cell r="B8642" t="str">
            <v>YZ-ZQ14976</v>
          </cell>
        </row>
        <row r="8643">
          <cell r="A8643" t="str">
            <v>YZ-ZQ14976-Y0-470X</v>
          </cell>
          <cell r="B8643" t="str">
            <v>YZ-ZQ14976</v>
          </cell>
        </row>
        <row r="8644">
          <cell r="A8644" t="str">
            <v>YZ-ZQ14976-Y0-471X</v>
          </cell>
          <cell r="B8644" t="str">
            <v>YZ-ZQ14976</v>
          </cell>
        </row>
        <row r="8645">
          <cell r="A8645" t="str">
            <v>YZ-ZQ14976-Y0-472X</v>
          </cell>
          <cell r="B8645" t="str">
            <v>YZ-ZQ14976</v>
          </cell>
        </row>
        <row r="8646">
          <cell r="A8646" t="str">
            <v>YZ-ZQ14976-Y0-473X</v>
          </cell>
          <cell r="B8646" t="str">
            <v>YZ-ZQ14976</v>
          </cell>
        </row>
        <row r="8647">
          <cell r="A8647" t="str">
            <v>YZ-ZQ14976-Y0-474X</v>
          </cell>
          <cell r="B8647" t="str">
            <v>YZ-ZQ14976</v>
          </cell>
        </row>
        <row r="8648">
          <cell r="A8648" t="str">
            <v>YZ-ZQ14976-Y0-475X</v>
          </cell>
          <cell r="B8648" t="str">
            <v>YZ-ZQ14976</v>
          </cell>
        </row>
        <row r="8649">
          <cell r="A8649" t="str">
            <v>YZ-ZQ14976-Y0-476X</v>
          </cell>
          <cell r="B8649" t="str">
            <v>YZ-ZQ14976</v>
          </cell>
        </row>
        <row r="8650">
          <cell r="A8650" t="str">
            <v>YZ-ZQ14976-Y0-477X</v>
          </cell>
          <cell r="B8650" t="str">
            <v>YZ-ZQ14976</v>
          </cell>
        </row>
        <row r="8651">
          <cell r="A8651" t="str">
            <v>YZ-ZQ14976-Y0-478X</v>
          </cell>
          <cell r="B8651" t="str">
            <v>YZ-ZQ14976</v>
          </cell>
        </row>
        <row r="8652">
          <cell r="A8652" t="str">
            <v>YZ-ZQ14976-Y0-479X</v>
          </cell>
          <cell r="B8652" t="str">
            <v>YZ-ZQ14976</v>
          </cell>
        </row>
        <row r="8653">
          <cell r="A8653" t="str">
            <v>YZ-ZQ14976-Y0-47X</v>
          </cell>
          <cell r="B8653" t="str">
            <v>YZ-ZQ14976</v>
          </cell>
        </row>
        <row r="8654">
          <cell r="A8654" t="str">
            <v>YZ-ZQ14976-Y0-480X</v>
          </cell>
          <cell r="B8654" t="str">
            <v>YZ-ZQ14976</v>
          </cell>
        </row>
        <row r="8655">
          <cell r="A8655" t="str">
            <v>YZ-ZQ14976-Y0-481X</v>
          </cell>
          <cell r="B8655" t="str">
            <v>YZ-ZQ14976</v>
          </cell>
        </row>
        <row r="8656">
          <cell r="A8656" t="str">
            <v>YZ-ZQ14976-Y0-482X</v>
          </cell>
          <cell r="B8656" t="str">
            <v>YZ-ZQ14976</v>
          </cell>
        </row>
        <row r="8657">
          <cell r="A8657" t="str">
            <v>YZ-ZQ14976-Y0-483X</v>
          </cell>
          <cell r="B8657" t="str">
            <v>YZ-ZQ14976</v>
          </cell>
        </row>
        <row r="8658">
          <cell r="A8658" t="str">
            <v>YZ-ZQ14976-Y0-484X</v>
          </cell>
          <cell r="B8658" t="str">
            <v>YZ-ZQ14976</v>
          </cell>
        </row>
        <row r="8659">
          <cell r="A8659" t="str">
            <v>YZ-ZQ14976-Y0-485X</v>
          </cell>
          <cell r="B8659" t="str">
            <v>YZ-ZQ14976</v>
          </cell>
        </row>
        <row r="8660">
          <cell r="A8660" t="str">
            <v>YZ-ZQ14976-Y0-487X</v>
          </cell>
          <cell r="B8660" t="str">
            <v>YZ-ZQ14976</v>
          </cell>
        </row>
        <row r="8661">
          <cell r="A8661" t="str">
            <v>YZ-ZQ14976-Y0-488X</v>
          </cell>
          <cell r="B8661" t="str">
            <v>YZ-ZQ14976</v>
          </cell>
        </row>
        <row r="8662">
          <cell r="A8662" t="str">
            <v>YZ-ZQ14976-Y0-489X</v>
          </cell>
          <cell r="B8662" t="str">
            <v>YZ-ZQ14976</v>
          </cell>
        </row>
        <row r="8663">
          <cell r="A8663" t="str">
            <v>YZ-ZQ14976-Y0-48X</v>
          </cell>
          <cell r="B8663" t="str">
            <v>YZ-ZQ14976</v>
          </cell>
        </row>
        <row r="8664">
          <cell r="A8664" t="str">
            <v>YZ-ZQ14976-Y0-490X</v>
          </cell>
          <cell r="B8664" t="str">
            <v>YZ-ZQ14976</v>
          </cell>
        </row>
        <row r="8665">
          <cell r="A8665" t="str">
            <v>YZ-ZQ14976-Y0-491X</v>
          </cell>
          <cell r="B8665" t="str">
            <v>YZ-ZQ14976</v>
          </cell>
        </row>
        <row r="8666">
          <cell r="A8666" t="str">
            <v>YZ-ZQ14976-Y0-492X</v>
          </cell>
          <cell r="B8666" t="str">
            <v>YZ-ZQ14976</v>
          </cell>
        </row>
        <row r="8667">
          <cell r="A8667" t="str">
            <v>YZ-ZQ14976-Y0-493X</v>
          </cell>
          <cell r="B8667" t="str">
            <v>YZ-ZQ14976</v>
          </cell>
        </row>
        <row r="8668">
          <cell r="A8668" t="str">
            <v>YZ-ZQ14976-Y0-494X</v>
          </cell>
          <cell r="B8668" t="str">
            <v>YZ-ZQ14976</v>
          </cell>
        </row>
        <row r="8669">
          <cell r="A8669" t="str">
            <v>YZ-ZQ14976-Y0-495X</v>
          </cell>
          <cell r="B8669" t="str">
            <v>YZ-ZQ14976</v>
          </cell>
        </row>
        <row r="8670">
          <cell r="A8670" t="str">
            <v>YZ-ZQ14976-Y0-496X</v>
          </cell>
          <cell r="B8670" t="str">
            <v>YZ-ZQ14976</v>
          </cell>
        </row>
        <row r="8671">
          <cell r="A8671" t="str">
            <v>YZ-ZQ14976-Y0-497X</v>
          </cell>
          <cell r="B8671" t="str">
            <v>YZ-ZQ14976</v>
          </cell>
        </row>
        <row r="8672">
          <cell r="A8672" t="str">
            <v>YZ-ZQ14976-Y0-498X</v>
          </cell>
          <cell r="B8672" t="str">
            <v>YZ-ZQ14976</v>
          </cell>
        </row>
        <row r="8673">
          <cell r="A8673" t="str">
            <v>YZ-ZQ14976-Y0-499X</v>
          </cell>
          <cell r="B8673" t="str">
            <v>YZ-ZQ14976</v>
          </cell>
        </row>
        <row r="8674">
          <cell r="A8674" t="str">
            <v>YZ-ZQ14976-Y0-49X</v>
          </cell>
          <cell r="B8674" t="str">
            <v>YZ-ZQ14976</v>
          </cell>
        </row>
        <row r="8675">
          <cell r="A8675" t="str">
            <v>YZ-ZQ14976-Y0-4X</v>
          </cell>
          <cell r="B8675" t="str">
            <v>YZ-ZQ14976</v>
          </cell>
        </row>
        <row r="8676">
          <cell r="A8676" t="str">
            <v>YZ-ZQ14976-Y0-500X</v>
          </cell>
          <cell r="B8676" t="str">
            <v>YZ-ZQ14976</v>
          </cell>
        </row>
        <row r="8677">
          <cell r="A8677" t="str">
            <v>YZ-ZQ14976-Y0-501X</v>
          </cell>
          <cell r="B8677" t="str">
            <v>YZ-ZQ14976</v>
          </cell>
        </row>
        <row r="8678">
          <cell r="A8678" t="str">
            <v>YZ-ZQ14976-Y0-503X</v>
          </cell>
          <cell r="B8678" t="str">
            <v>YZ-ZQ14976</v>
          </cell>
        </row>
        <row r="8679">
          <cell r="A8679" t="str">
            <v>YZ-ZQ14976-Y0-504X</v>
          </cell>
          <cell r="B8679" t="str">
            <v>YZ-ZQ14976</v>
          </cell>
        </row>
        <row r="8680">
          <cell r="A8680" t="str">
            <v>YZ-ZQ14976-Y0-505X</v>
          </cell>
          <cell r="B8680" t="str">
            <v>YZ-ZQ14976</v>
          </cell>
        </row>
        <row r="8681">
          <cell r="A8681" t="str">
            <v>YZ-ZQ14976-Y0-506X</v>
          </cell>
          <cell r="B8681" t="str">
            <v>YZ-ZQ14976</v>
          </cell>
        </row>
        <row r="8682">
          <cell r="A8682" t="str">
            <v>YZ-ZQ14976-Y0-507X</v>
          </cell>
          <cell r="B8682" t="str">
            <v>YZ-ZQ14976</v>
          </cell>
        </row>
        <row r="8683">
          <cell r="A8683" t="str">
            <v>YZ-ZQ14976-Y0-508X</v>
          </cell>
          <cell r="B8683" t="str">
            <v>YZ-ZQ14976</v>
          </cell>
        </row>
        <row r="8684">
          <cell r="A8684" t="str">
            <v>YZ-ZQ14976-Y0-509X</v>
          </cell>
          <cell r="B8684" t="str">
            <v>YZ-ZQ14976</v>
          </cell>
        </row>
        <row r="8685">
          <cell r="A8685" t="str">
            <v>YZ-ZQ14976-Y0-50X</v>
          </cell>
          <cell r="B8685" t="str">
            <v>YZ-ZQ14976</v>
          </cell>
        </row>
        <row r="8686">
          <cell r="A8686" t="str">
            <v>YZ-ZQ14976-Y0-510X</v>
          </cell>
          <cell r="B8686" t="str">
            <v>YZ-ZQ14976</v>
          </cell>
        </row>
        <row r="8687">
          <cell r="A8687" t="str">
            <v>YZ-ZQ14976-Y0-511X</v>
          </cell>
          <cell r="B8687" t="str">
            <v>YZ-ZQ14976</v>
          </cell>
        </row>
        <row r="8688">
          <cell r="A8688" t="str">
            <v>YZ-ZQ14976-Y0-512X</v>
          </cell>
          <cell r="B8688" t="str">
            <v>YZ-ZQ14976</v>
          </cell>
        </row>
        <row r="8689">
          <cell r="A8689" t="str">
            <v>YZ-ZQ14976-Y0-513X</v>
          </cell>
          <cell r="B8689" t="str">
            <v>YZ-ZQ14976</v>
          </cell>
        </row>
        <row r="8690">
          <cell r="A8690" t="str">
            <v>YZ-ZQ14976-Y0-514X</v>
          </cell>
          <cell r="B8690" t="str">
            <v>YZ-ZQ14976</v>
          </cell>
        </row>
        <row r="8691">
          <cell r="A8691" t="str">
            <v>YZ-ZQ14976-Y0-515X</v>
          </cell>
          <cell r="B8691" t="str">
            <v>YZ-ZQ14976</v>
          </cell>
        </row>
        <row r="8692">
          <cell r="A8692" t="str">
            <v>YZ-ZQ14976-Y0-516X</v>
          </cell>
          <cell r="B8692" t="str">
            <v>YZ-ZQ14976</v>
          </cell>
        </row>
        <row r="8693">
          <cell r="A8693" t="str">
            <v>YZ-ZQ14976-Y0-517X</v>
          </cell>
          <cell r="B8693" t="str">
            <v>YZ-ZQ14976</v>
          </cell>
        </row>
        <row r="8694">
          <cell r="A8694" t="str">
            <v>YZ-ZQ14976-Y0-518X</v>
          </cell>
          <cell r="B8694" t="str">
            <v>YZ-ZQ14976</v>
          </cell>
        </row>
        <row r="8695">
          <cell r="A8695" t="str">
            <v>YZ-ZQ14976-Y0-519X</v>
          </cell>
          <cell r="B8695" t="str">
            <v>YZ-ZQ14976</v>
          </cell>
        </row>
        <row r="8696">
          <cell r="A8696" t="str">
            <v>YZ-ZQ14976-Y0-51X</v>
          </cell>
          <cell r="B8696" t="str">
            <v>YZ-ZQ14976</v>
          </cell>
        </row>
        <row r="8697">
          <cell r="A8697" t="str">
            <v>YZ-ZQ14976-Y0-520X</v>
          </cell>
          <cell r="B8697" t="str">
            <v>YZ-ZQ14976</v>
          </cell>
        </row>
        <row r="8698">
          <cell r="A8698" t="str">
            <v>YZ-ZQ14976-Y0-521X</v>
          </cell>
          <cell r="B8698" t="str">
            <v>YZ-ZQ14976</v>
          </cell>
        </row>
        <row r="8699">
          <cell r="A8699" t="str">
            <v>YZ-ZQ14976-Y0-522X</v>
          </cell>
          <cell r="B8699" t="str">
            <v>YZ-ZQ14976</v>
          </cell>
        </row>
        <row r="8700">
          <cell r="A8700" t="str">
            <v>YZ-ZQ14976-Y0-523X</v>
          </cell>
          <cell r="B8700" t="str">
            <v>YZ-ZQ14976</v>
          </cell>
        </row>
        <row r="8701">
          <cell r="A8701" t="str">
            <v>YZ-ZQ14976-Y0-524X</v>
          </cell>
          <cell r="B8701" t="str">
            <v>YZ-ZQ14976</v>
          </cell>
        </row>
        <row r="8702">
          <cell r="A8702" t="str">
            <v>YZ-ZQ14976-Y0-525X</v>
          </cell>
          <cell r="B8702" t="str">
            <v>YZ-ZQ14976</v>
          </cell>
        </row>
        <row r="8703">
          <cell r="A8703" t="str">
            <v>YZ-ZQ14976-Y0-526X</v>
          </cell>
          <cell r="B8703" t="str">
            <v>YZ-ZQ14976</v>
          </cell>
        </row>
        <row r="8704">
          <cell r="A8704" t="str">
            <v>YZ-ZQ14976-Y0-527X</v>
          </cell>
          <cell r="B8704" t="str">
            <v>YZ-ZQ14976</v>
          </cell>
        </row>
        <row r="8705">
          <cell r="A8705" t="str">
            <v>YZ-ZQ14976-Y0-52X</v>
          </cell>
          <cell r="B8705" t="str">
            <v>YZ-ZQ14976</v>
          </cell>
        </row>
        <row r="8706">
          <cell r="A8706" t="str">
            <v>YZ-ZQ14976-Y0-53X</v>
          </cell>
          <cell r="B8706" t="str">
            <v>YZ-ZQ14976</v>
          </cell>
        </row>
        <row r="8707">
          <cell r="A8707" t="str">
            <v>YZ-ZQ14976-Y0-54X</v>
          </cell>
          <cell r="B8707" t="str">
            <v>YZ-ZQ14976</v>
          </cell>
        </row>
        <row r="8708">
          <cell r="A8708" t="str">
            <v>YZ-ZQ14976-Y0-55X</v>
          </cell>
          <cell r="B8708" t="str">
            <v>YZ-ZQ14976</v>
          </cell>
        </row>
        <row r="8709">
          <cell r="A8709" t="str">
            <v>YZ-ZQ14976-Y0-56X</v>
          </cell>
          <cell r="B8709" t="str">
            <v>YZ-ZQ14976</v>
          </cell>
        </row>
        <row r="8710">
          <cell r="A8710" t="str">
            <v>YZ-ZQ14976-Y0-57X</v>
          </cell>
          <cell r="B8710" t="str">
            <v>YZ-ZQ14976</v>
          </cell>
        </row>
        <row r="8711">
          <cell r="A8711" t="str">
            <v>YZ-ZQ14976-Y0-58X</v>
          </cell>
          <cell r="B8711" t="str">
            <v>YZ-ZQ14976</v>
          </cell>
        </row>
        <row r="8712">
          <cell r="A8712" t="str">
            <v>YZ-ZQ14976-Y0-59X</v>
          </cell>
          <cell r="B8712" t="str">
            <v>YZ-ZQ14976</v>
          </cell>
        </row>
        <row r="8713">
          <cell r="A8713" t="str">
            <v>YZ-ZQ14976-Y0-5X</v>
          </cell>
          <cell r="B8713" t="str">
            <v>YZ-ZQ14976</v>
          </cell>
        </row>
        <row r="8714">
          <cell r="A8714" t="str">
            <v>YZ-ZQ14976-Y0-60X</v>
          </cell>
          <cell r="B8714" t="str">
            <v>YZ-ZQ14976</v>
          </cell>
        </row>
        <row r="8715">
          <cell r="A8715" t="str">
            <v>YZ-ZQ14976-Y0-61X</v>
          </cell>
          <cell r="B8715" t="str">
            <v>YZ-ZQ14976</v>
          </cell>
        </row>
        <row r="8716">
          <cell r="A8716" t="str">
            <v>YZ-ZQ14976-Y0-62X</v>
          </cell>
          <cell r="B8716" t="str">
            <v>YZ-ZQ14976</v>
          </cell>
        </row>
        <row r="8717">
          <cell r="A8717" t="str">
            <v>YZ-ZQ14976-Y0-63X</v>
          </cell>
          <cell r="B8717" t="str">
            <v>YZ-ZQ14976</v>
          </cell>
        </row>
        <row r="8718">
          <cell r="A8718" t="str">
            <v>YZ-ZQ14976-Y0-64X</v>
          </cell>
          <cell r="B8718" t="str">
            <v>YZ-ZQ14976</v>
          </cell>
        </row>
        <row r="8719">
          <cell r="A8719" t="str">
            <v>YZ-ZQ14976-Y0-65X</v>
          </cell>
          <cell r="B8719" t="str">
            <v>YZ-ZQ14976</v>
          </cell>
        </row>
        <row r="8720">
          <cell r="A8720" t="str">
            <v>YZ-ZQ14976-Y0-66X</v>
          </cell>
          <cell r="B8720" t="str">
            <v>YZ-ZQ14976</v>
          </cell>
        </row>
        <row r="8721">
          <cell r="A8721" t="str">
            <v>YZ-ZQ14976-Y0-67X</v>
          </cell>
          <cell r="B8721" t="str">
            <v>YZ-ZQ14976</v>
          </cell>
        </row>
        <row r="8722">
          <cell r="A8722" t="str">
            <v>YZ-ZQ14976-Y0-68X</v>
          </cell>
          <cell r="B8722" t="str">
            <v>YZ-ZQ14976</v>
          </cell>
        </row>
        <row r="8723">
          <cell r="A8723" t="str">
            <v>YZ-ZQ14976-Y0-69X</v>
          </cell>
          <cell r="B8723" t="str">
            <v>YZ-ZQ14976</v>
          </cell>
        </row>
        <row r="8724">
          <cell r="A8724" t="str">
            <v>YZ-ZQ14976-Y0-6X</v>
          </cell>
          <cell r="B8724" t="str">
            <v>YZ-ZQ14976</v>
          </cell>
        </row>
        <row r="8725">
          <cell r="A8725" t="str">
            <v>YZ-ZQ14976-Y0-70X</v>
          </cell>
          <cell r="B8725" t="str">
            <v>YZ-ZQ14976</v>
          </cell>
        </row>
        <row r="8726">
          <cell r="A8726" t="str">
            <v>YZ-ZQ14976-Y0-71X</v>
          </cell>
          <cell r="B8726" t="str">
            <v>YZ-ZQ14976</v>
          </cell>
        </row>
        <row r="8727">
          <cell r="A8727" t="str">
            <v>YZ-ZQ14976-Y0-72X</v>
          </cell>
          <cell r="B8727" t="str">
            <v>YZ-ZQ14976</v>
          </cell>
        </row>
        <row r="8728">
          <cell r="A8728" t="str">
            <v>YZ-ZQ14976-Y0-73X</v>
          </cell>
          <cell r="B8728" t="str">
            <v>YZ-ZQ14976</v>
          </cell>
        </row>
        <row r="8729">
          <cell r="A8729" t="str">
            <v>YZ-ZQ14976-Y0-74X</v>
          </cell>
          <cell r="B8729" t="str">
            <v>YZ-ZQ14976</v>
          </cell>
        </row>
        <row r="8730">
          <cell r="A8730" t="str">
            <v>YZ-ZQ14976-Y0-75X</v>
          </cell>
          <cell r="B8730" t="str">
            <v>YZ-ZQ14976</v>
          </cell>
        </row>
        <row r="8731">
          <cell r="A8731" t="str">
            <v>YZ-ZQ14976-Y0-76X</v>
          </cell>
          <cell r="B8731" t="str">
            <v>YZ-ZQ14976</v>
          </cell>
        </row>
        <row r="8732">
          <cell r="A8732" t="str">
            <v>YZ-ZQ14976-Y0-77X</v>
          </cell>
          <cell r="B8732" t="str">
            <v>YZ-ZQ14976</v>
          </cell>
        </row>
        <row r="8733">
          <cell r="A8733" t="str">
            <v>YZ-ZQ14976-Y0-78X</v>
          </cell>
          <cell r="B8733" t="str">
            <v>YZ-ZQ14976</v>
          </cell>
        </row>
        <row r="8734">
          <cell r="A8734" t="str">
            <v>YZ-ZQ14976-Y0-79X</v>
          </cell>
          <cell r="B8734" t="str">
            <v>YZ-ZQ14976</v>
          </cell>
        </row>
        <row r="8735">
          <cell r="A8735" t="str">
            <v>YZ-ZQ14976-Y0-7X</v>
          </cell>
          <cell r="B8735" t="str">
            <v>YZ-ZQ14976</v>
          </cell>
        </row>
        <row r="8736">
          <cell r="A8736" t="str">
            <v>YZ-ZQ14976-Y0-80X</v>
          </cell>
          <cell r="B8736" t="str">
            <v>YZ-ZQ14976</v>
          </cell>
        </row>
        <row r="8737">
          <cell r="A8737" t="str">
            <v>YZ-ZQ14976-Y0-81X</v>
          </cell>
          <cell r="B8737" t="str">
            <v>YZ-ZQ14976</v>
          </cell>
        </row>
        <row r="8738">
          <cell r="A8738" t="str">
            <v>YZ-ZQ14976-Y0-82X</v>
          </cell>
          <cell r="B8738" t="str">
            <v>YZ-ZQ14976</v>
          </cell>
        </row>
        <row r="8739">
          <cell r="A8739" t="str">
            <v>YZ-ZQ14976-Y0-83X</v>
          </cell>
          <cell r="B8739" t="str">
            <v>YZ-ZQ14976</v>
          </cell>
        </row>
        <row r="8740">
          <cell r="A8740" t="str">
            <v>YZ-ZQ14976-Y0-84X</v>
          </cell>
          <cell r="B8740" t="str">
            <v>YZ-ZQ14976</v>
          </cell>
        </row>
        <row r="8741">
          <cell r="A8741" t="str">
            <v>YZ-ZQ14976-Y0-85X</v>
          </cell>
          <cell r="B8741" t="str">
            <v>YZ-ZQ14976</v>
          </cell>
        </row>
        <row r="8742">
          <cell r="A8742" t="str">
            <v>YZ-ZQ14976-Y0-86X</v>
          </cell>
          <cell r="B8742" t="str">
            <v>YZ-ZQ14976</v>
          </cell>
        </row>
        <row r="8743">
          <cell r="A8743" t="str">
            <v>YZ-ZQ14976-Y0-87X</v>
          </cell>
          <cell r="B8743" t="str">
            <v>YZ-ZQ14976</v>
          </cell>
        </row>
        <row r="8744">
          <cell r="A8744" t="str">
            <v>YZ-ZQ14976-Y0-88X</v>
          </cell>
          <cell r="B8744" t="str">
            <v>YZ-ZQ14976</v>
          </cell>
        </row>
        <row r="8745">
          <cell r="A8745" t="str">
            <v>YZ-ZQ14976-Y0-89X</v>
          </cell>
          <cell r="B8745" t="str">
            <v>YZ-ZQ14976</v>
          </cell>
        </row>
        <row r="8746">
          <cell r="A8746" t="str">
            <v>YZ-ZQ14976-Y0-8X</v>
          </cell>
          <cell r="B8746" t="str">
            <v>YZ-ZQ14976</v>
          </cell>
        </row>
        <row r="8747">
          <cell r="A8747" t="str">
            <v>YZ-ZQ14976-Y0-90X</v>
          </cell>
          <cell r="B8747" t="str">
            <v>YZ-ZQ14976</v>
          </cell>
        </row>
        <row r="8748">
          <cell r="A8748" t="str">
            <v>YZ-ZQ14976-Y0-91X</v>
          </cell>
          <cell r="B8748" t="str">
            <v>YZ-ZQ14976</v>
          </cell>
        </row>
        <row r="8749">
          <cell r="A8749" t="str">
            <v>YZ-ZQ14976-Y0-92X</v>
          </cell>
          <cell r="B8749" t="str">
            <v>YZ-ZQ14976</v>
          </cell>
        </row>
        <row r="8750">
          <cell r="A8750" t="str">
            <v>YZ-ZQ14976-Y0-93X</v>
          </cell>
          <cell r="B8750" t="str">
            <v>YZ-ZQ14976</v>
          </cell>
        </row>
        <row r="8751">
          <cell r="A8751" t="str">
            <v>YZ-ZQ14976-Y0-94X</v>
          </cell>
          <cell r="B8751" t="str">
            <v>YZ-ZQ14976</v>
          </cell>
        </row>
        <row r="8752">
          <cell r="A8752" t="str">
            <v>YZ-ZQ14976-Y0-95X</v>
          </cell>
          <cell r="B8752" t="str">
            <v>YZ-ZQ14976</v>
          </cell>
        </row>
        <row r="8753">
          <cell r="A8753" t="str">
            <v>YZ-ZQ14976-Y0-96X</v>
          </cell>
          <cell r="B8753" t="str">
            <v>YZ-ZQ14976</v>
          </cell>
        </row>
        <row r="8754">
          <cell r="A8754" t="str">
            <v>YZ-ZQ14976-Y0-97X</v>
          </cell>
          <cell r="B8754" t="str">
            <v>YZ-ZQ14976</v>
          </cell>
        </row>
        <row r="8755">
          <cell r="A8755" t="str">
            <v>YZ-ZQ14976-Y0-98X</v>
          </cell>
          <cell r="B8755" t="str">
            <v>YZ-ZQ14976</v>
          </cell>
        </row>
        <row r="8756">
          <cell r="A8756" t="str">
            <v>YZ-ZQ14976-Y0-99X</v>
          </cell>
          <cell r="B8756" t="str">
            <v>YZ-ZQ14976</v>
          </cell>
        </row>
        <row r="8757">
          <cell r="A8757" t="str">
            <v>YZ-ZQ14976-Y0-9X</v>
          </cell>
          <cell r="B8757" t="str">
            <v>YZ-ZQ14976</v>
          </cell>
        </row>
        <row r="8758">
          <cell r="A8758" t="str">
            <v>YZ-ZQ14976-Y0-L</v>
          </cell>
          <cell r="B8758" t="str">
            <v>YZ-ZQ14976</v>
          </cell>
        </row>
        <row r="8759">
          <cell r="A8759" t="str">
            <v>YZ-ZQ14976-Y0-M</v>
          </cell>
          <cell r="B8759" t="str">
            <v>YZ-ZQ14976</v>
          </cell>
        </row>
        <row r="8760">
          <cell r="A8760" t="str">
            <v>YZ-ZQ14976-Y0-XL</v>
          </cell>
          <cell r="B8760" t="str">
            <v>YZ-ZQ14976</v>
          </cell>
        </row>
        <row r="8761">
          <cell r="A8761" t="str">
            <v>YZ-ZQ1519-K0-2X</v>
          </cell>
          <cell r="B8761" t="str">
            <v>YZ-ZQ1519</v>
          </cell>
        </row>
        <row r="8762">
          <cell r="A8762" t="str">
            <v>YZ-ZQ1519-K0-3X</v>
          </cell>
          <cell r="B8762" t="str">
            <v>YZ-ZQ1519</v>
          </cell>
        </row>
        <row r="8763">
          <cell r="A8763" t="str">
            <v>YZ-ZQ1519-K0-4X</v>
          </cell>
          <cell r="B8763" t="str">
            <v>YZ-ZQ1519</v>
          </cell>
        </row>
        <row r="8764">
          <cell r="A8764" t="str">
            <v>YZ-ZQ1519-K0-5X</v>
          </cell>
          <cell r="B8764" t="str">
            <v>YZ-ZQ1519</v>
          </cell>
        </row>
        <row r="8765">
          <cell r="A8765" t="str">
            <v>YZ-ZQ1519-K0-L</v>
          </cell>
          <cell r="B8765" t="str">
            <v>YZ-ZQ1519</v>
          </cell>
        </row>
        <row r="8766">
          <cell r="A8766" t="str">
            <v>YZ-ZQ1519-K0-M</v>
          </cell>
          <cell r="B8766" t="str">
            <v>YZ-ZQ1519</v>
          </cell>
        </row>
        <row r="8767">
          <cell r="A8767" t="str">
            <v>YZ-ZQ1519-K0-S</v>
          </cell>
          <cell r="B8767" t="str">
            <v>YZ-ZQ1519</v>
          </cell>
        </row>
        <row r="8768">
          <cell r="A8768" t="str">
            <v>YZ-ZQ1519-K0-XL</v>
          </cell>
          <cell r="B8768" t="str">
            <v>YZ-ZQ1519</v>
          </cell>
        </row>
        <row r="8769">
          <cell r="A8769" t="str">
            <v>YZ-ZQ1521BF2XL</v>
          </cell>
          <cell r="B8769" t="str">
            <v>YZ-ZQ1521</v>
          </cell>
        </row>
        <row r="8770">
          <cell r="A8770" t="str">
            <v>YZ-ZQ1521BF3XL</v>
          </cell>
          <cell r="B8770" t="str">
            <v>YZ-ZQ1521</v>
          </cell>
        </row>
        <row r="8771">
          <cell r="A8771" t="str">
            <v>YZ-ZQ1521BF4XL</v>
          </cell>
          <cell r="B8771" t="str">
            <v>YZ-ZQ1521</v>
          </cell>
        </row>
        <row r="8772">
          <cell r="A8772" t="str">
            <v>YZ-ZQ1521BF5XL</v>
          </cell>
          <cell r="B8772" t="str">
            <v>YZ-ZQ1521</v>
          </cell>
        </row>
        <row r="8773">
          <cell r="A8773" t="str">
            <v>YZ-ZQ1521BFXL</v>
          </cell>
          <cell r="B8773" t="str">
            <v>YZ-ZQ1521</v>
          </cell>
        </row>
        <row r="8774">
          <cell r="A8774" t="str">
            <v>YZ-ZQ1521BL2XL</v>
          </cell>
          <cell r="B8774" t="str">
            <v>YZ-ZQ1521</v>
          </cell>
        </row>
        <row r="8775">
          <cell r="A8775" t="str">
            <v>YZ-ZQ1521BL3XL</v>
          </cell>
          <cell r="B8775" t="str">
            <v>YZ-ZQ1521</v>
          </cell>
        </row>
        <row r="8776">
          <cell r="A8776" t="str">
            <v>YZ-ZQ1521BL4XL</v>
          </cell>
          <cell r="B8776" t="str">
            <v>YZ-ZQ1521</v>
          </cell>
        </row>
        <row r="8777">
          <cell r="A8777" t="str">
            <v>YZ-ZQ1521BL5XL</v>
          </cell>
          <cell r="B8777" t="str">
            <v>YZ-ZQ1521</v>
          </cell>
        </row>
        <row r="8778">
          <cell r="A8778" t="str">
            <v>YZ-ZQ1521BLXL</v>
          </cell>
          <cell r="B8778" t="str">
            <v>YZ-ZQ1521</v>
          </cell>
        </row>
        <row r="8779">
          <cell r="A8779" t="str">
            <v>YZ-ZQ1521GF2XL</v>
          </cell>
          <cell r="B8779" t="str">
            <v>YZ-ZQ1521</v>
          </cell>
        </row>
        <row r="8780">
          <cell r="A8780" t="str">
            <v>YZ-ZQ1521GF3XL</v>
          </cell>
          <cell r="B8780" t="str">
            <v>YZ-ZQ1521</v>
          </cell>
        </row>
        <row r="8781">
          <cell r="A8781" t="str">
            <v>YZ-ZQ1521GF4XL</v>
          </cell>
          <cell r="B8781" t="str">
            <v>YZ-ZQ1521</v>
          </cell>
        </row>
        <row r="8782">
          <cell r="A8782" t="str">
            <v>YZ-ZQ1521GF5XL</v>
          </cell>
          <cell r="B8782" t="str">
            <v>YZ-ZQ1521</v>
          </cell>
        </row>
        <row r="8783">
          <cell r="A8783" t="str">
            <v>YZ-ZQ1521GFXL</v>
          </cell>
          <cell r="B8783" t="str">
            <v>YZ-ZQ1521</v>
          </cell>
        </row>
        <row r="8784">
          <cell r="A8784" t="str">
            <v>YZ-ZQ1521GW2XL</v>
          </cell>
          <cell r="B8784" t="str">
            <v>YZ-ZQ1521</v>
          </cell>
        </row>
        <row r="8785">
          <cell r="A8785" t="str">
            <v>YZ-ZQ1521GW3XL</v>
          </cell>
          <cell r="B8785" t="str">
            <v>YZ-ZQ1521</v>
          </cell>
        </row>
        <row r="8786">
          <cell r="A8786" t="str">
            <v>YZ-ZQ1521GW4XL</v>
          </cell>
          <cell r="B8786" t="str">
            <v>YZ-ZQ1521</v>
          </cell>
        </row>
        <row r="8787">
          <cell r="A8787" t="str">
            <v>YZ-ZQ1521GW5XL</v>
          </cell>
          <cell r="B8787" t="str">
            <v>YZ-ZQ1521</v>
          </cell>
        </row>
        <row r="8788">
          <cell r="A8788" t="str">
            <v>YZ-ZQ1521GWXL</v>
          </cell>
          <cell r="B8788" t="str">
            <v>YZ-ZQ1521</v>
          </cell>
        </row>
        <row r="8789">
          <cell r="A8789" t="str">
            <v>YZ-ZQ1521KF2XL</v>
          </cell>
          <cell r="B8789" t="str">
            <v>YZ-ZQ1521</v>
          </cell>
        </row>
        <row r="8790">
          <cell r="A8790" t="str">
            <v>YZ-ZQ1521KF3XL</v>
          </cell>
          <cell r="B8790" t="str">
            <v>YZ-ZQ1521</v>
          </cell>
        </row>
        <row r="8791">
          <cell r="A8791" t="str">
            <v>YZ-ZQ1521KF4XL</v>
          </cell>
          <cell r="B8791" t="str">
            <v>YZ-ZQ1521</v>
          </cell>
        </row>
        <row r="8792">
          <cell r="A8792" t="str">
            <v>YZ-ZQ1521KF5XL</v>
          </cell>
          <cell r="B8792" t="str">
            <v>YZ-ZQ1521</v>
          </cell>
        </row>
        <row r="8793">
          <cell r="A8793" t="str">
            <v>YZ-ZQ1521KFXL</v>
          </cell>
          <cell r="B8793" t="str">
            <v>YZ-ZQ1521</v>
          </cell>
        </row>
        <row r="8794">
          <cell r="A8794" t="str">
            <v>YZ-ZQ1521RF2XL</v>
          </cell>
          <cell r="B8794" t="str">
            <v>YZ-ZQ1521</v>
          </cell>
        </row>
        <row r="8795">
          <cell r="A8795" t="str">
            <v>YZ-ZQ1521RF3XL</v>
          </cell>
          <cell r="B8795" t="str">
            <v>YZ-ZQ1521</v>
          </cell>
        </row>
        <row r="8796">
          <cell r="A8796" t="str">
            <v>YZ-ZQ1521RF4XL</v>
          </cell>
          <cell r="B8796" t="str">
            <v>YZ-ZQ1521</v>
          </cell>
        </row>
        <row r="8797">
          <cell r="A8797" t="str">
            <v>YZ-ZQ1521RF5XL</v>
          </cell>
          <cell r="B8797" t="str">
            <v>YZ-ZQ1521</v>
          </cell>
        </row>
        <row r="8798">
          <cell r="A8798" t="str">
            <v>YZ-ZQ1521RFXL</v>
          </cell>
          <cell r="B8798" t="str">
            <v>YZ-ZQ1521</v>
          </cell>
        </row>
        <row r="8799">
          <cell r="A8799" t="str">
            <v>YZ-ZQ1521RL2XL</v>
          </cell>
          <cell r="B8799" t="str">
            <v>YZ-ZQ1521</v>
          </cell>
        </row>
        <row r="8800">
          <cell r="A8800" t="str">
            <v>YZ-ZQ1521RL3XL</v>
          </cell>
          <cell r="B8800" t="str">
            <v>YZ-ZQ1521</v>
          </cell>
        </row>
        <row r="8801">
          <cell r="A8801" t="str">
            <v>YZ-ZQ1521RL4XL</v>
          </cell>
          <cell r="B8801" t="str">
            <v>YZ-ZQ1521</v>
          </cell>
        </row>
        <row r="8802">
          <cell r="A8802" t="str">
            <v>YZ-ZQ1521RL5XL</v>
          </cell>
          <cell r="B8802" t="str">
            <v>YZ-ZQ1521</v>
          </cell>
        </row>
        <row r="8803">
          <cell r="A8803" t="str">
            <v>YZ-ZQ1521RLXL</v>
          </cell>
          <cell r="B8803" t="str">
            <v>YZ-ZQ1521</v>
          </cell>
        </row>
        <row r="8804">
          <cell r="A8804" t="str">
            <v>YZ-ZQ1521RM2XL</v>
          </cell>
          <cell r="B8804" t="str">
            <v>YZ-ZQ1521</v>
          </cell>
        </row>
        <row r="8805">
          <cell r="A8805" t="str">
            <v>YZ-ZQ1521RM3XL</v>
          </cell>
          <cell r="B8805" t="str">
            <v>YZ-ZQ1521</v>
          </cell>
        </row>
        <row r="8806">
          <cell r="A8806" t="str">
            <v>YZ-ZQ1521RM4XL</v>
          </cell>
          <cell r="B8806" t="str">
            <v>YZ-ZQ1521</v>
          </cell>
        </row>
        <row r="8807">
          <cell r="A8807" t="str">
            <v>YZ-ZQ1521RM5XL</v>
          </cell>
          <cell r="B8807" t="str">
            <v>YZ-ZQ1521</v>
          </cell>
        </row>
        <row r="8808">
          <cell r="A8808" t="str">
            <v>YZ-ZQ1521RMXL</v>
          </cell>
          <cell r="B8808" t="str">
            <v>YZ-ZQ1521</v>
          </cell>
        </row>
        <row r="8809">
          <cell r="A8809" t="str">
            <v>YZ-ZQ1521WP2XL</v>
          </cell>
          <cell r="B8809" t="str">
            <v>YZ-ZQ1521</v>
          </cell>
        </row>
        <row r="8810">
          <cell r="A8810" t="str">
            <v>YZ-ZQ1521WP3XL</v>
          </cell>
          <cell r="B8810" t="str">
            <v>YZ-ZQ1521</v>
          </cell>
        </row>
        <row r="8811">
          <cell r="A8811" t="str">
            <v>YZ-ZQ1521WP4XL</v>
          </cell>
          <cell r="B8811" t="str">
            <v>YZ-ZQ1521</v>
          </cell>
        </row>
        <row r="8812">
          <cell r="A8812" t="str">
            <v>YZ-ZQ1521WP5XL</v>
          </cell>
          <cell r="B8812" t="str">
            <v>YZ-ZQ1521</v>
          </cell>
        </row>
        <row r="8813">
          <cell r="A8813" t="str">
            <v>YZ-ZQ1521WPXL</v>
          </cell>
          <cell r="B8813" t="str">
            <v>YZ-ZQ1521</v>
          </cell>
        </row>
        <row r="8814">
          <cell r="A8814" t="str">
            <v>YZ-ZQ15827B02XL</v>
          </cell>
          <cell r="B8814" t="str">
            <v>YZ-ZQ15827</v>
          </cell>
        </row>
        <row r="8815">
          <cell r="A8815" t="str">
            <v>YZ-ZQ15827B03XL</v>
          </cell>
          <cell r="B8815" t="str">
            <v>YZ-ZQ15827</v>
          </cell>
        </row>
        <row r="8816">
          <cell r="A8816" t="str">
            <v>YZ-ZQ15827B04XL</v>
          </cell>
          <cell r="B8816" t="str">
            <v>YZ-ZQ15827</v>
          </cell>
        </row>
        <row r="8817">
          <cell r="A8817" t="str">
            <v>YZ-ZQ15827B05XL</v>
          </cell>
          <cell r="B8817" t="str">
            <v>YZ-ZQ15827</v>
          </cell>
        </row>
        <row r="8818">
          <cell r="A8818" t="str">
            <v>YZ-ZQ15827B0L</v>
          </cell>
          <cell r="B8818" t="str">
            <v>YZ-ZQ15827</v>
          </cell>
        </row>
        <row r="8819">
          <cell r="A8819" t="str">
            <v>YZ-ZQ15827B0M</v>
          </cell>
          <cell r="B8819" t="str">
            <v>YZ-ZQ15827</v>
          </cell>
        </row>
        <row r="8820">
          <cell r="A8820" t="str">
            <v>YZ-ZQ15827B0S</v>
          </cell>
          <cell r="B8820" t="str">
            <v>YZ-ZQ15827</v>
          </cell>
        </row>
        <row r="8821">
          <cell r="A8821" t="str">
            <v>YZ-ZQ15827B0XL</v>
          </cell>
          <cell r="B8821" t="str">
            <v>YZ-ZQ15827</v>
          </cell>
        </row>
        <row r="8822">
          <cell r="A8822" t="str">
            <v>YZ-ZQ15827BS2XL</v>
          </cell>
          <cell r="B8822" t="str">
            <v>YZ-ZQ15827</v>
          </cell>
        </row>
        <row r="8823">
          <cell r="A8823" t="str">
            <v>YZ-ZQ15827BS3XL</v>
          </cell>
          <cell r="B8823" t="str">
            <v>YZ-ZQ15827</v>
          </cell>
        </row>
        <row r="8824">
          <cell r="A8824" t="str">
            <v>YZ-ZQ15827BS4XL</v>
          </cell>
          <cell r="B8824" t="str">
            <v>YZ-ZQ15827</v>
          </cell>
        </row>
        <row r="8825">
          <cell r="A8825" t="str">
            <v>YZ-ZQ15827BS5XL</v>
          </cell>
          <cell r="B8825" t="str">
            <v>YZ-ZQ15827</v>
          </cell>
        </row>
        <row r="8826">
          <cell r="A8826" t="str">
            <v>YZ-ZQ15827BSL</v>
          </cell>
          <cell r="B8826" t="str">
            <v>YZ-ZQ15827</v>
          </cell>
        </row>
        <row r="8827">
          <cell r="A8827" t="str">
            <v>YZ-ZQ15827BSM</v>
          </cell>
          <cell r="B8827" t="str">
            <v>YZ-ZQ15827</v>
          </cell>
        </row>
        <row r="8828">
          <cell r="A8828" t="str">
            <v>YZ-ZQ15827BSS</v>
          </cell>
          <cell r="B8828" t="str">
            <v>YZ-ZQ15827</v>
          </cell>
        </row>
        <row r="8829">
          <cell r="A8829" t="str">
            <v>YZ-ZQ15827BSXL</v>
          </cell>
          <cell r="B8829" t="str">
            <v>YZ-ZQ15827</v>
          </cell>
        </row>
        <row r="8830">
          <cell r="A8830" t="str">
            <v>YZ-ZQ15827R22XL</v>
          </cell>
          <cell r="B8830" t="str">
            <v>YZ-ZQ15827</v>
          </cell>
        </row>
        <row r="8831">
          <cell r="A8831" t="str">
            <v>YZ-ZQ15827R23XL</v>
          </cell>
          <cell r="B8831" t="str">
            <v>YZ-ZQ15827</v>
          </cell>
        </row>
        <row r="8832">
          <cell r="A8832" t="str">
            <v>YZ-ZQ15827R24XL</v>
          </cell>
          <cell r="B8832" t="str">
            <v>YZ-ZQ15827</v>
          </cell>
        </row>
        <row r="8833">
          <cell r="A8833" t="str">
            <v>YZ-ZQ15827R25XL</v>
          </cell>
          <cell r="B8833" t="str">
            <v>YZ-ZQ15827</v>
          </cell>
        </row>
        <row r="8834">
          <cell r="A8834" t="str">
            <v>YZ-ZQ15827R2L</v>
          </cell>
          <cell r="B8834" t="str">
            <v>YZ-ZQ15827</v>
          </cell>
        </row>
        <row r="8835">
          <cell r="A8835" t="str">
            <v>YZ-ZQ15827R2M</v>
          </cell>
          <cell r="B8835" t="str">
            <v>YZ-ZQ15827</v>
          </cell>
        </row>
        <row r="8836">
          <cell r="A8836" t="str">
            <v>YZ-ZQ15827R2S</v>
          </cell>
          <cell r="B8836" t="str">
            <v>YZ-ZQ15827</v>
          </cell>
        </row>
        <row r="8837">
          <cell r="A8837" t="str">
            <v>YZ-ZQ15827R2XL</v>
          </cell>
          <cell r="B8837" t="str">
            <v>YZ-ZQ15827</v>
          </cell>
        </row>
        <row r="8838">
          <cell r="A8838" t="str">
            <v>YZ-ZQ15827W02XL</v>
          </cell>
          <cell r="B8838" t="str">
            <v>YZ-ZQ15827</v>
          </cell>
        </row>
        <row r="8839">
          <cell r="A8839" t="str">
            <v>YZ-ZQ15827W03XL</v>
          </cell>
          <cell r="B8839" t="str">
            <v>YZ-ZQ15827</v>
          </cell>
        </row>
        <row r="8840">
          <cell r="A8840" t="str">
            <v>YZ-ZQ15827W04XL</v>
          </cell>
          <cell r="B8840" t="str">
            <v>YZ-ZQ15827</v>
          </cell>
        </row>
        <row r="8841">
          <cell r="A8841" t="str">
            <v>YZ-ZQ15827W05XL</v>
          </cell>
          <cell r="B8841" t="str">
            <v>YZ-ZQ15827</v>
          </cell>
        </row>
        <row r="8842">
          <cell r="A8842" t="str">
            <v>YZ-ZQ15827W0L</v>
          </cell>
          <cell r="B8842" t="str">
            <v>YZ-ZQ15827</v>
          </cell>
        </row>
        <row r="8843">
          <cell r="A8843" t="str">
            <v>YZ-ZQ15827W0M</v>
          </cell>
          <cell r="B8843" t="str">
            <v>YZ-ZQ15827</v>
          </cell>
        </row>
        <row r="8844">
          <cell r="A8844" t="str">
            <v>YZ-ZQ15827W0S</v>
          </cell>
          <cell r="B8844" t="str">
            <v>YZ-ZQ15827</v>
          </cell>
        </row>
        <row r="8845">
          <cell r="A8845" t="str">
            <v>YZ-ZQ15827W0XL</v>
          </cell>
          <cell r="B8845" t="str">
            <v>YZ-ZQ15827</v>
          </cell>
        </row>
        <row r="8846">
          <cell r="A8846" t="str">
            <v>YZ-ZQ15905-K0-2X</v>
          </cell>
          <cell r="B8846" t="str">
            <v>YZ-ZQ15905</v>
          </cell>
        </row>
        <row r="8847">
          <cell r="A8847" t="str">
            <v>YZ-ZQ15905-K0-3X</v>
          </cell>
          <cell r="B8847" t="str">
            <v>YZ-ZQ15905</v>
          </cell>
        </row>
        <row r="8848">
          <cell r="A8848" t="str">
            <v>YZ-ZQ15905-K0-4X</v>
          </cell>
          <cell r="B8848" t="str">
            <v>YZ-ZQ15905</v>
          </cell>
        </row>
        <row r="8849">
          <cell r="A8849" t="str">
            <v>YZ-ZQ15905-K0-5X</v>
          </cell>
          <cell r="B8849" t="str">
            <v>YZ-ZQ15905</v>
          </cell>
        </row>
        <row r="8850">
          <cell r="A8850" t="str">
            <v>YZ-ZQ15905-K0-L</v>
          </cell>
          <cell r="B8850" t="str">
            <v>YZ-ZQ15905</v>
          </cell>
        </row>
        <row r="8851">
          <cell r="A8851" t="str">
            <v>YZ-ZQ15905-K0-M</v>
          </cell>
          <cell r="B8851" t="str">
            <v>YZ-ZQ15905</v>
          </cell>
        </row>
        <row r="8852">
          <cell r="A8852" t="str">
            <v>YZ-ZQ15905-K0-S</v>
          </cell>
          <cell r="B8852" t="str">
            <v>YZ-ZQ15905</v>
          </cell>
        </row>
        <row r="8853">
          <cell r="A8853" t="str">
            <v>YZ-ZQ15905-K0-XL</v>
          </cell>
          <cell r="B8853" t="str">
            <v>YZ-ZQ15905</v>
          </cell>
        </row>
        <row r="8854">
          <cell r="A8854" t="str">
            <v>YZ-ZQ15905-W0-2X</v>
          </cell>
          <cell r="B8854" t="str">
            <v>YZ-ZQ15905</v>
          </cell>
        </row>
        <row r="8855">
          <cell r="A8855" t="str">
            <v>YZ-ZQ15905-W0-3X</v>
          </cell>
          <cell r="B8855" t="str">
            <v>YZ-ZQ15905</v>
          </cell>
        </row>
        <row r="8856">
          <cell r="A8856" t="str">
            <v>YZ-ZQ15905-W0-4X</v>
          </cell>
          <cell r="B8856" t="str">
            <v>YZ-ZQ15905</v>
          </cell>
        </row>
        <row r="8857">
          <cell r="A8857" t="str">
            <v>YZ-ZQ15905-W0-5X</v>
          </cell>
          <cell r="B8857" t="str">
            <v>YZ-ZQ15905</v>
          </cell>
        </row>
        <row r="8858">
          <cell r="A8858" t="str">
            <v>YZ-ZQ15905-W0-L</v>
          </cell>
          <cell r="B8858" t="str">
            <v>YZ-ZQ15905</v>
          </cell>
        </row>
        <row r="8859">
          <cell r="A8859" t="str">
            <v>YZ-ZQ15905-W0-M</v>
          </cell>
          <cell r="B8859" t="str">
            <v>YZ-ZQ15905</v>
          </cell>
        </row>
        <row r="8860">
          <cell r="A8860" t="str">
            <v>YZ-ZQ15905-W0-S</v>
          </cell>
          <cell r="B8860" t="str">
            <v>YZ-ZQ15905</v>
          </cell>
        </row>
        <row r="8861">
          <cell r="A8861" t="str">
            <v>YZ-ZQ15905-W0-XL</v>
          </cell>
          <cell r="B8861" t="str">
            <v>YZ-ZQ15905</v>
          </cell>
        </row>
        <row r="8862">
          <cell r="A8862" t="str">
            <v>YZ-ZQ15919-B0-2X</v>
          </cell>
          <cell r="B8862" t="str">
            <v>YZ-ZQ1519</v>
          </cell>
        </row>
        <row r="8863">
          <cell r="A8863" t="str">
            <v>YZ-ZQ15919-B0-3X</v>
          </cell>
          <cell r="B8863" t="str">
            <v>YZ-ZQ1519</v>
          </cell>
        </row>
        <row r="8864">
          <cell r="A8864" t="str">
            <v>YZ-ZQ15919-B0-4X</v>
          </cell>
          <cell r="B8864" t="str">
            <v>YZ-ZQ1519</v>
          </cell>
        </row>
        <row r="8865">
          <cell r="A8865" t="str">
            <v>YZ-ZQ15919-B0-5X</v>
          </cell>
          <cell r="B8865" t="str">
            <v>YZ-ZQ1519</v>
          </cell>
        </row>
        <row r="8866">
          <cell r="A8866" t="str">
            <v>YZ-ZQ15919-B0-L</v>
          </cell>
          <cell r="B8866" t="str">
            <v>YZ-ZQ1519</v>
          </cell>
        </row>
        <row r="8867">
          <cell r="A8867" t="str">
            <v>YZ-ZQ15919-B0-M</v>
          </cell>
          <cell r="B8867" t="str">
            <v>YZ-ZQ1519</v>
          </cell>
        </row>
        <row r="8868">
          <cell r="A8868" t="str">
            <v>YZ-ZQ15919-B0-S</v>
          </cell>
          <cell r="B8868" t="str">
            <v>YZ-ZQ1519</v>
          </cell>
        </row>
        <row r="8869">
          <cell r="A8869" t="str">
            <v>YZ-ZQ15919-B0-XL</v>
          </cell>
          <cell r="B8869" t="str">
            <v>YZ-ZQ1519</v>
          </cell>
        </row>
        <row r="8870">
          <cell r="A8870" t="str">
            <v>YZ-ZQ15921-B0-2X</v>
          </cell>
          <cell r="B8870" t="str">
            <v>YZ-ZQ15921</v>
          </cell>
        </row>
        <row r="8871">
          <cell r="A8871" t="str">
            <v>YZ-ZQ15921-B0-3X</v>
          </cell>
          <cell r="B8871" t="str">
            <v>YZ-ZQ15921</v>
          </cell>
        </row>
        <row r="8872">
          <cell r="A8872" t="str">
            <v>YZ-ZQ15921-B0-4X</v>
          </cell>
          <cell r="B8872" t="str">
            <v>YZ-ZQ15921</v>
          </cell>
        </row>
        <row r="8873">
          <cell r="A8873" t="str">
            <v>YZ-ZQ15921-B0-5X</v>
          </cell>
          <cell r="B8873" t="str">
            <v>YZ-ZQ15921</v>
          </cell>
        </row>
        <row r="8874">
          <cell r="A8874" t="str">
            <v>YZ-ZQ15921-B0-L</v>
          </cell>
          <cell r="B8874" t="str">
            <v>YZ-ZQ15921</v>
          </cell>
        </row>
        <row r="8875">
          <cell r="A8875" t="str">
            <v>YZ-ZQ15921-B0-M</v>
          </cell>
          <cell r="B8875" t="str">
            <v>YZ-ZQ15921</v>
          </cell>
        </row>
        <row r="8876">
          <cell r="A8876" t="str">
            <v>YZ-ZQ15921-B0-XL</v>
          </cell>
          <cell r="B8876" t="str">
            <v>YZ-ZQ15921</v>
          </cell>
        </row>
        <row r="8877">
          <cell r="A8877" t="str">
            <v>YZ-ZQ15921-P0-2X</v>
          </cell>
          <cell r="B8877" t="str">
            <v>YZ-ZQ15921</v>
          </cell>
        </row>
        <row r="8878">
          <cell r="A8878" t="str">
            <v>YZ-ZQ15921-P0-3X</v>
          </cell>
          <cell r="B8878" t="str">
            <v>YZ-ZQ15921</v>
          </cell>
        </row>
        <row r="8879">
          <cell r="A8879" t="str">
            <v>YZ-ZQ15921-P0-4X</v>
          </cell>
          <cell r="B8879" t="str">
            <v>YZ-ZQ15921</v>
          </cell>
        </row>
        <row r="8880">
          <cell r="A8880" t="str">
            <v>YZ-ZQ15921-P0-5X</v>
          </cell>
          <cell r="B8880" t="str">
            <v>YZ-ZQ15921</v>
          </cell>
        </row>
        <row r="8881">
          <cell r="A8881" t="str">
            <v>YZ-ZQ15921-P0-L</v>
          </cell>
          <cell r="B8881" t="str">
            <v>YZ-ZQ15921</v>
          </cell>
        </row>
        <row r="8882">
          <cell r="A8882" t="str">
            <v>YZ-ZQ15921-P0-M</v>
          </cell>
          <cell r="B8882" t="str">
            <v>YZ-ZQ15921</v>
          </cell>
        </row>
        <row r="8883">
          <cell r="A8883" t="str">
            <v>YZ-ZQ15921-P0-XL</v>
          </cell>
          <cell r="B8883" t="str">
            <v>YZ-ZQ15921</v>
          </cell>
        </row>
        <row r="8884">
          <cell r="A8884" t="str">
            <v>YZ-ZQ15921-R0-2X</v>
          </cell>
          <cell r="B8884" t="str">
            <v>YZ-ZQ15921</v>
          </cell>
        </row>
        <row r="8885">
          <cell r="A8885" t="str">
            <v>YZ-ZQ15921-R0-3X</v>
          </cell>
          <cell r="B8885" t="str">
            <v>YZ-ZQ15921</v>
          </cell>
        </row>
        <row r="8886">
          <cell r="A8886" t="str">
            <v>YZ-ZQ15921-R0-4X</v>
          </cell>
          <cell r="B8886" t="str">
            <v>YZ-ZQ15921</v>
          </cell>
        </row>
        <row r="8887">
          <cell r="A8887" t="str">
            <v>YZ-ZQ15921-R0-5X</v>
          </cell>
          <cell r="B8887" t="str">
            <v>YZ-ZQ15921</v>
          </cell>
        </row>
        <row r="8888">
          <cell r="A8888" t="str">
            <v>YZ-ZQ15921-R0-L</v>
          </cell>
          <cell r="B8888" t="str">
            <v>YZ-ZQ15921</v>
          </cell>
        </row>
        <row r="8889">
          <cell r="A8889" t="str">
            <v>YZ-ZQ15921-R0-M</v>
          </cell>
          <cell r="B8889" t="str">
            <v>YZ-ZQ15921</v>
          </cell>
        </row>
        <row r="8890">
          <cell r="A8890" t="str">
            <v>YZ-ZQ15921-R0-XL</v>
          </cell>
          <cell r="B8890" t="str">
            <v>YZ-ZQ15921</v>
          </cell>
        </row>
        <row r="8891">
          <cell r="A8891" t="str">
            <v>YZ-ZQ15986K02XL</v>
          </cell>
          <cell r="B8891" t="str">
            <v>YZ-ZQ15986</v>
          </cell>
        </row>
        <row r="8892">
          <cell r="A8892" t="str">
            <v>YZ-ZQ15986K03XL</v>
          </cell>
          <cell r="B8892" t="str">
            <v>YZ-ZQ15986</v>
          </cell>
        </row>
        <row r="8893">
          <cell r="A8893" t="str">
            <v>YZ-ZQ15986K04XL</v>
          </cell>
          <cell r="B8893" t="str">
            <v>YZ-ZQ15986</v>
          </cell>
        </row>
        <row r="8894">
          <cell r="A8894" t="str">
            <v>YZ-ZQ15986K0L</v>
          </cell>
          <cell r="B8894" t="str">
            <v>YZ-ZQ15986</v>
          </cell>
        </row>
        <row r="8895">
          <cell r="A8895" t="str">
            <v>YZ-ZQ16103R02XL</v>
          </cell>
          <cell r="B8895" t="str">
            <v>YZ-ZQ16103</v>
          </cell>
        </row>
        <row r="8896">
          <cell r="A8896" t="str">
            <v>YZ-ZQ16103R03XL</v>
          </cell>
          <cell r="B8896" t="str">
            <v>YZ-ZQ16103</v>
          </cell>
        </row>
        <row r="8897">
          <cell r="A8897" t="str">
            <v>YZ-ZQ16103R0L</v>
          </cell>
          <cell r="B8897" t="str">
            <v>YZ-ZQ16103</v>
          </cell>
        </row>
        <row r="8898">
          <cell r="A8898" t="str">
            <v>YZ-ZQ16103R0XL</v>
          </cell>
          <cell r="B8898" t="str">
            <v>YZ-ZQ16103</v>
          </cell>
        </row>
        <row r="8899">
          <cell r="A8899" t="str">
            <v>YZ-ZQ16103ZL2XL</v>
          </cell>
          <cell r="B8899" t="str">
            <v>YZ-ZQ16103</v>
          </cell>
        </row>
        <row r="8900">
          <cell r="A8900" t="str">
            <v>YZ-ZQ16103ZL3XL</v>
          </cell>
          <cell r="B8900" t="str">
            <v>YZ-ZQ16103</v>
          </cell>
        </row>
        <row r="8901">
          <cell r="A8901" t="str">
            <v>YZ-ZQ16103ZLL</v>
          </cell>
          <cell r="B8901" t="str">
            <v>YZ-ZQ16103</v>
          </cell>
        </row>
        <row r="8902">
          <cell r="A8902" t="str">
            <v>YZ-ZQ16103ZLXL</v>
          </cell>
          <cell r="B8902" t="str">
            <v>YZ-ZQ16103</v>
          </cell>
        </row>
        <row r="8903">
          <cell r="A8903" t="str">
            <v>YZ-ZQ1617-BH-2XL</v>
          </cell>
          <cell r="B8903" t="str">
            <v>YZ-ZQ1617</v>
          </cell>
        </row>
        <row r="8904">
          <cell r="A8904" t="str">
            <v>YZ-ZQ1617-BH-3XL</v>
          </cell>
          <cell r="B8904" t="str">
            <v>YZ-ZQ1617</v>
          </cell>
        </row>
        <row r="8905">
          <cell r="A8905" t="str">
            <v>YZ-ZQ1617-BH-4XL</v>
          </cell>
          <cell r="B8905" t="str">
            <v>YZ-ZQ1617</v>
          </cell>
        </row>
        <row r="8906">
          <cell r="A8906" t="str">
            <v>YZ-ZQ1617-BH-L</v>
          </cell>
          <cell r="B8906" t="str">
            <v>YZ-ZQ1617</v>
          </cell>
        </row>
        <row r="8907">
          <cell r="A8907" t="str">
            <v>YZ-ZQ1617-BH-M</v>
          </cell>
          <cell r="B8907" t="str">
            <v>YZ-ZQ1617</v>
          </cell>
        </row>
        <row r="8908">
          <cell r="A8908" t="str">
            <v>YZ-ZQ1617-BH-XL</v>
          </cell>
          <cell r="B8908" t="str">
            <v>YZ-ZQ1617</v>
          </cell>
        </row>
        <row r="8909">
          <cell r="A8909" t="str">
            <v>YZ-ZQ1617K02XL</v>
          </cell>
          <cell r="B8909" t="str">
            <v>YZ-ZQ1617</v>
          </cell>
        </row>
        <row r="8910">
          <cell r="A8910" t="str">
            <v>YZ-ZQ1617K03XL</v>
          </cell>
          <cell r="B8910" t="str">
            <v>YZ-ZQ1617</v>
          </cell>
        </row>
        <row r="8911">
          <cell r="A8911" t="str">
            <v>YZ-ZQ1617K04XL</v>
          </cell>
          <cell r="B8911" t="str">
            <v>YZ-ZQ1617</v>
          </cell>
        </row>
        <row r="8912">
          <cell r="A8912" t="str">
            <v>YZ-ZQ1617K0L</v>
          </cell>
          <cell r="B8912" t="str">
            <v>YZ-ZQ1617</v>
          </cell>
        </row>
        <row r="8913">
          <cell r="A8913" t="str">
            <v>YZ-ZQ1617K0M</v>
          </cell>
          <cell r="B8913" t="str">
            <v>YZ-ZQ1617</v>
          </cell>
        </row>
        <row r="8914">
          <cell r="A8914" t="str">
            <v>YZ-ZQ1617K0XL</v>
          </cell>
          <cell r="B8914" t="str">
            <v>YZ-ZQ1617</v>
          </cell>
        </row>
        <row r="8915">
          <cell r="A8915" t="str">
            <v>YZ-ZQ1617-KH-2XL</v>
          </cell>
          <cell r="B8915" t="str">
            <v>YZ-ZQ1617</v>
          </cell>
        </row>
        <row r="8916">
          <cell r="A8916" t="str">
            <v>YZ-ZQ1617-KH-3XL</v>
          </cell>
          <cell r="B8916" t="str">
            <v>YZ-ZQ1617</v>
          </cell>
        </row>
        <row r="8917">
          <cell r="A8917" t="str">
            <v>YZ-ZQ1617-KH-4XL</v>
          </cell>
          <cell r="B8917" t="str">
            <v>YZ-ZQ1617</v>
          </cell>
        </row>
        <row r="8918">
          <cell r="A8918" t="str">
            <v>YZ-ZQ1617-KH-L</v>
          </cell>
          <cell r="B8918" t="str">
            <v>YZ-ZQ1617</v>
          </cell>
        </row>
        <row r="8919">
          <cell r="A8919" t="str">
            <v>YZ-ZQ1617-KH-M</v>
          </cell>
          <cell r="B8919" t="str">
            <v>YZ-ZQ1617</v>
          </cell>
        </row>
        <row r="8920">
          <cell r="A8920" t="str">
            <v>YZ-ZQ1617-KH-XL</v>
          </cell>
          <cell r="B8920" t="str">
            <v>YZ-ZQ1617</v>
          </cell>
        </row>
        <row r="8921">
          <cell r="A8921" t="str">
            <v>YZ-ZQ1617R02XL</v>
          </cell>
          <cell r="B8921" t="str">
            <v>YZ-ZQ1617</v>
          </cell>
        </row>
        <row r="8922">
          <cell r="A8922" t="str">
            <v>YZ-ZQ1617R03XL</v>
          </cell>
          <cell r="B8922" t="str">
            <v>YZ-ZQ1617</v>
          </cell>
        </row>
        <row r="8923">
          <cell r="A8923" t="str">
            <v>YZ-ZQ1617R0L</v>
          </cell>
          <cell r="B8923" t="str">
            <v>YZ-ZQ1617</v>
          </cell>
        </row>
        <row r="8924">
          <cell r="A8924" t="str">
            <v>YZ-ZQ1617R0XL</v>
          </cell>
          <cell r="B8924" t="str">
            <v>YZ-ZQ1617</v>
          </cell>
        </row>
        <row r="8925">
          <cell r="A8925" t="str">
            <v>YZ-ZQ1617ZL2XL</v>
          </cell>
          <cell r="B8925" t="str">
            <v>YZ-ZQ1617</v>
          </cell>
        </row>
        <row r="8926">
          <cell r="A8926" t="str">
            <v>YZ-ZQ1617ZL3XL</v>
          </cell>
          <cell r="B8926" t="str">
            <v>YZ-ZQ1617</v>
          </cell>
        </row>
        <row r="8927">
          <cell r="A8927" t="str">
            <v>YZ-ZQ1617ZL4XL</v>
          </cell>
          <cell r="B8927" t="str">
            <v>YZ-ZQ1617</v>
          </cell>
        </row>
        <row r="8928">
          <cell r="A8928" t="str">
            <v>YZ-ZQ1617ZLL</v>
          </cell>
          <cell r="B8928" t="str">
            <v>YZ-ZQ1617</v>
          </cell>
        </row>
        <row r="8929">
          <cell r="A8929" t="str">
            <v>YZ-ZQ1617ZLM</v>
          </cell>
          <cell r="B8929" t="str">
            <v>YZ-ZQ1617</v>
          </cell>
        </row>
        <row r="8930">
          <cell r="A8930" t="str">
            <v>YZ-ZQ1617ZLXL</v>
          </cell>
          <cell r="B8930" t="str">
            <v>YZ-ZQ1617</v>
          </cell>
        </row>
        <row r="8931">
          <cell r="A8931" t="str">
            <v>YZ-ZQ16597B02XL</v>
          </cell>
          <cell r="B8931" t="str">
            <v>YZ-ZQ16597</v>
          </cell>
        </row>
        <row r="8932">
          <cell r="A8932" t="str">
            <v>YZ-ZQ16597B03XL</v>
          </cell>
          <cell r="B8932" t="str">
            <v>YZ-ZQ16597</v>
          </cell>
        </row>
        <row r="8933">
          <cell r="A8933" t="str">
            <v>YZ-ZQ16597B04XL</v>
          </cell>
          <cell r="B8933" t="str">
            <v>YZ-ZQ16597</v>
          </cell>
        </row>
        <row r="8934">
          <cell r="A8934" t="str">
            <v>YZ-ZQ16597B05XL</v>
          </cell>
          <cell r="B8934" t="str">
            <v>YZ-ZQ16597</v>
          </cell>
        </row>
        <row r="8935">
          <cell r="A8935" t="str">
            <v>YZ-ZQ16597B0L</v>
          </cell>
          <cell r="B8935" t="str">
            <v>YZ-ZQ16597</v>
          </cell>
        </row>
        <row r="8936">
          <cell r="A8936" t="str">
            <v>YZ-ZQ16597B0M</v>
          </cell>
          <cell r="B8936" t="str">
            <v>YZ-ZQ16597</v>
          </cell>
        </row>
        <row r="8937">
          <cell r="A8937" t="str">
            <v>YZ-ZQ16597B0XL</v>
          </cell>
          <cell r="B8937" t="str">
            <v>YZ-ZQ16597</v>
          </cell>
        </row>
        <row r="8938">
          <cell r="A8938" t="str">
            <v>YZ-ZQ16598R02XL</v>
          </cell>
          <cell r="B8938" t="str">
            <v>YZ-ZQ16598</v>
          </cell>
        </row>
        <row r="8939">
          <cell r="A8939" t="str">
            <v>YZ-ZQ16598R03XL</v>
          </cell>
          <cell r="B8939" t="str">
            <v>YZ-ZQ16598</v>
          </cell>
        </row>
        <row r="8940">
          <cell r="A8940" t="str">
            <v>YZ-ZQ16598R04XL</v>
          </cell>
          <cell r="B8940" t="str">
            <v>YZ-ZQ16598</v>
          </cell>
        </row>
        <row r="8941">
          <cell r="A8941" t="str">
            <v>YZ-ZQ16598R05XL</v>
          </cell>
          <cell r="B8941" t="str">
            <v>YZ-ZQ16598</v>
          </cell>
        </row>
        <row r="8942">
          <cell r="A8942" t="str">
            <v>YZ-ZQ16598R0L</v>
          </cell>
          <cell r="B8942" t="str">
            <v>YZ-ZQ16598</v>
          </cell>
        </row>
        <row r="8943">
          <cell r="A8943" t="str">
            <v>YZ-ZQ16598R0XL</v>
          </cell>
          <cell r="B8943" t="str">
            <v>YZ-ZQ16598</v>
          </cell>
        </row>
        <row r="8944">
          <cell r="A8944" t="str">
            <v>YZ-ZQ17009-G0-L</v>
          </cell>
          <cell r="B8944" t="str">
            <v>YZ-ZQ17009</v>
          </cell>
        </row>
        <row r="8945">
          <cell r="A8945" t="str">
            <v>YZ-ZQ17009-G0-M</v>
          </cell>
          <cell r="B8945" t="str">
            <v>YZ-ZQ17009</v>
          </cell>
        </row>
        <row r="8946">
          <cell r="A8946" t="str">
            <v>YZ-ZQ17009-G0-XL</v>
          </cell>
          <cell r="B8946" t="str">
            <v>YZ-ZQ17009</v>
          </cell>
        </row>
        <row r="8947">
          <cell r="A8947" t="str">
            <v>YZ-ZQ17009-K0-L</v>
          </cell>
          <cell r="B8947" t="str">
            <v>YZ-ZQ17009</v>
          </cell>
        </row>
        <row r="8948">
          <cell r="A8948" t="str">
            <v>YZ-ZQ17009-K0-M</v>
          </cell>
          <cell r="B8948" t="str">
            <v>YZ-ZQ17009</v>
          </cell>
        </row>
        <row r="8949">
          <cell r="A8949" t="str">
            <v>YZ-ZQ17009-K0-XL</v>
          </cell>
          <cell r="B8949" t="str">
            <v>YZ-ZQ17009</v>
          </cell>
        </row>
        <row r="8950">
          <cell r="A8950" t="str">
            <v>YZ-ZQ17009-R0-S</v>
          </cell>
          <cell r="B8950" t="str">
            <v>YZ-ZQ17009</v>
          </cell>
        </row>
        <row r="8951">
          <cell r="A8951" t="str">
            <v>YZ-ZQ1715-W0-L</v>
          </cell>
          <cell r="B8951" t="str">
            <v>YZ-ZQ1715</v>
          </cell>
        </row>
        <row r="8952">
          <cell r="A8952" t="str">
            <v>YZ-ZQ1715-W0-M</v>
          </cell>
          <cell r="B8952" t="str">
            <v>YZ-ZQ1715</v>
          </cell>
        </row>
        <row r="8953">
          <cell r="A8953" t="str">
            <v>YZ-ZQ1715-W0-S</v>
          </cell>
          <cell r="B8953" t="str">
            <v>YZ-ZQ1715</v>
          </cell>
        </row>
        <row r="8954">
          <cell r="A8954" t="str">
            <v>YZ-ZQ1715-W0-XL</v>
          </cell>
          <cell r="B8954" t="str">
            <v>YZ-ZQ1715</v>
          </cell>
        </row>
        <row r="8955">
          <cell r="A8955" t="str">
            <v>YZ-ZQ1732-B0-L</v>
          </cell>
          <cell r="B8955" t="str">
            <v>YZ-ZQ1732</v>
          </cell>
        </row>
        <row r="8956">
          <cell r="A8956" t="str">
            <v>YZ-ZQ1732-B0-M</v>
          </cell>
          <cell r="B8956" t="str">
            <v>YZ-ZQ1732</v>
          </cell>
        </row>
        <row r="8957">
          <cell r="A8957" t="str">
            <v>YZ-ZQ1732-B0-S</v>
          </cell>
          <cell r="B8957" t="str">
            <v>YZ-ZQ1732</v>
          </cell>
        </row>
        <row r="8958">
          <cell r="A8958" t="str">
            <v>YZ-ZQ1732-B0-XL</v>
          </cell>
          <cell r="B8958" t="str">
            <v>YZ-ZQ1732</v>
          </cell>
        </row>
        <row r="8959">
          <cell r="A8959" t="str">
            <v>YZ-ZQ1732-K0-L</v>
          </cell>
          <cell r="B8959" t="str">
            <v>YZ-ZQ1732</v>
          </cell>
        </row>
        <row r="8960">
          <cell r="A8960" t="str">
            <v>YZ-ZQ1732-K0-M</v>
          </cell>
          <cell r="B8960" t="str">
            <v>YZ-ZQ1732</v>
          </cell>
        </row>
        <row r="8961">
          <cell r="A8961" t="str">
            <v>YZ-ZQ1732-K0-S</v>
          </cell>
          <cell r="B8961" t="str">
            <v>YZ-ZQ1732</v>
          </cell>
        </row>
        <row r="8962">
          <cell r="A8962" t="str">
            <v>YZ-ZQ1732-K0-XL</v>
          </cell>
          <cell r="B8962" t="str">
            <v>YZ-ZQ1732</v>
          </cell>
        </row>
        <row r="8963">
          <cell r="A8963" t="str">
            <v>YZ-ZQ1732-R0-L</v>
          </cell>
          <cell r="B8963" t="str">
            <v>YZ-ZQ1732</v>
          </cell>
        </row>
        <row r="8964">
          <cell r="A8964" t="str">
            <v>YZ-ZQ1732-R0-M</v>
          </cell>
          <cell r="B8964" t="str">
            <v>YZ-ZQ1732</v>
          </cell>
        </row>
        <row r="8965">
          <cell r="A8965" t="str">
            <v>YZ-ZQ1732-R0-S</v>
          </cell>
          <cell r="B8965" t="str">
            <v>YZ-ZQ1732</v>
          </cell>
        </row>
        <row r="8966">
          <cell r="A8966" t="str">
            <v>YZ-ZQ1732-R0-XL</v>
          </cell>
          <cell r="B8966" t="str">
            <v>YZ-ZQ1732</v>
          </cell>
        </row>
        <row r="8967">
          <cell r="A8967" t="str">
            <v>YZ-ZQ1733-K0-2XL</v>
          </cell>
          <cell r="B8967" t="str">
            <v>YZ-ZQ1733</v>
          </cell>
        </row>
        <row r="8968">
          <cell r="A8968" t="str">
            <v>YZ-ZQ1733-K0-3XL</v>
          </cell>
          <cell r="B8968" t="str">
            <v>YZ-ZQ1733</v>
          </cell>
        </row>
        <row r="8969">
          <cell r="A8969" t="str">
            <v>YZ-ZQ1733-K0-L</v>
          </cell>
          <cell r="B8969" t="str">
            <v>YZ-ZQ1733</v>
          </cell>
        </row>
        <row r="8970">
          <cell r="A8970" t="str">
            <v>YZ-ZQ1733-K0-M</v>
          </cell>
          <cell r="B8970" t="str">
            <v>YZ-ZQ1733</v>
          </cell>
        </row>
        <row r="8971">
          <cell r="A8971" t="str">
            <v>YZ-ZQ1733-K0-S</v>
          </cell>
          <cell r="B8971" t="str">
            <v>YZ-ZQ1733</v>
          </cell>
        </row>
        <row r="8972">
          <cell r="A8972" t="str">
            <v>YZ-ZQ1733-K0-XL</v>
          </cell>
          <cell r="B8972" t="str">
            <v>YZ-ZQ1733</v>
          </cell>
        </row>
        <row r="8973">
          <cell r="A8973" t="str">
            <v>YZ-ZQ1733-NB-2XL</v>
          </cell>
          <cell r="B8973" t="str">
            <v>YZ-ZQ1733</v>
          </cell>
        </row>
        <row r="8974">
          <cell r="A8974" t="str">
            <v>YZ-ZQ1733-NB-3XL</v>
          </cell>
          <cell r="B8974" t="str">
            <v>YZ-ZQ1733</v>
          </cell>
        </row>
        <row r="8975">
          <cell r="A8975" t="str">
            <v>YZ-ZQ1733-NB-L</v>
          </cell>
          <cell r="B8975" t="str">
            <v>YZ-ZQ1733</v>
          </cell>
        </row>
        <row r="8976">
          <cell r="A8976" t="str">
            <v>YZ-ZQ1733-NB-M</v>
          </cell>
          <cell r="B8976" t="str">
            <v>YZ-ZQ1733</v>
          </cell>
        </row>
        <row r="8977">
          <cell r="A8977" t="str">
            <v>YZ-ZQ1733-NB-S</v>
          </cell>
          <cell r="B8977" t="str">
            <v>YZ-ZQ1733</v>
          </cell>
        </row>
        <row r="8978">
          <cell r="A8978" t="str">
            <v>YZ-ZQ1733-NB-XL</v>
          </cell>
          <cell r="B8978" t="str">
            <v>YZ-ZQ1733</v>
          </cell>
        </row>
        <row r="8979">
          <cell r="A8979" t="str">
            <v>YZ-ZQ1733-R0-2XL</v>
          </cell>
          <cell r="B8979" t="str">
            <v>YZ-ZQ1733</v>
          </cell>
        </row>
        <row r="8980">
          <cell r="A8980" t="str">
            <v>YZ-ZQ1733-R0-3XL</v>
          </cell>
          <cell r="B8980" t="str">
            <v>YZ-ZQ1733</v>
          </cell>
        </row>
        <row r="8981">
          <cell r="A8981" t="str">
            <v>YZ-ZQ1733-R0-L</v>
          </cell>
          <cell r="B8981" t="str">
            <v>YZ-ZQ1733</v>
          </cell>
        </row>
        <row r="8982">
          <cell r="A8982" t="str">
            <v>YZ-ZQ1733-R0-M</v>
          </cell>
          <cell r="B8982" t="str">
            <v>YZ-ZQ1733</v>
          </cell>
        </row>
        <row r="8983">
          <cell r="A8983" t="str">
            <v>YZ-ZQ1733-R0-S</v>
          </cell>
          <cell r="B8983" t="str">
            <v>YZ-ZQ1733</v>
          </cell>
        </row>
        <row r="8984">
          <cell r="A8984" t="str">
            <v>YZ-ZQ1733-R0-XL</v>
          </cell>
          <cell r="B8984" t="str">
            <v>YZ-ZQ1733</v>
          </cell>
        </row>
        <row r="8985">
          <cell r="A8985" t="str">
            <v>YZ-ZQ1733-SB-2XL</v>
          </cell>
          <cell r="B8985" t="str">
            <v>YZ-ZQ1733</v>
          </cell>
        </row>
        <row r="8986">
          <cell r="A8986" t="str">
            <v>YZ-ZQ1733-SB-3XL</v>
          </cell>
          <cell r="B8986" t="str">
            <v>YZ-ZQ1733</v>
          </cell>
        </row>
        <row r="8987">
          <cell r="A8987" t="str">
            <v>YZ-ZQ1733-SB-L</v>
          </cell>
          <cell r="B8987" t="str">
            <v>YZ-ZQ1733</v>
          </cell>
        </row>
        <row r="8988">
          <cell r="A8988" t="str">
            <v>YZ-ZQ1733-SB-M</v>
          </cell>
          <cell r="B8988" t="str">
            <v>YZ-ZQ1733</v>
          </cell>
        </row>
        <row r="8989">
          <cell r="A8989" t="str">
            <v>YZ-ZQ1733-SB-S</v>
          </cell>
          <cell r="B8989" t="str">
            <v>YZ-ZQ1733</v>
          </cell>
        </row>
        <row r="8990">
          <cell r="A8990" t="str">
            <v>YZ-ZQ1733-SB-XL</v>
          </cell>
          <cell r="B8990" t="str">
            <v>YZ-ZQ1733</v>
          </cell>
        </row>
        <row r="8991">
          <cell r="A8991" t="str">
            <v>YZ-ZQ17845-K0-2X</v>
          </cell>
          <cell r="B8991" t="str">
            <v>YZ-ZQ17845</v>
          </cell>
        </row>
        <row r="8992">
          <cell r="A8992" t="str">
            <v>YZ-ZQ17845-K0-3X</v>
          </cell>
          <cell r="B8992" t="str">
            <v>YZ-ZQ17845</v>
          </cell>
        </row>
        <row r="8993">
          <cell r="A8993" t="str">
            <v>YZ-ZQ17845-K0-4X</v>
          </cell>
          <cell r="B8993" t="str">
            <v>YZ-ZQ17845</v>
          </cell>
        </row>
        <row r="8994">
          <cell r="A8994" t="str">
            <v>YZ-ZQ17845-K0-5X</v>
          </cell>
          <cell r="B8994" t="str">
            <v>YZ-ZQ17845</v>
          </cell>
        </row>
        <row r="8995">
          <cell r="A8995" t="str">
            <v>YZ-ZQ17845-K0-L</v>
          </cell>
          <cell r="B8995" t="str">
            <v>YZ-ZQ17845</v>
          </cell>
        </row>
        <row r="8996">
          <cell r="A8996" t="str">
            <v>YZ-ZQ17845-K0-XL</v>
          </cell>
          <cell r="B8996" t="str">
            <v>YZ-ZQ17845</v>
          </cell>
        </row>
        <row r="8997">
          <cell r="A8997" t="str">
            <v>YZ-ZQ17958P0-2XL</v>
          </cell>
          <cell r="B8997" t="str">
            <v>YZ-ZQ17958</v>
          </cell>
        </row>
        <row r="8998">
          <cell r="A8998" t="str">
            <v>YZ-ZQ17958P0-3XL</v>
          </cell>
          <cell r="B8998" t="str">
            <v>YZ-ZQ17958</v>
          </cell>
        </row>
        <row r="8999">
          <cell r="A8999" t="str">
            <v>YZ-ZQ17958P0-4XL</v>
          </cell>
          <cell r="B8999" t="str">
            <v>YZ-ZQ17958</v>
          </cell>
        </row>
        <row r="9000">
          <cell r="A9000" t="str">
            <v>YZ-ZQ17958P0-5XL</v>
          </cell>
          <cell r="B9000" t="str">
            <v>YZ-ZQ17958</v>
          </cell>
        </row>
        <row r="9001">
          <cell r="A9001" t="str">
            <v>YZ-ZQ17958P0-L</v>
          </cell>
          <cell r="B9001" t="str">
            <v>YZ-ZQ17958</v>
          </cell>
        </row>
        <row r="9002">
          <cell r="A9002" t="str">
            <v>YZ-ZQ17958P0-M</v>
          </cell>
          <cell r="B9002" t="str">
            <v>YZ-ZQ17958</v>
          </cell>
        </row>
        <row r="9003">
          <cell r="A9003" t="str">
            <v>YZ-ZQ17958P0-S</v>
          </cell>
          <cell r="B9003" t="str">
            <v>YZ-ZQ17958</v>
          </cell>
        </row>
        <row r="9004">
          <cell r="A9004" t="str">
            <v>YZ-ZQ17958P0-XL</v>
          </cell>
          <cell r="B9004" t="str">
            <v>YZ-ZQ17958</v>
          </cell>
        </row>
        <row r="9005">
          <cell r="A9005" t="str">
            <v>YZ-ZQ17984-R0-2X</v>
          </cell>
          <cell r="B9005" t="str">
            <v>YZ-ZQ17984</v>
          </cell>
        </row>
        <row r="9006">
          <cell r="A9006" t="str">
            <v>YZ-ZQ17984-R0-3X</v>
          </cell>
          <cell r="B9006" t="str">
            <v>YZ-ZQ17984</v>
          </cell>
        </row>
        <row r="9007">
          <cell r="A9007" t="str">
            <v>YZ-ZQ17984-R0-4X</v>
          </cell>
          <cell r="B9007" t="str">
            <v>YZ-ZQ17984</v>
          </cell>
        </row>
        <row r="9008">
          <cell r="A9008" t="str">
            <v>YZ-ZQ17984-R0-5X</v>
          </cell>
          <cell r="B9008" t="str">
            <v>YZ-ZQ17984</v>
          </cell>
        </row>
        <row r="9009">
          <cell r="A9009" t="str">
            <v>YZ-ZQ17984-R0-L</v>
          </cell>
          <cell r="B9009" t="str">
            <v>YZ-ZQ17984</v>
          </cell>
        </row>
        <row r="9010">
          <cell r="A9010" t="str">
            <v>YZ-ZQ17984-R0-XL</v>
          </cell>
          <cell r="B9010" t="str">
            <v>YZ-ZQ17984</v>
          </cell>
        </row>
        <row r="9011">
          <cell r="A9011" t="str">
            <v>YZ-ZQ17985-P0-2X</v>
          </cell>
          <cell r="B9011" t="str">
            <v>YZ-ZQ17985</v>
          </cell>
        </row>
        <row r="9012">
          <cell r="A9012" t="str">
            <v>YZ-ZQ17985-P0-3X</v>
          </cell>
          <cell r="B9012" t="str">
            <v>YZ-ZQ17985</v>
          </cell>
        </row>
        <row r="9013">
          <cell r="A9013" t="str">
            <v>YZ-ZQ17985-P0-4X</v>
          </cell>
          <cell r="B9013" t="str">
            <v>YZ-ZQ17985</v>
          </cell>
        </row>
        <row r="9014">
          <cell r="A9014" t="str">
            <v>YZ-ZQ17985-P0-5X</v>
          </cell>
          <cell r="B9014" t="str">
            <v>YZ-ZQ17985</v>
          </cell>
        </row>
        <row r="9015">
          <cell r="A9015" t="str">
            <v>YZ-ZQ17985-P0-L</v>
          </cell>
          <cell r="B9015" t="str">
            <v>YZ-ZQ17985</v>
          </cell>
        </row>
        <row r="9016">
          <cell r="A9016" t="str">
            <v>YZ-ZQ17985-P0-M</v>
          </cell>
          <cell r="B9016" t="str">
            <v>YZ-ZQ17985</v>
          </cell>
        </row>
        <row r="9017">
          <cell r="A9017" t="str">
            <v>YZ-ZQ17985-P0-S</v>
          </cell>
          <cell r="B9017" t="str">
            <v>YZ-ZQ17985</v>
          </cell>
        </row>
        <row r="9018">
          <cell r="A9018" t="str">
            <v>YZ-ZQ17985-P0-XL</v>
          </cell>
          <cell r="B9018" t="str">
            <v>YZ-ZQ17985</v>
          </cell>
        </row>
        <row r="9019">
          <cell r="A9019" t="str">
            <v>YZ-ZQ17986W0-2XL</v>
          </cell>
          <cell r="B9019" t="str">
            <v>YZ-ZQ17986</v>
          </cell>
        </row>
        <row r="9020">
          <cell r="A9020" t="str">
            <v>YZ-ZQ17986W0-3XL</v>
          </cell>
          <cell r="B9020" t="str">
            <v>YZ-ZQ17986</v>
          </cell>
        </row>
        <row r="9021">
          <cell r="A9021" t="str">
            <v>YZ-ZQ17986W0-4XL</v>
          </cell>
          <cell r="B9021" t="str">
            <v>YZ-ZQ17986</v>
          </cell>
        </row>
        <row r="9022">
          <cell r="A9022" t="str">
            <v>YZ-ZQ17986W0-5XL</v>
          </cell>
          <cell r="B9022" t="str">
            <v>YZ-ZQ17986</v>
          </cell>
        </row>
        <row r="9023">
          <cell r="A9023" t="str">
            <v>YZ-ZQ17986W0-L</v>
          </cell>
          <cell r="B9023" t="str">
            <v>YZ-ZQ17986</v>
          </cell>
        </row>
        <row r="9024">
          <cell r="A9024" t="str">
            <v>YZ-ZQ17986W0-M</v>
          </cell>
          <cell r="B9024" t="str">
            <v>YZ-ZQ17986</v>
          </cell>
        </row>
        <row r="9025">
          <cell r="A9025" t="str">
            <v>YZ-ZQ17986W0-S</v>
          </cell>
          <cell r="B9025" t="str">
            <v>YZ-ZQ17986</v>
          </cell>
        </row>
        <row r="9026">
          <cell r="A9026" t="str">
            <v>YZ-ZQ17986W0-XL</v>
          </cell>
          <cell r="B9026" t="str">
            <v>YZ-ZQ17986</v>
          </cell>
        </row>
        <row r="9027">
          <cell r="A9027" t="str">
            <v>YZ-ZQ1803-K0-L</v>
          </cell>
          <cell r="B9027" t="str">
            <v>YZ-ZQ1803</v>
          </cell>
        </row>
        <row r="9028">
          <cell r="A9028" t="str">
            <v>YZ-ZQ1803-K0-M</v>
          </cell>
          <cell r="B9028" t="str">
            <v>YZ-ZQ1803</v>
          </cell>
        </row>
        <row r="9029">
          <cell r="A9029" t="str">
            <v>YZ-ZQ1803-K0-XL</v>
          </cell>
          <cell r="B9029" t="str">
            <v>YZ-ZQ1803</v>
          </cell>
        </row>
        <row r="9030">
          <cell r="A9030" t="str">
            <v>YZ-ZQ-18745K0-2X</v>
          </cell>
          <cell r="B9030" t="str">
            <v>YZ-ZQ-18745</v>
          </cell>
        </row>
        <row r="9031">
          <cell r="A9031" t="str">
            <v>YZ-ZQ18745-K0-3X</v>
          </cell>
          <cell r="B9031" t="str">
            <v>YZ-ZQ-18745</v>
          </cell>
        </row>
        <row r="9032">
          <cell r="A9032" t="str">
            <v>YZ-ZQ-18745K0-3X</v>
          </cell>
          <cell r="B9032" t="str">
            <v>YZ-ZQ-18745</v>
          </cell>
        </row>
        <row r="9033">
          <cell r="A9033" t="str">
            <v>YZ-ZQ-18745K0-L</v>
          </cell>
          <cell r="B9033" t="str">
            <v>YZ-ZQ-18745</v>
          </cell>
        </row>
        <row r="9034">
          <cell r="A9034" t="str">
            <v>YZ-ZQ18745-K0-M</v>
          </cell>
          <cell r="B9034" t="str">
            <v>YZ-ZQ-18745</v>
          </cell>
        </row>
        <row r="9035">
          <cell r="A9035" t="str">
            <v>YZ-ZQ-18745K0-M</v>
          </cell>
          <cell r="B9035" t="str">
            <v>YZ-ZQ-18745</v>
          </cell>
        </row>
        <row r="9036">
          <cell r="A9036" t="str">
            <v>YZ-ZQ18745-K0-S</v>
          </cell>
          <cell r="B9036" t="str">
            <v>YZ-ZQ-18745</v>
          </cell>
        </row>
        <row r="9037">
          <cell r="A9037" t="str">
            <v>YZ-ZQ-18745K0-S</v>
          </cell>
          <cell r="B9037" t="str">
            <v>YZ-ZQ-18745</v>
          </cell>
        </row>
        <row r="9038">
          <cell r="A9038" t="str">
            <v>YZ-ZQ18745-K0-XL</v>
          </cell>
          <cell r="B9038" t="str">
            <v>YZ-ZQ-18745</v>
          </cell>
        </row>
        <row r="9039">
          <cell r="A9039" t="str">
            <v>YZ-ZQ-18745K0-XL</v>
          </cell>
          <cell r="B9039" t="str">
            <v>YZ-ZQ-18745</v>
          </cell>
        </row>
        <row r="9040">
          <cell r="A9040" t="str">
            <v>YZ-ZQ18758-K0-2X</v>
          </cell>
          <cell r="B9040" t="str">
            <v>YZ-ZQ18758</v>
          </cell>
        </row>
        <row r="9041">
          <cell r="A9041" t="str">
            <v>YZ-ZQ18758-K0-3X</v>
          </cell>
          <cell r="B9041" t="str">
            <v>YZ-ZQ18758</v>
          </cell>
        </row>
        <row r="9042">
          <cell r="A9042" t="str">
            <v>YZ-ZQ18758-K0-4X</v>
          </cell>
          <cell r="B9042" t="str">
            <v>YZ-ZQ18758</v>
          </cell>
        </row>
        <row r="9043">
          <cell r="A9043" t="str">
            <v>YZ-ZQ18758-K0-5X</v>
          </cell>
          <cell r="B9043" t="str">
            <v>YZ-ZQ18758</v>
          </cell>
        </row>
        <row r="9044">
          <cell r="A9044" t="str">
            <v>YZ-ZQ18758-K0-L</v>
          </cell>
          <cell r="B9044" t="str">
            <v>YZ-ZQ18758</v>
          </cell>
        </row>
        <row r="9045">
          <cell r="A9045" t="str">
            <v>YZ-ZQ18758-K0-M</v>
          </cell>
          <cell r="B9045" t="str">
            <v>YZ-ZQ18758</v>
          </cell>
        </row>
        <row r="9046">
          <cell r="A9046" t="str">
            <v>YZ-ZQ18758-K0-S</v>
          </cell>
          <cell r="B9046" t="str">
            <v>YZ-ZQ18758</v>
          </cell>
        </row>
        <row r="9047">
          <cell r="A9047" t="str">
            <v>YZ-ZQ18758-K0-XL</v>
          </cell>
          <cell r="B9047" t="str">
            <v>YZ-ZQ18758</v>
          </cell>
        </row>
        <row r="9048">
          <cell r="A9048" t="str">
            <v>YZ-ZQ19758-K0-2XL</v>
          </cell>
          <cell r="B9048" t="str">
            <v>YZ-ZQ19758</v>
          </cell>
        </row>
        <row r="9049">
          <cell r="A9049" t="str">
            <v>YZ-ZQ19758-K0-3XL</v>
          </cell>
          <cell r="B9049" t="str">
            <v>YZ-ZQ19758</v>
          </cell>
        </row>
        <row r="9050">
          <cell r="A9050" t="str">
            <v>YZ-ZQ19758-K0-4XL</v>
          </cell>
          <cell r="B9050" t="str">
            <v>YZ-ZQ19758</v>
          </cell>
        </row>
        <row r="9051">
          <cell r="A9051" t="str">
            <v>YZ-ZQ19758-K0-5XL</v>
          </cell>
          <cell r="B9051" t="str">
            <v>YZ-ZQ19758</v>
          </cell>
        </row>
        <row r="9052">
          <cell r="A9052" t="str">
            <v>YZ-ZQ19758-K0-L</v>
          </cell>
          <cell r="B9052" t="str">
            <v>YZ-ZQ19758</v>
          </cell>
        </row>
        <row r="9053">
          <cell r="A9053" t="str">
            <v>YZ-ZQ19758-K0-M</v>
          </cell>
          <cell r="B9053" t="str">
            <v>YZ-ZQ19758</v>
          </cell>
        </row>
        <row r="9054">
          <cell r="A9054" t="str">
            <v>YZ-ZQ19758-K0-S</v>
          </cell>
          <cell r="B9054" t="str">
            <v>YZ-ZQ19758</v>
          </cell>
        </row>
        <row r="9055">
          <cell r="A9055" t="str">
            <v>YZ-ZQ19758-K0-XL</v>
          </cell>
          <cell r="B9055" t="str">
            <v>YZ-ZQ19758</v>
          </cell>
        </row>
        <row r="9056">
          <cell r="A9056" t="str">
            <v>YZ-ZQ298N02XL</v>
          </cell>
          <cell r="B9056" t="str">
            <v>YZ-ZQ298</v>
          </cell>
        </row>
        <row r="9057">
          <cell r="A9057" t="str">
            <v>YZ-ZQ298-N0-2XL</v>
          </cell>
          <cell r="B9057" t="str">
            <v>YZ-ZQ298</v>
          </cell>
        </row>
        <row r="9058">
          <cell r="A9058" t="str">
            <v>YZ-ZQ298N03XL</v>
          </cell>
          <cell r="B9058" t="str">
            <v>YZ-ZQ298</v>
          </cell>
        </row>
        <row r="9059">
          <cell r="A9059" t="str">
            <v>YZ-ZQ298N04XL</v>
          </cell>
          <cell r="B9059" t="str">
            <v>YZ-ZQ298</v>
          </cell>
        </row>
        <row r="9060">
          <cell r="A9060" t="str">
            <v>YZ-ZQ298N05XL</v>
          </cell>
          <cell r="B9060" t="str">
            <v>YZ-ZQ298</v>
          </cell>
        </row>
        <row r="9061">
          <cell r="A9061" t="str">
            <v>YZ-ZQ298N0XL</v>
          </cell>
          <cell r="B9061" t="str">
            <v>YZ-ZQ298</v>
          </cell>
        </row>
        <row r="9062">
          <cell r="A9062" t="str">
            <v>YZ-ZQ388-K0-L</v>
          </cell>
          <cell r="B9062" t="str">
            <v>YZ-ZQ388</v>
          </cell>
        </row>
        <row r="9063">
          <cell r="A9063" t="str">
            <v>YZ-ZQ45984K02XL</v>
          </cell>
          <cell r="B9063" t="str">
            <v>YZ-ZQ45984</v>
          </cell>
        </row>
        <row r="9064">
          <cell r="A9064" t="str">
            <v>YZ-ZQ45984K03XL</v>
          </cell>
          <cell r="B9064" t="str">
            <v>YZ-ZQ45984</v>
          </cell>
        </row>
        <row r="9065">
          <cell r="A9065" t="str">
            <v>YZ-ZQ45984K04XL</v>
          </cell>
          <cell r="B9065" t="str">
            <v>YZ-ZQ45984</v>
          </cell>
        </row>
        <row r="9066">
          <cell r="A9066" t="str">
            <v>YZ-ZQ45984K05XL</v>
          </cell>
          <cell r="B9066" t="str">
            <v>YZ-ZQ45984</v>
          </cell>
        </row>
        <row r="9067">
          <cell r="A9067" t="str">
            <v>YZ-ZQ45984K0L</v>
          </cell>
          <cell r="B9067" t="str">
            <v>YZ-ZQ45984</v>
          </cell>
        </row>
        <row r="9068">
          <cell r="A9068" t="str">
            <v>YZ-ZQ45984K0M</v>
          </cell>
          <cell r="B9068" t="str">
            <v>YZ-ZQ45984</v>
          </cell>
        </row>
        <row r="9069">
          <cell r="A9069" t="str">
            <v>YZ-ZQ45984K0XL</v>
          </cell>
          <cell r="B9069" t="str">
            <v>YZ-ZQ45984</v>
          </cell>
        </row>
        <row r="9070">
          <cell r="A9070" t="str">
            <v>YZ-ZQ47121-K0-L</v>
          </cell>
          <cell r="B9070" t="str">
            <v>YZ-ZQ47121</v>
          </cell>
        </row>
        <row r="9071">
          <cell r="A9071" t="str">
            <v>YZ-ZQ47121-K0-M</v>
          </cell>
          <cell r="B9071" t="str">
            <v>YZ-ZQ47121</v>
          </cell>
        </row>
        <row r="9072">
          <cell r="A9072" t="str">
            <v>YZ-ZQ47121-K0-S</v>
          </cell>
          <cell r="B9072" t="str">
            <v>YZ-ZQ47121</v>
          </cell>
        </row>
        <row r="9073">
          <cell r="A9073" t="str">
            <v>YZ-ZQ511K02XL</v>
          </cell>
          <cell r="B9073" t="str">
            <v>YZ-ZQ511</v>
          </cell>
        </row>
        <row r="9074">
          <cell r="A9074" t="str">
            <v>YZ-ZQ511K03XL</v>
          </cell>
          <cell r="B9074" t="str">
            <v>YZ-ZQ511</v>
          </cell>
        </row>
        <row r="9075">
          <cell r="A9075" t="str">
            <v>YZ-ZQ511K04XL</v>
          </cell>
          <cell r="B9075" t="str">
            <v>YZ-ZQ511</v>
          </cell>
        </row>
        <row r="9076">
          <cell r="A9076" t="str">
            <v>YZ-ZQ511K05XL</v>
          </cell>
          <cell r="B9076" t="str">
            <v>YZ-ZQ511</v>
          </cell>
        </row>
        <row r="9077">
          <cell r="A9077" t="str">
            <v>YZ-ZQ511K06XL</v>
          </cell>
          <cell r="B9077" t="str">
            <v>YZ-ZQ511</v>
          </cell>
        </row>
        <row r="9078">
          <cell r="A9078" t="str">
            <v>YZ-ZQ511K0L</v>
          </cell>
          <cell r="B9078" t="str">
            <v>YZ-ZQ511</v>
          </cell>
        </row>
        <row r="9079">
          <cell r="A9079" t="str">
            <v>YZ-ZQ511K0XL</v>
          </cell>
          <cell r="B9079" t="str">
            <v>YZ-ZQ511</v>
          </cell>
        </row>
        <row r="9080">
          <cell r="A9080" t="str">
            <v>YZ-ZQ511R22XL</v>
          </cell>
          <cell r="B9080" t="str">
            <v>YZ-ZQ511</v>
          </cell>
        </row>
        <row r="9081">
          <cell r="A9081" t="str">
            <v>YZ-ZQ511R23XL</v>
          </cell>
          <cell r="B9081" t="str">
            <v>YZ-ZQ511</v>
          </cell>
        </row>
        <row r="9082">
          <cell r="A9082" t="str">
            <v>YZ-ZQ511R24XL</v>
          </cell>
          <cell r="B9082" t="str">
            <v>YZ-ZQ511</v>
          </cell>
        </row>
        <row r="9083">
          <cell r="A9083" t="str">
            <v>YZ-ZQ511R25XL</v>
          </cell>
          <cell r="B9083" t="str">
            <v>YZ-ZQ511</v>
          </cell>
        </row>
        <row r="9084">
          <cell r="A9084" t="str">
            <v>YZ-ZQ511R2L</v>
          </cell>
          <cell r="B9084" t="str">
            <v>YZ-ZQ511</v>
          </cell>
        </row>
        <row r="9085">
          <cell r="A9085" t="str">
            <v>YZ-ZQ511R2XL</v>
          </cell>
          <cell r="B9085" t="str">
            <v>YZ-ZQ511</v>
          </cell>
        </row>
        <row r="9086">
          <cell r="A9086" t="str">
            <v>YZ-ZQ511Z22XL</v>
          </cell>
          <cell r="B9086" t="str">
            <v>YZ-ZQ511</v>
          </cell>
        </row>
        <row r="9087">
          <cell r="A9087" t="str">
            <v>YZ-ZQ511Z23XL</v>
          </cell>
          <cell r="B9087" t="str">
            <v>YZ-ZQ511</v>
          </cell>
        </row>
        <row r="9088">
          <cell r="A9088" t="str">
            <v>YZ-ZQ511Z2L</v>
          </cell>
          <cell r="B9088" t="str">
            <v>YZ-ZQ511</v>
          </cell>
        </row>
        <row r="9089">
          <cell r="A9089" t="str">
            <v>YZ-ZQ511Z2XL</v>
          </cell>
          <cell r="B9089" t="str">
            <v>YZ-ZQ511</v>
          </cell>
        </row>
        <row r="9090">
          <cell r="A9090" t="str">
            <v>YZ-ZQ565-R0-L</v>
          </cell>
          <cell r="B9090" t="str">
            <v>YZ-ZQ565</v>
          </cell>
        </row>
        <row r="9091">
          <cell r="A9091" t="str">
            <v>YZ-ZQ565-R0-M</v>
          </cell>
          <cell r="B9091" t="str">
            <v>YZ-ZQ565</v>
          </cell>
        </row>
        <row r="9092">
          <cell r="A9092" t="str">
            <v>YZ-ZQ565-R0-S</v>
          </cell>
          <cell r="B9092" t="str">
            <v>YZ-ZQ565</v>
          </cell>
        </row>
        <row r="9093">
          <cell r="A9093" t="str">
            <v>YZ-ZQ565-R0-XL</v>
          </cell>
          <cell r="B9093" t="str">
            <v>YZ-ZQ565</v>
          </cell>
        </row>
        <row r="9094">
          <cell r="A9094" t="str">
            <v>YZ-ZQ5839B03XL</v>
          </cell>
          <cell r="B9094" t="str">
            <v>YZ-ZQ5839</v>
          </cell>
        </row>
        <row r="9095">
          <cell r="A9095" t="str">
            <v>YZ-ZQ5839B05XL</v>
          </cell>
          <cell r="B9095" t="str">
            <v>YZ-ZQ5839</v>
          </cell>
        </row>
        <row r="9096">
          <cell r="A9096" t="str">
            <v>YZ-ZQ5839R24XL</v>
          </cell>
          <cell r="B9096" t="str">
            <v>YZ-ZQ5839</v>
          </cell>
        </row>
        <row r="9097">
          <cell r="A9097" t="str">
            <v>YZ-ZQ5839R25XL</v>
          </cell>
          <cell r="B9097" t="str">
            <v>YZ-ZQ5839</v>
          </cell>
        </row>
        <row r="9098">
          <cell r="A9098" t="str">
            <v>YZ-ZQ5999-Y0-2X</v>
          </cell>
          <cell r="B9098" t="str">
            <v>YZ-ZQ5999</v>
          </cell>
        </row>
        <row r="9099">
          <cell r="A9099" t="str">
            <v>YZ-ZQ5999-Y0-L</v>
          </cell>
          <cell r="B9099" t="str">
            <v>YZ-ZQ5999</v>
          </cell>
        </row>
        <row r="9100">
          <cell r="A9100" t="str">
            <v>YZ-ZQ5999-Y0-M</v>
          </cell>
          <cell r="B9100" t="str">
            <v>YZ-ZQ5999</v>
          </cell>
        </row>
        <row r="9101">
          <cell r="A9101" t="str">
            <v>YZ-ZQ5999-Y0-XL</v>
          </cell>
          <cell r="B9101" t="str">
            <v>YZ-ZQ5999</v>
          </cell>
        </row>
        <row r="9102">
          <cell r="A9102" t="str">
            <v>YZ-ZQ6189B046</v>
          </cell>
          <cell r="B9102" t="str">
            <v>YZ-ZQ6189</v>
          </cell>
        </row>
        <row r="9103">
          <cell r="A9103" t="str">
            <v>YZ-ZQ6189B048</v>
          </cell>
          <cell r="B9103" t="str">
            <v>YZ-ZQ6189</v>
          </cell>
        </row>
        <row r="9104">
          <cell r="A9104" t="str">
            <v>YZ-ZQ6189B050</v>
          </cell>
          <cell r="B9104" t="str">
            <v>YZ-ZQ6189</v>
          </cell>
        </row>
        <row r="9105">
          <cell r="A9105" t="str">
            <v>YZ-ZQ6189B052</v>
          </cell>
          <cell r="B9105" t="str">
            <v>YZ-ZQ6189</v>
          </cell>
        </row>
        <row r="9106">
          <cell r="A9106" t="str">
            <v>YZ-ZQ6189B054</v>
          </cell>
          <cell r="B9106" t="str">
            <v>YZ-ZQ6189</v>
          </cell>
        </row>
        <row r="9107">
          <cell r="A9107" t="str">
            <v>YZ-ZQ6189G046</v>
          </cell>
          <cell r="B9107" t="str">
            <v>YZ-ZQ6189</v>
          </cell>
        </row>
        <row r="9108">
          <cell r="A9108" t="str">
            <v>YZ-ZQ6189G048</v>
          </cell>
          <cell r="B9108" t="str">
            <v>YZ-ZQ6189</v>
          </cell>
        </row>
        <row r="9109">
          <cell r="A9109" t="str">
            <v>YZ-ZQ6189G050</v>
          </cell>
          <cell r="B9109" t="str">
            <v>YZ-ZQ6189</v>
          </cell>
        </row>
        <row r="9110">
          <cell r="A9110" t="str">
            <v>YZ-ZQ6189G052</v>
          </cell>
          <cell r="B9110" t="str">
            <v>YZ-ZQ6189</v>
          </cell>
        </row>
        <row r="9111">
          <cell r="A9111" t="str">
            <v>YZ-ZQ6189P048</v>
          </cell>
          <cell r="B9111" t="str">
            <v>YZ-ZQ6189</v>
          </cell>
        </row>
        <row r="9112">
          <cell r="A9112" t="str">
            <v>YZ-ZQ6189P050</v>
          </cell>
          <cell r="B9112" t="str">
            <v>YZ-ZQ6189</v>
          </cell>
        </row>
        <row r="9113">
          <cell r="A9113" t="str">
            <v>YZ-ZQ6189P052</v>
          </cell>
          <cell r="B9113" t="str">
            <v>YZ-ZQ6189</v>
          </cell>
        </row>
        <row r="9114">
          <cell r="A9114" t="str">
            <v>YZ-ZQ6189P054</v>
          </cell>
          <cell r="B9114" t="str">
            <v>YZ-ZQ6189</v>
          </cell>
        </row>
        <row r="9115">
          <cell r="A9115" t="str">
            <v>YZ-ZQ6189Y046</v>
          </cell>
          <cell r="B9115" t="str">
            <v>YZ-ZQ6189</v>
          </cell>
        </row>
        <row r="9116">
          <cell r="A9116" t="str">
            <v>YZ-ZQ6189Y048</v>
          </cell>
          <cell r="B9116" t="str">
            <v>YZ-ZQ6189</v>
          </cell>
        </row>
        <row r="9117">
          <cell r="A9117" t="str">
            <v>YZ-ZQ6189Y050</v>
          </cell>
          <cell r="B9117" t="str">
            <v>YZ-ZQ6189</v>
          </cell>
        </row>
        <row r="9118">
          <cell r="A9118" t="str">
            <v>YZ-ZQ6189Y052</v>
          </cell>
          <cell r="B9118" t="str">
            <v>YZ-ZQ6189</v>
          </cell>
        </row>
        <row r="9119">
          <cell r="A9119" t="str">
            <v>YZ-ZQ6189Y054</v>
          </cell>
          <cell r="B9119" t="str">
            <v>YZ-ZQ6189</v>
          </cell>
        </row>
        <row r="9120">
          <cell r="A9120" t="str">
            <v>YZ-ZQ6258B048</v>
          </cell>
          <cell r="B9120" t="str">
            <v>YZ-ZQ6258</v>
          </cell>
        </row>
        <row r="9121">
          <cell r="A9121" t="str">
            <v>YZ-ZQ6258B050</v>
          </cell>
          <cell r="B9121" t="str">
            <v>YZ-ZQ6258</v>
          </cell>
        </row>
        <row r="9122">
          <cell r="A9122" t="str">
            <v>YZ-ZQ6258B052</v>
          </cell>
          <cell r="B9122" t="str">
            <v>YZ-ZQ6258</v>
          </cell>
        </row>
        <row r="9123">
          <cell r="A9123" t="str">
            <v>YZ-ZQ6258K048</v>
          </cell>
          <cell r="B9123" t="str">
            <v>YZ-ZQ6258</v>
          </cell>
        </row>
        <row r="9124">
          <cell r="A9124" t="str">
            <v>YZ-ZQ6258K050</v>
          </cell>
          <cell r="B9124" t="str">
            <v>YZ-ZQ6258</v>
          </cell>
        </row>
        <row r="9125">
          <cell r="A9125" t="str">
            <v>YZ-ZQ6258K052</v>
          </cell>
          <cell r="B9125" t="str">
            <v>YZ-ZQ6258</v>
          </cell>
        </row>
        <row r="9126">
          <cell r="A9126" t="str">
            <v>YZ-ZQ6258R052</v>
          </cell>
          <cell r="B9126" t="str">
            <v>YZ-ZQ6258</v>
          </cell>
        </row>
        <row r="9127">
          <cell r="A9127" t="str">
            <v>YZ-ZQ6258T048</v>
          </cell>
          <cell r="B9127" t="str">
            <v>YZ-ZQ6258</v>
          </cell>
        </row>
        <row r="9128">
          <cell r="A9128" t="str">
            <v>YZ-ZQ6258T050</v>
          </cell>
          <cell r="B9128" t="str">
            <v>YZ-ZQ6258</v>
          </cell>
        </row>
        <row r="9129">
          <cell r="A9129" t="str">
            <v>YZ-ZQ6258T452</v>
          </cell>
          <cell r="B9129" t="str">
            <v>YZ-ZQ6258</v>
          </cell>
        </row>
        <row r="9130">
          <cell r="A9130" t="str">
            <v>YZ-ZQ6667G044</v>
          </cell>
          <cell r="B9130" t="str">
            <v>YZ-ZQ6667</v>
          </cell>
        </row>
        <row r="9131">
          <cell r="A9131" t="str">
            <v>YZ-ZQ6667G046</v>
          </cell>
          <cell r="B9131" t="str">
            <v>YZ-ZQ6667</v>
          </cell>
        </row>
        <row r="9132">
          <cell r="A9132" t="str">
            <v>YZ-ZQ6667G048</v>
          </cell>
          <cell r="B9132" t="str">
            <v>YZ-ZQ6667</v>
          </cell>
        </row>
        <row r="9133">
          <cell r="A9133" t="str">
            <v>YZ-ZQ6667G050</v>
          </cell>
          <cell r="B9133" t="str">
            <v>YZ-ZQ6667</v>
          </cell>
        </row>
        <row r="9134">
          <cell r="A9134" t="str">
            <v>YZ-ZQ6667G052</v>
          </cell>
          <cell r="B9134" t="str">
            <v>YZ-ZQ6667</v>
          </cell>
        </row>
        <row r="9135">
          <cell r="A9135" t="str">
            <v>YZ-ZQ6667G054</v>
          </cell>
          <cell r="B9135" t="str">
            <v>YZ-ZQ6667</v>
          </cell>
        </row>
        <row r="9136">
          <cell r="A9136" t="str">
            <v>YZ-ZQ6667R044</v>
          </cell>
          <cell r="B9136" t="str">
            <v>YZ-ZQ6667</v>
          </cell>
        </row>
        <row r="9137">
          <cell r="A9137" t="str">
            <v>YZ-ZQ6667R046</v>
          </cell>
          <cell r="B9137" t="str">
            <v>YZ-ZQ6667</v>
          </cell>
        </row>
        <row r="9138">
          <cell r="A9138" t="str">
            <v>YZ-ZQ6667R048</v>
          </cell>
          <cell r="B9138" t="str">
            <v>YZ-ZQ6667</v>
          </cell>
        </row>
        <row r="9139">
          <cell r="A9139" t="str">
            <v>YZ-ZQ6667R050</v>
          </cell>
          <cell r="B9139" t="str">
            <v>YZ-ZQ6667</v>
          </cell>
        </row>
        <row r="9140">
          <cell r="A9140" t="str">
            <v>YZ-ZQ6667R052</v>
          </cell>
          <cell r="B9140" t="str">
            <v>YZ-ZQ6667</v>
          </cell>
        </row>
        <row r="9141">
          <cell r="A9141" t="str">
            <v>YZ-ZQ6667R054</v>
          </cell>
          <cell r="B9141" t="str">
            <v>YZ-ZQ6667</v>
          </cell>
        </row>
        <row r="9142">
          <cell r="A9142" t="str">
            <v>YZ-ZQ6667ZL44</v>
          </cell>
          <cell r="B9142" t="str">
            <v>YZ-ZQ6667</v>
          </cell>
        </row>
        <row r="9143">
          <cell r="A9143" t="str">
            <v>YZ-ZQ6667ZL46</v>
          </cell>
          <cell r="B9143" t="str">
            <v>YZ-ZQ6667</v>
          </cell>
        </row>
        <row r="9144">
          <cell r="A9144" t="str">
            <v>YZ-ZQ6667ZL48</v>
          </cell>
          <cell r="B9144" t="str">
            <v>YZ-ZQ6667</v>
          </cell>
        </row>
        <row r="9145">
          <cell r="A9145" t="str">
            <v>YZ-ZQ6667ZL50</v>
          </cell>
          <cell r="B9145" t="str">
            <v>YZ-ZQ6667</v>
          </cell>
        </row>
        <row r="9146">
          <cell r="A9146" t="str">
            <v>YZ-ZQ6667ZL52</v>
          </cell>
          <cell r="B9146" t="str">
            <v>YZ-ZQ6667</v>
          </cell>
        </row>
        <row r="9147">
          <cell r="A9147" t="str">
            <v>YZ-ZQ6667ZL54</v>
          </cell>
          <cell r="B9147" t="str">
            <v>YZ-ZQ6667</v>
          </cell>
        </row>
        <row r="9148">
          <cell r="A9148" t="str">
            <v>YZ-ZQ6922-B0-L</v>
          </cell>
          <cell r="B9148" t="str">
            <v>YZ-ZQ6922</v>
          </cell>
        </row>
        <row r="9149">
          <cell r="A9149" t="str">
            <v>YZ-ZQ6922-B0-M</v>
          </cell>
          <cell r="B9149" t="str">
            <v>YZ-ZQ6922</v>
          </cell>
        </row>
        <row r="9150">
          <cell r="A9150" t="str">
            <v>YZ-ZQ6922-B0-S</v>
          </cell>
          <cell r="B9150" t="str">
            <v>YZ-ZQ6922</v>
          </cell>
        </row>
        <row r="9151">
          <cell r="A9151" t="str">
            <v>YZ-ZQ6922-B0-XL</v>
          </cell>
          <cell r="B9151" t="str">
            <v>YZ-ZQ6922</v>
          </cell>
        </row>
        <row r="9152">
          <cell r="A9152" t="str">
            <v>YZ-ZQ7777B014</v>
          </cell>
          <cell r="B9152" t="str">
            <v>YZ-ZQ7777</v>
          </cell>
        </row>
        <row r="9153">
          <cell r="A9153" t="str">
            <v>YZ-ZQ7777B016</v>
          </cell>
          <cell r="B9153" t="str">
            <v>YZ-ZQ7777</v>
          </cell>
        </row>
        <row r="9154">
          <cell r="A9154" t="str">
            <v>YZ-ZQ7777B018</v>
          </cell>
          <cell r="B9154" t="str">
            <v>YZ-ZQ7777</v>
          </cell>
        </row>
        <row r="9155">
          <cell r="A9155" t="str">
            <v>YZ-ZQ7777B020</v>
          </cell>
          <cell r="B9155" t="str">
            <v>YZ-ZQ7777</v>
          </cell>
        </row>
        <row r="9156">
          <cell r="A9156" t="str">
            <v>YZ-ZQ7777R012</v>
          </cell>
          <cell r="B9156" t="str">
            <v>YZ-ZQ7777</v>
          </cell>
        </row>
        <row r="9157">
          <cell r="A9157" t="str">
            <v>YZ-ZQ7777R014</v>
          </cell>
          <cell r="B9157" t="str">
            <v>YZ-ZQ7777</v>
          </cell>
        </row>
        <row r="9158">
          <cell r="A9158" t="str">
            <v>YZ-ZQ7777R016</v>
          </cell>
          <cell r="B9158" t="str">
            <v>YZ-ZQ7777</v>
          </cell>
        </row>
        <row r="9159">
          <cell r="A9159" t="str">
            <v>YZ-ZQ7777R018</v>
          </cell>
          <cell r="B9159" t="str">
            <v>YZ-ZQ7777</v>
          </cell>
        </row>
        <row r="9160">
          <cell r="A9160" t="str">
            <v>YZ-ZQ7777R020</v>
          </cell>
          <cell r="B9160" t="str">
            <v>YZ-ZQ7777</v>
          </cell>
        </row>
        <row r="9161">
          <cell r="A9161" t="str">
            <v>YZ-ZQ789K02XL</v>
          </cell>
          <cell r="B9161" t="str">
            <v>YZ-ZQ789</v>
          </cell>
        </row>
        <row r="9162">
          <cell r="A9162" t="str">
            <v>YZ-ZQ789K03XL</v>
          </cell>
          <cell r="B9162" t="str">
            <v>YZ-ZQ789</v>
          </cell>
        </row>
        <row r="9163">
          <cell r="A9163" t="str">
            <v>YZ-ZQ789K04XL</v>
          </cell>
          <cell r="B9163" t="str">
            <v>YZ-ZQ789</v>
          </cell>
        </row>
        <row r="9164">
          <cell r="A9164" t="str">
            <v>YZ-ZQ789K05XL</v>
          </cell>
          <cell r="B9164" t="str">
            <v>YZ-ZQ789</v>
          </cell>
        </row>
        <row r="9165">
          <cell r="A9165" t="str">
            <v>YZ-ZQ789K0L</v>
          </cell>
          <cell r="B9165" t="str">
            <v>YZ-ZQ789</v>
          </cell>
        </row>
        <row r="9166">
          <cell r="A9166" t="str">
            <v>YZ-ZQ789K0XL</v>
          </cell>
          <cell r="B9166" t="str">
            <v>YZ-ZQ789</v>
          </cell>
        </row>
        <row r="9167">
          <cell r="A9167" t="str">
            <v>YZ-ZQ8639-W0-L</v>
          </cell>
          <cell r="B9167" t="str">
            <v>YZ-ZQ8639</v>
          </cell>
        </row>
        <row r="9168">
          <cell r="A9168" t="str">
            <v>YZ-ZQ8639-W0-M</v>
          </cell>
          <cell r="B9168" t="str">
            <v>YZ-ZQ8639</v>
          </cell>
        </row>
        <row r="9169">
          <cell r="A9169" t="str">
            <v>YZ-ZQ8639-W0-S</v>
          </cell>
          <cell r="B9169" t="str">
            <v>YZ-ZQ8639</v>
          </cell>
        </row>
        <row r="9170">
          <cell r="A9170" t="str">
            <v>YZ-ZQ8699-K0-2X</v>
          </cell>
          <cell r="B9170" t="str">
            <v>YZ-ZQ8699</v>
          </cell>
        </row>
        <row r="9171">
          <cell r="A9171" t="str">
            <v>YZ-ZQ8699-K0-2X-GM</v>
          </cell>
          <cell r="B9171" t="str">
            <v>YZ-ZQ8699</v>
          </cell>
        </row>
        <row r="9172">
          <cell r="A9172" t="str">
            <v>YZ-ZQ8699-K0-3X</v>
          </cell>
          <cell r="B9172" t="str">
            <v>YZ-ZQ8699</v>
          </cell>
        </row>
        <row r="9173">
          <cell r="A9173" t="str">
            <v>YZ-ZQ8699-K0-3X-GM</v>
          </cell>
          <cell r="B9173" t="str">
            <v>YZ-ZQ8699</v>
          </cell>
        </row>
        <row r="9174">
          <cell r="A9174" t="str">
            <v>YZ-ZQ8699-K0-L</v>
          </cell>
          <cell r="B9174" t="str">
            <v>YZ-ZQ8699</v>
          </cell>
        </row>
        <row r="9175">
          <cell r="A9175" t="str">
            <v>YZ-ZQ8699-K0-L-GM</v>
          </cell>
          <cell r="B9175" t="str">
            <v>YZ-ZQ8699</v>
          </cell>
        </row>
        <row r="9176">
          <cell r="A9176" t="str">
            <v>YZ-ZQ8699-K0-XL</v>
          </cell>
          <cell r="B9176" t="str">
            <v>YZ-ZQ8699</v>
          </cell>
        </row>
        <row r="9177">
          <cell r="A9177" t="str">
            <v>YZ-ZQ8867-B0-L</v>
          </cell>
          <cell r="B9177" t="str">
            <v>YZ-ZQ8867</v>
          </cell>
        </row>
        <row r="9178">
          <cell r="A9178" t="str">
            <v>YZ-ZQ8867-B0-M</v>
          </cell>
          <cell r="B9178" t="str">
            <v>YZ-ZQ8867</v>
          </cell>
        </row>
        <row r="9179">
          <cell r="A9179" t="str">
            <v>YZ-ZQ8867-B0-S</v>
          </cell>
          <cell r="B9179" t="str">
            <v>YZ-ZQ8867</v>
          </cell>
        </row>
        <row r="9180">
          <cell r="A9180" t="str">
            <v>YZ-ZQ8867-B0-XL</v>
          </cell>
          <cell r="B9180" t="str">
            <v>YZ-ZQ8867</v>
          </cell>
        </row>
        <row r="9181">
          <cell r="A9181" t="str">
            <v>YZ-ZQA100-B0-L</v>
          </cell>
          <cell r="B9181" t="str">
            <v>YZ-ZQA100</v>
          </cell>
        </row>
        <row r="9182">
          <cell r="A9182" t="str">
            <v>YZ-ZQA100-B0-M</v>
          </cell>
          <cell r="B9182" t="str">
            <v>YZ-ZQA100</v>
          </cell>
        </row>
        <row r="9183">
          <cell r="A9183" t="str">
            <v>YZ-ZQA100-B0-S</v>
          </cell>
          <cell r="B9183" t="str">
            <v>YZ-ZQA100</v>
          </cell>
        </row>
        <row r="9184">
          <cell r="A9184" t="str">
            <v>YZ-ZQA100-B0-XL</v>
          </cell>
          <cell r="B9184" t="str">
            <v>YZ-ZQA100</v>
          </cell>
        </row>
        <row r="9185">
          <cell r="A9185" t="str">
            <v>YZ-ZQA100-G0-2XL</v>
          </cell>
          <cell r="B9185" t="str">
            <v>YZ-ZQA100</v>
          </cell>
        </row>
        <row r="9186">
          <cell r="A9186" t="str">
            <v>YZ-ZQA100-G0-L</v>
          </cell>
          <cell r="B9186" t="str">
            <v>YZ-ZQA100</v>
          </cell>
        </row>
        <row r="9187">
          <cell r="A9187" t="str">
            <v>YZ-ZQA100-G0-M</v>
          </cell>
          <cell r="B9187" t="str">
            <v>YZ-ZQA100</v>
          </cell>
        </row>
        <row r="9188">
          <cell r="A9188" t="str">
            <v>YZ-ZQA100-G0-XL</v>
          </cell>
          <cell r="B9188" t="str">
            <v>YZ-ZQA100</v>
          </cell>
        </row>
        <row r="9189">
          <cell r="A9189" t="str">
            <v>YZ-ZQA10-B0-2XL</v>
          </cell>
          <cell r="B9189" t="str">
            <v>YZ-ZQA10</v>
          </cell>
        </row>
        <row r="9190">
          <cell r="A9190" t="str">
            <v>YZ-ZQA10-B0-3XL</v>
          </cell>
          <cell r="B9190" t="str">
            <v>YZ-ZQA10</v>
          </cell>
        </row>
        <row r="9191">
          <cell r="A9191" t="str">
            <v>YZ-ZQA10-B0-L</v>
          </cell>
          <cell r="B9191" t="str">
            <v>YZ-ZQA10</v>
          </cell>
        </row>
        <row r="9192">
          <cell r="A9192" t="str">
            <v>YZ-ZQA10-B0-XL</v>
          </cell>
          <cell r="B9192" t="str">
            <v>YZ-ZQA10</v>
          </cell>
        </row>
        <row r="9193">
          <cell r="A9193" t="str">
            <v>YZ-ZQA31-K0-L</v>
          </cell>
          <cell r="B9193" t="str">
            <v>YZ-ZQA31</v>
          </cell>
        </row>
        <row r="9194">
          <cell r="A9194" t="str">
            <v>YZ-ZQA31-K0-M</v>
          </cell>
          <cell r="B9194" t="str">
            <v>YZ-ZQA31</v>
          </cell>
        </row>
        <row r="9195">
          <cell r="A9195" t="str">
            <v>YZ-ZQA31-K0-XL</v>
          </cell>
          <cell r="B9195" t="str">
            <v>YZ-ZQA31</v>
          </cell>
        </row>
        <row r="9196">
          <cell r="A9196" t="str">
            <v>YZ-ZQA31-ZL-L</v>
          </cell>
          <cell r="B9196" t="str">
            <v>YZ-ZQA31</v>
          </cell>
        </row>
        <row r="9197">
          <cell r="A9197" t="str">
            <v>YZ-ZQA31-ZL-M</v>
          </cell>
          <cell r="B9197" t="str">
            <v>YZ-ZQA31</v>
          </cell>
        </row>
        <row r="9198">
          <cell r="A9198" t="str">
            <v>YZ-ZQA31-ZL-XL</v>
          </cell>
          <cell r="B9198" t="str">
            <v>YZ-ZQA31</v>
          </cell>
        </row>
        <row r="9199">
          <cell r="A9199" t="str">
            <v>YZ-ZQadn1601-B1-L</v>
          </cell>
          <cell r="B9199" t="str">
            <v>YZ-ZQadn1601</v>
          </cell>
        </row>
        <row r="9200">
          <cell r="A9200" t="str">
            <v>YZ-ZQadn1601-B1-M</v>
          </cell>
          <cell r="B9200" t="str">
            <v>YZ-ZQadn1601</v>
          </cell>
        </row>
        <row r="9201">
          <cell r="A9201" t="str">
            <v>YZ-ZQadn1601-B1-S</v>
          </cell>
          <cell r="B9201" t="str">
            <v>YZ-ZQadn1601</v>
          </cell>
        </row>
        <row r="9202">
          <cell r="A9202" t="str">
            <v>YZ-ZQadn1601-B1-XL</v>
          </cell>
          <cell r="B9202" t="str">
            <v>YZ-ZQadn1601</v>
          </cell>
        </row>
        <row r="9203">
          <cell r="A9203" t="str">
            <v>YZ-ZQBL03-B0-2XL</v>
          </cell>
          <cell r="B9203" t="str">
            <v>YZ-ZQBL03</v>
          </cell>
        </row>
        <row r="9204">
          <cell r="A9204" t="str">
            <v>YZ-ZQBL03-B0-3XL</v>
          </cell>
          <cell r="B9204" t="str">
            <v>YZ-ZQBL03</v>
          </cell>
        </row>
        <row r="9205">
          <cell r="A9205" t="str">
            <v>YZ-ZQBL03-B0-L</v>
          </cell>
          <cell r="B9205" t="str">
            <v>YZ-ZQBL03</v>
          </cell>
        </row>
        <row r="9206">
          <cell r="A9206" t="str">
            <v>YZ-ZQBL03-B0-M</v>
          </cell>
          <cell r="B9206" t="str">
            <v>YZ-ZQBL03</v>
          </cell>
        </row>
        <row r="9207">
          <cell r="A9207" t="str">
            <v>YZ-ZQBL03-B0-S</v>
          </cell>
          <cell r="B9207" t="str">
            <v>YZ-ZQBL03</v>
          </cell>
        </row>
        <row r="9208">
          <cell r="A9208" t="str">
            <v>YZ-ZQBL03-B0-XL</v>
          </cell>
          <cell r="B9208" t="str">
            <v>YZ-ZQBL03</v>
          </cell>
        </row>
        <row r="9209">
          <cell r="A9209" t="str">
            <v>YZ-ZQBL03-K0-2X</v>
          </cell>
          <cell r="B9209" t="str">
            <v>YZ-ZQBL03</v>
          </cell>
        </row>
        <row r="9210">
          <cell r="A9210" t="str">
            <v>YZ-ZQBL03-K0-3X</v>
          </cell>
          <cell r="B9210" t="str">
            <v>YZ-ZQBL03</v>
          </cell>
        </row>
        <row r="9211">
          <cell r="A9211" t="str">
            <v>YZ-ZQBL03-K0-L</v>
          </cell>
          <cell r="B9211" t="str">
            <v>YZ-ZQBL03</v>
          </cell>
        </row>
        <row r="9212">
          <cell r="A9212" t="str">
            <v>YZ-ZQBL03-K0-M</v>
          </cell>
          <cell r="B9212" t="str">
            <v>YZ-ZQBL03</v>
          </cell>
        </row>
        <row r="9213">
          <cell r="A9213" t="str">
            <v>YZ-ZQBL03-K0-S</v>
          </cell>
          <cell r="B9213" t="str">
            <v>YZ-ZQBL03</v>
          </cell>
        </row>
        <row r="9214">
          <cell r="A9214" t="str">
            <v>YZ-ZQBL03-K0-XL</v>
          </cell>
          <cell r="B9214" t="str">
            <v>YZ-ZQBL03</v>
          </cell>
        </row>
        <row r="9215">
          <cell r="A9215" t="str">
            <v>YZ-ZQBL03-R2-2XL</v>
          </cell>
          <cell r="B9215" t="str">
            <v>YZ-ZQBL03</v>
          </cell>
        </row>
        <row r="9216">
          <cell r="A9216" t="str">
            <v>YZ-ZQBL03-R2-3XL</v>
          </cell>
          <cell r="B9216" t="str">
            <v>YZ-ZQBL03</v>
          </cell>
        </row>
        <row r="9217">
          <cell r="A9217" t="str">
            <v>YZ-ZQBL03-R2-L</v>
          </cell>
          <cell r="B9217" t="str">
            <v>YZ-ZQBL03</v>
          </cell>
        </row>
        <row r="9218">
          <cell r="A9218" t="str">
            <v>YZ-ZQBL03-R2-M</v>
          </cell>
          <cell r="B9218" t="str">
            <v>YZ-ZQBL03</v>
          </cell>
        </row>
        <row r="9219">
          <cell r="A9219" t="str">
            <v>YZ-ZQBL03-R2-S</v>
          </cell>
          <cell r="B9219" t="str">
            <v>YZ-ZQBL03</v>
          </cell>
        </row>
        <row r="9220">
          <cell r="A9220" t="str">
            <v>YZ-ZQBL03-R2-XL</v>
          </cell>
          <cell r="B9220" t="str">
            <v>YZ-ZQBL03</v>
          </cell>
        </row>
        <row r="9221">
          <cell r="A9221" t="str">
            <v>YZ-ZQF5802B04XL</v>
          </cell>
          <cell r="B9221" t="str">
            <v>YZ-ZQF5802</v>
          </cell>
        </row>
        <row r="9222">
          <cell r="A9222" t="str">
            <v>YZ-ZQF5802B05XL</v>
          </cell>
          <cell r="B9222" t="str">
            <v>YZ-ZQF5802</v>
          </cell>
        </row>
        <row r="9223">
          <cell r="A9223" t="str">
            <v>YZ-ZQF5802G04XL</v>
          </cell>
          <cell r="B9223" t="str">
            <v>YZ-ZQF5802</v>
          </cell>
        </row>
        <row r="9224">
          <cell r="A9224" t="str">
            <v>YZ-ZQF5802G05XL</v>
          </cell>
          <cell r="B9224" t="str">
            <v>YZ-ZQF5802</v>
          </cell>
        </row>
        <row r="9225">
          <cell r="A9225" t="str">
            <v>YZ-ZQFT1816-O0-2X</v>
          </cell>
          <cell r="B9225" t="str">
            <v>YZ-ZQFT1816</v>
          </cell>
        </row>
        <row r="9226">
          <cell r="A9226" t="str">
            <v>YZ-ZQFT1816-O0-3X</v>
          </cell>
          <cell r="B9226" t="str">
            <v>YZ-ZQFT1816</v>
          </cell>
        </row>
        <row r="9227">
          <cell r="A9227" t="str">
            <v>YZ-ZQFT1816-O0-4X</v>
          </cell>
          <cell r="B9227" t="str">
            <v>YZ-ZQFT1816</v>
          </cell>
        </row>
        <row r="9228">
          <cell r="A9228" t="str">
            <v>YZ-ZQFT1816-O0-5X</v>
          </cell>
          <cell r="B9228" t="str">
            <v>YZ-ZQFT1816</v>
          </cell>
        </row>
        <row r="9229">
          <cell r="A9229" t="str">
            <v>YZ-ZQFT1816-O0-L</v>
          </cell>
          <cell r="B9229" t="str">
            <v>YZ-ZQFT1816</v>
          </cell>
        </row>
        <row r="9230">
          <cell r="A9230" t="str">
            <v>YZ-ZQFT1816-O0-M</v>
          </cell>
          <cell r="B9230" t="str">
            <v>YZ-ZQFT1816</v>
          </cell>
        </row>
        <row r="9231">
          <cell r="A9231" t="str">
            <v>YZ-ZQFT1816-O0-S</v>
          </cell>
          <cell r="B9231" t="str">
            <v>YZ-ZQFT1816</v>
          </cell>
        </row>
        <row r="9232">
          <cell r="A9232" t="str">
            <v>YZ-ZQFT1816-O0-XL</v>
          </cell>
          <cell r="B9232" t="str">
            <v>YZ-ZQFT1816</v>
          </cell>
        </row>
        <row r="9233">
          <cell r="A9233" t="str">
            <v>YZ-ZQFT1816-Y0-2X</v>
          </cell>
          <cell r="B9233" t="str">
            <v>YZ-ZQFT1816</v>
          </cell>
        </row>
        <row r="9234">
          <cell r="A9234" t="str">
            <v>YZ-ZQFT1816-Y0-3X</v>
          </cell>
          <cell r="B9234" t="str">
            <v>YZ-ZQFT1816</v>
          </cell>
        </row>
        <row r="9235">
          <cell r="A9235" t="str">
            <v>YZ-ZQFT1816-Y0-4X</v>
          </cell>
          <cell r="B9235" t="str">
            <v>YZ-ZQFT1816</v>
          </cell>
        </row>
        <row r="9236">
          <cell r="A9236" t="str">
            <v>YZ-ZQFT1816-Y0-5X</v>
          </cell>
          <cell r="B9236" t="str">
            <v>YZ-ZQFT1816</v>
          </cell>
        </row>
        <row r="9237">
          <cell r="A9237" t="str">
            <v>YZ-ZQFT1816-Y0-L</v>
          </cell>
          <cell r="B9237" t="str">
            <v>YZ-ZQFT1816</v>
          </cell>
        </row>
        <row r="9238">
          <cell r="A9238" t="str">
            <v>YZ-ZQFT1816-Y0-M</v>
          </cell>
          <cell r="B9238" t="str">
            <v>YZ-ZQFT1816</v>
          </cell>
        </row>
        <row r="9239">
          <cell r="A9239" t="str">
            <v>YZ-ZQFT1816-Y0-S</v>
          </cell>
          <cell r="B9239" t="str">
            <v>YZ-ZQFT1816</v>
          </cell>
        </row>
        <row r="9240">
          <cell r="A9240" t="str">
            <v>YZ-ZQFT1816-Y0-XL</v>
          </cell>
          <cell r="B9240" t="str">
            <v>YZ-ZQFT1816</v>
          </cell>
        </row>
        <row r="9241">
          <cell r="A9241" t="str">
            <v>YZ-ZQGB01-B0-2XL</v>
          </cell>
          <cell r="B9241" t="str">
            <v>YZ-ZQGB01</v>
          </cell>
        </row>
        <row r="9242">
          <cell r="A9242" t="str">
            <v>YZ-ZQGB01-B0-L</v>
          </cell>
          <cell r="B9242" t="str">
            <v>YZ-ZQGB01</v>
          </cell>
        </row>
        <row r="9243">
          <cell r="A9243" t="str">
            <v>YZ-ZQGB01-B0-M</v>
          </cell>
          <cell r="B9243" t="str">
            <v>YZ-ZQGB01</v>
          </cell>
        </row>
        <row r="9244">
          <cell r="A9244" t="str">
            <v>YZ-ZQGB01-B0-S</v>
          </cell>
          <cell r="B9244" t="str">
            <v>YZ-ZQGB01</v>
          </cell>
        </row>
        <row r="9245">
          <cell r="A9245" t="str">
            <v>YZ-ZQGB01-B0-XL</v>
          </cell>
          <cell r="B9245" t="str">
            <v>YZ-ZQGB01</v>
          </cell>
        </row>
        <row r="9246">
          <cell r="A9246" t="str">
            <v>YZ-ZQGB01-BD-2XL</v>
          </cell>
          <cell r="B9246" t="str">
            <v>YZ-ZQGB01</v>
          </cell>
        </row>
        <row r="9247">
          <cell r="A9247" t="str">
            <v>YZ-ZQGB01-BD-L</v>
          </cell>
          <cell r="B9247" t="str">
            <v>YZ-ZQGB01</v>
          </cell>
        </row>
        <row r="9248">
          <cell r="A9248" t="str">
            <v>YZ-ZQGB01-BD-M</v>
          </cell>
          <cell r="B9248" t="str">
            <v>YZ-ZQGB01</v>
          </cell>
        </row>
        <row r="9249">
          <cell r="A9249" t="str">
            <v>YZ-ZQGB01-BD-XL</v>
          </cell>
          <cell r="B9249" t="str">
            <v>YZ-ZQGB01</v>
          </cell>
        </row>
        <row r="9250">
          <cell r="A9250" t="str">
            <v>YZ-ZQGB01-K0-2XL</v>
          </cell>
          <cell r="B9250" t="str">
            <v>YZ-ZQGB01</v>
          </cell>
        </row>
        <row r="9251">
          <cell r="A9251" t="str">
            <v>YZ-ZQGB01-K0-L</v>
          </cell>
          <cell r="B9251" t="str">
            <v>YZ-ZQGB01</v>
          </cell>
        </row>
        <row r="9252">
          <cell r="A9252" t="str">
            <v>YZ-ZQGB01-K0-M</v>
          </cell>
          <cell r="B9252" t="str">
            <v>YZ-ZQGB01</v>
          </cell>
        </row>
        <row r="9253">
          <cell r="A9253" t="str">
            <v>YZ-ZQGB01-K0-XL</v>
          </cell>
          <cell r="B9253" t="str">
            <v>YZ-ZQGB01</v>
          </cell>
        </row>
        <row r="9254">
          <cell r="A9254" t="str">
            <v>YZ-ZQGB01-W0-2XL</v>
          </cell>
          <cell r="B9254" t="str">
            <v>YZ-ZQGB01</v>
          </cell>
        </row>
        <row r="9255">
          <cell r="A9255" t="str">
            <v>YZ-ZQGB01-W0-L</v>
          </cell>
          <cell r="B9255" t="str">
            <v>YZ-ZQGB01</v>
          </cell>
        </row>
        <row r="9256">
          <cell r="A9256" t="str">
            <v>YZ-ZQGB01-W0-M</v>
          </cell>
          <cell r="B9256" t="str">
            <v>YZ-ZQGB01</v>
          </cell>
        </row>
        <row r="9257">
          <cell r="A9257" t="str">
            <v>YZ-ZQGB01-W0-XL</v>
          </cell>
          <cell r="B9257" t="str">
            <v>YZ-ZQGB01</v>
          </cell>
        </row>
        <row r="9258">
          <cell r="A9258" t="str">
            <v>YZ-ZQGB01-Y0-2XL</v>
          </cell>
          <cell r="B9258" t="str">
            <v>YZ-ZQGB01</v>
          </cell>
        </row>
        <row r="9259">
          <cell r="A9259" t="str">
            <v>YZ-ZQGB01-Y0-M</v>
          </cell>
          <cell r="B9259" t="str">
            <v>YZ-ZQGB01</v>
          </cell>
        </row>
        <row r="9260">
          <cell r="A9260" t="str">
            <v>YZ-ZQGB01-Y0S</v>
          </cell>
          <cell r="B9260" t="str">
            <v>YZ-ZQGB01</v>
          </cell>
        </row>
        <row r="9261">
          <cell r="A9261" t="str">
            <v>YZ-ZQGB01-Y0-S</v>
          </cell>
          <cell r="B9261" t="str">
            <v>YZ-ZQGB01</v>
          </cell>
        </row>
        <row r="9262">
          <cell r="A9262" t="str">
            <v>YZ-ZQGB01-Y0-XL</v>
          </cell>
          <cell r="B9262" t="str">
            <v>YZ-ZQGB01</v>
          </cell>
        </row>
        <row r="9263">
          <cell r="A9263" t="str">
            <v>YZ-ZQGB02-B0-L</v>
          </cell>
          <cell r="B9263" t="str">
            <v>YZ-ZQGB02</v>
          </cell>
        </row>
        <row r="9264">
          <cell r="A9264" t="str">
            <v>YZ-ZQGB02-B0-M</v>
          </cell>
          <cell r="B9264" t="str">
            <v>YZ-ZQGB02</v>
          </cell>
        </row>
        <row r="9265">
          <cell r="A9265" t="str">
            <v>YZ-ZQGB02-B0-S</v>
          </cell>
          <cell r="B9265" t="str">
            <v>YZ-ZQGB02</v>
          </cell>
        </row>
        <row r="9266">
          <cell r="A9266" t="str">
            <v>YZ-ZQGB02-B0-XL</v>
          </cell>
          <cell r="B9266" t="str">
            <v>YZ-ZQGB02</v>
          </cell>
        </row>
        <row r="9267">
          <cell r="A9267" t="str">
            <v>YZ-ZQHL02-G0-L</v>
          </cell>
          <cell r="B9267" t="str">
            <v>YZ-ZQHL02</v>
          </cell>
        </row>
        <row r="9268">
          <cell r="A9268" t="str">
            <v>YZ-ZQHL02-G0-L-GM</v>
          </cell>
          <cell r="B9268" t="str">
            <v>YZ-ZQHL02</v>
          </cell>
        </row>
        <row r="9269">
          <cell r="A9269" t="str">
            <v>YZ-ZQHL02-G0-M</v>
          </cell>
          <cell r="B9269" t="str">
            <v>YZ-ZQHL02</v>
          </cell>
        </row>
        <row r="9270">
          <cell r="A9270" t="str">
            <v>YZ-ZQHL02-G0-M-GM</v>
          </cell>
          <cell r="B9270" t="str">
            <v>YZ-ZQHL02</v>
          </cell>
        </row>
        <row r="9271">
          <cell r="A9271" t="str">
            <v>YZ-ZQHL02-G0-S</v>
          </cell>
          <cell r="B9271" t="str">
            <v>YZ-ZQHL02</v>
          </cell>
        </row>
        <row r="9272">
          <cell r="A9272" t="str">
            <v>YZ-ZQHL02-G0-S-GM</v>
          </cell>
          <cell r="B9272" t="str">
            <v>YZ-ZQHL02</v>
          </cell>
        </row>
        <row r="9273">
          <cell r="A9273" t="str">
            <v>YZ-ZQHL02-G0-XL</v>
          </cell>
          <cell r="B9273" t="str">
            <v>YZ-ZQHL02</v>
          </cell>
        </row>
        <row r="9274">
          <cell r="A9274" t="str">
            <v>YZ-ZQLC18-BS-2X</v>
          </cell>
          <cell r="B9274" t="str">
            <v>YZ-ZQLC18</v>
          </cell>
        </row>
        <row r="9275">
          <cell r="A9275" t="str">
            <v>YZ-ZQLC18-BS-L</v>
          </cell>
          <cell r="B9275" t="str">
            <v>YZ-ZQLC18</v>
          </cell>
        </row>
        <row r="9276">
          <cell r="A9276" t="str">
            <v>YZ-ZQLC18-BS-XL</v>
          </cell>
          <cell r="B9276" t="str">
            <v>YZ-ZQLC18</v>
          </cell>
        </row>
        <row r="9277">
          <cell r="A9277" t="str">
            <v>YZ-ZQLC18-KS-2X</v>
          </cell>
          <cell r="B9277" t="str">
            <v>YZ-ZQLC18</v>
          </cell>
        </row>
        <row r="9278">
          <cell r="A9278" t="str">
            <v>YZ-ZQLC18-KS-XL</v>
          </cell>
          <cell r="B9278" t="str">
            <v>YZ-ZQLC18</v>
          </cell>
        </row>
        <row r="9279">
          <cell r="A9279" t="str">
            <v>YZ-ZQLS062-K0-2XL</v>
          </cell>
          <cell r="B9279" t="str">
            <v>YZ-ZQLS062</v>
          </cell>
        </row>
        <row r="9280">
          <cell r="A9280" t="str">
            <v>YZ-ZQLS062-K0-3XL</v>
          </cell>
          <cell r="B9280" t="str">
            <v>YZ-ZQLS062</v>
          </cell>
        </row>
        <row r="9281">
          <cell r="A9281" t="str">
            <v>YZ-ZQLS062-K0-L</v>
          </cell>
          <cell r="B9281" t="str">
            <v>YZ-ZQLS062</v>
          </cell>
        </row>
        <row r="9282">
          <cell r="A9282" t="str">
            <v>YZ-ZQLS062-K0-M</v>
          </cell>
          <cell r="B9282" t="str">
            <v>YZ-ZQLS062</v>
          </cell>
        </row>
        <row r="9283">
          <cell r="A9283" t="str">
            <v>YZ-ZQLS062-K0-S</v>
          </cell>
          <cell r="B9283" t="str">
            <v>YZ-ZQLS062</v>
          </cell>
        </row>
        <row r="9284">
          <cell r="A9284" t="str">
            <v>YZ-ZQLS062-K0-XL</v>
          </cell>
          <cell r="B9284" t="str">
            <v>YZ-ZQLS062</v>
          </cell>
        </row>
        <row r="9285">
          <cell r="A9285" t="str">
            <v>YZ-ZQLS1353-K0-2X</v>
          </cell>
          <cell r="B9285" t="str">
            <v>YZ-ZQLS1353</v>
          </cell>
        </row>
        <row r="9286">
          <cell r="A9286" t="str">
            <v>YZ-ZQLS1353-K0-3X</v>
          </cell>
          <cell r="B9286" t="str">
            <v>YZ-ZQLS1353</v>
          </cell>
        </row>
        <row r="9287">
          <cell r="A9287" t="str">
            <v>YZ-ZQLS1353-K0-XL</v>
          </cell>
          <cell r="B9287" t="str">
            <v>YZ-ZQLS1353</v>
          </cell>
        </row>
        <row r="9288">
          <cell r="A9288" t="str">
            <v>YZ-ZQMICAIK02XL</v>
          </cell>
          <cell r="B9288" t="str">
            <v>YZ-ZQMICAI</v>
          </cell>
        </row>
        <row r="9289">
          <cell r="A9289" t="str">
            <v>YZ-ZQMICAIK03XL</v>
          </cell>
          <cell r="B9289" t="str">
            <v>YZ-ZQMICAI</v>
          </cell>
        </row>
        <row r="9290">
          <cell r="A9290" t="str">
            <v>YZ-ZQMICAIK04XL</v>
          </cell>
          <cell r="B9290" t="str">
            <v>YZ-ZQMICAI</v>
          </cell>
        </row>
        <row r="9291">
          <cell r="A9291" t="str">
            <v>YZ-ZQMICAIK05XL</v>
          </cell>
          <cell r="B9291" t="str">
            <v>YZ-ZQMICAI</v>
          </cell>
        </row>
        <row r="9292">
          <cell r="A9292" t="str">
            <v>YZ-ZQMICAIK0L</v>
          </cell>
          <cell r="B9292" t="str">
            <v>YZ-ZQMICAI</v>
          </cell>
        </row>
        <row r="9293">
          <cell r="A9293" t="str">
            <v>YZ-ZQMICAIK0M</v>
          </cell>
          <cell r="B9293" t="str">
            <v>YZ-ZQMICAI</v>
          </cell>
        </row>
        <row r="9294">
          <cell r="A9294" t="str">
            <v>YZ-ZQMICAIK0XL</v>
          </cell>
          <cell r="B9294" t="str">
            <v>YZ-ZQMICAI</v>
          </cell>
        </row>
        <row r="9295">
          <cell r="A9295" t="str">
            <v>YZ-ZQMS02-K0-L</v>
          </cell>
          <cell r="B9295" t="str">
            <v>YZ-ZQMS02</v>
          </cell>
        </row>
        <row r="9296">
          <cell r="A9296" t="str">
            <v>YZ-ZQMS02-K0-M</v>
          </cell>
          <cell r="B9296" t="str">
            <v>YZ-ZQMS02</v>
          </cell>
        </row>
        <row r="9297">
          <cell r="A9297" t="str">
            <v>YZ-ZQMS02-K0-S</v>
          </cell>
          <cell r="B9297" t="str">
            <v>YZ-ZQMS02</v>
          </cell>
        </row>
        <row r="9298">
          <cell r="A9298" t="str">
            <v>YZ-ZQN9002-B0-3X</v>
          </cell>
          <cell r="B9298" t="str">
            <v>YZ-ZQN9002</v>
          </cell>
        </row>
        <row r="9299">
          <cell r="A9299" t="str">
            <v>YZ-ZQN9002-G0-2X</v>
          </cell>
          <cell r="B9299" t="str">
            <v>YZ-ZQN9002</v>
          </cell>
        </row>
        <row r="9300">
          <cell r="A9300" t="str">
            <v>YZ-ZQN9002-G0-4X</v>
          </cell>
          <cell r="B9300" t="str">
            <v>YZ-ZQN9002</v>
          </cell>
        </row>
        <row r="9301">
          <cell r="A9301" t="str">
            <v>YZ-ZQN9002-G0-5X</v>
          </cell>
          <cell r="B9301" t="str">
            <v>YZ-ZQN9002</v>
          </cell>
        </row>
        <row r="9302">
          <cell r="A9302" t="str">
            <v>YZ-ZQN9002-G0-L</v>
          </cell>
          <cell r="B9302" t="str">
            <v>YZ-ZQN9002</v>
          </cell>
        </row>
        <row r="9303">
          <cell r="A9303" t="str">
            <v>YZ-ZQN9002-G0-XL</v>
          </cell>
          <cell r="B9303" t="str">
            <v>YZ-ZQN9002</v>
          </cell>
        </row>
        <row r="9304">
          <cell r="A9304" t="str">
            <v>YZ-ZQN9002-ND-3X</v>
          </cell>
          <cell r="B9304" t="str">
            <v>YZ-ZQN9002</v>
          </cell>
        </row>
        <row r="9305">
          <cell r="A9305" t="str">
            <v>YZ-ZQN9002-ND-4X</v>
          </cell>
          <cell r="B9305" t="str">
            <v>YZ-ZQN9002</v>
          </cell>
        </row>
        <row r="9306">
          <cell r="A9306" t="str">
            <v>YZ-ZQN9002-ND-5X</v>
          </cell>
          <cell r="B9306" t="str">
            <v>YZ-ZQN9002</v>
          </cell>
        </row>
        <row r="9307">
          <cell r="A9307" t="str">
            <v>YZ-ZQN9002-TL-L</v>
          </cell>
          <cell r="B9307" t="str">
            <v>YZ-ZQN9002</v>
          </cell>
        </row>
        <row r="9308">
          <cell r="A9308" t="str">
            <v>YZ-ZQN9002-TL-XL</v>
          </cell>
          <cell r="B9308" t="str">
            <v>YZ-ZQN9002</v>
          </cell>
        </row>
        <row r="9309">
          <cell r="A9309" t="str">
            <v>YZ-ZQN9003-B0-2X</v>
          </cell>
          <cell r="B9309" t="str">
            <v>YZ-ZQN9003</v>
          </cell>
        </row>
        <row r="9310">
          <cell r="A9310" t="str">
            <v>YZ-ZQN9003-B0-4X</v>
          </cell>
          <cell r="B9310" t="str">
            <v>YZ-ZQN9003</v>
          </cell>
        </row>
        <row r="9311">
          <cell r="A9311" t="str">
            <v>YZ-ZQN9003-B0-L</v>
          </cell>
          <cell r="B9311" t="str">
            <v>YZ-ZQN9003</v>
          </cell>
        </row>
        <row r="9312">
          <cell r="A9312" t="str">
            <v>YZ-ZQN9003-B0-M</v>
          </cell>
          <cell r="B9312" t="str">
            <v>YZ-ZQN9003</v>
          </cell>
        </row>
        <row r="9313">
          <cell r="A9313" t="str">
            <v>YZ-ZQN9003-K0-4X</v>
          </cell>
          <cell r="B9313" t="str">
            <v>YZ-ZQN9003</v>
          </cell>
        </row>
        <row r="9314">
          <cell r="A9314" t="str">
            <v>YZ-ZQN9003-K0-L</v>
          </cell>
          <cell r="B9314" t="str">
            <v>YZ-ZQN9003</v>
          </cell>
        </row>
        <row r="9315">
          <cell r="A9315" t="str">
            <v>YZ-ZQN9003-ZL-4X</v>
          </cell>
          <cell r="B9315" t="str">
            <v>YZ-ZQN9003</v>
          </cell>
        </row>
        <row r="9316">
          <cell r="A9316" t="str">
            <v>YZ-ZQN9003-ZL-L</v>
          </cell>
          <cell r="B9316" t="str">
            <v>YZ-ZQN9003</v>
          </cell>
        </row>
        <row r="9317">
          <cell r="A9317" t="str">
            <v>YZ-ZQN9076-G3-2X</v>
          </cell>
          <cell r="B9317" t="str">
            <v>YZ-ZQN9076</v>
          </cell>
        </row>
        <row r="9318">
          <cell r="A9318" t="str">
            <v>YZ-ZQN9076-G3-3X</v>
          </cell>
          <cell r="B9318" t="str">
            <v>YZ-ZQN9076</v>
          </cell>
        </row>
        <row r="9319">
          <cell r="A9319" t="str">
            <v>YZ-ZQN9076-H1-3X</v>
          </cell>
          <cell r="B9319" t="str">
            <v>YZ-ZQN9076</v>
          </cell>
        </row>
        <row r="9320">
          <cell r="A9320" t="str">
            <v>YZ-ZQN9200-K0-2X</v>
          </cell>
          <cell r="B9320" t="str">
            <v>YZ-ZQN9200</v>
          </cell>
        </row>
        <row r="9321">
          <cell r="A9321" t="str">
            <v>YZ-ZQN9200-K0-3X</v>
          </cell>
          <cell r="B9321" t="str">
            <v>YZ-ZQN9200</v>
          </cell>
        </row>
        <row r="9322">
          <cell r="A9322" t="str">
            <v>YZ-ZQN9200-K0-4X</v>
          </cell>
          <cell r="B9322" t="str">
            <v>YZ-ZQN9200</v>
          </cell>
        </row>
        <row r="9323">
          <cell r="A9323" t="str">
            <v>YZ-ZQN9200-K0-L</v>
          </cell>
          <cell r="B9323" t="str">
            <v>YZ-ZQN9200</v>
          </cell>
        </row>
        <row r="9324">
          <cell r="A9324" t="str">
            <v>YZ-ZQN9200-K0-M</v>
          </cell>
          <cell r="B9324" t="str">
            <v>YZ-ZQN9200</v>
          </cell>
        </row>
        <row r="9325">
          <cell r="A9325" t="str">
            <v>YZ-ZQN9200-K0-XL</v>
          </cell>
          <cell r="B9325" t="str">
            <v>YZ-ZQN9200</v>
          </cell>
        </row>
        <row r="9326">
          <cell r="A9326" t="str">
            <v>YZ-ZQNA16121E02XL</v>
          </cell>
          <cell r="B9326" t="str">
            <v>YZ-ZQNA16121</v>
          </cell>
        </row>
        <row r="9327">
          <cell r="A9327" t="str">
            <v>YZ-ZQNA16121E03XL</v>
          </cell>
          <cell r="B9327" t="str">
            <v>YZ-ZQNA16121</v>
          </cell>
        </row>
        <row r="9328">
          <cell r="A9328" t="str">
            <v>YZ-ZQNA16121E0L</v>
          </cell>
          <cell r="B9328" t="str">
            <v>YZ-ZQNA16121</v>
          </cell>
        </row>
        <row r="9329">
          <cell r="A9329" t="str">
            <v>YZ-ZQNA16121E0XL</v>
          </cell>
          <cell r="B9329" t="str">
            <v>YZ-ZQNA16121</v>
          </cell>
        </row>
        <row r="9330">
          <cell r="A9330" t="str">
            <v>YZ-ZQNA16121R02XL</v>
          </cell>
          <cell r="B9330" t="str">
            <v>YZ-ZQNA16121</v>
          </cell>
        </row>
        <row r="9331">
          <cell r="A9331" t="str">
            <v>YZ-ZQNA16121R03XL</v>
          </cell>
          <cell r="B9331" t="str">
            <v>YZ-ZQNA16121</v>
          </cell>
        </row>
        <row r="9332">
          <cell r="A9332" t="str">
            <v>YZ-ZQNA16121R0L</v>
          </cell>
          <cell r="B9332" t="str">
            <v>YZ-ZQNA16121</v>
          </cell>
        </row>
        <row r="9333">
          <cell r="A9333" t="str">
            <v>YZ-ZQNA16121R0XL</v>
          </cell>
          <cell r="B9333" t="str">
            <v>YZ-ZQNA16121</v>
          </cell>
        </row>
        <row r="9334">
          <cell r="A9334" t="str">
            <v>YZ-ZQNA161244-Y0-2XL</v>
          </cell>
          <cell r="B9334" t="str">
            <v>YZ-ZQNA16124</v>
          </cell>
        </row>
        <row r="9335">
          <cell r="A9335" t="str">
            <v>YZ-ZQNA161244-Y0-L</v>
          </cell>
          <cell r="B9335" t="str">
            <v>YZ-ZQNA16124</v>
          </cell>
        </row>
        <row r="9336">
          <cell r="A9336" t="str">
            <v>YZ-ZQNA161244-Y0-XL</v>
          </cell>
          <cell r="B9336" t="str">
            <v>YZ-ZQNA16124</v>
          </cell>
        </row>
        <row r="9337">
          <cell r="A9337" t="str">
            <v>YZ-ZQOM388-K0-2XL</v>
          </cell>
          <cell r="B9337" t="str">
            <v>YZ-ZQOM388</v>
          </cell>
        </row>
        <row r="9338">
          <cell r="A9338" t="str">
            <v>YZ-ZQOM388-K0-L</v>
          </cell>
          <cell r="B9338" t="str">
            <v>YZ-ZQOM388</v>
          </cell>
        </row>
        <row r="9339">
          <cell r="A9339" t="str">
            <v>YZ-ZQOM388-K0-M</v>
          </cell>
          <cell r="B9339" t="str">
            <v>YZ-ZQOM388</v>
          </cell>
        </row>
        <row r="9340">
          <cell r="A9340" t="str">
            <v>YZ-ZQOM388-K0-S</v>
          </cell>
          <cell r="B9340" t="str">
            <v>YZ-ZQOM388</v>
          </cell>
        </row>
        <row r="9341">
          <cell r="A9341" t="str">
            <v>YZ-ZQOM388-K0-XL</v>
          </cell>
          <cell r="B9341" t="str">
            <v>YZ-ZQOM388</v>
          </cell>
        </row>
        <row r="9342">
          <cell r="A9342" t="str">
            <v>YZ-ZQOM388-W0-2XL</v>
          </cell>
          <cell r="B9342" t="str">
            <v>YZ-ZQOM388</v>
          </cell>
        </row>
        <row r="9343">
          <cell r="A9343" t="str">
            <v>YZ-ZQOM388-W0-L</v>
          </cell>
          <cell r="B9343" t="str">
            <v>YZ-ZQOM388</v>
          </cell>
        </row>
        <row r="9344">
          <cell r="A9344" t="str">
            <v>YZ-ZQOM388-W0-M</v>
          </cell>
          <cell r="B9344" t="str">
            <v>YZ-ZQOM388</v>
          </cell>
        </row>
        <row r="9345">
          <cell r="A9345" t="str">
            <v>YZ-ZQOM388-W0-S</v>
          </cell>
          <cell r="B9345" t="str">
            <v>YZ-ZQOM388</v>
          </cell>
        </row>
        <row r="9346">
          <cell r="A9346" t="str">
            <v>YZ-ZQOM388-W0-XL</v>
          </cell>
          <cell r="B9346" t="str">
            <v>YZ-ZQOM388</v>
          </cell>
        </row>
        <row r="9347">
          <cell r="A9347" t="str">
            <v>YZ-ZQQ9217-K0-2X</v>
          </cell>
          <cell r="B9347" t="str">
            <v>YZ-ZQQ9217</v>
          </cell>
        </row>
        <row r="9348">
          <cell r="A9348" t="str">
            <v>YZ-ZQQ9217-K0-2X-GM</v>
          </cell>
          <cell r="B9348" t="str">
            <v>YZ-ZQQ9217</v>
          </cell>
        </row>
        <row r="9349">
          <cell r="A9349" t="str">
            <v>YZ-ZQQ9217-K0-3X</v>
          </cell>
          <cell r="B9349" t="str">
            <v>YZ-ZQQ9217</v>
          </cell>
        </row>
        <row r="9350">
          <cell r="A9350" t="str">
            <v>YZ-ZQQ9217-K0-4X</v>
          </cell>
          <cell r="B9350" t="str">
            <v>YZ-ZQQ9217</v>
          </cell>
        </row>
        <row r="9351">
          <cell r="A9351" t="str">
            <v>YZ-ZQQ9217-K0-4X-GM</v>
          </cell>
          <cell r="B9351" t="str">
            <v>YZ-ZQQ9217</v>
          </cell>
        </row>
        <row r="9352">
          <cell r="A9352" t="str">
            <v>YZ-ZQQ9217-K0-5X</v>
          </cell>
          <cell r="B9352" t="str">
            <v>YZ-ZQQ9217</v>
          </cell>
        </row>
        <row r="9353">
          <cell r="A9353" t="str">
            <v>YZ-ZQQ9217-K0-5X-GM</v>
          </cell>
          <cell r="B9353" t="str">
            <v>YZ-ZQQ9217</v>
          </cell>
        </row>
        <row r="9354">
          <cell r="A9354" t="str">
            <v>YZ-ZQQ9217-K0-L</v>
          </cell>
          <cell r="B9354" t="str">
            <v>YZ-ZQQ9217</v>
          </cell>
        </row>
        <row r="9355">
          <cell r="A9355" t="str">
            <v>YZ-ZQQ9217-K0-M</v>
          </cell>
          <cell r="B9355" t="str">
            <v>YZ-ZQQ9217</v>
          </cell>
        </row>
        <row r="9356">
          <cell r="A9356" t="str">
            <v>YZ-ZQQ9217-K0-S</v>
          </cell>
          <cell r="B9356" t="str">
            <v>YZ-ZQQ9217</v>
          </cell>
        </row>
        <row r="9357">
          <cell r="A9357" t="str">
            <v>YZ-ZQQ9217-K0-XL</v>
          </cell>
          <cell r="B9357" t="str">
            <v>YZ-ZQQ9217</v>
          </cell>
        </row>
        <row r="9358">
          <cell r="A9358" t="str">
            <v>YZ-ZQQ9217-K0-XL-GM</v>
          </cell>
          <cell r="B9358" t="str">
            <v>YZ-ZQQ9217</v>
          </cell>
        </row>
        <row r="9359">
          <cell r="A9359" t="str">
            <v>YZ-ZQQ9227-K0-2X</v>
          </cell>
          <cell r="B9359" t="str">
            <v>YZ-ZQQ9227</v>
          </cell>
        </row>
        <row r="9360">
          <cell r="A9360" t="str">
            <v>YZ-ZQQ9227-K0-3X</v>
          </cell>
          <cell r="B9360" t="str">
            <v>YZ-ZQQ9227</v>
          </cell>
        </row>
        <row r="9361">
          <cell r="A9361" t="str">
            <v>YZ-ZQQ9227-K0-4X</v>
          </cell>
          <cell r="B9361" t="str">
            <v>YZ-ZQQ9227</v>
          </cell>
        </row>
        <row r="9362">
          <cell r="A9362" t="str">
            <v>YZ-ZQQ9227-K0-5X</v>
          </cell>
          <cell r="B9362" t="str">
            <v>YZ-ZQQ9227</v>
          </cell>
        </row>
        <row r="9363">
          <cell r="A9363" t="str">
            <v>YZ-ZQQ9227-K0-L</v>
          </cell>
          <cell r="B9363" t="str">
            <v>YZ-ZQQ9227</v>
          </cell>
        </row>
        <row r="9364">
          <cell r="A9364" t="str">
            <v>YZ-ZQQ9227-K0-M</v>
          </cell>
          <cell r="B9364" t="str">
            <v>YZ-ZQQ9227</v>
          </cell>
        </row>
        <row r="9365">
          <cell r="A9365" t="str">
            <v>YZ-ZQQ9227-K0-S</v>
          </cell>
          <cell r="B9365" t="str">
            <v>YZ-ZQQ9227</v>
          </cell>
        </row>
        <row r="9366">
          <cell r="A9366" t="str">
            <v>YZ-ZQQ9227-K0-XL</v>
          </cell>
          <cell r="B9366" t="str">
            <v>YZ-ZQQ9227</v>
          </cell>
        </row>
        <row r="9367">
          <cell r="A9367" t="str">
            <v>YZ-ZQSG16116-K0-2XL</v>
          </cell>
          <cell r="B9367" t="str">
            <v>YZ-ZQSG16116</v>
          </cell>
        </row>
        <row r="9368">
          <cell r="A9368" t="str">
            <v>YZ-ZQSG16116-K0-3XL</v>
          </cell>
          <cell r="B9368" t="str">
            <v>YZ-ZQSG16116</v>
          </cell>
        </row>
        <row r="9369">
          <cell r="A9369" t="str">
            <v>YZ-ZQSG16116-K0-L</v>
          </cell>
          <cell r="B9369" t="str">
            <v>YZ-ZQSG16116</v>
          </cell>
        </row>
        <row r="9370">
          <cell r="A9370" t="str">
            <v>YZ-ZQSG16116-K0-XL</v>
          </cell>
          <cell r="B9370" t="str">
            <v>YZ-ZQSG16116</v>
          </cell>
        </row>
        <row r="9371">
          <cell r="A9371" t="str">
            <v>YZ-ZQSG16121E02XL</v>
          </cell>
          <cell r="B9371" t="str">
            <v>YZ-ZQSG16121</v>
          </cell>
        </row>
        <row r="9372">
          <cell r="A9372" t="str">
            <v>YZ-ZQSG16121E03XL</v>
          </cell>
          <cell r="B9372" t="str">
            <v>YZ-ZQSG16121</v>
          </cell>
        </row>
        <row r="9373">
          <cell r="A9373" t="str">
            <v>YZ-ZQSG16121E0L</v>
          </cell>
          <cell r="B9373" t="str">
            <v>YZ-ZQSG16121</v>
          </cell>
        </row>
        <row r="9374">
          <cell r="A9374" t="str">
            <v>YZ-ZQSG16121E0XL</v>
          </cell>
          <cell r="B9374" t="str">
            <v>YZ-ZQSG16121</v>
          </cell>
        </row>
        <row r="9375">
          <cell r="A9375" t="str">
            <v>YZ-ZQSG16121R02XL</v>
          </cell>
          <cell r="B9375" t="str">
            <v>YZ-ZQSG16121</v>
          </cell>
        </row>
        <row r="9376">
          <cell r="A9376" t="str">
            <v>YZ-ZQSG16121R03XL</v>
          </cell>
          <cell r="B9376" t="str">
            <v>YZ-ZQSG16121</v>
          </cell>
        </row>
        <row r="9377">
          <cell r="A9377" t="str">
            <v>YZ-ZQSG16121R0L</v>
          </cell>
          <cell r="B9377" t="str">
            <v>YZ-ZQSG16121</v>
          </cell>
        </row>
        <row r="9378">
          <cell r="A9378" t="str">
            <v>YZ-ZQSG16121R0XL</v>
          </cell>
          <cell r="B9378" t="str">
            <v>YZ-ZQSG16121</v>
          </cell>
        </row>
        <row r="9379">
          <cell r="A9379" t="str">
            <v>YZ-ZQSG161244-Y0-2XL</v>
          </cell>
          <cell r="B9379" t="str">
            <v>YZ-ZQSG161244</v>
          </cell>
        </row>
        <row r="9380">
          <cell r="A9380" t="str">
            <v>YZ-ZQSG161244-Y0-3XL</v>
          </cell>
          <cell r="B9380" t="str">
            <v>YZ-ZQSG161244</v>
          </cell>
        </row>
        <row r="9381">
          <cell r="A9381" t="str">
            <v>YZ-ZQSG161244-Y0-L</v>
          </cell>
          <cell r="B9381" t="str">
            <v>YZ-ZQSG161244</v>
          </cell>
        </row>
        <row r="9382">
          <cell r="A9382" t="str">
            <v>YZ-ZQSG161244-Y0-XL</v>
          </cell>
          <cell r="B9382" t="str">
            <v>YZ-ZQSG161244</v>
          </cell>
        </row>
        <row r="9383">
          <cell r="A9383" t="str">
            <v>YZ-ZQSG16124Y02XL</v>
          </cell>
          <cell r="B9383" t="str">
            <v>YZ-ZQSG16124</v>
          </cell>
        </row>
        <row r="9384">
          <cell r="A9384" t="str">
            <v>YZ-ZQSG16124Y03XL</v>
          </cell>
          <cell r="B9384" t="str">
            <v>YZ-ZQSG16124</v>
          </cell>
        </row>
        <row r="9385">
          <cell r="A9385" t="str">
            <v>YZ-ZQSG16124Y0L</v>
          </cell>
          <cell r="B9385" t="str">
            <v>YZ-ZQSG16124</v>
          </cell>
        </row>
        <row r="9386">
          <cell r="A9386" t="str">
            <v>YZ-ZQSG16124Y0XL</v>
          </cell>
          <cell r="B9386" t="str">
            <v>YZ-ZQSG16124</v>
          </cell>
        </row>
        <row r="9387">
          <cell r="A9387" t="str">
            <v>YZ-ZQTWA1-K0-2X</v>
          </cell>
          <cell r="B9387" t="str">
            <v>YZ-ZQTWA1</v>
          </cell>
        </row>
        <row r="9388">
          <cell r="A9388" t="str">
            <v>YZ-ZQTWA1-K0-3X</v>
          </cell>
          <cell r="B9388" t="str">
            <v>YZ-ZQTWA1</v>
          </cell>
        </row>
        <row r="9389">
          <cell r="A9389" t="str">
            <v>YZ-ZQTWA1-K0-4X</v>
          </cell>
          <cell r="B9389" t="str">
            <v>YZ-ZQTWA1</v>
          </cell>
        </row>
        <row r="9390">
          <cell r="A9390" t="str">
            <v>YZ-ZQTWA1-K0-5X</v>
          </cell>
          <cell r="B9390" t="str">
            <v>YZ-ZQTWA1</v>
          </cell>
        </row>
        <row r="9391">
          <cell r="A9391" t="str">
            <v>YZ-ZQTWA1-K0-L</v>
          </cell>
          <cell r="B9391" t="str">
            <v>YZ-ZQTWA1</v>
          </cell>
        </row>
        <row r="9392">
          <cell r="A9392" t="str">
            <v>YZ-ZQTWA1-K0-M</v>
          </cell>
          <cell r="B9392" t="str">
            <v>YZ-ZQTWA1</v>
          </cell>
        </row>
        <row r="9393">
          <cell r="A9393" t="str">
            <v>YZ-ZQTWA1-K0-S</v>
          </cell>
          <cell r="B9393" t="str">
            <v>YZ-ZQTWA1</v>
          </cell>
        </row>
        <row r="9394">
          <cell r="A9394" t="str">
            <v>YZ-ZQTWA1-K0-S</v>
          </cell>
          <cell r="B9394" t="str">
            <v>YZ-ZQTWA1</v>
          </cell>
        </row>
        <row r="9395">
          <cell r="A9395" t="str">
            <v>YZ-ZQTWA1-K0-XL</v>
          </cell>
          <cell r="B9395" t="str">
            <v>YZ-ZQTWA1</v>
          </cell>
        </row>
        <row r="9396">
          <cell r="A9396" t="str">
            <v>YZ-ZQTWA1-K0-XL</v>
          </cell>
          <cell r="B9396" t="str">
            <v>YZ-ZQTWA1</v>
          </cell>
        </row>
        <row r="9397">
          <cell r="A9397" t="str">
            <v>YZ-ZQXZ345-G0-L</v>
          </cell>
          <cell r="B9397" t="str">
            <v>YZ-ZQXZ345</v>
          </cell>
        </row>
        <row r="9398">
          <cell r="A9398" t="str">
            <v>YZ-ZQXZ345-G0-L</v>
          </cell>
          <cell r="B9398" t="str">
            <v>YZ-ZQXZ345</v>
          </cell>
        </row>
        <row r="9399">
          <cell r="A9399" t="str">
            <v>YZ-ZQXZ345-G0-M</v>
          </cell>
          <cell r="B9399" t="str">
            <v>YZ-ZQXZ345</v>
          </cell>
        </row>
        <row r="9400">
          <cell r="A9400" t="str">
            <v>YZ-ZQXZ345-G0-M</v>
          </cell>
          <cell r="B9400" t="str">
            <v>YZ-ZQXZ345</v>
          </cell>
        </row>
        <row r="9401">
          <cell r="A9401" t="str">
            <v>YZ-ZQXZ345-G0-S</v>
          </cell>
          <cell r="B9401" t="str">
            <v>YZ-ZQXZ345</v>
          </cell>
        </row>
        <row r="9402">
          <cell r="A9402" t="str">
            <v>YZ-ZQXZ345-G0-S</v>
          </cell>
          <cell r="B9402" t="str">
            <v>YZ-ZQXZ345</v>
          </cell>
        </row>
        <row r="9403">
          <cell r="A9403" t="str">
            <v>YZ-ZQXZ345-G0-XL</v>
          </cell>
          <cell r="B9403" t="str">
            <v>YZ-ZQXZ345</v>
          </cell>
        </row>
        <row r="9404">
          <cell r="A9404" t="str">
            <v>YZ-ZQXZ345-G0-XL</v>
          </cell>
          <cell r="B9404" t="str">
            <v>YZ-ZQXZ345</v>
          </cell>
        </row>
        <row r="9405">
          <cell r="A9405" t="str">
            <v>YZ-ZQZY456-R0-L</v>
          </cell>
          <cell r="B9405" t="str">
            <v>YZ-ZQZY456</v>
          </cell>
        </row>
        <row r="9406">
          <cell r="A9406" t="str">
            <v>YZ-ZQZY456-R0-L</v>
          </cell>
          <cell r="B9406" t="str">
            <v>YZ-ZQZY456</v>
          </cell>
        </row>
        <row r="9407">
          <cell r="A9407" t="str">
            <v>YZ-ZQZY456-R0-M</v>
          </cell>
          <cell r="B9407" t="str">
            <v>YZ-ZQZY456</v>
          </cell>
        </row>
        <row r="9408">
          <cell r="A9408" t="str">
            <v>YZ-ZQZY456-R0-M</v>
          </cell>
          <cell r="B9408" t="str">
            <v>YZ-ZQZY456</v>
          </cell>
        </row>
        <row r="9409">
          <cell r="A9409" t="str">
            <v>YZ-ZQZY456-R0-S</v>
          </cell>
          <cell r="B9409" t="str">
            <v>YZ-ZQZY456</v>
          </cell>
        </row>
        <row r="9410">
          <cell r="A9410" t="str">
            <v>YZ-ZQZY456-R0-S</v>
          </cell>
          <cell r="B9410" t="str">
            <v>YZ-ZQZY456</v>
          </cell>
        </row>
        <row r="9411">
          <cell r="A9411" t="str">
            <v>ZAKKA0040B035*50CM</v>
          </cell>
          <cell r="B9411" t="str">
            <v>ZAKKA0040B0</v>
          </cell>
        </row>
        <row r="9412">
          <cell r="A9412" t="str">
            <v>ZAKKA0040R035*50CM</v>
          </cell>
          <cell r="B9412" t="str">
            <v>ZAKKA0040R</v>
          </cell>
        </row>
        <row r="9413">
          <cell r="A9413" t="str">
            <v>ZAKKA0466LTW25*65CM</v>
          </cell>
          <cell r="B9413" t="str">
            <v>ZAKKA0466LTW</v>
          </cell>
        </row>
        <row r="9414">
          <cell r="A9414" t="str">
            <v>ZAKKA0589B035*50CM</v>
          </cell>
          <cell r="B9414" t="str">
            <v>ZAKKA0589B0</v>
          </cell>
        </row>
        <row r="9415">
          <cell r="A9415" t="str">
            <v>ZAKKA0589R035*50CM</v>
          </cell>
          <cell r="B9415" t="str">
            <v>ZAKKA0589B0</v>
          </cell>
        </row>
        <row r="9416">
          <cell r="A9416" t="str">
            <v>ZAKKA0630B028*55CM</v>
          </cell>
          <cell r="B9416" t="str">
            <v>ZAKKA0630B0</v>
          </cell>
        </row>
        <row r="9417">
          <cell r="A9417" t="str">
            <v>ZAKKA0630R028*55CM</v>
          </cell>
          <cell r="B9417" t="str">
            <v>ZAKKA0630R0</v>
          </cell>
        </row>
        <row r="9418">
          <cell r="A9418" t="str">
            <v>ZAKKA0631B030*65CM</v>
          </cell>
          <cell r="B9418" t="str">
            <v>ZAKKA0631B0</v>
          </cell>
        </row>
        <row r="9419">
          <cell r="A9419" t="str">
            <v>ZAKKA0631R030*65CM</v>
          </cell>
          <cell r="B9419" t="str">
            <v>ZAKKA0631R0</v>
          </cell>
        </row>
        <row r="9420">
          <cell r="A9420" t="str">
            <v>ZAKKA0633B035*50CM</v>
          </cell>
          <cell r="B9420" t="str">
            <v>ZAKKA0633B0</v>
          </cell>
        </row>
        <row r="9421">
          <cell r="A9421" t="str">
            <v>ZAKKA0633R035*50CM</v>
          </cell>
          <cell r="B9421" t="str">
            <v>ZAKKA0633R0</v>
          </cell>
        </row>
        <row r="9422">
          <cell r="A9422" t="str">
            <v>ZBCSXMXM140*200</v>
          </cell>
          <cell r="B9422" t="str">
            <v>ZBCSXMXM</v>
          </cell>
        </row>
        <row r="9423">
          <cell r="A9423" t="str">
            <v>ZB-IULCY-YMQY100-CF100*140</v>
          </cell>
          <cell r="B9423" t="str">
            <v>ZB-IULCY-YMQY100</v>
          </cell>
        </row>
        <row r="9424">
          <cell r="A9424" t="str">
            <v>ZB-IULCY-YMQY100-CF140*140</v>
          </cell>
          <cell r="B9424" t="str">
            <v>ZB-IULCY-YMQY100</v>
          </cell>
        </row>
        <row r="9425">
          <cell r="A9425" t="str">
            <v>ZB-IULCY-YMQY100-CF140*180</v>
          </cell>
          <cell r="B9425" t="str">
            <v>ZB-IULCY-YMQY100</v>
          </cell>
        </row>
        <row r="9426">
          <cell r="A9426" t="str">
            <v>ZB-IULCY-YMQY100-GR100*140</v>
          </cell>
          <cell r="B9426" t="str">
            <v>ZB-IULCY-YMQY100</v>
          </cell>
        </row>
        <row r="9427">
          <cell r="A9427" t="str">
            <v>ZB-IULCY-YMQY100-GR140*140</v>
          </cell>
          <cell r="B9427" t="str">
            <v>ZB-IULCY-YMQY100</v>
          </cell>
        </row>
        <row r="9428">
          <cell r="A9428" t="str">
            <v>ZB-IULCY-YMQY100-GR140*180</v>
          </cell>
          <cell r="B9428" t="str">
            <v>ZB-IULCY-YMQY100</v>
          </cell>
        </row>
        <row r="9429">
          <cell r="A9429" t="str">
            <v>ZCGTZ-IUCY001-AE</v>
          </cell>
          <cell r="B9429" t="str">
            <v>ZCGTZ-IUCY001</v>
          </cell>
        </row>
        <row r="9430">
          <cell r="A9430" t="str">
            <v>ZHUAPPPJS-S</v>
          </cell>
          <cell r="B9430" t="str">
            <v>ZHUAPPPJS</v>
          </cell>
        </row>
        <row r="9431">
          <cell r="A9431" t="str">
            <v>ZHUAPPPJS-XL</v>
          </cell>
          <cell r="B9431" t="str">
            <v>ZHUAPPPJS</v>
          </cell>
        </row>
        <row r="9432">
          <cell r="A9432" t="str">
            <v>ZHUAPPPRO-XL</v>
          </cell>
          <cell r="B9432" t="str">
            <v>ZHUAPPPRO</v>
          </cell>
        </row>
        <row r="9433">
          <cell r="A9433" t="str">
            <v>ZPSD-LAHM-800-BK-L</v>
          </cell>
          <cell r="B9433" t="str">
            <v>ZPSD-LAHM-800</v>
          </cell>
        </row>
        <row r="9434">
          <cell r="A9434" t="str">
            <v>ZPSD-LAHM-800-BK-S</v>
          </cell>
          <cell r="B9434" t="str">
            <v>ZPSD-LAHM-800</v>
          </cell>
        </row>
        <row r="9435">
          <cell r="A9435" t="str">
            <v>ZS-CF2112-BK-L</v>
          </cell>
          <cell r="B9435" t="str">
            <v>ZS-CF2112</v>
          </cell>
        </row>
        <row r="9436">
          <cell r="A9436" t="str">
            <v>ZS-CF2112-BK-L</v>
          </cell>
          <cell r="B9436" t="str">
            <v>ZS-CF2112</v>
          </cell>
        </row>
        <row r="9437">
          <cell r="A9437" t="str">
            <v>ZS-CF2112-CO-M</v>
          </cell>
          <cell r="B9437" t="str">
            <v>ZS-CF2112</v>
          </cell>
        </row>
        <row r="9438">
          <cell r="A9438" t="str">
            <v>ZS-CF2112-CO-M</v>
          </cell>
          <cell r="B9438" t="str">
            <v>ZS-CF2112</v>
          </cell>
        </row>
        <row r="9439">
          <cell r="A9439" t="str">
            <v>ZS-CF2112-CO-XL</v>
          </cell>
          <cell r="B9439" t="str">
            <v>ZS-CF2112</v>
          </cell>
        </row>
        <row r="9440">
          <cell r="A9440" t="str">
            <v>ZS-CF2112-CO-XL</v>
          </cell>
          <cell r="B9440" t="str">
            <v>ZS-CF2112</v>
          </cell>
        </row>
        <row r="9441">
          <cell r="A9441" t="str">
            <v>ZS-CF2112-OR-L</v>
          </cell>
          <cell r="B9441" t="str">
            <v>ZS-CF2112</v>
          </cell>
        </row>
        <row r="9442">
          <cell r="A9442" t="str">
            <v>ZS-CF2112-OR-L</v>
          </cell>
          <cell r="B9442" t="str">
            <v>ZS-CF2112</v>
          </cell>
        </row>
        <row r="9443">
          <cell r="A9443" t="str">
            <v>ZS-JY2300-BL-JM</v>
          </cell>
          <cell r="B9443" t="str">
            <v>ZS-JY2300</v>
          </cell>
        </row>
        <row r="9444">
          <cell r="A9444" t="str">
            <v>ZS-JY2300-BL-JM</v>
          </cell>
          <cell r="B9444" t="str">
            <v>ZS-JY2300</v>
          </cell>
        </row>
        <row r="9445">
          <cell r="A9445" t="str">
            <v>ZS-JY2300-ZL-JM</v>
          </cell>
          <cell r="B9445" t="str">
            <v>ZS-JY2300</v>
          </cell>
        </row>
        <row r="9446">
          <cell r="A9446" t="str">
            <v>ZS-JY2300-ZL-JM</v>
          </cell>
          <cell r="B9446" t="str">
            <v>ZS-JY2300</v>
          </cell>
        </row>
        <row r="9447">
          <cell r="A9447" t="str">
            <v>ZXXBHO-L</v>
          </cell>
          <cell r="B9447" t="str">
            <v>ZXXBHO</v>
          </cell>
        </row>
        <row r="9448">
          <cell r="A9448" t="str">
            <v>ZXXBHO-S</v>
          </cell>
          <cell r="B9448" t="str">
            <v>ZXXBHO</v>
          </cell>
        </row>
        <row r="9449">
          <cell r="A9449" t="str">
            <v>ZXXBLV-L</v>
          </cell>
          <cell r="B9449" t="str">
            <v>ZXXBLV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9459"/>
  <sheetViews>
    <sheetView tabSelected="1" topLeftCell="K1" workbookViewId="0">
      <selection activeCell="AG1021" sqref="AG2:AG1111"/>
    </sheetView>
  </sheetViews>
  <sheetFormatPr defaultColWidth="9" defaultRowHeight="14.25"/>
  <cols>
    <col min="1" max="1" width="25.375" customWidth="1"/>
    <col min="2" max="2" width="12.625"/>
    <col min="3" max="3" width="18.425" customWidth="1"/>
    <col min="11" max="11" width="19.25" customWidth="1"/>
    <col min="27" max="27" width="9.375"/>
    <col min="31" max="31" width="9.425"/>
    <col min="32" max="32" width="11.5"/>
    <col min="33" max="33" width="15.5666666666667" style="3" customWidth="1"/>
  </cols>
  <sheetData>
    <row r="1" spans="1:3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/>
      <c r="AE1" s="7"/>
      <c r="AF1" s="7"/>
      <c r="AG1" s="8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1</v>
      </c>
      <c r="P2" s="7" t="s">
        <v>40</v>
      </c>
      <c r="Q2" s="7">
        <v>19.99</v>
      </c>
      <c r="R2" s="7">
        <v>1.2</v>
      </c>
      <c r="S2" s="7"/>
      <c r="T2" s="7"/>
      <c r="U2" s="7"/>
      <c r="V2" s="7"/>
      <c r="W2" s="7"/>
      <c r="X2" s="7"/>
      <c r="Y2" s="7" t="s">
        <v>41</v>
      </c>
      <c r="Z2" s="7" t="s">
        <v>42</v>
      </c>
      <c r="AA2" s="7">
        <v>17074</v>
      </c>
      <c r="AB2" s="7" t="s">
        <v>43</v>
      </c>
      <c r="AC2" s="7"/>
      <c r="AD2" s="7"/>
      <c r="AE2" s="7"/>
      <c r="AF2" s="7"/>
      <c r="AG2" s="8">
        <f t="shared" ref="AG2:AG65" si="0">DATEVALUE(LEFT(C2,10))</f>
        <v>43311</v>
      </c>
    </row>
    <row r="3" spans="1:33">
      <c r="A3" s="7" t="s">
        <v>44</v>
      </c>
      <c r="B3" s="7" t="s">
        <v>44</v>
      </c>
      <c r="C3" s="7" t="s">
        <v>45</v>
      </c>
      <c r="D3" s="7" t="s">
        <v>46</v>
      </c>
      <c r="E3" s="7" t="s">
        <v>33</v>
      </c>
      <c r="F3" s="7" t="s">
        <v>34</v>
      </c>
      <c r="G3" s="7" t="s">
        <v>35</v>
      </c>
      <c r="H3" s="7"/>
      <c r="I3" s="7"/>
      <c r="J3" s="7" t="s">
        <v>36</v>
      </c>
      <c r="K3" s="7" t="s">
        <v>47</v>
      </c>
      <c r="L3" s="7" t="s">
        <v>48</v>
      </c>
      <c r="M3" s="7" t="s">
        <v>49</v>
      </c>
      <c r="N3" s="7" t="s">
        <v>33</v>
      </c>
      <c r="O3" s="7">
        <v>1</v>
      </c>
      <c r="P3" s="7" t="s">
        <v>40</v>
      </c>
      <c r="Q3" s="7">
        <v>14.99</v>
      </c>
      <c r="R3" s="7"/>
      <c r="S3" s="7"/>
      <c r="T3" s="7"/>
      <c r="U3" s="7"/>
      <c r="V3" s="7"/>
      <c r="W3" s="7"/>
      <c r="X3" s="7"/>
      <c r="Y3" s="7" t="s">
        <v>50</v>
      </c>
      <c r="Z3" s="7" t="s">
        <v>51</v>
      </c>
      <c r="AA3" s="7">
        <v>48507</v>
      </c>
      <c r="AB3" s="7" t="s">
        <v>43</v>
      </c>
      <c r="AC3" s="7"/>
      <c r="AD3" s="7"/>
      <c r="AE3" s="7"/>
      <c r="AF3" s="7"/>
      <c r="AG3" s="8">
        <f t="shared" si="0"/>
        <v>43311</v>
      </c>
    </row>
    <row r="4" spans="1:33">
      <c r="A4" s="7" t="s">
        <v>52</v>
      </c>
      <c r="B4" s="7" t="s">
        <v>52</v>
      </c>
      <c r="C4" s="7" t="s">
        <v>53</v>
      </c>
      <c r="D4" s="7" t="s">
        <v>54</v>
      </c>
      <c r="E4" s="7" t="s">
        <v>33</v>
      </c>
      <c r="F4" s="7" t="s">
        <v>34</v>
      </c>
      <c r="G4" s="7" t="s">
        <v>35</v>
      </c>
      <c r="H4" s="7"/>
      <c r="I4" s="7"/>
      <c r="J4" s="7" t="s">
        <v>36</v>
      </c>
      <c r="K4" s="7" t="s">
        <v>55</v>
      </c>
      <c r="L4" s="7" t="s">
        <v>56</v>
      </c>
      <c r="M4" s="7" t="s">
        <v>57</v>
      </c>
      <c r="N4" s="7" t="s">
        <v>33</v>
      </c>
      <c r="O4" s="7">
        <v>1</v>
      </c>
      <c r="P4" s="7" t="s">
        <v>40</v>
      </c>
      <c r="Q4" s="7">
        <v>16.99</v>
      </c>
      <c r="R4" s="7"/>
      <c r="S4" s="7"/>
      <c r="T4" s="7"/>
      <c r="U4" s="7"/>
      <c r="V4" s="7"/>
      <c r="W4" s="7"/>
      <c r="X4" s="7"/>
      <c r="Y4" s="7" t="s">
        <v>58</v>
      </c>
      <c r="Z4" s="7" t="s">
        <v>59</v>
      </c>
      <c r="AA4" s="7" t="s">
        <v>60</v>
      </c>
      <c r="AB4" s="7" t="s">
        <v>43</v>
      </c>
      <c r="AC4" s="7"/>
      <c r="AD4" s="7"/>
      <c r="AE4" s="7"/>
      <c r="AF4" s="7"/>
      <c r="AG4" s="8">
        <f t="shared" si="0"/>
        <v>43311</v>
      </c>
    </row>
    <row r="5" spans="1:33">
      <c r="A5" s="7" t="s">
        <v>61</v>
      </c>
      <c r="B5" s="7" t="s">
        <v>61</v>
      </c>
      <c r="C5" s="7" t="s">
        <v>62</v>
      </c>
      <c r="D5" s="7" t="s">
        <v>63</v>
      </c>
      <c r="E5" s="7" t="s">
        <v>33</v>
      </c>
      <c r="F5" s="7" t="s">
        <v>34</v>
      </c>
      <c r="G5" s="7" t="s">
        <v>35</v>
      </c>
      <c r="H5" s="7"/>
      <c r="I5" s="7"/>
      <c r="J5" s="7" t="s">
        <v>64</v>
      </c>
      <c r="K5" s="7" t="s">
        <v>65</v>
      </c>
      <c r="L5" s="7" t="s">
        <v>66</v>
      </c>
      <c r="M5" s="7" t="s">
        <v>67</v>
      </c>
      <c r="N5" s="7" t="s">
        <v>33</v>
      </c>
      <c r="O5" s="7">
        <v>1</v>
      </c>
      <c r="P5" s="7" t="s">
        <v>40</v>
      </c>
      <c r="Q5" s="7">
        <v>21.99</v>
      </c>
      <c r="R5" s="7"/>
      <c r="S5" s="7">
        <v>3.99</v>
      </c>
      <c r="T5" s="7"/>
      <c r="U5" s="7"/>
      <c r="V5" s="7"/>
      <c r="W5" s="7"/>
      <c r="X5" s="7"/>
      <c r="Y5" s="7" t="s">
        <v>68</v>
      </c>
      <c r="Z5" s="7" t="s">
        <v>69</v>
      </c>
      <c r="AA5" s="7" t="s">
        <v>70</v>
      </c>
      <c r="AB5" s="7" t="s">
        <v>43</v>
      </c>
      <c r="AC5" s="7"/>
      <c r="AD5" s="7"/>
      <c r="AE5" s="7"/>
      <c r="AF5" s="7"/>
      <c r="AG5" s="8">
        <f t="shared" si="0"/>
        <v>43311</v>
      </c>
    </row>
    <row r="6" spans="1:33">
      <c r="A6" s="7" t="s">
        <v>71</v>
      </c>
      <c r="B6" s="7" t="s">
        <v>71</v>
      </c>
      <c r="C6" s="7" t="s">
        <v>72</v>
      </c>
      <c r="D6" s="7" t="s">
        <v>73</v>
      </c>
      <c r="E6" s="7" t="s">
        <v>33</v>
      </c>
      <c r="F6" s="7" t="s">
        <v>34</v>
      </c>
      <c r="G6" s="7" t="s">
        <v>35</v>
      </c>
      <c r="H6" s="7"/>
      <c r="I6" s="7"/>
      <c r="J6" s="7" t="s">
        <v>36</v>
      </c>
      <c r="K6" s="7" t="s">
        <v>47</v>
      </c>
      <c r="L6" s="7" t="s">
        <v>74</v>
      </c>
      <c r="M6" s="7" t="s">
        <v>75</v>
      </c>
      <c r="N6" s="7" t="s">
        <v>33</v>
      </c>
      <c r="O6" s="7">
        <v>1</v>
      </c>
      <c r="P6" s="7" t="s">
        <v>40</v>
      </c>
      <c r="Q6" s="7">
        <v>14.99</v>
      </c>
      <c r="R6" s="7"/>
      <c r="S6" s="7"/>
      <c r="T6" s="7"/>
      <c r="U6" s="7"/>
      <c r="V6" s="7"/>
      <c r="W6" s="7"/>
      <c r="X6" s="7"/>
      <c r="Y6" s="7" t="s">
        <v>76</v>
      </c>
      <c r="Z6" s="7" t="s">
        <v>77</v>
      </c>
      <c r="AA6" s="7" t="s">
        <v>78</v>
      </c>
      <c r="AB6" s="7" t="s">
        <v>43</v>
      </c>
      <c r="AC6" s="7"/>
      <c r="AD6" s="7"/>
      <c r="AE6" s="7"/>
      <c r="AF6" s="7"/>
      <c r="AG6" s="8">
        <f t="shared" si="0"/>
        <v>43311</v>
      </c>
    </row>
    <row r="7" spans="1:33">
      <c r="A7" s="7" t="s">
        <v>79</v>
      </c>
      <c r="B7" s="7" t="s">
        <v>79</v>
      </c>
      <c r="C7" s="7" t="s">
        <v>80</v>
      </c>
      <c r="D7" s="7" t="s">
        <v>81</v>
      </c>
      <c r="E7" s="7" t="s">
        <v>33</v>
      </c>
      <c r="F7" s="7" t="s">
        <v>34</v>
      </c>
      <c r="G7" s="7" t="s">
        <v>35</v>
      </c>
      <c r="H7" s="7"/>
      <c r="I7" s="7"/>
      <c r="J7" s="7" t="s">
        <v>36</v>
      </c>
      <c r="K7" s="7" t="s">
        <v>37</v>
      </c>
      <c r="L7" s="7" t="s">
        <v>82</v>
      </c>
      <c r="M7" s="7" t="s">
        <v>83</v>
      </c>
      <c r="N7" s="7" t="s">
        <v>33</v>
      </c>
      <c r="O7" s="7">
        <v>1</v>
      </c>
      <c r="P7" s="7" t="s">
        <v>40</v>
      </c>
      <c r="Q7" s="7">
        <v>19.99</v>
      </c>
      <c r="R7" s="7"/>
      <c r="S7" s="7"/>
      <c r="T7" s="7"/>
      <c r="U7" s="7"/>
      <c r="V7" s="7"/>
      <c r="W7" s="7"/>
      <c r="X7" s="7"/>
      <c r="Y7" s="7" t="s">
        <v>84</v>
      </c>
      <c r="Z7" s="7" t="s">
        <v>85</v>
      </c>
      <c r="AA7" s="7" t="s">
        <v>86</v>
      </c>
      <c r="AB7" s="7" t="s">
        <v>43</v>
      </c>
      <c r="AC7" s="7"/>
      <c r="AD7" s="7"/>
      <c r="AE7" s="7"/>
      <c r="AF7" s="7"/>
      <c r="AG7" s="8">
        <f t="shared" si="0"/>
        <v>43311</v>
      </c>
    </row>
    <row r="8" spans="1:33">
      <c r="A8" s="7" t="s">
        <v>87</v>
      </c>
      <c r="B8" s="7" t="s">
        <v>87</v>
      </c>
      <c r="C8" s="7" t="s">
        <v>88</v>
      </c>
      <c r="D8" s="7" t="s">
        <v>89</v>
      </c>
      <c r="E8" s="7" t="s">
        <v>33</v>
      </c>
      <c r="F8" s="7" t="s">
        <v>34</v>
      </c>
      <c r="G8" s="7" t="s">
        <v>35</v>
      </c>
      <c r="H8" s="7"/>
      <c r="I8" s="7"/>
      <c r="J8" s="7" t="s">
        <v>36</v>
      </c>
      <c r="K8" s="7" t="s">
        <v>90</v>
      </c>
      <c r="L8" s="7" t="s">
        <v>91</v>
      </c>
      <c r="M8" s="7" t="s">
        <v>92</v>
      </c>
      <c r="N8" s="7" t="s">
        <v>33</v>
      </c>
      <c r="O8" s="7">
        <v>1</v>
      </c>
      <c r="P8" s="7" t="s">
        <v>40</v>
      </c>
      <c r="Q8" s="7">
        <v>19.99</v>
      </c>
      <c r="R8" s="7"/>
      <c r="S8" s="7"/>
      <c r="T8" s="7"/>
      <c r="U8" s="7"/>
      <c r="V8" s="7"/>
      <c r="W8" s="7"/>
      <c r="X8" s="7"/>
      <c r="Y8" s="7" t="s">
        <v>93</v>
      </c>
      <c r="Z8" s="7" t="s">
        <v>94</v>
      </c>
      <c r="AA8" s="7" t="s">
        <v>95</v>
      </c>
      <c r="AB8" s="7" t="s">
        <v>43</v>
      </c>
      <c r="AC8" s="7"/>
      <c r="AD8" s="7"/>
      <c r="AE8" s="7"/>
      <c r="AF8" s="7"/>
      <c r="AG8" s="8">
        <f t="shared" si="0"/>
        <v>43311</v>
      </c>
    </row>
    <row r="9" spans="1:33">
      <c r="A9" s="7" t="s">
        <v>96</v>
      </c>
      <c r="B9" s="7" t="s">
        <v>96</v>
      </c>
      <c r="C9" s="7" t="s">
        <v>97</v>
      </c>
      <c r="D9" s="7" t="s">
        <v>98</v>
      </c>
      <c r="E9" s="7" t="s">
        <v>99</v>
      </c>
      <c r="F9" s="7" t="s">
        <v>34</v>
      </c>
      <c r="G9" s="7" t="s">
        <v>35</v>
      </c>
      <c r="H9" s="7"/>
      <c r="I9" s="7"/>
      <c r="J9" s="7" t="s">
        <v>36</v>
      </c>
      <c r="K9" s="7" t="s">
        <v>65</v>
      </c>
      <c r="L9" s="7" t="s">
        <v>66</v>
      </c>
      <c r="M9" s="7" t="s">
        <v>67</v>
      </c>
      <c r="N9" s="7" t="s">
        <v>99</v>
      </c>
      <c r="O9" s="7">
        <v>0</v>
      </c>
      <c r="P9" s="7"/>
      <c r="Q9" s="7"/>
      <c r="R9" s="7"/>
      <c r="S9" s="7"/>
      <c r="T9" s="7"/>
      <c r="U9" s="7"/>
      <c r="V9" s="7"/>
      <c r="W9" s="7"/>
      <c r="X9" s="7"/>
      <c r="Y9" s="7" t="s">
        <v>68</v>
      </c>
      <c r="Z9" s="7" t="s">
        <v>69</v>
      </c>
      <c r="AA9" s="7" t="s">
        <v>70</v>
      </c>
      <c r="AB9" s="7" t="s">
        <v>43</v>
      </c>
      <c r="AC9" s="7"/>
      <c r="AD9" s="7"/>
      <c r="AE9" s="7"/>
      <c r="AF9" s="7"/>
      <c r="AG9" s="8">
        <f t="shared" si="0"/>
        <v>43311</v>
      </c>
    </row>
    <row r="10" spans="1:33">
      <c r="A10" s="7" t="s">
        <v>100</v>
      </c>
      <c r="B10" s="7" t="s">
        <v>100</v>
      </c>
      <c r="C10" s="7" t="s">
        <v>101</v>
      </c>
      <c r="D10" s="7" t="s">
        <v>102</v>
      </c>
      <c r="E10" s="7" t="s">
        <v>33</v>
      </c>
      <c r="F10" s="7" t="s">
        <v>34</v>
      </c>
      <c r="G10" s="7" t="s">
        <v>35</v>
      </c>
      <c r="H10" s="7"/>
      <c r="I10" s="7"/>
      <c r="J10" s="7" t="s">
        <v>36</v>
      </c>
      <c r="K10" s="7" t="s">
        <v>103</v>
      </c>
      <c r="L10" s="7" t="s">
        <v>104</v>
      </c>
      <c r="M10" s="7" t="s">
        <v>105</v>
      </c>
      <c r="N10" s="7" t="s">
        <v>33</v>
      </c>
      <c r="O10" s="7">
        <v>1</v>
      </c>
      <c r="P10" s="7" t="s">
        <v>40</v>
      </c>
      <c r="Q10" s="7">
        <v>18.99</v>
      </c>
      <c r="R10" s="7"/>
      <c r="S10" s="7"/>
      <c r="T10" s="7"/>
      <c r="U10" s="7"/>
      <c r="V10" s="7"/>
      <c r="W10" s="7"/>
      <c r="X10" s="7"/>
      <c r="Y10" s="7" t="s">
        <v>106</v>
      </c>
      <c r="Z10" s="7" t="s">
        <v>51</v>
      </c>
      <c r="AA10" s="7" t="s">
        <v>107</v>
      </c>
      <c r="AB10" s="7" t="s">
        <v>43</v>
      </c>
      <c r="AC10" s="7"/>
      <c r="AD10" s="7"/>
      <c r="AE10" s="7"/>
      <c r="AF10" s="7"/>
      <c r="AG10" s="8">
        <f t="shared" si="0"/>
        <v>43311</v>
      </c>
    </row>
    <row r="11" spans="1:33">
      <c r="A11" s="7" t="s">
        <v>108</v>
      </c>
      <c r="B11" s="7" t="s">
        <v>108</v>
      </c>
      <c r="C11" s="7" t="s">
        <v>109</v>
      </c>
      <c r="D11" s="7" t="s">
        <v>110</v>
      </c>
      <c r="E11" s="7" t="s">
        <v>99</v>
      </c>
      <c r="F11" s="7" t="s">
        <v>34</v>
      </c>
      <c r="G11" s="7" t="s">
        <v>35</v>
      </c>
      <c r="H11" s="7"/>
      <c r="I11" s="7"/>
      <c r="J11" s="7" t="s">
        <v>36</v>
      </c>
      <c r="K11" s="7" t="s">
        <v>111</v>
      </c>
      <c r="L11" s="7" t="s">
        <v>112</v>
      </c>
      <c r="M11" s="7" t="s">
        <v>113</v>
      </c>
      <c r="N11" s="7" t="s">
        <v>99</v>
      </c>
      <c r="O11" s="7">
        <v>0</v>
      </c>
      <c r="P11" s="7"/>
      <c r="Q11" s="7"/>
      <c r="R11" s="7"/>
      <c r="S11" s="7"/>
      <c r="T11" s="7"/>
      <c r="U11" s="7"/>
      <c r="V11" s="7"/>
      <c r="W11" s="7"/>
      <c r="X11" s="7"/>
      <c r="Y11" s="7" t="s">
        <v>114</v>
      </c>
      <c r="Z11" s="7" t="s">
        <v>115</v>
      </c>
      <c r="AA11" s="7" t="s">
        <v>116</v>
      </c>
      <c r="AB11" s="7" t="s">
        <v>43</v>
      </c>
      <c r="AC11" s="7"/>
      <c r="AD11" s="7"/>
      <c r="AE11" s="7"/>
      <c r="AF11" s="7"/>
      <c r="AG11" s="8">
        <f t="shared" si="0"/>
        <v>43311</v>
      </c>
    </row>
    <row r="12" spans="1:33">
      <c r="A12" s="7" t="s">
        <v>117</v>
      </c>
      <c r="B12" s="7" t="s">
        <v>117</v>
      </c>
      <c r="C12" s="7" t="s">
        <v>118</v>
      </c>
      <c r="D12" s="7" t="s">
        <v>119</v>
      </c>
      <c r="E12" s="7" t="s">
        <v>33</v>
      </c>
      <c r="F12" s="7" t="s">
        <v>34</v>
      </c>
      <c r="G12" s="7" t="s">
        <v>35</v>
      </c>
      <c r="H12" s="7"/>
      <c r="I12" s="7"/>
      <c r="J12" s="7" t="s">
        <v>36</v>
      </c>
      <c r="K12" s="7" t="s">
        <v>120</v>
      </c>
      <c r="L12" s="7" t="s">
        <v>121</v>
      </c>
      <c r="M12" s="7" t="s">
        <v>122</v>
      </c>
      <c r="N12" s="7" t="s">
        <v>33</v>
      </c>
      <c r="O12" s="7">
        <v>1</v>
      </c>
      <c r="P12" s="7" t="s">
        <v>40</v>
      </c>
      <c r="Q12" s="7">
        <v>18.99</v>
      </c>
      <c r="R12" s="7"/>
      <c r="S12" s="7"/>
      <c r="T12" s="7"/>
      <c r="U12" s="7"/>
      <c r="V12" s="7"/>
      <c r="W12" s="7"/>
      <c r="X12" s="7"/>
      <c r="Y12" s="7" t="s">
        <v>123</v>
      </c>
      <c r="Z12" s="7" t="s">
        <v>69</v>
      </c>
      <c r="AA12" s="7" t="s">
        <v>124</v>
      </c>
      <c r="AB12" s="7" t="s">
        <v>43</v>
      </c>
      <c r="AC12" s="7"/>
      <c r="AD12" s="7"/>
      <c r="AE12" s="7"/>
      <c r="AF12" s="7"/>
      <c r="AG12" s="8">
        <f t="shared" si="0"/>
        <v>43311</v>
      </c>
    </row>
    <row r="13" spans="1:33">
      <c r="A13" s="7" t="s">
        <v>117</v>
      </c>
      <c r="B13" s="7" t="s">
        <v>117</v>
      </c>
      <c r="C13" s="7" t="s">
        <v>118</v>
      </c>
      <c r="D13" s="7" t="s">
        <v>119</v>
      </c>
      <c r="E13" s="7" t="s">
        <v>33</v>
      </c>
      <c r="F13" s="7" t="s">
        <v>34</v>
      </c>
      <c r="G13" s="7" t="s">
        <v>35</v>
      </c>
      <c r="H13" s="7"/>
      <c r="I13" s="7"/>
      <c r="J13" s="7" t="s">
        <v>36</v>
      </c>
      <c r="K13" s="7" t="s">
        <v>125</v>
      </c>
      <c r="L13" s="7" t="s">
        <v>126</v>
      </c>
      <c r="M13" s="7" t="s">
        <v>127</v>
      </c>
      <c r="N13" s="7" t="s">
        <v>33</v>
      </c>
      <c r="O13" s="7">
        <v>1</v>
      </c>
      <c r="P13" s="7" t="s">
        <v>40</v>
      </c>
      <c r="Q13" s="7">
        <v>18.99</v>
      </c>
      <c r="R13" s="7"/>
      <c r="S13" s="7"/>
      <c r="T13" s="7"/>
      <c r="U13" s="7"/>
      <c r="V13" s="7"/>
      <c r="W13" s="7"/>
      <c r="X13" s="7"/>
      <c r="Y13" s="7" t="s">
        <v>123</v>
      </c>
      <c r="Z13" s="7" t="s">
        <v>69</v>
      </c>
      <c r="AA13" s="7" t="s">
        <v>124</v>
      </c>
      <c r="AB13" s="7" t="s">
        <v>43</v>
      </c>
      <c r="AC13" s="7"/>
      <c r="AD13" s="7"/>
      <c r="AE13" s="7"/>
      <c r="AF13" s="7"/>
      <c r="AG13" s="8">
        <f t="shared" si="0"/>
        <v>43311</v>
      </c>
    </row>
    <row r="14" spans="1:33">
      <c r="A14" s="7" t="s">
        <v>128</v>
      </c>
      <c r="B14" s="7" t="s">
        <v>128</v>
      </c>
      <c r="C14" s="7" t="s">
        <v>129</v>
      </c>
      <c r="D14" s="7" t="s">
        <v>130</v>
      </c>
      <c r="E14" s="7" t="s">
        <v>33</v>
      </c>
      <c r="F14" s="7" t="s">
        <v>34</v>
      </c>
      <c r="G14" s="7" t="s">
        <v>35</v>
      </c>
      <c r="H14" s="7"/>
      <c r="I14" s="7"/>
      <c r="J14" s="7" t="s">
        <v>36</v>
      </c>
      <c r="K14" s="7" t="s">
        <v>131</v>
      </c>
      <c r="L14" s="7" t="s">
        <v>132</v>
      </c>
      <c r="M14" s="7" t="s">
        <v>133</v>
      </c>
      <c r="N14" s="7" t="s">
        <v>33</v>
      </c>
      <c r="O14" s="7">
        <v>1</v>
      </c>
      <c r="P14" s="7" t="s">
        <v>40</v>
      </c>
      <c r="Q14" s="7">
        <v>18.99</v>
      </c>
      <c r="R14" s="7"/>
      <c r="S14" s="7"/>
      <c r="T14" s="7"/>
      <c r="U14" s="7"/>
      <c r="V14" s="7"/>
      <c r="W14" s="7"/>
      <c r="X14" s="7"/>
      <c r="Y14" s="7" t="s">
        <v>134</v>
      </c>
      <c r="Z14" s="7" t="s">
        <v>135</v>
      </c>
      <c r="AA14" s="7" t="s">
        <v>136</v>
      </c>
      <c r="AB14" s="7" t="s">
        <v>43</v>
      </c>
      <c r="AC14" s="7"/>
      <c r="AD14" s="7"/>
      <c r="AE14" s="7"/>
      <c r="AF14" s="7"/>
      <c r="AG14" s="8">
        <f t="shared" si="0"/>
        <v>43311</v>
      </c>
    </row>
    <row r="15" spans="1:33">
      <c r="A15" s="7" t="s">
        <v>137</v>
      </c>
      <c r="B15" s="7" t="s">
        <v>137</v>
      </c>
      <c r="C15" s="7" t="s">
        <v>138</v>
      </c>
      <c r="D15" s="7" t="s">
        <v>139</v>
      </c>
      <c r="E15" s="7" t="s">
        <v>33</v>
      </c>
      <c r="F15" s="7" t="s">
        <v>34</v>
      </c>
      <c r="G15" s="7" t="s">
        <v>35</v>
      </c>
      <c r="H15" s="7"/>
      <c r="I15" s="7"/>
      <c r="J15" s="7" t="s">
        <v>36</v>
      </c>
      <c r="K15" s="7" t="s">
        <v>90</v>
      </c>
      <c r="L15" s="7" t="s">
        <v>140</v>
      </c>
      <c r="M15" s="7" t="s">
        <v>141</v>
      </c>
      <c r="N15" s="7" t="s">
        <v>33</v>
      </c>
      <c r="O15" s="7">
        <v>1</v>
      </c>
      <c r="P15" s="7" t="s">
        <v>40</v>
      </c>
      <c r="Q15" s="7">
        <v>19.99</v>
      </c>
      <c r="R15" s="7"/>
      <c r="S15" s="7"/>
      <c r="T15" s="7"/>
      <c r="U15" s="7"/>
      <c r="V15" s="7"/>
      <c r="W15" s="7"/>
      <c r="X15" s="7"/>
      <c r="Y15" s="7" t="s">
        <v>142</v>
      </c>
      <c r="Z15" s="7" t="s">
        <v>143</v>
      </c>
      <c r="AA15" s="7" t="s">
        <v>144</v>
      </c>
      <c r="AB15" s="7" t="s">
        <v>43</v>
      </c>
      <c r="AC15" s="7"/>
      <c r="AD15" s="7"/>
      <c r="AE15" s="7"/>
      <c r="AF15" s="7"/>
      <c r="AG15" s="8">
        <f t="shared" si="0"/>
        <v>43311</v>
      </c>
    </row>
    <row r="16" spans="1:33">
      <c r="A16" s="7" t="s">
        <v>145</v>
      </c>
      <c r="B16" s="7" t="s">
        <v>145</v>
      </c>
      <c r="C16" s="7" t="s">
        <v>146</v>
      </c>
      <c r="D16" s="7" t="s">
        <v>147</v>
      </c>
      <c r="E16" s="7" t="s">
        <v>33</v>
      </c>
      <c r="F16" s="7" t="s">
        <v>34</v>
      </c>
      <c r="G16" s="7" t="s">
        <v>35</v>
      </c>
      <c r="H16" s="7"/>
      <c r="I16" s="7"/>
      <c r="J16" s="7" t="s">
        <v>36</v>
      </c>
      <c r="K16" s="7" t="s">
        <v>65</v>
      </c>
      <c r="L16" s="7" t="s">
        <v>148</v>
      </c>
      <c r="M16" s="7" t="s">
        <v>149</v>
      </c>
      <c r="N16" s="7" t="s">
        <v>33</v>
      </c>
      <c r="O16" s="7">
        <v>1</v>
      </c>
      <c r="P16" s="7" t="s">
        <v>40</v>
      </c>
      <c r="Q16" s="7">
        <v>21.99</v>
      </c>
      <c r="R16" s="7"/>
      <c r="S16" s="7"/>
      <c r="T16" s="7"/>
      <c r="U16" s="7"/>
      <c r="V16" s="7"/>
      <c r="W16" s="7"/>
      <c r="X16" s="7"/>
      <c r="Y16" s="7" t="s">
        <v>150</v>
      </c>
      <c r="Z16" s="7" t="s">
        <v>59</v>
      </c>
      <c r="AA16" s="7" t="s">
        <v>151</v>
      </c>
      <c r="AB16" s="7" t="s">
        <v>43</v>
      </c>
      <c r="AC16" s="7"/>
      <c r="AD16" s="7"/>
      <c r="AE16" s="7"/>
      <c r="AF16" s="7"/>
      <c r="AG16" s="8">
        <f t="shared" si="0"/>
        <v>43311</v>
      </c>
    </row>
    <row r="17" spans="1:33">
      <c r="A17" s="7" t="s">
        <v>152</v>
      </c>
      <c r="B17" s="7" t="s">
        <v>152</v>
      </c>
      <c r="C17" s="7" t="s">
        <v>153</v>
      </c>
      <c r="D17" s="7" t="s">
        <v>154</v>
      </c>
      <c r="E17" s="7" t="s">
        <v>33</v>
      </c>
      <c r="F17" s="7" t="s">
        <v>34</v>
      </c>
      <c r="G17" s="7" t="s">
        <v>35</v>
      </c>
      <c r="H17" s="7"/>
      <c r="I17" s="7"/>
      <c r="J17" s="7" t="s">
        <v>36</v>
      </c>
      <c r="K17" s="7" t="s">
        <v>155</v>
      </c>
      <c r="L17" s="7" t="s">
        <v>156</v>
      </c>
      <c r="M17" s="7" t="s">
        <v>157</v>
      </c>
      <c r="N17" s="7" t="s">
        <v>33</v>
      </c>
      <c r="O17" s="7">
        <v>1</v>
      </c>
      <c r="P17" s="7" t="s">
        <v>40</v>
      </c>
      <c r="Q17" s="7">
        <v>19.99</v>
      </c>
      <c r="R17" s="7"/>
      <c r="S17" s="7"/>
      <c r="T17" s="7"/>
      <c r="U17" s="7"/>
      <c r="V17" s="7"/>
      <c r="W17" s="7"/>
      <c r="X17" s="7"/>
      <c r="Y17" s="7" t="s">
        <v>158</v>
      </c>
      <c r="Z17" s="7" t="s">
        <v>59</v>
      </c>
      <c r="AA17" s="7">
        <v>91342</v>
      </c>
      <c r="AB17" s="7" t="s">
        <v>43</v>
      </c>
      <c r="AC17" s="7"/>
      <c r="AD17" s="7"/>
      <c r="AE17" s="7"/>
      <c r="AF17" s="7"/>
      <c r="AG17" s="8">
        <f t="shared" si="0"/>
        <v>43311</v>
      </c>
    </row>
    <row r="18" spans="1:33">
      <c r="A18" s="7" t="s">
        <v>159</v>
      </c>
      <c r="B18" s="7" t="s">
        <v>159</v>
      </c>
      <c r="C18" s="7" t="s">
        <v>160</v>
      </c>
      <c r="D18" s="7" t="s">
        <v>161</v>
      </c>
      <c r="E18" s="7" t="s">
        <v>33</v>
      </c>
      <c r="F18" s="7" t="s">
        <v>34</v>
      </c>
      <c r="G18" s="7" t="s">
        <v>35</v>
      </c>
      <c r="H18" s="7"/>
      <c r="I18" s="7"/>
      <c r="J18" s="7" t="s">
        <v>36</v>
      </c>
      <c r="K18" s="7" t="s">
        <v>37</v>
      </c>
      <c r="L18" s="7" t="s">
        <v>162</v>
      </c>
      <c r="M18" s="7" t="s">
        <v>163</v>
      </c>
      <c r="N18" s="7" t="s">
        <v>33</v>
      </c>
      <c r="O18" s="7">
        <v>1</v>
      </c>
      <c r="P18" s="7" t="s">
        <v>40</v>
      </c>
      <c r="Q18" s="7">
        <v>19.99</v>
      </c>
      <c r="R18" s="7"/>
      <c r="S18" s="7"/>
      <c r="T18" s="7"/>
      <c r="U18" s="7"/>
      <c r="V18" s="7"/>
      <c r="W18" s="7"/>
      <c r="X18" s="7"/>
      <c r="Y18" s="7" t="s">
        <v>164</v>
      </c>
      <c r="Z18" s="7" t="s">
        <v>165</v>
      </c>
      <c r="AA18" s="7" t="s">
        <v>166</v>
      </c>
      <c r="AB18" s="7" t="s">
        <v>43</v>
      </c>
      <c r="AC18" s="7"/>
      <c r="AD18" s="7"/>
      <c r="AE18" s="7"/>
      <c r="AF18" s="7"/>
      <c r="AG18" s="8">
        <f t="shared" si="0"/>
        <v>43311</v>
      </c>
    </row>
    <row r="19" spans="1:33">
      <c r="A19" s="7" t="s">
        <v>167</v>
      </c>
      <c r="B19" s="7" t="s">
        <v>167</v>
      </c>
      <c r="C19" s="7" t="s">
        <v>168</v>
      </c>
      <c r="D19" s="7" t="s">
        <v>169</v>
      </c>
      <c r="E19" s="7" t="s">
        <v>33</v>
      </c>
      <c r="F19" s="7" t="s">
        <v>34</v>
      </c>
      <c r="G19" s="7" t="s">
        <v>35</v>
      </c>
      <c r="H19" s="7"/>
      <c r="I19" s="7"/>
      <c r="J19" s="7" t="s">
        <v>36</v>
      </c>
      <c r="K19" s="7" t="s">
        <v>170</v>
      </c>
      <c r="L19" s="7" t="s">
        <v>171</v>
      </c>
      <c r="M19" s="7" t="s">
        <v>172</v>
      </c>
      <c r="N19" s="7" t="s">
        <v>33</v>
      </c>
      <c r="O19" s="7">
        <v>1</v>
      </c>
      <c r="P19" s="7" t="s">
        <v>40</v>
      </c>
      <c r="Q19" s="7">
        <v>19.38</v>
      </c>
      <c r="R19" s="7"/>
      <c r="S19" s="7"/>
      <c r="T19" s="7"/>
      <c r="U19" s="7"/>
      <c r="V19" s="7"/>
      <c r="W19" s="7"/>
      <c r="X19" s="7"/>
      <c r="Y19" s="7" t="s">
        <v>173</v>
      </c>
      <c r="Z19" s="7" t="s">
        <v>174</v>
      </c>
      <c r="AA19" s="7" t="s">
        <v>175</v>
      </c>
      <c r="AB19" s="7" t="s">
        <v>43</v>
      </c>
      <c r="AC19" s="7"/>
      <c r="AD19" s="7"/>
      <c r="AE19" s="7"/>
      <c r="AF19" s="7"/>
      <c r="AG19" s="8">
        <f t="shared" si="0"/>
        <v>43311</v>
      </c>
    </row>
    <row r="20" spans="1:33">
      <c r="A20" s="7" t="s">
        <v>167</v>
      </c>
      <c r="B20" s="7" t="s">
        <v>167</v>
      </c>
      <c r="C20" s="7" t="s">
        <v>168</v>
      </c>
      <c r="D20" s="7" t="s">
        <v>169</v>
      </c>
      <c r="E20" s="7" t="s">
        <v>33</v>
      </c>
      <c r="F20" s="7" t="s">
        <v>34</v>
      </c>
      <c r="G20" s="7" t="s">
        <v>35</v>
      </c>
      <c r="H20" s="7"/>
      <c r="I20" s="7"/>
      <c r="J20" s="7" t="s">
        <v>36</v>
      </c>
      <c r="K20" s="7" t="s">
        <v>176</v>
      </c>
      <c r="L20" s="7" t="s">
        <v>177</v>
      </c>
      <c r="M20" s="7" t="s">
        <v>178</v>
      </c>
      <c r="N20" s="7" t="s">
        <v>33</v>
      </c>
      <c r="O20" s="7">
        <v>1</v>
      </c>
      <c r="P20" s="7" t="s">
        <v>40</v>
      </c>
      <c r="Q20" s="7">
        <v>19.99</v>
      </c>
      <c r="R20" s="7"/>
      <c r="S20" s="7"/>
      <c r="T20" s="7"/>
      <c r="U20" s="7"/>
      <c r="V20" s="7"/>
      <c r="W20" s="7"/>
      <c r="X20" s="7"/>
      <c r="Y20" s="7" t="s">
        <v>173</v>
      </c>
      <c r="Z20" s="7" t="s">
        <v>174</v>
      </c>
      <c r="AA20" s="7" t="s">
        <v>175</v>
      </c>
      <c r="AB20" s="7" t="s">
        <v>43</v>
      </c>
      <c r="AC20" s="7"/>
      <c r="AD20" s="7"/>
      <c r="AE20" s="7"/>
      <c r="AF20" s="7"/>
      <c r="AG20" s="8">
        <f t="shared" si="0"/>
        <v>43311</v>
      </c>
    </row>
    <row r="21" spans="1:33">
      <c r="A21" s="7" t="s">
        <v>179</v>
      </c>
      <c r="B21" s="7" t="s">
        <v>179</v>
      </c>
      <c r="C21" s="7" t="s">
        <v>180</v>
      </c>
      <c r="D21" s="7" t="s">
        <v>181</v>
      </c>
      <c r="E21" s="7" t="s">
        <v>99</v>
      </c>
      <c r="F21" s="7" t="s">
        <v>34</v>
      </c>
      <c r="G21" s="7" t="s">
        <v>35</v>
      </c>
      <c r="H21" s="7"/>
      <c r="I21" s="7"/>
      <c r="J21" s="7" t="s">
        <v>36</v>
      </c>
      <c r="K21" s="7" t="s">
        <v>176</v>
      </c>
      <c r="L21" s="7" t="s">
        <v>177</v>
      </c>
      <c r="M21" s="7" t="s">
        <v>178</v>
      </c>
      <c r="N21" s="7" t="s">
        <v>99</v>
      </c>
      <c r="O21" s="7">
        <v>0</v>
      </c>
      <c r="P21" s="7"/>
      <c r="Q21" s="7"/>
      <c r="R21" s="7"/>
      <c r="S21" s="7"/>
      <c r="T21" s="7"/>
      <c r="U21" s="7"/>
      <c r="V21" s="7"/>
      <c r="W21" s="7"/>
      <c r="X21" s="7"/>
      <c r="Y21" s="7" t="s">
        <v>182</v>
      </c>
      <c r="Z21" s="7" t="s">
        <v>135</v>
      </c>
      <c r="AA21" s="7" t="s">
        <v>183</v>
      </c>
      <c r="AB21" s="7" t="s">
        <v>43</v>
      </c>
      <c r="AC21" s="7"/>
      <c r="AD21" s="7"/>
      <c r="AE21" s="7"/>
      <c r="AF21" s="7"/>
      <c r="AG21" s="8">
        <f t="shared" si="0"/>
        <v>43311</v>
      </c>
    </row>
    <row r="22" spans="1:33">
      <c r="A22" s="7" t="s">
        <v>179</v>
      </c>
      <c r="B22" s="7" t="s">
        <v>179</v>
      </c>
      <c r="C22" s="7" t="s">
        <v>180</v>
      </c>
      <c r="D22" s="7" t="s">
        <v>181</v>
      </c>
      <c r="E22" s="7" t="s">
        <v>99</v>
      </c>
      <c r="F22" s="7" t="s">
        <v>34</v>
      </c>
      <c r="G22" s="7" t="s">
        <v>35</v>
      </c>
      <c r="H22" s="7"/>
      <c r="I22" s="7"/>
      <c r="J22" s="7" t="s">
        <v>36</v>
      </c>
      <c r="K22" s="7" t="s">
        <v>170</v>
      </c>
      <c r="L22" s="7" t="s">
        <v>171</v>
      </c>
      <c r="M22" s="7" t="s">
        <v>172</v>
      </c>
      <c r="N22" s="7" t="s">
        <v>99</v>
      </c>
      <c r="O22" s="7">
        <v>0</v>
      </c>
      <c r="P22" s="7"/>
      <c r="Q22" s="7"/>
      <c r="R22" s="7"/>
      <c r="S22" s="7"/>
      <c r="T22" s="7"/>
      <c r="U22" s="7"/>
      <c r="V22" s="7"/>
      <c r="W22" s="7"/>
      <c r="X22" s="7"/>
      <c r="Y22" s="7" t="s">
        <v>182</v>
      </c>
      <c r="Z22" s="7" t="s">
        <v>135</v>
      </c>
      <c r="AA22" s="7" t="s">
        <v>183</v>
      </c>
      <c r="AB22" s="7" t="s">
        <v>43</v>
      </c>
      <c r="AC22" s="7"/>
      <c r="AD22" s="7"/>
      <c r="AE22" s="7"/>
      <c r="AF22" s="7"/>
      <c r="AG22" s="8">
        <f t="shared" si="0"/>
        <v>43311</v>
      </c>
    </row>
    <row r="23" spans="1:33">
      <c r="A23" s="7" t="s">
        <v>184</v>
      </c>
      <c r="B23" s="7" t="s">
        <v>184</v>
      </c>
      <c r="C23" s="7" t="s">
        <v>185</v>
      </c>
      <c r="D23" s="7" t="s">
        <v>186</v>
      </c>
      <c r="E23" s="7" t="s">
        <v>33</v>
      </c>
      <c r="F23" s="7" t="s">
        <v>34</v>
      </c>
      <c r="G23" s="7" t="s">
        <v>35</v>
      </c>
      <c r="H23" s="7"/>
      <c r="I23" s="7"/>
      <c r="J23" s="7" t="s">
        <v>36</v>
      </c>
      <c r="K23" s="7" t="s">
        <v>131</v>
      </c>
      <c r="L23" s="7" t="s">
        <v>132</v>
      </c>
      <c r="M23" s="7" t="s">
        <v>133</v>
      </c>
      <c r="N23" s="7" t="s">
        <v>33</v>
      </c>
      <c r="O23" s="7">
        <v>1</v>
      </c>
      <c r="P23" s="7" t="s">
        <v>40</v>
      </c>
      <c r="Q23" s="7">
        <v>18.99</v>
      </c>
      <c r="R23" s="7"/>
      <c r="S23" s="7"/>
      <c r="T23" s="7"/>
      <c r="U23" s="7"/>
      <c r="V23" s="7"/>
      <c r="W23" s="7"/>
      <c r="X23" s="7"/>
      <c r="Y23" s="7" t="s">
        <v>187</v>
      </c>
      <c r="Z23" s="7" t="s">
        <v>59</v>
      </c>
      <c r="AA23" s="7">
        <v>95118</v>
      </c>
      <c r="AB23" s="7" t="s">
        <v>43</v>
      </c>
      <c r="AC23" s="7"/>
      <c r="AD23" s="7"/>
      <c r="AE23" s="7"/>
      <c r="AF23" s="7"/>
      <c r="AG23" s="8">
        <f t="shared" si="0"/>
        <v>43311</v>
      </c>
    </row>
    <row r="24" spans="1:33">
      <c r="A24" s="7" t="s">
        <v>188</v>
      </c>
      <c r="B24" s="7" t="s">
        <v>188</v>
      </c>
      <c r="C24" s="7" t="s">
        <v>189</v>
      </c>
      <c r="D24" s="7" t="s">
        <v>190</v>
      </c>
      <c r="E24" s="7" t="s">
        <v>33</v>
      </c>
      <c r="F24" s="7" t="s">
        <v>34</v>
      </c>
      <c r="G24" s="7" t="s">
        <v>35</v>
      </c>
      <c r="H24" s="7"/>
      <c r="I24" s="7"/>
      <c r="J24" s="7" t="s">
        <v>36</v>
      </c>
      <c r="K24" s="7" t="s">
        <v>90</v>
      </c>
      <c r="L24" s="7" t="s">
        <v>191</v>
      </c>
      <c r="M24" s="7" t="s">
        <v>192</v>
      </c>
      <c r="N24" s="7" t="s">
        <v>33</v>
      </c>
      <c r="O24" s="7">
        <v>1</v>
      </c>
      <c r="P24" s="7" t="s">
        <v>40</v>
      </c>
      <c r="Q24" s="7">
        <v>19.99</v>
      </c>
      <c r="R24" s="7"/>
      <c r="S24" s="7"/>
      <c r="T24" s="7"/>
      <c r="U24" s="7"/>
      <c r="V24" s="7"/>
      <c r="W24" s="7"/>
      <c r="X24" s="7"/>
      <c r="Y24" s="7" t="s">
        <v>193</v>
      </c>
      <c r="Z24" s="7" t="s">
        <v>194</v>
      </c>
      <c r="AA24" s="7" t="s">
        <v>195</v>
      </c>
      <c r="AB24" s="7" t="s">
        <v>43</v>
      </c>
      <c r="AC24" s="7"/>
      <c r="AD24" s="7"/>
      <c r="AE24" s="7"/>
      <c r="AF24" s="7"/>
      <c r="AG24" s="8">
        <f t="shared" si="0"/>
        <v>43311</v>
      </c>
    </row>
    <row r="25" spans="1:33">
      <c r="A25" s="7" t="s">
        <v>196</v>
      </c>
      <c r="B25" s="7" t="s">
        <v>196</v>
      </c>
      <c r="C25" s="7" t="s">
        <v>197</v>
      </c>
      <c r="D25" s="7" t="s">
        <v>198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36</v>
      </c>
      <c r="K25" s="7" t="s">
        <v>199</v>
      </c>
      <c r="L25" s="7" t="s">
        <v>200</v>
      </c>
      <c r="M25" s="7" t="s">
        <v>201</v>
      </c>
      <c r="N25" s="7" t="s">
        <v>33</v>
      </c>
      <c r="O25" s="7">
        <v>1</v>
      </c>
      <c r="P25" s="7" t="s">
        <v>40</v>
      </c>
      <c r="Q25" s="7">
        <v>18.99</v>
      </c>
      <c r="R25" s="7"/>
      <c r="S25" s="7"/>
      <c r="T25" s="7"/>
      <c r="U25" s="7"/>
      <c r="V25" s="7"/>
      <c r="W25" s="7"/>
      <c r="X25" s="7"/>
      <c r="Y25" s="7" t="s">
        <v>202</v>
      </c>
      <c r="Z25" s="7" t="s">
        <v>94</v>
      </c>
      <c r="AA25" s="7" t="s">
        <v>203</v>
      </c>
      <c r="AB25" s="7" t="s">
        <v>43</v>
      </c>
      <c r="AC25" s="7"/>
      <c r="AD25" s="7"/>
      <c r="AE25" s="7"/>
      <c r="AF25" s="7"/>
      <c r="AG25" s="8">
        <f t="shared" si="0"/>
        <v>43311</v>
      </c>
    </row>
    <row r="26" spans="1:33">
      <c r="A26" s="7" t="s">
        <v>204</v>
      </c>
      <c r="B26" s="7" t="s">
        <v>204</v>
      </c>
      <c r="C26" s="7" t="s">
        <v>205</v>
      </c>
      <c r="D26" s="7" t="s">
        <v>206</v>
      </c>
      <c r="E26" s="7" t="s">
        <v>33</v>
      </c>
      <c r="F26" s="7" t="s">
        <v>34</v>
      </c>
      <c r="G26" s="7" t="s">
        <v>35</v>
      </c>
      <c r="H26" s="7"/>
      <c r="I26" s="7"/>
      <c r="J26" s="7" t="s">
        <v>36</v>
      </c>
      <c r="K26" s="7" t="s">
        <v>207</v>
      </c>
      <c r="L26" s="7" t="s">
        <v>208</v>
      </c>
      <c r="M26" s="7" t="s">
        <v>209</v>
      </c>
      <c r="N26" s="7" t="s">
        <v>33</v>
      </c>
      <c r="O26" s="7">
        <v>1</v>
      </c>
      <c r="P26" s="7" t="s">
        <v>40</v>
      </c>
      <c r="Q26" s="7">
        <v>19.38</v>
      </c>
      <c r="R26" s="7"/>
      <c r="S26" s="7"/>
      <c r="T26" s="7"/>
      <c r="U26" s="7"/>
      <c r="V26" s="7"/>
      <c r="W26" s="7"/>
      <c r="X26" s="7"/>
      <c r="Y26" s="7" t="s">
        <v>210</v>
      </c>
      <c r="Z26" s="7" t="s">
        <v>135</v>
      </c>
      <c r="AA26" s="7" t="s">
        <v>211</v>
      </c>
      <c r="AB26" s="7" t="s">
        <v>43</v>
      </c>
      <c r="AC26" s="7"/>
      <c r="AD26" s="7"/>
      <c r="AE26" s="7"/>
      <c r="AF26" s="7"/>
      <c r="AG26" s="8">
        <f t="shared" si="0"/>
        <v>43311</v>
      </c>
    </row>
    <row r="27" spans="1:33">
      <c r="A27" s="7" t="s">
        <v>212</v>
      </c>
      <c r="B27" s="7" t="s">
        <v>212</v>
      </c>
      <c r="C27" s="7" t="s">
        <v>213</v>
      </c>
      <c r="D27" s="7" t="s">
        <v>214</v>
      </c>
      <c r="E27" s="7" t="s">
        <v>33</v>
      </c>
      <c r="F27" s="7" t="s">
        <v>34</v>
      </c>
      <c r="G27" s="7" t="s">
        <v>35</v>
      </c>
      <c r="H27" s="7"/>
      <c r="I27" s="7"/>
      <c r="J27" s="7" t="s">
        <v>36</v>
      </c>
      <c r="K27" s="7" t="s">
        <v>215</v>
      </c>
      <c r="L27" s="7" t="s">
        <v>216</v>
      </c>
      <c r="M27" s="7" t="s">
        <v>217</v>
      </c>
      <c r="N27" s="7" t="s">
        <v>33</v>
      </c>
      <c r="O27" s="7">
        <v>1</v>
      </c>
      <c r="P27" s="7" t="s">
        <v>40</v>
      </c>
      <c r="Q27" s="7">
        <v>18.99</v>
      </c>
      <c r="R27" s="7"/>
      <c r="S27" s="7"/>
      <c r="T27" s="7"/>
      <c r="U27" s="7"/>
      <c r="V27" s="7"/>
      <c r="W27" s="7"/>
      <c r="X27" s="7"/>
      <c r="Y27" s="7" t="s">
        <v>218</v>
      </c>
      <c r="Z27" s="7" t="s">
        <v>219</v>
      </c>
      <c r="AA27" s="7" t="s">
        <v>220</v>
      </c>
      <c r="AB27" s="7" t="s">
        <v>43</v>
      </c>
      <c r="AC27" s="7"/>
      <c r="AD27" s="7"/>
      <c r="AE27" s="7"/>
      <c r="AF27" s="7"/>
      <c r="AG27" s="8">
        <f t="shared" si="0"/>
        <v>43311</v>
      </c>
    </row>
    <row r="28" spans="1:33">
      <c r="A28" s="7" t="s">
        <v>221</v>
      </c>
      <c r="B28" s="7" t="s">
        <v>221</v>
      </c>
      <c r="C28" s="7" t="s">
        <v>222</v>
      </c>
      <c r="D28" s="7" t="s">
        <v>223</v>
      </c>
      <c r="E28" s="7" t="s">
        <v>33</v>
      </c>
      <c r="F28" s="7" t="s">
        <v>34</v>
      </c>
      <c r="G28" s="7" t="s">
        <v>35</v>
      </c>
      <c r="H28" s="7"/>
      <c r="I28" s="7"/>
      <c r="J28" s="7" t="s">
        <v>36</v>
      </c>
      <c r="K28" s="7" t="s">
        <v>37</v>
      </c>
      <c r="L28" s="7" t="s">
        <v>224</v>
      </c>
      <c r="M28" s="7" t="s">
        <v>225</v>
      </c>
      <c r="N28" s="7" t="s">
        <v>33</v>
      </c>
      <c r="O28" s="7">
        <v>1</v>
      </c>
      <c r="P28" s="7" t="s">
        <v>40</v>
      </c>
      <c r="Q28" s="7">
        <v>19.99</v>
      </c>
      <c r="R28" s="7"/>
      <c r="S28" s="7"/>
      <c r="T28" s="7"/>
      <c r="U28" s="7"/>
      <c r="V28" s="7"/>
      <c r="W28" s="7"/>
      <c r="X28" s="7"/>
      <c r="Y28" s="7" t="s">
        <v>226</v>
      </c>
      <c r="Z28" s="7" t="s">
        <v>227</v>
      </c>
      <c r="AA28" s="7" t="s">
        <v>228</v>
      </c>
      <c r="AB28" s="7" t="s">
        <v>43</v>
      </c>
      <c r="AC28" s="7"/>
      <c r="AD28" s="7"/>
      <c r="AE28" s="7"/>
      <c r="AF28" s="7"/>
      <c r="AG28" s="8">
        <f t="shared" si="0"/>
        <v>43311</v>
      </c>
    </row>
    <row r="29" spans="1:33">
      <c r="A29" s="7" t="s">
        <v>229</v>
      </c>
      <c r="B29" s="7" t="s">
        <v>229</v>
      </c>
      <c r="C29" s="7" t="s">
        <v>230</v>
      </c>
      <c r="D29" s="7" t="s">
        <v>231</v>
      </c>
      <c r="E29" s="7" t="s">
        <v>33</v>
      </c>
      <c r="F29" s="7" t="s">
        <v>34</v>
      </c>
      <c r="G29" s="7" t="s">
        <v>35</v>
      </c>
      <c r="H29" s="7"/>
      <c r="I29" s="7"/>
      <c r="J29" s="7" t="s">
        <v>36</v>
      </c>
      <c r="K29" s="7" t="s">
        <v>232</v>
      </c>
      <c r="L29" s="7" t="s">
        <v>233</v>
      </c>
      <c r="M29" s="7" t="s">
        <v>234</v>
      </c>
      <c r="N29" s="7" t="s">
        <v>33</v>
      </c>
      <c r="O29" s="7">
        <v>1</v>
      </c>
      <c r="P29" s="7" t="s">
        <v>40</v>
      </c>
      <c r="Q29" s="7">
        <v>21.99</v>
      </c>
      <c r="R29" s="7"/>
      <c r="S29" s="7"/>
      <c r="T29" s="7"/>
      <c r="U29" s="7"/>
      <c r="V29" s="7"/>
      <c r="W29" s="7"/>
      <c r="X29" s="7"/>
      <c r="Y29" s="7" t="s">
        <v>235</v>
      </c>
      <c r="Z29" s="7" t="s">
        <v>236</v>
      </c>
      <c r="AA29" s="7">
        <v>92648</v>
      </c>
      <c r="AB29" s="7" t="s">
        <v>43</v>
      </c>
      <c r="AC29" s="7"/>
      <c r="AD29" s="7"/>
      <c r="AE29" s="7"/>
      <c r="AF29" s="7"/>
      <c r="AG29" s="8">
        <f t="shared" si="0"/>
        <v>43311</v>
      </c>
    </row>
    <row r="30" spans="1:33">
      <c r="A30" s="7" t="s">
        <v>237</v>
      </c>
      <c r="B30" s="7" t="s">
        <v>237</v>
      </c>
      <c r="C30" s="7" t="s">
        <v>238</v>
      </c>
      <c r="D30" s="7" t="s">
        <v>239</v>
      </c>
      <c r="E30" s="7" t="s">
        <v>33</v>
      </c>
      <c r="F30" s="7" t="s">
        <v>34</v>
      </c>
      <c r="G30" s="7" t="s">
        <v>35</v>
      </c>
      <c r="H30" s="7"/>
      <c r="I30" s="7"/>
      <c r="J30" s="7" t="s">
        <v>36</v>
      </c>
      <c r="K30" s="7" t="s">
        <v>37</v>
      </c>
      <c r="L30" s="7" t="s">
        <v>240</v>
      </c>
      <c r="M30" s="7" t="s">
        <v>241</v>
      </c>
      <c r="N30" s="7" t="s">
        <v>33</v>
      </c>
      <c r="O30" s="7">
        <v>1</v>
      </c>
      <c r="P30" s="7" t="s">
        <v>40</v>
      </c>
      <c r="Q30" s="7">
        <v>19.99</v>
      </c>
      <c r="R30" s="7"/>
      <c r="S30" s="7"/>
      <c r="T30" s="7"/>
      <c r="U30" s="7"/>
      <c r="V30" s="7"/>
      <c r="W30" s="7"/>
      <c r="X30" s="7"/>
      <c r="Y30" s="7" t="s">
        <v>242</v>
      </c>
      <c r="Z30" s="7" t="s">
        <v>227</v>
      </c>
      <c r="AA30" s="7" t="s">
        <v>243</v>
      </c>
      <c r="AB30" s="7" t="s">
        <v>43</v>
      </c>
      <c r="AC30" s="7"/>
      <c r="AD30" s="7"/>
      <c r="AE30" s="7"/>
      <c r="AF30" s="7"/>
      <c r="AG30" s="8">
        <f t="shared" si="0"/>
        <v>43311</v>
      </c>
    </row>
    <row r="31" spans="1:33">
      <c r="A31" s="7" t="s">
        <v>244</v>
      </c>
      <c r="B31" s="7" t="s">
        <v>244</v>
      </c>
      <c r="C31" s="7" t="s">
        <v>245</v>
      </c>
      <c r="D31" s="7" t="s">
        <v>246</v>
      </c>
      <c r="E31" s="7" t="s">
        <v>33</v>
      </c>
      <c r="F31" s="7" t="s">
        <v>34</v>
      </c>
      <c r="G31" s="7" t="s">
        <v>35</v>
      </c>
      <c r="H31" s="7"/>
      <c r="I31" s="7"/>
      <c r="J31" s="7" t="s">
        <v>36</v>
      </c>
      <c r="K31" s="7" t="s">
        <v>247</v>
      </c>
      <c r="L31" s="7" t="s">
        <v>248</v>
      </c>
      <c r="M31" s="7" t="s">
        <v>249</v>
      </c>
      <c r="N31" s="7" t="s">
        <v>33</v>
      </c>
      <c r="O31" s="7">
        <v>1</v>
      </c>
      <c r="P31" s="7" t="s">
        <v>40</v>
      </c>
      <c r="Q31" s="7">
        <v>18.99</v>
      </c>
      <c r="R31" s="7">
        <v>1.14</v>
      </c>
      <c r="S31" s="7"/>
      <c r="T31" s="7"/>
      <c r="U31" s="7"/>
      <c r="V31" s="7"/>
      <c r="W31" s="7"/>
      <c r="X31" s="7"/>
      <c r="Y31" s="7" t="s">
        <v>250</v>
      </c>
      <c r="Z31" s="7" t="s">
        <v>42</v>
      </c>
      <c r="AA31" s="7" t="s">
        <v>251</v>
      </c>
      <c r="AB31" s="7" t="s">
        <v>43</v>
      </c>
      <c r="AC31" s="7"/>
      <c r="AD31" s="7"/>
      <c r="AE31" s="7"/>
      <c r="AF31" s="7"/>
      <c r="AG31" s="8">
        <f t="shared" si="0"/>
        <v>43311</v>
      </c>
    </row>
    <row r="32" spans="1:33">
      <c r="A32" s="7" t="s">
        <v>244</v>
      </c>
      <c r="B32" s="7" t="s">
        <v>244</v>
      </c>
      <c r="C32" s="7" t="s">
        <v>245</v>
      </c>
      <c r="D32" s="7" t="s">
        <v>246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36</v>
      </c>
      <c r="K32" s="7" t="s">
        <v>199</v>
      </c>
      <c r="L32" s="7" t="s">
        <v>200</v>
      </c>
      <c r="M32" s="7" t="s">
        <v>201</v>
      </c>
      <c r="N32" s="7" t="s">
        <v>33</v>
      </c>
      <c r="O32" s="7">
        <v>1</v>
      </c>
      <c r="P32" s="7" t="s">
        <v>40</v>
      </c>
      <c r="Q32" s="7">
        <v>18.99</v>
      </c>
      <c r="R32" s="7">
        <v>1.14</v>
      </c>
      <c r="S32" s="7"/>
      <c r="T32" s="7"/>
      <c r="U32" s="7"/>
      <c r="V32" s="7"/>
      <c r="W32" s="7"/>
      <c r="X32" s="7"/>
      <c r="Y32" s="7" t="s">
        <v>250</v>
      </c>
      <c r="Z32" s="7" t="s">
        <v>42</v>
      </c>
      <c r="AA32" s="7" t="s">
        <v>251</v>
      </c>
      <c r="AB32" s="7" t="s">
        <v>43</v>
      </c>
      <c r="AC32" s="7"/>
      <c r="AD32" s="7"/>
      <c r="AE32" s="7"/>
      <c r="AF32" s="7"/>
      <c r="AG32" s="8">
        <f t="shared" si="0"/>
        <v>43311</v>
      </c>
    </row>
    <row r="33" spans="1:33">
      <c r="A33" s="7" t="s">
        <v>252</v>
      </c>
      <c r="B33" s="7" t="s">
        <v>252</v>
      </c>
      <c r="C33" s="7" t="s">
        <v>253</v>
      </c>
      <c r="D33" s="7" t="s">
        <v>254</v>
      </c>
      <c r="E33" s="7" t="s">
        <v>33</v>
      </c>
      <c r="F33" s="7" t="s">
        <v>34</v>
      </c>
      <c r="G33" s="7" t="s">
        <v>35</v>
      </c>
      <c r="H33" s="7"/>
      <c r="I33" s="7"/>
      <c r="J33" s="7" t="s">
        <v>36</v>
      </c>
      <c r="K33" s="7" t="s">
        <v>255</v>
      </c>
      <c r="L33" s="7" t="s">
        <v>256</v>
      </c>
      <c r="M33" s="7" t="s">
        <v>257</v>
      </c>
      <c r="N33" s="7" t="s">
        <v>33</v>
      </c>
      <c r="O33" s="7">
        <v>1</v>
      </c>
      <c r="P33" s="7" t="s">
        <v>40</v>
      </c>
      <c r="Q33" s="7">
        <v>19.99</v>
      </c>
      <c r="R33" s="7"/>
      <c r="S33" s="7"/>
      <c r="T33" s="7"/>
      <c r="U33" s="7"/>
      <c r="V33" s="7"/>
      <c r="W33" s="7"/>
      <c r="X33" s="7"/>
      <c r="Y33" s="7" t="s">
        <v>258</v>
      </c>
      <c r="Z33" s="7" t="s">
        <v>227</v>
      </c>
      <c r="AA33" s="7">
        <v>10314</v>
      </c>
      <c r="AB33" s="7" t="s">
        <v>43</v>
      </c>
      <c r="AC33" s="7"/>
      <c r="AD33" s="7"/>
      <c r="AE33" s="7"/>
      <c r="AF33" s="7"/>
      <c r="AG33" s="8">
        <f t="shared" si="0"/>
        <v>43311</v>
      </c>
    </row>
    <row r="34" spans="1:33">
      <c r="A34" s="7" t="s">
        <v>259</v>
      </c>
      <c r="B34" s="7" t="s">
        <v>259</v>
      </c>
      <c r="C34" s="7" t="s">
        <v>260</v>
      </c>
      <c r="D34" s="7" t="s">
        <v>261</v>
      </c>
      <c r="E34" s="7" t="s">
        <v>33</v>
      </c>
      <c r="F34" s="7" t="s">
        <v>34</v>
      </c>
      <c r="G34" s="7" t="s">
        <v>35</v>
      </c>
      <c r="H34" s="7"/>
      <c r="I34" s="7"/>
      <c r="J34" s="7" t="s">
        <v>36</v>
      </c>
      <c r="K34" s="7" t="s">
        <v>262</v>
      </c>
      <c r="L34" s="7" t="s">
        <v>263</v>
      </c>
      <c r="M34" s="7" t="s">
        <v>264</v>
      </c>
      <c r="N34" s="7" t="s">
        <v>33</v>
      </c>
      <c r="O34" s="7">
        <v>1</v>
      </c>
      <c r="P34" s="7" t="s">
        <v>40</v>
      </c>
      <c r="Q34" s="7">
        <v>16.99</v>
      </c>
      <c r="R34" s="7"/>
      <c r="S34" s="7"/>
      <c r="T34" s="7"/>
      <c r="U34" s="7"/>
      <c r="V34" s="7"/>
      <c r="W34" s="7">
        <v>2</v>
      </c>
      <c r="X34" s="7"/>
      <c r="Y34" s="7" t="s">
        <v>265</v>
      </c>
      <c r="Z34" s="7" t="s">
        <v>266</v>
      </c>
      <c r="AA34" s="7" t="s">
        <v>267</v>
      </c>
      <c r="AB34" s="7" t="s">
        <v>43</v>
      </c>
      <c r="AC34" s="7" t="s">
        <v>268</v>
      </c>
      <c r="AD34" s="7"/>
      <c r="AE34" s="7"/>
      <c r="AF34" s="7"/>
      <c r="AG34" s="8">
        <f t="shared" si="0"/>
        <v>43311</v>
      </c>
    </row>
    <row r="35" spans="1:33">
      <c r="A35" s="7" t="s">
        <v>269</v>
      </c>
      <c r="B35" s="7" t="s">
        <v>269</v>
      </c>
      <c r="C35" s="7" t="s">
        <v>270</v>
      </c>
      <c r="D35" s="7" t="s">
        <v>271</v>
      </c>
      <c r="E35" s="7" t="s">
        <v>33</v>
      </c>
      <c r="F35" s="7" t="s">
        <v>34</v>
      </c>
      <c r="G35" s="7" t="s">
        <v>35</v>
      </c>
      <c r="H35" s="7"/>
      <c r="I35" s="7"/>
      <c r="J35" s="7" t="s">
        <v>36</v>
      </c>
      <c r="K35" s="7" t="s">
        <v>47</v>
      </c>
      <c r="L35" s="7" t="s">
        <v>74</v>
      </c>
      <c r="M35" s="7" t="s">
        <v>75</v>
      </c>
      <c r="N35" s="7" t="s">
        <v>33</v>
      </c>
      <c r="O35" s="7">
        <v>1</v>
      </c>
      <c r="P35" s="7" t="s">
        <v>40</v>
      </c>
      <c r="Q35" s="7">
        <v>14.99</v>
      </c>
      <c r="R35" s="7"/>
      <c r="S35" s="7">
        <v>2.88</v>
      </c>
      <c r="T35" s="7"/>
      <c r="U35" s="7"/>
      <c r="V35" s="7"/>
      <c r="W35" s="7"/>
      <c r="X35" s="7"/>
      <c r="Y35" s="7" t="s">
        <v>272</v>
      </c>
      <c r="Z35" s="7" t="s">
        <v>273</v>
      </c>
      <c r="AA35" s="7">
        <v>35160</v>
      </c>
      <c r="AB35" s="7" t="s">
        <v>43</v>
      </c>
      <c r="AC35" s="7"/>
      <c r="AD35" s="7"/>
      <c r="AE35" s="7"/>
      <c r="AF35" s="7"/>
      <c r="AG35" s="8">
        <f t="shared" si="0"/>
        <v>43311</v>
      </c>
    </row>
    <row r="36" spans="1:33">
      <c r="A36" s="7" t="s">
        <v>274</v>
      </c>
      <c r="B36" s="7" t="s">
        <v>274</v>
      </c>
      <c r="C36" s="7" t="s">
        <v>275</v>
      </c>
      <c r="D36" s="7" t="s">
        <v>276</v>
      </c>
      <c r="E36" s="7" t="s">
        <v>33</v>
      </c>
      <c r="F36" s="7" t="s">
        <v>34</v>
      </c>
      <c r="G36" s="7" t="s">
        <v>35</v>
      </c>
      <c r="H36" s="7"/>
      <c r="I36" s="7"/>
      <c r="J36" s="7" t="s">
        <v>36</v>
      </c>
      <c r="K36" s="7" t="s">
        <v>255</v>
      </c>
      <c r="L36" s="7" t="s">
        <v>277</v>
      </c>
      <c r="M36" s="7" t="s">
        <v>278</v>
      </c>
      <c r="N36" s="7" t="s">
        <v>33</v>
      </c>
      <c r="O36" s="7">
        <v>1</v>
      </c>
      <c r="P36" s="7" t="s">
        <v>40</v>
      </c>
      <c r="Q36" s="7">
        <v>19.99</v>
      </c>
      <c r="R36" s="7"/>
      <c r="S36" s="7"/>
      <c r="T36" s="7"/>
      <c r="U36" s="7"/>
      <c r="V36" s="7"/>
      <c r="W36" s="7"/>
      <c r="X36" s="7"/>
      <c r="Y36" s="7" t="s">
        <v>279</v>
      </c>
      <c r="Z36" s="7" t="s">
        <v>227</v>
      </c>
      <c r="AA36" s="7" t="s">
        <v>280</v>
      </c>
      <c r="AB36" s="7" t="s">
        <v>43</v>
      </c>
      <c r="AC36" s="7"/>
      <c r="AD36" s="7"/>
      <c r="AE36" s="7"/>
      <c r="AF36" s="7"/>
      <c r="AG36" s="8">
        <f t="shared" si="0"/>
        <v>43312</v>
      </c>
    </row>
    <row r="37" spans="1:33">
      <c r="A37" s="7" t="s">
        <v>281</v>
      </c>
      <c r="B37" s="7" t="s">
        <v>281</v>
      </c>
      <c r="C37" s="7" t="s">
        <v>282</v>
      </c>
      <c r="D37" s="7" t="s">
        <v>283</v>
      </c>
      <c r="E37" s="7" t="s">
        <v>33</v>
      </c>
      <c r="F37" s="7" t="s">
        <v>34</v>
      </c>
      <c r="G37" s="7" t="s">
        <v>35</v>
      </c>
      <c r="H37" s="7"/>
      <c r="I37" s="7"/>
      <c r="J37" s="7" t="s">
        <v>36</v>
      </c>
      <c r="K37" s="7" t="s">
        <v>90</v>
      </c>
      <c r="L37" s="7" t="s">
        <v>284</v>
      </c>
      <c r="M37" s="7" t="s">
        <v>285</v>
      </c>
      <c r="N37" s="7" t="s">
        <v>33</v>
      </c>
      <c r="O37" s="7">
        <v>1</v>
      </c>
      <c r="P37" s="7" t="s">
        <v>40</v>
      </c>
      <c r="Q37" s="7">
        <v>19.99</v>
      </c>
      <c r="R37" s="7"/>
      <c r="S37" s="7"/>
      <c r="T37" s="7"/>
      <c r="U37" s="7"/>
      <c r="V37" s="7"/>
      <c r="W37" s="7"/>
      <c r="X37" s="7"/>
      <c r="Y37" s="7" t="s">
        <v>286</v>
      </c>
      <c r="Z37" s="7" t="s">
        <v>287</v>
      </c>
      <c r="AA37" s="7" t="s">
        <v>288</v>
      </c>
      <c r="AB37" s="7" t="s">
        <v>43</v>
      </c>
      <c r="AC37" s="7"/>
      <c r="AD37" s="7"/>
      <c r="AE37" s="7"/>
      <c r="AF37" s="7"/>
      <c r="AG37" s="8">
        <f t="shared" si="0"/>
        <v>43312</v>
      </c>
    </row>
    <row r="38" spans="1:33">
      <c r="A38" s="7" t="s">
        <v>289</v>
      </c>
      <c r="B38" s="7" t="s">
        <v>289</v>
      </c>
      <c r="C38" s="7" t="s">
        <v>290</v>
      </c>
      <c r="D38" s="7" t="s">
        <v>291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292</v>
      </c>
      <c r="K38" s="7" t="s">
        <v>120</v>
      </c>
      <c r="L38" s="7" t="s">
        <v>293</v>
      </c>
      <c r="M38" s="7" t="s">
        <v>294</v>
      </c>
      <c r="N38" s="7" t="s">
        <v>33</v>
      </c>
      <c r="O38" s="7">
        <v>1</v>
      </c>
      <c r="P38" s="7" t="s">
        <v>40</v>
      </c>
      <c r="Q38" s="7">
        <v>18.99</v>
      </c>
      <c r="R38" s="7"/>
      <c r="S38" s="7">
        <v>26.35</v>
      </c>
      <c r="T38" s="7"/>
      <c r="U38" s="7"/>
      <c r="V38" s="7"/>
      <c r="W38" s="7"/>
      <c r="X38" s="7"/>
      <c r="Y38" s="7" t="s">
        <v>295</v>
      </c>
      <c r="Z38" s="7"/>
      <c r="AA38" s="7">
        <v>6340</v>
      </c>
      <c r="AB38" s="7" t="s">
        <v>296</v>
      </c>
      <c r="AC38" s="7"/>
      <c r="AD38" s="7"/>
      <c r="AE38" s="7"/>
      <c r="AF38" s="7"/>
      <c r="AG38" s="8">
        <f t="shared" si="0"/>
        <v>43312</v>
      </c>
    </row>
    <row r="39" spans="1:33">
      <c r="A39" s="7" t="s">
        <v>297</v>
      </c>
      <c r="B39" s="7" t="s">
        <v>297</v>
      </c>
      <c r="C39" s="7" t="s">
        <v>298</v>
      </c>
      <c r="D39" s="7" t="s">
        <v>299</v>
      </c>
      <c r="E39" s="7" t="s">
        <v>33</v>
      </c>
      <c r="F39" s="7" t="s">
        <v>34</v>
      </c>
      <c r="G39" s="7" t="s">
        <v>35</v>
      </c>
      <c r="H39" s="7"/>
      <c r="I39" s="7"/>
      <c r="J39" s="7" t="s">
        <v>36</v>
      </c>
      <c r="K39" s="7" t="s">
        <v>255</v>
      </c>
      <c r="L39" s="7" t="s">
        <v>300</v>
      </c>
      <c r="M39" s="7" t="s">
        <v>301</v>
      </c>
      <c r="N39" s="7" t="s">
        <v>33</v>
      </c>
      <c r="O39" s="7">
        <v>1</v>
      </c>
      <c r="P39" s="7" t="s">
        <v>40</v>
      </c>
      <c r="Q39" s="7">
        <v>19.99</v>
      </c>
      <c r="R39" s="7"/>
      <c r="S39" s="7"/>
      <c r="T39" s="7"/>
      <c r="U39" s="7"/>
      <c r="V39" s="7"/>
      <c r="W39" s="7"/>
      <c r="X39" s="7"/>
      <c r="Y39" s="7" t="s">
        <v>302</v>
      </c>
      <c r="Z39" s="7" t="s">
        <v>59</v>
      </c>
      <c r="AA39" s="7" t="s">
        <v>303</v>
      </c>
      <c r="AB39" s="7" t="s">
        <v>43</v>
      </c>
      <c r="AC39" s="7"/>
      <c r="AD39" s="7"/>
      <c r="AE39" s="7"/>
      <c r="AF39" s="7"/>
      <c r="AG39" s="8">
        <f t="shared" si="0"/>
        <v>43312</v>
      </c>
    </row>
    <row r="40" spans="1:33">
      <c r="A40" s="7" t="s">
        <v>304</v>
      </c>
      <c r="B40" s="7" t="s">
        <v>304</v>
      </c>
      <c r="C40" s="7" t="s">
        <v>305</v>
      </c>
      <c r="D40" s="7" t="s">
        <v>306</v>
      </c>
      <c r="E40" s="7" t="s">
        <v>33</v>
      </c>
      <c r="F40" s="7" t="s">
        <v>34</v>
      </c>
      <c r="G40" s="7" t="s">
        <v>35</v>
      </c>
      <c r="H40" s="7"/>
      <c r="I40" s="7"/>
      <c r="J40" s="7" t="s">
        <v>36</v>
      </c>
      <c r="K40" s="7" t="s">
        <v>307</v>
      </c>
      <c r="L40" s="7" t="s">
        <v>308</v>
      </c>
      <c r="M40" s="7" t="s">
        <v>309</v>
      </c>
      <c r="N40" s="7" t="s">
        <v>33</v>
      </c>
      <c r="O40" s="7">
        <v>1</v>
      </c>
      <c r="P40" s="7" t="s">
        <v>40</v>
      </c>
      <c r="Q40" s="7">
        <v>19.99</v>
      </c>
      <c r="R40" s="7"/>
      <c r="S40" s="7"/>
      <c r="T40" s="7"/>
      <c r="U40" s="7"/>
      <c r="V40" s="7"/>
      <c r="W40" s="7"/>
      <c r="X40" s="7"/>
      <c r="Y40" s="7" t="s">
        <v>310</v>
      </c>
      <c r="Z40" s="7" t="s">
        <v>59</v>
      </c>
      <c r="AA40" s="7" t="s">
        <v>311</v>
      </c>
      <c r="AB40" s="7" t="s">
        <v>43</v>
      </c>
      <c r="AC40" s="7"/>
      <c r="AD40" s="7"/>
      <c r="AE40" s="7"/>
      <c r="AF40" s="7"/>
      <c r="AG40" s="8">
        <f t="shared" si="0"/>
        <v>43312</v>
      </c>
    </row>
    <row r="41" spans="1:33">
      <c r="A41" s="7" t="s">
        <v>312</v>
      </c>
      <c r="B41" s="7" t="s">
        <v>312</v>
      </c>
      <c r="C41" s="7" t="s">
        <v>313</v>
      </c>
      <c r="D41" s="7" t="s">
        <v>314</v>
      </c>
      <c r="E41" s="7" t="s">
        <v>33</v>
      </c>
      <c r="F41" s="7" t="s">
        <v>34</v>
      </c>
      <c r="G41" s="7" t="s">
        <v>35</v>
      </c>
      <c r="H41" s="7"/>
      <c r="I41" s="7"/>
      <c r="J41" s="7" t="s">
        <v>36</v>
      </c>
      <c r="K41" s="7" t="s">
        <v>170</v>
      </c>
      <c r="L41" s="7" t="s">
        <v>315</v>
      </c>
      <c r="M41" s="7" t="s">
        <v>316</v>
      </c>
      <c r="N41" s="7" t="s">
        <v>33</v>
      </c>
      <c r="O41" s="7">
        <v>1</v>
      </c>
      <c r="P41" s="7" t="s">
        <v>40</v>
      </c>
      <c r="Q41" s="7">
        <v>19.38</v>
      </c>
      <c r="R41" s="7"/>
      <c r="S41" s="7"/>
      <c r="T41" s="7"/>
      <c r="U41" s="7"/>
      <c r="V41" s="7"/>
      <c r="W41" s="7"/>
      <c r="X41" s="7"/>
      <c r="Y41" s="7" t="s">
        <v>317</v>
      </c>
      <c r="Z41" s="7" t="s">
        <v>227</v>
      </c>
      <c r="AA41" s="7" t="s">
        <v>318</v>
      </c>
      <c r="AB41" s="7" t="s">
        <v>43</v>
      </c>
      <c r="AC41" s="7"/>
      <c r="AD41" s="7"/>
      <c r="AE41" s="7"/>
      <c r="AF41" s="7"/>
      <c r="AG41" s="8">
        <f t="shared" si="0"/>
        <v>43312</v>
      </c>
    </row>
    <row r="42" spans="1:33">
      <c r="A42" s="7" t="s">
        <v>319</v>
      </c>
      <c r="B42" s="7" t="s">
        <v>319</v>
      </c>
      <c r="C42" s="7" t="s">
        <v>320</v>
      </c>
      <c r="D42" s="7" t="s">
        <v>321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36</v>
      </c>
      <c r="K42" s="7" t="s">
        <v>247</v>
      </c>
      <c r="L42" s="7" t="s">
        <v>248</v>
      </c>
      <c r="M42" s="7" t="s">
        <v>249</v>
      </c>
      <c r="N42" s="7" t="s">
        <v>33</v>
      </c>
      <c r="O42" s="7">
        <v>1</v>
      </c>
      <c r="P42" s="7" t="s">
        <v>40</v>
      </c>
      <c r="Q42" s="7">
        <v>18.99</v>
      </c>
      <c r="R42" s="7"/>
      <c r="S42" s="7"/>
      <c r="T42" s="7"/>
      <c r="U42" s="7"/>
      <c r="V42" s="7"/>
      <c r="W42" s="7"/>
      <c r="X42" s="7"/>
      <c r="Y42" s="7" t="s">
        <v>322</v>
      </c>
      <c r="Z42" s="7" t="s">
        <v>323</v>
      </c>
      <c r="AA42" s="7" t="s">
        <v>324</v>
      </c>
      <c r="AB42" s="7" t="s">
        <v>43</v>
      </c>
      <c r="AC42" s="7"/>
      <c r="AD42" s="7"/>
      <c r="AE42" s="7"/>
      <c r="AF42" s="7"/>
      <c r="AG42" s="8">
        <f t="shared" si="0"/>
        <v>43312</v>
      </c>
    </row>
    <row r="43" spans="1:33">
      <c r="A43" s="7" t="s">
        <v>325</v>
      </c>
      <c r="B43" s="7" t="s">
        <v>325</v>
      </c>
      <c r="C43" s="7" t="s">
        <v>326</v>
      </c>
      <c r="D43" s="7" t="s">
        <v>327</v>
      </c>
      <c r="E43" s="7" t="s">
        <v>33</v>
      </c>
      <c r="F43" s="7" t="s">
        <v>34</v>
      </c>
      <c r="G43" s="7" t="s">
        <v>35</v>
      </c>
      <c r="H43" s="7"/>
      <c r="I43" s="7"/>
      <c r="J43" s="7" t="s">
        <v>36</v>
      </c>
      <c r="K43" s="7" t="s">
        <v>328</v>
      </c>
      <c r="L43" s="7" t="s">
        <v>329</v>
      </c>
      <c r="M43" s="7" t="s">
        <v>330</v>
      </c>
      <c r="N43" s="7" t="s">
        <v>33</v>
      </c>
      <c r="O43" s="7">
        <v>1</v>
      </c>
      <c r="P43" s="7" t="s">
        <v>40</v>
      </c>
      <c r="Q43" s="7">
        <v>19.38</v>
      </c>
      <c r="R43" s="7"/>
      <c r="S43" s="7"/>
      <c r="T43" s="7"/>
      <c r="U43" s="7"/>
      <c r="V43" s="7"/>
      <c r="W43" s="7"/>
      <c r="X43" s="7"/>
      <c r="Y43" s="7" t="s">
        <v>331</v>
      </c>
      <c r="Z43" s="7" t="s">
        <v>287</v>
      </c>
      <c r="AA43" s="7" t="s">
        <v>332</v>
      </c>
      <c r="AB43" s="7" t="s">
        <v>43</v>
      </c>
      <c r="AC43" s="7"/>
      <c r="AD43" s="7"/>
      <c r="AE43" s="7"/>
      <c r="AF43" s="7"/>
      <c r="AG43" s="8">
        <f t="shared" si="0"/>
        <v>43312</v>
      </c>
    </row>
    <row r="44" spans="1:33">
      <c r="A44" s="7" t="s">
        <v>333</v>
      </c>
      <c r="B44" s="7" t="s">
        <v>333</v>
      </c>
      <c r="C44" s="7" t="s">
        <v>334</v>
      </c>
      <c r="D44" s="7" t="s">
        <v>335</v>
      </c>
      <c r="E44" s="7" t="s">
        <v>33</v>
      </c>
      <c r="F44" s="7" t="s">
        <v>34</v>
      </c>
      <c r="G44" s="7" t="s">
        <v>35</v>
      </c>
      <c r="H44" s="7"/>
      <c r="I44" s="7"/>
      <c r="J44" s="7" t="s">
        <v>336</v>
      </c>
      <c r="K44" s="7" t="s">
        <v>47</v>
      </c>
      <c r="L44" s="7" t="s">
        <v>337</v>
      </c>
      <c r="M44" s="7" t="s">
        <v>338</v>
      </c>
      <c r="N44" s="7" t="s">
        <v>33</v>
      </c>
      <c r="O44" s="7">
        <v>1</v>
      </c>
      <c r="P44" s="7" t="s">
        <v>40</v>
      </c>
      <c r="Q44" s="7">
        <v>16.99</v>
      </c>
      <c r="R44" s="7"/>
      <c r="S44" s="7">
        <v>5.4</v>
      </c>
      <c r="T44" s="7"/>
      <c r="U44" s="7"/>
      <c r="V44" s="7"/>
      <c r="W44" s="7"/>
      <c r="X44" s="7"/>
      <c r="Y44" s="7" t="s">
        <v>339</v>
      </c>
      <c r="Z44" s="7" t="s">
        <v>340</v>
      </c>
      <c r="AA44" s="7">
        <v>12900</v>
      </c>
      <c r="AB44" s="7" t="s">
        <v>165</v>
      </c>
      <c r="AC44" s="7"/>
      <c r="AD44" s="7"/>
      <c r="AE44" s="7"/>
      <c r="AF44" s="7"/>
      <c r="AG44" s="8">
        <f t="shared" si="0"/>
        <v>43312</v>
      </c>
    </row>
    <row r="45" spans="1:33">
      <c r="A45" s="7" t="s">
        <v>341</v>
      </c>
      <c r="B45" s="7" t="s">
        <v>341</v>
      </c>
      <c r="C45" s="7" t="s">
        <v>342</v>
      </c>
      <c r="D45" s="7" t="s">
        <v>343</v>
      </c>
      <c r="E45" s="7" t="s">
        <v>33</v>
      </c>
      <c r="F45" s="7" t="s">
        <v>34</v>
      </c>
      <c r="G45" s="7" t="s">
        <v>35</v>
      </c>
      <c r="H45" s="7"/>
      <c r="I45" s="7"/>
      <c r="J45" s="7" t="s">
        <v>36</v>
      </c>
      <c r="K45" s="7" t="s">
        <v>125</v>
      </c>
      <c r="L45" s="7" t="s">
        <v>126</v>
      </c>
      <c r="M45" s="7" t="s">
        <v>127</v>
      </c>
      <c r="N45" s="7" t="s">
        <v>33</v>
      </c>
      <c r="O45" s="7">
        <v>1</v>
      </c>
      <c r="P45" s="7" t="s">
        <v>40</v>
      </c>
      <c r="Q45" s="7">
        <v>18.99</v>
      </c>
      <c r="R45" s="7"/>
      <c r="S45" s="7"/>
      <c r="T45" s="7"/>
      <c r="U45" s="7"/>
      <c r="V45" s="7"/>
      <c r="W45" s="7"/>
      <c r="X45" s="7"/>
      <c r="Y45" s="7" t="s">
        <v>344</v>
      </c>
      <c r="Z45" s="7" t="s">
        <v>345</v>
      </c>
      <c r="AA45" s="7">
        <v>2134</v>
      </c>
      <c r="AB45" s="7" t="s">
        <v>43</v>
      </c>
      <c r="AC45" s="7"/>
      <c r="AD45" s="7"/>
      <c r="AE45" s="7"/>
      <c r="AF45" s="7"/>
      <c r="AG45" s="8">
        <f t="shared" si="0"/>
        <v>43312</v>
      </c>
    </row>
    <row r="46" spans="1:33">
      <c r="A46" s="7" t="s">
        <v>346</v>
      </c>
      <c r="B46" s="7" t="s">
        <v>346</v>
      </c>
      <c r="C46" s="7" t="s">
        <v>347</v>
      </c>
      <c r="D46" s="7" t="s">
        <v>348</v>
      </c>
      <c r="E46" s="7" t="s">
        <v>33</v>
      </c>
      <c r="F46" s="7" t="s">
        <v>34</v>
      </c>
      <c r="G46" s="7" t="s">
        <v>35</v>
      </c>
      <c r="H46" s="7"/>
      <c r="I46" s="7"/>
      <c r="J46" s="7" t="s">
        <v>36</v>
      </c>
      <c r="K46" s="7" t="s">
        <v>255</v>
      </c>
      <c r="L46" s="7" t="s">
        <v>300</v>
      </c>
      <c r="M46" s="7" t="s">
        <v>301</v>
      </c>
      <c r="N46" s="7" t="s">
        <v>33</v>
      </c>
      <c r="O46" s="7">
        <v>1</v>
      </c>
      <c r="P46" s="7" t="s">
        <v>40</v>
      </c>
      <c r="Q46" s="7">
        <v>19.99</v>
      </c>
      <c r="R46" s="7"/>
      <c r="S46" s="7"/>
      <c r="T46" s="7"/>
      <c r="U46" s="7"/>
      <c r="V46" s="7"/>
      <c r="W46" s="7"/>
      <c r="X46" s="7"/>
      <c r="Y46" s="7" t="s">
        <v>349</v>
      </c>
      <c r="Z46" s="7" t="s">
        <v>59</v>
      </c>
      <c r="AA46" s="7" t="s">
        <v>350</v>
      </c>
      <c r="AB46" s="7" t="s">
        <v>43</v>
      </c>
      <c r="AC46" s="7"/>
      <c r="AD46" s="7"/>
      <c r="AE46" s="7"/>
      <c r="AF46" s="7"/>
      <c r="AG46" s="8">
        <f t="shared" si="0"/>
        <v>43312</v>
      </c>
    </row>
    <row r="47" spans="1:33">
      <c r="A47" s="7" t="s">
        <v>351</v>
      </c>
      <c r="B47" s="7" t="s">
        <v>351</v>
      </c>
      <c r="C47" s="7" t="s">
        <v>352</v>
      </c>
      <c r="D47" s="7" t="s">
        <v>353</v>
      </c>
      <c r="E47" s="7" t="s">
        <v>33</v>
      </c>
      <c r="F47" s="7" t="s">
        <v>34</v>
      </c>
      <c r="G47" s="7" t="s">
        <v>35</v>
      </c>
      <c r="H47" s="7"/>
      <c r="I47" s="7"/>
      <c r="J47" s="7" t="s">
        <v>36</v>
      </c>
      <c r="K47" s="7" t="s">
        <v>207</v>
      </c>
      <c r="L47" s="7" t="s">
        <v>354</v>
      </c>
      <c r="M47" s="7" t="s">
        <v>355</v>
      </c>
      <c r="N47" s="7" t="s">
        <v>33</v>
      </c>
      <c r="O47" s="7">
        <v>1</v>
      </c>
      <c r="P47" s="7" t="s">
        <v>40</v>
      </c>
      <c r="Q47" s="7">
        <v>19.38</v>
      </c>
      <c r="R47" s="7"/>
      <c r="S47" s="7"/>
      <c r="T47" s="7"/>
      <c r="U47" s="7"/>
      <c r="V47" s="7"/>
      <c r="W47" s="7"/>
      <c r="X47" s="7"/>
      <c r="Y47" s="7" t="s">
        <v>356</v>
      </c>
      <c r="Z47" s="7" t="s">
        <v>357</v>
      </c>
      <c r="AA47" s="7" t="s">
        <v>358</v>
      </c>
      <c r="AB47" s="7" t="s">
        <v>43</v>
      </c>
      <c r="AC47" s="7"/>
      <c r="AD47" s="7"/>
      <c r="AE47" s="7"/>
      <c r="AF47" s="7"/>
      <c r="AG47" s="8">
        <f t="shared" si="0"/>
        <v>43312</v>
      </c>
    </row>
    <row r="48" spans="1:33">
      <c r="A48" s="7" t="s">
        <v>359</v>
      </c>
      <c r="B48" s="7" t="s">
        <v>359</v>
      </c>
      <c r="C48" s="7" t="s">
        <v>360</v>
      </c>
      <c r="D48" s="7" t="s">
        <v>361</v>
      </c>
      <c r="E48" s="7" t="s">
        <v>33</v>
      </c>
      <c r="F48" s="7" t="s">
        <v>34</v>
      </c>
      <c r="G48" s="7" t="s">
        <v>35</v>
      </c>
      <c r="H48" s="7"/>
      <c r="I48" s="7"/>
      <c r="J48" s="7" t="s">
        <v>36</v>
      </c>
      <c r="K48" s="7" t="s">
        <v>90</v>
      </c>
      <c r="L48" s="7" t="s">
        <v>91</v>
      </c>
      <c r="M48" s="7" t="s">
        <v>92</v>
      </c>
      <c r="N48" s="7" t="s">
        <v>33</v>
      </c>
      <c r="O48" s="7">
        <v>1</v>
      </c>
      <c r="P48" s="7" t="s">
        <v>40</v>
      </c>
      <c r="Q48" s="7">
        <v>19.99</v>
      </c>
      <c r="R48" s="7"/>
      <c r="S48" s="7"/>
      <c r="T48" s="7"/>
      <c r="U48" s="7"/>
      <c r="V48" s="7"/>
      <c r="W48" s="7"/>
      <c r="X48" s="7"/>
      <c r="Y48" s="7" t="s">
        <v>362</v>
      </c>
      <c r="Z48" s="7" t="s">
        <v>227</v>
      </c>
      <c r="AA48" s="7" t="s">
        <v>363</v>
      </c>
      <c r="AB48" s="7" t="s">
        <v>43</v>
      </c>
      <c r="AC48" s="7"/>
      <c r="AD48" s="7"/>
      <c r="AE48" s="7"/>
      <c r="AF48" s="7"/>
      <c r="AG48" s="8">
        <f t="shared" si="0"/>
        <v>43312</v>
      </c>
    </row>
    <row r="49" spans="1:33">
      <c r="A49" s="7" t="s">
        <v>364</v>
      </c>
      <c r="B49" s="7" t="s">
        <v>364</v>
      </c>
      <c r="C49" s="7" t="s">
        <v>365</v>
      </c>
      <c r="D49" s="7" t="s">
        <v>366</v>
      </c>
      <c r="E49" s="7" t="s">
        <v>33</v>
      </c>
      <c r="F49" s="7" t="s">
        <v>34</v>
      </c>
      <c r="G49" s="7" t="s">
        <v>35</v>
      </c>
      <c r="H49" s="7"/>
      <c r="I49" s="7"/>
      <c r="J49" s="7" t="s">
        <v>36</v>
      </c>
      <c r="K49" s="7" t="s">
        <v>155</v>
      </c>
      <c r="L49" s="7" t="s">
        <v>156</v>
      </c>
      <c r="M49" s="7" t="s">
        <v>157</v>
      </c>
      <c r="N49" s="7" t="s">
        <v>33</v>
      </c>
      <c r="O49" s="7">
        <v>1</v>
      </c>
      <c r="P49" s="7" t="s">
        <v>40</v>
      </c>
      <c r="Q49" s="7">
        <v>19.99</v>
      </c>
      <c r="R49" s="7"/>
      <c r="S49" s="7"/>
      <c r="T49" s="7"/>
      <c r="U49" s="7"/>
      <c r="V49" s="7"/>
      <c r="W49" s="7"/>
      <c r="X49" s="7"/>
      <c r="Y49" s="7" t="s">
        <v>367</v>
      </c>
      <c r="Z49" s="7" t="s">
        <v>94</v>
      </c>
      <c r="AA49" s="7" t="s">
        <v>368</v>
      </c>
      <c r="AB49" s="7" t="s">
        <v>43</v>
      </c>
      <c r="AC49" s="7"/>
      <c r="AD49" s="7"/>
      <c r="AE49" s="7"/>
      <c r="AF49" s="7"/>
      <c r="AG49" s="8">
        <f t="shared" si="0"/>
        <v>43312</v>
      </c>
    </row>
    <row r="50" spans="1:33">
      <c r="A50" s="7" t="s">
        <v>369</v>
      </c>
      <c r="B50" s="7" t="s">
        <v>369</v>
      </c>
      <c r="C50" s="7" t="s">
        <v>370</v>
      </c>
      <c r="D50" s="7" t="s">
        <v>371</v>
      </c>
      <c r="E50" s="7" t="s">
        <v>33</v>
      </c>
      <c r="F50" s="7" t="s">
        <v>34</v>
      </c>
      <c r="G50" s="7" t="s">
        <v>35</v>
      </c>
      <c r="H50" s="7"/>
      <c r="I50" s="7"/>
      <c r="J50" s="7" t="s">
        <v>36</v>
      </c>
      <c r="K50" s="7" t="s">
        <v>255</v>
      </c>
      <c r="L50" s="7" t="s">
        <v>277</v>
      </c>
      <c r="M50" s="7" t="s">
        <v>278</v>
      </c>
      <c r="N50" s="7" t="s">
        <v>33</v>
      </c>
      <c r="O50" s="7">
        <v>1</v>
      </c>
      <c r="P50" s="7" t="s">
        <v>40</v>
      </c>
      <c r="Q50" s="7">
        <v>19.99</v>
      </c>
      <c r="R50" s="7"/>
      <c r="S50" s="7"/>
      <c r="T50" s="7"/>
      <c r="U50" s="7"/>
      <c r="V50" s="7"/>
      <c r="W50" s="7"/>
      <c r="X50" s="7"/>
      <c r="Y50" s="7" t="s">
        <v>372</v>
      </c>
      <c r="Z50" s="7" t="s">
        <v>59</v>
      </c>
      <c r="AA50" s="7" t="s">
        <v>373</v>
      </c>
      <c r="AB50" s="7" t="s">
        <v>43</v>
      </c>
      <c r="AC50" s="7"/>
      <c r="AD50" s="7"/>
      <c r="AE50" s="7"/>
      <c r="AF50" s="7"/>
      <c r="AG50" s="8">
        <f t="shared" si="0"/>
        <v>43312</v>
      </c>
    </row>
    <row r="51" spans="1:33">
      <c r="A51" s="7" t="s">
        <v>374</v>
      </c>
      <c r="B51" s="7" t="s">
        <v>374</v>
      </c>
      <c r="C51" s="7" t="s">
        <v>375</v>
      </c>
      <c r="D51" s="7" t="s">
        <v>376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36</v>
      </c>
      <c r="K51" s="7" t="s">
        <v>131</v>
      </c>
      <c r="L51" s="7" t="s">
        <v>132</v>
      </c>
      <c r="M51" s="7" t="s">
        <v>133</v>
      </c>
      <c r="N51" s="7" t="s">
        <v>33</v>
      </c>
      <c r="O51" s="7">
        <v>1</v>
      </c>
      <c r="P51" s="7" t="s">
        <v>40</v>
      </c>
      <c r="Q51" s="7">
        <v>18.99</v>
      </c>
      <c r="R51" s="7"/>
      <c r="S51" s="7"/>
      <c r="T51" s="7"/>
      <c r="U51" s="7"/>
      <c r="V51" s="7"/>
      <c r="W51" s="7"/>
      <c r="X51" s="7"/>
      <c r="Y51" s="7" t="s">
        <v>377</v>
      </c>
      <c r="Z51" s="7" t="s">
        <v>378</v>
      </c>
      <c r="AA51" s="7" t="s">
        <v>379</v>
      </c>
      <c r="AB51" s="7" t="s">
        <v>43</v>
      </c>
      <c r="AC51" s="7"/>
      <c r="AD51" s="7"/>
      <c r="AE51" s="7"/>
      <c r="AF51" s="7"/>
      <c r="AG51" s="8">
        <f t="shared" si="0"/>
        <v>43312</v>
      </c>
    </row>
    <row r="52" spans="1:33">
      <c r="A52" s="7" t="s">
        <v>380</v>
      </c>
      <c r="B52" s="7" t="s">
        <v>380</v>
      </c>
      <c r="C52" s="7" t="s">
        <v>381</v>
      </c>
      <c r="D52" s="7" t="s">
        <v>382</v>
      </c>
      <c r="E52" s="7" t="s">
        <v>33</v>
      </c>
      <c r="F52" s="7" t="s">
        <v>34</v>
      </c>
      <c r="G52" s="7" t="s">
        <v>35</v>
      </c>
      <c r="H52" s="7"/>
      <c r="I52" s="7"/>
      <c r="J52" s="7" t="s">
        <v>36</v>
      </c>
      <c r="K52" s="7" t="s">
        <v>247</v>
      </c>
      <c r="L52" s="7" t="s">
        <v>248</v>
      </c>
      <c r="M52" s="7" t="s">
        <v>249</v>
      </c>
      <c r="N52" s="7" t="s">
        <v>33</v>
      </c>
      <c r="O52" s="7">
        <v>1</v>
      </c>
      <c r="P52" s="7" t="s">
        <v>40</v>
      </c>
      <c r="Q52" s="7">
        <v>18.99</v>
      </c>
      <c r="R52" s="7"/>
      <c r="S52" s="7"/>
      <c r="T52" s="7"/>
      <c r="U52" s="7"/>
      <c r="V52" s="7"/>
      <c r="W52" s="7"/>
      <c r="X52" s="7"/>
      <c r="Y52" s="7" t="s">
        <v>383</v>
      </c>
      <c r="Z52" s="7" t="s">
        <v>384</v>
      </c>
      <c r="AA52" s="7">
        <v>10003</v>
      </c>
      <c r="AB52" s="7" t="s">
        <v>43</v>
      </c>
      <c r="AC52" s="7"/>
      <c r="AD52" s="7"/>
      <c r="AE52" s="7"/>
      <c r="AF52" s="7"/>
      <c r="AG52" s="8">
        <f t="shared" si="0"/>
        <v>43312</v>
      </c>
    </row>
    <row r="53" spans="1:33">
      <c r="A53" s="7" t="s">
        <v>385</v>
      </c>
      <c r="B53" s="7" t="s">
        <v>385</v>
      </c>
      <c r="C53" s="7" t="s">
        <v>386</v>
      </c>
      <c r="D53" s="7" t="s">
        <v>387</v>
      </c>
      <c r="E53" s="7" t="s">
        <v>33</v>
      </c>
      <c r="F53" s="7" t="s">
        <v>34</v>
      </c>
      <c r="G53" s="7" t="s">
        <v>35</v>
      </c>
      <c r="H53" s="7"/>
      <c r="I53" s="7"/>
      <c r="J53" s="7" t="s">
        <v>36</v>
      </c>
      <c r="K53" s="7" t="s">
        <v>388</v>
      </c>
      <c r="L53" s="7" t="s">
        <v>389</v>
      </c>
      <c r="M53" s="7" t="s">
        <v>390</v>
      </c>
      <c r="N53" s="7" t="s">
        <v>33</v>
      </c>
      <c r="O53" s="7">
        <v>1</v>
      </c>
      <c r="P53" s="7" t="s">
        <v>40</v>
      </c>
      <c r="Q53" s="7">
        <v>19.38</v>
      </c>
      <c r="R53" s="7"/>
      <c r="S53" s="7"/>
      <c r="T53" s="7"/>
      <c r="U53" s="7"/>
      <c r="V53" s="7"/>
      <c r="W53" s="7"/>
      <c r="X53" s="7"/>
      <c r="Y53" s="7" t="s">
        <v>391</v>
      </c>
      <c r="Z53" s="7" t="s">
        <v>392</v>
      </c>
      <c r="AA53" s="7" t="s">
        <v>393</v>
      </c>
      <c r="AB53" s="7" t="s">
        <v>43</v>
      </c>
      <c r="AC53" s="7"/>
      <c r="AD53" s="7"/>
      <c r="AE53" s="7"/>
      <c r="AF53" s="7"/>
      <c r="AG53" s="8">
        <f t="shared" si="0"/>
        <v>43312</v>
      </c>
    </row>
    <row r="54" spans="1:33">
      <c r="A54" s="7" t="s">
        <v>394</v>
      </c>
      <c r="B54" s="7" t="s">
        <v>394</v>
      </c>
      <c r="C54" s="7" t="s">
        <v>395</v>
      </c>
      <c r="D54" s="7" t="s">
        <v>396</v>
      </c>
      <c r="E54" s="7" t="s">
        <v>33</v>
      </c>
      <c r="F54" s="7" t="s">
        <v>34</v>
      </c>
      <c r="G54" s="7" t="s">
        <v>35</v>
      </c>
      <c r="H54" s="7"/>
      <c r="I54" s="7"/>
      <c r="J54" s="7" t="s">
        <v>36</v>
      </c>
      <c r="K54" s="7" t="s">
        <v>90</v>
      </c>
      <c r="L54" s="7" t="s">
        <v>191</v>
      </c>
      <c r="M54" s="7" t="s">
        <v>192</v>
      </c>
      <c r="N54" s="7" t="s">
        <v>33</v>
      </c>
      <c r="O54" s="7">
        <v>1</v>
      </c>
      <c r="P54" s="7" t="s">
        <v>40</v>
      </c>
      <c r="Q54" s="7">
        <v>19.99</v>
      </c>
      <c r="R54" s="7"/>
      <c r="S54" s="7"/>
      <c r="T54" s="7"/>
      <c r="U54" s="7"/>
      <c r="V54" s="7"/>
      <c r="W54" s="7"/>
      <c r="X54" s="7"/>
      <c r="Y54" s="7" t="s">
        <v>397</v>
      </c>
      <c r="Z54" s="7" t="s">
        <v>135</v>
      </c>
      <c r="AA54" s="7" t="s">
        <v>398</v>
      </c>
      <c r="AB54" s="7" t="s">
        <v>43</v>
      </c>
      <c r="AC54" s="7"/>
      <c r="AD54" s="7"/>
      <c r="AE54" s="7"/>
      <c r="AF54" s="7"/>
      <c r="AG54" s="8">
        <f t="shared" si="0"/>
        <v>43312</v>
      </c>
    </row>
    <row r="55" spans="1:33">
      <c r="A55" s="7" t="s">
        <v>399</v>
      </c>
      <c r="B55" s="7" t="s">
        <v>399</v>
      </c>
      <c r="C55" s="7" t="s">
        <v>400</v>
      </c>
      <c r="D55" s="7" t="s">
        <v>401</v>
      </c>
      <c r="E55" s="7" t="s">
        <v>33</v>
      </c>
      <c r="F55" s="7" t="s">
        <v>34</v>
      </c>
      <c r="G55" s="7" t="s">
        <v>35</v>
      </c>
      <c r="H55" s="7"/>
      <c r="I55" s="7"/>
      <c r="J55" s="7" t="s">
        <v>36</v>
      </c>
      <c r="K55" s="7" t="s">
        <v>176</v>
      </c>
      <c r="L55" s="7" t="s">
        <v>177</v>
      </c>
      <c r="M55" s="7" t="s">
        <v>178</v>
      </c>
      <c r="N55" s="7" t="s">
        <v>33</v>
      </c>
      <c r="O55" s="7">
        <v>1</v>
      </c>
      <c r="P55" s="7" t="s">
        <v>40</v>
      </c>
      <c r="Q55" s="7">
        <v>19.99</v>
      </c>
      <c r="R55" s="7"/>
      <c r="S55" s="7"/>
      <c r="T55" s="7"/>
      <c r="U55" s="7"/>
      <c r="V55" s="7"/>
      <c r="W55" s="7"/>
      <c r="X55" s="7"/>
      <c r="Y55" s="7" t="s">
        <v>402</v>
      </c>
      <c r="Z55" s="7" t="s">
        <v>94</v>
      </c>
      <c r="AA55" s="7" t="s">
        <v>403</v>
      </c>
      <c r="AB55" s="7" t="s">
        <v>43</v>
      </c>
      <c r="AC55" s="7"/>
      <c r="AD55" s="7"/>
      <c r="AE55" s="7"/>
      <c r="AF55" s="7"/>
      <c r="AG55" s="8">
        <f t="shared" si="0"/>
        <v>43312</v>
      </c>
    </row>
    <row r="56" spans="1:33">
      <c r="A56" s="7" t="s">
        <v>404</v>
      </c>
      <c r="B56" s="7" t="s">
        <v>404</v>
      </c>
      <c r="C56" s="7" t="s">
        <v>405</v>
      </c>
      <c r="D56" s="7" t="s">
        <v>406</v>
      </c>
      <c r="E56" s="7" t="s">
        <v>33</v>
      </c>
      <c r="F56" s="7" t="s">
        <v>34</v>
      </c>
      <c r="G56" s="7" t="s">
        <v>35</v>
      </c>
      <c r="H56" s="7"/>
      <c r="I56" s="7"/>
      <c r="J56" s="7" t="s">
        <v>36</v>
      </c>
      <c r="K56" s="7" t="s">
        <v>407</v>
      </c>
      <c r="L56" s="7" t="s">
        <v>408</v>
      </c>
      <c r="M56" s="7" t="s">
        <v>409</v>
      </c>
      <c r="N56" s="7" t="s">
        <v>33</v>
      </c>
      <c r="O56" s="7">
        <v>1</v>
      </c>
      <c r="P56" s="7" t="s">
        <v>40</v>
      </c>
      <c r="Q56" s="7">
        <v>18.99</v>
      </c>
      <c r="R56" s="7"/>
      <c r="S56" s="7"/>
      <c r="T56" s="7"/>
      <c r="U56" s="7"/>
      <c r="V56" s="7"/>
      <c r="W56" s="7"/>
      <c r="X56" s="7"/>
      <c r="Y56" s="7" t="s">
        <v>410</v>
      </c>
      <c r="Z56" s="7" t="s">
        <v>85</v>
      </c>
      <c r="AA56" s="7" t="s">
        <v>411</v>
      </c>
      <c r="AB56" s="7" t="s">
        <v>43</v>
      </c>
      <c r="AC56" s="7"/>
      <c r="AD56" s="7"/>
      <c r="AE56" s="7"/>
      <c r="AF56" s="7"/>
      <c r="AG56" s="8">
        <f t="shared" si="0"/>
        <v>43312</v>
      </c>
    </row>
    <row r="57" spans="1:33">
      <c r="A57" s="7" t="s">
        <v>412</v>
      </c>
      <c r="B57" s="7" t="s">
        <v>412</v>
      </c>
      <c r="C57" s="7" t="s">
        <v>413</v>
      </c>
      <c r="D57" s="7" t="s">
        <v>414</v>
      </c>
      <c r="E57" s="7" t="s">
        <v>33</v>
      </c>
      <c r="F57" s="7" t="s">
        <v>34</v>
      </c>
      <c r="G57" s="7" t="s">
        <v>35</v>
      </c>
      <c r="H57" s="7"/>
      <c r="I57" s="7"/>
      <c r="J57" s="7" t="s">
        <v>36</v>
      </c>
      <c r="K57" s="7" t="s">
        <v>90</v>
      </c>
      <c r="L57" s="7" t="s">
        <v>91</v>
      </c>
      <c r="M57" s="7" t="s">
        <v>92</v>
      </c>
      <c r="N57" s="7" t="s">
        <v>33</v>
      </c>
      <c r="O57" s="7">
        <v>1</v>
      </c>
      <c r="P57" s="7" t="s">
        <v>40</v>
      </c>
      <c r="Q57" s="7">
        <v>19.99</v>
      </c>
      <c r="R57" s="7"/>
      <c r="S57" s="7"/>
      <c r="T57" s="7"/>
      <c r="U57" s="7"/>
      <c r="V57" s="7"/>
      <c r="W57" s="7"/>
      <c r="X57" s="7"/>
      <c r="Y57" s="7" t="s">
        <v>415</v>
      </c>
      <c r="Z57" s="7" t="s">
        <v>416</v>
      </c>
      <c r="AA57" s="7">
        <v>23703</v>
      </c>
      <c r="AB57" s="7" t="s">
        <v>43</v>
      </c>
      <c r="AC57" s="7"/>
      <c r="AD57" s="7"/>
      <c r="AE57" s="7"/>
      <c r="AF57" s="7"/>
      <c r="AG57" s="8">
        <f t="shared" si="0"/>
        <v>43312</v>
      </c>
    </row>
    <row r="58" spans="1:33">
      <c r="A58" s="7" t="s">
        <v>417</v>
      </c>
      <c r="B58" s="7" t="s">
        <v>417</v>
      </c>
      <c r="C58" s="7" t="s">
        <v>418</v>
      </c>
      <c r="D58" s="7" t="s">
        <v>419</v>
      </c>
      <c r="E58" s="7" t="s">
        <v>33</v>
      </c>
      <c r="F58" s="7" t="s">
        <v>34</v>
      </c>
      <c r="G58" s="7" t="s">
        <v>35</v>
      </c>
      <c r="H58" s="7"/>
      <c r="I58" s="7"/>
      <c r="J58" s="7" t="s">
        <v>36</v>
      </c>
      <c r="K58" s="7" t="s">
        <v>155</v>
      </c>
      <c r="L58" s="7" t="s">
        <v>420</v>
      </c>
      <c r="M58" s="7" t="s">
        <v>421</v>
      </c>
      <c r="N58" s="7" t="s">
        <v>33</v>
      </c>
      <c r="O58" s="7">
        <v>1</v>
      </c>
      <c r="P58" s="7" t="s">
        <v>40</v>
      </c>
      <c r="Q58" s="7">
        <v>19.99</v>
      </c>
      <c r="R58" s="7">
        <v>1.2</v>
      </c>
      <c r="S58" s="7"/>
      <c r="T58" s="7"/>
      <c r="U58" s="7"/>
      <c r="V58" s="7"/>
      <c r="W58" s="7"/>
      <c r="X58" s="7"/>
      <c r="Y58" s="7" t="s">
        <v>422</v>
      </c>
      <c r="Z58" s="7" t="s">
        <v>42</v>
      </c>
      <c r="AA58" s="7" t="s">
        <v>423</v>
      </c>
      <c r="AB58" s="7" t="s">
        <v>43</v>
      </c>
      <c r="AC58" s="7"/>
      <c r="AD58" s="7"/>
      <c r="AE58" s="7"/>
      <c r="AF58" s="7"/>
      <c r="AG58" s="8">
        <f t="shared" si="0"/>
        <v>43312</v>
      </c>
    </row>
    <row r="59" spans="1:33">
      <c r="A59" s="7" t="s">
        <v>424</v>
      </c>
      <c r="B59" s="7" t="s">
        <v>424</v>
      </c>
      <c r="C59" s="7" t="s">
        <v>425</v>
      </c>
      <c r="D59" s="7" t="s">
        <v>426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336</v>
      </c>
      <c r="K59" s="7" t="s">
        <v>255</v>
      </c>
      <c r="L59" s="7" t="s">
        <v>427</v>
      </c>
      <c r="M59" s="7" t="s">
        <v>428</v>
      </c>
      <c r="N59" s="7" t="s">
        <v>33</v>
      </c>
      <c r="O59" s="7">
        <v>1</v>
      </c>
      <c r="P59" s="7" t="s">
        <v>40</v>
      </c>
      <c r="Q59" s="7">
        <v>19.99</v>
      </c>
      <c r="R59" s="7"/>
      <c r="S59" s="7"/>
      <c r="T59" s="7"/>
      <c r="U59" s="7"/>
      <c r="V59" s="7"/>
      <c r="W59" s="7"/>
      <c r="X59" s="7"/>
      <c r="Y59" s="7" t="s">
        <v>429</v>
      </c>
      <c r="Z59" s="7" t="s">
        <v>59</v>
      </c>
      <c r="AA59" s="7" t="s">
        <v>430</v>
      </c>
      <c r="AB59" s="7" t="s">
        <v>43</v>
      </c>
      <c r="AC59" s="7"/>
      <c r="AD59" s="7"/>
      <c r="AE59" s="7"/>
      <c r="AF59" s="7"/>
      <c r="AG59" s="8">
        <f t="shared" si="0"/>
        <v>43312</v>
      </c>
    </row>
    <row r="60" spans="1:33">
      <c r="A60" s="7" t="s">
        <v>431</v>
      </c>
      <c r="B60" s="7" t="s">
        <v>431</v>
      </c>
      <c r="C60" s="7" t="s">
        <v>432</v>
      </c>
      <c r="D60" s="7" t="s">
        <v>433</v>
      </c>
      <c r="E60" s="7" t="s">
        <v>33</v>
      </c>
      <c r="F60" s="7" t="s">
        <v>34</v>
      </c>
      <c r="G60" s="7" t="s">
        <v>35</v>
      </c>
      <c r="H60" s="7"/>
      <c r="I60" s="7"/>
      <c r="J60" s="7" t="s">
        <v>36</v>
      </c>
      <c r="K60" s="7" t="s">
        <v>176</v>
      </c>
      <c r="L60" s="7" t="s">
        <v>434</v>
      </c>
      <c r="M60" s="7" t="s">
        <v>435</v>
      </c>
      <c r="N60" s="7" t="s">
        <v>33</v>
      </c>
      <c r="O60" s="7">
        <v>1</v>
      </c>
      <c r="P60" s="7" t="s">
        <v>40</v>
      </c>
      <c r="Q60" s="7">
        <v>19.38</v>
      </c>
      <c r="R60" s="7"/>
      <c r="S60" s="7"/>
      <c r="T60" s="7"/>
      <c r="U60" s="7"/>
      <c r="V60" s="7"/>
      <c r="W60" s="7"/>
      <c r="X60" s="7"/>
      <c r="Y60" s="7" t="s">
        <v>436</v>
      </c>
      <c r="Z60" s="7" t="s">
        <v>85</v>
      </c>
      <c r="AA60" s="7" t="s">
        <v>437</v>
      </c>
      <c r="AB60" s="7" t="s">
        <v>43</v>
      </c>
      <c r="AC60" s="7"/>
      <c r="AD60" s="7"/>
      <c r="AE60" s="7"/>
      <c r="AF60" s="7"/>
      <c r="AG60" s="8">
        <f t="shared" si="0"/>
        <v>43312</v>
      </c>
    </row>
    <row r="61" spans="1:33">
      <c r="A61" s="7" t="s">
        <v>438</v>
      </c>
      <c r="B61" s="7" t="s">
        <v>438</v>
      </c>
      <c r="C61" s="7" t="s">
        <v>439</v>
      </c>
      <c r="D61" s="7" t="s">
        <v>440</v>
      </c>
      <c r="E61" s="7" t="s">
        <v>33</v>
      </c>
      <c r="F61" s="7" t="s">
        <v>34</v>
      </c>
      <c r="G61" s="7" t="s">
        <v>35</v>
      </c>
      <c r="H61" s="7"/>
      <c r="I61" s="7"/>
      <c r="J61" s="7" t="s">
        <v>36</v>
      </c>
      <c r="K61" s="7" t="s">
        <v>90</v>
      </c>
      <c r="L61" s="7" t="s">
        <v>191</v>
      </c>
      <c r="M61" s="7" t="s">
        <v>192</v>
      </c>
      <c r="N61" s="7" t="s">
        <v>33</v>
      </c>
      <c r="O61" s="7">
        <v>1</v>
      </c>
      <c r="P61" s="7" t="s">
        <v>40</v>
      </c>
      <c r="Q61" s="7">
        <v>19.99</v>
      </c>
      <c r="R61" s="7"/>
      <c r="S61" s="7"/>
      <c r="T61" s="7"/>
      <c r="U61" s="7"/>
      <c r="V61" s="7"/>
      <c r="W61" s="7"/>
      <c r="X61" s="7"/>
      <c r="Y61" s="7" t="s">
        <v>441</v>
      </c>
      <c r="Z61" s="7" t="s">
        <v>227</v>
      </c>
      <c r="AA61" s="7" t="s">
        <v>442</v>
      </c>
      <c r="AB61" s="7" t="s">
        <v>43</v>
      </c>
      <c r="AC61" s="7"/>
      <c r="AD61" s="7"/>
      <c r="AE61" s="7"/>
      <c r="AF61" s="7"/>
      <c r="AG61" s="8">
        <f t="shared" si="0"/>
        <v>43312</v>
      </c>
    </row>
    <row r="62" spans="1:33">
      <c r="A62" s="7" t="s">
        <v>443</v>
      </c>
      <c r="B62" s="7" t="s">
        <v>443</v>
      </c>
      <c r="C62" s="7" t="s">
        <v>444</v>
      </c>
      <c r="D62" s="7" t="s">
        <v>445</v>
      </c>
      <c r="E62" s="7" t="s">
        <v>33</v>
      </c>
      <c r="F62" s="7" t="s">
        <v>34</v>
      </c>
      <c r="G62" s="7" t="s">
        <v>35</v>
      </c>
      <c r="H62" s="7"/>
      <c r="I62" s="7"/>
      <c r="J62" s="7" t="s">
        <v>36</v>
      </c>
      <c r="K62" s="7" t="s">
        <v>90</v>
      </c>
      <c r="L62" s="7" t="s">
        <v>284</v>
      </c>
      <c r="M62" s="7" t="s">
        <v>285</v>
      </c>
      <c r="N62" s="7" t="s">
        <v>33</v>
      </c>
      <c r="O62" s="7">
        <v>1</v>
      </c>
      <c r="P62" s="7" t="s">
        <v>40</v>
      </c>
      <c r="Q62" s="7">
        <v>19.99</v>
      </c>
      <c r="R62" s="7"/>
      <c r="S62" s="7"/>
      <c r="T62" s="7"/>
      <c r="U62" s="7"/>
      <c r="V62" s="7"/>
      <c r="W62" s="7"/>
      <c r="X62" s="7"/>
      <c r="Y62" s="7" t="s">
        <v>446</v>
      </c>
      <c r="Z62" s="7" t="s">
        <v>447</v>
      </c>
      <c r="AA62" s="7">
        <v>38018</v>
      </c>
      <c r="AB62" s="7" t="s">
        <v>43</v>
      </c>
      <c r="AC62" s="7"/>
      <c r="AD62" s="7"/>
      <c r="AE62" s="7"/>
      <c r="AF62" s="7"/>
      <c r="AG62" s="8">
        <f t="shared" si="0"/>
        <v>43312</v>
      </c>
    </row>
    <row r="63" spans="1:33">
      <c r="A63" s="7" t="s">
        <v>448</v>
      </c>
      <c r="B63" s="7" t="s">
        <v>448</v>
      </c>
      <c r="C63" s="7" t="s">
        <v>449</v>
      </c>
      <c r="D63" s="7" t="s">
        <v>450</v>
      </c>
      <c r="E63" s="7" t="s">
        <v>33</v>
      </c>
      <c r="F63" s="7" t="s">
        <v>34</v>
      </c>
      <c r="G63" s="7" t="s">
        <v>35</v>
      </c>
      <c r="H63" s="7"/>
      <c r="I63" s="7"/>
      <c r="J63" s="7" t="s">
        <v>36</v>
      </c>
      <c r="K63" s="7" t="s">
        <v>90</v>
      </c>
      <c r="L63" s="7" t="s">
        <v>284</v>
      </c>
      <c r="M63" s="7" t="s">
        <v>285</v>
      </c>
      <c r="N63" s="7" t="s">
        <v>33</v>
      </c>
      <c r="O63" s="7">
        <v>1</v>
      </c>
      <c r="P63" s="7" t="s">
        <v>40</v>
      </c>
      <c r="Q63" s="7">
        <v>19.99</v>
      </c>
      <c r="R63" s="7"/>
      <c r="S63" s="7"/>
      <c r="T63" s="7"/>
      <c r="U63" s="7"/>
      <c r="V63" s="7"/>
      <c r="W63" s="7"/>
      <c r="X63" s="7"/>
      <c r="Y63" s="7" t="s">
        <v>451</v>
      </c>
      <c r="Z63" s="7" t="s">
        <v>452</v>
      </c>
      <c r="AA63" s="7">
        <v>70811</v>
      </c>
      <c r="AB63" s="7" t="s">
        <v>43</v>
      </c>
      <c r="AC63" s="7"/>
      <c r="AD63" s="7"/>
      <c r="AE63" s="7"/>
      <c r="AF63" s="7"/>
      <c r="AG63" s="8">
        <f t="shared" si="0"/>
        <v>43312</v>
      </c>
    </row>
    <row r="64" spans="1:33">
      <c r="A64" s="7" t="s">
        <v>453</v>
      </c>
      <c r="B64" s="7" t="s">
        <v>453</v>
      </c>
      <c r="C64" s="7" t="s">
        <v>454</v>
      </c>
      <c r="D64" s="7" t="s">
        <v>455</v>
      </c>
      <c r="E64" s="7" t="s">
        <v>99</v>
      </c>
      <c r="F64" s="7" t="s">
        <v>34</v>
      </c>
      <c r="G64" s="7" t="s">
        <v>35</v>
      </c>
      <c r="H64" s="7"/>
      <c r="I64" s="7"/>
      <c r="J64" s="7" t="s">
        <v>36</v>
      </c>
      <c r="K64" s="7" t="s">
        <v>456</v>
      </c>
      <c r="L64" s="7" t="s">
        <v>457</v>
      </c>
      <c r="M64" s="7" t="s">
        <v>458</v>
      </c>
      <c r="N64" s="7" t="s">
        <v>459</v>
      </c>
      <c r="O64" s="7">
        <v>1</v>
      </c>
      <c r="P64" s="7" t="s">
        <v>40</v>
      </c>
      <c r="Q64" s="7">
        <v>17.99</v>
      </c>
      <c r="R64" s="7"/>
      <c r="S64" s="7"/>
      <c r="T64" s="7"/>
      <c r="U64" s="7"/>
      <c r="V64" s="7"/>
      <c r="W64" s="7"/>
      <c r="X64" s="7"/>
      <c r="Y64" s="7" t="s">
        <v>460</v>
      </c>
      <c r="Z64" s="7" t="s">
        <v>345</v>
      </c>
      <c r="AA64" s="7" t="s">
        <v>461</v>
      </c>
      <c r="AB64" s="7" t="s">
        <v>43</v>
      </c>
      <c r="AC64" s="7"/>
      <c r="AD64" s="7"/>
      <c r="AE64" s="7"/>
      <c r="AF64" s="7"/>
      <c r="AG64" s="8">
        <f t="shared" si="0"/>
        <v>43312</v>
      </c>
    </row>
    <row r="65" spans="1:33">
      <c r="A65" s="7" t="s">
        <v>462</v>
      </c>
      <c r="B65" s="7" t="s">
        <v>462</v>
      </c>
      <c r="C65" s="7" t="s">
        <v>463</v>
      </c>
      <c r="D65" s="7" t="s">
        <v>464</v>
      </c>
      <c r="E65" s="7" t="s">
        <v>33</v>
      </c>
      <c r="F65" s="7" t="s">
        <v>34</v>
      </c>
      <c r="G65" s="7" t="s">
        <v>35</v>
      </c>
      <c r="H65" s="7"/>
      <c r="I65" s="7"/>
      <c r="J65" s="7" t="s">
        <v>36</v>
      </c>
      <c r="K65" s="7" t="s">
        <v>120</v>
      </c>
      <c r="L65" s="7" t="s">
        <v>465</v>
      </c>
      <c r="M65" s="7" t="s">
        <v>466</v>
      </c>
      <c r="N65" s="7" t="s">
        <v>33</v>
      </c>
      <c r="O65" s="7">
        <v>1</v>
      </c>
      <c r="P65" s="7" t="s">
        <v>40</v>
      </c>
      <c r="Q65" s="7">
        <v>16.99</v>
      </c>
      <c r="R65" s="7"/>
      <c r="S65" s="7"/>
      <c r="T65" s="7"/>
      <c r="U65" s="7"/>
      <c r="V65" s="7"/>
      <c r="W65" s="7"/>
      <c r="X65" s="7"/>
      <c r="Y65" s="7" t="s">
        <v>467</v>
      </c>
      <c r="Z65" s="7" t="s">
        <v>85</v>
      </c>
      <c r="AA65" s="7" t="s">
        <v>468</v>
      </c>
      <c r="AB65" s="7" t="s">
        <v>43</v>
      </c>
      <c r="AC65" s="7"/>
      <c r="AD65" s="7"/>
      <c r="AE65" s="7"/>
      <c r="AF65" s="7"/>
      <c r="AG65" s="8">
        <f t="shared" si="0"/>
        <v>43312</v>
      </c>
    </row>
    <row r="66" spans="1:33">
      <c r="A66" s="7" t="s">
        <v>469</v>
      </c>
      <c r="B66" s="7" t="s">
        <v>469</v>
      </c>
      <c r="C66" s="7" t="s">
        <v>470</v>
      </c>
      <c r="D66" s="7" t="s">
        <v>471</v>
      </c>
      <c r="E66" s="7" t="s">
        <v>33</v>
      </c>
      <c r="F66" s="7" t="s">
        <v>34</v>
      </c>
      <c r="G66" s="7" t="s">
        <v>35</v>
      </c>
      <c r="H66" s="7"/>
      <c r="I66" s="7"/>
      <c r="J66" s="7" t="s">
        <v>36</v>
      </c>
      <c r="K66" s="7" t="s">
        <v>472</v>
      </c>
      <c r="L66" s="7" t="s">
        <v>473</v>
      </c>
      <c r="M66" s="7" t="s">
        <v>474</v>
      </c>
      <c r="N66" s="7" t="s">
        <v>33</v>
      </c>
      <c r="O66" s="7">
        <v>1</v>
      </c>
      <c r="P66" s="7" t="s">
        <v>40</v>
      </c>
      <c r="Q66" s="7">
        <v>16.99</v>
      </c>
      <c r="R66" s="7">
        <v>1.02</v>
      </c>
      <c r="S66" s="7"/>
      <c r="T66" s="7"/>
      <c r="U66" s="7"/>
      <c r="V66" s="7"/>
      <c r="W66" s="7"/>
      <c r="X66" s="7"/>
      <c r="Y66" s="7" t="s">
        <v>475</v>
      </c>
      <c r="Z66" s="7" t="s">
        <v>42</v>
      </c>
      <c r="AA66" s="7" t="s">
        <v>476</v>
      </c>
      <c r="AB66" s="7" t="s">
        <v>43</v>
      </c>
      <c r="AC66" s="7"/>
      <c r="AD66" s="7"/>
      <c r="AE66" s="7"/>
      <c r="AF66" s="7"/>
      <c r="AG66" s="8">
        <f t="shared" ref="AG66:AG129" si="1">DATEVALUE(LEFT(C66,10))</f>
        <v>43312</v>
      </c>
    </row>
    <row r="67" spans="1:33">
      <c r="A67" s="7" t="s">
        <v>477</v>
      </c>
      <c r="B67" s="7" t="s">
        <v>477</v>
      </c>
      <c r="C67" s="7" t="s">
        <v>478</v>
      </c>
      <c r="D67" s="7" t="s">
        <v>479</v>
      </c>
      <c r="E67" s="7" t="s">
        <v>33</v>
      </c>
      <c r="F67" s="7" t="s">
        <v>34</v>
      </c>
      <c r="G67" s="7" t="s">
        <v>35</v>
      </c>
      <c r="H67" s="7"/>
      <c r="I67" s="7"/>
      <c r="J67" s="7" t="s">
        <v>36</v>
      </c>
      <c r="K67" s="7" t="s">
        <v>37</v>
      </c>
      <c r="L67" s="7" t="s">
        <v>82</v>
      </c>
      <c r="M67" s="7" t="s">
        <v>83</v>
      </c>
      <c r="N67" s="7" t="s">
        <v>33</v>
      </c>
      <c r="O67" s="7">
        <v>1</v>
      </c>
      <c r="P67" s="7" t="s">
        <v>40</v>
      </c>
      <c r="Q67" s="7">
        <v>19.99</v>
      </c>
      <c r="R67" s="7"/>
      <c r="S67" s="7"/>
      <c r="T67" s="7"/>
      <c r="U67" s="7"/>
      <c r="V67" s="7"/>
      <c r="W67" s="7"/>
      <c r="X67" s="7"/>
      <c r="Y67" s="7" t="s">
        <v>480</v>
      </c>
      <c r="Z67" s="7" t="s">
        <v>85</v>
      </c>
      <c r="AA67" s="7">
        <v>79342</v>
      </c>
      <c r="AB67" s="7" t="s">
        <v>43</v>
      </c>
      <c r="AC67" s="7"/>
      <c r="AD67" s="7"/>
      <c r="AE67" s="7"/>
      <c r="AF67" s="7"/>
      <c r="AG67" s="8">
        <f t="shared" si="1"/>
        <v>43312</v>
      </c>
    </row>
    <row r="68" spans="1:33">
      <c r="A68" s="7" t="s">
        <v>481</v>
      </c>
      <c r="B68" s="7" t="s">
        <v>481</v>
      </c>
      <c r="C68" s="7" t="s">
        <v>482</v>
      </c>
      <c r="D68" s="7" t="s">
        <v>483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36</v>
      </c>
      <c r="K68" s="7" t="s">
        <v>37</v>
      </c>
      <c r="L68" s="7" t="s">
        <v>38</v>
      </c>
      <c r="M68" s="7" t="s">
        <v>39</v>
      </c>
      <c r="N68" s="7" t="s">
        <v>33</v>
      </c>
      <c r="O68" s="7">
        <v>1</v>
      </c>
      <c r="P68" s="7" t="s">
        <v>40</v>
      </c>
      <c r="Q68" s="7">
        <v>19.99</v>
      </c>
      <c r="R68" s="7"/>
      <c r="S68" s="7"/>
      <c r="T68" s="7"/>
      <c r="U68" s="7"/>
      <c r="V68" s="7"/>
      <c r="W68" s="7"/>
      <c r="X68" s="7"/>
      <c r="Y68" s="7" t="s">
        <v>480</v>
      </c>
      <c r="Z68" s="7" t="s">
        <v>85</v>
      </c>
      <c r="AA68" s="7">
        <v>79342</v>
      </c>
      <c r="AB68" s="7" t="s">
        <v>43</v>
      </c>
      <c r="AC68" s="7"/>
      <c r="AD68" s="7"/>
      <c r="AE68" s="7"/>
      <c r="AF68" s="7"/>
      <c r="AG68" s="8">
        <f t="shared" si="1"/>
        <v>43312</v>
      </c>
    </row>
    <row r="69" spans="1:33">
      <c r="A69" s="7" t="s">
        <v>484</v>
      </c>
      <c r="B69" s="7" t="s">
        <v>484</v>
      </c>
      <c r="C69" s="7" t="s">
        <v>485</v>
      </c>
      <c r="D69" s="7" t="s">
        <v>486</v>
      </c>
      <c r="E69" s="7" t="s">
        <v>33</v>
      </c>
      <c r="F69" s="7" t="s">
        <v>34</v>
      </c>
      <c r="G69" s="7" t="s">
        <v>35</v>
      </c>
      <c r="H69" s="7"/>
      <c r="I69" s="7"/>
      <c r="J69" s="7" t="s">
        <v>36</v>
      </c>
      <c r="K69" s="7" t="s">
        <v>120</v>
      </c>
      <c r="L69" s="7" t="s">
        <v>465</v>
      </c>
      <c r="M69" s="7" t="s">
        <v>466</v>
      </c>
      <c r="N69" s="7" t="s">
        <v>33</v>
      </c>
      <c r="O69" s="7">
        <v>1</v>
      </c>
      <c r="P69" s="7" t="s">
        <v>40</v>
      </c>
      <c r="Q69" s="7">
        <v>16.99</v>
      </c>
      <c r="R69" s="7"/>
      <c r="S69" s="7"/>
      <c r="T69" s="7"/>
      <c r="U69" s="7"/>
      <c r="V69" s="7"/>
      <c r="W69" s="7"/>
      <c r="X69" s="7"/>
      <c r="Y69" s="7" t="s">
        <v>487</v>
      </c>
      <c r="Z69" s="7" t="s">
        <v>488</v>
      </c>
      <c r="AA69" s="7" t="s">
        <v>489</v>
      </c>
      <c r="AB69" s="7" t="s">
        <v>43</v>
      </c>
      <c r="AC69" s="7"/>
      <c r="AD69" s="7"/>
      <c r="AE69" s="7"/>
      <c r="AF69" s="7"/>
      <c r="AG69" s="8">
        <f t="shared" si="1"/>
        <v>43312</v>
      </c>
    </row>
    <row r="70" spans="1:33">
      <c r="A70" s="7" t="s">
        <v>484</v>
      </c>
      <c r="B70" s="7" t="s">
        <v>484</v>
      </c>
      <c r="C70" s="7" t="s">
        <v>485</v>
      </c>
      <c r="D70" s="7" t="s">
        <v>486</v>
      </c>
      <c r="E70" s="7" t="s">
        <v>33</v>
      </c>
      <c r="F70" s="7" t="s">
        <v>34</v>
      </c>
      <c r="G70" s="7" t="s">
        <v>35</v>
      </c>
      <c r="H70" s="7"/>
      <c r="I70" s="7"/>
      <c r="J70" s="7" t="s">
        <v>36</v>
      </c>
      <c r="K70" s="7" t="s">
        <v>407</v>
      </c>
      <c r="L70" s="7" t="s">
        <v>408</v>
      </c>
      <c r="M70" s="7" t="s">
        <v>409</v>
      </c>
      <c r="N70" s="7" t="s">
        <v>33</v>
      </c>
      <c r="O70" s="7">
        <v>1</v>
      </c>
      <c r="P70" s="7" t="s">
        <v>40</v>
      </c>
      <c r="Q70" s="7">
        <v>18.99</v>
      </c>
      <c r="R70" s="7"/>
      <c r="S70" s="7"/>
      <c r="T70" s="7"/>
      <c r="U70" s="7"/>
      <c r="V70" s="7"/>
      <c r="W70" s="7"/>
      <c r="X70" s="7"/>
      <c r="Y70" s="7" t="s">
        <v>487</v>
      </c>
      <c r="Z70" s="7" t="s">
        <v>488</v>
      </c>
      <c r="AA70" s="7" t="s">
        <v>489</v>
      </c>
      <c r="AB70" s="7" t="s">
        <v>43</v>
      </c>
      <c r="AC70" s="7"/>
      <c r="AD70" s="7"/>
      <c r="AE70" s="7"/>
      <c r="AF70" s="7"/>
      <c r="AG70" s="8">
        <f t="shared" si="1"/>
        <v>43312</v>
      </c>
    </row>
    <row r="71" spans="1:33">
      <c r="A71" s="7" t="s">
        <v>490</v>
      </c>
      <c r="B71" s="7" t="s">
        <v>490</v>
      </c>
      <c r="C71" s="7" t="s">
        <v>491</v>
      </c>
      <c r="D71" s="7" t="s">
        <v>492</v>
      </c>
      <c r="E71" s="7" t="s">
        <v>33</v>
      </c>
      <c r="F71" s="7" t="s">
        <v>34</v>
      </c>
      <c r="G71" s="7" t="s">
        <v>35</v>
      </c>
      <c r="H71" s="7"/>
      <c r="I71" s="7"/>
      <c r="J71" s="7" t="s">
        <v>36</v>
      </c>
      <c r="K71" s="7" t="s">
        <v>255</v>
      </c>
      <c r="L71" s="7" t="s">
        <v>300</v>
      </c>
      <c r="M71" s="7" t="s">
        <v>301</v>
      </c>
      <c r="N71" s="7" t="s">
        <v>33</v>
      </c>
      <c r="O71" s="7">
        <v>1</v>
      </c>
      <c r="P71" s="7" t="s">
        <v>40</v>
      </c>
      <c r="Q71" s="7">
        <v>19.99</v>
      </c>
      <c r="R71" s="7"/>
      <c r="S71" s="7"/>
      <c r="T71" s="7"/>
      <c r="U71" s="7"/>
      <c r="V71" s="7"/>
      <c r="W71" s="7"/>
      <c r="X71" s="7"/>
      <c r="Y71" s="7" t="s">
        <v>317</v>
      </c>
      <c r="Z71" s="7" t="s">
        <v>227</v>
      </c>
      <c r="AA71" s="7" t="s">
        <v>493</v>
      </c>
      <c r="AB71" s="7" t="s">
        <v>43</v>
      </c>
      <c r="AC71" s="7"/>
      <c r="AD71" s="7"/>
      <c r="AE71" s="7"/>
      <c r="AF71" s="7"/>
      <c r="AG71" s="8">
        <f t="shared" si="1"/>
        <v>43312</v>
      </c>
    </row>
    <row r="72" spans="1:33">
      <c r="A72" s="7" t="s">
        <v>494</v>
      </c>
      <c r="B72" s="7" t="s">
        <v>494</v>
      </c>
      <c r="C72" s="7" t="s">
        <v>495</v>
      </c>
      <c r="D72" s="7" t="s">
        <v>496</v>
      </c>
      <c r="E72" s="7" t="s">
        <v>33</v>
      </c>
      <c r="F72" s="7" t="s">
        <v>34</v>
      </c>
      <c r="G72" s="7" t="s">
        <v>35</v>
      </c>
      <c r="H72" s="7"/>
      <c r="I72" s="7"/>
      <c r="J72" s="7" t="s">
        <v>36</v>
      </c>
      <c r="K72" s="7" t="s">
        <v>497</v>
      </c>
      <c r="L72" s="7" t="s">
        <v>498</v>
      </c>
      <c r="M72" s="7" t="s">
        <v>499</v>
      </c>
      <c r="N72" s="7" t="s">
        <v>33</v>
      </c>
      <c r="O72" s="7">
        <v>1</v>
      </c>
      <c r="P72" s="7" t="s">
        <v>40</v>
      </c>
      <c r="Q72" s="7">
        <v>19.99</v>
      </c>
      <c r="R72" s="7"/>
      <c r="S72" s="7"/>
      <c r="T72" s="7"/>
      <c r="U72" s="7"/>
      <c r="V72" s="7"/>
      <c r="W72" s="7"/>
      <c r="X72" s="7"/>
      <c r="Y72" s="7" t="s">
        <v>500</v>
      </c>
      <c r="Z72" s="7" t="s">
        <v>501</v>
      </c>
      <c r="AA72" s="7">
        <v>7095</v>
      </c>
      <c r="AB72" s="7" t="s">
        <v>43</v>
      </c>
      <c r="AC72" s="7"/>
      <c r="AD72" s="7"/>
      <c r="AE72" s="7"/>
      <c r="AF72" s="7"/>
      <c r="AG72" s="8">
        <f t="shared" si="1"/>
        <v>43312</v>
      </c>
    </row>
    <row r="73" spans="1:33">
      <c r="A73" s="7" t="s">
        <v>502</v>
      </c>
      <c r="B73" s="7" t="s">
        <v>502</v>
      </c>
      <c r="C73" s="7" t="s">
        <v>503</v>
      </c>
      <c r="D73" s="7" t="s">
        <v>504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36</v>
      </c>
      <c r="K73" s="7" t="s">
        <v>170</v>
      </c>
      <c r="L73" s="7" t="s">
        <v>505</v>
      </c>
      <c r="M73" s="7" t="s">
        <v>506</v>
      </c>
      <c r="N73" s="7" t="s">
        <v>33</v>
      </c>
      <c r="O73" s="7">
        <v>1</v>
      </c>
      <c r="P73" s="7" t="s">
        <v>40</v>
      </c>
      <c r="Q73" s="7">
        <v>19.38</v>
      </c>
      <c r="R73" s="7"/>
      <c r="S73" s="7"/>
      <c r="T73" s="7"/>
      <c r="U73" s="7"/>
      <c r="V73" s="7"/>
      <c r="W73" s="7"/>
      <c r="X73" s="7"/>
      <c r="Y73" s="7" t="s">
        <v>507</v>
      </c>
      <c r="Z73" s="7" t="s">
        <v>345</v>
      </c>
      <c r="AA73" s="7" t="s">
        <v>508</v>
      </c>
      <c r="AB73" s="7" t="s">
        <v>43</v>
      </c>
      <c r="AC73" s="7"/>
      <c r="AD73" s="7"/>
      <c r="AE73" s="7"/>
      <c r="AF73" s="7"/>
      <c r="AG73" s="8">
        <f t="shared" si="1"/>
        <v>43313</v>
      </c>
    </row>
    <row r="74" spans="1:33">
      <c r="A74" s="7" t="s">
        <v>509</v>
      </c>
      <c r="B74" s="7" t="s">
        <v>509</v>
      </c>
      <c r="C74" s="7" t="s">
        <v>510</v>
      </c>
      <c r="D74" s="7" t="s">
        <v>511</v>
      </c>
      <c r="E74" s="7" t="s">
        <v>33</v>
      </c>
      <c r="F74" s="7" t="s">
        <v>34</v>
      </c>
      <c r="G74" s="7" t="s">
        <v>35</v>
      </c>
      <c r="H74" s="7"/>
      <c r="I74" s="7"/>
      <c r="J74" s="7" t="s">
        <v>336</v>
      </c>
      <c r="K74" s="7" t="s">
        <v>328</v>
      </c>
      <c r="L74" s="7" t="s">
        <v>329</v>
      </c>
      <c r="M74" s="7" t="s">
        <v>330</v>
      </c>
      <c r="N74" s="7" t="s">
        <v>33</v>
      </c>
      <c r="O74" s="7">
        <v>1</v>
      </c>
      <c r="P74" s="7" t="s">
        <v>40</v>
      </c>
      <c r="Q74" s="7">
        <v>19.38</v>
      </c>
      <c r="R74" s="7"/>
      <c r="S74" s="7">
        <v>3.49</v>
      </c>
      <c r="T74" s="7"/>
      <c r="U74" s="7"/>
      <c r="V74" s="7"/>
      <c r="W74" s="7"/>
      <c r="X74" s="7">
        <v>3.49</v>
      </c>
      <c r="Y74" s="7" t="s">
        <v>512</v>
      </c>
      <c r="Z74" s="7" t="s">
        <v>69</v>
      </c>
      <c r="AA74" s="7" t="s">
        <v>513</v>
      </c>
      <c r="AB74" s="7" t="s">
        <v>43</v>
      </c>
      <c r="AC74" s="7" t="s">
        <v>514</v>
      </c>
      <c r="AD74" s="7"/>
      <c r="AE74" s="7"/>
      <c r="AF74" s="7"/>
      <c r="AG74" s="8">
        <f t="shared" si="1"/>
        <v>43313</v>
      </c>
    </row>
    <row r="75" spans="1:33">
      <c r="A75" s="7" t="s">
        <v>515</v>
      </c>
      <c r="B75" s="7" t="s">
        <v>515</v>
      </c>
      <c r="C75" s="7" t="s">
        <v>516</v>
      </c>
      <c r="D75" s="7" t="s">
        <v>517</v>
      </c>
      <c r="E75" s="7" t="s">
        <v>99</v>
      </c>
      <c r="F75" s="7" t="s">
        <v>34</v>
      </c>
      <c r="G75" s="7" t="s">
        <v>35</v>
      </c>
      <c r="H75" s="7"/>
      <c r="I75" s="7"/>
      <c r="J75" s="7" t="s">
        <v>292</v>
      </c>
      <c r="K75" s="7" t="s">
        <v>90</v>
      </c>
      <c r="L75" s="7" t="s">
        <v>191</v>
      </c>
      <c r="M75" s="7" t="s">
        <v>192</v>
      </c>
      <c r="N75" s="7" t="s">
        <v>99</v>
      </c>
      <c r="O75" s="7">
        <v>0</v>
      </c>
      <c r="P75" s="7"/>
      <c r="Q75" s="7"/>
      <c r="R75" s="7"/>
      <c r="S75" s="7"/>
      <c r="T75" s="7"/>
      <c r="U75" s="7"/>
      <c r="V75" s="7"/>
      <c r="W75" s="7"/>
      <c r="X75" s="7"/>
      <c r="Y75" s="7" t="s">
        <v>518</v>
      </c>
      <c r="Z75" s="7" t="s">
        <v>519</v>
      </c>
      <c r="AA75" s="7">
        <v>9442310</v>
      </c>
      <c r="AB75" s="7" t="s">
        <v>165</v>
      </c>
      <c r="AC75" s="7"/>
      <c r="AD75" s="7"/>
      <c r="AE75" s="7"/>
      <c r="AF75" s="7"/>
      <c r="AG75" s="8">
        <f t="shared" si="1"/>
        <v>43313</v>
      </c>
    </row>
    <row r="76" spans="1:33">
      <c r="A76" s="7" t="s">
        <v>520</v>
      </c>
      <c r="B76" s="7" t="s">
        <v>520</v>
      </c>
      <c r="C76" s="7" t="s">
        <v>521</v>
      </c>
      <c r="D76" s="7" t="s">
        <v>522</v>
      </c>
      <c r="E76" s="7" t="s">
        <v>33</v>
      </c>
      <c r="F76" s="7" t="s">
        <v>34</v>
      </c>
      <c r="G76" s="7" t="s">
        <v>35</v>
      </c>
      <c r="H76" s="7"/>
      <c r="I76" s="7"/>
      <c r="J76" s="7" t="s">
        <v>36</v>
      </c>
      <c r="K76" s="7" t="s">
        <v>37</v>
      </c>
      <c r="L76" s="7" t="s">
        <v>523</v>
      </c>
      <c r="M76" s="7" t="s">
        <v>524</v>
      </c>
      <c r="N76" s="7" t="s">
        <v>33</v>
      </c>
      <c r="O76" s="7">
        <v>1</v>
      </c>
      <c r="P76" s="7" t="s">
        <v>40</v>
      </c>
      <c r="Q76" s="7">
        <v>19.99</v>
      </c>
      <c r="R76" s="7"/>
      <c r="S76" s="7"/>
      <c r="T76" s="7"/>
      <c r="U76" s="7"/>
      <c r="V76" s="7"/>
      <c r="W76" s="7"/>
      <c r="X76" s="7"/>
      <c r="Y76" s="7" t="s">
        <v>525</v>
      </c>
      <c r="Z76" s="7" t="s">
        <v>135</v>
      </c>
      <c r="AA76" s="7" t="s">
        <v>526</v>
      </c>
      <c r="AB76" s="7" t="s">
        <v>43</v>
      </c>
      <c r="AC76" s="7"/>
      <c r="AD76" s="7"/>
      <c r="AE76" s="7"/>
      <c r="AF76" s="7"/>
      <c r="AG76" s="8">
        <f t="shared" si="1"/>
        <v>43313</v>
      </c>
    </row>
    <row r="77" spans="1:33">
      <c r="A77" s="7" t="s">
        <v>527</v>
      </c>
      <c r="B77" s="7" t="s">
        <v>527</v>
      </c>
      <c r="C77" s="7" t="s">
        <v>528</v>
      </c>
      <c r="D77" s="7" t="s">
        <v>529</v>
      </c>
      <c r="E77" s="7" t="s">
        <v>33</v>
      </c>
      <c r="F77" s="7" t="s">
        <v>34</v>
      </c>
      <c r="G77" s="7" t="s">
        <v>35</v>
      </c>
      <c r="H77" s="7"/>
      <c r="I77" s="7"/>
      <c r="J77" s="7" t="s">
        <v>36</v>
      </c>
      <c r="K77" s="7" t="s">
        <v>255</v>
      </c>
      <c r="L77" s="7" t="s">
        <v>277</v>
      </c>
      <c r="M77" s="7" t="s">
        <v>278</v>
      </c>
      <c r="N77" s="7" t="s">
        <v>33</v>
      </c>
      <c r="O77" s="7">
        <v>1</v>
      </c>
      <c r="P77" s="7" t="s">
        <v>40</v>
      </c>
      <c r="Q77" s="7">
        <v>19.99</v>
      </c>
      <c r="R77" s="7"/>
      <c r="S77" s="7"/>
      <c r="T77" s="7"/>
      <c r="U77" s="7"/>
      <c r="V77" s="7"/>
      <c r="W77" s="7"/>
      <c r="X77" s="7"/>
      <c r="Y77" s="7" t="s">
        <v>530</v>
      </c>
      <c r="Z77" s="7" t="s">
        <v>51</v>
      </c>
      <c r="AA77" s="7" t="s">
        <v>531</v>
      </c>
      <c r="AB77" s="7" t="s">
        <v>43</v>
      </c>
      <c r="AC77" s="7"/>
      <c r="AD77" s="7"/>
      <c r="AE77" s="7"/>
      <c r="AF77" s="7"/>
      <c r="AG77" s="8">
        <f t="shared" si="1"/>
        <v>43313</v>
      </c>
    </row>
    <row r="78" spans="1:33">
      <c r="A78" s="7" t="s">
        <v>532</v>
      </c>
      <c r="B78" s="7" t="s">
        <v>532</v>
      </c>
      <c r="C78" s="7" t="s">
        <v>533</v>
      </c>
      <c r="D78" s="7" t="s">
        <v>534</v>
      </c>
      <c r="E78" s="7" t="s">
        <v>33</v>
      </c>
      <c r="F78" s="7" t="s">
        <v>34</v>
      </c>
      <c r="G78" s="7" t="s">
        <v>35</v>
      </c>
      <c r="H78" s="7"/>
      <c r="I78" s="7"/>
      <c r="J78" s="7" t="s">
        <v>36</v>
      </c>
      <c r="K78" s="7" t="s">
        <v>131</v>
      </c>
      <c r="L78" s="7" t="s">
        <v>132</v>
      </c>
      <c r="M78" s="7" t="s">
        <v>133</v>
      </c>
      <c r="N78" s="7" t="s">
        <v>33</v>
      </c>
      <c r="O78" s="7">
        <v>1</v>
      </c>
      <c r="P78" s="7" t="s">
        <v>40</v>
      </c>
      <c r="Q78" s="7">
        <v>18.99</v>
      </c>
      <c r="R78" s="7"/>
      <c r="S78" s="7"/>
      <c r="T78" s="7"/>
      <c r="U78" s="7"/>
      <c r="V78" s="7"/>
      <c r="W78" s="7"/>
      <c r="X78" s="7"/>
      <c r="Y78" s="7" t="s">
        <v>535</v>
      </c>
      <c r="Z78" s="7" t="s">
        <v>165</v>
      </c>
      <c r="AA78" s="7" t="s">
        <v>536</v>
      </c>
      <c r="AB78" s="7" t="s">
        <v>43</v>
      </c>
      <c r="AC78" s="7"/>
      <c r="AD78" s="7"/>
      <c r="AE78" s="7"/>
      <c r="AF78" s="7"/>
      <c r="AG78" s="8">
        <f t="shared" si="1"/>
        <v>43313</v>
      </c>
    </row>
    <row r="79" spans="1:33">
      <c r="A79" s="7" t="s">
        <v>537</v>
      </c>
      <c r="B79" s="7" t="s">
        <v>537</v>
      </c>
      <c r="C79" s="7" t="s">
        <v>538</v>
      </c>
      <c r="D79" s="7" t="s">
        <v>539</v>
      </c>
      <c r="E79" s="7" t="s">
        <v>33</v>
      </c>
      <c r="F79" s="7" t="s">
        <v>34</v>
      </c>
      <c r="G79" s="7" t="s">
        <v>35</v>
      </c>
      <c r="H79" s="7"/>
      <c r="I79" s="7"/>
      <c r="J79" s="7" t="s">
        <v>36</v>
      </c>
      <c r="K79" s="7" t="s">
        <v>90</v>
      </c>
      <c r="L79" s="7" t="s">
        <v>540</v>
      </c>
      <c r="M79" s="7" t="s">
        <v>541</v>
      </c>
      <c r="N79" s="7" t="s">
        <v>33</v>
      </c>
      <c r="O79" s="7">
        <v>1</v>
      </c>
      <c r="P79" s="7" t="s">
        <v>40</v>
      </c>
      <c r="Q79" s="7">
        <v>19.99</v>
      </c>
      <c r="R79" s="7"/>
      <c r="S79" s="7"/>
      <c r="T79" s="7"/>
      <c r="U79" s="7"/>
      <c r="V79" s="7"/>
      <c r="W79" s="7"/>
      <c r="X79" s="7"/>
      <c r="Y79" s="7" t="s">
        <v>542</v>
      </c>
      <c r="Z79" s="7" t="s">
        <v>452</v>
      </c>
      <c r="AA79" s="7" t="s">
        <v>543</v>
      </c>
      <c r="AB79" s="7" t="s">
        <v>43</v>
      </c>
      <c r="AC79" s="7"/>
      <c r="AD79" s="7"/>
      <c r="AE79" s="7"/>
      <c r="AF79" s="7"/>
      <c r="AG79" s="8">
        <f t="shared" si="1"/>
        <v>43313</v>
      </c>
    </row>
    <row r="80" spans="1:33">
      <c r="A80" s="7" t="s">
        <v>544</v>
      </c>
      <c r="B80" s="7" t="s">
        <v>544</v>
      </c>
      <c r="C80" s="7" t="s">
        <v>545</v>
      </c>
      <c r="D80" s="7" t="s">
        <v>546</v>
      </c>
      <c r="E80" s="7" t="s">
        <v>33</v>
      </c>
      <c r="F80" s="7" t="s">
        <v>34</v>
      </c>
      <c r="G80" s="7" t="s">
        <v>35</v>
      </c>
      <c r="H80" s="7"/>
      <c r="I80" s="7"/>
      <c r="J80" s="7" t="s">
        <v>36</v>
      </c>
      <c r="K80" s="7" t="s">
        <v>125</v>
      </c>
      <c r="L80" s="7" t="s">
        <v>126</v>
      </c>
      <c r="M80" s="7" t="s">
        <v>127</v>
      </c>
      <c r="N80" s="7" t="s">
        <v>33</v>
      </c>
      <c r="O80" s="7">
        <v>1</v>
      </c>
      <c r="P80" s="7" t="s">
        <v>40</v>
      </c>
      <c r="Q80" s="7">
        <v>18.99</v>
      </c>
      <c r="R80" s="7"/>
      <c r="S80" s="7"/>
      <c r="T80" s="7"/>
      <c r="U80" s="7"/>
      <c r="V80" s="7"/>
      <c r="W80" s="7"/>
      <c r="X80" s="7"/>
      <c r="Y80" s="7" t="s">
        <v>547</v>
      </c>
      <c r="Z80" s="7" t="s">
        <v>227</v>
      </c>
      <c r="AA80" s="7" t="s">
        <v>548</v>
      </c>
      <c r="AB80" s="7" t="s">
        <v>43</v>
      </c>
      <c r="AC80" s="7"/>
      <c r="AD80" s="7"/>
      <c r="AE80" s="7"/>
      <c r="AF80" s="7"/>
      <c r="AG80" s="8">
        <f t="shared" si="1"/>
        <v>43313</v>
      </c>
    </row>
    <row r="81" spans="1:33">
      <c r="A81" s="7" t="s">
        <v>549</v>
      </c>
      <c r="B81" s="7" t="s">
        <v>549</v>
      </c>
      <c r="C81" s="7" t="s">
        <v>550</v>
      </c>
      <c r="D81" s="7" t="s">
        <v>551</v>
      </c>
      <c r="E81" s="7" t="s">
        <v>33</v>
      </c>
      <c r="F81" s="7" t="s">
        <v>34</v>
      </c>
      <c r="G81" s="7" t="s">
        <v>35</v>
      </c>
      <c r="H81" s="7"/>
      <c r="I81" s="7"/>
      <c r="J81" s="7" t="s">
        <v>36</v>
      </c>
      <c r="K81" s="7" t="s">
        <v>247</v>
      </c>
      <c r="L81" s="7" t="s">
        <v>248</v>
      </c>
      <c r="M81" s="7" t="s">
        <v>249</v>
      </c>
      <c r="N81" s="7" t="s">
        <v>33</v>
      </c>
      <c r="O81" s="7">
        <v>1</v>
      </c>
      <c r="P81" s="7" t="s">
        <v>40</v>
      </c>
      <c r="Q81" s="7">
        <v>18.99</v>
      </c>
      <c r="R81" s="7"/>
      <c r="S81" s="7"/>
      <c r="T81" s="7"/>
      <c r="U81" s="7"/>
      <c r="V81" s="7"/>
      <c r="W81" s="7"/>
      <c r="X81" s="7"/>
      <c r="Y81" s="7" t="s">
        <v>397</v>
      </c>
      <c r="Z81" s="7" t="s">
        <v>135</v>
      </c>
      <c r="AA81" s="7" t="s">
        <v>552</v>
      </c>
      <c r="AB81" s="7" t="s">
        <v>43</v>
      </c>
      <c r="AC81" s="7"/>
      <c r="AD81" s="7"/>
      <c r="AE81" s="7"/>
      <c r="AF81" s="7"/>
      <c r="AG81" s="8">
        <f t="shared" si="1"/>
        <v>43313</v>
      </c>
    </row>
    <row r="82" spans="1:33">
      <c r="A82" s="7" t="s">
        <v>553</v>
      </c>
      <c r="B82" s="7" t="s">
        <v>553</v>
      </c>
      <c r="C82" s="7" t="s">
        <v>554</v>
      </c>
      <c r="D82" s="7" t="s">
        <v>555</v>
      </c>
      <c r="E82" s="7" t="s">
        <v>33</v>
      </c>
      <c r="F82" s="7" t="s">
        <v>34</v>
      </c>
      <c r="G82" s="7" t="s">
        <v>35</v>
      </c>
      <c r="H82" s="7"/>
      <c r="I82" s="7"/>
      <c r="J82" s="7" t="s">
        <v>36</v>
      </c>
      <c r="K82" s="7" t="s">
        <v>90</v>
      </c>
      <c r="L82" s="7" t="s">
        <v>91</v>
      </c>
      <c r="M82" s="7" t="s">
        <v>92</v>
      </c>
      <c r="N82" s="7" t="s">
        <v>33</v>
      </c>
      <c r="O82" s="7">
        <v>1</v>
      </c>
      <c r="P82" s="7" t="s">
        <v>40</v>
      </c>
      <c r="Q82" s="7">
        <v>19.99</v>
      </c>
      <c r="R82" s="7"/>
      <c r="S82" s="7"/>
      <c r="T82" s="7"/>
      <c r="U82" s="7"/>
      <c r="V82" s="7"/>
      <c r="W82" s="7"/>
      <c r="X82" s="7"/>
      <c r="Y82" s="7" t="s">
        <v>556</v>
      </c>
      <c r="Z82" s="7" t="s">
        <v>59</v>
      </c>
      <c r="AA82" s="7" t="s">
        <v>557</v>
      </c>
      <c r="AB82" s="7" t="s">
        <v>43</v>
      </c>
      <c r="AC82" s="7"/>
      <c r="AD82" s="7"/>
      <c r="AE82" s="7"/>
      <c r="AF82" s="7"/>
      <c r="AG82" s="8">
        <f t="shared" si="1"/>
        <v>43313</v>
      </c>
    </row>
    <row r="83" spans="1:33">
      <c r="A83" s="7" t="s">
        <v>558</v>
      </c>
      <c r="B83" s="7" t="s">
        <v>558</v>
      </c>
      <c r="C83" s="7" t="s">
        <v>559</v>
      </c>
      <c r="D83" s="7" t="s">
        <v>560</v>
      </c>
      <c r="E83" s="7" t="s">
        <v>33</v>
      </c>
      <c r="F83" s="7" t="s">
        <v>34</v>
      </c>
      <c r="G83" s="7" t="s">
        <v>35</v>
      </c>
      <c r="H83" s="7"/>
      <c r="I83" s="7"/>
      <c r="J83" s="7" t="s">
        <v>36</v>
      </c>
      <c r="K83" s="7" t="s">
        <v>120</v>
      </c>
      <c r="L83" s="7" t="s">
        <v>465</v>
      </c>
      <c r="M83" s="7" t="s">
        <v>466</v>
      </c>
      <c r="N83" s="7" t="s">
        <v>33</v>
      </c>
      <c r="O83" s="7">
        <v>1</v>
      </c>
      <c r="P83" s="7" t="s">
        <v>40</v>
      </c>
      <c r="Q83" s="7">
        <v>16.99</v>
      </c>
      <c r="R83" s="7"/>
      <c r="S83" s="7"/>
      <c r="T83" s="7"/>
      <c r="U83" s="7"/>
      <c r="V83" s="7"/>
      <c r="W83" s="7"/>
      <c r="X83" s="7"/>
      <c r="Y83" s="7" t="s">
        <v>561</v>
      </c>
      <c r="Z83" s="7" t="s">
        <v>447</v>
      </c>
      <c r="AA83" s="7" t="s">
        <v>562</v>
      </c>
      <c r="AB83" s="7" t="s">
        <v>43</v>
      </c>
      <c r="AC83" s="7"/>
      <c r="AD83" s="7"/>
      <c r="AE83" s="7"/>
      <c r="AF83" s="7"/>
      <c r="AG83" s="8">
        <f t="shared" si="1"/>
        <v>43313</v>
      </c>
    </row>
    <row r="84" spans="1:33">
      <c r="A84" s="7" t="s">
        <v>563</v>
      </c>
      <c r="B84" s="7" t="s">
        <v>563</v>
      </c>
      <c r="C84" s="7" t="s">
        <v>564</v>
      </c>
      <c r="D84" s="7" t="s">
        <v>565</v>
      </c>
      <c r="E84" s="7" t="s">
        <v>33</v>
      </c>
      <c r="F84" s="7" t="s">
        <v>34</v>
      </c>
      <c r="G84" s="7" t="s">
        <v>35</v>
      </c>
      <c r="H84" s="7"/>
      <c r="I84" s="7"/>
      <c r="J84" s="7" t="s">
        <v>36</v>
      </c>
      <c r="K84" s="7" t="s">
        <v>566</v>
      </c>
      <c r="L84" s="7" t="s">
        <v>567</v>
      </c>
      <c r="M84" s="7" t="s">
        <v>568</v>
      </c>
      <c r="N84" s="7" t="s">
        <v>33</v>
      </c>
      <c r="O84" s="7">
        <v>1</v>
      </c>
      <c r="P84" s="7" t="s">
        <v>40</v>
      </c>
      <c r="Q84" s="7">
        <v>12.98</v>
      </c>
      <c r="R84" s="7"/>
      <c r="S84" s="7"/>
      <c r="T84" s="7"/>
      <c r="U84" s="7"/>
      <c r="V84" s="7"/>
      <c r="W84" s="7"/>
      <c r="X84" s="7"/>
      <c r="Y84" s="7" t="s">
        <v>569</v>
      </c>
      <c r="Z84" s="7" t="s">
        <v>570</v>
      </c>
      <c r="AA84" s="7" t="s">
        <v>571</v>
      </c>
      <c r="AB84" s="7" t="s">
        <v>43</v>
      </c>
      <c r="AC84" s="7"/>
      <c r="AD84" s="7"/>
      <c r="AE84" s="7"/>
      <c r="AF84" s="7"/>
      <c r="AG84" s="8">
        <f t="shared" si="1"/>
        <v>43313</v>
      </c>
    </row>
    <row r="85" spans="1:33">
      <c r="A85" s="7" t="s">
        <v>572</v>
      </c>
      <c r="B85" s="7" t="s">
        <v>572</v>
      </c>
      <c r="C85" s="7" t="s">
        <v>573</v>
      </c>
      <c r="D85" s="7" t="s">
        <v>574</v>
      </c>
      <c r="E85" s="7" t="s">
        <v>33</v>
      </c>
      <c r="F85" s="7" t="s">
        <v>34</v>
      </c>
      <c r="G85" s="7" t="s">
        <v>35</v>
      </c>
      <c r="H85" s="7"/>
      <c r="I85" s="7"/>
      <c r="J85" s="7" t="s">
        <v>64</v>
      </c>
      <c r="K85" s="7" t="s">
        <v>247</v>
      </c>
      <c r="L85" s="7" t="s">
        <v>248</v>
      </c>
      <c r="M85" s="7" t="s">
        <v>249</v>
      </c>
      <c r="N85" s="7" t="s">
        <v>33</v>
      </c>
      <c r="O85" s="7">
        <v>1</v>
      </c>
      <c r="P85" s="7" t="s">
        <v>40</v>
      </c>
      <c r="Q85" s="7">
        <v>18.99</v>
      </c>
      <c r="R85" s="7"/>
      <c r="S85" s="7">
        <v>3.99</v>
      </c>
      <c r="T85" s="7"/>
      <c r="U85" s="7"/>
      <c r="V85" s="7"/>
      <c r="W85" s="7"/>
      <c r="X85" s="7"/>
      <c r="Y85" s="7" t="s">
        <v>575</v>
      </c>
      <c r="Z85" s="7" t="s">
        <v>287</v>
      </c>
      <c r="AA85" s="7">
        <v>30309</v>
      </c>
      <c r="AB85" s="7" t="s">
        <v>43</v>
      </c>
      <c r="AC85" s="7"/>
      <c r="AD85" s="7"/>
      <c r="AE85" s="7"/>
      <c r="AF85" s="7"/>
      <c r="AG85" s="8">
        <f t="shared" si="1"/>
        <v>43313</v>
      </c>
    </row>
    <row r="86" spans="1:33">
      <c r="A86" s="7" t="s">
        <v>576</v>
      </c>
      <c r="B86" s="7" t="s">
        <v>576</v>
      </c>
      <c r="C86" s="7" t="s">
        <v>577</v>
      </c>
      <c r="D86" s="7" t="s">
        <v>578</v>
      </c>
      <c r="E86" s="7" t="s">
        <v>99</v>
      </c>
      <c r="F86" s="7" t="s">
        <v>34</v>
      </c>
      <c r="G86" s="7" t="s">
        <v>35</v>
      </c>
      <c r="H86" s="7"/>
      <c r="I86" s="7"/>
      <c r="J86" s="7" t="s">
        <v>36</v>
      </c>
      <c r="K86" s="7" t="s">
        <v>125</v>
      </c>
      <c r="L86" s="7" t="s">
        <v>126</v>
      </c>
      <c r="M86" s="7" t="s">
        <v>127</v>
      </c>
      <c r="N86" s="7" t="s">
        <v>99</v>
      </c>
      <c r="O86" s="7">
        <v>0</v>
      </c>
      <c r="P86" s="7"/>
      <c r="Q86" s="7"/>
      <c r="R86" s="7"/>
      <c r="S86" s="7"/>
      <c r="T86" s="7"/>
      <c r="U86" s="7"/>
      <c r="V86" s="7"/>
      <c r="W86" s="7"/>
      <c r="X86" s="7"/>
      <c r="Y86" s="7" t="s">
        <v>579</v>
      </c>
      <c r="Z86" s="7" t="s">
        <v>165</v>
      </c>
      <c r="AA86" s="7" t="s">
        <v>580</v>
      </c>
      <c r="AB86" s="7" t="s">
        <v>43</v>
      </c>
      <c r="AC86" s="7"/>
      <c r="AD86" s="7"/>
      <c r="AE86" s="7"/>
      <c r="AF86" s="7"/>
      <c r="AG86" s="8">
        <f t="shared" si="1"/>
        <v>43313</v>
      </c>
    </row>
    <row r="87" spans="1:33">
      <c r="A87" s="7" t="s">
        <v>581</v>
      </c>
      <c r="B87" s="7" t="s">
        <v>581</v>
      </c>
      <c r="C87" s="7" t="s">
        <v>582</v>
      </c>
      <c r="D87" s="7" t="s">
        <v>583</v>
      </c>
      <c r="E87" s="7" t="s">
        <v>33</v>
      </c>
      <c r="F87" s="7" t="s">
        <v>34</v>
      </c>
      <c r="G87" s="7" t="s">
        <v>35</v>
      </c>
      <c r="H87" s="7"/>
      <c r="I87" s="7"/>
      <c r="J87" s="7" t="s">
        <v>36</v>
      </c>
      <c r="K87" s="7" t="s">
        <v>90</v>
      </c>
      <c r="L87" s="7" t="s">
        <v>91</v>
      </c>
      <c r="M87" s="7" t="s">
        <v>92</v>
      </c>
      <c r="N87" s="7" t="s">
        <v>33</v>
      </c>
      <c r="O87" s="7">
        <v>1</v>
      </c>
      <c r="P87" s="7" t="s">
        <v>40</v>
      </c>
      <c r="Q87" s="7">
        <v>19.99</v>
      </c>
      <c r="R87" s="7"/>
      <c r="S87" s="7"/>
      <c r="T87" s="7"/>
      <c r="U87" s="7"/>
      <c r="V87" s="7"/>
      <c r="W87" s="7"/>
      <c r="X87" s="7"/>
      <c r="Y87" s="7" t="s">
        <v>584</v>
      </c>
      <c r="Z87" s="7" t="s">
        <v>227</v>
      </c>
      <c r="AA87" s="7" t="s">
        <v>585</v>
      </c>
      <c r="AB87" s="7" t="s">
        <v>43</v>
      </c>
      <c r="AC87" s="7"/>
      <c r="AD87" s="7"/>
      <c r="AE87" s="7"/>
      <c r="AF87" s="7"/>
      <c r="AG87" s="8">
        <f t="shared" si="1"/>
        <v>43313</v>
      </c>
    </row>
    <row r="88" spans="1:33">
      <c r="A88" s="7" t="s">
        <v>586</v>
      </c>
      <c r="B88" s="7" t="s">
        <v>586</v>
      </c>
      <c r="C88" s="7" t="s">
        <v>587</v>
      </c>
      <c r="D88" s="7" t="s">
        <v>588</v>
      </c>
      <c r="E88" s="7" t="s">
        <v>33</v>
      </c>
      <c r="F88" s="7" t="s">
        <v>34</v>
      </c>
      <c r="G88" s="7" t="s">
        <v>35</v>
      </c>
      <c r="H88" s="7"/>
      <c r="I88" s="7"/>
      <c r="J88" s="7" t="s">
        <v>36</v>
      </c>
      <c r="K88" s="7" t="s">
        <v>589</v>
      </c>
      <c r="L88" s="7" t="s">
        <v>590</v>
      </c>
      <c r="M88" s="7" t="s">
        <v>591</v>
      </c>
      <c r="N88" s="7" t="s">
        <v>33</v>
      </c>
      <c r="O88" s="7">
        <v>1</v>
      </c>
      <c r="P88" s="7" t="s">
        <v>40</v>
      </c>
      <c r="Q88" s="7">
        <v>16.99</v>
      </c>
      <c r="R88" s="7"/>
      <c r="S88" s="7"/>
      <c r="T88" s="7"/>
      <c r="U88" s="7"/>
      <c r="V88" s="7"/>
      <c r="W88" s="7"/>
      <c r="X88" s="7"/>
      <c r="Y88" s="7" t="s">
        <v>592</v>
      </c>
      <c r="Z88" s="7" t="s">
        <v>165</v>
      </c>
      <c r="AA88" s="7" t="s">
        <v>593</v>
      </c>
      <c r="AB88" s="7" t="s">
        <v>43</v>
      </c>
      <c r="AC88" s="7"/>
      <c r="AD88" s="7"/>
      <c r="AE88" s="7"/>
      <c r="AF88" s="7"/>
      <c r="AG88" s="8">
        <f t="shared" si="1"/>
        <v>43313</v>
      </c>
    </row>
    <row r="89" spans="1:33">
      <c r="A89" s="7" t="s">
        <v>594</v>
      </c>
      <c r="B89" s="7" t="s">
        <v>594</v>
      </c>
      <c r="C89" s="7" t="s">
        <v>595</v>
      </c>
      <c r="D89" s="7" t="s">
        <v>596</v>
      </c>
      <c r="E89" s="7" t="s">
        <v>33</v>
      </c>
      <c r="F89" s="7" t="s">
        <v>34</v>
      </c>
      <c r="G89" s="7" t="s">
        <v>35</v>
      </c>
      <c r="H89" s="7"/>
      <c r="I89" s="7"/>
      <c r="J89" s="7" t="s">
        <v>36</v>
      </c>
      <c r="K89" s="7" t="s">
        <v>90</v>
      </c>
      <c r="L89" s="7" t="s">
        <v>140</v>
      </c>
      <c r="M89" s="7" t="s">
        <v>141</v>
      </c>
      <c r="N89" s="7" t="s">
        <v>33</v>
      </c>
      <c r="O89" s="7">
        <v>1</v>
      </c>
      <c r="P89" s="7" t="s">
        <v>40</v>
      </c>
      <c r="Q89" s="7">
        <v>19.99</v>
      </c>
      <c r="R89" s="7"/>
      <c r="S89" s="7"/>
      <c r="T89" s="7"/>
      <c r="U89" s="7"/>
      <c r="V89" s="7"/>
      <c r="W89" s="7"/>
      <c r="X89" s="7"/>
      <c r="Y89" s="7" t="s">
        <v>597</v>
      </c>
      <c r="Z89" s="7" t="s">
        <v>598</v>
      </c>
      <c r="AA89" s="7">
        <v>23093</v>
      </c>
      <c r="AB89" s="7" t="s">
        <v>43</v>
      </c>
      <c r="AC89" s="7"/>
      <c r="AD89" s="7"/>
      <c r="AE89" s="7"/>
      <c r="AF89" s="7"/>
      <c r="AG89" s="8">
        <f t="shared" si="1"/>
        <v>43313</v>
      </c>
    </row>
    <row r="90" spans="1:33">
      <c r="A90" s="7" t="s">
        <v>599</v>
      </c>
      <c r="B90" s="7" t="s">
        <v>599</v>
      </c>
      <c r="C90" s="7" t="s">
        <v>600</v>
      </c>
      <c r="D90" s="7" t="s">
        <v>601</v>
      </c>
      <c r="E90" s="7" t="s">
        <v>33</v>
      </c>
      <c r="F90" s="7" t="s">
        <v>34</v>
      </c>
      <c r="G90" s="7" t="s">
        <v>35</v>
      </c>
      <c r="H90" s="7"/>
      <c r="I90" s="7"/>
      <c r="J90" s="7" t="s">
        <v>36</v>
      </c>
      <c r="K90" s="7" t="s">
        <v>37</v>
      </c>
      <c r="L90" s="7" t="s">
        <v>602</v>
      </c>
      <c r="M90" s="7" t="s">
        <v>603</v>
      </c>
      <c r="N90" s="7" t="s">
        <v>33</v>
      </c>
      <c r="O90" s="7">
        <v>1</v>
      </c>
      <c r="P90" s="7" t="s">
        <v>40</v>
      </c>
      <c r="Q90" s="7">
        <v>19.99</v>
      </c>
      <c r="R90" s="7">
        <v>1.2</v>
      </c>
      <c r="S90" s="7"/>
      <c r="T90" s="7"/>
      <c r="U90" s="7"/>
      <c r="V90" s="7"/>
      <c r="W90" s="7"/>
      <c r="X90" s="7"/>
      <c r="Y90" s="7" t="s">
        <v>604</v>
      </c>
      <c r="Z90" s="7" t="s">
        <v>42</v>
      </c>
      <c r="AA90" s="7" t="s">
        <v>605</v>
      </c>
      <c r="AB90" s="7" t="s">
        <v>43</v>
      </c>
      <c r="AC90" s="7"/>
      <c r="AD90" s="7"/>
      <c r="AE90" s="7"/>
      <c r="AF90" s="7"/>
      <c r="AG90" s="8">
        <f t="shared" si="1"/>
        <v>43313</v>
      </c>
    </row>
    <row r="91" spans="1:33">
      <c r="A91" s="7" t="s">
        <v>606</v>
      </c>
      <c r="B91" s="7" t="s">
        <v>606</v>
      </c>
      <c r="C91" s="7" t="s">
        <v>607</v>
      </c>
      <c r="D91" s="7" t="s">
        <v>608</v>
      </c>
      <c r="E91" s="7" t="s">
        <v>33</v>
      </c>
      <c r="F91" s="7" t="s">
        <v>34</v>
      </c>
      <c r="G91" s="7" t="s">
        <v>35</v>
      </c>
      <c r="H91" s="7"/>
      <c r="I91" s="7"/>
      <c r="J91" s="7" t="s">
        <v>336</v>
      </c>
      <c r="K91" s="7" t="s">
        <v>472</v>
      </c>
      <c r="L91" s="7" t="s">
        <v>609</v>
      </c>
      <c r="M91" s="7" t="s">
        <v>610</v>
      </c>
      <c r="N91" s="7" t="s">
        <v>33</v>
      </c>
      <c r="O91" s="7">
        <v>1</v>
      </c>
      <c r="P91" s="7" t="s">
        <v>40</v>
      </c>
      <c r="Q91" s="7">
        <v>16.99</v>
      </c>
      <c r="R91" s="7"/>
      <c r="S91" s="7">
        <v>6.13</v>
      </c>
      <c r="T91" s="7"/>
      <c r="U91" s="7"/>
      <c r="V91" s="7"/>
      <c r="W91" s="7"/>
      <c r="X91" s="7"/>
      <c r="Y91" s="7" t="s">
        <v>611</v>
      </c>
      <c r="Z91" s="7" t="s">
        <v>612</v>
      </c>
      <c r="AA91" s="7">
        <v>7760060</v>
      </c>
      <c r="AB91" s="7" t="s">
        <v>613</v>
      </c>
      <c r="AC91" s="7"/>
      <c r="AD91" s="7"/>
      <c r="AE91" s="7"/>
      <c r="AF91" s="7"/>
      <c r="AG91" s="8">
        <f t="shared" si="1"/>
        <v>43313</v>
      </c>
    </row>
    <row r="92" spans="1:33">
      <c r="A92" s="7" t="s">
        <v>614</v>
      </c>
      <c r="B92" s="7" t="s">
        <v>614</v>
      </c>
      <c r="C92" s="7" t="s">
        <v>615</v>
      </c>
      <c r="D92" s="7" t="s">
        <v>616</v>
      </c>
      <c r="E92" s="7" t="s">
        <v>33</v>
      </c>
      <c r="F92" s="7" t="s">
        <v>34</v>
      </c>
      <c r="G92" s="7" t="s">
        <v>35</v>
      </c>
      <c r="H92" s="7"/>
      <c r="I92" s="7"/>
      <c r="J92" s="7" t="s">
        <v>36</v>
      </c>
      <c r="K92" s="7" t="s">
        <v>617</v>
      </c>
      <c r="L92" s="7" t="s">
        <v>618</v>
      </c>
      <c r="M92" s="7" t="s">
        <v>619</v>
      </c>
      <c r="N92" s="7" t="s">
        <v>33</v>
      </c>
      <c r="O92" s="7">
        <v>1</v>
      </c>
      <c r="P92" s="7" t="s">
        <v>40</v>
      </c>
      <c r="Q92" s="7">
        <v>18.99</v>
      </c>
      <c r="R92" s="7"/>
      <c r="S92" s="7"/>
      <c r="T92" s="7"/>
      <c r="U92" s="7"/>
      <c r="V92" s="7"/>
      <c r="W92" s="7"/>
      <c r="X92" s="7"/>
      <c r="Y92" s="7" t="s">
        <v>620</v>
      </c>
      <c r="Z92" s="7" t="s">
        <v>135</v>
      </c>
      <c r="AA92" s="7" t="s">
        <v>621</v>
      </c>
      <c r="AB92" s="7" t="s">
        <v>43</v>
      </c>
      <c r="AC92" s="7"/>
      <c r="AD92" s="7"/>
      <c r="AE92" s="7"/>
      <c r="AF92" s="7"/>
      <c r="AG92" s="8">
        <f t="shared" si="1"/>
        <v>43313</v>
      </c>
    </row>
    <row r="93" spans="1:33">
      <c r="A93" s="7" t="s">
        <v>622</v>
      </c>
      <c r="B93" s="7" t="s">
        <v>622</v>
      </c>
      <c r="C93" s="7" t="s">
        <v>623</v>
      </c>
      <c r="D93" s="7" t="s">
        <v>624</v>
      </c>
      <c r="E93" s="7" t="s">
        <v>33</v>
      </c>
      <c r="F93" s="7" t="s">
        <v>34</v>
      </c>
      <c r="G93" s="7" t="s">
        <v>35</v>
      </c>
      <c r="H93" s="7"/>
      <c r="I93" s="7"/>
      <c r="J93" s="7" t="s">
        <v>36</v>
      </c>
      <c r="K93" s="7" t="s">
        <v>215</v>
      </c>
      <c r="L93" s="7" t="s">
        <v>216</v>
      </c>
      <c r="M93" s="7" t="s">
        <v>217</v>
      </c>
      <c r="N93" s="7" t="s">
        <v>33</v>
      </c>
      <c r="O93" s="7">
        <v>1</v>
      </c>
      <c r="P93" s="7" t="s">
        <v>40</v>
      </c>
      <c r="Q93" s="7">
        <v>18.99</v>
      </c>
      <c r="R93" s="7"/>
      <c r="S93" s="7"/>
      <c r="T93" s="7"/>
      <c r="U93" s="7"/>
      <c r="V93" s="7"/>
      <c r="W93" s="7"/>
      <c r="X93" s="7"/>
      <c r="Y93" s="7" t="s">
        <v>625</v>
      </c>
      <c r="Z93" s="7" t="s">
        <v>626</v>
      </c>
      <c r="AA93" s="7">
        <v>36526</v>
      </c>
      <c r="AB93" s="7" t="s">
        <v>43</v>
      </c>
      <c r="AC93" s="7"/>
      <c r="AD93" s="7"/>
      <c r="AE93" s="7"/>
      <c r="AF93" s="7"/>
      <c r="AG93" s="8">
        <f t="shared" si="1"/>
        <v>43313</v>
      </c>
    </row>
    <row r="94" spans="1:33">
      <c r="A94" s="7" t="s">
        <v>627</v>
      </c>
      <c r="B94" s="7" t="s">
        <v>627</v>
      </c>
      <c r="C94" s="7" t="s">
        <v>628</v>
      </c>
      <c r="D94" s="7" t="s">
        <v>629</v>
      </c>
      <c r="E94" s="7" t="s">
        <v>33</v>
      </c>
      <c r="F94" s="7" t="s">
        <v>34</v>
      </c>
      <c r="G94" s="7" t="s">
        <v>35</v>
      </c>
      <c r="H94" s="7"/>
      <c r="I94" s="7"/>
      <c r="J94" s="7" t="s">
        <v>292</v>
      </c>
      <c r="K94" s="7" t="s">
        <v>90</v>
      </c>
      <c r="L94" s="7" t="s">
        <v>140</v>
      </c>
      <c r="M94" s="7" t="s">
        <v>141</v>
      </c>
      <c r="N94" s="7" t="s">
        <v>33</v>
      </c>
      <c r="O94" s="7">
        <v>1</v>
      </c>
      <c r="P94" s="7" t="s">
        <v>40</v>
      </c>
      <c r="Q94" s="7">
        <v>19.99</v>
      </c>
      <c r="R94" s="7"/>
      <c r="S94" s="7">
        <v>3.99</v>
      </c>
      <c r="T94" s="7"/>
      <c r="U94" s="7"/>
      <c r="V94" s="7"/>
      <c r="W94" s="7"/>
      <c r="X94" s="7">
        <v>3.99</v>
      </c>
      <c r="Y94" s="7" t="s">
        <v>630</v>
      </c>
      <c r="Z94" s="7" t="s">
        <v>94</v>
      </c>
      <c r="AA94" s="7" t="s">
        <v>631</v>
      </c>
      <c r="AB94" s="7" t="s">
        <v>43</v>
      </c>
      <c r="AC94" s="7"/>
      <c r="AD94" s="7"/>
      <c r="AE94" s="7"/>
      <c r="AF94" s="7"/>
      <c r="AG94" s="8">
        <f t="shared" si="1"/>
        <v>43313</v>
      </c>
    </row>
    <row r="95" spans="1:33">
      <c r="A95" s="7" t="s">
        <v>632</v>
      </c>
      <c r="B95" s="7" t="s">
        <v>632</v>
      </c>
      <c r="C95" s="7" t="s">
        <v>633</v>
      </c>
      <c r="D95" s="7" t="s">
        <v>634</v>
      </c>
      <c r="E95" s="7" t="s">
        <v>33</v>
      </c>
      <c r="F95" s="7" t="s">
        <v>34</v>
      </c>
      <c r="G95" s="7" t="s">
        <v>35</v>
      </c>
      <c r="H95" s="7"/>
      <c r="I95" s="7"/>
      <c r="J95" s="7" t="s">
        <v>36</v>
      </c>
      <c r="K95" s="7" t="s">
        <v>131</v>
      </c>
      <c r="L95" s="7" t="s">
        <v>132</v>
      </c>
      <c r="M95" s="7" t="s">
        <v>133</v>
      </c>
      <c r="N95" s="7" t="s">
        <v>33</v>
      </c>
      <c r="O95" s="7">
        <v>1</v>
      </c>
      <c r="P95" s="7" t="s">
        <v>40</v>
      </c>
      <c r="Q95" s="7">
        <v>18.99</v>
      </c>
      <c r="R95" s="7"/>
      <c r="S95" s="7"/>
      <c r="T95" s="7"/>
      <c r="U95" s="7"/>
      <c r="V95" s="7"/>
      <c r="W95" s="7"/>
      <c r="X95" s="7"/>
      <c r="Y95" s="7" t="s">
        <v>635</v>
      </c>
      <c r="Z95" s="7" t="s">
        <v>85</v>
      </c>
      <c r="AA95" s="7" t="s">
        <v>636</v>
      </c>
      <c r="AB95" s="7" t="s">
        <v>43</v>
      </c>
      <c r="AC95" s="7"/>
      <c r="AD95" s="7"/>
      <c r="AE95" s="7"/>
      <c r="AF95" s="7"/>
      <c r="AG95" s="8">
        <f t="shared" si="1"/>
        <v>43313</v>
      </c>
    </row>
    <row r="96" spans="1:33">
      <c r="A96" s="7" t="s">
        <v>637</v>
      </c>
      <c r="B96" s="7" t="s">
        <v>637</v>
      </c>
      <c r="C96" s="7" t="s">
        <v>638</v>
      </c>
      <c r="D96" s="7" t="s">
        <v>639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36</v>
      </c>
      <c r="K96" s="7" t="s">
        <v>37</v>
      </c>
      <c r="L96" s="7" t="s">
        <v>523</v>
      </c>
      <c r="M96" s="7" t="s">
        <v>524</v>
      </c>
      <c r="N96" s="7" t="s">
        <v>33</v>
      </c>
      <c r="O96" s="7">
        <v>1</v>
      </c>
      <c r="P96" s="7" t="s">
        <v>40</v>
      </c>
      <c r="Q96" s="7">
        <v>19.99</v>
      </c>
      <c r="R96" s="7"/>
      <c r="S96" s="7"/>
      <c r="T96" s="7"/>
      <c r="U96" s="7"/>
      <c r="V96" s="7"/>
      <c r="W96" s="7"/>
      <c r="X96" s="7"/>
      <c r="Y96" s="7" t="s">
        <v>640</v>
      </c>
      <c r="Z96" s="7" t="s">
        <v>59</v>
      </c>
      <c r="AA96" s="7" t="s">
        <v>641</v>
      </c>
      <c r="AB96" s="7" t="s">
        <v>43</v>
      </c>
      <c r="AC96" s="7"/>
      <c r="AD96" s="7"/>
      <c r="AE96" s="7"/>
      <c r="AF96" s="7"/>
      <c r="AG96" s="8">
        <f t="shared" si="1"/>
        <v>43313</v>
      </c>
    </row>
    <row r="97" spans="1:33">
      <c r="A97" s="7" t="s">
        <v>642</v>
      </c>
      <c r="B97" s="7" t="s">
        <v>642</v>
      </c>
      <c r="C97" s="7" t="s">
        <v>643</v>
      </c>
      <c r="D97" s="7" t="s">
        <v>644</v>
      </c>
      <c r="E97" s="7" t="s">
        <v>33</v>
      </c>
      <c r="F97" s="7" t="s">
        <v>34</v>
      </c>
      <c r="G97" s="7" t="s">
        <v>35</v>
      </c>
      <c r="H97" s="7"/>
      <c r="I97" s="7"/>
      <c r="J97" s="7" t="s">
        <v>64</v>
      </c>
      <c r="K97" s="7" t="s">
        <v>131</v>
      </c>
      <c r="L97" s="7" t="s">
        <v>132</v>
      </c>
      <c r="M97" s="7" t="s">
        <v>133</v>
      </c>
      <c r="N97" s="7" t="s">
        <v>33</v>
      </c>
      <c r="O97" s="7">
        <v>1</v>
      </c>
      <c r="P97" s="7" t="s">
        <v>40</v>
      </c>
      <c r="Q97" s="7">
        <v>18.99</v>
      </c>
      <c r="R97" s="7"/>
      <c r="S97" s="7"/>
      <c r="T97" s="7"/>
      <c r="U97" s="7"/>
      <c r="V97" s="7"/>
      <c r="W97" s="7"/>
      <c r="X97" s="7"/>
      <c r="Y97" s="7" t="s">
        <v>645</v>
      </c>
      <c r="Z97" s="7" t="s">
        <v>646</v>
      </c>
      <c r="AA97" s="7" t="s">
        <v>647</v>
      </c>
      <c r="AB97" s="7" t="s">
        <v>43</v>
      </c>
      <c r="AC97" s="7"/>
      <c r="AD97" s="7"/>
      <c r="AE97" s="7"/>
      <c r="AF97" s="7"/>
      <c r="AG97" s="8">
        <f t="shared" si="1"/>
        <v>43313</v>
      </c>
    </row>
    <row r="98" spans="1:33">
      <c r="A98" s="7" t="s">
        <v>648</v>
      </c>
      <c r="B98" s="7" t="s">
        <v>648</v>
      </c>
      <c r="C98" s="7" t="s">
        <v>649</v>
      </c>
      <c r="D98" s="7" t="s">
        <v>650</v>
      </c>
      <c r="E98" s="7" t="s">
        <v>33</v>
      </c>
      <c r="F98" s="7" t="s">
        <v>34</v>
      </c>
      <c r="G98" s="7" t="s">
        <v>35</v>
      </c>
      <c r="H98" s="7"/>
      <c r="I98" s="7"/>
      <c r="J98" s="7" t="s">
        <v>36</v>
      </c>
      <c r="K98" s="7" t="s">
        <v>207</v>
      </c>
      <c r="L98" s="7" t="s">
        <v>354</v>
      </c>
      <c r="M98" s="7" t="s">
        <v>355</v>
      </c>
      <c r="N98" s="7" t="s">
        <v>33</v>
      </c>
      <c r="O98" s="7">
        <v>1</v>
      </c>
      <c r="P98" s="7" t="s">
        <v>40</v>
      </c>
      <c r="Q98" s="7">
        <v>19.38</v>
      </c>
      <c r="R98" s="7"/>
      <c r="S98" s="7"/>
      <c r="T98" s="7"/>
      <c r="U98" s="7"/>
      <c r="V98" s="7"/>
      <c r="W98" s="7"/>
      <c r="X98" s="7"/>
      <c r="Y98" s="7" t="s">
        <v>651</v>
      </c>
      <c r="Z98" s="7" t="s">
        <v>174</v>
      </c>
      <c r="AA98" s="7" t="s">
        <v>652</v>
      </c>
      <c r="AB98" s="7" t="s">
        <v>43</v>
      </c>
      <c r="AC98" s="7"/>
      <c r="AD98" s="7"/>
      <c r="AE98" s="7"/>
      <c r="AF98" s="7"/>
      <c r="AG98" s="8">
        <f t="shared" si="1"/>
        <v>43313</v>
      </c>
    </row>
    <row r="99" spans="1:33">
      <c r="A99" s="7" t="s">
        <v>653</v>
      </c>
      <c r="B99" s="7" t="s">
        <v>653</v>
      </c>
      <c r="C99" s="7" t="s">
        <v>654</v>
      </c>
      <c r="D99" s="7" t="s">
        <v>655</v>
      </c>
      <c r="E99" s="7" t="s">
        <v>33</v>
      </c>
      <c r="F99" s="7" t="s">
        <v>34</v>
      </c>
      <c r="G99" s="7" t="s">
        <v>35</v>
      </c>
      <c r="H99" s="7"/>
      <c r="I99" s="7"/>
      <c r="J99" s="7" t="s">
        <v>36</v>
      </c>
      <c r="K99" s="7" t="s">
        <v>125</v>
      </c>
      <c r="L99" s="7" t="s">
        <v>126</v>
      </c>
      <c r="M99" s="7" t="s">
        <v>127</v>
      </c>
      <c r="N99" s="7" t="s">
        <v>33</v>
      </c>
      <c r="O99" s="7">
        <v>1</v>
      </c>
      <c r="P99" s="7" t="s">
        <v>40</v>
      </c>
      <c r="Q99" s="7">
        <v>18.99</v>
      </c>
      <c r="R99" s="7"/>
      <c r="S99" s="7"/>
      <c r="T99" s="7"/>
      <c r="U99" s="7"/>
      <c r="V99" s="7"/>
      <c r="W99" s="7"/>
      <c r="X99" s="7"/>
      <c r="Y99" s="7" t="s">
        <v>286</v>
      </c>
      <c r="Z99" s="7" t="s">
        <v>287</v>
      </c>
      <c r="AA99" s="7" t="s">
        <v>656</v>
      </c>
      <c r="AB99" s="7" t="s">
        <v>43</v>
      </c>
      <c r="AC99" s="7"/>
      <c r="AD99" s="7"/>
      <c r="AE99" s="7"/>
      <c r="AF99" s="7"/>
      <c r="AG99" s="8">
        <f t="shared" si="1"/>
        <v>43313</v>
      </c>
    </row>
    <row r="100" spans="1:33">
      <c r="A100" s="7" t="s">
        <v>657</v>
      </c>
      <c r="B100" s="7" t="s">
        <v>657</v>
      </c>
      <c r="C100" s="7" t="s">
        <v>658</v>
      </c>
      <c r="D100" s="7" t="s">
        <v>659</v>
      </c>
      <c r="E100" s="7" t="s">
        <v>33</v>
      </c>
      <c r="F100" s="7" t="s">
        <v>34</v>
      </c>
      <c r="G100" s="7" t="s">
        <v>35</v>
      </c>
      <c r="H100" s="7"/>
      <c r="I100" s="7"/>
      <c r="J100" s="7" t="s">
        <v>36</v>
      </c>
      <c r="K100" s="7" t="s">
        <v>255</v>
      </c>
      <c r="L100" s="7" t="s">
        <v>300</v>
      </c>
      <c r="M100" s="7" t="s">
        <v>301</v>
      </c>
      <c r="N100" s="7" t="s">
        <v>33</v>
      </c>
      <c r="O100" s="7">
        <v>1</v>
      </c>
      <c r="P100" s="7" t="s">
        <v>40</v>
      </c>
      <c r="Q100" s="7">
        <v>19.99</v>
      </c>
      <c r="R100" s="7"/>
      <c r="S100" s="7"/>
      <c r="T100" s="7"/>
      <c r="U100" s="7"/>
      <c r="V100" s="7"/>
      <c r="W100" s="7"/>
      <c r="X100" s="7"/>
      <c r="Y100" s="7" t="s">
        <v>660</v>
      </c>
      <c r="Z100" s="7" t="s">
        <v>501</v>
      </c>
      <c r="AA100" s="7">
        <v>7719</v>
      </c>
      <c r="AB100" s="7" t="s">
        <v>43</v>
      </c>
      <c r="AC100" s="7"/>
      <c r="AD100" s="7"/>
      <c r="AE100" s="7"/>
      <c r="AF100" s="7"/>
      <c r="AG100" s="8">
        <f t="shared" si="1"/>
        <v>43313</v>
      </c>
    </row>
    <row r="101" spans="1:33">
      <c r="A101" s="7" t="s">
        <v>661</v>
      </c>
      <c r="B101" s="7" t="s">
        <v>661</v>
      </c>
      <c r="C101" s="7" t="s">
        <v>662</v>
      </c>
      <c r="D101" s="7" t="s">
        <v>663</v>
      </c>
      <c r="E101" s="7" t="s">
        <v>33</v>
      </c>
      <c r="F101" s="7" t="s">
        <v>34</v>
      </c>
      <c r="G101" s="7" t="s">
        <v>35</v>
      </c>
      <c r="H101" s="7"/>
      <c r="I101" s="7"/>
      <c r="J101" s="7" t="s">
        <v>36</v>
      </c>
      <c r="K101" s="7" t="s">
        <v>155</v>
      </c>
      <c r="L101" s="7" t="s">
        <v>664</v>
      </c>
      <c r="M101" s="7" t="s">
        <v>665</v>
      </c>
      <c r="N101" s="7" t="s">
        <v>33</v>
      </c>
      <c r="O101" s="7">
        <v>1</v>
      </c>
      <c r="P101" s="7" t="s">
        <v>40</v>
      </c>
      <c r="Q101" s="7">
        <v>19.99</v>
      </c>
      <c r="R101" s="7"/>
      <c r="S101" s="7"/>
      <c r="T101" s="7"/>
      <c r="U101" s="7"/>
      <c r="V101" s="7"/>
      <c r="W101" s="7"/>
      <c r="X101" s="7"/>
      <c r="Y101" s="7" t="s">
        <v>666</v>
      </c>
      <c r="Z101" s="7" t="s">
        <v>59</v>
      </c>
      <c r="AA101" s="7" t="s">
        <v>667</v>
      </c>
      <c r="AB101" s="7" t="s">
        <v>43</v>
      </c>
      <c r="AC101" s="7"/>
      <c r="AD101" s="7"/>
      <c r="AE101" s="7"/>
      <c r="AF101" s="7"/>
      <c r="AG101" s="8">
        <f t="shared" si="1"/>
        <v>43313</v>
      </c>
    </row>
    <row r="102" spans="1:33">
      <c r="A102" s="7" t="s">
        <v>668</v>
      </c>
      <c r="B102" s="7" t="s">
        <v>668</v>
      </c>
      <c r="C102" s="7" t="s">
        <v>669</v>
      </c>
      <c r="D102" s="7" t="s">
        <v>670</v>
      </c>
      <c r="E102" s="7" t="s">
        <v>33</v>
      </c>
      <c r="F102" s="7" t="s">
        <v>34</v>
      </c>
      <c r="G102" s="7" t="s">
        <v>35</v>
      </c>
      <c r="H102" s="7"/>
      <c r="I102" s="7"/>
      <c r="J102" s="7" t="s">
        <v>36</v>
      </c>
      <c r="K102" s="7" t="s">
        <v>131</v>
      </c>
      <c r="L102" s="7" t="s">
        <v>132</v>
      </c>
      <c r="M102" s="7" t="s">
        <v>133</v>
      </c>
      <c r="N102" s="7" t="s">
        <v>33</v>
      </c>
      <c r="O102" s="7">
        <v>1</v>
      </c>
      <c r="P102" s="7" t="s">
        <v>40</v>
      </c>
      <c r="Q102" s="7">
        <v>18.99</v>
      </c>
      <c r="R102" s="7"/>
      <c r="S102" s="7"/>
      <c r="T102" s="7"/>
      <c r="U102" s="7"/>
      <c r="V102" s="7"/>
      <c r="W102" s="7"/>
      <c r="X102" s="7"/>
      <c r="Y102" s="7" t="s">
        <v>671</v>
      </c>
      <c r="Z102" s="7" t="s">
        <v>135</v>
      </c>
      <c r="AA102" s="7" t="s">
        <v>672</v>
      </c>
      <c r="AB102" s="7" t="s">
        <v>43</v>
      </c>
      <c r="AC102" s="7"/>
      <c r="AD102" s="7"/>
      <c r="AE102" s="7"/>
      <c r="AF102" s="7"/>
      <c r="AG102" s="8">
        <f t="shared" si="1"/>
        <v>43313</v>
      </c>
    </row>
    <row r="103" spans="1:33">
      <c r="A103" s="7" t="s">
        <v>673</v>
      </c>
      <c r="B103" s="7" t="s">
        <v>673</v>
      </c>
      <c r="C103" s="7" t="s">
        <v>674</v>
      </c>
      <c r="D103" s="7" t="s">
        <v>675</v>
      </c>
      <c r="E103" s="7" t="s">
        <v>33</v>
      </c>
      <c r="F103" s="7" t="s">
        <v>34</v>
      </c>
      <c r="G103" s="7" t="s">
        <v>35</v>
      </c>
      <c r="H103" s="7"/>
      <c r="I103" s="7"/>
      <c r="J103" s="7" t="s">
        <v>36</v>
      </c>
      <c r="K103" s="7" t="s">
        <v>90</v>
      </c>
      <c r="L103" s="7" t="s">
        <v>284</v>
      </c>
      <c r="M103" s="7" t="s">
        <v>285</v>
      </c>
      <c r="N103" s="7" t="s">
        <v>33</v>
      </c>
      <c r="O103" s="7">
        <v>1</v>
      </c>
      <c r="P103" s="7" t="s">
        <v>40</v>
      </c>
      <c r="Q103" s="7">
        <v>19.99</v>
      </c>
      <c r="R103" s="7"/>
      <c r="S103" s="7"/>
      <c r="T103" s="7"/>
      <c r="U103" s="7"/>
      <c r="V103" s="7"/>
      <c r="W103" s="7"/>
      <c r="X103" s="7"/>
      <c r="Y103" s="7" t="s">
        <v>676</v>
      </c>
      <c r="Z103" s="7" t="s">
        <v>357</v>
      </c>
      <c r="AA103" s="7" t="s">
        <v>677</v>
      </c>
      <c r="AB103" s="7" t="s">
        <v>43</v>
      </c>
      <c r="AC103" s="7"/>
      <c r="AD103" s="7"/>
      <c r="AE103" s="7"/>
      <c r="AF103" s="7"/>
      <c r="AG103" s="8">
        <f t="shared" si="1"/>
        <v>43313</v>
      </c>
    </row>
    <row r="104" spans="1:33">
      <c r="A104" s="7" t="s">
        <v>678</v>
      </c>
      <c r="B104" s="7" t="s">
        <v>678</v>
      </c>
      <c r="C104" s="7" t="s">
        <v>679</v>
      </c>
      <c r="D104" s="7" t="s">
        <v>680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36</v>
      </c>
      <c r="K104" s="7" t="s">
        <v>255</v>
      </c>
      <c r="L104" s="7" t="s">
        <v>427</v>
      </c>
      <c r="M104" s="7" t="s">
        <v>428</v>
      </c>
      <c r="N104" s="7" t="s">
        <v>33</v>
      </c>
      <c r="O104" s="7">
        <v>1</v>
      </c>
      <c r="P104" s="7" t="s">
        <v>40</v>
      </c>
      <c r="Q104" s="7">
        <v>19.99</v>
      </c>
      <c r="R104" s="7"/>
      <c r="S104" s="7"/>
      <c r="T104" s="7"/>
      <c r="U104" s="7"/>
      <c r="V104" s="7"/>
      <c r="W104" s="7"/>
      <c r="X104" s="7"/>
      <c r="Y104" s="7" t="s">
        <v>681</v>
      </c>
      <c r="Z104" s="7" t="s">
        <v>94</v>
      </c>
      <c r="AA104" s="7" t="s">
        <v>682</v>
      </c>
      <c r="AB104" s="7" t="s">
        <v>43</v>
      </c>
      <c r="AC104" s="7"/>
      <c r="AD104" s="7"/>
      <c r="AE104" s="7"/>
      <c r="AF104" s="7"/>
      <c r="AG104" s="8">
        <f t="shared" si="1"/>
        <v>43313</v>
      </c>
    </row>
    <row r="105" spans="1:33">
      <c r="A105" s="7" t="s">
        <v>683</v>
      </c>
      <c r="B105" s="7" t="s">
        <v>683</v>
      </c>
      <c r="C105" s="7" t="s">
        <v>684</v>
      </c>
      <c r="D105" s="7" t="s">
        <v>685</v>
      </c>
      <c r="E105" s="7" t="s">
        <v>33</v>
      </c>
      <c r="F105" s="7" t="s">
        <v>34</v>
      </c>
      <c r="G105" s="7" t="s">
        <v>35</v>
      </c>
      <c r="H105" s="7"/>
      <c r="I105" s="7"/>
      <c r="J105" s="7" t="s">
        <v>36</v>
      </c>
      <c r="K105" s="7" t="s">
        <v>255</v>
      </c>
      <c r="L105" s="7" t="s">
        <v>256</v>
      </c>
      <c r="M105" s="7" t="s">
        <v>257</v>
      </c>
      <c r="N105" s="7" t="s">
        <v>33</v>
      </c>
      <c r="O105" s="7">
        <v>1</v>
      </c>
      <c r="P105" s="7" t="s">
        <v>40</v>
      </c>
      <c r="Q105" s="7">
        <v>19.99</v>
      </c>
      <c r="R105" s="7"/>
      <c r="S105" s="7"/>
      <c r="T105" s="7"/>
      <c r="U105" s="7"/>
      <c r="V105" s="7"/>
      <c r="W105" s="7"/>
      <c r="X105" s="7"/>
      <c r="Y105" s="7" t="s">
        <v>429</v>
      </c>
      <c r="Z105" s="7" t="s">
        <v>59</v>
      </c>
      <c r="AA105" s="7" t="s">
        <v>686</v>
      </c>
      <c r="AB105" s="7" t="s">
        <v>43</v>
      </c>
      <c r="AC105" s="7"/>
      <c r="AD105" s="7"/>
      <c r="AE105" s="7"/>
      <c r="AF105" s="7"/>
      <c r="AG105" s="8">
        <f t="shared" si="1"/>
        <v>43313</v>
      </c>
    </row>
    <row r="106" spans="1:33">
      <c r="A106" s="7" t="s">
        <v>683</v>
      </c>
      <c r="B106" s="7" t="s">
        <v>683</v>
      </c>
      <c r="C106" s="7" t="s">
        <v>684</v>
      </c>
      <c r="D106" s="7" t="s">
        <v>685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36</v>
      </c>
      <c r="K106" s="7" t="s">
        <v>90</v>
      </c>
      <c r="L106" s="7" t="s">
        <v>284</v>
      </c>
      <c r="M106" s="7" t="s">
        <v>285</v>
      </c>
      <c r="N106" s="7" t="s">
        <v>33</v>
      </c>
      <c r="O106" s="7">
        <v>1</v>
      </c>
      <c r="P106" s="7" t="s">
        <v>40</v>
      </c>
      <c r="Q106" s="7">
        <v>19.99</v>
      </c>
      <c r="R106" s="7"/>
      <c r="S106" s="7"/>
      <c r="T106" s="7"/>
      <c r="U106" s="7"/>
      <c r="V106" s="7"/>
      <c r="W106" s="7"/>
      <c r="X106" s="7"/>
      <c r="Y106" s="7" t="s">
        <v>429</v>
      </c>
      <c r="Z106" s="7" t="s">
        <v>59</v>
      </c>
      <c r="AA106" s="7" t="s">
        <v>686</v>
      </c>
      <c r="AB106" s="7" t="s">
        <v>43</v>
      </c>
      <c r="AC106" s="7"/>
      <c r="AD106" s="7"/>
      <c r="AE106" s="7"/>
      <c r="AF106" s="7"/>
      <c r="AG106" s="8">
        <f t="shared" si="1"/>
        <v>43313</v>
      </c>
    </row>
    <row r="107" spans="1:33">
      <c r="A107" s="7" t="s">
        <v>687</v>
      </c>
      <c r="B107" s="7" t="s">
        <v>687</v>
      </c>
      <c r="C107" s="7" t="s">
        <v>688</v>
      </c>
      <c r="D107" s="7" t="s">
        <v>689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36</v>
      </c>
      <c r="K107" s="7" t="s">
        <v>170</v>
      </c>
      <c r="L107" s="7" t="s">
        <v>315</v>
      </c>
      <c r="M107" s="7" t="s">
        <v>316</v>
      </c>
      <c r="N107" s="7" t="s">
        <v>33</v>
      </c>
      <c r="O107" s="7">
        <v>1</v>
      </c>
      <c r="P107" s="7" t="s">
        <v>40</v>
      </c>
      <c r="Q107" s="7">
        <v>19.38</v>
      </c>
      <c r="R107" s="7"/>
      <c r="S107" s="7"/>
      <c r="T107" s="7"/>
      <c r="U107" s="7"/>
      <c r="V107" s="7"/>
      <c r="W107" s="7"/>
      <c r="X107" s="7"/>
      <c r="Y107" s="7" t="s">
        <v>690</v>
      </c>
      <c r="Z107" s="7" t="s">
        <v>691</v>
      </c>
      <c r="AA107" s="7">
        <v>30047</v>
      </c>
      <c r="AB107" s="7" t="s">
        <v>43</v>
      </c>
      <c r="AC107" s="7"/>
      <c r="AD107" s="7"/>
      <c r="AE107" s="7"/>
      <c r="AF107" s="7"/>
      <c r="AG107" s="8">
        <f t="shared" si="1"/>
        <v>43313</v>
      </c>
    </row>
    <row r="108" spans="1:33">
      <c r="A108" s="7" t="s">
        <v>692</v>
      </c>
      <c r="B108" s="7" t="s">
        <v>692</v>
      </c>
      <c r="C108" s="7" t="s">
        <v>693</v>
      </c>
      <c r="D108" s="7" t="s">
        <v>694</v>
      </c>
      <c r="E108" s="7" t="s">
        <v>33</v>
      </c>
      <c r="F108" s="7" t="s">
        <v>34</v>
      </c>
      <c r="G108" s="7" t="s">
        <v>35</v>
      </c>
      <c r="H108" s="7"/>
      <c r="I108" s="7"/>
      <c r="J108" s="7" t="s">
        <v>36</v>
      </c>
      <c r="K108" s="7" t="s">
        <v>255</v>
      </c>
      <c r="L108" s="7" t="s">
        <v>277</v>
      </c>
      <c r="M108" s="7" t="s">
        <v>278</v>
      </c>
      <c r="N108" s="7" t="s">
        <v>33</v>
      </c>
      <c r="O108" s="7">
        <v>1</v>
      </c>
      <c r="P108" s="7" t="s">
        <v>40</v>
      </c>
      <c r="Q108" s="7">
        <v>19.99</v>
      </c>
      <c r="R108" s="7"/>
      <c r="S108" s="7"/>
      <c r="T108" s="7"/>
      <c r="U108" s="7"/>
      <c r="V108" s="7"/>
      <c r="W108" s="7"/>
      <c r="X108" s="7"/>
      <c r="Y108" s="7" t="s">
        <v>695</v>
      </c>
      <c r="Z108" s="7" t="s">
        <v>94</v>
      </c>
      <c r="AA108" s="7" t="s">
        <v>696</v>
      </c>
      <c r="AB108" s="7" t="s">
        <v>43</v>
      </c>
      <c r="AC108" s="7"/>
      <c r="AD108" s="7"/>
      <c r="AE108" s="7"/>
      <c r="AF108" s="7"/>
      <c r="AG108" s="8">
        <f t="shared" si="1"/>
        <v>43313</v>
      </c>
    </row>
    <row r="109" spans="1:33">
      <c r="A109" s="7" t="s">
        <v>697</v>
      </c>
      <c r="B109" s="7" t="s">
        <v>697</v>
      </c>
      <c r="C109" s="7" t="s">
        <v>698</v>
      </c>
      <c r="D109" s="7" t="s">
        <v>699</v>
      </c>
      <c r="E109" s="7" t="s">
        <v>33</v>
      </c>
      <c r="F109" s="7" t="s">
        <v>34</v>
      </c>
      <c r="G109" s="7" t="s">
        <v>35</v>
      </c>
      <c r="H109" s="7"/>
      <c r="I109" s="7"/>
      <c r="J109" s="7" t="s">
        <v>36</v>
      </c>
      <c r="K109" s="7" t="s">
        <v>388</v>
      </c>
      <c r="L109" s="7" t="s">
        <v>700</v>
      </c>
      <c r="M109" s="7" t="s">
        <v>701</v>
      </c>
      <c r="N109" s="7" t="s">
        <v>33</v>
      </c>
      <c r="O109" s="7">
        <v>1</v>
      </c>
      <c r="P109" s="7" t="s">
        <v>40</v>
      </c>
      <c r="Q109" s="7">
        <v>19.38</v>
      </c>
      <c r="R109" s="7"/>
      <c r="S109" s="7"/>
      <c r="T109" s="7"/>
      <c r="U109" s="7"/>
      <c r="V109" s="7"/>
      <c r="W109" s="7"/>
      <c r="X109" s="7"/>
      <c r="Y109" s="7" t="s">
        <v>173</v>
      </c>
      <c r="Z109" s="7" t="s">
        <v>174</v>
      </c>
      <c r="AA109" s="7" t="s">
        <v>702</v>
      </c>
      <c r="AB109" s="7" t="s">
        <v>43</v>
      </c>
      <c r="AC109" s="7"/>
      <c r="AD109" s="7"/>
      <c r="AE109" s="7"/>
      <c r="AF109" s="7"/>
      <c r="AG109" s="8">
        <f t="shared" si="1"/>
        <v>43313</v>
      </c>
    </row>
    <row r="110" spans="1:33">
      <c r="A110" s="7" t="s">
        <v>703</v>
      </c>
      <c r="B110" s="7" t="s">
        <v>703</v>
      </c>
      <c r="C110" s="7" t="s">
        <v>704</v>
      </c>
      <c r="D110" s="7" t="s">
        <v>705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36</v>
      </c>
      <c r="K110" s="7" t="s">
        <v>65</v>
      </c>
      <c r="L110" s="7" t="s">
        <v>66</v>
      </c>
      <c r="M110" s="7" t="s">
        <v>67</v>
      </c>
      <c r="N110" s="7" t="s">
        <v>33</v>
      </c>
      <c r="O110" s="7">
        <v>1</v>
      </c>
      <c r="P110" s="7" t="s">
        <v>40</v>
      </c>
      <c r="Q110" s="7">
        <v>21.99</v>
      </c>
      <c r="R110" s="7"/>
      <c r="S110" s="7"/>
      <c r="T110" s="7"/>
      <c r="U110" s="7"/>
      <c r="V110" s="7"/>
      <c r="W110" s="7"/>
      <c r="X110" s="7"/>
      <c r="Y110" s="7" t="s">
        <v>706</v>
      </c>
      <c r="Z110" s="7" t="s">
        <v>59</v>
      </c>
      <c r="AA110" s="7" t="s">
        <v>707</v>
      </c>
      <c r="AB110" s="7" t="s">
        <v>43</v>
      </c>
      <c r="AC110" s="7"/>
      <c r="AD110" s="7"/>
      <c r="AE110" s="7"/>
      <c r="AF110" s="7"/>
      <c r="AG110" s="8">
        <f t="shared" si="1"/>
        <v>43313</v>
      </c>
    </row>
    <row r="111" spans="1:33">
      <c r="A111" s="7" t="s">
        <v>708</v>
      </c>
      <c r="B111" s="7" t="s">
        <v>708</v>
      </c>
      <c r="C111" s="7" t="s">
        <v>709</v>
      </c>
      <c r="D111" s="7" t="s">
        <v>710</v>
      </c>
      <c r="E111" s="7" t="s">
        <v>33</v>
      </c>
      <c r="F111" s="7" t="s">
        <v>34</v>
      </c>
      <c r="G111" s="7" t="s">
        <v>35</v>
      </c>
      <c r="H111" s="7"/>
      <c r="I111" s="7"/>
      <c r="J111" s="7" t="s">
        <v>336</v>
      </c>
      <c r="K111" s="7" t="s">
        <v>37</v>
      </c>
      <c r="L111" s="7" t="s">
        <v>82</v>
      </c>
      <c r="M111" s="7" t="s">
        <v>83</v>
      </c>
      <c r="N111" s="7" t="s">
        <v>33</v>
      </c>
      <c r="O111" s="7">
        <v>1</v>
      </c>
      <c r="P111" s="7" t="s">
        <v>40</v>
      </c>
      <c r="Q111" s="7">
        <v>19.99</v>
      </c>
      <c r="R111" s="7"/>
      <c r="S111" s="7">
        <v>1.17</v>
      </c>
      <c r="T111" s="7"/>
      <c r="U111" s="7"/>
      <c r="V111" s="7"/>
      <c r="W111" s="7"/>
      <c r="X111" s="7"/>
      <c r="Y111" s="7" t="s">
        <v>711</v>
      </c>
      <c r="Z111" s="7" t="s">
        <v>501</v>
      </c>
      <c r="AA111" s="7">
        <v>7010</v>
      </c>
      <c r="AB111" s="7" t="s">
        <v>43</v>
      </c>
      <c r="AC111" s="7"/>
      <c r="AD111" s="7"/>
      <c r="AE111" s="7"/>
      <c r="AF111" s="7"/>
      <c r="AG111" s="8">
        <f t="shared" si="1"/>
        <v>43313</v>
      </c>
    </row>
    <row r="112" spans="1:33">
      <c r="A112" s="7" t="s">
        <v>712</v>
      </c>
      <c r="B112" s="7" t="s">
        <v>712</v>
      </c>
      <c r="C112" s="7" t="s">
        <v>713</v>
      </c>
      <c r="D112" s="7" t="s">
        <v>714</v>
      </c>
      <c r="E112" s="7" t="s">
        <v>33</v>
      </c>
      <c r="F112" s="7" t="s">
        <v>34</v>
      </c>
      <c r="G112" s="7" t="s">
        <v>35</v>
      </c>
      <c r="H112" s="7"/>
      <c r="I112" s="7"/>
      <c r="J112" s="7" t="s">
        <v>336</v>
      </c>
      <c r="K112" s="7" t="s">
        <v>255</v>
      </c>
      <c r="L112" s="7" t="s">
        <v>300</v>
      </c>
      <c r="M112" s="7" t="s">
        <v>301</v>
      </c>
      <c r="N112" s="7" t="s">
        <v>33</v>
      </c>
      <c r="O112" s="7">
        <v>1</v>
      </c>
      <c r="P112" s="7" t="s">
        <v>40</v>
      </c>
      <c r="Q112" s="7">
        <v>19.99</v>
      </c>
      <c r="R112" s="7"/>
      <c r="S112" s="7">
        <v>2.92</v>
      </c>
      <c r="T112" s="7"/>
      <c r="U112" s="7"/>
      <c r="V112" s="7"/>
      <c r="W112" s="7"/>
      <c r="X112" s="7">
        <v>2.92</v>
      </c>
      <c r="Y112" s="7" t="s">
        <v>715</v>
      </c>
      <c r="Z112" s="7" t="s">
        <v>59</v>
      </c>
      <c r="AA112" s="7" t="s">
        <v>716</v>
      </c>
      <c r="AB112" s="7" t="s">
        <v>43</v>
      </c>
      <c r="AC112" s="7" t="s">
        <v>514</v>
      </c>
      <c r="AD112" s="7"/>
      <c r="AE112" s="7"/>
      <c r="AF112" s="7"/>
      <c r="AG112" s="8">
        <f t="shared" si="1"/>
        <v>43313</v>
      </c>
    </row>
    <row r="113" spans="1:33">
      <c r="A113" s="7" t="s">
        <v>717</v>
      </c>
      <c r="B113" s="7" t="s">
        <v>717</v>
      </c>
      <c r="C113" s="7" t="s">
        <v>718</v>
      </c>
      <c r="D113" s="7" t="s">
        <v>719</v>
      </c>
      <c r="E113" s="7" t="s">
        <v>33</v>
      </c>
      <c r="F113" s="7" t="s">
        <v>34</v>
      </c>
      <c r="G113" s="7" t="s">
        <v>35</v>
      </c>
      <c r="H113" s="7"/>
      <c r="I113" s="7"/>
      <c r="J113" s="7" t="s">
        <v>36</v>
      </c>
      <c r="K113" s="7" t="s">
        <v>37</v>
      </c>
      <c r="L113" s="7" t="s">
        <v>240</v>
      </c>
      <c r="M113" s="7" t="s">
        <v>241</v>
      </c>
      <c r="N113" s="7" t="s">
        <v>33</v>
      </c>
      <c r="O113" s="7">
        <v>1</v>
      </c>
      <c r="P113" s="7" t="s">
        <v>40</v>
      </c>
      <c r="Q113" s="7">
        <v>19.99</v>
      </c>
      <c r="R113" s="7"/>
      <c r="S113" s="7"/>
      <c r="T113" s="7"/>
      <c r="U113" s="7"/>
      <c r="V113" s="7"/>
      <c r="W113" s="7"/>
      <c r="X113" s="7"/>
      <c r="Y113" s="7" t="s">
        <v>720</v>
      </c>
      <c r="Z113" s="7" t="s">
        <v>447</v>
      </c>
      <c r="AA113" s="7" t="s">
        <v>721</v>
      </c>
      <c r="AB113" s="7" t="s">
        <v>43</v>
      </c>
      <c r="AC113" s="7"/>
      <c r="AD113" s="7"/>
      <c r="AE113" s="7"/>
      <c r="AF113" s="7"/>
      <c r="AG113" s="8">
        <f t="shared" si="1"/>
        <v>43313</v>
      </c>
    </row>
    <row r="114" spans="1:33">
      <c r="A114" s="7" t="s">
        <v>722</v>
      </c>
      <c r="B114" s="7" t="s">
        <v>722</v>
      </c>
      <c r="C114" s="7" t="s">
        <v>723</v>
      </c>
      <c r="D114" s="7" t="s">
        <v>724</v>
      </c>
      <c r="E114" s="7" t="s">
        <v>33</v>
      </c>
      <c r="F114" s="7" t="s">
        <v>34</v>
      </c>
      <c r="G114" s="7" t="s">
        <v>35</v>
      </c>
      <c r="H114" s="7"/>
      <c r="I114" s="7"/>
      <c r="J114" s="7" t="s">
        <v>336</v>
      </c>
      <c r="K114" s="7" t="s">
        <v>47</v>
      </c>
      <c r="L114" s="7" t="s">
        <v>725</v>
      </c>
      <c r="M114" s="7" t="s">
        <v>726</v>
      </c>
      <c r="N114" s="7" t="s">
        <v>33</v>
      </c>
      <c r="O114" s="7">
        <v>1</v>
      </c>
      <c r="P114" s="7" t="s">
        <v>40</v>
      </c>
      <c r="Q114" s="7">
        <v>15.99</v>
      </c>
      <c r="R114" s="7"/>
      <c r="S114" s="7">
        <v>3.49</v>
      </c>
      <c r="T114" s="7"/>
      <c r="U114" s="7"/>
      <c r="V114" s="7"/>
      <c r="W114" s="7"/>
      <c r="X114" s="7">
        <v>3.49</v>
      </c>
      <c r="Y114" s="7" t="s">
        <v>727</v>
      </c>
      <c r="Z114" s="7" t="s">
        <v>728</v>
      </c>
      <c r="AA114" s="7">
        <v>73734</v>
      </c>
      <c r="AB114" s="7" t="s">
        <v>43</v>
      </c>
      <c r="AC114" s="7" t="s">
        <v>514</v>
      </c>
      <c r="AD114" s="7"/>
      <c r="AE114" s="7"/>
      <c r="AF114" s="7"/>
      <c r="AG114" s="8">
        <f t="shared" si="1"/>
        <v>43313</v>
      </c>
    </row>
    <row r="115" spans="1:33">
      <c r="A115" s="7" t="s">
        <v>729</v>
      </c>
      <c r="B115" s="7" t="s">
        <v>729</v>
      </c>
      <c r="C115" s="7" t="s">
        <v>730</v>
      </c>
      <c r="D115" s="7" t="s">
        <v>731</v>
      </c>
      <c r="E115" s="7" t="s">
        <v>33</v>
      </c>
      <c r="F115" s="7" t="s">
        <v>34</v>
      </c>
      <c r="G115" s="7" t="s">
        <v>35</v>
      </c>
      <c r="H115" s="7"/>
      <c r="I115" s="7"/>
      <c r="J115" s="7" t="s">
        <v>36</v>
      </c>
      <c r="K115" s="7" t="s">
        <v>215</v>
      </c>
      <c r="L115" s="7" t="s">
        <v>216</v>
      </c>
      <c r="M115" s="7" t="s">
        <v>217</v>
      </c>
      <c r="N115" s="7" t="s">
        <v>33</v>
      </c>
      <c r="O115" s="7">
        <v>1</v>
      </c>
      <c r="P115" s="7" t="s">
        <v>40</v>
      </c>
      <c r="Q115" s="7">
        <v>18.99</v>
      </c>
      <c r="R115" s="7"/>
      <c r="S115" s="7"/>
      <c r="T115" s="7"/>
      <c r="U115" s="7"/>
      <c r="V115" s="7"/>
      <c r="W115" s="7"/>
      <c r="X115" s="7"/>
      <c r="Y115" s="7" t="s">
        <v>732</v>
      </c>
      <c r="Z115" s="7" t="s">
        <v>733</v>
      </c>
      <c r="AA115" s="7" t="s">
        <v>734</v>
      </c>
      <c r="AB115" s="7" t="s">
        <v>43</v>
      </c>
      <c r="AC115" s="7"/>
      <c r="AD115" s="7"/>
      <c r="AE115" s="7"/>
      <c r="AF115" s="7"/>
      <c r="AG115" s="8">
        <f t="shared" si="1"/>
        <v>43313</v>
      </c>
    </row>
    <row r="116" spans="1:33">
      <c r="A116" s="7" t="s">
        <v>735</v>
      </c>
      <c r="B116" s="7" t="s">
        <v>735</v>
      </c>
      <c r="C116" s="7" t="s">
        <v>736</v>
      </c>
      <c r="D116" s="7" t="s">
        <v>737</v>
      </c>
      <c r="E116" s="7" t="s">
        <v>99</v>
      </c>
      <c r="F116" s="7" t="s">
        <v>34</v>
      </c>
      <c r="G116" s="7" t="s">
        <v>35</v>
      </c>
      <c r="H116" s="7"/>
      <c r="I116" s="7"/>
      <c r="J116" s="7" t="s">
        <v>36</v>
      </c>
      <c r="K116" s="7" t="s">
        <v>90</v>
      </c>
      <c r="L116" s="7" t="s">
        <v>284</v>
      </c>
      <c r="M116" s="7" t="s">
        <v>285</v>
      </c>
      <c r="N116" s="7" t="s">
        <v>459</v>
      </c>
      <c r="O116" s="7">
        <v>1</v>
      </c>
      <c r="P116" s="7" t="s">
        <v>40</v>
      </c>
      <c r="Q116" s="7">
        <v>19.99</v>
      </c>
      <c r="R116" s="7"/>
      <c r="S116" s="7"/>
      <c r="T116" s="7"/>
      <c r="U116" s="7"/>
      <c r="V116" s="7"/>
      <c r="W116" s="7"/>
      <c r="X116" s="7"/>
      <c r="Y116" s="7" t="s">
        <v>738</v>
      </c>
      <c r="Z116" s="7" t="s">
        <v>135</v>
      </c>
      <c r="AA116" s="7" t="s">
        <v>739</v>
      </c>
      <c r="AB116" s="7" t="s">
        <v>43</v>
      </c>
      <c r="AC116" s="7"/>
      <c r="AD116" s="7"/>
      <c r="AE116" s="7"/>
      <c r="AF116" s="7"/>
      <c r="AG116" s="8">
        <f t="shared" si="1"/>
        <v>43313</v>
      </c>
    </row>
    <row r="117" spans="1:33">
      <c r="A117" s="7" t="s">
        <v>740</v>
      </c>
      <c r="B117" s="7" t="s">
        <v>740</v>
      </c>
      <c r="C117" s="7" t="s">
        <v>741</v>
      </c>
      <c r="D117" s="7" t="s">
        <v>742</v>
      </c>
      <c r="E117" s="7" t="s">
        <v>33</v>
      </c>
      <c r="F117" s="7" t="s">
        <v>34</v>
      </c>
      <c r="G117" s="7" t="s">
        <v>35</v>
      </c>
      <c r="H117" s="7"/>
      <c r="I117" s="7"/>
      <c r="J117" s="7" t="s">
        <v>336</v>
      </c>
      <c r="K117" s="7" t="s">
        <v>743</v>
      </c>
      <c r="L117" s="7" t="s">
        <v>744</v>
      </c>
      <c r="M117" s="7" t="s">
        <v>745</v>
      </c>
      <c r="N117" s="7" t="s">
        <v>33</v>
      </c>
      <c r="O117" s="7">
        <v>1</v>
      </c>
      <c r="P117" s="7" t="s">
        <v>40</v>
      </c>
      <c r="Q117" s="7">
        <v>19.99</v>
      </c>
      <c r="R117" s="7"/>
      <c r="S117" s="7">
        <v>2.92</v>
      </c>
      <c r="T117" s="7"/>
      <c r="U117" s="7"/>
      <c r="V117" s="7"/>
      <c r="W117" s="7"/>
      <c r="X117" s="7">
        <v>2.92</v>
      </c>
      <c r="Y117" s="7" t="s">
        <v>746</v>
      </c>
      <c r="Z117" s="7" t="s">
        <v>174</v>
      </c>
      <c r="AA117" s="7" t="s">
        <v>747</v>
      </c>
      <c r="AB117" s="7" t="s">
        <v>43</v>
      </c>
      <c r="AC117" s="7" t="s">
        <v>514</v>
      </c>
      <c r="AD117" s="7"/>
      <c r="AE117" s="7"/>
      <c r="AF117" s="7"/>
      <c r="AG117" s="8">
        <f t="shared" si="1"/>
        <v>43313</v>
      </c>
    </row>
    <row r="118" spans="1:33">
      <c r="A118" s="7" t="s">
        <v>748</v>
      </c>
      <c r="B118" s="7" t="s">
        <v>748</v>
      </c>
      <c r="C118" s="7" t="s">
        <v>749</v>
      </c>
      <c r="D118" s="7" t="s">
        <v>750</v>
      </c>
      <c r="E118" s="7" t="s">
        <v>33</v>
      </c>
      <c r="F118" s="7" t="s">
        <v>34</v>
      </c>
      <c r="G118" s="7" t="s">
        <v>35</v>
      </c>
      <c r="H118" s="7"/>
      <c r="I118" s="7"/>
      <c r="J118" s="7" t="s">
        <v>36</v>
      </c>
      <c r="K118" s="7" t="s">
        <v>125</v>
      </c>
      <c r="L118" s="7" t="s">
        <v>126</v>
      </c>
      <c r="M118" s="7" t="s">
        <v>127</v>
      </c>
      <c r="N118" s="7" t="s">
        <v>33</v>
      </c>
      <c r="O118" s="7">
        <v>1</v>
      </c>
      <c r="P118" s="7" t="s">
        <v>40</v>
      </c>
      <c r="Q118" s="7">
        <v>18.99</v>
      </c>
      <c r="R118" s="7"/>
      <c r="S118" s="7"/>
      <c r="T118" s="7"/>
      <c r="U118" s="7"/>
      <c r="V118" s="7"/>
      <c r="W118" s="7"/>
      <c r="X118" s="7"/>
      <c r="Y118" s="7" t="s">
        <v>751</v>
      </c>
      <c r="Z118" s="7" t="s">
        <v>59</v>
      </c>
      <c r="AA118" s="7">
        <v>92126</v>
      </c>
      <c r="AB118" s="7" t="s">
        <v>43</v>
      </c>
      <c r="AC118" s="7"/>
      <c r="AD118" s="7"/>
      <c r="AE118" s="7"/>
      <c r="AF118" s="7"/>
      <c r="AG118" s="8">
        <f t="shared" si="1"/>
        <v>43314</v>
      </c>
    </row>
    <row r="119" spans="1:33">
      <c r="A119" s="7" t="s">
        <v>752</v>
      </c>
      <c r="B119" s="7" t="s">
        <v>752</v>
      </c>
      <c r="C119" s="7" t="s">
        <v>753</v>
      </c>
      <c r="D119" s="7" t="s">
        <v>754</v>
      </c>
      <c r="E119" s="7" t="s">
        <v>33</v>
      </c>
      <c r="F119" s="7" t="s">
        <v>34</v>
      </c>
      <c r="G119" s="7" t="s">
        <v>35</v>
      </c>
      <c r="H119" s="7"/>
      <c r="I119" s="7"/>
      <c r="J119" s="7" t="s">
        <v>36</v>
      </c>
      <c r="K119" s="7" t="s">
        <v>55</v>
      </c>
      <c r="L119" s="7" t="s">
        <v>56</v>
      </c>
      <c r="M119" s="7" t="s">
        <v>57</v>
      </c>
      <c r="N119" s="7" t="s">
        <v>33</v>
      </c>
      <c r="O119" s="7">
        <v>1</v>
      </c>
      <c r="P119" s="7" t="s">
        <v>40</v>
      </c>
      <c r="Q119" s="7">
        <v>16.99</v>
      </c>
      <c r="R119" s="7"/>
      <c r="S119" s="7"/>
      <c r="T119" s="7"/>
      <c r="U119" s="7"/>
      <c r="V119" s="7"/>
      <c r="W119" s="7"/>
      <c r="X119" s="7"/>
      <c r="Y119" s="7" t="s">
        <v>755</v>
      </c>
      <c r="Z119" s="7" t="s">
        <v>174</v>
      </c>
      <c r="AA119" s="7" t="s">
        <v>756</v>
      </c>
      <c r="AB119" s="7" t="s">
        <v>43</v>
      </c>
      <c r="AC119" s="7"/>
      <c r="AD119" s="7"/>
      <c r="AE119" s="7"/>
      <c r="AF119" s="7"/>
      <c r="AG119" s="8">
        <f t="shared" si="1"/>
        <v>43314</v>
      </c>
    </row>
    <row r="120" spans="1:33">
      <c r="A120" s="7" t="s">
        <v>757</v>
      </c>
      <c r="B120" s="7" t="s">
        <v>757</v>
      </c>
      <c r="C120" s="7" t="s">
        <v>758</v>
      </c>
      <c r="D120" s="7" t="s">
        <v>759</v>
      </c>
      <c r="E120" s="7" t="s">
        <v>33</v>
      </c>
      <c r="F120" s="7" t="s">
        <v>34</v>
      </c>
      <c r="G120" s="7" t="s">
        <v>35</v>
      </c>
      <c r="H120" s="7"/>
      <c r="I120" s="7"/>
      <c r="J120" s="7" t="s">
        <v>36</v>
      </c>
      <c r="K120" s="7" t="s">
        <v>255</v>
      </c>
      <c r="L120" s="7" t="s">
        <v>277</v>
      </c>
      <c r="M120" s="7" t="s">
        <v>278</v>
      </c>
      <c r="N120" s="7" t="s">
        <v>33</v>
      </c>
      <c r="O120" s="7">
        <v>1</v>
      </c>
      <c r="P120" s="7" t="s">
        <v>40</v>
      </c>
      <c r="Q120" s="7">
        <v>19.99</v>
      </c>
      <c r="R120" s="7"/>
      <c r="S120" s="7"/>
      <c r="T120" s="7"/>
      <c r="U120" s="7"/>
      <c r="V120" s="7"/>
      <c r="W120" s="7"/>
      <c r="X120" s="7"/>
      <c r="Y120" s="7" t="s">
        <v>760</v>
      </c>
      <c r="Z120" s="7" t="s">
        <v>761</v>
      </c>
      <c r="AA120" s="7" t="s">
        <v>762</v>
      </c>
      <c r="AB120" s="7" t="s">
        <v>43</v>
      </c>
      <c r="AC120" s="7"/>
      <c r="AD120" s="7"/>
      <c r="AE120" s="7"/>
      <c r="AF120" s="7"/>
      <c r="AG120" s="8">
        <f t="shared" si="1"/>
        <v>43314</v>
      </c>
    </row>
    <row r="121" spans="1:33">
      <c r="A121" s="7" t="s">
        <v>763</v>
      </c>
      <c r="B121" s="7" t="s">
        <v>763</v>
      </c>
      <c r="C121" s="7" t="s">
        <v>764</v>
      </c>
      <c r="D121" s="7" t="s">
        <v>765</v>
      </c>
      <c r="E121" s="7" t="s">
        <v>33</v>
      </c>
      <c r="F121" s="7" t="s">
        <v>34</v>
      </c>
      <c r="G121" s="7" t="s">
        <v>35</v>
      </c>
      <c r="H121" s="7"/>
      <c r="I121" s="7"/>
      <c r="J121" s="7" t="s">
        <v>36</v>
      </c>
      <c r="K121" s="7" t="s">
        <v>255</v>
      </c>
      <c r="L121" s="7" t="s">
        <v>277</v>
      </c>
      <c r="M121" s="7" t="s">
        <v>278</v>
      </c>
      <c r="N121" s="7" t="s">
        <v>33</v>
      </c>
      <c r="O121" s="7">
        <v>1</v>
      </c>
      <c r="P121" s="7" t="s">
        <v>40</v>
      </c>
      <c r="Q121" s="7">
        <v>19.99</v>
      </c>
      <c r="R121" s="7"/>
      <c r="S121" s="7"/>
      <c r="T121" s="7"/>
      <c r="U121" s="7"/>
      <c r="V121" s="7"/>
      <c r="W121" s="7"/>
      <c r="X121" s="7"/>
      <c r="Y121" s="7" t="s">
        <v>766</v>
      </c>
      <c r="Z121" s="7" t="s">
        <v>345</v>
      </c>
      <c r="AA121" s="7" t="s">
        <v>767</v>
      </c>
      <c r="AB121" s="7" t="s">
        <v>43</v>
      </c>
      <c r="AC121" s="7"/>
      <c r="AD121" s="7"/>
      <c r="AE121" s="7"/>
      <c r="AF121" s="7"/>
      <c r="AG121" s="8">
        <f t="shared" si="1"/>
        <v>43314</v>
      </c>
    </row>
    <row r="122" spans="1:33">
      <c r="A122" s="7" t="s">
        <v>768</v>
      </c>
      <c r="B122" s="7" t="s">
        <v>768</v>
      </c>
      <c r="C122" s="7" t="s">
        <v>769</v>
      </c>
      <c r="D122" s="7" t="s">
        <v>770</v>
      </c>
      <c r="E122" s="7" t="s">
        <v>33</v>
      </c>
      <c r="F122" s="7" t="s">
        <v>34</v>
      </c>
      <c r="G122" s="7" t="s">
        <v>35</v>
      </c>
      <c r="H122" s="7"/>
      <c r="I122" s="7"/>
      <c r="J122" s="7" t="s">
        <v>36</v>
      </c>
      <c r="K122" s="7" t="s">
        <v>65</v>
      </c>
      <c r="L122" s="7" t="s">
        <v>771</v>
      </c>
      <c r="M122" s="7" t="s">
        <v>772</v>
      </c>
      <c r="N122" s="7" t="s">
        <v>33</v>
      </c>
      <c r="O122" s="7">
        <v>1</v>
      </c>
      <c r="P122" s="7" t="s">
        <v>40</v>
      </c>
      <c r="Q122" s="7">
        <v>19.99</v>
      </c>
      <c r="R122" s="7"/>
      <c r="S122" s="7"/>
      <c r="T122" s="7"/>
      <c r="U122" s="7"/>
      <c r="V122" s="7"/>
      <c r="W122" s="7"/>
      <c r="X122" s="7"/>
      <c r="Y122" s="7" t="s">
        <v>773</v>
      </c>
      <c r="Z122" s="7" t="s">
        <v>774</v>
      </c>
      <c r="AA122" s="7" t="s">
        <v>775</v>
      </c>
      <c r="AB122" s="7" t="s">
        <v>43</v>
      </c>
      <c r="AC122" s="7"/>
      <c r="AD122" s="7"/>
      <c r="AE122" s="7"/>
      <c r="AF122" s="7"/>
      <c r="AG122" s="8">
        <f t="shared" si="1"/>
        <v>43314</v>
      </c>
    </row>
    <row r="123" spans="1:33">
      <c r="A123" s="7" t="s">
        <v>776</v>
      </c>
      <c r="B123" s="7" t="s">
        <v>776</v>
      </c>
      <c r="C123" s="7" t="s">
        <v>777</v>
      </c>
      <c r="D123" s="7" t="s">
        <v>778</v>
      </c>
      <c r="E123" s="7" t="s">
        <v>33</v>
      </c>
      <c r="F123" s="7" t="s">
        <v>34</v>
      </c>
      <c r="G123" s="7" t="s">
        <v>35</v>
      </c>
      <c r="H123" s="7"/>
      <c r="I123" s="7"/>
      <c r="J123" s="7" t="s">
        <v>36</v>
      </c>
      <c r="K123" s="7" t="s">
        <v>247</v>
      </c>
      <c r="L123" s="7" t="s">
        <v>248</v>
      </c>
      <c r="M123" s="7" t="s">
        <v>249</v>
      </c>
      <c r="N123" s="7" t="s">
        <v>33</v>
      </c>
      <c r="O123" s="7">
        <v>1</v>
      </c>
      <c r="P123" s="7" t="s">
        <v>40</v>
      </c>
      <c r="Q123" s="7">
        <v>18.99</v>
      </c>
      <c r="R123" s="7"/>
      <c r="S123" s="7"/>
      <c r="T123" s="7"/>
      <c r="U123" s="7"/>
      <c r="V123" s="7"/>
      <c r="W123" s="7"/>
      <c r="X123" s="7"/>
      <c r="Y123" s="7" t="s">
        <v>779</v>
      </c>
      <c r="Z123" s="7" t="s">
        <v>59</v>
      </c>
      <c r="AA123" s="7" t="s">
        <v>780</v>
      </c>
      <c r="AB123" s="7" t="s">
        <v>43</v>
      </c>
      <c r="AC123" s="7"/>
      <c r="AD123" s="7"/>
      <c r="AE123" s="7"/>
      <c r="AF123" s="7"/>
      <c r="AG123" s="8">
        <f t="shared" si="1"/>
        <v>43314</v>
      </c>
    </row>
    <row r="124" spans="1:33">
      <c r="A124" s="7" t="s">
        <v>781</v>
      </c>
      <c r="B124" s="7" t="s">
        <v>781</v>
      </c>
      <c r="C124" s="7" t="s">
        <v>782</v>
      </c>
      <c r="D124" s="7" t="s">
        <v>783</v>
      </c>
      <c r="E124" s="7" t="s">
        <v>33</v>
      </c>
      <c r="F124" s="7" t="s">
        <v>34</v>
      </c>
      <c r="G124" s="7" t="s">
        <v>35</v>
      </c>
      <c r="H124" s="7"/>
      <c r="I124" s="7"/>
      <c r="J124" s="7" t="s">
        <v>36</v>
      </c>
      <c r="K124" s="7" t="s">
        <v>37</v>
      </c>
      <c r="L124" s="7" t="s">
        <v>784</v>
      </c>
      <c r="M124" s="7" t="s">
        <v>785</v>
      </c>
      <c r="N124" s="7" t="s">
        <v>33</v>
      </c>
      <c r="O124" s="7">
        <v>1</v>
      </c>
      <c r="P124" s="7" t="s">
        <v>40</v>
      </c>
      <c r="Q124" s="7">
        <v>19.99</v>
      </c>
      <c r="R124" s="7"/>
      <c r="S124" s="7"/>
      <c r="T124" s="7"/>
      <c r="U124" s="7"/>
      <c r="V124" s="7"/>
      <c r="W124" s="7"/>
      <c r="X124" s="7"/>
      <c r="Y124" s="7" t="s">
        <v>786</v>
      </c>
      <c r="Z124" s="7" t="s">
        <v>94</v>
      </c>
      <c r="AA124" s="7" t="s">
        <v>787</v>
      </c>
      <c r="AB124" s="7" t="s">
        <v>43</v>
      </c>
      <c r="AC124" s="7"/>
      <c r="AD124" s="7"/>
      <c r="AE124" s="7"/>
      <c r="AF124" s="7"/>
      <c r="AG124" s="8">
        <f t="shared" si="1"/>
        <v>43314</v>
      </c>
    </row>
    <row r="125" spans="1:33">
      <c r="A125" s="7" t="s">
        <v>788</v>
      </c>
      <c r="B125" s="7" t="s">
        <v>788</v>
      </c>
      <c r="C125" s="7" t="s">
        <v>789</v>
      </c>
      <c r="D125" s="7" t="s">
        <v>790</v>
      </c>
      <c r="E125" s="7" t="s">
        <v>33</v>
      </c>
      <c r="F125" s="7" t="s">
        <v>34</v>
      </c>
      <c r="G125" s="7" t="s">
        <v>35</v>
      </c>
      <c r="H125" s="7"/>
      <c r="I125" s="7"/>
      <c r="J125" s="7" t="s">
        <v>36</v>
      </c>
      <c r="K125" s="7" t="s">
        <v>255</v>
      </c>
      <c r="L125" s="7" t="s">
        <v>256</v>
      </c>
      <c r="M125" s="7" t="s">
        <v>257</v>
      </c>
      <c r="N125" s="7" t="s">
        <v>33</v>
      </c>
      <c r="O125" s="7">
        <v>1</v>
      </c>
      <c r="P125" s="7" t="s">
        <v>40</v>
      </c>
      <c r="Q125" s="7">
        <v>19.99</v>
      </c>
      <c r="R125" s="7"/>
      <c r="S125" s="7"/>
      <c r="T125" s="7"/>
      <c r="U125" s="7"/>
      <c r="V125" s="7"/>
      <c r="W125" s="7"/>
      <c r="X125" s="7"/>
      <c r="Y125" s="7" t="s">
        <v>791</v>
      </c>
      <c r="Z125" s="7" t="s">
        <v>59</v>
      </c>
      <c r="AA125" s="7" t="s">
        <v>792</v>
      </c>
      <c r="AB125" s="7" t="s">
        <v>43</v>
      </c>
      <c r="AC125" s="7"/>
      <c r="AD125" s="7"/>
      <c r="AE125" s="7"/>
      <c r="AF125" s="7"/>
      <c r="AG125" s="8">
        <f t="shared" si="1"/>
        <v>43314</v>
      </c>
    </row>
    <row r="126" spans="1:33">
      <c r="A126" s="7" t="s">
        <v>793</v>
      </c>
      <c r="B126" s="7" t="s">
        <v>793</v>
      </c>
      <c r="C126" s="7" t="s">
        <v>794</v>
      </c>
      <c r="D126" s="7" t="s">
        <v>795</v>
      </c>
      <c r="E126" s="7" t="s">
        <v>33</v>
      </c>
      <c r="F126" s="7" t="s">
        <v>34</v>
      </c>
      <c r="G126" s="7" t="s">
        <v>35</v>
      </c>
      <c r="H126" s="7"/>
      <c r="I126" s="7"/>
      <c r="J126" s="7" t="s">
        <v>36</v>
      </c>
      <c r="K126" s="7" t="s">
        <v>37</v>
      </c>
      <c r="L126" s="7" t="s">
        <v>82</v>
      </c>
      <c r="M126" s="7" t="s">
        <v>83</v>
      </c>
      <c r="N126" s="7" t="s">
        <v>33</v>
      </c>
      <c r="O126" s="7">
        <v>1</v>
      </c>
      <c r="P126" s="7" t="s">
        <v>40</v>
      </c>
      <c r="Q126" s="7">
        <v>19.99</v>
      </c>
      <c r="R126" s="7"/>
      <c r="S126" s="7"/>
      <c r="T126" s="7"/>
      <c r="U126" s="7"/>
      <c r="V126" s="7"/>
      <c r="W126" s="7"/>
      <c r="X126" s="7"/>
      <c r="Y126" s="7" t="s">
        <v>796</v>
      </c>
      <c r="Z126" s="7" t="s">
        <v>51</v>
      </c>
      <c r="AA126" s="7" t="s">
        <v>797</v>
      </c>
      <c r="AB126" s="7" t="s">
        <v>43</v>
      </c>
      <c r="AC126" s="7"/>
      <c r="AD126" s="7"/>
      <c r="AE126" s="7"/>
      <c r="AF126" s="7"/>
      <c r="AG126" s="8">
        <f t="shared" si="1"/>
        <v>43314</v>
      </c>
    </row>
    <row r="127" spans="1:33">
      <c r="A127" s="7" t="s">
        <v>798</v>
      </c>
      <c r="B127" s="7" t="s">
        <v>798</v>
      </c>
      <c r="C127" s="7" t="s">
        <v>799</v>
      </c>
      <c r="D127" s="7" t="s">
        <v>800</v>
      </c>
      <c r="E127" s="7" t="s">
        <v>33</v>
      </c>
      <c r="F127" s="7" t="s">
        <v>34</v>
      </c>
      <c r="G127" s="7" t="s">
        <v>35</v>
      </c>
      <c r="H127" s="7"/>
      <c r="I127" s="7"/>
      <c r="J127" s="7" t="s">
        <v>36</v>
      </c>
      <c r="K127" s="7" t="s">
        <v>90</v>
      </c>
      <c r="L127" s="7" t="s">
        <v>284</v>
      </c>
      <c r="M127" s="7" t="s">
        <v>285</v>
      </c>
      <c r="N127" s="7" t="s">
        <v>33</v>
      </c>
      <c r="O127" s="7">
        <v>1</v>
      </c>
      <c r="P127" s="7" t="s">
        <v>40</v>
      </c>
      <c r="Q127" s="7">
        <v>19.99</v>
      </c>
      <c r="R127" s="7"/>
      <c r="S127" s="7"/>
      <c r="T127" s="7"/>
      <c r="U127" s="7"/>
      <c r="V127" s="7"/>
      <c r="W127" s="7"/>
      <c r="X127" s="7"/>
      <c r="Y127" s="7" t="s">
        <v>801</v>
      </c>
      <c r="Z127" s="7" t="s">
        <v>135</v>
      </c>
      <c r="AA127" s="7" t="s">
        <v>802</v>
      </c>
      <c r="AB127" s="7" t="s">
        <v>43</v>
      </c>
      <c r="AC127" s="7"/>
      <c r="AD127" s="7"/>
      <c r="AE127" s="7"/>
      <c r="AF127" s="7"/>
      <c r="AG127" s="8">
        <f t="shared" si="1"/>
        <v>43314</v>
      </c>
    </row>
    <row r="128" spans="1:33">
      <c r="A128" s="7" t="s">
        <v>803</v>
      </c>
      <c r="B128" s="7" t="s">
        <v>803</v>
      </c>
      <c r="C128" s="7" t="s">
        <v>804</v>
      </c>
      <c r="D128" s="7" t="s">
        <v>805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64</v>
      </c>
      <c r="K128" s="7" t="s">
        <v>566</v>
      </c>
      <c r="L128" s="7" t="s">
        <v>806</v>
      </c>
      <c r="M128" s="7" t="s">
        <v>807</v>
      </c>
      <c r="N128" s="7" t="s">
        <v>33</v>
      </c>
      <c r="O128" s="7">
        <v>1</v>
      </c>
      <c r="P128" s="7" t="s">
        <v>40</v>
      </c>
      <c r="Q128" s="7">
        <v>18.98</v>
      </c>
      <c r="R128" s="7"/>
      <c r="S128" s="7">
        <v>3.99</v>
      </c>
      <c r="T128" s="7"/>
      <c r="U128" s="7"/>
      <c r="V128" s="7"/>
      <c r="W128" s="7"/>
      <c r="X128" s="7"/>
      <c r="Y128" s="7" t="s">
        <v>808</v>
      </c>
      <c r="Z128" s="7" t="s">
        <v>94</v>
      </c>
      <c r="AA128" s="7" t="s">
        <v>809</v>
      </c>
      <c r="AB128" s="7" t="s">
        <v>43</v>
      </c>
      <c r="AC128" s="7"/>
      <c r="AD128" s="7"/>
      <c r="AE128" s="7"/>
      <c r="AF128" s="7"/>
      <c r="AG128" s="8">
        <f t="shared" si="1"/>
        <v>43314</v>
      </c>
    </row>
    <row r="129" spans="1:33">
      <c r="A129" s="7" t="s">
        <v>810</v>
      </c>
      <c r="B129" s="7" t="s">
        <v>810</v>
      </c>
      <c r="C129" s="7" t="s">
        <v>811</v>
      </c>
      <c r="D129" s="7" t="s">
        <v>812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36</v>
      </c>
      <c r="K129" s="7" t="s">
        <v>155</v>
      </c>
      <c r="L129" s="7" t="s">
        <v>813</v>
      </c>
      <c r="M129" s="7" t="s">
        <v>814</v>
      </c>
      <c r="N129" s="7" t="s">
        <v>33</v>
      </c>
      <c r="O129" s="7">
        <v>1</v>
      </c>
      <c r="P129" s="7" t="s">
        <v>40</v>
      </c>
      <c r="Q129" s="7">
        <v>19.99</v>
      </c>
      <c r="R129" s="7"/>
      <c r="S129" s="7"/>
      <c r="T129" s="7"/>
      <c r="U129" s="7"/>
      <c r="V129" s="7"/>
      <c r="W129" s="7"/>
      <c r="X129" s="7"/>
      <c r="Y129" s="7" t="s">
        <v>815</v>
      </c>
      <c r="Z129" s="7" t="s">
        <v>227</v>
      </c>
      <c r="AA129" s="7">
        <v>11598</v>
      </c>
      <c r="AB129" s="7" t="s">
        <v>43</v>
      </c>
      <c r="AC129" s="7"/>
      <c r="AD129" s="7"/>
      <c r="AE129" s="7"/>
      <c r="AF129" s="7"/>
      <c r="AG129" s="8">
        <f t="shared" si="1"/>
        <v>43314</v>
      </c>
    </row>
    <row r="130" spans="1:33">
      <c r="A130" s="7" t="s">
        <v>816</v>
      </c>
      <c r="B130" s="7" t="s">
        <v>816</v>
      </c>
      <c r="C130" s="7" t="s">
        <v>817</v>
      </c>
      <c r="D130" s="7" t="s">
        <v>818</v>
      </c>
      <c r="E130" s="7" t="s">
        <v>33</v>
      </c>
      <c r="F130" s="7" t="s">
        <v>34</v>
      </c>
      <c r="G130" s="7" t="s">
        <v>35</v>
      </c>
      <c r="H130" s="7"/>
      <c r="I130" s="7"/>
      <c r="J130" s="7" t="s">
        <v>36</v>
      </c>
      <c r="K130" s="7" t="s">
        <v>90</v>
      </c>
      <c r="L130" s="7" t="s">
        <v>91</v>
      </c>
      <c r="M130" s="7" t="s">
        <v>92</v>
      </c>
      <c r="N130" s="7" t="s">
        <v>33</v>
      </c>
      <c r="O130" s="7">
        <v>1</v>
      </c>
      <c r="P130" s="7" t="s">
        <v>40</v>
      </c>
      <c r="Q130" s="7">
        <v>19.99</v>
      </c>
      <c r="R130" s="7"/>
      <c r="S130" s="7"/>
      <c r="T130" s="7"/>
      <c r="U130" s="7"/>
      <c r="V130" s="7"/>
      <c r="W130" s="7"/>
      <c r="X130" s="7"/>
      <c r="Y130" s="7" t="s">
        <v>819</v>
      </c>
      <c r="Z130" s="7" t="s">
        <v>59</v>
      </c>
      <c r="AA130" s="7" t="s">
        <v>820</v>
      </c>
      <c r="AB130" s="7" t="s">
        <v>43</v>
      </c>
      <c r="AC130" s="7"/>
      <c r="AD130" s="7"/>
      <c r="AE130" s="7"/>
      <c r="AF130" s="7"/>
      <c r="AG130" s="8">
        <f t="shared" ref="AG130:AG193" si="2">DATEVALUE(LEFT(C130,10))</f>
        <v>43314</v>
      </c>
    </row>
    <row r="131" spans="1:33">
      <c r="A131" s="7" t="s">
        <v>821</v>
      </c>
      <c r="B131" s="7" t="s">
        <v>821</v>
      </c>
      <c r="C131" s="7" t="s">
        <v>822</v>
      </c>
      <c r="D131" s="7" t="s">
        <v>823</v>
      </c>
      <c r="E131" s="7" t="s">
        <v>33</v>
      </c>
      <c r="F131" s="7" t="s">
        <v>34</v>
      </c>
      <c r="G131" s="7" t="s">
        <v>35</v>
      </c>
      <c r="H131" s="7"/>
      <c r="I131" s="7"/>
      <c r="J131" s="7" t="s">
        <v>36</v>
      </c>
      <c r="K131" s="7" t="s">
        <v>90</v>
      </c>
      <c r="L131" s="7" t="s">
        <v>540</v>
      </c>
      <c r="M131" s="7" t="s">
        <v>541</v>
      </c>
      <c r="N131" s="7" t="s">
        <v>33</v>
      </c>
      <c r="O131" s="7">
        <v>1</v>
      </c>
      <c r="P131" s="7" t="s">
        <v>40</v>
      </c>
      <c r="Q131" s="7">
        <v>19.99</v>
      </c>
      <c r="R131" s="7"/>
      <c r="S131" s="7"/>
      <c r="T131" s="7"/>
      <c r="U131" s="7"/>
      <c r="V131" s="7"/>
      <c r="W131" s="7"/>
      <c r="X131" s="7"/>
      <c r="Y131" s="7" t="s">
        <v>824</v>
      </c>
      <c r="Z131" s="7" t="s">
        <v>227</v>
      </c>
      <c r="AA131" s="7">
        <v>10305</v>
      </c>
      <c r="AB131" s="7" t="s">
        <v>43</v>
      </c>
      <c r="AC131" s="7"/>
      <c r="AD131" s="7"/>
      <c r="AE131" s="7"/>
      <c r="AF131" s="7"/>
      <c r="AG131" s="8">
        <f t="shared" si="2"/>
        <v>43314</v>
      </c>
    </row>
    <row r="132" spans="1:33">
      <c r="A132" s="7" t="s">
        <v>825</v>
      </c>
      <c r="B132" s="7" t="s">
        <v>825</v>
      </c>
      <c r="C132" s="7" t="s">
        <v>826</v>
      </c>
      <c r="D132" s="7" t="s">
        <v>827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36</v>
      </c>
      <c r="K132" s="7" t="s">
        <v>90</v>
      </c>
      <c r="L132" s="7" t="s">
        <v>140</v>
      </c>
      <c r="M132" s="7" t="s">
        <v>141</v>
      </c>
      <c r="N132" s="7" t="s">
        <v>33</v>
      </c>
      <c r="O132" s="7">
        <v>1</v>
      </c>
      <c r="P132" s="7" t="s">
        <v>40</v>
      </c>
      <c r="Q132" s="7">
        <v>19.99</v>
      </c>
      <c r="R132" s="7"/>
      <c r="S132" s="7"/>
      <c r="T132" s="7"/>
      <c r="U132" s="7"/>
      <c r="V132" s="7"/>
      <c r="W132" s="7"/>
      <c r="X132" s="7"/>
      <c r="Y132" s="7" t="s">
        <v>828</v>
      </c>
      <c r="Z132" s="7" t="s">
        <v>829</v>
      </c>
      <c r="AA132" s="7" t="s">
        <v>830</v>
      </c>
      <c r="AB132" s="7" t="s">
        <v>43</v>
      </c>
      <c r="AC132" s="7"/>
      <c r="AD132" s="7"/>
      <c r="AE132" s="7"/>
      <c r="AF132" s="7"/>
      <c r="AG132" s="8">
        <f t="shared" si="2"/>
        <v>43314</v>
      </c>
    </row>
    <row r="133" spans="1:33">
      <c r="A133" s="7" t="s">
        <v>831</v>
      </c>
      <c r="B133" s="7" t="s">
        <v>831</v>
      </c>
      <c r="C133" s="7" t="s">
        <v>832</v>
      </c>
      <c r="D133" s="7" t="s">
        <v>833</v>
      </c>
      <c r="E133" s="7" t="s">
        <v>33</v>
      </c>
      <c r="F133" s="7" t="s">
        <v>34</v>
      </c>
      <c r="G133" s="7" t="s">
        <v>35</v>
      </c>
      <c r="H133" s="7"/>
      <c r="I133" s="7"/>
      <c r="J133" s="7" t="s">
        <v>36</v>
      </c>
      <c r="K133" s="7" t="s">
        <v>199</v>
      </c>
      <c r="L133" s="7" t="s">
        <v>200</v>
      </c>
      <c r="M133" s="7" t="s">
        <v>201</v>
      </c>
      <c r="N133" s="7" t="s">
        <v>33</v>
      </c>
      <c r="O133" s="7">
        <v>1</v>
      </c>
      <c r="P133" s="7" t="s">
        <v>40</v>
      </c>
      <c r="Q133" s="7">
        <v>18.99</v>
      </c>
      <c r="R133" s="7">
        <v>1.14</v>
      </c>
      <c r="S133" s="7"/>
      <c r="T133" s="7"/>
      <c r="U133" s="7"/>
      <c r="V133" s="7"/>
      <c r="W133" s="7"/>
      <c r="X133" s="7"/>
      <c r="Y133" s="7" t="s">
        <v>834</v>
      </c>
      <c r="Z133" s="7" t="s">
        <v>42</v>
      </c>
      <c r="AA133" s="7" t="s">
        <v>835</v>
      </c>
      <c r="AB133" s="7" t="s">
        <v>43</v>
      </c>
      <c r="AC133" s="7"/>
      <c r="AD133" s="7"/>
      <c r="AE133" s="7"/>
      <c r="AF133" s="7"/>
      <c r="AG133" s="8">
        <f t="shared" si="2"/>
        <v>43314</v>
      </c>
    </row>
    <row r="134" spans="1:33">
      <c r="A134" s="7" t="s">
        <v>836</v>
      </c>
      <c r="B134" s="7" t="s">
        <v>836</v>
      </c>
      <c r="C134" s="7" t="s">
        <v>837</v>
      </c>
      <c r="D134" s="7" t="s">
        <v>838</v>
      </c>
      <c r="E134" s="7" t="s">
        <v>33</v>
      </c>
      <c r="F134" s="7" t="s">
        <v>34</v>
      </c>
      <c r="G134" s="7" t="s">
        <v>35</v>
      </c>
      <c r="H134" s="7"/>
      <c r="I134" s="7"/>
      <c r="J134" s="7" t="s">
        <v>336</v>
      </c>
      <c r="K134" s="7" t="s">
        <v>255</v>
      </c>
      <c r="L134" s="7" t="s">
        <v>839</v>
      </c>
      <c r="M134" s="7" t="s">
        <v>840</v>
      </c>
      <c r="N134" s="7" t="s">
        <v>33</v>
      </c>
      <c r="O134" s="7">
        <v>1</v>
      </c>
      <c r="P134" s="7" t="s">
        <v>40</v>
      </c>
      <c r="Q134" s="7">
        <v>19.99</v>
      </c>
      <c r="R134" s="7"/>
      <c r="S134" s="7"/>
      <c r="T134" s="7"/>
      <c r="U134" s="7"/>
      <c r="V134" s="7"/>
      <c r="W134" s="7"/>
      <c r="X134" s="7"/>
      <c r="Y134" s="7" t="s">
        <v>841</v>
      </c>
      <c r="Z134" s="7" t="s">
        <v>842</v>
      </c>
      <c r="AA134" s="7" t="s">
        <v>843</v>
      </c>
      <c r="AB134" s="7" t="s">
        <v>43</v>
      </c>
      <c r="AC134" s="7"/>
      <c r="AD134" s="7"/>
      <c r="AE134" s="7"/>
      <c r="AF134" s="7"/>
      <c r="AG134" s="8">
        <f t="shared" si="2"/>
        <v>43314</v>
      </c>
    </row>
    <row r="135" spans="1:33">
      <c r="A135" s="7" t="s">
        <v>844</v>
      </c>
      <c r="B135" s="7" t="s">
        <v>844</v>
      </c>
      <c r="C135" s="7" t="s">
        <v>845</v>
      </c>
      <c r="D135" s="7" t="s">
        <v>846</v>
      </c>
      <c r="E135" s="7" t="s">
        <v>33</v>
      </c>
      <c r="F135" s="7" t="s">
        <v>34</v>
      </c>
      <c r="G135" s="7" t="s">
        <v>35</v>
      </c>
      <c r="H135" s="7"/>
      <c r="I135" s="7"/>
      <c r="J135" s="7" t="s">
        <v>36</v>
      </c>
      <c r="K135" s="7" t="s">
        <v>125</v>
      </c>
      <c r="L135" s="7" t="s">
        <v>126</v>
      </c>
      <c r="M135" s="7" t="s">
        <v>127</v>
      </c>
      <c r="N135" s="7" t="s">
        <v>33</v>
      </c>
      <c r="O135" s="7">
        <v>1</v>
      </c>
      <c r="P135" s="7" t="s">
        <v>40</v>
      </c>
      <c r="Q135" s="7">
        <v>18.99</v>
      </c>
      <c r="R135" s="7"/>
      <c r="S135" s="7">
        <v>3.59</v>
      </c>
      <c r="T135" s="7"/>
      <c r="U135" s="7"/>
      <c r="V135" s="7"/>
      <c r="W135" s="7"/>
      <c r="X135" s="7"/>
      <c r="Y135" s="7" t="s">
        <v>847</v>
      </c>
      <c r="Z135" s="7" t="s">
        <v>848</v>
      </c>
      <c r="AA135" s="7">
        <v>63088</v>
      </c>
      <c r="AB135" s="7" t="s">
        <v>43</v>
      </c>
      <c r="AC135" s="7"/>
      <c r="AD135" s="7"/>
      <c r="AE135" s="7"/>
      <c r="AF135" s="7"/>
      <c r="AG135" s="8">
        <f t="shared" si="2"/>
        <v>43314</v>
      </c>
    </row>
    <row r="136" spans="1:33">
      <c r="A136" s="7" t="s">
        <v>849</v>
      </c>
      <c r="B136" s="7" t="s">
        <v>849</v>
      </c>
      <c r="C136" s="7" t="s">
        <v>850</v>
      </c>
      <c r="D136" s="7" t="s">
        <v>851</v>
      </c>
      <c r="E136" s="7" t="s">
        <v>33</v>
      </c>
      <c r="F136" s="7" t="s">
        <v>34</v>
      </c>
      <c r="G136" s="7" t="s">
        <v>35</v>
      </c>
      <c r="H136" s="7"/>
      <c r="I136" s="7"/>
      <c r="J136" s="7" t="s">
        <v>36</v>
      </c>
      <c r="K136" s="7" t="s">
        <v>90</v>
      </c>
      <c r="L136" s="7" t="s">
        <v>91</v>
      </c>
      <c r="M136" s="7" t="s">
        <v>92</v>
      </c>
      <c r="N136" s="7" t="s">
        <v>33</v>
      </c>
      <c r="O136" s="7">
        <v>1</v>
      </c>
      <c r="P136" s="7" t="s">
        <v>40</v>
      </c>
      <c r="Q136" s="7">
        <v>19.99</v>
      </c>
      <c r="R136" s="7">
        <v>1.2</v>
      </c>
      <c r="S136" s="7"/>
      <c r="T136" s="7"/>
      <c r="U136" s="7"/>
      <c r="V136" s="7"/>
      <c r="W136" s="7"/>
      <c r="X136" s="7"/>
      <c r="Y136" s="7" t="s">
        <v>852</v>
      </c>
      <c r="Z136" s="7" t="s">
        <v>42</v>
      </c>
      <c r="AA136" s="7" t="s">
        <v>853</v>
      </c>
      <c r="AB136" s="7" t="s">
        <v>43</v>
      </c>
      <c r="AC136" s="7"/>
      <c r="AD136" s="7"/>
      <c r="AE136" s="7"/>
      <c r="AF136" s="7"/>
      <c r="AG136" s="8">
        <f t="shared" si="2"/>
        <v>43314</v>
      </c>
    </row>
    <row r="137" spans="1:33">
      <c r="A137" s="7" t="s">
        <v>854</v>
      </c>
      <c r="B137" s="7" t="s">
        <v>854</v>
      </c>
      <c r="C137" s="7" t="s">
        <v>855</v>
      </c>
      <c r="D137" s="7" t="s">
        <v>856</v>
      </c>
      <c r="E137" s="7" t="s">
        <v>33</v>
      </c>
      <c r="F137" s="7" t="s">
        <v>34</v>
      </c>
      <c r="G137" s="7" t="s">
        <v>35</v>
      </c>
      <c r="H137" s="7"/>
      <c r="I137" s="7"/>
      <c r="J137" s="7" t="s">
        <v>336</v>
      </c>
      <c r="K137" s="7" t="s">
        <v>255</v>
      </c>
      <c r="L137" s="7" t="s">
        <v>277</v>
      </c>
      <c r="M137" s="7" t="s">
        <v>278</v>
      </c>
      <c r="N137" s="7" t="s">
        <v>33</v>
      </c>
      <c r="O137" s="7">
        <v>1</v>
      </c>
      <c r="P137" s="7" t="s">
        <v>40</v>
      </c>
      <c r="Q137" s="7">
        <v>19.99</v>
      </c>
      <c r="R137" s="7"/>
      <c r="S137" s="7">
        <v>1.82</v>
      </c>
      <c r="T137" s="7"/>
      <c r="U137" s="7"/>
      <c r="V137" s="7"/>
      <c r="W137" s="7"/>
      <c r="X137" s="7">
        <v>1.82</v>
      </c>
      <c r="Y137" s="7" t="s">
        <v>857</v>
      </c>
      <c r="Z137" s="7" t="s">
        <v>143</v>
      </c>
      <c r="AA137" s="7" t="s">
        <v>858</v>
      </c>
      <c r="AB137" s="7" t="s">
        <v>43</v>
      </c>
      <c r="AC137" s="7" t="s">
        <v>514</v>
      </c>
      <c r="AD137" s="7"/>
      <c r="AE137" s="7"/>
      <c r="AF137" s="7"/>
      <c r="AG137" s="8">
        <f t="shared" si="2"/>
        <v>43314</v>
      </c>
    </row>
    <row r="138" spans="1:33">
      <c r="A138" s="7" t="s">
        <v>859</v>
      </c>
      <c r="B138" s="7" t="s">
        <v>859</v>
      </c>
      <c r="C138" s="7" t="s">
        <v>860</v>
      </c>
      <c r="D138" s="7" t="s">
        <v>861</v>
      </c>
      <c r="E138" s="7" t="s">
        <v>33</v>
      </c>
      <c r="F138" s="7" t="s">
        <v>34</v>
      </c>
      <c r="G138" s="7" t="s">
        <v>35</v>
      </c>
      <c r="H138" s="7"/>
      <c r="I138" s="7"/>
      <c r="J138" s="7" t="s">
        <v>36</v>
      </c>
      <c r="K138" s="7" t="s">
        <v>862</v>
      </c>
      <c r="L138" s="7" t="s">
        <v>863</v>
      </c>
      <c r="M138" s="7" t="s">
        <v>864</v>
      </c>
      <c r="N138" s="7" t="s">
        <v>33</v>
      </c>
      <c r="O138" s="7">
        <v>1</v>
      </c>
      <c r="P138" s="7" t="s">
        <v>40</v>
      </c>
      <c r="Q138" s="7">
        <v>18.99</v>
      </c>
      <c r="R138" s="7"/>
      <c r="S138" s="7"/>
      <c r="T138" s="7"/>
      <c r="U138" s="7"/>
      <c r="V138" s="7"/>
      <c r="W138" s="7"/>
      <c r="X138" s="7"/>
      <c r="Y138" s="7" t="s">
        <v>865</v>
      </c>
      <c r="Z138" s="7" t="s">
        <v>866</v>
      </c>
      <c r="AA138" s="7" t="s">
        <v>867</v>
      </c>
      <c r="AB138" s="7" t="s">
        <v>43</v>
      </c>
      <c r="AC138" s="7"/>
      <c r="AD138" s="7"/>
      <c r="AE138" s="7"/>
      <c r="AF138" s="7"/>
      <c r="AG138" s="8">
        <f t="shared" si="2"/>
        <v>43314</v>
      </c>
    </row>
    <row r="139" spans="1:33">
      <c r="A139" s="7" t="s">
        <v>868</v>
      </c>
      <c r="B139" s="7" t="s">
        <v>868</v>
      </c>
      <c r="C139" s="7" t="s">
        <v>869</v>
      </c>
      <c r="D139" s="7" t="s">
        <v>870</v>
      </c>
      <c r="E139" s="7" t="s">
        <v>33</v>
      </c>
      <c r="F139" s="7" t="s">
        <v>34</v>
      </c>
      <c r="G139" s="7" t="s">
        <v>35</v>
      </c>
      <c r="H139" s="7"/>
      <c r="I139" s="7"/>
      <c r="J139" s="7" t="s">
        <v>36</v>
      </c>
      <c r="K139" s="7" t="s">
        <v>125</v>
      </c>
      <c r="L139" s="7" t="s">
        <v>126</v>
      </c>
      <c r="M139" s="7" t="s">
        <v>127</v>
      </c>
      <c r="N139" s="7" t="s">
        <v>33</v>
      </c>
      <c r="O139" s="7">
        <v>1</v>
      </c>
      <c r="P139" s="7" t="s">
        <v>40</v>
      </c>
      <c r="Q139" s="7">
        <v>18.99</v>
      </c>
      <c r="R139" s="7"/>
      <c r="S139" s="7"/>
      <c r="T139" s="7"/>
      <c r="U139" s="7"/>
      <c r="V139" s="7"/>
      <c r="W139" s="7"/>
      <c r="X139" s="7"/>
      <c r="Y139" s="7" t="s">
        <v>871</v>
      </c>
      <c r="Z139" s="7" t="s">
        <v>357</v>
      </c>
      <c r="AA139" s="7">
        <v>44515</v>
      </c>
      <c r="AB139" s="7" t="s">
        <v>43</v>
      </c>
      <c r="AC139" s="7"/>
      <c r="AD139" s="7"/>
      <c r="AE139" s="7"/>
      <c r="AF139" s="7"/>
      <c r="AG139" s="8">
        <f t="shared" si="2"/>
        <v>43314</v>
      </c>
    </row>
    <row r="140" spans="1:33">
      <c r="A140" s="7" t="s">
        <v>872</v>
      </c>
      <c r="B140" s="7" t="s">
        <v>872</v>
      </c>
      <c r="C140" s="7" t="s">
        <v>873</v>
      </c>
      <c r="D140" s="7" t="s">
        <v>874</v>
      </c>
      <c r="E140" s="7" t="s">
        <v>99</v>
      </c>
      <c r="F140" s="7" t="s">
        <v>34</v>
      </c>
      <c r="G140" s="7" t="s">
        <v>35</v>
      </c>
      <c r="H140" s="7"/>
      <c r="I140" s="7"/>
      <c r="J140" s="7" t="s">
        <v>292</v>
      </c>
      <c r="K140" s="7" t="s">
        <v>90</v>
      </c>
      <c r="L140" s="7" t="s">
        <v>191</v>
      </c>
      <c r="M140" s="7" t="s">
        <v>192</v>
      </c>
      <c r="N140" s="7" t="s">
        <v>459</v>
      </c>
      <c r="O140" s="7">
        <v>1</v>
      </c>
      <c r="P140" s="7" t="s">
        <v>40</v>
      </c>
      <c r="Q140" s="7">
        <v>19.99</v>
      </c>
      <c r="R140" s="7"/>
      <c r="S140" s="7"/>
      <c r="T140" s="7"/>
      <c r="U140" s="7"/>
      <c r="V140" s="7"/>
      <c r="W140" s="7"/>
      <c r="X140" s="7"/>
      <c r="Y140" s="7" t="s">
        <v>518</v>
      </c>
      <c r="Z140" s="7" t="s">
        <v>519</v>
      </c>
      <c r="AA140" s="7">
        <v>9442310</v>
      </c>
      <c r="AB140" s="7" t="s">
        <v>165</v>
      </c>
      <c r="AC140" s="7"/>
      <c r="AD140" s="7"/>
      <c r="AE140" s="7"/>
      <c r="AF140" s="7"/>
      <c r="AG140" s="8">
        <f t="shared" si="2"/>
        <v>43314</v>
      </c>
    </row>
    <row r="141" spans="1:33">
      <c r="A141" s="7" t="s">
        <v>875</v>
      </c>
      <c r="B141" s="7" t="s">
        <v>875</v>
      </c>
      <c r="C141" s="7" t="s">
        <v>876</v>
      </c>
      <c r="D141" s="7" t="s">
        <v>877</v>
      </c>
      <c r="E141" s="7" t="s">
        <v>99</v>
      </c>
      <c r="F141" s="7" t="s">
        <v>34</v>
      </c>
      <c r="G141" s="7" t="s">
        <v>35</v>
      </c>
      <c r="H141" s="7"/>
      <c r="I141" s="7"/>
      <c r="J141" s="7" t="s">
        <v>336</v>
      </c>
      <c r="K141" s="7" t="s">
        <v>90</v>
      </c>
      <c r="L141" s="7" t="s">
        <v>191</v>
      </c>
      <c r="M141" s="7" t="s">
        <v>192</v>
      </c>
      <c r="N141" s="7" t="s">
        <v>99</v>
      </c>
      <c r="O141" s="7">
        <v>0</v>
      </c>
      <c r="P141" s="7"/>
      <c r="Q141" s="7"/>
      <c r="R141" s="7"/>
      <c r="S141" s="7"/>
      <c r="T141" s="7"/>
      <c r="U141" s="7"/>
      <c r="V141" s="7"/>
      <c r="W141" s="7"/>
      <c r="X141" s="7"/>
      <c r="Y141" s="7" t="s">
        <v>518</v>
      </c>
      <c r="Z141" s="7" t="s">
        <v>519</v>
      </c>
      <c r="AA141" s="7">
        <v>9442310</v>
      </c>
      <c r="AB141" s="7" t="s">
        <v>165</v>
      </c>
      <c r="AC141" s="7"/>
      <c r="AD141" s="7"/>
      <c r="AE141" s="7"/>
      <c r="AF141" s="7"/>
      <c r="AG141" s="8">
        <f t="shared" si="2"/>
        <v>43314</v>
      </c>
    </row>
    <row r="142" spans="1:33">
      <c r="A142" s="7" t="s">
        <v>878</v>
      </c>
      <c r="B142" s="7" t="s">
        <v>878</v>
      </c>
      <c r="C142" s="7" t="s">
        <v>879</v>
      </c>
      <c r="D142" s="7" t="s">
        <v>880</v>
      </c>
      <c r="E142" s="7" t="s">
        <v>33</v>
      </c>
      <c r="F142" s="7" t="s">
        <v>34</v>
      </c>
      <c r="G142" s="7" t="s">
        <v>35</v>
      </c>
      <c r="H142" s="7"/>
      <c r="I142" s="7"/>
      <c r="J142" s="7" t="s">
        <v>36</v>
      </c>
      <c r="K142" s="7" t="s">
        <v>125</v>
      </c>
      <c r="L142" s="7" t="s">
        <v>126</v>
      </c>
      <c r="M142" s="7" t="s">
        <v>127</v>
      </c>
      <c r="N142" s="7" t="s">
        <v>33</v>
      </c>
      <c r="O142" s="7">
        <v>1</v>
      </c>
      <c r="P142" s="7" t="s">
        <v>40</v>
      </c>
      <c r="Q142" s="7">
        <v>18.99</v>
      </c>
      <c r="R142" s="7">
        <v>1.9</v>
      </c>
      <c r="S142" s="7"/>
      <c r="T142" s="7"/>
      <c r="U142" s="7"/>
      <c r="V142" s="7"/>
      <c r="W142" s="7"/>
      <c r="X142" s="7"/>
      <c r="Y142" s="7" t="s">
        <v>881</v>
      </c>
      <c r="Z142" s="7" t="s">
        <v>882</v>
      </c>
      <c r="AA142" s="7" t="s">
        <v>883</v>
      </c>
      <c r="AB142" s="7" t="s">
        <v>43</v>
      </c>
      <c r="AC142" s="7"/>
      <c r="AD142" s="7"/>
      <c r="AE142" s="7"/>
      <c r="AF142" s="7"/>
      <c r="AG142" s="8">
        <f t="shared" si="2"/>
        <v>43314</v>
      </c>
    </row>
    <row r="143" spans="1:33">
      <c r="A143" s="7" t="s">
        <v>884</v>
      </c>
      <c r="B143" s="7" t="s">
        <v>884</v>
      </c>
      <c r="C143" s="7" t="s">
        <v>885</v>
      </c>
      <c r="D143" s="7" t="s">
        <v>886</v>
      </c>
      <c r="E143" s="7" t="s">
        <v>99</v>
      </c>
      <c r="F143" s="7" t="s">
        <v>34</v>
      </c>
      <c r="G143" s="7" t="s">
        <v>35</v>
      </c>
      <c r="H143" s="7"/>
      <c r="I143" s="7"/>
      <c r="J143" s="7" t="s">
        <v>292</v>
      </c>
      <c r="K143" s="7" t="s">
        <v>90</v>
      </c>
      <c r="L143" s="7" t="s">
        <v>191</v>
      </c>
      <c r="M143" s="7" t="s">
        <v>192</v>
      </c>
      <c r="N143" s="7" t="s">
        <v>459</v>
      </c>
      <c r="O143" s="7">
        <v>1</v>
      </c>
      <c r="P143" s="7" t="s">
        <v>40</v>
      </c>
      <c r="Q143" s="7">
        <v>19.99</v>
      </c>
      <c r="R143" s="7"/>
      <c r="S143" s="7"/>
      <c r="T143" s="7"/>
      <c r="U143" s="7"/>
      <c r="V143" s="7"/>
      <c r="W143" s="7"/>
      <c r="X143" s="7"/>
      <c r="Y143" s="7" t="s">
        <v>518</v>
      </c>
      <c r="Z143" s="7" t="s">
        <v>519</v>
      </c>
      <c r="AA143" s="7">
        <v>9442310</v>
      </c>
      <c r="AB143" s="7" t="s">
        <v>165</v>
      </c>
      <c r="AC143" s="7"/>
      <c r="AD143" s="7"/>
      <c r="AE143" s="7"/>
      <c r="AF143" s="7"/>
      <c r="AG143" s="8">
        <f t="shared" si="2"/>
        <v>43314</v>
      </c>
    </row>
    <row r="144" spans="1:33">
      <c r="A144" s="7" t="s">
        <v>887</v>
      </c>
      <c r="B144" s="7" t="s">
        <v>887</v>
      </c>
      <c r="C144" s="7" t="s">
        <v>888</v>
      </c>
      <c r="D144" s="7" t="s">
        <v>889</v>
      </c>
      <c r="E144" s="7" t="s">
        <v>99</v>
      </c>
      <c r="F144" s="7" t="s">
        <v>34</v>
      </c>
      <c r="G144" s="7" t="s">
        <v>35</v>
      </c>
      <c r="H144" s="7"/>
      <c r="I144" s="7"/>
      <c r="J144" s="7" t="s">
        <v>336</v>
      </c>
      <c r="K144" s="7" t="s">
        <v>247</v>
      </c>
      <c r="L144" s="7" t="s">
        <v>248</v>
      </c>
      <c r="M144" s="7" t="s">
        <v>249</v>
      </c>
      <c r="N144" s="7" t="s">
        <v>99</v>
      </c>
      <c r="O144" s="7">
        <v>0</v>
      </c>
      <c r="P144" s="7"/>
      <c r="Q144" s="7"/>
      <c r="R144" s="7"/>
      <c r="S144" s="7"/>
      <c r="T144" s="7"/>
      <c r="U144" s="7"/>
      <c r="V144" s="7"/>
      <c r="W144" s="7"/>
      <c r="X144" s="7"/>
      <c r="Y144" s="7" t="s">
        <v>890</v>
      </c>
      <c r="Z144" s="7" t="s">
        <v>882</v>
      </c>
      <c r="AA144" s="7" t="s">
        <v>891</v>
      </c>
      <c r="AB144" s="7" t="s">
        <v>43</v>
      </c>
      <c r="AC144" s="7"/>
      <c r="AD144" s="7"/>
      <c r="AE144" s="7"/>
      <c r="AF144" s="7"/>
      <c r="AG144" s="8">
        <f t="shared" si="2"/>
        <v>43314</v>
      </c>
    </row>
    <row r="145" spans="1:33">
      <c r="A145" s="7" t="s">
        <v>892</v>
      </c>
      <c r="B145" s="7" t="s">
        <v>892</v>
      </c>
      <c r="C145" s="7" t="s">
        <v>893</v>
      </c>
      <c r="D145" s="7" t="s">
        <v>894</v>
      </c>
      <c r="E145" s="7" t="s">
        <v>33</v>
      </c>
      <c r="F145" s="7" t="s">
        <v>34</v>
      </c>
      <c r="G145" s="7" t="s">
        <v>35</v>
      </c>
      <c r="H145" s="7"/>
      <c r="I145" s="7"/>
      <c r="J145" s="7" t="s">
        <v>336</v>
      </c>
      <c r="K145" s="7" t="s">
        <v>255</v>
      </c>
      <c r="L145" s="7" t="s">
        <v>256</v>
      </c>
      <c r="M145" s="7" t="s">
        <v>257</v>
      </c>
      <c r="N145" s="7" t="s">
        <v>33</v>
      </c>
      <c r="O145" s="7">
        <v>1</v>
      </c>
      <c r="P145" s="7" t="s">
        <v>40</v>
      </c>
      <c r="Q145" s="7">
        <v>19.99</v>
      </c>
      <c r="R145" s="7"/>
      <c r="S145" s="7">
        <v>1.98</v>
      </c>
      <c r="T145" s="7"/>
      <c r="U145" s="7"/>
      <c r="V145" s="7"/>
      <c r="W145" s="7"/>
      <c r="X145" s="7">
        <v>1.98</v>
      </c>
      <c r="Y145" s="7" t="s">
        <v>895</v>
      </c>
      <c r="Z145" s="7" t="s">
        <v>896</v>
      </c>
      <c r="AA145" s="7">
        <v>78753</v>
      </c>
      <c r="AB145" s="7" t="s">
        <v>43</v>
      </c>
      <c r="AC145" s="7" t="s">
        <v>514</v>
      </c>
      <c r="AD145" s="7"/>
      <c r="AE145" s="7"/>
      <c r="AF145" s="7"/>
      <c r="AG145" s="8">
        <f t="shared" si="2"/>
        <v>43314</v>
      </c>
    </row>
    <row r="146" spans="1:33">
      <c r="A146" s="7" t="s">
        <v>897</v>
      </c>
      <c r="B146" s="7" t="s">
        <v>897</v>
      </c>
      <c r="C146" s="7" t="s">
        <v>898</v>
      </c>
      <c r="D146" s="7" t="s">
        <v>899</v>
      </c>
      <c r="E146" s="7" t="s">
        <v>33</v>
      </c>
      <c r="F146" s="7" t="s">
        <v>34</v>
      </c>
      <c r="G146" s="7" t="s">
        <v>35</v>
      </c>
      <c r="H146" s="7"/>
      <c r="I146" s="7"/>
      <c r="J146" s="7" t="s">
        <v>36</v>
      </c>
      <c r="K146" s="7" t="s">
        <v>900</v>
      </c>
      <c r="L146" s="7" t="s">
        <v>901</v>
      </c>
      <c r="M146" s="7" t="s">
        <v>902</v>
      </c>
      <c r="N146" s="7" t="s">
        <v>33</v>
      </c>
      <c r="O146" s="7">
        <v>1</v>
      </c>
      <c r="P146" s="7" t="s">
        <v>40</v>
      </c>
      <c r="Q146" s="7">
        <v>15.09</v>
      </c>
      <c r="R146" s="7"/>
      <c r="S146" s="7"/>
      <c r="T146" s="7"/>
      <c r="U146" s="7"/>
      <c r="V146" s="7"/>
      <c r="W146" s="7"/>
      <c r="X146" s="7"/>
      <c r="Y146" s="7" t="s">
        <v>903</v>
      </c>
      <c r="Z146" s="7" t="s">
        <v>219</v>
      </c>
      <c r="AA146" s="7" t="s">
        <v>904</v>
      </c>
      <c r="AB146" s="7" t="s">
        <v>43</v>
      </c>
      <c r="AC146" s="7"/>
      <c r="AD146" s="7"/>
      <c r="AE146" s="7"/>
      <c r="AF146" s="7"/>
      <c r="AG146" s="8">
        <f t="shared" si="2"/>
        <v>43314</v>
      </c>
    </row>
    <row r="147" spans="1:33">
      <c r="A147" s="7" t="s">
        <v>905</v>
      </c>
      <c r="B147" s="7" t="s">
        <v>905</v>
      </c>
      <c r="C147" s="7" t="s">
        <v>906</v>
      </c>
      <c r="D147" s="7" t="s">
        <v>907</v>
      </c>
      <c r="E147" s="7" t="s">
        <v>33</v>
      </c>
      <c r="F147" s="7" t="s">
        <v>34</v>
      </c>
      <c r="G147" s="7" t="s">
        <v>35</v>
      </c>
      <c r="H147" s="7"/>
      <c r="I147" s="7"/>
      <c r="J147" s="7" t="s">
        <v>36</v>
      </c>
      <c r="K147" s="7" t="s">
        <v>176</v>
      </c>
      <c r="L147" s="7" t="s">
        <v>177</v>
      </c>
      <c r="M147" s="7" t="s">
        <v>178</v>
      </c>
      <c r="N147" s="7" t="s">
        <v>33</v>
      </c>
      <c r="O147" s="7">
        <v>1</v>
      </c>
      <c r="P147" s="7" t="s">
        <v>40</v>
      </c>
      <c r="Q147" s="7">
        <v>19.99</v>
      </c>
      <c r="R147" s="7"/>
      <c r="S147" s="7"/>
      <c r="T147" s="7"/>
      <c r="U147" s="7"/>
      <c r="V147" s="7"/>
      <c r="W147" s="7"/>
      <c r="X147" s="7"/>
      <c r="Y147" s="7" t="s">
        <v>908</v>
      </c>
      <c r="Z147" s="7" t="s">
        <v>909</v>
      </c>
      <c r="AA147" s="7" t="s">
        <v>910</v>
      </c>
      <c r="AB147" s="7" t="s">
        <v>43</v>
      </c>
      <c r="AC147" s="7"/>
      <c r="AD147" s="7"/>
      <c r="AE147" s="7"/>
      <c r="AF147" s="7"/>
      <c r="AG147" s="8">
        <f t="shared" si="2"/>
        <v>43314</v>
      </c>
    </row>
    <row r="148" spans="1:33">
      <c r="A148" s="7" t="s">
        <v>911</v>
      </c>
      <c r="B148" s="7" t="s">
        <v>911</v>
      </c>
      <c r="C148" s="7" t="s">
        <v>912</v>
      </c>
      <c r="D148" s="7" t="s">
        <v>913</v>
      </c>
      <c r="E148" s="7" t="s">
        <v>33</v>
      </c>
      <c r="F148" s="7" t="s">
        <v>34</v>
      </c>
      <c r="G148" s="7" t="s">
        <v>35</v>
      </c>
      <c r="H148" s="7"/>
      <c r="I148" s="7"/>
      <c r="J148" s="7" t="s">
        <v>36</v>
      </c>
      <c r="K148" s="7" t="s">
        <v>65</v>
      </c>
      <c r="L148" s="7" t="s">
        <v>148</v>
      </c>
      <c r="M148" s="7" t="s">
        <v>149</v>
      </c>
      <c r="N148" s="7" t="s">
        <v>33</v>
      </c>
      <c r="O148" s="7">
        <v>1</v>
      </c>
      <c r="P148" s="7" t="s">
        <v>40</v>
      </c>
      <c r="Q148" s="7">
        <v>21.99</v>
      </c>
      <c r="R148" s="7">
        <v>1.8</v>
      </c>
      <c r="S148" s="7"/>
      <c r="T148" s="7"/>
      <c r="U148" s="7"/>
      <c r="V148" s="7"/>
      <c r="W148" s="7"/>
      <c r="X148" s="7"/>
      <c r="Y148" s="7" t="s">
        <v>914</v>
      </c>
      <c r="Z148" s="7" t="s">
        <v>882</v>
      </c>
      <c r="AA148" s="7" t="s">
        <v>915</v>
      </c>
      <c r="AB148" s="7" t="s">
        <v>43</v>
      </c>
      <c r="AC148" s="7"/>
      <c r="AD148" s="7"/>
      <c r="AE148" s="7"/>
      <c r="AF148" s="7"/>
      <c r="AG148" s="8">
        <f t="shared" si="2"/>
        <v>43314</v>
      </c>
    </row>
    <row r="149" spans="1:33">
      <c r="A149" s="7" t="s">
        <v>916</v>
      </c>
      <c r="B149" s="7" t="s">
        <v>916</v>
      </c>
      <c r="C149" s="7" t="s">
        <v>917</v>
      </c>
      <c r="D149" s="7" t="s">
        <v>918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336</v>
      </c>
      <c r="K149" s="7" t="s">
        <v>207</v>
      </c>
      <c r="L149" s="7" t="s">
        <v>919</v>
      </c>
      <c r="M149" s="7" t="s">
        <v>920</v>
      </c>
      <c r="N149" s="7" t="s">
        <v>33</v>
      </c>
      <c r="O149" s="7">
        <v>1</v>
      </c>
      <c r="P149" s="7" t="s">
        <v>40</v>
      </c>
      <c r="Q149" s="7">
        <v>19.38</v>
      </c>
      <c r="R149" s="7"/>
      <c r="S149" s="7">
        <v>3.71</v>
      </c>
      <c r="T149" s="7"/>
      <c r="U149" s="7"/>
      <c r="V149" s="7"/>
      <c r="W149" s="7"/>
      <c r="X149" s="7">
        <v>3.71</v>
      </c>
      <c r="Y149" s="7" t="s">
        <v>921</v>
      </c>
      <c r="Z149" s="7" t="s">
        <v>69</v>
      </c>
      <c r="AA149" s="7" t="s">
        <v>922</v>
      </c>
      <c r="AB149" s="7" t="s">
        <v>43</v>
      </c>
      <c r="AC149" s="7" t="s">
        <v>514</v>
      </c>
      <c r="AD149" s="7"/>
      <c r="AE149" s="7"/>
      <c r="AF149" s="7"/>
      <c r="AG149" s="8">
        <f t="shared" si="2"/>
        <v>43314</v>
      </c>
    </row>
    <row r="150" spans="1:33">
      <c r="A150" s="7" t="s">
        <v>923</v>
      </c>
      <c r="B150" s="7" t="s">
        <v>923</v>
      </c>
      <c r="C150" s="7" t="s">
        <v>924</v>
      </c>
      <c r="D150" s="7" t="s">
        <v>925</v>
      </c>
      <c r="E150" s="7" t="s">
        <v>33</v>
      </c>
      <c r="F150" s="7" t="s">
        <v>34</v>
      </c>
      <c r="G150" s="7" t="s">
        <v>35</v>
      </c>
      <c r="H150" s="7"/>
      <c r="I150" s="7"/>
      <c r="J150" s="7" t="s">
        <v>36</v>
      </c>
      <c r="K150" s="7" t="s">
        <v>131</v>
      </c>
      <c r="L150" s="7" t="s">
        <v>132</v>
      </c>
      <c r="M150" s="7" t="s">
        <v>133</v>
      </c>
      <c r="N150" s="7" t="s">
        <v>33</v>
      </c>
      <c r="O150" s="7">
        <v>1</v>
      </c>
      <c r="P150" s="7" t="s">
        <v>40</v>
      </c>
      <c r="Q150" s="7">
        <v>18.99</v>
      </c>
      <c r="R150" s="7"/>
      <c r="S150" s="7"/>
      <c r="T150" s="7"/>
      <c r="U150" s="7"/>
      <c r="V150" s="7"/>
      <c r="W150" s="7"/>
      <c r="X150" s="7"/>
      <c r="Y150" s="7" t="s">
        <v>926</v>
      </c>
      <c r="Z150" s="7" t="s">
        <v>85</v>
      </c>
      <c r="AA150" s="7" t="s">
        <v>927</v>
      </c>
      <c r="AB150" s="7" t="s">
        <v>43</v>
      </c>
      <c r="AC150" s="7"/>
      <c r="AD150" s="7"/>
      <c r="AE150" s="7"/>
      <c r="AF150" s="7"/>
      <c r="AG150" s="8">
        <f t="shared" si="2"/>
        <v>43314</v>
      </c>
    </row>
    <row r="151" spans="1:33">
      <c r="A151" s="7" t="s">
        <v>928</v>
      </c>
      <c r="B151" s="7" t="s">
        <v>928</v>
      </c>
      <c r="C151" s="7" t="s">
        <v>929</v>
      </c>
      <c r="D151" s="7" t="s">
        <v>930</v>
      </c>
      <c r="E151" s="7" t="s">
        <v>33</v>
      </c>
      <c r="F151" s="7" t="s">
        <v>34</v>
      </c>
      <c r="G151" s="7" t="s">
        <v>35</v>
      </c>
      <c r="H151" s="7"/>
      <c r="I151" s="7"/>
      <c r="J151" s="7" t="s">
        <v>36</v>
      </c>
      <c r="K151" s="7" t="s">
        <v>90</v>
      </c>
      <c r="L151" s="7" t="s">
        <v>284</v>
      </c>
      <c r="M151" s="7" t="s">
        <v>285</v>
      </c>
      <c r="N151" s="7" t="s">
        <v>33</v>
      </c>
      <c r="O151" s="7">
        <v>1</v>
      </c>
      <c r="P151" s="7" t="s">
        <v>40</v>
      </c>
      <c r="Q151" s="7">
        <v>19.99</v>
      </c>
      <c r="R151" s="7"/>
      <c r="S151" s="7"/>
      <c r="T151" s="7"/>
      <c r="U151" s="7"/>
      <c r="V151" s="7"/>
      <c r="W151" s="7"/>
      <c r="X151" s="7"/>
      <c r="Y151" s="7" t="s">
        <v>931</v>
      </c>
      <c r="Z151" s="7" t="s">
        <v>345</v>
      </c>
      <c r="AA151" s="7" t="s">
        <v>932</v>
      </c>
      <c r="AB151" s="7" t="s">
        <v>43</v>
      </c>
      <c r="AC151" s="7"/>
      <c r="AD151" s="7"/>
      <c r="AE151" s="7"/>
      <c r="AF151" s="7"/>
      <c r="AG151" s="8">
        <f t="shared" si="2"/>
        <v>43314</v>
      </c>
    </row>
    <row r="152" spans="1:33">
      <c r="A152" s="7" t="s">
        <v>933</v>
      </c>
      <c r="B152" s="7" t="s">
        <v>933</v>
      </c>
      <c r="C152" s="7" t="s">
        <v>934</v>
      </c>
      <c r="D152" s="7" t="s">
        <v>935</v>
      </c>
      <c r="E152" s="7" t="s">
        <v>33</v>
      </c>
      <c r="F152" s="7" t="s">
        <v>34</v>
      </c>
      <c r="G152" s="7" t="s">
        <v>35</v>
      </c>
      <c r="H152" s="7"/>
      <c r="I152" s="7"/>
      <c r="J152" s="7" t="s">
        <v>336</v>
      </c>
      <c r="K152" s="7" t="s">
        <v>170</v>
      </c>
      <c r="L152" s="7" t="s">
        <v>315</v>
      </c>
      <c r="M152" s="7" t="s">
        <v>316</v>
      </c>
      <c r="N152" s="7" t="s">
        <v>33</v>
      </c>
      <c r="O152" s="7">
        <v>1</v>
      </c>
      <c r="P152" s="7" t="s">
        <v>40</v>
      </c>
      <c r="Q152" s="7">
        <v>19.38</v>
      </c>
      <c r="R152" s="7"/>
      <c r="S152" s="7"/>
      <c r="T152" s="7"/>
      <c r="U152" s="7"/>
      <c r="V152" s="7"/>
      <c r="W152" s="7"/>
      <c r="X152" s="7"/>
      <c r="Y152" s="7" t="s">
        <v>936</v>
      </c>
      <c r="Z152" s="7" t="s">
        <v>937</v>
      </c>
      <c r="AA152" s="7" t="s">
        <v>938</v>
      </c>
      <c r="AB152" s="7" t="s">
        <v>43</v>
      </c>
      <c r="AC152" s="7"/>
      <c r="AD152" s="7"/>
      <c r="AE152" s="7"/>
      <c r="AF152" s="7"/>
      <c r="AG152" s="8">
        <f t="shared" si="2"/>
        <v>43314</v>
      </c>
    </row>
    <row r="153" spans="1:33">
      <c r="A153" s="7" t="s">
        <v>939</v>
      </c>
      <c r="B153" s="7" t="s">
        <v>939</v>
      </c>
      <c r="C153" s="7" t="s">
        <v>940</v>
      </c>
      <c r="D153" s="7" t="s">
        <v>941</v>
      </c>
      <c r="E153" s="7" t="s">
        <v>99</v>
      </c>
      <c r="F153" s="7" t="s">
        <v>34</v>
      </c>
      <c r="G153" s="7" t="s">
        <v>35</v>
      </c>
      <c r="H153" s="7"/>
      <c r="I153" s="7"/>
      <c r="J153" s="7" t="s">
        <v>292</v>
      </c>
      <c r="K153" s="7" t="s">
        <v>90</v>
      </c>
      <c r="L153" s="7" t="s">
        <v>191</v>
      </c>
      <c r="M153" s="7" t="s">
        <v>192</v>
      </c>
      <c r="N153" s="7" t="s">
        <v>99</v>
      </c>
      <c r="O153" s="7">
        <v>0</v>
      </c>
      <c r="P153" s="7"/>
      <c r="Q153" s="7"/>
      <c r="R153" s="7"/>
      <c r="S153" s="7"/>
      <c r="T153" s="7"/>
      <c r="U153" s="7"/>
      <c r="V153" s="7"/>
      <c r="W153" s="7"/>
      <c r="X153" s="7"/>
      <c r="Y153" s="7" t="s">
        <v>518</v>
      </c>
      <c r="Z153" s="7" t="s">
        <v>519</v>
      </c>
      <c r="AA153" s="7">
        <v>9442310</v>
      </c>
      <c r="AB153" s="7" t="s">
        <v>165</v>
      </c>
      <c r="AC153" s="7"/>
      <c r="AD153" s="7"/>
      <c r="AE153" s="7"/>
      <c r="AF153" s="7"/>
      <c r="AG153" s="8">
        <f t="shared" si="2"/>
        <v>43314</v>
      </c>
    </row>
    <row r="154" spans="1:33">
      <c r="A154" s="7" t="s">
        <v>942</v>
      </c>
      <c r="B154" s="7" t="s">
        <v>943</v>
      </c>
      <c r="C154" s="7" t="s">
        <v>944</v>
      </c>
      <c r="D154" s="7" t="s">
        <v>945</v>
      </c>
      <c r="E154" s="7" t="s">
        <v>33</v>
      </c>
      <c r="F154" s="7" t="s">
        <v>34</v>
      </c>
      <c r="G154" s="7" t="s">
        <v>946</v>
      </c>
      <c r="H154" s="7"/>
      <c r="I154" s="7"/>
      <c r="J154" s="7" t="s">
        <v>336</v>
      </c>
      <c r="K154" s="7" t="s">
        <v>947</v>
      </c>
      <c r="L154" s="7" t="s">
        <v>948</v>
      </c>
      <c r="M154" s="7" t="s">
        <v>949</v>
      </c>
      <c r="N154" s="7" t="s">
        <v>459</v>
      </c>
      <c r="O154" s="7">
        <v>1</v>
      </c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8">
        <f t="shared" si="2"/>
        <v>43315</v>
      </c>
    </row>
    <row r="155" spans="1:33">
      <c r="A155" s="7" t="s">
        <v>950</v>
      </c>
      <c r="B155" s="7" t="s">
        <v>950</v>
      </c>
      <c r="C155" s="7" t="s">
        <v>951</v>
      </c>
      <c r="D155" s="7" t="s">
        <v>952</v>
      </c>
      <c r="E155" s="7" t="s">
        <v>33</v>
      </c>
      <c r="F155" s="7" t="s">
        <v>34</v>
      </c>
      <c r="G155" s="7" t="s">
        <v>35</v>
      </c>
      <c r="H155" s="7"/>
      <c r="I155" s="7"/>
      <c r="J155" s="7" t="s">
        <v>36</v>
      </c>
      <c r="K155" s="7" t="s">
        <v>170</v>
      </c>
      <c r="L155" s="7" t="s">
        <v>505</v>
      </c>
      <c r="M155" s="7" t="s">
        <v>506</v>
      </c>
      <c r="N155" s="7" t="s">
        <v>33</v>
      </c>
      <c r="O155" s="7">
        <v>1</v>
      </c>
      <c r="P155" s="7" t="s">
        <v>40</v>
      </c>
      <c r="Q155" s="7">
        <v>19.38</v>
      </c>
      <c r="R155" s="7"/>
      <c r="S155" s="7"/>
      <c r="T155" s="7"/>
      <c r="U155" s="7"/>
      <c r="V155" s="7"/>
      <c r="W155" s="7"/>
      <c r="X155" s="7"/>
      <c r="Y155" s="7" t="s">
        <v>953</v>
      </c>
      <c r="Z155" s="7" t="s">
        <v>954</v>
      </c>
      <c r="AA155" s="7" t="s">
        <v>955</v>
      </c>
      <c r="AB155" s="7" t="s">
        <v>43</v>
      </c>
      <c r="AC155" s="7"/>
      <c r="AD155" s="7"/>
      <c r="AE155" s="7"/>
      <c r="AF155" s="7"/>
      <c r="AG155" s="8">
        <f t="shared" si="2"/>
        <v>43315</v>
      </c>
    </row>
    <row r="156" spans="1:33">
      <c r="A156" s="7" t="s">
        <v>956</v>
      </c>
      <c r="B156" s="7" t="s">
        <v>956</v>
      </c>
      <c r="C156" s="7" t="s">
        <v>957</v>
      </c>
      <c r="D156" s="7" t="s">
        <v>958</v>
      </c>
      <c r="E156" s="7" t="s">
        <v>33</v>
      </c>
      <c r="F156" s="7" t="s">
        <v>34</v>
      </c>
      <c r="G156" s="7" t="s">
        <v>35</v>
      </c>
      <c r="H156" s="7"/>
      <c r="I156" s="7"/>
      <c r="J156" s="7" t="s">
        <v>36</v>
      </c>
      <c r="K156" s="7" t="s">
        <v>456</v>
      </c>
      <c r="L156" s="7" t="s">
        <v>959</v>
      </c>
      <c r="M156" s="7" t="s">
        <v>960</v>
      </c>
      <c r="N156" s="7" t="s">
        <v>33</v>
      </c>
      <c r="O156" s="7">
        <v>1</v>
      </c>
      <c r="P156" s="7" t="s">
        <v>40</v>
      </c>
      <c r="Q156" s="7">
        <v>19.99</v>
      </c>
      <c r="R156" s="7">
        <v>1.2</v>
      </c>
      <c r="S156" s="7"/>
      <c r="T156" s="7"/>
      <c r="U156" s="7"/>
      <c r="V156" s="7"/>
      <c r="W156" s="7"/>
      <c r="X156" s="7"/>
      <c r="Y156" s="7" t="s">
        <v>604</v>
      </c>
      <c r="Z156" s="7" t="s">
        <v>42</v>
      </c>
      <c r="AA156" s="7" t="s">
        <v>961</v>
      </c>
      <c r="AB156" s="7" t="s">
        <v>43</v>
      </c>
      <c r="AC156" s="7"/>
      <c r="AD156" s="7"/>
      <c r="AE156" s="7"/>
      <c r="AF156" s="7"/>
      <c r="AG156" s="8">
        <f t="shared" si="2"/>
        <v>43315</v>
      </c>
    </row>
    <row r="157" spans="1:33">
      <c r="A157" s="7" t="s">
        <v>962</v>
      </c>
      <c r="B157" s="7" t="s">
        <v>962</v>
      </c>
      <c r="C157" s="7" t="s">
        <v>963</v>
      </c>
      <c r="D157" s="7" t="s">
        <v>964</v>
      </c>
      <c r="E157" s="7" t="s">
        <v>33</v>
      </c>
      <c r="F157" s="7" t="s">
        <v>34</v>
      </c>
      <c r="G157" s="7" t="s">
        <v>35</v>
      </c>
      <c r="H157" s="7"/>
      <c r="I157" s="7"/>
      <c r="J157" s="7" t="s">
        <v>36</v>
      </c>
      <c r="K157" s="7" t="s">
        <v>965</v>
      </c>
      <c r="L157" s="7" t="s">
        <v>966</v>
      </c>
      <c r="M157" s="7" t="s">
        <v>967</v>
      </c>
      <c r="N157" s="7" t="s">
        <v>33</v>
      </c>
      <c r="O157" s="7">
        <v>1</v>
      </c>
      <c r="P157" s="7" t="s">
        <v>40</v>
      </c>
      <c r="Q157" s="7">
        <v>17.99</v>
      </c>
      <c r="R157" s="7"/>
      <c r="S157" s="7"/>
      <c r="T157" s="7"/>
      <c r="U157" s="7"/>
      <c r="V157" s="7"/>
      <c r="W157" s="7"/>
      <c r="X157" s="7"/>
      <c r="Y157" s="7" t="s">
        <v>968</v>
      </c>
      <c r="Z157" s="7" t="s">
        <v>969</v>
      </c>
      <c r="AA157" s="7" t="s">
        <v>970</v>
      </c>
      <c r="AB157" s="7" t="s">
        <v>43</v>
      </c>
      <c r="AC157" s="7"/>
      <c r="AD157" s="7"/>
      <c r="AE157" s="7"/>
      <c r="AF157" s="7"/>
      <c r="AG157" s="8">
        <f t="shared" si="2"/>
        <v>43315</v>
      </c>
    </row>
    <row r="158" spans="1:33">
      <c r="A158" s="7" t="s">
        <v>971</v>
      </c>
      <c r="B158" s="7" t="s">
        <v>971</v>
      </c>
      <c r="C158" s="7" t="s">
        <v>972</v>
      </c>
      <c r="D158" s="7" t="s">
        <v>973</v>
      </c>
      <c r="E158" s="7" t="s">
        <v>33</v>
      </c>
      <c r="F158" s="7" t="s">
        <v>34</v>
      </c>
      <c r="G158" s="7" t="s">
        <v>35</v>
      </c>
      <c r="H158" s="7"/>
      <c r="I158" s="7"/>
      <c r="J158" s="7" t="s">
        <v>36</v>
      </c>
      <c r="K158" s="7" t="s">
        <v>247</v>
      </c>
      <c r="L158" s="7" t="s">
        <v>248</v>
      </c>
      <c r="M158" s="7" t="s">
        <v>249</v>
      </c>
      <c r="N158" s="7" t="s">
        <v>33</v>
      </c>
      <c r="O158" s="7">
        <v>1</v>
      </c>
      <c r="P158" s="7" t="s">
        <v>40</v>
      </c>
      <c r="Q158" s="7">
        <v>18.99</v>
      </c>
      <c r="R158" s="7"/>
      <c r="S158" s="7"/>
      <c r="T158" s="7"/>
      <c r="U158" s="7"/>
      <c r="V158" s="7"/>
      <c r="W158" s="7"/>
      <c r="X158" s="7"/>
      <c r="Y158" s="7" t="s">
        <v>974</v>
      </c>
      <c r="Z158" s="7" t="s">
        <v>135</v>
      </c>
      <c r="AA158" s="7">
        <v>33037</v>
      </c>
      <c r="AB158" s="7" t="s">
        <v>43</v>
      </c>
      <c r="AC158" s="7"/>
      <c r="AD158" s="7"/>
      <c r="AE158" s="7"/>
      <c r="AF158" s="7"/>
      <c r="AG158" s="8">
        <f t="shared" si="2"/>
        <v>43315</v>
      </c>
    </row>
    <row r="159" spans="1:33">
      <c r="A159" s="7" t="s">
        <v>975</v>
      </c>
      <c r="B159" s="7" t="s">
        <v>975</v>
      </c>
      <c r="C159" s="7" t="s">
        <v>976</v>
      </c>
      <c r="D159" s="7" t="s">
        <v>977</v>
      </c>
      <c r="E159" s="7" t="s">
        <v>33</v>
      </c>
      <c r="F159" s="7" t="s">
        <v>34</v>
      </c>
      <c r="G159" s="7" t="s">
        <v>35</v>
      </c>
      <c r="H159" s="7"/>
      <c r="I159" s="7"/>
      <c r="J159" s="7" t="s">
        <v>36</v>
      </c>
      <c r="K159" s="7" t="s">
        <v>617</v>
      </c>
      <c r="L159" s="7" t="s">
        <v>618</v>
      </c>
      <c r="M159" s="7" t="s">
        <v>619</v>
      </c>
      <c r="N159" s="7" t="s">
        <v>33</v>
      </c>
      <c r="O159" s="7">
        <v>1</v>
      </c>
      <c r="P159" s="7" t="s">
        <v>40</v>
      </c>
      <c r="Q159" s="7">
        <v>18.99</v>
      </c>
      <c r="R159" s="7"/>
      <c r="S159" s="7"/>
      <c r="T159" s="7"/>
      <c r="U159" s="7"/>
      <c r="V159" s="7"/>
      <c r="W159" s="7"/>
      <c r="X159" s="7"/>
      <c r="Y159" s="7" t="s">
        <v>978</v>
      </c>
      <c r="Z159" s="7" t="s">
        <v>384</v>
      </c>
      <c r="AA159" s="7">
        <v>11720</v>
      </c>
      <c r="AB159" s="7" t="s">
        <v>43</v>
      </c>
      <c r="AC159" s="7"/>
      <c r="AD159" s="7"/>
      <c r="AE159" s="7"/>
      <c r="AF159" s="7"/>
      <c r="AG159" s="8">
        <f t="shared" si="2"/>
        <v>43315</v>
      </c>
    </row>
    <row r="160" spans="1:33">
      <c r="A160" s="7" t="s">
        <v>979</v>
      </c>
      <c r="B160" s="7" t="s">
        <v>979</v>
      </c>
      <c r="C160" s="7" t="s">
        <v>980</v>
      </c>
      <c r="D160" s="7" t="s">
        <v>981</v>
      </c>
      <c r="E160" s="7" t="s">
        <v>33</v>
      </c>
      <c r="F160" s="7" t="s">
        <v>34</v>
      </c>
      <c r="G160" s="7" t="s">
        <v>35</v>
      </c>
      <c r="H160" s="7"/>
      <c r="I160" s="7"/>
      <c r="J160" s="7" t="s">
        <v>36</v>
      </c>
      <c r="K160" s="7" t="s">
        <v>255</v>
      </c>
      <c r="L160" s="7" t="s">
        <v>300</v>
      </c>
      <c r="M160" s="7" t="s">
        <v>301</v>
      </c>
      <c r="N160" s="7" t="s">
        <v>33</v>
      </c>
      <c r="O160" s="7">
        <v>1</v>
      </c>
      <c r="P160" s="7" t="s">
        <v>40</v>
      </c>
      <c r="Q160" s="7">
        <v>19.99</v>
      </c>
      <c r="R160" s="7"/>
      <c r="S160" s="7"/>
      <c r="T160" s="7"/>
      <c r="U160" s="7"/>
      <c r="V160" s="7"/>
      <c r="W160" s="7"/>
      <c r="X160" s="7"/>
      <c r="Y160" s="7" t="s">
        <v>671</v>
      </c>
      <c r="Z160" s="7" t="s">
        <v>135</v>
      </c>
      <c r="AA160" s="7" t="s">
        <v>982</v>
      </c>
      <c r="AB160" s="7" t="s">
        <v>43</v>
      </c>
      <c r="AC160" s="7"/>
      <c r="AD160" s="7"/>
      <c r="AE160" s="7"/>
      <c r="AF160" s="7"/>
      <c r="AG160" s="8">
        <f t="shared" si="2"/>
        <v>43315</v>
      </c>
    </row>
    <row r="161" spans="1:33">
      <c r="A161" s="7" t="s">
        <v>983</v>
      </c>
      <c r="B161" s="7" t="s">
        <v>983</v>
      </c>
      <c r="C161" s="7" t="s">
        <v>984</v>
      </c>
      <c r="D161" s="7" t="s">
        <v>985</v>
      </c>
      <c r="E161" s="7" t="s">
        <v>33</v>
      </c>
      <c r="F161" s="7" t="s">
        <v>34</v>
      </c>
      <c r="G161" s="7" t="s">
        <v>35</v>
      </c>
      <c r="H161" s="7"/>
      <c r="I161" s="7"/>
      <c r="J161" s="7" t="s">
        <v>36</v>
      </c>
      <c r="K161" s="7" t="s">
        <v>125</v>
      </c>
      <c r="L161" s="7" t="s">
        <v>126</v>
      </c>
      <c r="M161" s="7" t="s">
        <v>127</v>
      </c>
      <c r="N161" s="7" t="s">
        <v>33</v>
      </c>
      <c r="O161" s="7">
        <v>1</v>
      </c>
      <c r="P161" s="7" t="s">
        <v>40</v>
      </c>
      <c r="Q161" s="7">
        <v>18.99</v>
      </c>
      <c r="R161" s="7"/>
      <c r="S161" s="7"/>
      <c r="T161" s="7"/>
      <c r="U161" s="7"/>
      <c r="V161" s="7"/>
      <c r="W161" s="7"/>
      <c r="X161" s="7"/>
      <c r="Y161" s="7" t="s">
        <v>986</v>
      </c>
      <c r="Z161" s="7" t="s">
        <v>646</v>
      </c>
      <c r="AA161" s="7" t="s">
        <v>987</v>
      </c>
      <c r="AB161" s="7" t="s">
        <v>43</v>
      </c>
      <c r="AC161" s="7"/>
      <c r="AD161" s="7"/>
      <c r="AE161" s="7"/>
      <c r="AF161" s="7"/>
      <c r="AG161" s="8">
        <f t="shared" si="2"/>
        <v>43315</v>
      </c>
    </row>
    <row r="162" spans="1:33">
      <c r="A162" s="7" t="s">
        <v>988</v>
      </c>
      <c r="B162" s="7" t="s">
        <v>988</v>
      </c>
      <c r="C162" s="7" t="s">
        <v>989</v>
      </c>
      <c r="D162" s="7" t="s">
        <v>990</v>
      </c>
      <c r="E162" s="7" t="s">
        <v>33</v>
      </c>
      <c r="F162" s="7" t="s">
        <v>34</v>
      </c>
      <c r="G162" s="7" t="s">
        <v>35</v>
      </c>
      <c r="H162" s="7"/>
      <c r="I162" s="7"/>
      <c r="J162" s="7" t="s">
        <v>36</v>
      </c>
      <c r="K162" s="7" t="s">
        <v>90</v>
      </c>
      <c r="L162" s="7" t="s">
        <v>91</v>
      </c>
      <c r="M162" s="7" t="s">
        <v>92</v>
      </c>
      <c r="N162" s="7" t="s">
        <v>33</v>
      </c>
      <c r="O162" s="7">
        <v>1</v>
      </c>
      <c r="P162" s="7" t="s">
        <v>40</v>
      </c>
      <c r="Q162" s="7">
        <v>19.99</v>
      </c>
      <c r="R162" s="7">
        <v>1.2</v>
      </c>
      <c r="S162" s="7"/>
      <c r="T162" s="7"/>
      <c r="U162" s="7"/>
      <c r="V162" s="7"/>
      <c r="W162" s="7"/>
      <c r="X162" s="7"/>
      <c r="Y162" s="7" t="s">
        <v>991</v>
      </c>
      <c r="Z162" s="7" t="s">
        <v>992</v>
      </c>
      <c r="AA162" s="7">
        <v>19079</v>
      </c>
      <c r="AB162" s="7" t="s">
        <v>43</v>
      </c>
      <c r="AC162" s="7"/>
      <c r="AD162" s="7"/>
      <c r="AE162" s="7"/>
      <c r="AF162" s="7"/>
      <c r="AG162" s="8">
        <f t="shared" si="2"/>
        <v>43315</v>
      </c>
    </row>
    <row r="163" spans="1:33">
      <c r="A163" s="7" t="s">
        <v>993</v>
      </c>
      <c r="B163" s="7" t="s">
        <v>993</v>
      </c>
      <c r="C163" s="7" t="s">
        <v>994</v>
      </c>
      <c r="D163" s="7" t="s">
        <v>995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36</v>
      </c>
      <c r="K163" s="7" t="s">
        <v>131</v>
      </c>
      <c r="L163" s="7" t="s">
        <v>132</v>
      </c>
      <c r="M163" s="7" t="s">
        <v>133</v>
      </c>
      <c r="N163" s="7" t="s">
        <v>33</v>
      </c>
      <c r="O163" s="7">
        <v>1</v>
      </c>
      <c r="P163" s="7" t="s">
        <v>40</v>
      </c>
      <c r="Q163" s="7">
        <v>18.99</v>
      </c>
      <c r="R163" s="7"/>
      <c r="S163" s="7"/>
      <c r="T163" s="7"/>
      <c r="U163" s="7"/>
      <c r="V163" s="7"/>
      <c r="W163" s="7"/>
      <c r="X163" s="7"/>
      <c r="Y163" s="7" t="s">
        <v>620</v>
      </c>
      <c r="Z163" s="7" t="s">
        <v>135</v>
      </c>
      <c r="AA163" s="7" t="s">
        <v>621</v>
      </c>
      <c r="AB163" s="7" t="s">
        <v>43</v>
      </c>
      <c r="AC163" s="7"/>
      <c r="AD163" s="7"/>
      <c r="AE163" s="7"/>
      <c r="AF163" s="7"/>
      <c r="AG163" s="8">
        <f t="shared" si="2"/>
        <v>43315</v>
      </c>
    </row>
    <row r="164" spans="1:33">
      <c r="A164" s="7" t="s">
        <v>996</v>
      </c>
      <c r="B164" s="7" t="s">
        <v>996</v>
      </c>
      <c r="C164" s="7" t="s">
        <v>997</v>
      </c>
      <c r="D164" s="7" t="s">
        <v>998</v>
      </c>
      <c r="E164" s="7" t="s">
        <v>33</v>
      </c>
      <c r="F164" s="7" t="s">
        <v>34</v>
      </c>
      <c r="G164" s="7" t="s">
        <v>35</v>
      </c>
      <c r="H164" s="7"/>
      <c r="I164" s="7"/>
      <c r="J164" s="7" t="s">
        <v>36</v>
      </c>
      <c r="K164" s="7" t="s">
        <v>37</v>
      </c>
      <c r="L164" s="7" t="s">
        <v>523</v>
      </c>
      <c r="M164" s="7" t="s">
        <v>524</v>
      </c>
      <c r="N164" s="7" t="s">
        <v>33</v>
      </c>
      <c r="O164" s="7">
        <v>1</v>
      </c>
      <c r="P164" s="7" t="s">
        <v>40</v>
      </c>
      <c r="Q164" s="7">
        <v>19.99</v>
      </c>
      <c r="R164" s="7"/>
      <c r="S164" s="7"/>
      <c r="T164" s="7"/>
      <c r="U164" s="7"/>
      <c r="V164" s="7"/>
      <c r="W164" s="7"/>
      <c r="X164" s="7"/>
      <c r="Y164" s="7" t="s">
        <v>999</v>
      </c>
      <c r="Z164" s="7" t="s">
        <v>59</v>
      </c>
      <c r="AA164" s="7" t="s">
        <v>1000</v>
      </c>
      <c r="AB164" s="7" t="s">
        <v>43</v>
      </c>
      <c r="AC164" s="7"/>
      <c r="AD164" s="7"/>
      <c r="AE164" s="7"/>
      <c r="AF164" s="7"/>
      <c r="AG164" s="8">
        <f t="shared" si="2"/>
        <v>43315</v>
      </c>
    </row>
    <row r="165" spans="1:33">
      <c r="A165" s="7" t="s">
        <v>1001</v>
      </c>
      <c r="B165" s="7" t="s">
        <v>1001</v>
      </c>
      <c r="C165" s="7" t="s">
        <v>1002</v>
      </c>
      <c r="D165" s="7" t="s">
        <v>1003</v>
      </c>
      <c r="E165" s="7" t="s">
        <v>33</v>
      </c>
      <c r="F165" s="7" t="s">
        <v>34</v>
      </c>
      <c r="G165" s="7" t="s">
        <v>35</v>
      </c>
      <c r="H165" s="7"/>
      <c r="I165" s="7"/>
      <c r="J165" s="7" t="s">
        <v>36</v>
      </c>
      <c r="K165" s="7" t="s">
        <v>388</v>
      </c>
      <c r="L165" s="7" t="s">
        <v>389</v>
      </c>
      <c r="M165" s="7" t="s">
        <v>390</v>
      </c>
      <c r="N165" s="7" t="s">
        <v>33</v>
      </c>
      <c r="O165" s="7">
        <v>1</v>
      </c>
      <c r="P165" s="7" t="s">
        <v>40</v>
      </c>
      <c r="Q165" s="7">
        <v>19.38</v>
      </c>
      <c r="R165" s="7"/>
      <c r="S165" s="7"/>
      <c r="T165" s="7"/>
      <c r="U165" s="7"/>
      <c r="V165" s="7"/>
      <c r="W165" s="7"/>
      <c r="X165" s="7"/>
      <c r="Y165" s="7" t="s">
        <v>1004</v>
      </c>
      <c r="Z165" s="7" t="s">
        <v>59</v>
      </c>
      <c r="AA165" s="7">
        <v>93737</v>
      </c>
      <c r="AB165" s="7" t="s">
        <v>43</v>
      </c>
      <c r="AC165" s="7"/>
      <c r="AD165" s="7"/>
      <c r="AE165" s="7"/>
      <c r="AF165" s="7"/>
      <c r="AG165" s="8">
        <f t="shared" si="2"/>
        <v>43315</v>
      </c>
    </row>
    <row r="166" spans="1:33">
      <c r="A166" s="7" t="s">
        <v>1005</v>
      </c>
      <c r="B166" s="7" t="s">
        <v>1005</v>
      </c>
      <c r="C166" s="7" t="s">
        <v>1006</v>
      </c>
      <c r="D166" s="7" t="s">
        <v>1007</v>
      </c>
      <c r="E166" s="7" t="s">
        <v>33</v>
      </c>
      <c r="F166" s="7" t="s">
        <v>34</v>
      </c>
      <c r="G166" s="7" t="s">
        <v>35</v>
      </c>
      <c r="H166" s="7"/>
      <c r="I166" s="7"/>
      <c r="J166" s="7" t="s">
        <v>36</v>
      </c>
      <c r="K166" s="7" t="s">
        <v>90</v>
      </c>
      <c r="L166" s="7" t="s">
        <v>540</v>
      </c>
      <c r="M166" s="7" t="s">
        <v>541</v>
      </c>
      <c r="N166" s="7" t="s">
        <v>33</v>
      </c>
      <c r="O166" s="7">
        <v>1</v>
      </c>
      <c r="P166" s="7" t="s">
        <v>40</v>
      </c>
      <c r="Q166" s="7">
        <v>19.99</v>
      </c>
      <c r="R166" s="7"/>
      <c r="S166" s="7"/>
      <c r="T166" s="7"/>
      <c r="U166" s="7"/>
      <c r="V166" s="7"/>
      <c r="W166" s="7"/>
      <c r="X166" s="7"/>
      <c r="Y166" s="7" t="s">
        <v>1008</v>
      </c>
      <c r="Z166" s="7" t="s">
        <v>174</v>
      </c>
      <c r="AA166" s="7" t="s">
        <v>1009</v>
      </c>
      <c r="AB166" s="7" t="s">
        <v>43</v>
      </c>
      <c r="AC166" s="7"/>
      <c r="AD166" s="7"/>
      <c r="AE166" s="7"/>
      <c r="AF166" s="7"/>
      <c r="AG166" s="8">
        <f t="shared" si="2"/>
        <v>43315</v>
      </c>
    </row>
    <row r="167" spans="1:33">
      <c r="A167" s="7" t="s">
        <v>1010</v>
      </c>
      <c r="B167" s="7" t="s">
        <v>1010</v>
      </c>
      <c r="C167" s="7" t="s">
        <v>1011</v>
      </c>
      <c r="D167" s="7" t="s">
        <v>1012</v>
      </c>
      <c r="E167" s="7" t="s">
        <v>33</v>
      </c>
      <c r="F167" s="7" t="s">
        <v>34</v>
      </c>
      <c r="G167" s="7" t="s">
        <v>35</v>
      </c>
      <c r="H167" s="7"/>
      <c r="I167" s="7"/>
      <c r="J167" s="7" t="s">
        <v>336</v>
      </c>
      <c r="K167" s="7" t="s">
        <v>37</v>
      </c>
      <c r="L167" s="7" t="s">
        <v>784</v>
      </c>
      <c r="M167" s="7" t="s">
        <v>785</v>
      </c>
      <c r="N167" s="7" t="s">
        <v>33</v>
      </c>
      <c r="O167" s="7">
        <v>1</v>
      </c>
      <c r="P167" s="7" t="s">
        <v>40</v>
      </c>
      <c r="Q167" s="7">
        <v>19.99</v>
      </c>
      <c r="R167" s="7"/>
      <c r="S167" s="7">
        <v>1.39</v>
      </c>
      <c r="T167" s="7"/>
      <c r="U167" s="7"/>
      <c r="V167" s="7"/>
      <c r="W167" s="7"/>
      <c r="X167" s="7"/>
      <c r="Y167" s="7" t="s">
        <v>1013</v>
      </c>
      <c r="Z167" s="7" t="s">
        <v>383</v>
      </c>
      <c r="AA167" s="7">
        <v>11413</v>
      </c>
      <c r="AB167" s="7" t="s">
        <v>43</v>
      </c>
      <c r="AC167" s="7"/>
      <c r="AD167" s="7"/>
      <c r="AE167" s="7"/>
      <c r="AF167" s="7"/>
      <c r="AG167" s="8">
        <f t="shared" si="2"/>
        <v>43315</v>
      </c>
    </row>
    <row r="168" spans="1:33">
      <c r="A168" s="7" t="s">
        <v>1014</v>
      </c>
      <c r="B168" s="7" t="s">
        <v>1014</v>
      </c>
      <c r="C168" s="7" t="s">
        <v>1015</v>
      </c>
      <c r="D168" s="7" t="s">
        <v>1016</v>
      </c>
      <c r="E168" s="7" t="s">
        <v>33</v>
      </c>
      <c r="F168" s="7" t="s">
        <v>34</v>
      </c>
      <c r="G168" s="7" t="s">
        <v>35</v>
      </c>
      <c r="H168" s="7"/>
      <c r="I168" s="7"/>
      <c r="J168" s="7" t="s">
        <v>36</v>
      </c>
      <c r="K168" s="7" t="s">
        <v>125</v>
      </c>
      <c r="L168" s="7" t="s">
        <v>126</v>
      </c>
      <c r="M168" s="7" t="s">
        <v>127</v>
      </c>
      <c r="N168" s="7" t="s">
        <v>33</v>
      </c>
      <c r="O168" s="7">
        <v>1</v>
      </c>
      <c r="P168" s="7" t="s">
        <v>40</v>
      </c>
      <c r="Q168" s="7">
        <v>18.99</v>
      </c>
      <c r="R168" s="7"/>
      <c r="S168" s="7"/>
      <c r="T168" s="7"/>
      <c r="U168" s="7"/>
      <c r="V168" s="7"/>
      <c r="W168" s="7"/>
      <c r="X168" s="7"/>
      <c r="Y168" s="7" t="s">
        <v>1017</v>
      </c>
      <c r="Z168" s="7" t="s">
        <v>287</v>
      </c>
      <c r="AA168" s="7" t="s">
        <v>1018</v>
      </c>
      <c r="AB168" s="7" t="s">
        <v>43</v>
      </c>
      <c r="AC168" s="7"/>
      <c r="AD168" s="7"/>
      <c r="AE168" s="7"/>
      <c r="AF168" s="7"/>
      <c r="AG168" s="8">
        <f t="shared" si="2"/>
        <v>43315</v>
      </c>
    </row>
    <row r="169" spans="1:33">
      <c r="A169" s="7" t="s">
        <v>1019</v>
      </c>
      <c r="B169" s="7" t="s">
        <v>1019</v>
      </c>
      <c r="C169" s="7" t="s">
        <v>1020</v>
      </c>
      <c r="D169" s="7" t="s">
        <v>1021</v>
      </c>
      <c r="E169" s="7" t="s">
        <v>33</v>
      </c>
      <c r="F169" s="7" t="s">
        <v>34</v>
      </c>
      <c r="G169" s="7" t="s">
        <v>35</v>
      </c>
      <c r="H169" s="7"/>
      <c r="I169" s="7"/>
      <c r="J169" s="7" t="s">
        <v>36</v>
      </c>
      <c r="K169" s="7" t="s">
        <v>388</v>
      </c>
      <c r="L169" s="7" t="s">
        <v>1022</v>
      </c>
      <c r="M169" s="7" t="s">
        <v>1023</v>
      </c>
      <c r="N169" s="7" t="s">
        <v>33</v>
      </c>
      <c r="O169" s="7">
        <v>1</v>
      </c>
      <c r="P169" s="7" t="s">
        <v>40</v>
      </c>
      <c r="Q169" s="7">
        <v>19.38</v>
      </c>
      <c r="R169" s="7">
        <v>1.47</v>
      </c>
      <c r="S169" s="7"/>
      <c r="T169" s="7"/>
      <c r="U169" s="7"/>
      <c r="V169" s="7"/>
      <c r="W169" s="7"/>
      <c r="X169" s="7"/>
      <c r="Y169" s="7" t="s">
        <v>1024</v>
      </c>
      <c r="Z169" s="7" t="s">
        <v>882</v>
      </c>
      <c r="AA169" s="7" t="s">
        <v>1025</v>
      </c>
      <c r="AB169" s="7" t="s">
        <v>43</v>
      </c>
      <c r="AC169" s="7"/>
      <c r="AD169" s="7"/>
      <c r="AE169" s="7"/>
      <c r="AF169" s="7"/>
      <c r="AG169" s="8">
        <f t="shared" si="2"/>
        <v>43315</v>
      </c>
    </row>
    <row r="170" spans="1:33">
      <c r="A170" s="7" t="s">
        <v>1026</v>
      </c>
      <c r="B170" s="7" t="s">
        <v>1026</v>
      </c>
      <c r="C170" s="7" t="s">
        <v>1027</v>
      </c>
      <c r="D170" s="7" t="s">
        <v>1028</v>
      </c>
      <c r="E170" s="7" t="s">
        <v>33</v>
      </c>
      <c r="F170" s="7" t="s">
        <v>34</v>
      </c>
      <c r="G170" s="7" t="s">
        <v>35</v>
      </c>
      <c r="H170" s="7"/>
      <c r="I170" s="7"/>
      <c r="J170" s="7" t="s">
        <v>36</v>
      </c>
      <c r="K170" s="7" t="s">
        <v>1029</v>
      </c>
      <c r="L170" s="7" t="s">
        <v>1030</v>
      </c>
      <c r="M170" s="7" t="s">
        <v>1031</v>
      </c>
      <c r="N170" s="7" t="s">
        <v>33</v>
      </c>
      <c r="O170" s="7">
        <v>1</v>
      </c>
      <c r="P170" s="7" t="s">
        <v>40</v>
      </c>
      <c r="Q170" s="7">
        <v>19.99</v>
      </c>
      <c r="R170" s="7"/>
      <c r="S170" s="7"/>
      <c r="T170" s="7"/>
      <c r="U170" s="7"/>
      <c r="V170" s="7"/>
      <c r="W170" s="7"/>
      <c r="X170" s="7"/>
      <c r="Y170" s="7" t="s">
        <v>1032</v>
      </c>
      <c r="Z170" s="7" t="s">
        <v>1033</v>
      </c>
      <c r="AA170" s="7">
        <v>91744</v>
      </c>
      <c r="AB170" s="7" t="s">
        <v>43</v>
      </c>
      <c r="AC170" s="7"/>
      <c r="AD170" s="7"/>
      <c r="AE170" s="7"/>
      <c r="AF170" s="7"/>
      <c r="AG170" s="8">
        <f t="shared" si="2"/>
        <v>43315</v>
      </c>
    </row>
    <row r="171" spans="1:33">
      <c r="A171" s="7" t="s">
        <v>1034</v>
      </c>
      <c r="B171" s="7" t="s">
        <v>1034</v>
      </c>
      <c r="C171" s="7" t="s">
        <v>1035</v>
      </c>
      <c r="D171" s="7" t="s">
        <v>1036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36</v>
      </c>
      <c r="K171" s="7" t="s">
        <v>120</v>
      </c>
      <c r="L171" s="7" t="s">
        <v>465</v>
      </c>
      <c r="M171" s="7" t="s">
        <v>466</v>
      </c>
      <c r="N171" s="7" t="s">
        <v>33</v>
      </c>
      <c r="O171" s="7">
        <v>1</v>
      </c>
      <c r="P171" s="7" t="s">
        <v>40</v>
      </c>
      <c r="Q171" s="7">
        <v>16.99</v>
      </c>
      <c r="R171" s="7"/>
      <c r="S171" s="7"/>
      <c r="T171" s="7"/>
      <c r="U171" s="7"/>
      <c r="V171" s="7"/>
      <c r="W171" s="7"/>
      <c r="X171" s="7"/>
      <c r="Y171" s="7" t="s">
        <v>1037</v>
      </c>
      <c r="Z171" s="7" t="s">
        <v>452</v>
      </c>
      <c r="AA171" s="7">
        <v>70072</v>
      </c>
      <c r="AB171" s="7" t="s">
        <v>43</v>
      </c>
      <c r="AC171" s="7"/>
      <c r="AD171" s="7"/>
      <c r="AE171" s="7"/>
      <c r="AF171" s="7"/>
      <c r="AG171" s="8">
        <f t="shared" si="2"/>
        <v>43315</v>
      </c>
    </row>
    <row r="172" spans="1:33">
      <c r="A172" s="7" t="s">
        <v>1038</v>
      </c>
      <c r="B172" s="7" t="s">
        <v>1038</v>
      </c>
      <c r="C172" s="7" t="s">
        <v>1039</v>
      </c>
      <c r="D172" s="7" t="s">
        <v>1040</v>
      </c>
      <c r="E172" s="7" t="s">
        <v>33</v>
      </c>
      <c r="F172" s="7" t="s">
        <v>34</v>
      </c>
      <c r="G172" s="7" t="s">
        <v>35</v>
      </c>
      <c r="H172" s="7"/>
      <c r="I172" s="7"/>
      <c r="J172" s="7" t="s">
        <v>36</v>
      </c>
      <c r="K172" s="7" t="s">
        <v>90</v>
      </c>
      <c r="L172" s="7" t="s">
        <v>540</v>
      </c>
      <c r="M172" s="7" t="s">
        <v>541</v>
      </c>
      <c r="N172" s="7" t="s">
        <v>33</v>
      </c>
      <c r="O172" s="7">
        <v>1</v>
      </c>
      <c r="P172" s="7" t="s">
        <v>40</v>
      </c>
      <c r="Q172" s="7">
        <v>19.99</v>
      </c>
      <c r="R172" s="7"/>
      <c r="S172" s="7"/>
      <c r="T172" s="7"/>
      <c r="U172" s="7"/>
      <c r="V172" s="7"/>
      <c r="W172" s="7"/>
      <c r="X172" s="7"/>
      <c r="Y172" s="7" t="s">
        <v>1041</v>
      </c>
      <c r="Z172" s="7" t="s">
        <v>392</v>
      </c>
      <c r="AA172" s="7" t="s">
        <v>1042</v>
      </c>
      <c r="AB172" s="7" t="s">
        <v>43</v>
      </c>
      <c r="AC172" s="7"/>
      <c r="AD172" s="7"/>
      <c r="AE172" s="7"/>
      <c r="AF172" s="7"/>
      <c r="AG172" s="8">
        <f t="shared" si="2"/>
        <v>43315</v>
      </c>
    </row>
    <row r="173" spans="1:33">
      <c r="A173" s="7" t="s">
        <v>1043</v>
      </c>
      <c r="B173" s="7" t="s">
        <v>1043</v>
      </c>
      <c r="C173" s="7" t="s">
        <v>1044</v>
      </c>
      <c r="D173" s="7" t="s">
        <v>1045</v>
      </c>
      <c r="E173" s="7" t="s">
        <v>33</v>
      </c>
      <c r="F173" s="7" t="s">
        <v>34</v>
      </c>
      <c r="G173" s="7" t="s">
        <v>35</v>
      </c>
      <c r="H173" s="7"/>
      <c r="I173" s="7"/>
      <c r="J173" s="7" t="s">
        <v>36</v>
      </c>
      <c r="K173" s="7" t="s">
        <v>255</v>
      </c>
      <c r="L173" s="7" t="s">
        <v>256</v>
      </c>
      <c r="M173" s="7" t="s">
        <v>257</v>
      </c>
      <c r="N173" s="7" t="s">
        <v>33</v>
      </c>
      <c r="O173" s="7">
        <v>1</v>
      </c>
      <c r="P173" s="7" t="s">
        <v>40</v>
      </c>
      <c r="Q173" s="7">
        <v>19.99</v>
      </c>
      <c r="R173" s="7"/>
      <c r="S173" s="7"/>
      <c r="T173" s="7"/>
      <c r="U173" s="7"/>
      <c r="V173" s="7"/>
      <c r="W173" s="7"/>
      <c r="X173" s="7"/>
      <c r="Y173" s="7" t="s">
        <v>801</v>
      </c>
      <c r="Z173" s="7" t="s">
        <v>135</v>
      </c>
      <c r="AA173" s="7" t="s">
        <v>1046</v>
      </c>
      <c r="AB173" s="7" t="s">
        <v>43</v>
      </c>
      <c r="AC173" s="7"/>
      <c r="AD173" s="7"/>
      <c r="AE173" s="7"/>
      <c r="AF173" s="7"/>
      <c r="AG173" s="8">
        <f t="shared" si="2"/>
        <v>43315</v>
      </c>
    </row>
    <row r="174" spans="1:33">
      <c r="A174" s="7" t="s">
        <v>1047</v>
      </c>
      <c r="B174" s="7" t="s">
        <v>1047</v>
      </c>
      <c r="C174" s="7" t="s">
        <v>1048</v>
      </c>
      <c r="D174" s="7" t="s">
        <v>1049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36</v>
      </c>
      <c r="K174" s="7" t="s">
        <v>37</v>
      </c>
      <c r="L174" s="7" t="s">
        <v>1050</v>
      </c>
      <c r="M174" s="7" t="s">
        <v>1051</v>
      </c>
      <c r="N174" s="7" t="s">
        <v>33</v>
      </c>
      <c r="O174" s="7">
        <v>1</v>
      </c>
      <c r="P174" s="7" t="s">
        <v>40</v>
      </c>
      <c r="Q174" s="7">
        <v>19.99</v>
      </c>
      <c r="R174" s="7"/>
      <c r="S174" s="7">
        <v>9.98</v>
      </c>
      <c r="T174" s="7"/>
      <c r="U174" s="7"/>
      <c r="V174" s="7"/>
      <c r="W174" s="7"/>
      <c r="X174" s="7"/>
      <c r="Y174" s="7" t="s">
        <v>1052</v>
      </c>
      <c r="Z174" s="7" t="s">
        <v>969</v>
      </c>
      <c r="AA174" s="7" t="s">
        <v>1053</v>
      </c>
      <c r="AB174" s="7" t="s">
        <v>43</v>
      </c>
      <c r="AC174" s="7"/>
      <c r="AD174" s="7"/>
      <c r="AE174" s="7"/>
      <c r="AF174" s="7"/>
      <c r="AG174" s="8">
        <f t="shared" si="2"/>
        <v>43315</v>
      </c>
    </row>
    <row r="175" spans="1:33">
      <c r="A175" s="7" t="s">
        <v>1054</v>
      </c>
      <c r="B175" s="7" t="s">
        <v>1054</v>
      </c>
      <c r="C175" s="7" t="s">
        <v>1055</v>
      </c>
      <c r="D175" s="7" t="s">
        <v>1056</v>
      </c>
      <c r="E175" s="7" t="s">
        <v>33</v>
      </c>
      <c r="F175" s="7" t="s">
        <v>34</v>
      </c>
      <c r="G175" s="7" t="s">
        <v>35</v>
      </c>
      <c r="H175" s="7"/>
      <c r="I175" s="7"/>
      <c r="J175" s="7" t="s">
        <v>36</v>
      </c>
      <c r="K175" s="7" t="s">
        <v>125</v>
      </c>
      <c r="L175" s="7" t="s">
        <v>126</v>
      </c>
      <c r="M175" s="7" t="s">
        <v>127</v>
      </c>
      <c r="N175" s="7" t="s">
        <v>33</v>
      </c>
      <c r="O175" s="7">
        <v>1</v>
      </c>
      <c r="P175" s="7" t="s">
        <v>40</v>
      </c>
      <c r="Q175" s="7">
        <v>18.99</v>
      </c>
      <c r="R175" s="7"/>
      <c r="S175" s="7"/>
      <c r="T175" s="7"/>
      <c r="U175" s="7"/>
      <c r="V175" s="7"/>
      <c r="W175" s="7"/>
      <c r="X175" s="7"/>
      <c r="Y175" s="7" t="s">
        <v>1057</v>
      </c>
      <c r="Z175" s="7" t="s">
        <v>85</v>
      </c>
      <c r="AA175" s="7" t="s">
        <v>1058</v>
      </c>
      <c r="AB175" s="7" t="s">
        <v>43</v>
      </c>
      <c r="AC175" s="7"/>
      <c r="AD175" s="7"/>
      <c r="AE175" s="7"/>
      <c r="AF175" s="7"/>
      <c r="AG175" s="8">
        <f t="shared" si="2"/>
        <v>43315</v>
      </c>
    </row>
    <row r="176" spans="1:33">
      <c r="A176" s="7" t="s">
        <v>1059</v>
      </c>
      <c r="B176" s="7" t="s">
        <v>1059</v>
      </c>
      <c r="C176" s="7" t="s">
        <v>1060</v>
      </c>
      <c r="D176" s="7" t="s">
        <v>1061</v>
      </c>
      <c r="E176" s="7" t="s">
        <v>33</v>
      </c>
      <c r="F176" s="7" t="s">
        <v>34</v>
      </c>
      <c r="G176" s="7" t="s">
        <v>35</v>
      </c>
      <c r="H176" s="7"/>
      <c r="I176" s="7"/>
      <c r="J176" s="7" t="s">
        <v>36</v>
      </c>
      <c r="K176" s="7" t="s">
        <v>255</v>
      </c>
      <c r="L176" s="7" t="s">
        <v>300</v>
      </c>
      <c r="M176" s="7" t="s">
        <v>301</v>
      </c>
      <c r="N176" s="7" t="s">
        <v>33</v>
      </c>
      <c r="O176" s="7">
        <v>1</v>
      </c>
      <c r="P176" s="7" t="s">
        <v>40</v>
      </c>
      <c r="Q176" s="7">
        <v>19.99</v>
      </c>
      <c r="R176" s="7"/>
      <c r="S176" s="7"/>
      <c r="T176" s="7"/>
      <c r="U176" s="7"/>
      <c r="V176" s="7"/>
      <c r="W176" s="7"/>
      <c r="X176" s="7"/>
      <c r="Y176" s="7" t="s">
        <v>1062</v>
      </c>
      <c r="Z176" s="7" t="s">
        <v>59</v>
      </c>
      <c r="AA176" s="7" t="s">
        <v>1063</v>
      </c>
      <c r="AB176" s="7" t="s">
        <v>43</v>
      </c>
      <c r="AC176" s="7"/>
      <c r="AD176" s="7"/>
      <c r="AE176" s="7"/>
      <c r="AF176" s="7"/>
      <c r="AG176" s="8">
        <f t="shared" si="2"/>
        <v>43315</v>
      </c>
    </row>
    <row r="177" spans="1:33">
      <c r="A177" s="7" t="s">
        <v>1064</v>
      </c>
      <c r="B177" s="7" t="s">
        <v>1064</v>
      </c>
      <c r="C177" s="7" t="s">
        <v>1065</v>
      </c>
      <c r="D177" s="7" t="s">
        <v>1066</v>
      </c>
      <c r="E177" s="7" t="s">
        <v>33</v>
      </c>
      <c r="F177" s="7" t="s">
        <v>34</v>
      </c>
      <c r="G177" s="7" t="s">
        <v>35</v>
      </c>
      <c r="H177" s="7"/>
      <c r="I177" s="7"/>
      <c r="J177" s="7" t="s">
        <v>36</v>
      </c>
      <c r="K177" s="7" t="s">
        <v>255</v>
      </c>
      <c r="L177" s="7" t="s">
        <v>277</v>
      </c>
      <c r="M177" s="7" t="s">
        <v>278</v>
      </c>
      <c r="N177" s="7" t="s">
        <v>33</v>
      </c>
      <c r="O177" s="7">
        <v>1</v>
      </c>
      <c r="P177" s="7" t="s">
        <v>40</v>
      </c>
      <c r="Q177" s="7">
        <v>19.99</v>
      </c>
      <c r="R177" s="7"/>
      <c r="S177" s="7"/>
      <c r="T177" s="7"/>
      <c r="U177" s="7"/>
      <c r="V177" s="7"/>
      <c r="W177" s="7"/>
      <c r="X177" s="7"/>
      <c r="Y177" s="7" t="s">
        <v>362</v>
      </c>
      <c r="Z177" s="7" t="s">
        <v>227</v>
      </c>
      <c r="AA177" s="7" t="s">
        <v>1067</v>
      </c>
      <c r="AB177" s="7" t="s">
        <v>43</v>
      </c>
      <c r="AC177" s="7"/>
      <c r="AD177" s="7"/>
      <c r="AE177" s="7"/>
      <c r="AF177" s="7"/>
      <c r="AG177" s="8">
        <f t="shared" si="2"/>
        <v>43315</v>
      </c>
    </row>
    <row r="178" spans="1:33">
      <c r="A178" s="7" t="s">
        <v>1068</v>
      </c>
      <c r="B178" s="7" t="s">
        <v>1068</v>
      </c>
      <c r="C178" s="7" t="s">
        <v>1069</v>
      </c>
      <c r="D178" s="7" t="s">
        <v>1070</v>
      </c>
      <c r="E178" s="7" t="s">
        <v>33</v>
      </c>
      <c r="F178" s="7" t="s">
        <v>34</v>
      </c>
      <c r="G178" s="7" t="s">
        <v>35</v>
      </c>
      <c r="H178" s="7"/>
      <c r="I178" s="7"/>
      <c r="J178" s="7" t="s">
        <v>36</v>
      </c>
      <c r="K178" s="7" t="s">
        <v>1071</v>
      </c>
      <c r="L178" s="7" t="s">
        <v>1072</v>
      </c>
      <c r="M178" s="7" t="s">
        <v>1073</v>
      </c>
      <c r="N178" s="7" t="s">
        <v>33</v>
      </c>
      <c r="O178" s="7">
        <v>1</v>
      </c>
      <c r="P178" s="7" t="s">
        <v>40</v>
      </c>
      <c r="Q178" s="7">
        <v>25.99</v>
      </c>
      <c r="R178" s="7"/>
      <c r="S178" s="7"/>
      <c r="T178" s="7"/>
      <c r="U178" s="7"/>
      <c r="V178" s="7"/>
      <c r="W178" s="7"/>
      <c r="X178" s="7"/>
      <c r="Y178" s="7" t="s">
        <v>1074</v>
      </c>
      <c r="Z178" s="7" t="s">
        <v>447</v>
      </c>
      <c r="AA178" s="7" t="s">
        <v>1075</v>
      </c>
      <c r="AB178" s="7" t="s">
        <v>43</v>
      </c>
      <c r="AC178" s="7"/>
      <c r="AD178" s="7"/>
      <c r="AE178" s="7"/>
      <c r="AF178" s="7"/>
      <c r="AG178" s="8">
        <f t="shared" si="2"/>
        <v>43315</v>
      </c>
    </row>
    <row r="179" spans="1:33">
      <c r="A179" s="7" t="s">
        <v>1076</v>
      </c>
      <c r="B179" s="7" t="s">
        <v>1076</v>
      </c>
      <c r="C179" s="7" t="s">
        <v>1077</v>
      </c>
      <c r="D179" s="7" t="s">
        <v>1078</v>
      </c>
      <c r="E179" s="7" t="s">
        <v>33</v>
      </c>
      <c r="F179" s="7" t="s">
        <v>34</v>
      </c>
      <c r="G179" s="7" t="s">
        <v>35</v>
      </c>
      <c r="H179" s="7"/>
      <c r="I179" s="7"/>
      <c r="J179" s="7" t="s">
        <v>36</v>
      </c>
      <c r="K179" s="7" t="s">
        <v>1079</v>
      </c>
      <c r="L179" s="7" t="s">
        <v>1080</v>
      </c>
      <c r="M179" s="7" t="s">
        <v>1081</v>
      </c>
      <c r="N179" s="7" t="s">
        <v>33</v>
      </c>
      <c r="O179" s="7">
        <v>1</v>
      </c>
      <c r="P179" s="7" t="s">
        <v>40</v>
      </c>
      <c r="Q179" s="7">
        <v>12.99</v>
      </c>
      <c r="R179" s="7"/>
      <c r="S179" s="7"/>
      <c r="T179" s="7"/>
      <c r="U179" s="7"/>
      <c r="V179" s="7"/>
      <c r="W179" s="7"/>
      <c r="X179" s="7"/>
      <c r="Y179" s="7" t="s">
        <v>1082</v>
      </c>
      <c r="Z179" s="7" t="s">
        <v>165</v>
      </c>
      <c r="AA179" s="7" t="s">
        <v>1083</v>
      </c>
      <c r="AB179" s="7" t="s">
        <v>43</v>
      </c>
      <c r="AC179" s="7"/>
      <c r="AD179" s="7"/>
      <c r="AE179" s="7"/>
      <c r="AF179" s="7"/>
      <c r="AG179" s="8">
        <f t="shared" si="2"/>
        <v>43315</v>
      </c>
    </row>
    <row r="180" spans="1:33">
      <c r="A180" s="7" t="s">
        <v>1084</v>
      </c>
      <c r="B180" s="7" t="s">
        <v>1084</v>
      </c>
      <c r="C180" s="7" t="s">
        <v>1085</v>
      </c>
      <c r="D180" s="7" t="s">
        <v>1086</v>
      </c>
      <c r="E180" s="7" t="s">
        <v>33</v>
      </c>
      <c r="F180" s="7" t="s">
        <v>34</v>
      </c>
      <c r="G180" s="7" t="s">
        <v>35</v>
      </c>
      <c r="H180" s="7"/>
      <c r="I180" s="7"/>
      <c r="J180" s="7" t="s">
        <v>36</v>
      </c>
      <c r="K180" s="7" t="s">
        <v>255</v>
      </c>
      <c r="L180" s="7" t="s">
        <v>277</v>
      </c>
      <c r="M180" s="7" t="s">
        <v>278</v>
      </c>
      <c r="N180" s="7" t="s">
        <v>33</v>
      </c>
      <c r="O180" s="7">
        <v>1</v>
      </c>
      <c r="P180" s="7" t="s">
        <v>40</v>
      </c>
      <c r="Q180" s="7">
        <v>19.99</v>
      </c>
      <c r="R180" s="7"/>
      <c r="S180" s="7"/>
      <c r="T180" s="7"/>
      <c r="U180" s="7"/>
      <c r="V180" s="7"/>
      <c r="W180" s="7"/>
      <c r="X180" s="7"/>
      <c r="Y180" s="7" t="s">
        <v>1087</v>
      </c>
      <c r="Z180" s="7" t="s">
        <v>59</v>
      </c>
      <c r="AA180" s="7" t="s">
        <v>1088</v>
      </c>
      <c r="AB180" s="7" t="s">
        <v>43</v>
      </c>
      <c r="AC180" s="7"/>
      <c r="AD180" s="7"/>
      <c r="AE180" s="7"/>
      <c r="AF180" s="7"/>
      <c r="AG180" s="8">
        <f t="shared" si="2"/>
        <v>43315</v>
      </c>
    </row>
    <row r="181" spans="1:33">
      <c r="A181" s="7" t="s">
        <v>1089</v>
      </c>
      <c r="B181" s="7" t="s">
        <v>1089</v>
      </c>
      <c r="C181" s="7" t="s">
        <v>1090</v>
      </c>
      <c r="D181" s="7" t="s">
        <v>1091</v>
      </c>
      <c r="E181" s="7" t="s">
        <v>33</v>
      </c>
      <c r="F181" s="7" t="s">
        <v>34</v>
      </c>
      <c r="G181" s="7" t="s">
        <v>35</v>
      </c>
      <c r="H181" s="7"/>
      <c r="I181" s="7"/>
      <c r="J181" s="7" t="s">
        <v>36</v>
      </c>
      <c r="K181" s="7" t="s">
        <v>37</v>
      </c>
      <c r="L181" s="7" t="s">
        <v>1092</v>
      </c>
      <c r="M181" s="7" t="s">
        <v>1093</v>
      </c>
      <c r="N181" s="7" t="s">
        <v>33</v>
      </c>
      <c r="O181" s="7">
        <v>1</v>
      </c>
      <c r="P181" s="7" t="s">
        <v>40</v>
      </c>
      <c r="Q181" s="7">
        <v>19.99</v>
      </c>
      <c r="R181" s="7"/>
      <c r="S181" s="7"/>
      <c r="T181" s="7"/>
      <c r="U181" s="7"/>
      <c r="V181" s="7"/>
      <c r="W181" s="7"/>
      <c r="X181" s="7"/>
      <c r="Y181" s="7" t="s">
        <v>1094</v>
      </c>
      <c r="Z181" s="7" t="s">
        <v>1095</v>
      </c>
      <c r="AA181" s="7">
        <v>94545</v>
      </c>
      <c r="AB181" s="7" t="s">
        <v>43</v>
      </c>
      <c r="AC181" s="7"/>
      <c r="AD181" s="7"/>
      <c r="AE181" s="7"/>
      <c r="AF181" s="7"/>
      <c r="AG181" s="8">
        <f t="shared" si="2"/>
        <v>43316</v>
      </c>
    </row>
    <row r="182" spans="1:33">
      <c r="A182" s="7" t="s">
        <v>1096</v>
      </c>
      <c r="B182" s="7" t="s">
        <v>1096</v>
      </c>
      <c r="C182" s="7" t="s">
        <v>1097</v>
      </c>
      <c r="D182" s="7" t="s">
        <v>1098</v>
      </c>
      <c r="E182" s="7" t="s">
        <v>33</v>
      </c>
      <c r="F182" s="7" t="s">
        <v>34</v>
      </c>
      <c r="G182" s="7" t="s">
        <v>35</v>
      </c>
      <c r="H182" s="7"/>
      <c r="I182" s="7"/>
      <c r="J182" s="7" t="s">
        <v>36</v>
      </c>
      <c r="K182" s="7" t="s">
        <v>125</v>
      </c>
      <c r="L182" s="7" t="s">
        <v>126</v>
      </c>
      <c r="M182" s="7" t="s">
        <v>127</v>
      </c>
      <c r="N182" s="7" t="s">
        <v>33</v>
      </c>
      <c r="O182" s="7">
        <v>1</v>
      </c>
      <c r="P182" s="7" t="s">
        <v>40</v>
      </c>
      <c r="Q182" s="7">
        <v>18.99</v>
      </c>
      <c r="R182" s="7"/>
      <c r="S182" s="7"/>
      <c r="T182" s="7"/>
      <c r="U182" s="7"/>
      <c r="V182" s="7"/>
      <c r="W182" s="7"/>
      <c r="X182" s="7"/>
      <c r="Y182" s="7" t="s">
        <v>1099</v>
      </c>
      <c r="Z182" s="7" t="s">
        <v>69</v>
      </c>
      <c r="AA182" s="7" t="s">
        <v>1100</v>
      </c>
      <c r="AB182" s="7" t="s">
        <v>43</v>
      </c>
      <c r="AC182" s="7"/>
      <c r="AD182" s="7"/>
      <c r="AE182" s="7"/>
      <c r="AF182" s="7"/>
      <c r="AG182" s="8">
        <f t="shared" si="2"/>
        <v>43316</v>
      </c>
    </row>
    <row r="183" spans="1:33">
      <c r="A183" s="7" t="s">
        <v>1101</v>
      </c>
      <c r="B183" s="7" t="s">
        <v>1101</v>
      </c>
      <c r="C183" s="7" t="s">
        <v>1102</v>
      </c>
      <c r="D183" s="7" t="s">
        <v>1103</v>
      </c>
      <c r="E183" s="7" t="s">
        <v>33</v>
      </c>
      <c r="F183" s="7" t="s">
        <v>34</v>
      </c>
      <c r="G183" s="7" t="s">
        <v>35</v>
      </c>
      <c r="H183" s="7"/>
      <c r="I183" s="7"/>
      <c r="J183" s="7" t="s">
        <v>292</v>
      </c>
      <c r="K183" s="7" t="s">
        <v>247</v>
      </c>
      <c r="L183" s="7" t="s">
        <v>248</v>
      </c>
      <c r="M183" s="7" t="s">
        <v>249</v>
      </c>
      <c r="N183" s="7" t="s">
        <v>33</v>
      </c>
      <c r="O183" s="7">
        <v>1</v>
      </c>
      <c r="P183" s="7" t="s">
        <v>40</v>
      </c>
      <c r="Q183" s="7">
        <v>18.99</v>
      </c>
      <c r="R183" s="7"/>
      <c r="S183" s="7">
        <v>1.5</v>
      </c>
      <c r="T183" s="7"/>
      <c r="U183" s="7"/>
      <c r="V183" s="7"/>
      <c r="W183" s="7"/>
      <c r="X183" s="7">
        <v>1.5</v>
      </c>
      <c r="Y183" s="7" t="s">
        <v>1104</v>
      </c>
      <c r="Z183" s="7" t="s">
        <v>94</v>
      </c>
      <c r="AA183" s="7">
        <v>8690</v>
      </c>
      <c r="AB183" s="7" t="s">
        <v>43</v>
      </c>
      <c r="AC183" s="7"/>
      <c r="AD183" s="7"/>
      <c r="AE183" s="7"/>
      <c r="AF183" s="7"/>
      <c r="AG183" s="8">
        <f t="shared" si="2"/>
        <v>43316</v>
      </c>
    </row>
    <row r="184" spans="1:33">
      <c r="A184" s="7" t="s">
        <v>1105</v>
      </c>
      <c r="B184" s="7" t="s">
        <v>1105</v>
      </c>
      <c r="C184" s="7" t="s">
        <v>1106</v>
      </c>
      <c r="D184" s="7" t="s">
        <v>1107</v>
      </c>
      <c r="E184" s="7" t="s">
        <v>33</v>
      </c>
      <c r="F184" s="7" t="s">
        <v>34</v>
      </c>
      <c r="G184" s="7" t="s">
        <v>35</v>
      </c>
      <c r="H184" s="7"/>
      <c r="I184" s="7"/>
      <c r="J184" s="7" t="s">
        <v>36</v>
      </c>
      <c r="K184" s="7" t="s">
        <v>407</v>
      </c>
      <c r="L184" s="7" t="s">
        <v>408</v>
      </c>
      <c r="M184" s="7" t="s">
        <v>409</v>
      </c>
      <c r="N184" s="7" t="s">
        <v>33</v>
      </c>
      <c r="O184" s="7">
        <v>1</v>
      </c>
      <c r="P184" s="7" t="s">
        <v>40</v>
      </c>
      <c r="Q184" s="7">
        <v>18.99</v>
      </c>
      <c r="R184" s="7"/>
      <c r="S184" s="7"/>
      <c r="T184" s="7"/>
      <c r="U184" s="7"/>
      <c r="V184" s="7"/>
      <c r="W184" s="7"/>
      <c r="X184" s="7"/>
      <c r="Y184" s="7" t="s">
        <v>1108</v>
      </c>
      <c r="Z184" s="7" t="s">
        <v>866</v>
      </c>
      <c r="AA184" s="7" t="s">
        <v>1109</v>
      </c>
      <c r="AB184" s="7" t="s">
        <v>43</v>
      </c>
      <c r="AC184" s="7"/>
      <c r="AD184" s="7"/>
      <c r="AE184" s="7"/>
      <c r="AF184" s="7"/>
      <c r="AG184" s="8">
        <f t="shared" si="2"/>
        <v>43316</v>
      </c>
    </row>
    <row r="185" spans="1:33">
      <c r="A185" s="7" t="s">
        <v>1110</v>
      </c>
      <c r="B185" s="7" t="s">
        <v>1110</v>
      </c>
      <c r="C185" s="7" t="s">
        <v>1111</v>
      </c>
      <c r="D185" s="7" t="s">
        <v>1112</v>
      </c>
      <c r="E185" s="7" t="s">
        <v>33</v>
      </c>
      <c r="F185" s="7" t="s">
        <v>34</v>
      </c>
      <c r="G185" s="7" t="s">
        <v>35</v>
      </c>
      <c r="H185" s="7"/>
      <c r="I185" s="7"/>
      <c r="J185" s="7" t="s">
        <v>36</v>
      </c>
      <c r="K185" s="7" t="s">
        <v>388</v>
      </c>
      <c r="L185" s="7" t="s">
        <v>1022</v>
      </c>
      <c r="M185" s="7" t="s">
        <v>1023</v>
      </c>
      <c r="N185" s="7" t="s">
        <v>33</v>
      </c>
      <c r="O185" s="7">
        <v>1</v>
      </c>
      <c r="P185" s="7" t="s">
        <v>40</v>
      </c>
      <c r="Q185" s="7">
        <v>19.38</v>
      </c>
      <c r="R185" s="7"/>
      <c r="S185" s="7"/>
      <c r="T185" s="7"/>
      <c r="U185" s="7"/>
      <c r="V185" s="7"/>
      <c r="W185" s="7"/>
      <c r="X185" s="7"/>
      <c r="Y185" s="7" t="s">
        <v>1113</v>
      </c>
      <c r="Z185" s="7" t="s">
        <v>1114</v>
      </c>
      <c r="AA185" s="7">
        <v>52537</v>
      </c>
      <c r="AB185" s="7" t="s">
        <v>43</v>
      </c>
      <c r="AC185" s="7"/>
      <c r="AD185" s="7"/>
      <c r="AE185" s="7"/>
      <c r="AF185" s="7"/>
      <c r="AG185" s="8">
        <f t="shared" si="2"/>
        <v>43316</v>
      </c>
    </row>
    <row r="186" spans="1:33">
      <c r="A186" s="7" t="s">
        <v>1115</v>
      </c>
      <c r="B186" s="7" t="s">
        <v>1115</v>
      </c>
      <c r="C186" s="7" t="s">
        <v>1116</v>
      </c>
      <c r="D186" s="7" t="s">
        <v>1117</v>
      </c>
      <c r="E186" s="7" t="s">
        <v>33</v>
      </c>
      <c r="F186" s="7" t="s">
        <v>34</v>
      </c>
      <c r="G186" s="7" t="s">
        <v>35</v>
      </c>
      <c r="H186" s="7"/>
      <c r="I186" s="7"/>
      <c r="J186" s="7" t="s">
        <v>336</v>
      </c>
      <c r="K186" s="7" t="s">
        <v>47</v>
      </c>
      <c r="L186" s="7" t="s">
        <v>1118</v>
      </c>
      <c r="M186" s="7" t="s">
        <v>1119</v>
      </c>
      <c r="N186" s="7" t="s">
        <v>33</v>
      </c>
      <c r="O186" s="7">
        <v>1</v>
      </c>
      <c r="P186" s="7" t="s">
        <v>40</v>
      </c>
      <c r="Q186" s="7">
        <v>16.99</v>
      </c>
      <c r="R186" s="7"/>
      <c r="S186" s="7">
        <v>5.99</v>
      </c>
      <c r="T186" s="7"/>
      <c r="U186" s="7"/>
      <c r="V186" s="7"/>
      <c r="W186" s="7"/>
      <c r="X186" s="7"/>
      <c r="Y186" s="7" t="s">
        <v>1120</v>
      </c>
      <c r="Z186" s="7" t="s">
        <v>85</v>
      </c>
      <c r="AA186" s="7" t="s">
        <v>1121</v>
      </c>
      <c r="AB186" s="7" t="s">
        <v>43</v>
      </c>
      <c r="AC186" s="7"/>
      <c r="AD186" s="7"/>
      <c r="AE186" s="7"/>
      <c r="AF186" s="7"/>
      <c r="AG186" s="8">
        <f t="shared" si="2"/>
        <v>43316</v>
      </c>
    </row>
    <row r="187" spans="1:33">
      <c r="A187" s="7" t="s">
        <v>1122</v>
      </c>
      <c r="B187" s="7" t="s">
        <v>1122</v>
      </c>
      <c r="C187" s="7" t="s">
        <v>1123</v>
      </c>
      <c r="D187" s="7" t="s">
        <v>1124</v>
      </c>
      <c r="E187" s="7" t="s">
        <v>33</v>
      </c>
      <c r="F187" s="7" t="s">
        <v>34</v>
      </c>
      <c r="G187" s="7" t="s">
        <v>35</v>
      </c>
      <c r="H187" s="7"/>
      <c r="I187" s="7"/>
      <c r="J187" s="7" t="s">
        <v>36</v>
      </c>
      <c r="K187" s="7" t="s">
        <v>247</v>
      </c>
      <c r="L187" s="7" t="s">
        <v>248</v>
      </c>
      <c r="M187" s="7" t="s">
        <v>249</v>
      </c>
      <c r="N187" s="7" t="s">
        <v>33</v>
      </c>
      <c r="O187" s="7">
        <v>1</v>
      </c>
      <c r="P187" s="7" t="s">
        <v>40</v>
      </c>
      <c r="Q187" s="7">
        <v>18.99</v>
      </c>
      <c r="R187" s="7"/>
      <c r="S187" s="7"/>
      <c r="T187" s="7"/>
      <c r="U187" s="7"/>
      <c r="V187" s="7"/>
      <c r="W187" s="7"/>
      <c r="X187" s="7"/>
      <c r="Y187" s="7" t="s">
        <v>1125</v>
      </c>
      <c r="Z187" s="7" t="s">
        <v>1126</v>
      </c>
      <c r="AA187" s="7" t="s">
        <v>1127</v>
      </c>
      <c r="AB187" s="7" t="s">
        <v>43</v>
      </c>
      <c r="AC187" s="7"/>
      <c r="AD187" s="7"/>
      <c r="AE187" s="7"/>
      <c r="AF187" s="7"/>
      <c r="AG187" s="8">
        <f t="shared" si="2"/>
        <v>43316</v>
      </c>
    </row>
    <row r="188" spans="1:33">
      <c r="A188" s="7" t="s">
        <v>1128</v>
      </c>
      <c r="B188" s="7" t="s">
        <v>1128</v>
      </c>
      <c r="C188" s="7" t="s">
        <v>1129</v>
      </c>
      <c r="D188" s="7" t="s">
        <v>1130</v>
      </c>
      <c r="E188" s="7" t="s">
        <v>33</v>
      </c>
      <c r="F188" s="7" t="s">
        <v>34</v>
      </c>
      <c r="G188" s="7" t="s">
        <v>35</v>
      </c>
      <c r="H188" s="7"/>
      <c r="I188" s="7"/>
      <c r="J188" s="7" t="s">
        <v>36</v>
      </c>
      <c r="K188" s="7" t="s">
        <v>1131</v>
      </c>
      <c r="L188" s="7" t="s">
        <v>1132</v>
      </c>
      <c r="M188" s="7" t="s">
        <v>1133</v>
      </c>
      <c r="N188" s="7" t="s">
        <v>33</v>
      </c>
      <c r="O188" s="7">
        <v>1</v>
      </c>
      <c r="P188" s="7" t="s">
        <v>40</v>
      </c>
      <c r="Q188" s="7">
        <v>16.99</v>
      </c>
      <c r="R188" s="7"/>
      <c r="S188" s="7"/>
      <c r="T188" s="7"/>
      <c r="U188" s="7"/>
      <c r="V188" s="7"/>
      <c r="W188" s="7"/>
      <c r="X188" s="7"/>
      <c r="Y188" s="7" t="s">
        <v>1134</v>
      </c>
      <c r="Z188" s="7" t="s">
        <v>59</v>
      </c>
      <c r="AA188" s="7" t="s">
        <v>1135</v>
      </c>
      <c r="AB188" s="7" t="s">
        <v>43</v>
      </c>
      <c r="AC188" s="7"/>
      <c r="AD188" s="7"/>
      <c r="AE188" s="7"/>
      <c r="AF188" s="7"/>
      <c r="AG188" s="8">
        <f t="shared" si="2"/>
        <v>43316</v>
      </c>
    </row>
    <row r="189" spans="1:33">
      <c r="A189" s="7" t="s">
        <v>1136</v>
      </c>
      <c r="B189" s="7" t="s">
        <v>1136</v>
      </c>
      <c r="C189" s="7" t="s">
        <v>1137</v>
      </c>
      <c r="D189" s="7" t="s">
        <v>1138</v>
      </c>
      <c r="E189" s="7" t="s">
        <v>33</v>
      </c>
      <c r="F189" s="7" t="s">
        <v>34</v>
      </c>
      <c r="G189" s="7" t="s">
        <v>35</v>
      </c>
      <c r="H189" s="7"/>
      <c r="I189" s="7"/>
      <c r="J189" s="7" t="s">
        <v>36</v>
      </c>
      <c r="K189" s="7" t="s">
        <v>1139</v>
      </c>
      <c r="L189" s="7" t="s">
        <v>1140</v>
      </c>
      <c r="M189" s="7" t="s">
        <v>1141</v>
      </c>
      <c r="N189" s="7" t="s">
        <v>33</v>
      </c>
      <c r="O189" s="7">
        <v>1</v>
      </c>
      <c r="P189" s="7" t="s">
        <v>40</v>
      </c>
      <c r="Q189" s="7">
        <v>20.99</v>
      </c>
      <c r="R189" s="7"/>
      <c r="S189" s="7"/>
      <c r="T189" s="7"/>
      <c r="U189" s="7"/>
      <c r="V189" s="7"/>
      <c r="W189" s="7"/>
      <c r="X189" s="7"/>
      <c r="Y189" s="7" t="s">
        <v>1142</v>
      </c>
      <c r="Z189" s="7" t="s">
        <v>135</v>
      </c>
      <c r="AA189" s="7" t="s">
        <v>1143</v>
      </c>
      <c r="AB189" s="7" t="s">
        <v>43</v>
      </c>
      <c r="AC189" s="7"/>
      <c r="AD189" s="7"/>
      <c r="AE189" s="7"/>
      <c r="AF189" s="7"/>
      <c r="AG189" s="8">
        <f t="shared" si="2"/>
        <v>43316</v>
      </c>
    </row>
    <row r="190" spans="1:33">
      <c r="A190" s="7" t="s">
        <v>1144</v>
      </c>
      <c r="B190" s="7" t="s">
        <v>1144</v>
      </c>
      <c r="C190" s="7" t="s">
        <v>1145</v>
      </c>
      <c r="D190" s="7" t="s">
        <v>1146</v>
      </c>
      <c r="E190" s="7" t="s">
        <v>33</v>
      </c>
      <c r="F190" s="7" t="s">
        <v>34</v>
      </c>
      <c r="G190" s="7" t="s">
        <v>35</v>
      </c>
      <c r="H190" s="7"/>
      <c r="I190" s="7"/>
      <c r="J190" s="7" t="s">
        <v>36</v>
      </c>
      <c r="K190" s="7" t="s">
        <v>170</v>
      </c>
      <c r="L190" s="7" t="s">
        <v>505</v>
      </c>
      <c r="M190" s="7" t="s">
        <v>506</v>
      </c>
      <c r="N190" s="7" t="s">
        <v>33</v>
      </c>
      <c r="O190" s="7">
        <v>1</v>
      </c>
      <c r="P190" s="7" t="s">
        <v>40</v>
      </c>
      <c r="Q190" s="7">
        <v>19.38</v>
      </c>
      <c r="R190" s="7"/>
      <c r="S190" s="7"/>
      <c r="T190" s="7"/>
      <c r="U190" s="7"/>
      <c r="V190" s="7"/>
      <c r="W190" s="7"/>
      <c r="X190" s="7"/>
      <c r="Y190" s="7" t="s">
        <v>561</v>
      </c>
      <c r="Z190" s="7" t="s">
        <v>447</v>
      </c>
      <c r="AA190" s="7" t="s">
        <v>1147</v>
      </c>
      <c r="AB190" s="7" t="s">
        <v>43</v>
      </c>
      <c r="AC190" s="7"/>
      <c r="AD190" s="7"/>
      <c r="AE190" s="7"/>
      <c r="AF190" s="7"/>
      <c r="AG190" s="8">
        <f t="shared" si="2"/>
        <v>43316</v>
      </c>
    </row>
    <row r="191" spans="1:33">
      <c r="A191" s="7" t="s">
        <v>1148</v>
      </c>
      <c r="B191" s="7" t="s">
        <v>1148</v>
      </c>
      <c r="C191" s="7" t="s">
        <v>1149</v>
      </c>
      <c r="D191" s="7" t="s">
        <v>1150</v>
      </c>
      <c r="E191" s="7" t="s">
        <v>33</v>
      </c>
      <c r="F191" s="7" t="s">
        <v>34</v>
      </c>
      <c r="G191" s="7" t="s">
        <v>35</v>
      </c>
      <c r="H191" s="7"/>
      <c r="I191" s="7"/>
      <c r="J191" s="7" t="s">
        <v>36</v>
      </c>
      <c r="K191" s="7" t="s">
        <v>255</v>
      </c>
      <c r="L191" s="7" t="s">
        <v>256</v>
      </c>
      <c r="M191" s="7" t="s">
        <v>257</v>
      </c>
      <c r="N191" s="7" t="s">
        <v>33</v>
      </c>
      <c r="O191" s="7">
        <v>1</v>
      </c>
      <c r="P191" s="7" t="s">
        <v>40</v>
      </c>
      <c r="Q191" s="7">
        <v>19.99</v>
      </c>
      <c r="R191" s="7"/>
      <c r="S191" s="7"/>
      <c r="T191" s="7"/>
      <c r="U191" s="7"/>
      <c r="V191" s="7"/>
      <c r="W191" s="7"/>
      <c r="X191" s="7"/>
      <c r="Y191" s="7" t="s">
        <v>1151</v>
      </c>
      <c r="Z191" s="7" t="s">
        <v>227</v>
      </c>
      <c r="AA191" s="7">
        <v>11229</v>
      </c>
      <c r="AB191" s="7" t="s">
        <v>43</v>
      </c>
      <c r="AC191" s="7"/>
      <c r="AD191" s="7"/>
      <c r="AE191" s="7"/>
      <c r="AF191" s="7"/>
      <c r="AG191" s="8">
        <f t="shared" si="2"/>
        <v>43316</v>
      </c>
    </row>
    <row r="192" spans="1:33">
      <c r="A192" s="7" t="s">
        <v>1152</v>
      </c>
      <c r="B192" s="7" t="s">
        <v>1152</v>
      </c>
      <c r="C192" s="7" t="s">
        <v>1153</v>
      </c>
      <c r="D192" s="7" t="s">
        <v>1154</v>
      </c>
      <c r="E192" s="7" t="s">
        <v>33</v>
      </c>
      <c r="F192" s="7" t="s">
        <v>34</v>
      </c>
      <c r="G192" s="7" t="s">
        <v>35</v>
      </c>
      <c r="H192" s="7"/>
      <c r="I192" s="7"/>
      <c r="J192" s="7" t="s">
        <v>36</v>
      </c>
      <c r="K192" s="7" t="s">
        <v>247</v>
      </c>
      <c r="L192" s="7" t="s">
        <v>248</v>
      </c>
      <c r="M192" s="7" t="s">
        <v>249</v>
      </c>
      <c r="N192" s="7" t="s">
        <v>33</v>
      </c>
      <c r="O192" s="7">
        <v>1</v>
      </c>
      <c r="P192" s="7" t="s">
        <v>40</v>
      </c>
      <c r="Q192" s="7">
        <v>18.99</v>
      </c>
      <c r="R192" s="7"/>
      <c r="S192" s="7"/>
      <c r="T192" s="7"/>
      <c r="U192" s="7"/>
      <c r="V192" s="7"/>
      <c r="W192" s="7"/>
      <c r="X192" s="7"/>
      <c r="Y192" s="7" t="s">
        <v>1155</v>
      </c>
      <c r="Z192" s="7" t="s">
        <v>1156</v>
      </c>
      <c r="AA192" s="7">
        <v>60607</v>
      </c>
      <c r="AB192" s="7" t="s">
        <v>43</v>
      </c>
      <c r="AC192" s="7"/>
      <c r="AD192" s="7"/>
      <c r="AE192" s="7"/>
      <c r="AF192" s="7"/>
      <c r="AG192" s="8">
        <f t="shared" si="2"/>
        <v>43316</v>
      </c>
    </row>
    <row r="193" spans="1:33">
      <c r="A193" s="7" t="s">
        <v>1157</v>
      </c>
      <c r="B193" s="7" t="s">
        <v>1157</v>
      </c>
      <c r="C193" s="7" t="s">
        <v>1158</v>
      </c>
      <c r="D193" s="7" t="s">
        <v>1159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36</v>
      </c>
      <c r="K193" s="7" t="s">
        <v>199</v>
      </c>
      <c r="L193" s="7" t="s">
        <v>200</v>
      </c>
      <c r="M193" s="7" t="s">
        <v>201</v>
      </c>
      <c r="N193" s="7" t="s">
        <v>33</v>
      </c>
      <c r="O193" s="7">
        <v>1</v>
      </c>
      <c r="P193" s="7" t="s">
        <v>40</v>
      </c>
      <c r="Q193" s="7">
        <v>18.99</v>
      </c>
      <c r="R193" s="7"/>
      <c r="S193" s="7"/>
      <c r="T193" s="7"/>
      <c r="U193" s="7"/>
      <c r="V193" s="7"/>
      <c r="W193" s="7"/>
      <c r="X193" s="7"/>
      <c r="Y193" s="7" t="s">
        <v>1160</v>
      </c>
      <c r="Z193" s="7" t="s">
        <v>227</v>
      </c>
      <c r="AA193" s="7" t="s">
        <v>1161</v>
      </c>
      <c r="AB193" s="7" t="s">
        <v>43</v>
      </c>
      <c r="AC193" s="7"/>
      <c r="AD193" s="7"/>
      <c r="AE193" s="7"/>
      <c r="AF193" s="7"/>
      <c r="AG193" s="8">
        <f t="shared" si="2"/>
        <v>43316</v>
      </c>
    </row>
    <row r="194" spans="1:33">
      <c r="A194" s="7" t="s">
        <v>1162</v>
      </c>
      <c r="B194" s="7" t="s">
        <v>1162</v>
      </c>
      <c r="C194" s="7" t="s">
        <v>1163</v>
      </c>
      <c r="D194" s="7" t="s">
        <v>1164</v>
      </c>
      <c r="E194" s="7" t="s">
        <v>33</v>
      </c>
      <c r="F194" s="7" t="s">
        <v>34</v>
      </c>
      <c r="G194" s="7" t="s">
        <v>35</v>
      </c>
      <c r="H194" s="7"/>
      <c r="I194" s="7"/>
      <c r="J194" s="7" t="s">
        <v>36</v>
      </c>
      <c r="K194" s="7" t="s">
        <v>131</v>
      </c>
      <c r="L194" s="7" t="s">
        <v>132</v>
      </c>
      <c r="M194" s="7" t="s">
        <v>133</v>
      </c>
      <c r="N194" s="7" t="s">
        <v>33</v>
      </c>
      <c r="O194" s="7">
        <v>1</v>
      </c>
      <c r="P194" s="7" t="s">
        <v>40</v>
      </c>
      <c r="Q194" s="7">
        <v>18.99</v>
      </c>
      <c r="R194" s="7"/>
      <c r="S194" s="7"/>
      <c r="T194" s="7"/>
      <c r="U194" s="7"/>
      <c r="V194" s="7"/>
      <c r="W194" s="7"/>
      <c r="X194" s="7"/>
      <c r="Y194" s="7" t="s">
        <v>1165</v>
      </c>
      <c r="Z194" s="7" t="s">
        <v>143</v>
      </c>
      <c r="AA194" s="7" t="s">
        <v>1166</v>
      </c>
      <c r="AB194" s="7" t="s">
        <v>43</v>
      </c>
      <c r="AC194" s="7"/>
      <c r="AD194" s="7"/>
      <c r="AE194" s="7"/>
      <c r="AF194" s="7"/>
      <c r="AG194" s="8">
        <f t="shared" ref="AG194:AG257" si="3">DATEVALUE(LEFT(C194,10))</f>
        <v>43316</v>
      </c>
    </row>
    <row r="195" spans="1:33">
      <c r="A195" s="7" t="s">
        <v>1162</v>
      </c>
      <c r="B195" s="7" t="s">
        <v>1162</v>
      </c>
      <c r="C195" s="7" t="s">
        <v>1163</v>
      </c>
      <c r="D195" s="7" t="s">
        <v>1164</v>
      </c>
      <c r="E195" s="7" t="s">
        <v>33</v>
      </c>
      <c r="F195" s="7" t="s">
        <v>34</v>
      </c>
      <c r="G195" s="7" t="s">
        <v>35</v>
      </c>
      <c r="H195" s="7"/>
      <c r="I195" s="7"/>
      <c r="J195" s="7" t="s">
        <v>36</v>
      </c>
      <c r="K195" s="7" t="s">
        <v>617</v>
      </c>
      <c r="L195" s="7" t="s">
        <v>618</v>
      </c>
      <c r="M195" s="7" t="s">
        <v>619</v>
      </c>
      <c r="N195" s="7" t="s">
        <v>33</v>
      </c>
      <c r="O195" s="7">
        <v>1</v>
      </c>
      <c r="P195" s="7" t="s">
        <v>40</v>
      </c>
      <c r="Q195" s="7">
        <v>18.99</v>
      </c>
      <c r="R195" s="7"/>
      <c r="S195" s="7"/>
      <c r="T195" s="7"/>
      <c r="U195" s="7"/>
      <c r="V195" s="7"/>
      <c r="W195" s="7"/>
      <c r="X195" s="7"/>
      <c r="Y195" s="7" t="s">
        <v>1165</v>
      </c>
      <c r="Z195" s="7" t="s">
        <v>143</v>
      </c>
      <c r="AA195" s="7" t="s">
        <v>1166</v>
      </c>
      <c r="AB195" s="7" t="s">
        <v>43</v>
      </c>
      <c r="AC195" s="7"/>
      <c r="AD195" s="7"/>
      <c r="AE195" s="7"/>
      <c r="AF195" s="7"/>
      <c r="AG195" s="8">
        <f t="shared" si="3"/>
        <v>43316</v>
      </c>
    </row>
    <row r="196" spans="1:33">
      <c r="A196" s="7" t="s">
        <v>1167</v>
      </c>
      <c r="B196" s="7" t="s">
        <v>1167</v>
      </c>
      <c r="C196" s="7" t="s">
        <v>1168</v>
      </c>
      <c r="D196" s="7" t="s">
        <v>1169</v>
      </c>
      <c r="E196" s="7" t="s">
        <v>33</v>
      </c>
      <c r="F196" s="7" t="s">
        <v>34</v>
      </c>
      <c r="G196" s="7" t="s">
        <v>35</v>
      </c>
      <c r="H196" s="7"/>
      <c r="I196" s="7"/>
      <c r="J196" s="7" t="s">
        <v>36</v>
      </c>
      <c r="K196" s="7" t="s">
        <v>255</v>
      </c>
      <c r="L196" s="7" t="s">
        <v>1170</v>
      </c>
      <c r="M196" s="7" t="s">
        <v>1171</v>
      </c>
      <c r="N196" s="7" t="s">
        <v>33</v>
      </c>
      <c r="O196" s="7">
        <v>1</v>
      </c>
      <c r="P196" s="7" t="s">
        <v>40</v>
      </c>
      <c r="Q196" s="7">
        <v>19.99</v>
      </c>
      <c r="R196" s="7"/>
      <c r="S196" s="7"/>
      <c r="T196" s="7"/>
      <c r="U196" s="7"/>
      <c r="V196" s="7"/>
      <c r="W196" s="7"/>
      <c r="X196" s="7"/>
      <c r="Y196" s="7" t="s">
        <v>1172</v>
      </c>
      <c r="Z196" s="7" t="s">
        <v>59</v>
      </c>
      <c r="AA196" s="7" t="s">
        <v>1173</v>
      </c>
      <c r="AB196" s="7" t="s">
        <v>43</v>
      </c>
      <c r="AC196" s="7"/>
      <c r="AD196" s="7"/>
      <c r="AE196" s="7"/>
      <c r="AF196" s="7"/>
      <c r="AG196" s="8">
        <f t="shared" si="3"/>
        <v>43316</v>
      </c>
    </row>
    <row r="197" spans="1:33">
      <c r="A197" s="7" t="s">
        <v>1174</v>
      </c>
      <c r="B197" s="7" t="s">
        <v>1174</v>
      </c>
      <c r="C197" s="7" t="s">
        <v>1175</v>
      </c>
      <c r="D197" s="7" t="s">
        <v>1176</v>
      </c>
      <c r="E197" s="7" t="s">
        <v>33</v>
      </c>
      <c r="F197" s="7" t="s">
        <v>34</v>
      </c>
      <c r="G197" s="7" t="s">
        <v>35</v>
      </c>
      <c r="H197" s="7"/>
      <c r="I197" s="7"/>
      <c r="J197" s="7" t="s">
        <v>36</v>
      </c>
      <c r="K197" s="7" t="s">
        <v>176</v>
      </c>
      <c r="L197" s="7" t="s">
        <v>177</v>
      </c>
      <c r="M197" s="7" t="s">
        <v>178</v>
      </c>
      <c r="N197" s="7" t="s">
        <v>33</v>
      </c>
      <c r="O197" s="7">
        <v>1</v>
      </c>
      <c r="P197" s="7" t="s">
        <v>40</v>
      </c>
      <c r="Q197" s="7">
        <v>19.99</v>
      </c>
      <c r="R197" s="7"/>
      <c r="S197" s="7"/>
      <c r="T197" s="7"/>
      <c r="U197" s="7"/>
      <c r="V197" s="7"/>
      <c r="W197" s="7"/>
      <c r="X197" s="7"/>
      <c r="Y197" s="7" t="s">
        <v>1177</v>
      </c>
      <c r="Z197" s="7" t="s">
        <v>59</v>
      </c>
      <c r="AA197" s="7" t="s">
        <v>1178</v>
      </c>
      <c r="AB197" s="7" t="s">
        <v>43</v>
      </c>
      <c r="AC197" s="7"/>
      <c r="AD197" s="7"/>
      <c r="AE197" s="7"/>
      <c r="AF197" s="7"/>
      <c r="AG197" s="8">
        <f t="shared" si="3"/>
        <v>43316</v>
      </c>
    </row>
    <row r="198" spans="1:33">
      <c r="A198" s="7" t="s">
        <v>1179</v>
      </c>
      <c r="B198" s="7" t="s">
        <v>1179</v>
      </c>
      <c r="C198" s="7" t="s">
        <v>1180</v>
      </c>
      <c r="D198" s="7" t="s">
        <v>1181</v>
      </c>
      <c r="E198" s="7" t="s">
        <v>33</v>
      </c>
      <c r="F198" s="7" t="s">
        <v>34</v>
      </c>
      <c r="G198" s="7" t="s">
        <v>35</v>
      </c>
      <c r="H198" s="7"/>
      <c r="I198" s="7"/>
      <c r="J198" s="7" t="s">
        <v>36</v>
      </c>
      <c r="K198" s="7" t="s">
        <v>47</v>
      </c>
      <c r="L198" s="7" t="s">
        <v>1182</v>
      </c>
      <c r="M198" s="7" t="s">
        <v>1183</v>
      </c>
      <c r="N198" s="7" t="s">
        <v>33</v>
      </c>
      <c r="O198" s="7">
        <v>1</v>
      </c>
      <c r="P198" s="7" t="s">
        <v>40</v>
      </c>
      <c r="Q198" s="7">
        <v>15.99</v>
      </c>
      <c r="R198" s="7"/>
      <c r="S198" s="7"/>
      <c r="T198" s="7"/>
      <c r="U198" s="7"/>
      <c r="V198" s="7"/>
      <c r="W198" s="7"/>
      <c r="X198" s="7"/>
      <c r="Y198" s="7" t="s">
        <v>1184</v>
      </c>
      <c r="Z198" s="7" t="s">
        <v>59</v>
      </c>
      <c r="AA198" s="7" t="s">
        <v>1185</v>
      </c>
      <c r="AB198" s="7" t="s">
        <v>43</v>
      </c>
      <c r="AC198" s="7"/>
      <c r="AD198" s="7"/>
      <c r="AE198" s="7"/>
      <c r="AF198" s="7"/>
      <c r="AG198" s="8">
        <f t="shared" si="3"/>
        <v>43316</v>
      </c>
    </row>
    <row r="199" spans="1:33">
      <c r="A199" s="7" t="s">
        <v>1186</v>
      </c>
      <c r="B199" s="7" t="s">
        <v>1186</v>
      </c>
      <c r="C199" s="7" t="s">
        <v>1187</v>
      </c>
      <c r="D199" s="7" t="s">
        <v>1188</v>
      </c>
      <c r="E199" s="7" t="s">
        <v>33</v>
      </c>
      <c r="F199" s="7" t="s">
        <v>34</v>
      </c>
      <c r="G199" s="7" t="s">
        <v>35</v>
      </c>
      <c r="H199" s="7"/>
      <c r="I199" s="7"/>
      <c r="J199" s="7" t="s">
        <v>36</v>
      </c>
      <c r="K199" s="7" t="s">
        <v>617</v>
      </c>
      <c r="L199" s="7" t="s">
        <v>618</v>
      </c>
      <c r="M199" s="7" t="s">
        <v>619</v>
      </c>
      <c r="N199" s="7" t="s">
        <v>33</v>
      </c>
      <c r="O199" s="7">
        <v>1</v>
      </c>
      <c r="P199" s="7" t="s">
        <v>40</v>
      </c>
      <c r="Q199" s="7">
        <v>18.99</v>
      </c>
      <c r="R199" s="7"/>
      <c r="S199" s="7"/>
      <c r="T199" s="7"/>
      <c r="U199" s="7"/>
      <c r="V199" s="7"/>
      <c r="W199" s="7"/>
      <c r="X199" s="7"/>
      <c r="Y199" s="7" t="s">
        <v>1189</v>
      </c>
      <c r="Z199" s="7" t="s">
        <v>85</v>
      </c>
      <c r="AA199" s="7" t="s">
        <v>1190</v>
      </c>
      <c r="AB199" s="7" t="s">
        <v>43</v>
      </c>
      <c r="AC199" s="7"/>
      <c r="AD199" s="7"/>
      <c r="AE199" s="7"/>
      <c r="AF199" s="7"/>
      <c r="AG199" s="8">
        <f t="shared" si="3"/>
        <v>43316</v>
      </c>
    </row>
    <row r="200" spans="1:33">
      <c r="A200" s="7" t="s">
        <v>1191</v>
      </c>
      <c r="B200" s="7" t="s">
        <v>1191</v>
      </c>
      <c r="C200" s="7" t="s">
        <v>1192</v>
      </c>
      <c r="D200" s="7" t="s">
        <v>1193</v>
      </c>
      <c r="E200" s="7" t="s">
        <v>33</v>
      </c>
      <c r="F200" s="7" t="s">
        <v>34</v>
      </c>
      <c r="G200" s="7" t="s">
        <v>35</v>
      </c>
      <c r="H200" s="7"/>
      <c r="I200" s="7"/>
      <c r="J200" s="7" t="s">
        <v>36</v>
      </c>
      <c r="K200" s="7" t="s">
        <v>232</v>
      </c>
      <c r="L200" s="7" t="s">
        <v>233</v>
      </c>
      <c r="M200" s="7" t="s">
        <v>234</v>
      </c>
      <c r="N200" s="7" t="s">
        <v>33</v>
      </c>
      <c r="O200" s="7">
        <v>1</v>
      </c>
      <c r="P200" s="7" t="s">
        <v>40</v>
      </c>
      <c r="Q200" s="7">
        <v>21.99</v>
      </c>
      <c r="R200" s="7"/>
      <c r="S200" s="7"/>
      <c r="T200" s="7"/>
      <c r="U200" s="7"/>
      <c r="V200" s="7"/>
      <c r="W200" s="7"/>
      <c r="X200" s="7"/>
      <c r="Y200" s="7" t="s">
        <v>801</v>
      </c>
      <c r="Z200" s="7" t="s">
        <v>1194</v>
      </c>
      <c r="AA200" s="7">
        <v>33134</v>
      </c>
      <c r="AB200" s="7" t="s">
        <v>43</v>
      </c>
      <c r="AC200" s="7"/>
      <c r="AD200" s="7"/>
      <c r="AE200" s="7"/>
      <c r="AF200" s="7"/>
      <c r="AG200" s="8">
        <f t="shared" si="3"/>
        <v>43316</v>
      </c>
    </row>
    <row r="201" spans="1:33">
      <c r="A201" s="7" t="s">
        <v>1195</v>
      </c>
      <c r="B201" s="7" t="s">
        <v>1195</v>
      </c>
      <c r="C201" s="7" t="s">
        <v>1196</v>
      </c>
      <c r="D201" s="7" t="s">
        <v>1197</v>
      </c>
      <c r="E201" s="7" t="s">
        <v>33</v>
      </c>
      <c r="F201" s="7" t="s">
        <v>34</v>
      </c>
      <c r="G201" s="7" t="s">
        <v>35</v>
      </c>
      <c r="H201" s="7"/>
      <c r="I201" s="7"/>
      <c r="J201" s="7" t="s">
        <v>36</v>
      </c>
      <c r="K201" s="7" t="s">
        <v>1198</v>
      </c>
      <c r="L201" s="7" t="s">
        <v>1199</v>
      </c>
      <c r="M201" s="7" t="s">
        <v>1200</v>
      </c>
      <c r="N201" s="7" t="s">
        <v>33</v>
      </c>
      <c r="O201" s="7">
        <v>1</v>
      </c>
      <c r="P201" s="7" t="s">
        <v>40</v>
      </c>
      <c r="Q201" s="7">
        <v>18.99</v>
      </c>
      <c r="R201" s="7"/>
      <c r="S201" s="7"/>
      <c r="T201" s="7"/>
      <c r="U201" s="7"/>
      <c r="V201" s="7"/>
      <c r="W201" s="7"/>
      <c r="X201" s="7"/>
      <c r="Y201" s="7" t="s">
        <v>1201</v>
      </c>
      <c r="Z201" s="7" t="s">
        <v>69</v>
      </c>
      <c r="AA201" s="7" t="s">
        <v>1202</v>
      </c>
      <c r="AB201" s="7" t="s">
        <v>43</v>
      </c>
      <c r="AC201" s="7"/>
      <c r="AD201" s="7"/>
      <c r="AE201" s="7"/>
      <c r="AF201" s="7"/>
      <c r="AG201" s="8">
        <f t="shared" si="3"/>
        <v>43316</v>
      </c>
    </row>
    <row r="202" spans="1:33">
      <c r="A202" s="7" t="s">
        <v>1203</v>
      </c>
      <c r="B202" s="7" t="s">
        <v>1203</v>
      </c>
      <c r="C202" s="7" t="s">
        <v>1204</v>
      </c>
      <c r="D202" s="7" t="s">
        <v>1205</v>
      </c>
      <c r="E202" s="7" t="s">
        <v>33</v>
      </c>
      <c r="F202" s="7" t="s">
        <v>34</v>
      </c>
      <c r="G202" s="7" t="s">
        <v>35</v>
      </c>
      <c r="H202" s="7"/>
      <c r="I202" s="7"/>
      <c r="J202" s="7" t="s">
        <v>36</v>
      </c>
      <c r="K202" s="7" t="s">
        <v>47</v>
      </c>
      <c r="L202" s="7" t="s">
        <v>1206</v>
      </c>
      <c r="M202" s="7" t="s">
        <v>1207</v>
      </c>
      <c r="N202" s="7" t="s">
        <v>33</v>
      </c>
      <c r="O202" s="7">
        <v>1</v>
      </c>
      <c r="P202" s="7" t="s">
        <v>40</v>
      </c>
      <c r="Q202" s="7">
        <v>16.99</v>
      </c>
      <c r="R202" s="7"/>
      <c r="S202" s="7"/>
      <c r="T202" s="7"/>
      <c r="U202" s="7"/>
      <c r="V202" s="7"/>
      <c r="W202" s="7"/>
      <c r="X202" s="7"/>
      <c r="Y202" s="7" t="s">
        <v>1208</v>
      </c>
      <c r="Z202" s="7" t="s">
        <v>1209</v>
      </c>
      <c r="AA202" s="7" t="s">
        <v>1210</v>
      </c>
      <c r="AB202" s="7" t="s">
        <v>43</v>
      </c>
      <c r="AC202" s="7"/>
      <c r="AD202" s="7"/>
      <c r="AE202" s="7"/>
      <c r="AF202" s="7"/>
      <c r="AG202" s="8">
        <f t="shared" si="3"/>
        <v>43316</v>
      </c>
    </row>
    <row r="203" spans="1:33">
      <c r="A203" s="7" t="s">
        <v>1211</v>
      </c>
      <c r="B203" s="7" t="s">
        <v>1211</v>
      </c>
      <c r="C203" s="7" t="s">
        <v>1212</v>
      </c>
      <c r="D203" s="7" t="s">
        <v>1213</v>
      </c>
      <c r="E203" s="7" t="s">
        <v>33</v>
      </c>
      <c r="F203" s="7" t="s">
        <v>34</v>
      </c>
      <c r="G203" s="7" t="s">
        <v>35</v>
      </c>
      <c r="H203" s="7"/>
      <c r="I203" s="7"/>
      <c r="J203" s="7" t="s">
        <v>36</v>
      </c>
      <c r="K203" s="7" t="s">
        <v>37</v>
      </c>
      <c r="L203" s="7" t="s">
        <v>523</v>
      </c>
      <c r="M203" s="7" t="s">
        <v>524</v>
      </c>
      <c r="N203" s="7" t="s">
        <v>33</v>
      </c>
      <c r="O203" s="7">
        <v>1</v>
      </c>
      <c r="P203" s="7" t="s">
        <v>40</v>
      </c>
      <c r="Q203" s="7">
        <v>19.99</v>
      </c>
      <c r="R203" s="7">
        <v>1.62</v>
      </c>
      <c r="S203" s="7"/>
      <c r="T203" s="7"/>
      <c r="U203" s="7"/>
      <c r="V203" s="7"/>
      <c r="W203" s="7"/>
      <c r="X203" s="7"/>
      <c r="Y203" s="7" t="s">
        <v>1214</v>
      </c>
      <c r="Z203" s="7" t="s">
        <v>882</v>
      </c>
      <c r="AA203" s="7" t="s">
        <v>1215</v>
      </c>
      <c r="AB203" s="7" t="s">
        <v>43</v>
      </c>
      <c r="AC203" s="7"/>
      <c r="AD203" s="7"/>
      <c r="AE203" s="7"/>
      <c r="AF203" s="7"/>
      <c r="AG203" s="8">
        <f t="shared" si="3"/>
        <v>43316</v>
      </c>
    </row>
    <row r="204" spans="1:33">
      <c r="A204" s="7" t="s">
        <v>1216</v>
      </c>
      <c r="B204" s="7" t="s">
        <v>1216</v>
      </c>
      <c r="C204" s="7" t="s">
        <v>1217</v>
      </c>
      <c r="D204" s="7" t="s">
        <v>1218</v>
      </c>
      <c r="E204" s="7" t="s">
        <v>33</v>
      </c>
      <c r="F204" s="7" t="s">
        <v>34</v>
      </c>
      <c r="G204" s="7" t="s">
        <v>35</v>
      </c>
      <c r="H204" s="7"/>
      <c r="I204" s="7"/>
      <c r="J204" s="7" t="s">
        <v>36</v>
      </c>
      <c r="K204" s="7" t="s">
        <v>247</v>
      </c>
      <c r="L204" s="7" t="s">
        <v>248</v>
      </c>
      <c r="M204" s="7" t="s">
        <v>249</v>
      </c>
      <c r="N204" s="7" t="s">
        <v>33</v>
      </c>
      <c r="O204" s="7">
        <v>1</v>
      </c>
      <c r="P204" s="7" t="s">
        <v>40</v>
      </c>
      <c r="Q204" s="7">
        <v>18.99</v>
      </c>
      <c r="R204" s="7"/>
      <c r="S204" s="7"/>
      <c r="T204" s="7"/>
      <c r="U204" s="7"/>
      <c r="V204" s="7"/>
      <c r="W204" s="7"/>
      <c r="X204" s="7"/>
      <c r="Y204" s="7" t="s">
        <v>1219</v>
      </c>
      <c r="Z204" s="7" t="s">
        <v>59</v>
      </c>
      <c r="AA204" s="7">
        <v>91784</v>
      </c>
      <c r="AB204" s="7" t="s">
        <v>43</v>
      </c>
      <c r="AC204" s="7"/>
      <c r="AD204" s="7"/>
      <c r="AE204" s="7"/>
      <c r="AF204" s="7"/>
      <c r="AG204" s="8">
        <f t="shared" si="3"/>
        <v>43316</v>
      </c>
    </row>
    <row r="205" spans="1:33">
      <c r="A205" s="7" t="s">
        <v>1220</v>
      </c>
      <c r="B205" s="7" t="s">
        <v>1220</v>
      </c>
      <c r="C205" s="7" t="s">
        <v>1221</v>
      </c>
      <c r="D205" s="7" t="s">
        <v>1222</v>
      </c>
      <c r="E205" s="7" t="s">
        <v>33</v>
      </c>
      <c r="F205" s="7" t="s">
        <v>34</v>
      </c>
      <c r="G205" s="7" t="s">
        <v>35</v>
      </c>
      <c r="H205" s="7"/>
      <c r="I205" s="7"/>
      <c r="J205" s="7" t="s">
        <v>36</v>
      </c>
      <c r="K205" s="7" t="s">
        <v>1223</v>
      </c>
      <c r="L205" s="7" t="s">
        <v>1224</v>
      </c>
      <c r="M205" s="7" t="s">
        <v>1225</v>
      </c>
      <c r="N205" s="7" t="s">
        <v>33</v>
      </c>
      <c r="O205" s="7">
        <v>1</v>
      </c>
      <c r="P205" s="7" t="s">
        <v>40</v>
      </c>
      <c r="Q205" s="7">
        <v>19.38</v>
      </c>
      <c r="R205" s="7"/>
      <c r="S205" s="7"/>
      <c r="T205" s="7"/>
      <c r="U205" s="7"/>
      <c r="V205" s="7"/>
      <c r="W205" s="7"/>
      <c r="X205" s="7"/>
      <c r="Y205" s="7" t="s">
        <v>1226</v>
      </c>
      <c r="Z205" s="7" t="s">
        <v>345</v>
      </c>
      <c r="AA205" s="7" t="s">
        <v>1227</v>
      </c>
      <c r="AB205" s="7" t="s">
        <v>43</v>
      </c>
      <c r="AC205" s="7"/>
      <c r="AD205" s="7"/>
      <c r="AE205" s="7"/>
      <c r="AF205" s="7"/>
      <c r="AG205" s="8">
        <f t="shared" si="3"/>
        <v>43316</v>
      </c>
    </row>
    <row r="206" spans="1:33">
      <c r="A206" s="7" t="s">
        <v>1228</v>
      </c>
      <c r="B206" s="7" t="s">
        <v>1228</v>
      </c>
      <c r="C206" s="7" t="s">
        <v>1229</v>
      </c>
      <c r="D206" s="7" t="s">
        <v>1230</v>
      </c>
      <c r="E206" s="7" t="s">
        <v>33</v>
      </c>
      <c r="F206" s="7" t="s">
        <v>34</v>
      </c>
      <c r="G206" s="7" t="s">
        <v>35</v>
      </c>
      <c r="H206" s="7"/>
      <c r="I206" s="7"/>
      <c r="J206" s="7" t="s">
        <v>36</v>
      </c>
      <c r="K206" s="7" t="s">
        <v>232</v>
      </c>
      <c r="L206" s="7" t="s">
        <v>233</v>
      </c>
      <c r="M206" s="7" t="s">
        <v>234</v>
      </c>
      <c r="N206" s="7" t="s">
        <v>33</v>
      </c>
      <c r="O206" s="7">
        <v>1</v>
      </c>
      <c r="P206" s="7" t="s">
        <v>40</v>
      </c>
      <c r="Q206" s="7">
        <v>21.99</v>
      </c>
      <c r="R206" s="7"/>
      <c r="S206" s="7"/>
      <c r="T206" s="7"/>
      <c r="U206" s="7"/>
      <c r="V206" s="7"/>
      <c r="W206" s="7"/>
      <c r="X206" s="7"/>
      <c r="Y206" s="7" t="s">
        <v>1231</v>
      </c>
      <c r="Z206" s="7" t="s">
        <v>135</v>
      </c>
      <c r="AA206" s="7" t="s">
        <v>1232</v>
      </c>
      <c r="AB206" s="7" t="s">
        <v>43</v>
      </c>
      <c r="AC206" s="7"/>
      <c r="AD206" s="7"/>
      <c r="AE206" s="7"/>
      <c r="AF206" s="7"/>
      <c r="AG206" s="8">
        <f t="shared" si="3"/>
        <v>43316</v>
      </c>
    </row>
    <row r="207" spans="1:33">
      <c r="A207" s="7" t="s">
        <v>1233</v>
      </c>
      <c r="B207" s="7" t="s">
        <v>1233</v>
      </c>
      <c r="C207" s="7" t="s">
        <v>1234</v>
      </c>
      <c r="D207" s="7" t="s">
        <v>1235</v>
      </c>
      <c r="E207" s="7" t="s">
        <v>33</v>
      </c>
      <c r="F207" s="7" t="s">
        <v>34</v>
      </c>
      <c r="G207" s="7" t="s">
        <v>35</v>
      </c>
      <c r="H207" s="7"/>
      <c r="I207" s="7"/>
      <c r="J207" s="7" t="s">
        <v>36</v>
      </c>
      <c r="K207" s="7" t="s">
        <v>255</v>
      </c>
      <c r="L207" s="7" t="s">
        <v>1236</v>
      </c>
      <c r="M207" s="7" t="s">
        <v>1237</v>
      </c>
      <c r="N207" s="7" t="s">
        <v>33</v>
      </c>
      <c r="O207" s="7">
        <v>1</v>
      </c>
      <c r="P207" s="7" t="s">
        <v>40</v>
      </c>
      <c r="Q207" s="7">
        <v>19.99</v>
      </c>
      <c r="R207" s="7"/>
      <c r="S207" s="7"/>
      <c r="T207" s="7"/>
      <c r="U207" s="7"/>
      <c r="V207" s="7"/>
      <c r="W207" s="7"/>
      <c r="X207" s="7"/>
      <c r="Y207" s="7" t="s">
        <v>1238</v>
      </c>
      <c r="Z207" s="7" t="s">
        <v>570</v>
      </c>
      <c r="AA207" s="7" t="s">
        <v>1239</v>
      </c>
      <c r="AB207" s="7" t="s">
        <v>43</v>
      </c>
      <c r="AC207" s="7"/>
      <c r="AD207" s="7"/>
      <c r="AE207" s="7"/>
      <c r="AF207" s="7"/>
      <c r="AG207" s="8">
        <f t="shared" si="3"/>
        <v>43316</v>
      </c>
    </row>
    <row r="208" spans="1:33">
      <c r="A208" s="7" t="s">
        <v>1240</v>
      </c>
      <c r="B208" s="7" t="s">
        <v>1240</v>
      </c>
      <c r="C208" s="7" t="s">
        <v>1241</v>
      </c>
      <c r="D208" s="7" t="s">
        <v>1242</v>
      </c>
      <c r="E208" s="7" t="s">
        <v>33</v>
      </c>
      <c r="F208" s="7" t="s">
        <v>34</v>
      </c>
      <c r="G208" s="7" t="s">
        <v>35</v>
      </c>
      <c r="H208" s="7"/>
      <c r="I208" s="7"/>
      <c r="J208" s="7" t="s">
        <v>36</v>
      </c>
      <c r="K208" s="7" t="s">
        <v>255</v>
      </c>
      <c r="L208" s="7" t="s">
        <v>277</v>
      </c>
      <c r="M208" s="7" t="s">
        <v>278</v>
      </c>
      <c r="N208" s="7" t="s">
        <v>33</v>
      </c>
      <c r="O208" s="7">
        <v>1</v>
      </c>
      <c r="P208" s="7" t="s">
        <v>40</v>
      </c>
      <c r="Q208" s="7">
        <v>19.99</v>
      </c>
      <c r="R208" s="7"/>
      <c r="S208" s="7"/>
      <c r="T208" s="7"/>
      <c r="U208" s="7"/>
      <c r="V208" s="7"/>
      <c r="W208" s="7"/>
      <c r="X208" s="7"/>
      <c r="Y208" s="7" t="s">
        <v>1243</v>
      </c>
      <c r="Z208" s="7" t="s">
        <v>227</v>
      </c>
      <c r="AA208" s="7" t="s">
        <v>1244</v>
      </c>
      <c r="AB208" s="7" t="s">
        <v>43</v>
      </c>
      <c r="AC208" s="7"/>
      <c r="AD208" s="7"/>
      <c r="AE208" s="7"/>
      <c r="AF208" s="7"/>
      <c r="AG208" s="8">
        <f t="shared" si="3"/>
        <v>43316</v>
      </c>
    </row>
    <row r="209" spans="1:33">
      <c r="A209" s="7" t="s">
        <v>1245</v>
      </c>
      <c r="B209" s="7" t="s">
        <v>1245</v>
      </c>
      <c r="C209" s="7" t="s">
        <v>1246</v>
      </c>
      <c r="D209" s="7" t="s">
        <v>1247</v>
      </c>
      <c r="E209" s="7" t="s">
        <v>33</v>
      </c>
      <c r="F209" s="7" t="s">
        <v>34</v>
      </c>
      <c r="G209" s="7" t="s">
        <v>35</v>
      </c>
      <c r="H209" s="7"/>
      <c r="I209" s="7"/>
      <c r="J209" s="7" t="s">
        <v>36</v>
      </c>
      <c r="K209" s="7" t="s">
        <v>456</v>
      </c>
      <c r="L209" s="7" t="s">
        <v>1248</v>
      </c>
      <c r="M209" s="7" t="s">
        <v>1249</v>
      </c>
      <c r="N209" s="7" t="s">
        <v>33</v>
      </c>
      <c r="O209" s="7">
        <v>1</v>
      </c>
      <c r="P209" s="7" t="s">
        <v>40</v>
      </c>
      <c r="Q209" s="7">
        <v>19.99</v>
      </c>
      <c r="R209" s="7"/>
      <c r="S209" s="7"/>
      <c r="T209" s="7"/>
      <c r="U209" s="7"/>
      <c r="V209" s="7"/>
      <c r="W209" s="7"/>
      <c r="X209" s="7"/>
      <c r="Y209" s="7" t="s">
        <v>429</v>
      </c>
      <c r="Z209" s="7" t="s">
        <v>59</v>
      </c>
      <c r="AA209" s="7" t="s">
        <v>1250</v>
      </c>
      <c r="AB209" s="7" t="s">
        <v>43</v>
      </c>
      <c r="AC209" s="7"/>
      <c r="AD209" s="7"/>
      <c r="AE209" s="7"/>
      <c r="AF209" s="7"/>
      <c r="AG209" s="8">
        <f t="shared" si="3"/>
        <v>43316</v>
      </c>
    </row>
    <row r="210" spans="1:33">
      <c r="A210" s="7" t="s">
        <v>1251</v>
      </c>
      <c r="B210" s="7" t="s">
        <v>1251</v>
      </c>
      <c r="C210" s="7" t="s">
        <v>1252</v>
      </c>
      <c r="D210" s="7" t="s">
        <v>1253</v>
      </c>
      <c r="E210" s="7" t="s">
        <v>33</v>
      </c>
      <c r="F210" s="7" t="s">
        <v>34</v>
      </c>
      <c r="G210" s="7" t="s">
        <v>35</v>
      </c>
      <c r="H210" s="7"/>
      <c r="I210" s="7"/>
      <c r="J210" s="7" t="s">
        <v>36</v>
      </c>
      <c r="K210" s="7" t="s">
        <v>456</v>
      </c>
      <c r="L210" s="7" t="s">
        <v>457</v>
      </c>
      <c r="M210" s="7" t="s">
        <v>458</v>
      </c>
      <c r="N210" s="7" t="s">
        <v>33</v>
      </c>
      <c r="O210" s="7">
        <v>1</v>
      </c>
      <c r="P210" s="7" t="s">
        <v>40</v>
      </c>
      <c r="Q210" s="7">
        <v>17.99</v>
      </c>
      <c r="R210" s="7"/>
      <c r="S210" s="7"/>
      <c r="T210" s="7"/>
      <c r="U210" s="7"/>
      <c r="V210" s="7"/>
      <c r="W210" s="7"/>
      <c r="X210" s="7"/>
      <c r="Y210" s="7" t="s">
        <v>1254</v>
      </c>
      <c r="Z210" s="7" t="s">
        <v>174</v>
      </c>
      <c r="AA210" s="7" t="s">
        <v>1255</v>
      </c>
      <c r="AB210" s="7" t="s">
        <v>43</v>
      </c>
      <c r="AC210" s="7"/>
      <c r="AD210" s="7"/>
      <c r="AE210" s="7"/>
      <c r="AF210" s="7"/>
      <c r="AG210" s="8">
        <f t="shared" si="3"/>
        <v>43316</v>
      </c>
    </row>
    <row r="211" spans="1:33">
      <c r="A211" s="7" t="s">
        <v>1256</v>
      </c>
      <c r="B211" s="7" t="s">
        <v>1256</v>
      </c>
      <c r="C211" s="7" t="s">
        <v>1257</v>
      </c>
      <c r="D211" s="7" t="s">
        <v>1258</v>
      </c>
      <c r="E211" s="7" t="s">
        <v>33</v>
      </c>
      <c r="F211" s="7" t="s">
        <v>34</v>
      </c>
      <c r="G211" s="7" t="s">
        <v>35</v>
      </c>
      <c r="H211" s="7"/>
      <c r="I211" s="7"/>
      <c r="J211" s="7" t="s">
        <v>36</v>
      </c>
      <c r="K211" s="7" t="s">
        <v>255</v>
      </c>
      <c r="L211" s="7" t="s">
        <v>277</v>
      </c>
      <c r="M211" s="7" t="s">
        <v>278</v>
      </c>
      <c r="N211" s="7" t="s">
        <v>33</v>
      </c>
      <c r="O211" s="7">
        <v>1</v>
      </c>
      <c r="P211" s="7" t="s">
        <v>40</v>
      </c>
      <c r="Q211" s="7">
        <v>19.99</v>
      </c>
      <c r="R211" s="7"/>
      <c r="S211" s="7"/>
      <c r="T211" s="7"/>
      <c r="U211" s="7"/>
      <c r="V211" s="7"/>
      <c r="W211" s="7"/>
      <c r="X211" s="7"/>
      <c r="Y211" s="7" t="s">
        <v>1259</v>
      </c>
      <c r="Z211" s="7" t="s">
        <v>59</v>
      </c>
      <c r="AA211" s="7" t="s">
        <v>1260</v>
      </c>
      <c r="AB211" s="7" t="s">
        <v>43</v>
      </c>
      <c r="AC211" s="7"/>
      <c r="AD211" s="7"/>
      <c r="AE211" s="7"/>
      <c r="AF211" s="7"/>
      <c r="AG211" s="8">
        <f t="shared" si="3"/>
        <v>43316</v>
      </c>
    </row>
    <row r="212" spans="1:33">
      <c r="A212" s="7" t="s">
        <v>1261</v>
      </c>
      <c r="B212" s="7" t="s">
        <v>1261</v>
      </c>
      <c r="C212" s="7" t="s">
        <v>1262</v>
      </c>
      <c r="D212" s="7" t="s">
        <v>1263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36</v>
      </c>
      <c r="K212" s="7" t="s">
        <v>247</v>
      </c>
      <c r="L212" s="7" t="s">
        <v>248</v>
      </c>
      <c r="M212" s="7" t="s">
        <v>249</v>
      </c>
      <c r="N212" s="7" t="s">
        <v>33</v>
      </c>
      <c r="O212" s="7">
        <v>1</v>
      </c>
      <c r="P212" s="7" t="s">
        <v>40</v>
      </c>
      <c r="Q212" s="7">
        <v>18.99</v>
      </c>
      <c r="R212" s="7"/>
      <c r="S212" s="7"/>
      <c r="T212" s="7"/>
      <c r="U212" s="7"/>
      <c r="V212" s="7"/>
      <c r="W212" s="7"/>
      <c r="X212" s="7"/>
      <c r="Y212" s="7" t="s">
        <v>1264</v>
      </c>
      <c r="Z212" s="7" t="s">
        <v>165</v>
      </c>
      <c r="AA212" s="7" t="s">
        <v>1265</v>
      </c>
      <c r="AB212" s="7" t="s">
        <v>43</v>
      </c>
      <c r="AC212" s="7"/>
      <c r="AD212" s="7"/>
      <c r="AE212" s="7"/>
      <c r="AF212" s="7"/>
      <c r="AG212" s="8">
        <f t="shared" si="3"/>
        <v>43317</v>
      </c>
    </row>
    <row r="213" spans="1:33">
      <c r="A213" s="7" t="s">
        <v>1266</v>
      </c>
      <c r="B213" s="7" t="s">
        <v>1266</v>
      </c>
      <c r="C213" s="7" t="s">
        <v>1267</v>
      </c>
      <c r="D213" s="7" t="s">
        <v>1268</v>
      </c>
      <c r="E213" s="7" t="s">
        <v>33</v>
      </c>
      <c r="F213" s="7" t="s">
        <v>34</v>
      </c>
      <c r="G213" s="7" t="s">
        <v>35</v>
      </c>
      <c r="H213" s="7"/>
      <c r="I213" s="7"/>
      <c r="J213" s="7" t="s">
        <v>36</v>
      </c>
      <c r="K213" s="7" t="s">
        <v>47</v>
      </c>
      <c r="L213" s="7" t="s">
        <v>1269</v>
      </c>
      <c r="M213" s="7" t="s">
        <v>1270</v>
      </c>
      <c r="N213" s="7" t="s">
        <v>33</v>
      </c>
      <c r="O213" s="7">
        <v>1</v>
      </c>
      <c r="P213" s="7" t="s">
        <v>40</v>
      </c>
      <c r="Q213" s="7">
        <v>15.99</v>
      </c>
      <c r="R213" s="7"/>
      <c r="S213" s="7"/>
      <c r="T213" s="7"/>
      <c r="U213" s="7"/>
      <c r="V213" s="7"/>
      <c r="W213" s="7"/>
      <c r="X213" s="7"/>
      <c r="Y213" s="7" t="s">
        <v>1271</v>
      </c>
      <c r="Z213" s="7" t="s">
        <v>392</v>
      </c>
      <c r="AA213" s="7" t="s">
        <v>1272</v>
      </c>
      <c r="AB213" s="7" t="s">
        <v>43</v>
      </c>
      <c r="AC213" s="7"/>
      <c r="AD213" s="7"/>
      <c r="AE213" s="7"/>
      <c r="AF213" s="7"/>
      <c r="AG213" s="8">
        <f t="shared" si="3"/>
        <v>43317</v>
      </c>
    </row>
    <row r="214" spans="1:33">
      <c r="A214" s="7" t="s">
        <v>1273</v>
      </c>
      <c r="B214" s="7" t="s">
        <v>1273</v>
      </c>
      <c r="C214" s="7" t="s">
        <v>1274</v>
      </c>
      <c r="D214" s="7" t="s">
        <v>1275</v>
      </c>
      <c r="E214" s="7" t="s">
        <v>33</v>
      </c>
      <c r="F214" s="7" t="s">
        <v>34</v>
      </c>
      <c r="G214" s="7" t="s">
        <v>35</v>
      </c>
      <c r="H214" s="7"/>
      <c r="I214" s="7"/>
      <c r="J214" s="7" t="s">
        <v>36</v>
      </c>
      <c r="K214" s="7" t="s">
        <v>247</v>
      </c>
      <c r="L214" s="7" t="s">
        <v>248</v>
      </c>
      <c r="M214" s="7" t="s">
        <v>249</v>
      </c>
      <c r="N214" s="7" t="s">
        <v>33</v>
      </c>
      <c r="O214" s="7">
        <v>1</v>
      </c>
      <c r="P214" s="7" t="s">
        <v>40</v>
      </c>
      <c r="Q214" s="7">
        <v>18.99</v>
      </c>
      <c r="R214" s="7"/>
      <c r="S214" s="7"/>
      <c r="T214" s="7"/>
      <c r="U214" s="7"/>
      <c r="V214" s="7"/>
      <c r="W214" s="7"/>
      <c r="X214" s="7"/>
      <c r="Y214" s="7" t="s">
        <v>1165</v>
      </c>
      <c r="Z214" s="7" t="s">
        <v>378</v>
      </c>
      <c r="AA214" s="7" t="s">
        <v>1276</v>
      </c>
      <c r="AB214" s="7" t="s">
        <v>43</v>
      </c>
      <c r="AC214" s="7"/>
      <c r="AD214" s="7"/>
      <c r="AE214" s="7"/>
      <c r="AF214" s="7"/>
      <c r="AG214" s="8">
        <f t="shared" si="3"/>
        <v>43317</v>
      </c>
    </row>
    <row r="215" spans="1:33">
      <c r="A215" s="7" t="s">
        <v>1277</v>
      </c>
      <c r="B215" s="7" t="s">
        <v>1277</v>
      </c>
      <c r="C215" s="7" t="s">
        <v>1278</v>
      </c>
      <c r="D215" s="7" t="s">
        <v>1279</v>
      </c>
      <c r="E215" s="7" t="s">
        <v>33</v>
      </c>
      <c r="F215" s="7" t="s">
        <v>34</v>
      </c>
      <c r="G215" s="7" t="s">
        <v>35</v>
      </c>
      <c r="H215" s="7"/>
      <c r="I215" s="7"/>
      <c r="J215" s="7" t="s">
        <v>36</v>
      </c>
      <c r="K215" s="7" t="s">
        <v>456</v>
      </c>
      <c r="L215" s="7" t="s">
        <v>1280</v>
      </c>
      <c r="M215" s="7" t="s">
        <v>1281</v>
      </c>
      <c r="N215" s="7" t="s">
        <v>33</v>
      </c>
      <c r="O215" s="7">
        <v>1</v>
      </c>
      <c r="P215" s="7" t="s">
        <v>40</v>
      </c>
      <c r="Q215" s="7">
        <v>19.99</v>
      </c>
      <c r="R215" s="7"/>
      <c r="S215" s="7"/>
      <c r="T215" s="7"/>
      <c r="U215" s="7"/>
      <c r="V215" s="7"/>
      <c r="W215" s="7"/>
      <c r="X215" s="7"/>
      <c r="Y215" s="7" t="s">
        <v>1282</v>
      </c>
      <c r="Z215" s="7" t="s">
        <v>59</v>
      </c>
      <c r="AA215" s="7" t="s">
        <v>1283</v>
      </c>
      <c r="AB215" s="7" t="s">
        <v>43</v>
      </c>
      <c r="AC215" s="7"/>
      <c r="AD215" s="7"/>
      <c r="AE215" s="7"/>
      <c r="AF215" s="7"/>
      <c r="AG215" s="8">
        <f t="shared" si="3"/>
        <v>43317</v>
      </c>
    </row>
    <row r="216" spans="1:33">
      <c r="A216" s="7" t="s">
        <v>1284</v>
      </c>
      <c r="B216" s="7" t="s">
        <v>1284</v>
      </c>
      <c r="C216" s="7" t="s">
        <v>1285</v>
      </c>
      <c r="D216" s="7" t="s">
        <v>1286</v>
      </c>
      <c r="E216" s="7" t="s">
        <v>33</v>
      </c>
      <c r="F216" s="7" t="s">
        <v>34</v>
      </c>
      <c r="G216" s="7" t="s">
        <v>35</v>
      </c>
      <c r="H216" s="7"/>
      <c r="I216" s="7"/>
      <c r="J216" s="7" t="s">
        <v>36</v>
      </c>
      <c r="K216" s="7" t="s">
        <v>1287</v>
      </c>
      <c r="L216" s="7" t="s">
        <v>1288</v>
      </c>
      <c r="M216" s="7" t="s">
        <v>1289</v>
      </c>
      <c r="N216" s="7" t="s">
        <v>33</v>
      </c>
      <c r="O216" s="7">
        <v>1</v>
      </c>
      <c r="P216" s="7" t="s">
        <v>40</v>
      </c>
      <c r="Q216" s="7">
        <v>19.99</v>
      </c>
      <c r="R216" s="7"/>
      <c r="S216" s="7"/>
      <c r="T216" s="7"/>
      <c r="U216" s="7"/>
      <c r="V216" s="7"/>
      <c r="W216" s="7"/>
      <c r="X216" s="7"/>
      <c r="Y216" s="7" t="s">
        <v>1290</v>
      </c>
      <c r="Z216" s="7" t="s">
        <v>69</v>
      </c>
      <c r="AA216" s="7" t="s">
        <v>1291</v>
      </c>
      <c r="AB216" s="7" t="s">
        <v>43</v>
      </c>
      <c r="AC216" s="7"/>
      <c r="AD216" s="7"/>
      <c r="AE216" s="7"/>
      <c r="AF216" s="7"/>
      <c r="AG216" s="8">
        <f t="shared" si="3"/>
        <v>43317</v>
      </c>
    </row>
    <row r="217" spans="1:33">
      <c r="A217" s="7" t="s">
        <v>1292</v>
      </c>
      <c r="B217" s="7" t="s">
        <v>1292</v>
      </c>
      <c r="C217" s="7" t="s">
        <v>1293</v>
      </c>
      <c r="D217" s="7" t="s">
        <v>1294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336</v>
      </c>
      <c r="K217" s="7" t="s">
        <v>1295</v>
      </c>
      <c r="L217" s="7" t="s">
        <v>1296</v>
      </c>
      <c r="M217" s="7" t="s">
        <v>1297</v>
      </c>
      <c r="N217" s="7" t="s">
        <v>33</v>
      </c>
      <c r="O217" s="7">
        <v>1</v>
      </c>
      <c r="P217" s="7" t="s">
        <v>40</v>
      </c>
      <c r="Q217" s="7">
        <v>18.99</v>
      </c>
      <c r="R217" s="7"/>
      <c r="S217" s="7">
        <v>0.75</v>
      </c>
      <c r="T217" s="7"/>
      <c r="U217" s="7"/>
      <c r="V217" s="7"/>
      <c r="W217" s="7"/>
      <c r="X217" s="7">
        <v>0.75</v>
      </c>
      <c r="Y217" s="7" t="s">
        <v>1298</v>
      </c>
      <c r="Z217" s="7" t="s">
        <v>1299</v>
      </c>
      <c r="AA217" s="7">
        <v>9354</v>
      </c>
      <c r="AB217" s="7" t="s">
        <v>43</v>
      </c>
      <c r="AC217" s="7" t="s">
        <v>514</v>
      </c>
      <c r="AD217" s="7"/>
      <c r="AE217" s="7"/>
      <c r="AF217" s="7"/>
      <c r="AG217" s="8">
        <f t="shared" si="3"/>
        <v>43317</v>
      </c>
    </row>
    <row r="218" spans="1:33">
      <c r="A218" s="7" t="s">
        <v>1300</v>
      </c>
      <c r="B218" s="7" t="s">
        <v>1300</v>
      </c>
      <c r="C218" s="7" t="s">
        <v>1301</v>
      </c>
      <c r="D218" s="7" t="s">
        <v>1302</v>
      </c>
      <c r="E218" s="7" t="s">
        <v>33</v>
      </c>
      <c r="F218" s="7" t="s">
        <v>34</v>
      </c>
      <c r="G218" s="7" t="s">
        <v>35</v>
      </c>
      <c r="H218" s="7"/>
      <c r="I218" s="7"/>
      <c r="J218" s="7" t="s">
        <v>36</v>
      </c>
      <c r="K218" s="7" t="s">
        <v>1079</v>
      </c>
      <c r="L218" s="7" t="s">
        <v>1080</v>
      </c>
      <c r="M218" s="7" t="s">
        <v>1081</v>
      </c>
      <c r="N218" s="7" t="s">
        <v>33</v>
      </c>
      <c r="O218" s="7">
        <v>1</v>
      </c>
      <c r="P218" s="7" t="s">
        <v>40</v>
      </c>
      <c r="Q218" s="7">
        <v>12.99</v>
      </c>
      <c r="R218" s="7"/>
      <c r="S218" s="7"/>
      <c r="T218" s="7"/>
      <c r="U218" s="7"/>
      <c r="V218" s="7"/>
      <c r="W218" s="7"/>
      <c r="X218" s="7"/>
      <c r="Y218" s="7" t="s">
        <v>1303</v>
      </c>
      <c r="Z218" s="7" t="s">
        <v>1304</v>
      </c>
      <c r="AA218" s="7">
        <v>29512</v>
      </c>
      <c r="AB218" s="7" t="s">
        <v>43</v>
      </c>
      <c r="AC218" s="7"/>
      <c r="AD218" s="7"/>
      <c r="AE218" s="7"/>
      <c r="AF218" s="7"/>
      <c r="AG218" s="8">
        <f t="shared" si="3"/>
        <v>43317</v>
      </c>
    </row>
    <row r="219" spans="1:33">
      <c r="A219" s="7" t="s">
        <v>1305</v>
      </c>
      <c r="B219" s="7" t="s">
        <v>1305</v>
      </c>
      <c r="C219" s="7" t="s">
        <v>1306</v>
      </c>
      <c r="D219" s="7" t="s">
        <v>1307</v>
      </c>
      <c r="E219" s="7" t="s">
        <v>33</v>
      </c>
      <c r="F219" s="7" t="s">
        <v>34</v>
      </c>
      <c r="G219" s="7" t="s">
        <v>35</v>
      </c>
      <c r="H219" s="7"/>
      <c r="I219" s="7"/>
      <c r="J219" s="7" t="s">
        <v>36</v>
      </c>
      <c r="K219" s="7" t="s">
        <v>255</v>
      </c>
      <c r="L219" s="7" t="s">
        <v>1236</v>
      </c>
      <c r="M219" s="7" t="s">
        <v>1237</v>
      </c>
      <c r="N219" s="7" t="s">
        <v>33</v>
      </c>
      <c r="O219" s="7">
        <v>1</v>
      </c>
      <c r="P219" s="7" t="s">
        <v>40</v>
      </c>
      <c r="Q219" s="7">
        <v>19.99</v>
      </c>
      <c r="R219" s="7"/>
      <c r="S219" s="7"/>
      <c r="T219" s="7"/>
      <c r="U219" s="7"/>
      <c r="V219" s="7"/>
      <c r="W219" s="7"/>
      <c r="X219" s="7"/>
      <c r="Y219" s="7" t="s">
        <v>584</v>
      </c>
      <c r="Z219" s="7" t="s">
        <v>227</v>
      </c>
      <c r="AA219" s="7" t="s">
        <v>1308</v>
      </c>
      <c r="AB219" s="7" t="s">
        <v>43</v>
      </c>
      <c r="AC219" s="7"/>
      <c r="AD219" s="7"/>
      <c r="AE219" s="7"/>
      <c r="AF219" s="7"/>
      <c r="AG219" s="8">
        <f t="shared" si="3"/>
        <v>43317</v>
      </c>
    </row>
    <row r="220" spans="1:33">
      <c r="A220" s="7" t="s">
        <v>1309</v>
      </c>
      <c r="B220" s="7" t="s">
        <v>1309</v>
      </c>
      <c r="C220" s="7" t="s">
        <v>1310</v>
      </c>
      <c r="D220" s="7" t="s">
        <v>1311</v>
      </c>
      <c r="E220" s="7" t="s">
        <v>33</v>
      </c>
      <c r="F220" s="7" t="s">
        <v>34</v>
      </c>
      <c r="G220" s="7" t="s">
        <v>35</v>
      </c>
      <c r="H220" s="7"/>
      <c r="I220" s="7"/>
      <c r="J220" s="7" t="s">
        <v>36</v>
      </c>
      <c r="K220" s="7" t="s">
        <v>328</v>
      </c>
      <c r="L220" s="7" t="s">
        <v>1312</v>
      </c>
      <c r="M220" s="7" t="s">
        <v>1313</v>
      </c>
      <c r="N220" s="7" t="s">
        <v>33</v>
      </c>
      <c r="O220" s="7">
        <v>1</v>
      </c>
      <c r="P220" s="7" t="s">
        <v>40</v>
      </c>
      <c r="Q220" s="7">
        <v>19.38</v>
      </c>
      <c r="R220" s="7"/>
      <c r="S220" s="7"/>
      <c r="T220" s="7"/>
      <c r="U220" s="7"/>
      <c r="V220" s="7"/>
      <c r="W220" s="7"/>
      <c r="X220" s="7"/>
      <c r="Y220" s="7" t="s">
        <v>1314</v>
      </c>
      <c r="Z220" s="7" t="s">
        <v>85</v>
      </c>
      <c r="AA220" s="7" t="s">
        <v>1315</v>
      </c>
      <c r="AB220" s="7" t="s">
        <v>43</v>
      </c>
      <c r="AC220" s="7"/>
      <c r="AD220" s="7"/>
      <c r="AE220" s="7"/>
      <c r="AF220" s="7"/>
      <c r="AG220" s="8">
        <f t="shared" si="3"/>
        <v>43317</v>
      </c>
    </row>
    <row r="221" spans="1:33">
      <c r="A221" s="7" t="s">
        <v>1316</v>
      </c>
      <c r="B221" s="7" t="s">
        <v>1316</v>
      </c>
      <c r="C221" s="7" t="s">
        <v>1317</v>
      </c>
      <c r="D221" s="7" t="s">
        <v>1318</v>
      </c>
      <c r="E221" s="7" t="s">
        <v>33</v>
      </c>
      <c r="F221" s="7" t="s">
        <v>34</v>
      </c>
      <c r="G221" s="7" t="s">
        <v>35</v>
      </c>
      <c r="H221" s="7"/>
      <c r="I221" s="7"/>
      <c r="J221" s="7" t="s">
        <v>36</v>
      </c>
      <c r="K221" s="7" t="s">
        <v>125</v>
      </c>
      <c r="L221" s="7" t="s">
        <v>126</v>
      </c>
      <c r="M221" s="7" t="s">
        <v>127</v>
      </c>
      <c r="N221" s="7" t="s">
        <v>33</v>
      </c>
      <c r="O221" s="7">
        <v>1</v>
      </c>
      <c r="P221" s="7" t="s">
        <v>40</v>
      </c>
      <c r="Q221" s="7">
        <v>18.99</v>
      </c>
      <c r="R221" s="7"/>
      <c r="S221" s="7"/>
      <c r="T221" s="7"/>
      <c r="U221" s="7"/>
      <c r="V221" s="7"/>
      <c r="W221" s="7"/>
      <c r="X221" s="7"/>
      <c r="Y221" s="7" t="s">
        <v>903</v>
      </c>
      <c r="Z221" s="7" t="s">
        <v>219</v>
      </c>
      <c r="AA221" s="7" t="s">
        <v>1319</v>
      </c>
      <c r="AB221" s="7" t="s">
        <v>43</v>
      </c>
      <c r="AC221" s="7"/>
      <c r="AD221" s="7"/>
      <c r="AE221" s="7"/>
      <c r="AF221" s="7"/>
      <c r="AG221" s="8">
        <f t="shared" si="3"/>
        <v>43317</v>
      </c>
    </row>
    <row r="222" spans="1:33">
      <c r="A222" s="7" t="s">
        <v>1320</v>
      </c>
      <c r="B222" s="7" t="s">
        <v>1320</v>
      </c>
      <c r="C222" s="7" t="s">
        <v>1321</v>
      </c>
      <c r="D222" s="7" t="s">
        <v>1322</v>
      </c>
      <c r="E222" s="7" t="s">
        <v>33</v>
      </c>
      <c r="F222" s="7" t="s">
        <v>34</v>
      </c>
      <c r="G222" s="7" t="s">
        <v>35</v>
      </c>
      <c r="H222" s="7"/>
      <c r="I222" s="7"/>
      <c r="J222" s="7" t="s">
        <v>36</v>
      </c>
      <c r="K222" s="7" t="s">
        <v>131</v>
      </c>
      <c r="L222" s="7" t="s">
        <v>132</v>
      </c>
      <c r="M222" s="7" t="s">
        <v>133</v>
      </c>
      <c r="N222" s="7" t="s">
        <v>33</v>
      </c>
      <c r="O222" s="7">
        <v>1</v>
      </c>
      <c r="P222" s="7" t="s">
        <v>40</v>
      </c>
      <c r="Q222" s="7">
        <v>18.99</v>
      </c>
      <c r="R222" s="7"/>
      <c r="S222" s="7"/>
      <c r="T222" s="7"/>
      <c r="U222" s="7"/>
      <c r="V222" s="7"/>
      <c r="W222" s="7"/>
      <c r="X222" s="7"/>
      <c r="Y222" s="7" t="s">
        <v>258</v>
      </c>
      <c r="Z222" s="7" t="s">
        <v>227</v>
      </c>
      <c r="AA222" s="7" t="s">
        <v>1323</v>
      </c>
      <c r="AB222" s="7" t="s">
        <v>43</v>
      </c>
      <c r="AC222" s="7"/>
      <c r="AD222" s="7"/>
      <c r="AE222" s="7"/>
      <c r="AF222" s="7"/>
      <c r="AG222" s="8">
        <f t="shared" si="3"/>
        <v>43317</v>
      </c>
    </row>
    <row r="223" spans="1:33">
      <c r="A223" s="7" t="s">
        <v>1324</v>
      </c>
      <c r="B223" s="7" t="s">
        <v>1324</v>
      </c>
      <c r="C223" s="7" t="s">
        <v>1325</v>
      </c>
      <c r="D223" s="7" t="s">
        <v>1326</v>
      </c>
      <c r="E223" s="7" t="s">
        <v>33</v>
      </c>
      <c r="F223" s="7" t="s">
        <v>34</v>
      </c>
      <c r="G223" s="7" t="s">
        <v>35</v>
      </c>
      <c r="H223" s="7"/>
      <c r="I223" s="7"/>
      <c r="J223" s="7" t="s">
        <v>36</v>
      </c>
      <c r="K223" s="7" t="s">
        <v>37</v>
      </c>
      <c r="L223" s="7" t="s">
        <v>162</v>
      </c>
      <c r="M223" s="7" t="s">
        <v>163</v>
      </c>
      <c r="N223" s="7" t="s">
        <v>33</v>
      </c>
      <c r="O223" s="7">
        <v>1</v>
      </c>
      <c r="P223" s="7" t="s">
        <v>40</v>
      </c>
      <c r="Q223" s="7">
        <v>19.99</v>
      </c>
      <c r="R223" s="7"/>
      <c r="S223" s="7"/>
      <c r="T223" s="7"/>
      <c r="U223" s="7"/>
      <c r="V223" s="7"/>
      <c r="W223" s="7"/>
      <c r="X223" s="7"/>
      <c r="Y223" s="7" t="s">
        <v>1327</v>
      </c>
      <c r="Z223" s="7" t="s">
        <v>287</v>
      </c>
      <c r="AA223" s="7" t="s">
        <v>1328</v>
      </c>
      <c r="AB223" s="7" t="s">
        <v>43</v>
      </c>
      <c r="AC223" s="7"/>
      <c r="AD223" s="7"/>
      <c r="AE223" s="7"/>
      <c r="AF223" s="7"/>
      <c r="AG223" s="8">
        <f t="shared" si="3"/>
        <v>43317</v>
      </c>
    </row>
    <row r="224" spans="1:33">
      <c r="A224" s="7" t="s">
        <v>1329</v>
      </c>
      <c r="B224" s="7" t="s">
        <v>1329</v>
      </c>
      <c r="C224" s="7" t="s">
        <v>1330</v>
      </c>
      <c r="D224" s="7" t="s">
        <v>1331</v>
      </c>
      <c r="E224" s="7" t="s">
        <v>33</v>
      </c>
      <c r="F224" s="7" t="s">
        <v>34</v>
      </c>
      <c r="G224" s="7" t="s">
        <v>35</v>
      </c>
      <c r="H224" s="7"/>
      <c r="I224" s="7"/>
      <c r="J224" s="7" t="s">
        <v>36</v>
      </c>
      <c r="K224" s="7" t="s">
        <v>1332</v>
      </c>
      <c r="L224" s="7" t="s">
        <v>1333</v>
      </c>
      <c r="M224" s="7" t="s">
        <v>1334</v>
      </c>
      <c r="N224" s="7" t="s">
        <v>33</v>
      </c>
      <c r="O224" s="7">
        <v>1</v>
      </c>
      <c r="P224" s="7" t="s">
        <v>40</v>
      </c>
      <c r="Q224" s="7">
        <v>13.88</v>
      </c>
      <c r="R224" s="7"/>
      <c r="S224" s="7"/>
      <c r="T224" s="7"/>
      <c r="U224" s="7"/>
      <c r="V224" s="7"/>
      <c r="W224" s="7"/>
      <c r="X224" s="7"/>
      <c r="Y224" s="7" t="s">
        <v>1335</v>
      </c>
      <c r="Z224" s="7" t="s">
        <v>1336</v>
      </c>
      <c r="AA224" s="7">
        <v>6890</v>
      </c>
      <c r="AB224" s="7" t="s">
        <v>43</v>
      </c>
      <c r="AC224" s="7"/>
      <c r="AD224" s="7"/>
      <c r="AE224" s="7"/>
      <c r="AF224" s="7"/>
      <c r="AG224" s="8">
        <f t="shared" si="3"/>
        <v>43317</v>
      </c>
    </row>
    <row r="225" spans="1:33">
      <c r="A225" s="7" t="s">
        <v>1337</v>
      </c>
      <c r="B225" s="7" t="s">
        <v>1337</v>
      </c>
      <c r="C225" s="7" t="s">
        <v>1338</v>
      </c>
      <c r="D225" s="7" t="s">
        <v>1339</v>
      </c>
      <c r="E225" s="7" t="s">
        <v>33</v>
      </c>
      <c r="F225" s="7" t="s">
        <v>34</v>
      </c>
      <c r="G225" s="7" t="s">
        <v>35</v>
      </c>
      <c r="H225" s="7"/>
      <c r="I225" s="7"/>
      <c r="J225" s="7" t="s">
        <v>36</v>
      </c>
      <c r="K225" s="7" t="s">
        <v>37</v>
      </c>
      <c r="L225" s="7" t="s">
        <v>224</v>
      </c>
      <c r="M225" s="7" t="s">
        <v>225</v>
      </c>
      <c r="N225" s="7" t="s">
        <v>33</v>
      </c>
      <c r="O225" s="7">
        <v>1</v>
      </c>
      <c r="P225" s="7" t="s">
        <v>40</v>
      </c>
      <c r="Q225" s="7">
        <v>19.99</v>
      </c>
      <c r="R225" s="7"/>
      <c r="S225" s="7"/>
      <c r="T225" s="7"/>
      <c r="U225" s="7"/>
      <c r="V225" s="7"/>
      <c r="W225" s="7"/>
      <c r="X225" s="7"/>
      <c r="Y225" s="7" t="s">
        <v>1340</v>
      </c>
      <c r="Z225" s="7" t="s">
        <v>1341</v>
      </c>
      <c r="AA225" s="7" t="s">
        <v>1342</v>
      </c>
      <c r="AB225" s="7" t="s">
        <v>43</v>
      </c>
      <c r="AC225" s="7"/>
      <c r="AD225" s="7"/>
      <c r="AE225" s="7"/>
      <c r="AF225" s="7"/>
      <c r="AG225" s="8">
        <f t="shared" si="3"/>
        <v>43317</v>
      </c>
    </row>
    <row r="226" spans="1:33">
      <c r="A226" s="7" t="s">
        <v>1343</v>
      </c>
      <c r="B226" s="7" t="s">
        <v>1343</v>
      </c>
      <c r="C226" s="7" t="s">
        <v>1344</v>
      </c>
      <c r="D226" s="7" t="s">
        <v>1345</v>
      </c>
      <c r="E226" s="7" t="s">
        <v>33</v>
      </c>
      <c r="F226" s="7" t="s">
        <v>34</v>
      </c>
      <c r="G226" s="7" t="s">
        <v>35</v>
      </c>
      <c r="H226" s="7"/>
      <c r="I226" s="7"/>
      <c r="J226" s="7" t="s">
        <v>36</v>
      </c>
      <c r="K226" s="7" t="s">
        <v>1346</v>
      </c>
      <c r="L226" s="7" t="s">
        <v>1347</v>
      </c>
      <c r="M226" s="7" t="s">
        <v>1348</v>
      </c>
      <c r="N226" s="7" t="s">
        <v>33</v>
      </c>
      <c r="O226" s="7">
        <v>1</v>
      </c>
      <c r="P226" s="7" t="s">
        <v>40</v>
      </c>
      <c r="Q226" s="7">
        <v>17.99</v>
      </c>
      <c r="R226" s="7"/>
      <c r="S226" s="7"/>
      <c r="T226" s="7"/>
      <c r="U226" s="7"/>
      <c r="V226" s="7"/>
      <c r="W226" s="7"/>
      <c r="X226" s="7"/>
      <c r="Y226" s="7" t="s">
        <v>1349</v>
      </c>
      <c r="Z226" s="7" t="s">
        <v>1350</v>
      </c>
      <c r="AA226" s="7" t="s">
        <v>1351</v>
      </c>
      <c r="AB226" s="7" t="s">
        <v>43</v>
      </c>
      <c r="AC226" s="7"/>
      <c r="AD226" s="7"/>
      <c r="AE226" s="7"/>
      <c r="AF226" s="7"/>
      <c r="AG226" s="8">
        <f t="shared" si="3"/>
        <v>43317</v>
      </c>
    </row>
    <row r="227" spans="1:33">
      <c r="A227" s="7" t="s">
        <v>1343</v>
      </c>
      <c r="B227" s="7" t="s">
        <v>1343</v>
      </c>
      <c r="C227" s="7" t="s">
        <v>1344</v>
      </c>
      <c r="D227" s="7" t="s">
        <v>1345</v>
      </c>
      <c r="E227" s="7" t="s">
        <v>33</v>
      </c>
      <c r="F227" s="7" t="s">
        <v>34</v>
      </c>
      <c r="G227" s="7" t="s">
        <v>35</v>
      </c>
      <c r="H227" s="7"/>
      <c r="I227" s="7"/>
      <c r="J227" s="7" t="s">
        <v>36</v>
      </c>
      <c r="K227" s="7" t="s">
        <v>1352</v>
      </c>
      <c r="L227" s="7" t="s">
        <v>1353</v>
      </c>
      <c r="M227" s="7" t="s">
        <v>1354</v>
      </c>
      <c r="N227" s="7" t="s">
        <v>33</v>
      </c>
      <c r="O227" s="7">
        <v>1</v>
      </c>
      <c r="P227" s="7" t="s">
        <v>40</v>
      </c>
      <c r="Q227" s="7">
        <v>17.99</v>
      </c>
      <c r="R227" s="7"/>
      <c r="S227" s="7"/>
      <c r="T227" s="7"/>
      <c r="U227" s="7"/>
      <c r="V227" s="7"/>
      <c r="W227" s="7"/>
      <c r="X227" s="7"/>
      <c r="Y227" s="7" t="s">
        <v>1349</v>
      </c>
      <c r="Z227" s="7" t="s">
        <v>1350</v>
      </c>
      <c r="AA227" s="7" t="s">
        <v>1351</v>
      </c>
      <c r="AB227" s="7" t="s">
        <v>43</v>
      </c>
      <c r="AC227" s="7"/>
      <c r="AD227" s="7"/>
      <c r="AE227" s="7"/>
      <c r="AF227" s="7"/>
      <c r="AG227" s="8">
        <f t="shared" si="3"/>
        <v>43317</v>
      </c>
    </row>
    <row r="228" spans="1:33">
      <c r="A228" s="7" t="s">
        <v>1355</v>
      </c>
      <c r="B228" s="7" t="s">
        <v>1355</v>
      </c>
      <c r="C228" s="7" t="s">
        <v>1356</v>
      </c>
      <c r="D228" s="7" t="s">
        <v>1357</v>
      </c>
      <c r="E228" s="7" t="s">
        <v>33</v>
      </c>
      <c r="F228" s="7" t="s">
        <v>34</v>
      </c>
      <c r="G228" s="7" t="s">
        <v>35</v>
      </c>
      <c r="H228" s="7"/>
      <c r="I228" s="7"/>
      <c r="J228" s="7" t="s">
        <v>36</v>
      </c>
      <c r="K228" s="7" t="s">
        <v>566</v>
      </c>
      <c r="L228" s="7" t="s">
        <v>806</v>
      </c>
      <c r="M228" s="7" t="s">
        <v>807</v>
      </c>
      <c r="N228" s="7" t="s">
        <v>33</v>
      </c>
      <c r="O228" s="7">
        <v>1</v>
      </c>
      <c r="P228" s="7" t="s">
        <v>40</v>
      </c>
      <c r="Q228" s="7">
        <v>18.98</v>
      </c>
      <c r="R228" s="7">
        <v>1.14</v>
      </c>
      <c r="S228" s="7"/>
      <c r="T228" s="7"/>
      <c r="U228" s="7"/>
      <c r="V228" s="7"/>
      <c r="W228" s="7"/>
      <c r="X228" s="7"/>
      <c r="Y228" s="7" t="s">
        <v>1358</v>
      </c>
      <c r="Z228" s="7" t="s">
        <v>42</v>
      </c>
      <c r="AA228" s="7" t="s">
        <v>1359</v>
      </c>
      <c r="AB228" s="7" t="s">
        <v>43</v>
      </c>
      <c r="AC228" s="7"/>
      <c r="AD228" s="7"/>
      <c r="AE228" s="7"/>
      <c r="AF228" s="7"/>
      <c r="AG228" s="8">
        <f t="shared" si="3"/>
        <v>43317</v>
      </c>
    </row>
    <row r="229" spans="1:33">
      <c r="A229" s="7" t="s">
        <v>1360</v>
      </c>
      <c r="B229" s="7" t="s">
        <v>1360</v>
      </c>
      <c r="C229" s="7" t="s">
        <v>1361</v>
      </c>
      <c r="D229" s="7" t="s">
        <v>1362</v>
      </c>
      <c r="E229" s="7" t="s">
        <v>99</v>
      </c>
      <c r="F229" s="7" t="s">
        <v>34</v>
      </c>
      <c r="G229" s="7" t="s">
        <v>35</v>
      </c>
      <c r="H229" s="7"/>
      <c r="I229" s="7"/>
      <c r="J229" s="7" t="s">
        <v>36</v>
      </c>
      <c r="K229" s="7" t="s">
        <v>255</v>
      </c>
      <c r="L229" s="7" t="s">
        <v>427</v>
      </c>
      <c r="M229" s="7" t="s">
        <v>428</v>
      </c>
      <c r="N229" s="7" t="s">
        <v>459</v>
      </c>
      <c r="O229" s="7">
        <v>1</v>
      </c>
      <c r="P229" s="7" t="s">
        <v>40</v>
      </c>
      <c r="Q229" s="7">
        <v>19.99</v>
      </c>
      <c r="R229" s="7"/>
      <c r="S229" s="7"/>
      <c r="T229" s="7"/>
      <c r="U229" s="7"/>
      <c r="V229" s="7"/>
      <c r="W229" s="7"/>
      <c r="X229" s="7"/>
      <c r="Y229" s="7" t="s">
        <v>584</v>
      </c>
      <c r="Z229" s="7" t="s">
        <v>227</v>
      </c>
      <c r="AA229" s="7" t="s">
        <v>1363</v>
      </c>
      <c r="AB229" s="7" t="s">
        <v>43</v>
      </c>
      <c r="AC229" s="7"/>
      <c r="AD229" s="7"/>
      <c r="AE229" s="7"/>
      <c r="AF229" s="7"/>
      <c r="AG229" s="8">
        <f t="shared" si="3"/>
        <v>43317</v>
      </c>
    </row>
    <row r="230" spans="1:33">
      <c r="A230" s="7" t="s">
        <v>1364</v>
      </c>
      <c r="B230" s="7" t="s">
        <v>1364</v>
      </c>
      <c r="C230" s="7" t="s">
        <v>1365</v>
      </c>
      <c r="D230" s="7" t="s">
        <v>1366</v>
      </c>
      <c r="E230" s="7" t="s">
        <v>33</v>
      </c>
      <c r="F230" s="7" t="s">
        <v>34</v>
      </c>
      <c r="G230" s="7" t="s">
        <v>35</v>
      </c>
      <c r="H230" s="7"/>
      <c r="I230" s="7"/>
      <c r="J230" s="7" t="s">
        <v>336</v>
      </c>
      <c r="K230" s="7" t="s">
        <v>1029</v>
      </c>
      <c r="L230" s="7" t="s">
        <v>1367</v>
      </c>
      <c r="M230" s="7" t="s">
        <v>1368</v>
      </c>
      <c r="N230" s="7" t="s">
        <v>33</v>
      </c>
      <c r="O230" s="7">
        <v>1</v>
      </c>
      <c r="P230" s="7" t="s">
        <v>40</v>
      </c>
      <c r="Q230" s="7">
        <v>18.99</v>
      </c>
      <c r="R230" s="7"/>
      <c r="S230" s="7">
        <v>1.77</v>
      </c>
      <c r="T230" s="7"/>
      <c r="U230" s="7"/>
      <c r="V230" s="7"/>
      <c r="W230" s="7"/>
      <c r="X230" s="7">
        <v>1.77</v>
      </c>
      <c r="Y230" s="7" t="s">
        <v>1369</v>
      </c>
      <c r="Z230" s="7" t="s">
        <v>1095</v>
      </c>
      <c r="AA230" s="7">
        <v>92057</v>
      </c>
      <c r="AB230" s="7" t="s">
        <v>43</v>
      </c>
      <c r="AC230" s="7" t="s">
        <v>514</v>
      </c>
      <c r="AD230" s="7"/>
      <c r="AE230" s="7"/>
      <c r="AF230" s="7"/>
      <c r="AG230" s="8">
        <f t="shared" si="3"/>
        <v>43317</v>
      </c>
    </row>
    <row r="231" spans="1:33">
      <c r="A231" s="7" t="s">
        <v>1370</v>
      </c>
      <c r="B231" s="7" t="s">
        <v>1370</v>
      </c>
      <c r="C231" s="7" t="s">
        <v>1371</v>
      </c>
      <c r="D231" s="7" t="s">
        <v>1372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336</v>
      </c>
      <c r="K231" s="7" t="s">
        <v>1373</v>
      </c>
      <c r="L231" s="7" t="s">
        <v>1374</v>
      </c>
      <c r="M231" s="7" t="s">
        <v>1375</v>
      </c>
      <c r="N231" s="7" t="s">
        <v>33</v>
      </c>
      <c r="O231" s="7">
        <v>1</v>
      </c>
      <c r="P231" s="7" t="s">
        <v>40</v>
      </c>
      <c r="Q231" s="7">
        <v>18.99</v>
      </c>
      <c r="R231" s="7"/>
      <c r="S231" s="7">
        <v>3.48</v>
      </c>
      <c r="T231" s="7"/>
      <c r="U231" s="7"/>
      <c r="V231" s="7"/>
      <c r="W231" s="7"/>
      <c r="X231" s="7">
        <v>3.48</v>
      </c>
      <c r="Y231" s="7" t="s">
        <v>1376</v>
      </c>
      <c r="Z231" s="7" t="s">
        <v>194</v>
      </c>
      <c r="AA231" s="7" t="s">
        <v>1377</v>
      </c>
      <c r="AB231" s="7" t="s">
        <v>43</v>
      </c>
      <c r="AC231" s="7" t="s">
        <v>514</v>
      </c>
      <c r="AD231" s="7"/>
      <c r="AE231" s="7"/>
      <c r="AF231" s="7"/>
      <c r="AG231" s="8">
        <f t="shared" si="3"/>
        <v>43317</v>
      </c>
    </row>
    <row r="232" spans="1:33">
      <c r="A232" s="7" t="s">
        <v>1378</v>
      </c>
      <c r="B232" s="7" t="s">
        <v>1378</v>
      </c>
      <c r="C232" s="7" t="s">
        <v>1379</v>
      </c>
      <c r="D232" s="7" t="s">
        <v>1380</v>
      </c>
      <c r="E232" s="7" t="s">
        <v>33</v>
      </c>
      <c r="F232" s="7" t="s">
        <v>34</v>
      </c>
      <c r="G232" s="7" t="s">
        <v>35</v>
      </c>
      <c r="H232" s="7"/>
      <c r="I232" s="7"/>
      <c r="J232" s="7" t="s">
        <v>36</v>
      </c>
      <c r="K232" s="7" t="s">
        <v>255</v>
      </c>
      <c r="L232" s="7" t="s">
        <v>256</v>
      </c>
      <c r="M232" s="7" t="s">
        <v>257</v>
      </c>
      <c r="N232" s="7" t="s">
        <v>33</v>
      </c>
      <c r="O232" s="7">
        <v>1</v>
      </c>
      <c r="P232" s="7" t="s">
        <v>40</v>
      </c>
      <c r="Q232" s="7">
        <v>19.99</v>
      </c>
      <c r="R232" s="7"/>
      <c r="S232" s="7"/>
      <c r="T232" s="7"/>
      <c r="U232" s="7"/>
      <c r="V232" s="7"/>
      <c r="W232" s="7"/>
      <c r="X232" s="7"/>
      <c r="Y232" s="7" t="s">
        <v>1381</v>
      </c>
      <c r="Z232" s="7" t="s">
        <v>227</v>
      </c>
      <c r="AA232" s="7" t="s">
        <v>1382</v>
      </c>
      <c r="AB232" s="7" t="s">
        <v>43</v>
      </c>
      <c r="AC232" s="7"/>
      <c r="AD232" s="7"/>
      <c r="AE232" s="7"/>
      <c r="AF232" s="7"/>
      <c r="AG232" s="8">
        <f t="shared" si="3"/>
        <v>43317</v>
      </c>
    </row>
    <row r="233" spans="1:33">
      <c r="A233" s="7" t="s">
        <v>1383</v>
      </c>
      <c r="B233" s="7" t="s">
        <v>1383</v>
      </c>
      <c r="C233" s="7" t="s">
        <v>1384</v>
      </c>
      <c r="D233" s="7" t="s">
        <v>1385</v>
      </c>
      <c r="E233" s="7" t="s">
        <v>33</v>
      </c>
      <c r="F233" s="7" t="s">
        <v>34</v>
      </c>
      <c r="G233" s="7" t="s">
        <v>35</v>
      </c>
      <c r="H233" s="7"/>
      <c r="I233" s="7"/>
      <c r="J233" s="7" t="s">
        <v>36</v>
      </c>
      <c r="K233" s="7" t="s">
        <v>65</v>
      </c>
      <c r="L233" s="7" t="s">
        <v>771</v>
      </c>
      <c r="M233" s="7" t="s">
        <v>772</v>
      </c>
      <c r="N233" s="7" t="s">
        <v>33</v>
      </c>
      <c r="O233" s="7">
        <v>1</v>
      </c>
      <c r="P233" s="7" t="s">
        <v>40</v>
      </c>
      <c r="Q233" s="7">
        <v>19.99</v>
      </c>
      <c r="R233" s="7"/>
      <c r="S233" s="7"/>
      <c r="T233" s="7"/>
      <c r="U233" s="7"/>
      <c r="V233" s="7"/>
      <c r="W233" s="7"/>
      <c r="X233" s="7"/>
      <c r="Y233" s="7" t="s">
        <v>1386</v>
      </c>
      <c r="Z233" s="7" t="s">
        <v>1387</v>
      </c>
      <c r="AA233" s="7">
        <v>33196</v>
      </c>
      <c r="AB233" s="7" t="s">
        <v>43</v>
      </c>
      <c r="AC233" s="7"/>
      <c r="AD233" s="7"/>
      <c r="AE233" s="7"/>
      <c r="AF233" s="7"/>
      <c r="AG233" s="8">
        <f t="shared" si="3"/>
        <v>43317</v>
      </c>
    </row>
    <row r="234" spans="1:33">
      <c r="A234" s="7" t="s">
        <v>1388</v>
      </c>
      <c r="B234" s="7" t="s">
        <v>1388</v>
      </c>
      <c r="C234" s="7" t="s">
        <v>1389</v>
      </c>
      <c r="D234" s="7" t="s">
        <v>1390</v>
      </c>
      <c r="E234" s="7" t="s">
        <v>33</v>
      </c>
      <c r="F234" s="7" t="s">
        <v>34</v>
      </c>
      <c r="G234" s="7" t="s">
        <v>35</v>
      </c>
      <c r="H234" s="7"/>
      <c r="I234" s="7"/>
      <c r="J234" s="7" t="s">
        <v>36</v>
      </c>
      <c r="K234" s="7" t="s">
        <v>37</v>
      </c>
      <c r="L234" s="7" t="s">
        <v>602</v>
      </c>
      <c r="M234" s="7" t="s">
        <v>603</v>
      </c>
      <c r="N234" s="7" t="s">
        <v>33</v>
      </c>
      <c r="O234" s="7">
        <v>1</v>
      </c>
      <c r="P234" s="7" t="s">
        <v>40</v>
      </c>
      <c r="Q234" s="7">
        <v>19.99</v>
      </c>
      <c r="R234" s="7"/>
      <c r="S234" s="7"/>
      <c r="T234" s="7"/>
      <c r="U234" s="7"/>
      <c r="V234" s="7"/>
      <c r="W234" s="7"/>
      <c r="X234" s="7"/>
      <c r="Y234" s="7" t="s">
        <v>1391</v>
      </c>
      <c r="Z234" s="7" t="s">
        <v>761</v>
      </c>
      <c r="AA234" s="7" t="s">
        <v>1392</v>
      </c>
      <c r="AB234" s="7" t="s">
        <v>43</v>
      </c>
      <c r="AC234" s="7"/>
      <c r="AD234" s="7"/>
      <c r="AE234" s="7"/>
      <c r="AF234" s="7"/>
      <c r="AG234" s="8">
        <f t="shared" si="3"/>
        <v>43317</v>
      </c>
    </row>
    <row r="235" spans="1:33">
      <c r="A235" s="7" t="s">
        <v>1393</v>
      </c>
      <c r="B235" s="7" t="s">
        <v>1393</v>
      </c>
      <c r="C235" s="7" t="s">
        <v>1394</v>
      </c>
      <c r="D235" s="7" t="s">
        <v>1395</v>
      </c>
      <c r="E235" s="7" t="s">
        <v>99</v>
      </c>
      <c r="F235" s="7" t="s">
        <v>34</v>
      </c>
      <c r="G235" s="7" t="s">
        <v>35</v>
      </c>
      <c r="H235" s="7"/>
      <c r="I235" s="7"/>
      <c r="J235" s="7" t="s">
        <v>36</v>
      </c>
      <c r="K235" s="7" t="s">
        <v>965</v>
      </c>
      <c r="L235" s="7" t="s">
        <v>1396</v>
      </c>
      <c r="M235" s="7" t="s">
        <v>1397</v>
      </c>
      <c r="N235" s="7" t="s">
        <v>99</v>
      </c>
      <c r="O235" s="7">
        <v>0</v>
      </c>
      <c r="P235" s="7"/>
      <c r="Q235" s="7"/>
      <c r="R235" s="7"/>
      <c r="S235" s="7"/>
      <c r="T235" s="7"/>
      <c r="U235" s="7"/>
      <c r="V235" s="7"/>
      <c r="W235" s="7"/>
      <c r="X235" s="7"/>
      <c r="Y235" s="7" t="s">
        <v>1398</v>
      </c>
      <c r="Z235" s="7" t="s">
        <v>227</v>
      </c>
      <c r="AA235" s="7" t="s">
        <v>1399</v>
      </c>
      <c r="AB235" s="7" t="s">
        <v>43</v>
      </c>
      <c r="AC235" s="7"/>
      <c r="AD235" s="7"/>
      <c r="AE235" s="7"/>
      <c r="AF235" s="7"/>
      <c r="AG235" s="8">
        <f t="shared" si="3"/>
        <v>43317</v>
      </c>
    </row>
    <row r="236" spans="1:33">
      <c r="A236" s="7" t="s">
        <v>1400</v>
      </c>
      <c r="B236" s="7" t="s">
        <v>1400</v>
      </c>
      <c r="C236" s="7" t="s">
        <v>1401</v>
      </c>
      <c r="D236" s="7" t="s">
        <v>1402</v>
      </c>
      <c r="E236" s="7" t="s">
        <v>33</v>
      </c>
      <c r="F236" s="7" t="s">
        <v>34</v>
      </c>
      <c r="G236" s="7" t="s">
        <v>35</v>
      </c>
      <c r="H236" s="7"/>
      <c r="I236" s="7"/>
      <c r="J236" s="7" t="s">
        <v>36</v>
      </c>
      <c r="K236" s="7" t="s">
        <v>255</v>
      </c>
      <c r="L236" s="7" t="s">
        <v>1236</v>
      </c>
      <c r="M236" s="7" t="s">
        <v>1237</v>
      </c>
      <c r="N236" s="7" t="s">
        <v>33</v>
      </c>
      <c r="O236" s="7">
        <v>1</v>
      </c>
      <c r="P236" s="7" t="s">
        <v>40</v>
      </c>
      <c r="Q236" s="7">
        <v>19.99</v>
      </c>
      <c r="R236" s="7"/>
      <c r="S236" s="7"/>
      <c r="T236" s="7"/>
      <c r="U236" s="7"/>
      <c r="V236" s="7"/>
      <c r="W236" s="7"/>
      <c r="X236" s="7"/>
      <c r="Y236" s="7" t="s">
        <v>801</v>
      </c>
      <c r="Z236" s="7" t="s">
        <v>135</v>
      </c>
      <c r="AA236" s="7" t="s">
        <v>1403</v>
      </c>
      <c r="AB236" s="7" t="s">
        <v>43</v>
      </c>
      <c r="AC236" s="7"/>
      <c r="AD236" s="7"/>
      <c r="AE236" s="7"/>
      <c r="AF236" s="7"/>
      <c r="AG236" s="8">
        <f t="shared" si="3"/>
        <v>43317</v>
      </c>
    </row>
    <row r="237" spans="1:33">
      <c r="A237" s="7" t="s">
        <v>1404</v>
      </c>
      <c r="B237" s="7" t="s">
        <v>1404</v>
      </c>
      <c r="C237" s="7" t="s">
        <v>1405</v>
      </c>
      <c r="D237" s="7" t="s">
        <v>1406</v>
      </c>
      <c r="E237" s="7" t="s">
        <v>33</v>
      </c>
      <c r="F237" s="7" t="s">
        <v>34</v>
      </c>
      <c r="G237" s="7" t="s">
        <v>35</v>
      </c>
      <c r="H237" s="7"/>
      <c r="I237" s="7"/>
      <c r="J237" s="7" t="s">
        <v>36</v>
      </c>
      <c r="K237" s="7" t="s">
        <v>125</v>
      </c>
      <c r="L237" s="7" t="s">
        <v>126</v>
      </c>
      <c r="M237" s="7" t="s">
        <v>127</v>
      </c>
      <c r="N237" s="7" t="s">
        <v>33</v>
      </c>
      <c r="O237" s="7">
        <v>1</v>
      </c>
      <c r="P237" s="7" t="s">
        <v>40</v>
      </c>
      <c r="Q237" s="7">
        <v>18.99</v>
      </c>
      <c r="R237" s="7"/>
      <c r="S237" s="7"/>
      <c r="T237" s="7"/>
      <c r="U237" s="7"/>
      <c r="V237" s="7"/>
      <c r="W237" s="7"/>
      <c r="X237" s="7"/>
      <c r="Y237" s="7" t="s">
        <v>1407</v>
      </c>
      <c r="Z237" s="7" t="s">
        <v>345</v>
      </c>
      <c r="AA237" s="7" t="s">
        <v>1408</v>
      </c>
      <c r="AB237" s="7" t="s">
        <v>43</v>
      </c>
      <c r="AC237" s="7"/>
      <c r="AD237" s="7"/>
      <c r="AE237" s="7"/>
      <c r="AF237" s="7"/>
      <c r="AG237" s="8">
        <f t="shared" si="3"/>
        <v>43317</v>
      </c>
    </row>
    <row r="238" spans="1:33">
      <c r="A238" s="7" t="s">
        <v>1409</v>
      </c>
      <c r="B238" s="7" t="s">
        <v>1409</v>
      </c>
      <c r="C238" s="7" t="s">
        <v>1410</v>
      </c>
      <c r="D238" s="7" t="s">
        <v>1411</v>
      </c>
      <c r="E238" s="7" t="s">
        <v>33</v>
      </c>
      <c r="F238" s="7" t="s">
        <v>34</v>
      </c>
      <c r="G238" s="7" t="s">
        <v>35</v>
      </c>
      <c r="H238" s="7"/>
      <c r="I238" s="7"/>
      <c r="J238" s="7" t="s">
        <v>36</v>
      </c>
      <c r="K238" s="7" t="s">
        <v>131</v>
      </c>
      <c r="L238" s="7" t="s">
        <v>132</v>
      </c>
      <c r="M238" s="7" t="s">
        <v>133</v>
      </c>
      <c r="N238" s="7" t="s">
        <v>33</v>
      </c>
      <c r="O238" s="7">
        <v>1</v>
      </c>
      <c r="P238" s="7" t="s">
        <v>40</v>
      </c>
      <c r="Q238" s="7">
        <v>18.99</v>
      </c>
      <c r="R238" s="7"/>
      <c r="S238" s="7"/>
      <c r="T238" s="7"/>
      <c r="U238" s="7"/>
      <c r="V238" s="7"/>
      <c r="W238" s="7"/>
      <c r="X238" s="7"/>
      <c r="Y238" s="7" t="s">
        <v>1412</v>
      </c>
      <c r="Z238" s="7" t="s">
        <v>1413</v>
      </c>
      <c r="AA238" s="7" t="s">
        <v>1414</v>
      </c>
      <c r="AB238" s="7" t="s">
        <v>43</v>
      </c>
      <c r="AC238" s="7"/>
      <c r="AD238" s="7"/>
      <c r="AE238" s="7"/>
      <c r="AF238" s="7"/>
      <c r="AG238" s="8">
        <f t="shared" si="3"/>
        <v>43317</v>
      </c>
    </row>
    <row r="239" spans="1:33">
      <c r="A239" s="7" t="s">
        <v>1415</v>
      </c>
      <c r="B239" s="7" t="s">
        <v>1415</v>
      </c>
      <c r="C239" s="7" t="s">
        <v>1416</v>
      </c>
      <c r="D239" s="7" t="s">
        <v>1417</v>
      </c>
      <c r="E239" s="7" t="s">
        <v>33</v>
      </c>
      <c r="F239" s="7" t="s">
        <v>34</v>
      </c>
      <c r="G239" s="7" t="s">
        <v>35</v>
      </c>
      <c r="H239" s="7"/>
      <c r="I239" s="7"/>
      <c r="J239" s="7" t="s">
        <v>36</v>
      </c>
      <c r="K239" s="7" t="s">
        <v>456</v>
      </c>
      <c r="L239" s="7" t="s">
        <v>1280</v>
      </c>
      <c r="M239" s="7" t="s">
        <v>1281</v>
      </c>
      <c r="N239" s="7" t="s">
        <v>33</v>
      </c>
      <c r="O239" s="7">
        <v>1</v>
      </c>
      <c r="P239" s="7" t="s">
        <v>40</v>
      </c>
      <c r="Q239" s="7">
        <v>19.99</v>
      </c>
      <c r="R239" s="7"/>
      <c r="S239" s="7"/>
      <c r="T239" s="7"/>
      <c r="U239" s="7"/>
      <c r="V239" s="7"/>
      <c r="W239" s="7"/>
      <c r="X239" s="7"/>
      <c r="Y239" s="7" t="s">
        <v>1418</v>
      </c>
      <c r="Z239" s="7" t="s">
        <v>85</v>
      </c>
      <c r="AA239" s="7" t="s">
        <v>1419</v>
      </c>
      <c r="AB239" s="7" t="s">
        <v>43</v>
      </c>
      <c r="AC239" s="7"/>
      <c r="AD239" s="7"/>
      <c r="AE239" s="7"/>
      <c r="AF239" s="7"/>
      <c r="AG239" s="8">
        <f t="shared" si="3"/>
        <v>43318</v>
      </c>
    </row>
    <row r="240" spans="1:33">
      <c r="A240" s="7" t="s">
        <v>1420</v>
      </c>
      <c r="B240" s="7" t="s">
        <v>1420</v>
      </c>
      <c r="C240" s="7" t="s">
        <v>1421</v>
      </c>
      <c r="D240" s="7" t="s">
        <v>1422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36</v>
      </c>
      <c r="K240" s="7" t="s">
        <v>131</v>
      </c>
      <c r="L240" s="7" t="s">
        <v>132</v>
      </c>
      <c r="M240" s="7" t="s">
        <v>133</v>
      </c>
      <c r="N240" s="7" t="s">
        <v>33</v>
      </c>
      <c r="O240" s="7">
        <v>1</v>
      </c>
      <c r="P240" s="7" t="s">
        <v>40</v>
      </c>
      <c r="Q240" s="7">
        <v>18.99</v>
      </c>
      <c r="R240" s="7"/>
      <c r="S240" s="7"/>
      <c r="T240" s="7"/>
      <c r="U240" s="7"/>
      <c r="V240" s="7"/>
      <c r="W240" s="7"/>
      <c r="X240" s="7"/>
      <c r="Y240" s="7" t="s">
        <v>1423</v>
      </c>
      <c r="Z240" s="7" t="s">
        <v>59</v>
      </c>
      <c r="AA240" s="7">
        <v>95120</v>
      </c>
      <c r="AB240" s="7" t="s">
        <v>43</v>
      </c>
      <c r="AC240" s="7"/>
      <c r="AD240" s="7"/>
      <c r="AE240" s="7"/>
      <c r="AF240" s="7"/>
      <c r="AG240" s="8">
        <f t="shared" si="3"/>
        <v>43318</v>
      </c>
    </row>
    <row r="241" spans="1:33">
      <c r="A241" s="7" t="s">
        <v>1424</v>
      </c>
      <c r="B241" s="7" t="s">
        <v>1424</v>
      </c>
      <c r="C241" s="7" t="s">
        <v>1425</v>
      </c>
      <c r="D241" s="7" t="s">
        <v>1426</v>
      </c>
      <c r="E241" s="7" t="s">
        <v>33</v>
      </c>
      <c r="F241" s="7" t="s">
        <v>34</v>
      </c>
      <c r="G241" s="7" t="s">
        <v>35</v>
      </c>
      <c r="H241" s="7"/>
      <c r="I241" s="7"/>
      <c r="J241" s="7" t="s">
        <v>36</v>
      </c>
      <c r="K241" s="7" t="s">
        <v>255</v>
      </c>
      <c r="L241" s="7" t="s">
        <v>256</v>
      </c>
      <c r="M241" s="7" t="s">
        <v>257</v>
      </c>
      <c r="N241" s="7" t="s">
        <v>33</v>
      </c>
      <c r="O241" s="7">
        <v>1</v>
      </c>
      <c r="P241" s="7" t="s">
        <v>40</v>
      </c>
      <c r="Q241" s="7">
        <v>19.99</v>
      </c>
      <c r="R241" s="7"/>
      <c r="S241" s="7"/>
      <c r="T241" s="7"/>
      <c r="U241" s="7"/>
      <c r="V241" s="7"/>
      <c r="W241" s="7"/>
      <c r="X241" s="7"/>
      <c r="Y241" s="7" t="s">
        <v>1427</v>
      </c>
      <c r="Z241" s="7" t="s">
        <v>227</v>
      </c>
      <c r="AA241" s="7" t="s">
        <v>1428</v>
      </c>
      <c r="AB241" s="7" t="s">
        <v>43</v>
      </c>
      <c r="AC241" s="7"/>
      <c r="AD241" s="7"/>
      <c r="AE241" s="7"/>
      <c r="AF241" s="7"/>
      <c r="AG241" s="8">
        <f t="shared" si="3"/>
        <v>43318</v>
      </c>
    </row>
    <row r="242" spans="1:33">
      <c r="A242" s="7" t="s">
        <v>1429</v>
      </c>
      <c r="B242" s="7" t="s">
        <v>1429</v>
      </c>
      <c r="C242" s="7" t="s">
        <v>1430</v>
      </c>
      <c r="D242" s="7" t="s">
        <v>1431</v>
      </c>
      <c r="E242" s="7" t="s">
        <v>33</v>
      </c>
      <c r="F242" s="7" t="s">
        <v>34</v>
      </c>
      <c r="G242" s="7" t="s">
        <v>35</v>
      </c>
      <c r="H242" s="7"/>
      <c r="I242" s="7"/>
      <c r="J242" s="7" t="s">
        <v>36</v>
      </c>
      <c r="K242" s="7" t="s">
        <v>1432</v>
      </c>
      <c r="L242" s="7" t="s">
        <v>1433</v>
      </c>
      <c r="M242" s="7" t="s">
        <v>1434</v>
      </c>
      <c r="N242" s="7" t="s">
        <v>33</v>
      </c>
      <c r="O242" s="7">
        <v>1</v>
      </c>
      <c r="P242" s="7" t="s">
        <v>40</v>
      </c>
      <c r="Q242" s="7">
        <v>11.99</v>
      </c>
      <c r="R242" s="7"/>
      <c r="S242" s="7"/>
      <c r="T242" s="7"/>
      <c r="U242" s="7"/>
      <c r="V242" s="7"/>
      <c r="W242" s="7"/>
      <c r="X242" s="7"/>
      <c r="Y242" s="7" t="s">
        <v>1435</v>
      </c>
      <c r="Z242" s="7" t="s">
        <v>135</v>
      </c>
      <c r="AA242" s="7" t="s">
        <v>1436</v>
      </c>
      <c r="AB242" s="7" t="s">
        <v>43</v>
      </c>
      <c r="AC242" s="7"/>
      <c r="AD242" s="7"/>
      <c r="AE242" s="7"/>
      <c r="AF242" s="7"/>
      <c r="AG242" s="8">
        <f t="shared" si="3"/>
        <v>43318</v>
      </c>
    </row>
    <row r="243" spans="1:33">
      <c r="A243" s="7" t="s">
        <v>1437</v>
      </c>
      <c r="B243" s="7" t="s">
        <v>1437</v>
      </c>
      <c r="C243" s="7" t="s">
        <v>1438</v>
      </c>
      <c r="D243" s="7" t="s">
        <v>1439</v>
      </c>
      <c r="E243" s="7" t="s">
        <v>33</v>
      </c>
      <c r="F243" s="7" t="s">
        <v>34</v>
      </c>
      <c r="G243" s="7" t="s">
        <v>35</v>
      </c>
      <c r="H243" s="7"/>
      <c r="I243" s="7"/>
      <c r="J243" s="7" t="s">
        <v>336</v>
      </c>
      <c r="K243" s="7" t="s">
        <v>247</v>
      </c>
      <c r="L243" s="7" t="s">
        <v>248</v>
      </c>
      <c r="M243" s="7" t="s">
        <v>249</v>
      </c>
      <c r="N243" s="7" t="s">
        <v>33</v>
      </c>
      <c r="O243" s="7">
        <v>1</v>
      </c>
      <c r="P243" s="7" t="s">
        <v>40</v>
      </c>
      <c r="Q243" s="7">
        <v>18.99</v>
      </c>
      <c r="R243" s="7"/>
      <c r="S243" s="7"/>
      <c r="T243" s="7"/>
      <c r="U243" s="7"/>
      <c r="V243" s="7"/>
      <c r="W243" s="7"/>
      <c r="X243" s="7"/>
      <c r="Y243" s="7" t="s">
        <v>1440</v>
      </c>
      <c r="Z243" s="7" t="s">
        <v>1441</v>
      </c>
      <c r="AA243" s="7" t="s">
        <v>1442</v>
      </c>
      <c r="AB243" s="7" t="s">
        <v>43</v>
      </c>
      <c r="AC243" s="7"/>
      <c r="AD243" s="7"/>
      <c r="AE243" s="7"/>
      <c r="AF243" s="7"/>
      <c r="AG243" s="8">
        <f t="shared" si="3"/>
        <v>43318</v>
      </c>
    </row>
    <row r="244" spans="1:33">
      <c r="A244" s="7" t="s">
        <v>1443</v>
      </c>
      <c r="B244" s="7" t="s">
        <v>1443</v>
      </c>
      <c r="C244" s="7" t="s">
        <v>1444</v>
      </c>
      <c r="D244" s="7" t="s">
        <v>1445</v>
      </c>
      <c r="E244" s="7" t="s">
        <v>33</v>
      </c>
      <c r="F244" s="7" t="s">
        <v>34</v>
      </c>
      <c r="G244" s="7" t="s">
        <v>35</v>
      </c>
      <c r="H244" s="7"/>
      <c r="I244" s="7"/>
      <c r="J244" s="7" t="s">
        <v>36</v>
      </c>
      <c r="K244" s="7" t="s">
        <v>125</v>
      </c>
      <c r="L244" s="7" t="s">
        <v>126</v>
      </c>
      <c r="M244" s="7" t="s">
        <v>127</v>
      </c>
      <c r="N244" s="7" t="s">
        <v>33</v>
      </c>
      <c r="O244" s="7">
        <v>1</v>
      </c>
      <c r="P244" s="7" t="s">
        <v>40</v>
      </c>
      <c r="Q244" s="7">
        <v>18.99</v>
      </c>
      <c r="R244" s="7"/>
      <c r="S244" s="7"/>
      <c r="T244" s="7"/>
      <c r="U244" s="7"/>
      <c r="V244" s="7"/>
      <c r="W244" s="7"/>
      <c r="X244" s="7"/>
      <c r="Y244" s="7" t="s">
        <v>1446</v>
      </c>
      <c r="Z244" s="7" t="s">
        <v>969</v>
      </c>
      <c r="AA244" s="7" t="s">
        <v>1447</v>
      </c>
      <c r="AB244" s="7" t="s">
        <v>43</v>
      </c>
      <c r="AC244" s="7"/>
      <c r="AD244" s="7"/>
      <c r="AE244" s="7"/>
      <c r="AF244" s="7"/>
      <c r="AG244" s="8">
        <f t="shared" si="3"/>
        <v>43318</v>
      </c>
    </row>
    <row r="245" spans="1:33">
      <c r="A245" s="7" t="s">
        <v>1448</v>
      </c>
      <c r="B245" s="7" t="s">
        <v>1448</v>
      </c>
      <c r="C245" s="7" t="s">
        <v>1449</v>
      </c>
      <c r="D245" s="7" t="s">
        <v>1450</v>
      </c>
      <c r="E245" s="7" t="s">
        <v>33</v>
      </c>
      <c r="F245" s="7" t="s">
        <v>34</v>
      </c>
      <c r="G245" s="7" t="s">
        <v>35</v>
      </c>
      <c r="H245" s="7"/>
      <c r="I245" s="7"/>
      <c r="J245" s="7" t="s">
        <v>36</v>
      </c>
      <c r="K245" s="7" t="s">
        <v>207</v>
      </c>
      <c r="L245" s="7" t="s">
        <v>1451</v>
      </c>
      <c r="M245" s="7" t="s">
        <v>1452</v>
      </c>
      <c r="N245" s="7" t="s">
        <v>33</v>
      </c>
      <c r="O245" s="7">
        <v>1</v>
      </c>
      <c r="P245" s="7" t="s">
        <v>40</v>
      </c>
      <c r="Q245" s="7">
        <v>19.38</v>
      </c>
      <c r="R245" s="7"/>
      <c r="S245" s="7"/>
      <c r="T245" s="7"/>
      <c r="U245" s="7"/>
      <c r="V245" s="7"/>
      <c r="W245" s="7"/>
      <c r="X245" s="7"/>
      <c r="Y245" s="7" t="s">
        <v>1453</v>
      </c>
      <c r="Z245" s="7" t="s">
        <v>287</v>
      </c>
      <c r="AA245" s="7" t="s">
        <v>1454</v>
      </c>
      <c r="AB245" s="7" t="s">
        <v>43</v>
      </c>
      <c r="AC245" s="7"/>
      <c r="AD245" s="7"/>
      <c r="AE245" s="7"/>
      <c r="AF245" s="7"/>
      <c r="AG245" s="8">
        <f t="shared" si="3"/>
        <v>43318</v>
      </c>
    </row>
    <row r="246" spans="1:33">
      <c r="A246" s="7" t="s">
        <v>1455</v>
      </c>
      <c r="B246" s="7" t="s">
        <v>1455</v>
      </c>
      <c r="C246" s="7" t="s">
        <v>1456</v>
      </c>
      <c r="D246" s="7" t="s">
        <v>1457</v>
      </c>
      <c r="E246" s="7" t="s">
        <v>33</v>
      </c>
      <c r="F246" s="7" t="s">
        <v>34</v>
      </c>
      <c r="G246" s="7" t="s">
        <v>35</v>
      </c>
      <c r="H246" s="7"/>
      <c r="I246" s="7"/>
      <c r="J246" s="7" t="s">
        <v>36</v>
      </c>
      <c r="K246" s="7" t="s">
        <v>255</v>
      </c>
      <c r="L246" s="7" t="s">
        <v>277</v>
      </c>
      <c r="M246" s="7" t="s">
        <v>278</v>
      </c>
      <c r="N246" s="7" t="s">
        <v>33</v>
      </c>
      <c r="O246" s="7">
        <v>1</v>
      </c>
      <c r="P246" s="7" t="s">
        <v>40</v>
      </c>
      <c r="Q246" s="7">
        <v>19.99</v>
      </c>
      <c r="R246" s="7"/>
      <c r="S246" s="7"/>
      <c r="T246" s="7"/>
      <c r="U246" s="7"/>
      <c r="V246" s="7"/>
      <c r="W246" s="7"/>
      <c r="X246" s="7"/>
      <c r="Y246" s="7" t="s">
        <v>218</v>
      </c>
      <c r="Z246" s="7" t="s">
        <v>219</v>
      </c>
      <c r="AA246" s="7" t="s">
        <v>1458</v>
      </c>
      <c r="AB246" s="7" t="s">
        <v>43</v>
      </c>
      <c r="AC246" s="7"/>
      <c r="AD246" s="7"/>
      <c r="AE246" s="7"/>
      <c r="AF246" s="7"/>
      <c r="AG246" s="8">
        <f t="shared" si="3"/>
        <v>43318</v>
      </c>
    </row>
    <row r="247" spans="1:33">
      <c r="A247" s="7" t="s">
        <v>1459</v>
      </c>
      <c r="B247" s="7" t="s">
        <v>1459</v>
      </c>
      <c r="C247" s="7" t="s">
        <v>1460</v>
      </c>
      <c r="D247" s="7" t="s">
        <v>1461</v>
      </c>
      <c r="E247" s="7" t="s">
        <v>33</v>
      </c>
      <c r="F247" s="7" t="s">
        <v>34</v>
      </c>
      <c r="G247" s="7" t="s">
        <v>35</v>
      </c>
      <c r="H247" s="7"/>
      <c r="I247" s="7"/>
      <c r="J247" s="7" t="s">
        <v>36</v>
      </c>
      <c r="K247" s="7" t="s">
        <v>176</v>
      </c>
      <c r="L247" s="7" t="s">
        <v>177</v>
      </c>
      <c r="M247" s="7" t="s">
        <v>178</v>
      </c>
      <c r="N247" s="7" t="s">
        <v>33</v>
      </c>
      <c r="O247" s="7">
        <v>1</v>
      </c>
      <c r="P247" s="7" t="s">
        <v>40</v>
      </c>
      <c r="Q247" s="7">
        <v>19.99</v>
      </c>
      <c r="R247" s="7"/>
      <c r="S247" s="7"/>
      <c r="T247" s="7"/>
      <c r="U247" s="7"/>
      <c r="V247" s="7"/>
      <c r="W247" s="7"/>
      <c r="X247" s="7"/>
      <c r="Y247" s="7" t="s">
        <v>1462</v>
      </c>
      <c r="Z247" s="7" t="s">
        <v>85</v>
      </c>
      <c r="AA247" s="7" t="s">
        <v>1463</v>
      </c>
      <c r="AB247" s="7" t="s">
        <v>43</v>
      </c>
      <c r="AC247" s="7"/>
      <c r="AD247" s="7"/>
      <c r="AE247" s="7"/>
      <c r="AF247" s="7"/>
      <c r="AG247" s="8">
        <f t="shared" si="3"/>
        <v>43318</v>
      </c>
    </row>
    <row r="248" spans="1:33">
      <c r="A248" s="7" t="s">
        <v>1464</v>
      </c>
      <c r="B248" s="7" t="s">
        <v>1464</v>
      </c>
      <c r="C248" s="7" t="s">
        <v>1465</v>
      </c>
      <c r="D248" s="7" t="s">
        <v>1466</v>
      </c>
      <c r="E248" s="7" t="s">
        <v>33</v>
      </c>
      <c r="F248" s="7" t="s">
        <v>34</v>
      </c>
      <c r="G248" s="7" t="s">
        <v>35</v>
      </c>
      <c r="H248" s="7"/>
      <c r="I248" s="7"/>
      <c r="J248" s="7" t="s">
        <v>336</v>
      </c>
      <c r="K248" s="7" t="s">
        <v>207</v>
      </c>
      <c r="L248" s="7" t="s">
        <v>354</v>
      </c>
      <c r="M248" s="7" t="s">
        <v>355</v>
      </c>
      <c r="N248" s="7" t="s">
        <v>33</v>
      </c>
      <c r="O248" s="7">
        <v>1</v>
      </c>
      <c r="P248" s="7" t="s">
        <v>40</v>
      </c>
      <c r="Q248" s="7">
        <v>19.38</v>
      </c>
      <c r="R248" s="7"/>
      <c r="S248" s="7">
        <v>5.99</v>
      </c>
      <c r="T248" s="7"/>
      <c r="U248" s="7"/>
      <c r="V248" s="7"/>
      <c r="W248" s="7"/>
      <c r="X248" s="7"/>
      <c r="Y248" s="7" t="s">
        <v>1467</v>
      </c>
      <c r="Z248" s="7" t="s">
        <v>345</v>
      </c>
      <c r="AA248" s="7">
        <v>2790</v>
      </c>
      <c r="AB248" s="7" t="s">
        <v>43</v>
      </c>
      <c r="AC248" s="7"/>
      <c r="AD248" s="7"/>
      <c r="AE248" s="7"/>
      <c r="AF248" s="7"/>
      <c r="AG248" s="8">
        <f t="shared" si="3"/>
        <v>43318</v>
      </c>
    </row>
    <row r="249" spans="1:33">
      <c r="A249" s="7" t="s">
        <v>1468</v>
      </c>
      <c r="B249" s="7" t="s">
        <v>1468</v>
      </c>
      <c r="C249" s="7" t="s">
        <v>1469</v>
      </c>
      <c r="D249" s="7" t="s">
        <v>1470</v>
      </c>
      <c r="E249" s="7" t="s">
        <v>33</v>
      </c>
      <c r="F249" s="7" t="s">
        <v>34</v>
      </c>
      <c r="G249" s="7" t="s">
        <v>35</v>
      </c>
      <c r="H249" s="7"/>
      <c r="I249" s="7"/>
      <c r="J249" s="7" t="s">
        <v>36</v>
      </c>
      <c r="K249" s="7" t="s">
        <v>125</v>
      </c>
      <c r="L249" s="7" t="s">
        <v>126</v>
      </c>
      <c r="M249" s="7" t="s">
        <v>127</v>
      </c>
      <c r="N249" s="7" t="s">
        <v>33</v>
      </c>
      <c r="O249" s="7">
        <v>1</v>
      </c>
      <c r="P249" s="7" t="s">
        <v>40</v>
      </c>
      <c r="Q249" s="7">
        <v>18.99</v>
      </c>
      <c r="R249" s="7"/>
      <c r="S249" s="7"/>
      <c r="T249" s="7"/>
      <c r="U249" s="7"/>
      <c r="V249" s="7"/>
      <c r="W249" s="7"/>
      <c r="X249" s="7"/>
      <c r="Y249" s="7" t="s">
        <v>1471</v>
      </c>
      <c r="Z249" s="7" t="s">
        <v>1472</v>
      </c>
      <c r="AA249" s="7">
        <v>33071</v>
      </c>
      <c r="AB249" s="7" t="s">
        <v>43</v>
      </c>
      <c r="AC249" s="7"/>
      <c r="AD249" s="7"/>
      <c r="AE249" s="7"/>
      <c r="AF249" s="7"/>
      <c r="AG249" s="8">
        <f t="shared" si="3"/>
        <v>43318</v>
      </c>
    </row>
    <row r="250" spans="1:33">
      <c r="A250" s="7" t="s">
        <v>1473</v>
      </c>
      <c r="B250" s="7" t="s">
        <v>1473</v>
      </c>
      <c r="C250" s="7" t="s">
        <v>1474</v>
      </c>
      <c r="D250" s="7" t="s">
        <v>1475</v>
      </c>
      <c r="E250" s="7" t="s">
        <v>33</v>
      </c>
      <c r="F250" s="7" t="s">
        <v>34</v>
      </c>
      <c r="G250" s="7" t="s">
        <v>35</v>
      </c>
      <c r="H250" s="7"/>
      <c r="I250" s="7"/>
      <c r="J250" s="7" t="s">
        <v>36</v>
      </c>
      <c r="K250" s="7" t="s">
        <v>37</v>
      </c>
      <c r="L250" s="7" t="s">
        <v>784</v>
      </c>
      <c r="M250" s="7" t="s">
        <v>785</v>
      </c>
      <c r="N250" s="7" t="s">
        <v>33</v>
      </c>
      <c r="O250" s="7">
        <v>1</v>
      </c>
      <c r="P250" s="7" t="s">
        <v>40</v>
      </c>
      <c r="Q250" s="7">
        <v>19.99</v>
      </c>
      <c r="R250" s="7"/>
      <c r="S250" s="7"/>
      <c r="T250" s="7"/>
      <c r="U250" s="7"/>
      <c r="V250" s="7"/>
      <c r="W250" s="7"/>
      <c r="X250" s="7"/>
      <c r="Y250" s="7" t="s">
        <v>1476</v>
      </c>
      <c r="Z250" s="7" t="s">
        <v>51</v>
      </c>
      <c r="AA250" s="7" t="s">
        <v>1477</v>
      </c>
      <c r="AB250" s="7" t="s">
        <v>43</v>
      </c>
      <c r="AC250" s="7"/>
      <c r="AD250" s="7"/>
      <c r="AE250" s="7"/>
      <c r="AF250" s="7"/>
      <c r="AG250" s="8">
        <f t="shared" si="3"/>
        <v>43318</v>
      </c>
    </row>
    <row r="251" spans="1:33">
      <c r="A251" s="7" t="s">
        <v>1478</v>
      </c>
      <c r="B251" s="7" t="s">
        <v>1478</v>
      </c>
      <c r="C251" s="7" t="s">
        <v>1479</v>
      </c>
      <c r="D251" s="7" t="s">
        <v>1480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36</v>
      </c>
      <c r="K251" s="7" t="s">
        <v>456</v>
      </c>
      <c r="L251" s="7" t="s">
        <v>1481</v>
      </c>
      <c r="M251" s="7" t="s">
        <v>1482</v>
      </c>
      <c r="N251" s="7" t="s">
        <v>33</v>
      </c>
      <c r="O251" s="7">
        <v>1</v>
      </c>
      <c r="P251" s="7" t="s">
        <v>40</v>
      </c>
      <c r="Q251" s="7">
        <v>19.99</v>
      </c>
      <c r="R251" s="7">
        <v>2</v>
      </c>
      <c r="S251" s="7"/>
      <c r="T251" s="7"/>
      <c r="U251" s="7"/>
      <c r="V251" s="7"/>
      <c r="W251" s="7"/>
      <c r="X251" s="7"/>
      <c r="Y251" s="7" t="s">
        <v>1483</v>
      </c>
      <c r="Z251" s="7" t="s">
        <v>882</v>
      </c>
      <c r="AA251" s="7" t="s">
        <v>1484</v>
      </c>
      <c r="AB251" s="7" t="s">
        <v>43</v>
      </c>
      <c r="AC251" s="7"/>
      <c r="AD251" s="7"/>
      <c r="AE251" s="7"/>
      <c r="AF251" s="7"/>
      <c r="AG251" s="8">
        <f t="shared" si="3"/>
        <v>43318</v>
      </c>
    </row>
    <row r="252" spans="1:33">
      <c r="A252" s="7" t="s">
        <v>1485</v>
      </c>
      <c r="B252" s="7" t="s">
        <v>1485</v>
      </c>
      <c r="C252" s="7" t="s">
        <v>1486</v>
      </c>
      <c r="D252" s="7" t="s">
        <v>1487</v>
      </c>
      <c r="E252" s="7" t="s">
        <v>33</v>
      </c>
      <c r="F252" s="7" t="s">
        <v>34</v>
      </c>
      <c r="G252" s="7" t="s">
        <v>35</v>
      </c>
      <c r="H252" s="7"/>
      <c r="I252" s="7"/>
      <c r="J252" s="7" t="s">
        <v>336</v>
      </c>
      <c r="K252" s="7" t="s">
        <v>388</v>
      </c>
      <c r="L252" s="7" t="s">
        <v>1488</v>
      </c>
      <c r="M252" s="7" t="s">
        <v>1489</v>
      </c>
      <c r="N252" s="7" t="s">
        <v>33</v>
      </c>
      <c r="O252" s="7">
        <v>1</v>
      </c>
      <c r="P252" s="7" t="s">
        <v>40</v>
      </c>
      <c r="Q252" s="7">
        <v>19.38</v>
      </c>
      <c r="R252" s="7"/>
      <c r="S252" s="7">
        <v>3.34</v>
      </c>
      <c r="T252" s="7"/>
      <c r="U252" s="7"/>
      <c r="V252" s="7"/>
      <c r="W252" s="7"/>
      <c r="X252" s="7"/>
      <c r="Y252" s="7" t="s">
        <v>93</v>
      </c>
      <c r="Z252" s="7" t="s">
        <v>94</v>
      </c>
      <c r="AA252" s="7" t="s">
        <v>1490</v>
      </c>
      <c r="AB252" s="7" t="s">
        <v>43</v>
      </c>
      <c r="AC252" s="7"/>
      <c r="AD252" s="7"/>
      <c r="AE252" s="7"/>
      <c r="AF252" s="7"/>
      <c r="AG252" s="8">
        <f t="shared" si="3"/>
        <v>43318</v>
      </c>
    </row>
    <row r="253" spans="1:33">
      <c r="A253" s="7" t="s">
        <v>1491</v>
      </c>
      <c r="B253" s="7" t="s">
        <v>1491</v>
      </c>
      <c r="C253" s="7" t="s">
        <v>1492</v>
      </c>
      <c r="D253" s="7" t="s">
        <v>1493</v>
      </c>
      <c r="E253" s="7" t="s">
        <v>33</v>
      </c>
      <c r="F253" s="7" t="s">
        <v>34</v>
      </c>
      <c r="G253" s="7" t="s">
        <v>35</v>
      </c>
      <c r="H253" s="7"/>
      <c r="I253" s="7"/>
      <c r="J253" s="7" t="s">
        <v>36</v>
      </c>
      <c r="K253" s="7" t="s">
        <v>170</v>
      </c>
      <c r="L253" s="7" t="s">
        <v>1494</v>
      </c>
      <c r="M253" s="7" t="s">
        <v>1495</v>
      </c>
      <c r="N253" s="7" t="s">
        <v>33</v>
      </c>
      <c r="O253" s="7">
        <v>1</v>
      </c>
      <c r="P253" s="7" t="s">
        <v>40</v>
      </c>
      <c r="Q253" s="7">
        <v>19.38</v>
      </c>
      <c r="R253" s="7"/>
      <c r="S253" s="7"/>
      <c r="T253" s="7"/>
      <c r="U253" s="7"/>
      <c r="V253" s="7"/>
      <c r="W253" s="7"/>
      <c r="X253" s="7"/>
      <c r="Y253" s="7" t="s">
        <v>1496</v>
      </c>
      <c r="Z253" s="7" t="s">
        <v>59</v>
      </c>
      <c r="AA253" s="7" t="s">
        <v>1497</v>
      </c>
      <c r="AB253" s="7" t="s">
        <v>43</v>
      </c>
      <c r="AC253" s="7"/>
      <c r="AD253" s="7"/>
      <c r="AE253" s="7"/>
      <c r="AF253" s="7"/>
      <c r="AG253" s="8">
        <f t="shared" si="3"/>
        <v>43318</v>
      </c>
    </row>
    <row r="254" spans="1:33">
      <c r="A254" s="7" t="s">
        <v>1498</v>
      </c>
      <c r="B254" s="7" t="s">
        <v>1498</v>
      </c>
      <c r="C254" s="7" t="s">
        <v>1499</v>
      </c>
      <c r="D254" s="7" t="s">
        <v>1500</v>
      </c>
      <c r="E254" s="7" t="s">
        <v>33</v>
      </c>
      <c r="F254" s="7" t="s">
        <v>34</v>
      </c>
      <c r="G254" s="7" t="s">
        <v>35</v>
      </c>
      <c r="H254" s="7"/>
      <c r="I254" s="7"/>
      <c r="J254" s="7" t="s">
        <v>36</v>
      </c>
      <c r="K254" s="7" t="s">
        <v>255</v>
      </c>
      <c r="L254" s="7" t="s">
        <v>277</v>
      </c>
      <c r="M254" s="7" t="s">
        <v>278</v>
      </c>
      <c r="N254" s="7" t="s">
        <v>33</v>
      </c>
      <c r="O254" s="7">
        <v>1</v>
      </c>
      <c r="P254" s="7" t="s">
        <v>40</v>
      </c>
      <c r="Q254" s="7">
        <v>19.99</v>
      </c>
      <c r="R254" s="7"/>
      <c r="S254" s="7"/>
      <c r="T254" s="7"/>
      <c r="U254" s="7"/>
      <c r="V254" s="7"/>
      <c r="W254" s="7"/>
      <c r="X254" s="7"/>
      <c r="Y254" s="7" t="s">
        <v>1501</v>
      </c>
      <c r="Z254" s="7" t="s">
        <v>85</v>
      </c>
      <c r="AA254" s="7">
        <v>77045</v>
      </c>
      <c r="AB254" s="7" t="s">
        <v>43</v>
      </c>
      <c r="AC254" s="7"/>
      <c r="AD254" s="7"/>
      <c r="AE254" s="7"/>
      <c r="AF254" s="7"/>
      <c r="AG254" s="8">
        <f t="shared" si="3"/>
        <v>43318</v>
      </c>
    </row>
    <row r="255" spans="1:33">
      <c r="A255" s="7" t="s">
        <v>1502</v>
      </c>
      <c r="B255" s="7" t="s">
        <v>1502</v>
      </c>
      <c r="C255" s="7" t="s">
        <v>1503</v>
      </c>
      <c r="D255" s="7" t="s">
        <v>1504</v>
      </c>
      <c r="E255" s="7" t="s">
        <v>99</v>
      </c>
      <c r="F255" s="7" t="s">
        <v>34</v>
      </c>
      <c r="G255" s="7" t="s">
        <v>35</v>
      </c>
      <c r="H255" s="7"/>
      <c r="I255" s="7"/>
      <c r="J255" s="7" t="s">
        <v>36</v>
      </c>
      <c r="K255" s="7" t="s">
        <v>170</v>
      </c>
      <c r="L255" s="7" t="s">
        <v>1494</v>
      </c>
      <c r="M255" s="7" t="s">
        <v>1495</v>
      </c>
      <c r="N255" s="7" t="s">
        <v>459</v>
      </c>
      <c r="O255" s="7">
        <v>1</v>
      </c>
      <c r="P255" s="7" t="s">
        <v>40</v>
      </c>
      <c r="Q255" s="7">
        <v>19.38</v>
      </c>
      <c r="R255" s="7"/>
      <c r="S255" s="7"/>
      <c r="T255" s="7"/>
      <c r="U255" s="7"/>
      <c r="V255" s="7"/>
      <c r="W255" s="7"/>
      <c r="X255" s="7"/>
      <c r="Y255" s="7" t="s">
        <v>1505</v>
      </c>
      <c r="Z255" s="7" t="s">
        <v>174</v>
      </c>
      <c r="AA255" s="7" t="s">
        <v>1506</v>
      </c>
      <c r="AB255" s="7" t="s">
        <v>43</v>
      </c>
      <c r="AC255" s="7"/>
      <c r="AD255" s="7"/>
      <c r="AE255" s="7"/>
      <c r="AF255" s="7"/>
      <c r="AG255" s="8">
        <f t="shared" si="3"/>
        <v>43318</v>
      </c>
    </row>
    <row r="256" spans="1:33">
      <c r="A256" s="7" t="s">
        <v>1507</v>
      </c>
      <c r="B256" s="7" t="s">
        <v>1507</v>
      </c>
      <c r="C256" s="7" t="s">
        <v>1508</v>
      </c>
      <c r="D256" s="7" t="s">
        <v>1509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64</v>
      </c>
      <c r="K256" s="7" t="s">
        <v>125</v>
      </c>
      <c r="L256" s="7" t="s">
        <v>126</v>
      </c>
      <c r="M256" s="7" t="s">
        <v>127</v>
      </c>
      <c r="N256" s="7" t="s">
        <v>33</v>
      </c>
      <c r="O256" s="7">
        <v>1</v>
      </c>
      <c r="P256" s="7" t="s">
        <v>40</v>
      </c>
      <c r="Q256" s="7">
        <v>18.99</v>
      </c>
      <c r="R256" s="7"/>
      <c r="S256" s="7">
        <v>3.99</v>
      </c>
      <c r="T256" s="7"/>
      <c r="U256" s="7"/>
      <c r="V256" s="7"/>
      <c r="W256" s="7"/>
      <c r="X256" s="7"/>
      <c r="Y256" s="7" t="s">
        <v>1510</v>
      </c>
      <c r="Z256" s="7" t="s">
        <v>143</v>
      </c>
      <c r="AA256" s="7" t="s">
        <v>1511</v>
      </c>
      <c r="AB256" s="7" t="s">
        <v>43</v>
      </c>
      <c r="AC256" s="7"/>
      <c r="AD256" s="7"/>
      <c r="AE256" s="7"/>
      <c r="AF256" s="7"/>
      <c r="AG256" s="8">
        <f t="shared" si="3"/>
        <v>43318</v>
      </c>
    </row>
    <row r="257" spans="1:33">
      <c r="A257" s="7" t="s">
        <v>1512</v>
      </c>
      <c r="B257" s="7" t="s">
        <v>1512</v>
      </c>
      <c r="C257" s="7" t="s">
        <v>1513</v>
      </c>
      <c r="D257" s="7" t="s">
        <v>1514</v>
      </c>
      <c r="E257" s="7" t="s">
        <v>33</v>
      </c>
      <c r="F257" s="7" t="s">
        <v>34</v>
      </c>
      <c r="G257" s="7" t="s">
        <v>35</v>
      </c>
      <c r="H257" s="7"/>
      <c r="I257" s="7"/>
      <c r="J257" s="7" t="s">
        <v>36</v>
      </c>
      <c r="K257" s="7" t="s">
        <v>125</v>
      </c>
      <c r="L257" s="7" t="s">
        <v>126</v>
      </c>
      <c r="M257" s="7" t="s">
        <v>127</v>
      </c>
      <c r="N257" s="7" t="s">
        <v>33</v>
      </c>
      <c r="O257" s="7">
        <v>1</v>
      </c>
      <c r="P257" s="7" t="s">
        <v>40</v>
      </c>
      <c r="Q257" s="7">
        <v>18.99</v>
      </c>
      <c r="R257" s="7"/>
      <c r="S257" s="7"/>
      <c r="T257" s="7"/>
      <c r="U257" s="7"/>
      <c r="V257" s="7"/>
      <c r="W257" s="7"/>
      <c r="X257" s="7"/>
      <c r="Y257" s="7" t="s">
        <v>1515</v>
      </c>
      <c r="Z257" s="7" t="s">
        <v>59</v>
      </c>
      <c r="AA257" s="7" t="s">
        <v>1516</v>
      </c>
      <c r="AB257" s="7" t="s">
        <v>43</v>
      </c>
      <c r="AC257" s="7"/>
      <c r="AD257" s="7"/>
      <c r="AE257" s="7"/>
      <c r="AF257" s="7"/>
      <c r="AG257" s="8">
        <f t="shared" si="3"/>
        <v>43318</v>
      </c>
    </row>
    <row r="258" spans="1:33">
      <c r="A258" s="7" t="s">
        <v>1517</v>
      </c>
      <c r="B258" s="7" t="s">
        <v>1517</v>
      </c>
      <c r="C258" s="7" t="s">
        <v>1518</v>
      </c>
      <c r="D258" s="7" t="s">
        <v>1519</v>
      </c>
      <c r="E258" s="7" t="s">
        <v>33</v>
      </c>
      <c r="F258" s="7" t="s">
        <v>34</v>
      </c>
      <c r="G258" s="7" t="s">
        <v>35</v>
      </c>
      <c r="H258" s="7"/>
      <c r="I258" s="7"/>
      <c r="J258" s="7" t="s">
        <v>36</v>
      </c>
      <c r="K258" s="7" t="s">
        <v>155</v>
      </c>
      <c r="L258" s="7" t="s">
        <v>813</v>
      </c>
      <c r="M258" s="7" t="s">
        <v>814</v>
      </c>
      <c r="N258" s="7" t="s">
        <v>33</v>
      </c>
      <c r="O258" s="7">
        <v>1</v>
      </c>
      <c r="P258" s="7" t="s">
        <v>40</v>
      </c>
      <c r="Q258" s="7">
        <v>19.99</v>
      </c>
      <c r="R258" s="7"/>
      <c r="S258" s="7"/>
      <c r="T258" s="7"/>
      <c r="U258" s="7"/>
      <c r="V258" s="7"/>
      <c r="W258" s="7"/>
      <c r="X258" s="7"/>
      <c r="Y258" s="7" t="s">
        <v>1520</v>
      </c>
      <c r="Z258" s="7" t="s">
        <v>165</v>
      </c>
      <c r="AA258" s="7" t="s">
        <v>1521</v>
      </c>
      <c r="AB258" s="7" t="s">
        <v>43</v>
      </c>
      <c r="AC258" s="7"/>
      <c r="AD258" s="7"/>
      <c r="AE258" s="7"/>
      <c r="AF258" s="7"/>
      <c r="AG258" s="8">
        <f t="shared" ref="AG258:AG321" si="4">DATEVALUE(LEFT(C258,10))</f>
        <v>43318</v>
      </c>
    </row>
    <row r="259" spans="1:33">
      <c r="A259" s="7" t="s">
        <v>1522</v>
      </c>
      <c r="B259" s="7" t="s">
        <v>1522</v>
      </c>
      <c r="C259" s="7" t="s">
        <v>1523</v>
      </c>
      <c r="D259" s="7" t="s">
        <v>1524</v>
      </c>
      <c r="E259" s="7" t="s">
        <v>33</v>
      </c>
      <c r="F259" s="7" t="s">
        <v>34</v>
      </c>
      <c r="G259" s="7" t="s">
        <v>35</v>
      </c>
      <c r="H259" s="7"/>
      <c r="I259" s="7"/>
      <c r="J259" s="7" t="s">
        <v>36</v>
      </c>
      <c r="K259" s="7" t="s">
        <v>255</v>
      </c>
      <c r="L259" s="7" t="s">
        <v>300</v>
      </c>
      <c r="M259" s="7" t="s">
        <v>301</v>
      </c>
      <c r="N259" s="7" t="s">
        <v>33</v>
      </c>
      <c r="O259" s="7">
        <v>1</v>
      </c>
      <c r="P259" s="7" t="s">
        <v>40</v>
      </c>
      <c r="Q259" s="7">
        <v>19.99</v>
      </c>
      <c r="R259" s="7">
        <v>1.2</v>
      </c>
      <c r="S259" s="7"/>
      <c r="T259" s="7"/>
      <c r="U259" s="7"/>
      <c r="V259" s="7"/>
      <c r="W259" s="7"/>
      <c r="X259" s="7"/>
      <c r="Y259" s="7" t="s">
        <v>1525</v>
      </c>
      <c r="Z259" s="7" t="s">
        <v>42</v>
      </c>
      <c r="AA259" s="7" t="s">
        <v>1526</v>
      </c>
      <c r="AB259" s="7" t="s">
        <v>43</v>
      </c>
      <c r="AC259" s="7"/>
      <c r="AD259" s="7"/>
      <c r="AE259" s="7"/>
      <c r="AF259" s="7"/>
      <c r="AG259" s="8">
        <f t="shared" si="4"/>
        <v>43318</v>
      </c>
    </row>
    <row r="260" spans="1:33">
      <c r="A260" s="7" t="s">
        <v>1527</v>
      </c>
      <c r="B260" s="7" t="s">
        <v>1527</v>
      </c>
      <c r="C260" s="7" t="s">
        <v>1528</v>
      </c>
      <c r="D260" s="7" t="s">
        <v>1529</v>
      </c>
      <c r="E260" s="7" t="s">
        <v>33</v>
      </c>
      <c r="F260" s="7" t="s">
        <v>34</v>
      </c>
      <c r="G260" s="7" t="s">
        <v>35</v>
      </c>
      <c r="H260" s="7"/>
      <c r="I260" s="7"/>
      <c r="J260" s="7" t="s">
        <v>36</v>
      </c>
      <c r="K260" s="7" t="s">
        <v>131</v>
      </c>
      <c r="L260" s="7" t="s">
        <v>132</v>
      </c>
      <c r="M260" s="7" t="s">
        <v>133</v>
      </c>
      <c r="N260" s="7" t="s">
        <v>33</v>
      </c>
      <c r="O260" s="7">
        <v>2</v>
      </c>
      <c r="P260" s="7" t="s">
        <v>40</v>
      </c>
      <c r="Q260" s="7">
        <v>37.98</v>
      </c>
      <c r="R260" s="7"/>
      <c r="S260" s="7"/>
      <c r="T260" s="7"/>
      <c r="U260" s="7"/>
      <c r="V260" s="7"/>
      <c r="W260" s="7"/>
      <c r="X260" s="7"/>
      <c r="Y260" s="7" t="s">
        <v>1530</v>
      </c>
      <c r="Z260" s="7" t="s">
        <v>1194</v>
      </c>
      <c r="AA260" s="7" t="s">
        <v>1531</v>
      </c>
      <c r="AB260" s="7" t="s">
        <v>43</v>
      </c>
      <c r="AC260" s="7"/>
      <c r="AD260" s="7"/>
      <c r="AE260" s="7"/>
      <c r="AF260" s="7"/>
      <c r="AG260" s="8">
        <f t="shared" si="4"/>
        <v>43318</v>
      </c>
    </row>
    <row r="261" spans="1:33">
      <c r="A261" s="7" t="s">
        <v>1532</v>
      </c>
      <c r="B261" s="7" t="s">
        <v>1532</v>
      </c>
      <c r="C261" s="7" t="s">
        <v>1533</v>
      </c>
      <c r="D261" s="7" t="s">
        <v>1534</v>
      </c>
      <c r="E261" s="7" t="s">
        <v>33</v>
      </c>
      <c r="F261" s="7" t="s">
        <v>34</v>
      </c>
      <c r="G261" s="7" t="s">
        <v>35</v>
      </c>
      <c r="H261" s="7"/>
      <c r="I261" s="7"/>
      <c r="J261" s="7" t="s">
        <v>36</v>
      </c>
      <c r="K261" s="7" t="s">
        <v>131</v>
      </c>
      <c r="L261" s="7" t="s">
        <v>132</v>
      </c>
      <c r="M261" s="7" t="s">
        <v>133</v>
      </c>
      <c r="N261" s="7" t="s">
        <v>33</v>
      </c>
      <c r="O261" s="7">
        <v>1</v>
      </c>
      <c r="P261" s="7" t="s">
        <v>40</v>
      </c>
      <c r="Q261" s="7">
        <v>18.99</v>
      </c>
      <c r="R261" s="7"/>
      <c r="S261" s="7"/>
      <c r="T261" s="7"/>
      <c r="U261" s="7"/>
      <c r="V261" s="7"/>
      <c r="W261" s="7"/>
      <c r="X261" s="7"/>
      <c r="Y261" s="7" t="s">
        <v>1535</v>
      </c>
      <c r="Z261" s="7" t="s">
        <v>323</v>
      </c>
      <c r="AA261" s="7" t="s">
        <v>1536</v>
      </c>
      <c r="AB261" s="7" t="s">
        <v>43</v>
      </c>
      <c r="AC261" s="7"/>
      <c r="AD261" s="7"/>
      <c r="AE261" s="7"/>
      <c r="AF261" s="7"/>
      <c r="AG261" s="8">
        <f t="shared" si="4"/>
        <v>43318</v>
      </c>
    </row>
    <row r="262" spans="1:33">
      <c r="A262" s="7" t="s">
        <v>1537</v>
      </c>
      <c r="B262" s="7" t="s">
        <v>1537</v>
      </c>
      <c r="C262" s="7" t="s">
        <v>1538</v>
      </c>
      <c r="D262" s="7" t="s">
        <v>1539</v>
      </c>
      <c r="E262" s="7" t="s">
        <v>33</v>
      </c>
      <c r="F262" s="7" t="s">
        <v>34</v>
      </c>
      <c r="G262" s="7" t="s">
        <v>35</v>
      </c>
      <c r="H262" s="7"/>
      <c r="I262" s="7"/>
      <c r="J262" s="7" t="s">
        <v>36</v>
      </c>
      <c r="K262" s="7" t="s">
        <v>199</v>
      </c>
      <c r="L262" s="7" t="s">
        <v>200</v>
      </c>
      <c r="M262" s="7" t="s">
        <v>201</v>
      </c>
      <c r="N262" s="7" t="s">
        <v>33</v>
      </c>
      <c r="O262" s="7">
        <v>1</v>
      </c>
      <c r="P262" s="7" t="s">
        <v>40</v>
      </c>
      <c r="Q262" s="7">
        <v>18.99</v>
      </c>
      <c r="R262" s="7"/>
      <c r="S262" s="7"/>
      <c r="T262" s="7"/>
      <c r="U262" s="7"/>
      <c r="V262" s="7"/>
      <c r="W262" s="7"/>
      <c r="X262" s="7"/>
      <c r="Y262" s="7" t="s">
        <v>1540</v>
      </c>
      <c r="Z262" s="7" t="s">
        <v>646</v>
      </c>
      <c r="AA262" s="7" t="s">
        <v>1541</v>
      </c>
      <c r="AB262" s="7" t="s">
        <v>43</v>
      </c>
      <c r="AC262" s="7"/>
      <c r="AD262" s="7"/>
      <c r="AE262" s="7"/>
      <c r="AF262" s="7"/>
      <c r="AG262" s="8">
        <f t="shared" si="4"/>
        <v>43318</v>
      </c>
    </row>
    <row r="263" spans="1:33">
      <c r="A263" s="7" t="s">
        <v>1542</v>
      </c>
      <c r="B263" s="7" t="s">
        <v>1542</v>
      </c>
      <c r="C263" s="7" t="s">
        <v>1543</v>
      </c>
      <c r="D263" s="7" t="s">
        <v>1544</v>
      </c>
      <c r="E263" s="7" t="s">
        <v>33</v>
      </c>
      <c r="F263" s="7" t="s">
        <v>34</v>
      </c>
      <c r="G263" s="7" t="s">
        <v>35</v>
      </c>
      <c r="H263" s="7"/>
      <c r="I263" s="7"/>
      <c r="J263" s="7" t="s">
        <v>36</v>
      </c>
      <c r="K263" s="7" t="s">
        <v>199</v>
      </c>
      <c r="L263" s="7" t="s">
        <v>200</v>
      </c>
      <c r="M263" s="7" t="s">
        <v>201</v>
      </c>
      <c r="N263" s="7" t="s">
        <v>33</v>
      </c>
      <c r="O263" s="7">
        <v>1</v>
      </c>
      <c r="P263" s="7" t="s">
        <v>40</v>
      </c>
      <c r="Q263" s="7">
        <v>18.99</v>
      </c>
      <c r="R263" s="7"/>
      <c r="S263" s="7"/>
      <c r="T263" s="7"/>
      <c r="U263" s="7"/>
      <c r="V263" s="7"/>
      <c r="W263" s="7"/>
      <c r="X263" s="7"/>
      <c r="Y263" s="7" t="s">
        <v>1545</v>
      </c>
      <c r="Z263" s="7" t="s">
        <v>1546</v>
      </c>
      <c r="AA263" s="7" t="s">
        <v>1547</v>
      </c>
      <c r="AB263" s="7" t="s">
        <v>43</v>
      </c>
      <c r="AC263" s="7"/>
      <c r="AD263" s="7"/>
      <c r="AE263" s="7"/>
      <c r="AF263" s="7"/>
      <c r="AG263" s="8">
        <f t="shared" si="4"/>
        <v>43318</v>
      </c>
    </row>
    <row r="264" spans="1:33">
      <c r="A264" s="7" t="s">
        <v>1548</v>
      </c>
      <c r="B264" s="7" t="s">
        <v>1548</v>
      </c>
      <c r="C264" s="7" t="s">
        <v>1549</v>
      </c>
      <c r="D264" s="7" t="s">
        <v>1550</v>
      </c>
      <c r="E264" s="7" t="s">
        <v>33</v>
      </c>
      <c r="F264" s="7" t="s">
        <v>34</v>
      </c>
      <c r="G264" s="7" t="s">
        <v>35</v>
      </c>
      <c r="H264" s="7"/>
      <c r="I264" s="7"/>
      <c r="J264" s="7" t="s">
        <v>336</v>
      </c>
      <c r="K264" s="7" t="s">
        <v>170</v>
      </c>
      <c r="L264" s="7" t="s">
        <v>315</v>
      </c>
      <c r="M264" s="7" t="s">
        <v>316</v>
      </c>
      <c r="N264" s="7" t="s">
        <v>33</v>
      </c>
      <c r="O264" s="7">
        <v>1</v>
      </c>
      <c r="P264" s="7" t="s">
        <v>40</v>
      </c>
      <c r="Q264" s="7">
        <v>19.38</v>
      </c>
      <c r="R264" s="7"/>
      <c r="S264" s="7">
        <v>3.49</v>
      </c>
      <c r="T264" s="7"/>
      <c r="U264" s="7"/>
      <c r="V264" s="7"/>
      <c r="W264" s="7"/>
      <c r="X264" s="7">
        <v>3.49</v>
      </c>
      <c r="Y264" s="7" t="s">
        <v>1551</v>
      </c>
      <c r="Z264" s="7" t="s">
        <v>646</v>
      </c>
      <c r="AA264" s="7" t="s">
        <v>1552</v>
      </c>
      <c r="AB264" s="7" t="s">
        <v>43</v>
      </c>
      <c r="AC264" s="7" t="s">
        <v>514</v>
      </c>
      <c r="AD264" s="7"/>
      <c r="AE264" s="7"/>
      <c r="AF264" s="7"/>
      <c r="AG264" s="8">
        <f t="shared" si="4"/>
        <v>43318</v>
      </c>
    </row>
    <row r="265" spans="1:33">
      <c r="A265" s="7" t="s">
        <v>1553</v>
      </c>
      <c r="B265" s="7" t="s">
        <v>1553</v>
      </c>
      <c r="C265" s="7" t="s">
        <v>1554</v>
      </c>
      <c r="D265" s="7" t="s">
        <v>1555</v>
      </c>
      <c r="E265" s="7" t="s">
        <v>33</v>
      </c>
      <c r="F265" s="7" t="s">
        <v>34</v>
      </c>
      <c r="G265" s="7" t="s">
        <v>35</v>
      </c>
      <c r="H265" s="7"/>
      <c r="I265" s="7"/>
      <c r="J265" s="7" t="s">
        <v>36</v>
      </c>
      <c r="K265" s="7" t="s">
        <v>170</v>
      </c>
      <c r="L265" s="7" t="s">
        <v>1494</v>
      </c>
      <c r="M265" s="7" t="s">
        <v>1495</v>
      </c>
      <c r="N265" s="7" t="s">
        <v>33</v>
      </c>
      <c r="O265" s="7">
        <v>1</v>
      </c>
      <c r="P265" s="7" t="s">
        <v>40</v>
      </c>
      <c r="Q265" s="7">
        <v>19.38</v>
      </c>
      <c r="R265" s="7"/>
      <c r="S265" s="7"/>
      <c r="T265" s="7"/>
      <c r="U265" s="7"/>
      <c r="V265" s="7"/>
      <c r="W265" s="7"/>
      <c r="X265" s="7"/>
      <c r="Y265" s="7" t="s">
        <v>1556</v>
      </c>
      <c r="Z265" s="7" t="s">
        <v>227</v>
      </c>
      <c r="AA265" s="7" t="s">
        <v>1557</v>
      </c>
      <c r="AB265" s="7" t="s">
        <v>43</v>
      </c>
      <c r="AC265" s="7"/>
      <c r="AD265" s="7"/>
      <c r="AE265" s="7"/>
      <c r="AF265" s="7"/>
      <c r="AG265" s="8">
        <f t="shared" si="4"/>
        <v>43318</v>
      </c>
    </row>
    <row r="266" spans="1:33">
      <c r="A266" s="7" t="s">
        <v>1558</v>
      </c>
      <c r="B266" s="7" t="s">
        <v>1558</v>
      </c>
      <c r="C266" s="7" t="s">
        <v>1559</v>
      </c>
      <c r="D266" s="7" t="s">
        <v>1560</v>
      </c>
      <c r="E266" s="7" t="s">
        <v>33</v>
      </c>
      <c r="F266" s="7" t="s">
        <v>34</v>
      </c>
      <c r="G266" s="7" t="s">
        <v>35</v>
      </c>
      <c r="H266" s="7"/>
      <c r="I266" s="7"/>
      <c r="J266" s="7" t="s">
        <v>36</v>
      </c>
      <c r="K266" s="7" t="s">
        <v>90</v>
      </c>
      <c r="L266" s="7" t="s">
        <v>91</v>
      </c>
      <c r="M266" s="7" t="s">
        <v>92</v>
      </c>
      <c r="N266" s="7" t="s">
        <v>33</v>
      </c>
      <c r="O266" s="7">
        <v>1</v>
      </c>
      <c r="P266" s="7" t="s">
        <v>40</v>
      </c>
      <c r="Q266" s="7">
        <v>19.99</v>
      </c>
      <c r="R266" s="7"/>
      <c r="S266" s="7"/>
      <c r="T266" s="7"/>
      <c r="U266" s="7"/>
      <c r="V266" s="7"/>
      <c r="W266" s="7"/>
      <c r="X266" s="7"/>
      <c r="Y266" s="7" t="s">
        <v>1418</v>
      </c>
      <c r="Z266" s="7" t="s">
        <v>85</v>
      </c>
      <c r="AA266" s="7" t="s">
        <v>1561</v>
      </c>
      <c r="AB266" s="7" t="s">
        <v>43</v>
      </c>
      <c r="AC266" s="7"/>
      <c r="AD266" s="7"/>
      <c r="AE266" s="7"/>
      <c r="AF266" s="7"/>
      <c r="AG266" s="8">
        <f t="shared" si="4"/>
        <v>43318</v>
      </c>
    </row>
    <row r="267" spans="1:33">
      <c r="A267" s="7" t="s">
        <v>1562</v>
      </c>
      <c r="B267" s="7" t="s">
        <v>1562</v>
      </c>
      <c r="C267" s="7" t="s">
        <v>1563</v>
      </c>
      <c r="D267" s="7" t="s">
        <v>1564</v>
      </c>
      <c r="E267" s="7" t="s">
        <v>33</v>
      </c>
      <c r="F267" s="7" t="s">
        <v>34</v>
      </c>
      <c r="G267" s="7" t="s">
        <v>35</v>
      </c>
      <c r="H267" s="7"/>
      <c r="I267" s="7"/>
      <c r="J267" s="7" t="s">
        <v>36</v>
      </c>
      <c r="K267" s="7" t="s">
        <v>965</v>
      </c>
      <c r="L267" s="7" t="s">
        <v>1565</v>
      </c>
      <c r="M267" s="7" t="s">
        <v>1566</v>
      </c>
      <c r="N267" s="7" t="s">
        <v>33</v>
      </c>
      <c r="O267" s="7">
        <v>1</v>
      </c>
      <c r="P267" s="7" t="s">
        <v>40</v>
      </c>
      <c r="Q267" s="7">
        <v>17.99</v>
      </c>
      <c r="R267" s="7"/>
      <c r="S267" s="7"/>
      <c r="T267" s="7"/>
      <c r="U267" s="7"/>
      <c r="V267" s="7"/>
      <c r="W267" s="7"/>
      <c r="X267" s="7"/>
      <c r="Y267" s="7" t="s">
        <v>1567</v>
      </c>
      <c r="Z267" s="7" t="s">
        <v>94</v>
      </c>
      <c r="AA267" s="7" t="s">
        <v>1568</v>
      </c>
      <c r="AB267" s="7" t="s">
        <v>43</v>
      </c>
      <c r="AC267" s="7"/>
      <c r="AD267" s="7"/>
      <c r="AE267" s="7"/>
      <c r="AF267" s="7"/>
      <c r="AG267" s="8">
        <f t="shared" si="4"/>
        <v>43318</v>
      </c>
    </row>
    <row r="268" spans="1:33">
      <c r="A268" s="7" t="s">
        <v>1569</v>
      </c>
      <c r="B268" s="7" t="s">
        <v>1569</v>
      </c>
      <c r="C268" s="7" t="s">
        <v>1570</v>
      </c>
      <c r="D268" s="7" t="s">
        <v>1571</v>
      </c>
      <c r="E268" s="7" t="s">
        <v>33</v>
      </c>
      <c r="F268" s="7" t="s">
        <v>34</v>
      </c>
      <c r="G268" s="7" t="s">
        <v>35</v>
      </c>
      <c r="H268" s="7"/>
      <c r="I268" s="7"/>
      <c r="J268" s="7" t="s">
        <v>36</v>
      </c>
      <c r="K268" s="7" t="s">
        <v>90</v>
      </c>
      <c r="L268" s="7" t="s">
        <v>540</v>
      </c>
      <c r="M268" s="7" t="s">
        <v>541</v>
      </c>
      <c r="N268" s="7" t="s">
        <v>33</v>
      </c>
      <c r="O268" s="7">
        <v>1</v>
      </c>
      <c r="P268" s="7" t="s">
        <v>40</v>
      </c>
      <c r="Q268" s="7">
        <v>19.99</v>
      </c>
      <c r="R268" s="7"/>
      <c r="S268" s="7"/>
      <c r="T268" s="7"/>
      <c r="U268" s="7"/>
      <c r="V268" s="7"/>
      <c r="W268" s="7"/>
      <c r="X268" s="7"/>
      <c r="Y268" s="7" t="s">
        <v>1572</v>
      </c>
      <c r="Z268" s="7" t="s">
        <v>51</v>
      </c>
      <c r="AA268" s="7" t="s">
        <v>1573</v>
      </c>
      <c r="AB268" s="7" t="s">
        <v>43</v>
      </c>
      <c r="AC268" s="7"/>
      <c r="AD268" s="7"/>
      <c r="AE268" s="7"/>
      <c r="AF268" s="7"/>
      <c r="AG268" s="8">
        <f t="shared" si="4"/>
        <v>43318</v>
      </c>
    </row>
    <row r="269" spans="1:33">
      <c r="A269" s="7" t="s">
        <v>1574</v>
      </c>
      <c r="B269" s="7" t="s">
        <v>1574</v>
      </c>
      <c r="C269" s="7" t="s">
        <v>1575</v>
      </c>
      <c r="D269" s="7" t="s">
        <v>1576</v>
      </c>
      <c r="E269" s="7" t="s">
        <v>33</v>
      </c>
      <c r="F269" s="7" t="s">
        <v>34</v>
      </c>
      <c r="G269" s="7" t="s">
        <v>35</v>
      </c>
      <c r="H269" s="7"/>
      <c r="I269" s="7"/>
      <c r="J269" s="7" t="s">
        <v>36</v>
      </c>
      <c r="K269" s="7" t="s">
        <v>255</v>
      </c>
      <c r="L269" s="7" t="s">
        <v>256</v>
      </c>
      <c r="M269" s="7" t="s">
        <v>257</v>
      </c>
      <c r="N269" s="7" t="s">
        <v>33</v>
      </c>
      <c r="O269" s="7">
        <v>1</v>
      </c>
      <c r="P269" s="7" t="s">
        <v>40</v>
      </c>
      <c r="Q269" s="7">
        <v>19.99</v>
      </c>
      <c r="R269" s="7"/>
      <c r="S269" s="7"/>
      <c r="T269" s="7"/>
      <c r="U269" s="7"/>
      <c r="V269" s="7"/>
      <c r="W269" s="7"/>
      <c r="X269" s="7"/>
      <c r="Y269" s="7" t="s">
        <v>1577</v>
      </c>
      <c r="Z269" s="7" t="s">
        <v>59</v>
      </c>
      <c r="AA269" s="7" t="s">
        <v>1578</v>
      </c>
      <c r="AB269" s="7" t="s">
        <v>43</v>
      </c>
      <c r="AC269" s="7"/>
      <c r="AD269" s="7"/>
      <c r="AE269" s="7"/>
      <c r="AF269" s="7"/>
      <c r="AG269" s="8">
        <f t="shared" si="4"/>
        <v>43318</v>
      </c>
    </row>
    <row r="270" spans="1:33">
      <c r="A270" s="7" t="s">
        <v>1579</v>
      </c>
      <c r="B270" s="7" t="s">
        <v>1579</v>
      </c>
      <c r="C270" s="7" t="s">
        <v>1580</v>
      </c>
      <c r="D270" s="7" t="s">
        <v>1581</v>
      </c>
      <c r="E270" s="7" t="s">
        <v>33</v>
      </c>
      <c r="F270" s="7" t="s">
        <v>34</v>
      </c>
      <c r="G270" s="7" t="s">
        <v>35</v>
      </c>
      <c r="H270" s="7"/>
      <c r="I270" s="7"/>
      <c r="J270" s="7" t="s">
        <v>36</v>
      </c>
      <c r="K270" s="7" t="s">
        <v>255</v>
      </c>
      <c r="L270" s="7" t="s">
        <v>277</v>
      </c>
      <c r="M270" s="7" t="s">
        <v>278</v>
      </c>
      <c r="N270" s="7" t="s">
        <v>33</v>
      </c>
      <c r="O270" s="7">
        <v>1</v>
      </c>
      <c r="P270" s="7" t="s">
        <v>40</v>
      </c>
      <c r="Q270" s="7">
        <v>19.99</v>
      </c>
      <c r="R270" s="7"/>
      <c r="S270" s="7"/>
      <c r="T270" s="7"/>
      <c r="U270" s="7"/>
      <c r="V270" s="7"/>
      <c r="W270" s="7"/>
      <c r="X270" s="7"/>
      <c r="Y270" s="7" t="s">
        <v>1582</v>
      </c>
      <c r="Z270" s="7" t="s">
        <v>59</v>
      </c>
      <c r="AA270" s="7" t="s">
        <v>1583</v>
      </c>
      <c r="AB270" s="7" t="s">
        <v>43</v>
      </c>
      <c r="AC270" s="7"/>
      <c r="AD270" s="7"/>
      <c r="AE270" s="7"/>
      <c r="AF270" s="7"/>
      <c r="AG270" s="8">
        <f t="shared" si="4"/>
        <v>43318</v>
      </c>
    </row>
    <row r="271" spans="1:33">
      <c r="A271" s="7" t="s">
        <v>1584</v>
      </c>
      <c r="B271" s="7" t="s">
        <v>1584</v>
      </c>
      <c r="C271" s="7" t="s">
        <v>1585</v>
      </c>
      <c r="D271" s="7" t="s">
        <v>1586</v>
      </c>
      <c r="E271" s="7" t="s">
        <v>33</v>
      </c>
      <c r="F271" s="7" t="s">
        <v>34</v>
      </c>
      <c r="G271" s="7" t="s">
        <v>35</v>
      </c>
      <c r="H271" s="7"/>
      <c r="I271" s="7"/>
      <c r="J271" s="7" t="s">
        <v>36</v>
      </c>
      <c r="K271" s="7" t="s">
        <v>215</v>
      </c>
      <c r="L271" s="7" t="s">
        <v>216</v>
      </c>
      <c r="M271" s="7" t="s">
        <v>217</v>
      </c>
      <c r="N271" s="7" t="s">
        <v>33</v>
      </c>
      <c r="O271" s="7">
        <v>1</v>
      </c>
      <c r="P271" s="7" t="s">
        <v>40</v>
      </c>
      <c r="Q271" s="7">
        <v>18.99</v>
      </c>
      <c r="R271" s="7"/>
      <c r="S271" s="7"/>
      <c r="T271" s="7"/>
      <c r="U271" s="7"/>
      <c r="V271" s="7"/>
      <c r="W271" s="7"/>
      <c r="X271" s="7"/>
      <c r="Y271" s="7" t="s">
        <v>1587</v>
      </c>
      <c r="Z271" s="7" t="s">
        <v>896</v>
      </c>
      <c r="AA271" s="7">
        <v>76227</v>
      </c>
      <c r="AB271" s="7" t="s">
        <v>43</v>
      </c>
      <c r="AC271" s="7"/>
      <c r="AD271" s="7"/>
      <c r="AE271" s="7"/>
      <c r="AF271" s="7"/>
      <c r="AG271" s="8">
        <f t="shared" si="4"/>
        <v>43318</v>
      </c>
    </row>
    <row r="272" spans="1:33">
      <c r="A272" s="7" t="s">
        <v>1588</v>
      </c>
      <c r="B272" s="7" t="s">
        <v>1588</v>
      </c>
      <c r="C272" s="7" t="s">
        <v>1589</v>
      </c>
      <c r="D272" s="7" t="s">
        <v>1590</v>
      </c>
      <c r="E272" s="7" t="s">
        <v>33</v>
      </c>
      <c r="F272" s="7" t="s">
        <v>34</v>
      </c>
      <c r="G272" s="7" t="s">
        <v>35</v>
      </c>
      <c r="H272" s="7"/>
      <c r="I272" s="7"/>
      <c r="J272" s="7" t="s">
        <v>36</v>
      </c>
      <c r="K272" s="7" t="s">
        <v>255</v>
      </c>
      <c r="L272" s="7" t="s">
        <v>256</v>
      </c>
      <c r="M272" s="7" t="s">
        <v>257</v>
      </c>
      <c r="N272" s="7" t="s">
        <v>33</v>
      </c>
      <c r="O272" s="7">
        <v>1</v>
      </c>
      <c r="P272" s="7" t="s">
        <v>40</v>
      </c>
      <c r="Q272" s="7">
        <v>19.99</v>
      </c>
      <c r="R272" s="7"/>
      <c r="S272" s="7"/>
      <c r="T272" s="7"/>
      <c r="U272" s="7"/>
      <c r="V272" s="7"/>
      <c r="W272" s="7"/>
      <c r="X272" s="7"/>
      <c r="Y272" s="7" t="s">
        <v>1591</v>
      </c>
      <c r="Z272" s="7" t="s">
        <v>59</v>
      </c>
      <c r="AA272" s="7" t="s">
        <v>1592</v>
      </c>
      <c r="AB272" s="7" t="s">
        <v>43</v>
      </c>
      <c r="AC272" s="7"/>
      <c r="AD272" s="7"/>
      <c r="AE272" s="7"/>
      <c r="AF272" s="7"/>
      <c r="AG272" s="8">
        <f t="shared" si="4"/>
        <v>43318</v>
      </c>
    </row>
    <row r="273" spans="1:33">
      <c r="A273" s="7" t="s">
        <v>1593</v>
      </c>
      <c r="B273" s="7" t="s">
        <v>1593</v>
      </c>
      <c r="C273" s="7" t="s">
        <v>1594</v>
      </c>
      <c r="D273" s="7" t="s">
        <v>1595</v>
      </c>
      <c r="E273" s="7" t="s">
        <v>33</v>
      </c>
      <c r="F273" s="7" t="s">
        <v>34</v>
      </c>
      <c r="G273" s="7" t="s">
        <v>35</v>
      </c>
      <c r="H273" s="7"/>
      <c r="I273" s="7"/>
      <c r="J273" s="7" t="s">
        <v>292</v>
      </c>
      <c r="K273" s="7" t="s">
        <v>255</v>
      </c>
      <c r="L273" s="7" t="s">
        <v>300</v>
      </c>
      <c r="M273" s="7" t="s">
        <v>301</v>
      </c>
      <c r="N273" s="7" t="s">
        <v>33</v>
      </c>
      <c r="O273" s="7">
        <v>1</v>
      </c>
      <c r="P273" s="7" t="s">
        <v>40</v>
      </c>
      <c r="Q273" s="7">
        <v>19.99</v>
      </c>
      <c r="R273" s="7"/>
      <c r="S273" s="7">
        <v>1.99</v>
      </c>
      <c r="T273" s="7"/>
      <c r="U273" s="7"/>
      <c r="V273" s="7"/>
      <c r="W273" s="7"/>
      <c r="X273" s="7">
        <v>1.99</v>
      </c>
      <c r="Y273" s="7" t="s">
        <v>1596</v>
      </c>
      <c r="Z273" s="7" t="s">
        <v>219</v>
      </c>
      <c r="AA273" s="7" t="s">
        <v>1597</v>
      </c>
      <c r="AB273" s="7" t="s">
        <v>43</v>
      </c>
      <c r="AC273" s="7"/>
      <c r="AD273" s="7"/>
      <c r="AE273" s="7"/>
      <c r="AF273" s="7"/>
      <c r="AG273" s="8">
        <f t="shared" si="4"/>
        <v>43318</v>
      </c>
    </row>
    <row r="274" spans="1:33">
      <c r="A274" s="7" t="s">
        <v>1598</v>
      </c>
      <c r="B274" s="7" t="s">
        <v>1598</v>
      </c>
      <c r="C274" s="7" t="s">
        <v>1599</v>
      </c>
      <c r="D274" s="7" t="s">
        <v>1600</v>
      </c>
      <c r="E274" s="7" t="s">
        <v>33</v>
      </c>
      <c r="F274" s="7" t="s">
        <v>34</v>
      </c>
      <c r="G274" s="7" t="s">
        <v>35</v>
      </c>
      <c r="H274" s="7"/>
      <c r="I274" s="7"/>
      <c r="J274" s="7" t="s">
        <v>36</v>
      </c>
      <c r="K274" s="7" t="s">
        <v>125</v>
      </c>
      <c r="L274" s="7" t="s">
        <v>126</v>
      </c>
      <c r="M274" s="7" t="s">
        <v>127</v>
      </c>
      <c r="N274" s="7" t="s">
        <v>33</v>
      </c>
      <c r="O274" s="7">
        <v>1</v>
      </c>
      <c r="P274" s="7" t="s">
        <v>40</v>
      </c>
      <c r="Q274" s="7">
        <v>18.99</v>
      </c>
      <c r="R274" s="7"/>
      <c r="S274" s="7"/>
      <c r="T274" s="7"/>
      <c r="U274" s="7"/>
      <c r="V274" s="7"/>
      <c r="W274" s="7"/>
      <c r="X274" s="7"/>
      <c r="Y274" s="7" t="s">
        <v>1601</v>
      </c>
      <c r="Z274" s="7" t="s">
        <v>85</v>
      </c>
      <c r="AA274" s="7" t="s">
        <v>1602</v>
      </c>
      <c r="AB274" s="7" t="s">
        <v>43</v>
      </c>
      <c r="AC274" s="7"/>
      <c r="AD274" s="7"/>
      <c r="AE274" s="7"/>
      <c r="AF274" s="7"/>
      <c r="AG274" s="8">
        <f t="shared" si="4"/>
        <v>43318</v>
      </c>
    </row>
    <row r="275" spans="1:33">
      <c r="A275" s="7" t="s">
        <v>1603</v>
      </c>
      <c r="B275" s="7" t="s">
        <v>1603</v>
      </c>
      <c r="C275" s="7" t="s">
        <v>1604</v>
      </c>
      <c r="D275" s="7" t="s">
        <v>1605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36</v>
      </c>
      <c r="K275" s="7" t="s">
        <v>131</v>
      </c>
      <c r="L275" s="7" t="s">
        <v>132</v>
      </c>
      <c r="M275" s="7" t="s">
        <v>133</v>
      </c>
      <c r="N275" s="7" t="s">
        <v>33</v>
      </c>
      <c r="O275" s="7">
        <v>1</v>
      </c>
      <c r="P275" s="7" t="s">
        <v>40</v>
      </c>
      <c r="Q275" s="7">
        <v>18.99</v>
      </c>
      <c r="R275" s="7"/>
      <c r="S275" s="7"/>
      <c r="T275" s="7"/>
      <c r="U275" s="7"/>
      <c r="V275" s="7"/>
      <c r="W275" s="7"/>
      <c r="X275" s="7"/>
      <c r="Y275" s="7" t="s">
        <v>1418</v>
      </c>
      <c r="Z275" s="7" t="s">
        <v>85</v>
      </c>
      <c r="AA275" s="7" t="s">
        <v>1606</v>
      </c>
      <c r="AB275" s="7" t="s">
        <v>43</v>
      </c>
      <c r="AC275" s="7"/>
      <c r="AD275" s="7"/>
      <c r="AE275" s="7"/>
      <c r="AF275" s="7"/>
      <c r="AG275" s="8">
        <f t="shared" si="4"/>
        <v>43318</v>
      </c>
    </row>
    <row r="276" spans="1:33">
      <c r="A276" s="7" t="s">
        <v>1607</v>
      </c>
      <c r="B276" s="7" t="s">
        <v>1607</v>
      </c>
      <c r="C276" s="7" t="s">
        <v>1608</v>
      </c>
      <c r="D276" s="7" t="s">
        <v>1609</v>
      </c>
      <c r="E276" s="7" t="s">
        <v>33</v>
      </c>
      <c r="F276" s="7" t="s">
        <v>34</v>
      </c>
      <c r="G276" s="7" t="s">
        <v>35</v>
      </c>
      <c r="H276" s="7"/>
      <c r="I276" s="7"/>
      <c r="J276" s="7" t="s">
        <v>36</v>
      </c>
      <c r="K276" s="7" t="s">
        <v>255</v>
      </c>
      <c r="L276" s="7" t="s">
        <v>256</v>
      </c>
      <c r="M276" s="7" t="s">
        <v>257</v>
      </c>
      <c r="N276" s="7" t="s">
        <v>33</v>
      </c>
      <c r="O276" s="7">
        <v>1</v>
      </c>
      <c r="P276" s="7" t="s">
        <v>40</v>
      </c>
      <c r="Q276" s="7">
        <v>19.99</v>
      </c>
      <c r="R276" s="7"/>
      <c r="S276" s="7"/>
      <c r="T276" s="7"/>
      <c r="U276" s="7"/>
      <c r="V276" s="7"/>
      <c r="W276" s="7"/>
      <c r="X276" s="7"/>
      <c r="Y276" s="7" t="s">
        <v>362</v>
      </c>
      <c r="Z276" s="7" t="s">
        <v>227</v>
      </c>
      <c r="AA276" s="7" t="s">
        <v>1610</v>
      </c>
      <c r="AB276" s="7" t="s">
        <v>43</v>
      </c>
      <c r="AC276" s="7"/>
      <c r="AD276" s="7"/>
      <c r="AE276" s="7"/>
      <c r="AF276" s="7"/>
      <c r="AG276" s="8">
        <f t="shared" si="4"/>
        <v>43318</v>
      </c>
    </row>
    <row r="277" spans="1:33">
      <c r="A277" s="7" t="s">
        <v>1611</v>
      </c>
      <c r="B277" s="7" t="s">
        <v>1611</v>
      </c>
      <c r="C277" s="7" t="s">
        <v>1612</v>
      </c>
      <c r="D277" s="7" t="s">
        <v>1613</v>
      </c>
      <c r="E277" s="7" t="s">
        <v>33</v>
      </c>
      <c r="F277" s="7" t="s">
        <v>34</v>
      </c>
      <c r="G277" s="7" t="s">
        <v>35</v>
      </c>
      <c r="H277" s="7"/>
      <c r="I277" s="7"/>
      <c r="J277" s="7" t="s">
        <v>36</v>
      </c>
      <c r="K277" s="7" t="s">
        <v>328</v>
      </c>
      <c r="L277" s="7" t="s">
        <v>1614</v>
      </c>
      <c r="M277" s="7" t="s">
        <v>1615</v>
      </c>
      <c r="N277" s="7" t="s">
        <v>33</v>
      </c>
      <c r="O277" s="7">
        <v>1</v>
      </c>
      <c r="P277" s="7" t="s">
        <v>40</v>
      </c>
      <c r="Q277" s="7">
        <v>19.38</v>
      </c>
      <c r="R277" s="7"/>
      <c r="S277" s="7"/>
      <c r="T277" s="7"/>
      <c r="U277" s="7"/>
      <c r="V277" s="7"/>
      <c r="W277" s="7"/>
      <c r="X277" s="7"/>
      <c r="Y277" s="7" t="s">
        <v>1616</v>
      </c>
      <c r="Z277" s="7" t="s">
        <v>646</v>
      </c>
      <c r="AA277" s="7">
        <v>29720</v>
      </c>
      <c r="AB277" s="7" t="s">
        <v>43</v>
      </c>
      <c r="AC277" s="7"/>
      <c r="AD277" s="7"/>
      <c r="AE277" s="7"/>
      <c r="AF277" s="7"/>
      <c r="AG277" s="8">
        <f t="shared" si="4"/>
        <v>43318</v>
      </c>
    </row>
    <row r="278" spans="1:33">
      <c r="A278" s="7" t="s">
        <v>1617</v>
      </c>
      <c r="B278" s="7" t="s">
        <v>1617</v>
      </c>
      <c r="C278" s="7" t="s">
        <v>1618</v>
      </c>
      <c r="D278" s="7" t="s">
        <v>1619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36</v>
      </c>
      <c r="K278" s="7" t="s">
        <v>255</v>
      </c>
      <c r="L278" s="7" t="s">
        <v>300</v>
      </c>
      <c r="M278" s="7" t="s">
        <v>301</v>
      </c>
      <c r="N278" s="7" t="s">
        <v>33</v>
      </c>
      <c r="O278" s="7">
        <v>1</v>
      </c>
      <c r="P278" s="7" t="s">
        <v>40</v>
      </c>
      <c r="Q278" s="7">
        <v>19.99</v>
      </c>
      <c r="R278" s="7"/>
      <c r="S278" s="7"/>
      <c r="T278" s="7"/>
      <c r="U278" s="7"/>
      <c r="V278" s="7"/>
      <c r="W278" s="7"/>
      <c r="X278" s="7"/>
      <c r="Y278" s="7" t="s">
        <v>1620</v>
      </c>
      <c r="Z278" s="7" t="s">
        <v>135</v>
      </c>
      <c r="AA278" s="7" t="s">
        <v>1621</v>
      </c>
      <c r="AB278" s="7" t="s">
        <v>43</v>
      </c>
      <c r="AC278" s="7"/>
      <c r="AD278" s="7"/>
      <c r="AE278" s="7"/>
      <c r="AF278" s="7"/>
      <c r="AG278" s="8">
        <f t="shared" si="4"/>
        <v>43318</v>
      </c>
    </row>
    <row r="279" spans="1:33">
      <c r="A279" s="7" t="s">
        <v>1622</v>
      </c>
      <c r="B279" s="7" t="s">
        <v>1622</v>
      </c>
      <c r="C279" s="7" t="s">
        <v>1623</v>
      </c>
      <c r="D279" s="7" t="s">
        <v>1624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36</v>
      </c>
      <c r="K279" s="7" t="s">
        <v>37</v>
      </c>
      <c r="L279" s="7" t="s">
        <v>82</v>
      </c>
      <c r="M279" s="7" t="s">
        <v>83</v>
      </c>
      <c r="N279" s="7" t="s">
        <v>33</v>
      </c>
      <c r="O279" s="7">
        <v>1</v>
      </c>
      <c r="P279" s="7" t="s">
        <v>40</v>
      </c>
      <c r="Q279" s="7">
        <v>19.99</v>
      </c>
      <c r="R279" s="7"/>
      <c r="S279" s="7"/>
      <c r="T279" s="7"/>
      <c r="U279" s="7"/>
      <c r="V279" s="7"/>
      <c r="W279" s="7"/>
      <c r="X279" s="7"/>
      <c r="Y279" s="7" t="s">
        <v>1625</v>
      </c>
      <c r="Z279" s="7" t="s">
        <v>94</v>
      </c>
      <c r="AA279" s="7" t="s">
        <v>1626</v>
      </c>
      <c r="AB279" s="7" t="s">
        <v>43</v>
      </c>
      <c r="AC279" s="7"/>
      <c r="AD279" s="7"/>
      <c r="AE279" s="7"/>
      <c r="AF279" s="7"/>
      <c r="AG279" s="8">
        <f t="shared" si="4"/>
        <v>43318</v>
      </c>
    </row>
    <row r="280" spans="1:33">
      <c r="A280" s="7" t="s">
        <v>1627</v>
      </c>
      <c r="B280" s="7" t="s">
        <v>1627</v>
      </c>
      <c r="C280" s="7" t="s">
        <v>1628</v>
      </c>
      <c r="D280" s="7" t="s">
        <v>1629</v>
      </c>
      <c r="E280" s="7" t="s">
        <v>33</v>
      </c>
      <c r="F280" s="7" t="s">
        <v>34</v>
      </c>
      <c r="G280" s="7" t="s">
        <v>35</v>
      </c>
      <c r="H280" s="7"/>
      <c r="I280" s="7"/>
      <c r="J280" s="7" t="s">
        <v>36</v>
      </c>
      <c r="K280" s="7" t="s">
        <v>1630</v>
      </c>
      <c r="L280" s="7" t="s">
        <v>1631</v>
      </c>
      <c r="M280" s="7" t="s">
        <v>1632</v>
      </c>
      <c r="N280" s="7" t="s">
        <v>33</v>
      </c>
      <c r="O280" s="7">
        <v>1</v>
      </c>
      <c r="P280" s="7" t="s">
        <v>40</v>
      </c>
      <c r="Q280" s="7">
        <v>19.99</v>
      </c>
      <c r="R280" s="7"/>
      <c r="S280" s="7"/>
      <c r="T280" s="7"/>
      <c r="U280" s="7"/>
      <c r="V280" s="7"/>
      <c r="W280" s="7"/>
      <c r="X280" s="7"/>
      <c r="Y280" s="7" t="s">
        <v>1633</v>
      </c>
      <c r="Z280" s="7" t="s">
        <v>1634</v>
      </c>
      <c r="AA280" s="7" t="s">
        <v>1635</v>
      </c>
      <c r="AB280" s="7" t="s">
        <v>43</v>
      </c>
      <c r="AC280" s="7"/>
      <c r="AD280" s="7"/>
      <c r="AE280" s="7"/>
      <c r="AF280" s="7"/>
      <c r="AG280" s="8">
        <f t="shared" si="4"/>
        <v>43318</v>
      </c>
    </row>
    <row r="281" spans="1:33">
      <c r="A281" s="7" t="s">
        <v>1636</v>
      </c>
      <c r="B281" s="7" t="s">
        <v>1636</v>
      </c>
      <c r="C281" s="7" t="s">
        <v>1637</v>
      </c>
      <c r="D281" s="7" t="s">
        <v>1638</v>
      </c>
      <c r="E281" s="7" t="s">
        <v>33</v>
      </c>
      <c r="F281" s="7" t="s">
        <v>34</v>
      </c>
      <c r="G281" s="7" t="s">
        <v>35</v>
      </c>
      <c r="H281" s="7"/>
      <c r="I281" s="7"/>
      <c r="J281" s="7" t="s">
        <v>36</v>
      </c>
      <c r="K281" s="7" t="s">
        <v>1639</v>
      </c>
      <c r="L281" s="7" t="s">
        <v>1640</v>
      </c>
      <c r="M281" s="7" t="s">
        <v>1641</v>
      </c>
      <c r="N281" s="7" t="s">
        <v>33</v>
      </c>
      <c r="O281" s="7">
        <v>1</v>
      </c>
      <c r="P281" s="7" t="s">
        <v>40</v>
      </c>
      <c r="Q281" s="7">
        <v>17.99</v>
      </c>
      <c r="R281" s="7"/>
      <c r="S281" s="7"/>
      <c r="T281" s="7"/>
      <c r="U281" s="7"/>
      <c r="V281" s="7"/>
      <c r="W281" s="7"/>
      <c r="X281" s="7"/>
      <c r="Y281" s="7" t="s">
        <v>1642</v>
      </c>
      <c r="Z281" s="7" t="s">
        <v>85</v>
      </c>
      <c r="AA281" s="7" t="s">
        <v>1643</v>
      </c>
      <c r="AB281" s="7" t="s">
        <v>43</v>
      </c>
      <c r="AC281" s="7"/>
      <c r="AD281" s="7"/>
      <c r="AE281" s="7"/>
      <c r="AF281" s="7"/>
      <c r="AG281" s="8">
        <f t="shared" si="4"/>
        <v>43319</v>
      </c>
    </row>
    <row r="282" spans="1:33">
      <c r="A282" s="7" t="s">
        <v>1644</v>
      </c>
      <c r="B282" s="7" t="s">
        <v>1644</v>
      </c>
      <c r="C282" s="7" t="s">
        <v>1645</v>
      </c>
      <c r="D282" s="7" t="s">
        <v>1646</v>
      </c>
      <c r="E282" s="7" t="s">
        <v>33</v>
      </c>
      <c r="F282" s="7" t="s">
        <v>34</v>
      </c>
      <c r="G282" s="7" t="s">
        <v>35</v>
      </c>
      <c r="H282" s="7"/>
      <c r="I282" s="7"/>
      <c r="J282" s="7" t="s">
        <v>36</v>
      </c>
      <c r="K282" s="7" t="s">
        <v>255</v>
      </c>
      <c r="L282" s="7" t="s">
        <v>1647</v>
      </c>
      <c r="M282" s="7" t="s">
        <v>1648</v>
      </c>
      <c r="N282" s="7" t="s">
        <v>33</v>
      </c>
      <c r="O282" s="7">
        <v>1</v>
      </c>
      <c r="P282" s="7" t="s">
        <v>40</v>
      </c>
      <c r="Q282" s="7">
        <v>19.99</v>
      </c>
      <c r="R282" s="7"/>
      <c r="S282" s="7"/>
      <c r="T282" s="7"/>
      <c r="U282" s="7"/>
      <c r="V282" s="7"/>
      <c r="W282" s="7"/>
      <c r="X282" s="7"/>
      <c r="Y282" s="7" t="s">
        <v>1649</v>
      </c>
      <c r="Z282" s="7" t="s">
        <v>227</v>
      </c>
      <c r="AA282" s="7" t="s">
        <v>1650</v>
      </c>
      <c r="AB282" s="7" t="s">
        <v>43</v>
      </c>
      <c r="AC282" s="7"/>
      <c r="AD282" s="7"/>
      <c r="AE282" s="7"/>
      <c r="AF282" s="7"/>
      <c r="AG282" s="8">
        <f t="shared" si="4"/>
        <v>43319</v>
      </c>
    </row>
    <row r="283" spans="1:33">
      <c r="A283" s="7" t="s">
        <v>1651</v>
      </c>
      <c r="B283" s="7" t="s">
        <v>1651</v>
      </c>
      <c r="C283" s="7" t="s">
        <v>1652</v>
      </c>
      <c r="D283" s="7" t="s">
        <v>1653</v>
      </c>
      <c r="E283" s="7" t="s">
        <v>33</v>
      </c>
      <c r="F283" s="7" t="s">
        <v>34</v>
      </c>
      <c r="G283" s="7" t="s">
        <v>35</v>
      </c>
      <c r="H283" s="7"/>
      <c r="I283" s="7"/>
      <c r="J283" s="7" t="s">
        <v>36</v>
      </c>
      <c r="K283" s="7" t="s">
        <v>170</v>
      </c>
      <c r="L283" s="7" t="s">
        <v>505</v>
      </c>
      <c r="M283" s="7" t="s">
        <v>506</v>
      </c>
      <c r="N283" s="7" t="s">
        <v>33</v>
      </c>
      <c r="O283" s="7">
        <v>1</v>
      </c>
      <c r="P283" s="7" t="s">
        <v>40</v>
      </c>
      <c r="Q283" s="7">
        <v>19.38</v>
      </c>
      <c r="R283" s="7"/>
      <c r="S283" s="7"/>
      <c r="T283" s="7"/>
      <c r="U283" s="7"/>
      <c r="V283" s="7"/>
      <c r="W283" s="7"/>
      <c r="X283" s="7"/>
      <c r="Y283" s="7" t="s">
        <v>362</v>
      </c>
      <c r="Z283" s="7" t="s">
        <v>227</v>
      </c>
      <c r="AA283" s="7" t="s">
        <v>1654</v>
      </c>
      <c r="AB283" s="7" t="s">
        <v>43</v>
      </c>
      <c r="AC283" s="7"/>
      <c r="AD283" s="7"/>
      <c r="AE283" s="7"/>
      <c r="AF283" s="7"/>
      <c r="AG283" s="8">
        <f t="shared" si="4"/>
        <v>43319</v>
      </c>
    </row>
    <row r="284" spans="1:33">
      <c r="A284" s="7" t="s">
        <v>1655</v>
      </c>
      <c r="B284" s="7" t="s">
        <v>1655</v>
      </c>
      <c r="C284" s="7" t="s">
        <v>1656</v>
      </c>
      <c r="D284" s="7" t="s">
        <v>1657</v>
      </c>
      <c r="E284" s="7" t="s">
        <v>33</v>
      </c>
      <c r="F284" s="7" t="s">
        <v>34</v>
      </c>
      <c r="G284" s="7" t="s">
        <v>35</v>
      </c>
      <c r="H284" s="7"/>
      <c r="I284" s="7"/>
      <c r="J284" s="7" t="s">
        <v>36</v>
      </c>
      <c r="K284" s="7" t="s">
        <v>255</v>
      </c>
      <c r="L284" s="7" t="s">
        <v>1647</v>
      </c>
      <c r="M284" s="7" t="s">
        <v>1648</v>
      </c>
      <c r="N284" s="7" t="s">
        <v>33</v>
      </c>
      <c r="O284" s="7">
        <v>1</v>
      </c>
      <c r="P284" s="7" t="s">
        <v>40</v>
      </c>
      <c r="Q284" s="7">
        <v>19.99</v>
      </c>
      <c r="R284" s="7"/>
      <c r="S284" s="7"/>
      <c r="T284" s="7"/>
      <c r="U284" s="7"/>
      <c r="V284" s="7"/>
      <c r="W284" s="7"/>
      <c r="X284" s="7"/>
      <c r="Y284" s="7" t="s">
        <v>1658</v>
      </c>
      <c r="Z284" s="7" t="s">
        <v>135</v>
      </c>
      <c r="AA284" s="7" t="s">
        <v>1659</v>
      </c>
      <c r="AB284" s="7" t="s">
        <v>43</v>
      </c>
      <c r="AC284" s="7"/>
      <c r="AD284" s="7"/>
      <c r="AE284" s="7"/>
      <c r="AF284" s="7"/>
      <c r="AG284" s="8">
        <f t="shared" si="4"/>
        <v>43319</v>
      </c>
    </row>
    <row r="285" spans="1:33">
      <c r="A285" s="7" t="s">
        <v>1660</v>
      </c>
      <c r="B285" s="7" t="s">
        <v>1660</v>
      </c>
      <c r="C285" s="7" t="s">
        <v>1661</v>
      </c>
      <c r="D285" s="7" t="s">
        <v>1662</v>
      </c>
      <c r="E285" s="7" t="s">
        <v>33</v>
      </c>
      <c r="F285" s="7" t="s">
        <v>34</v>
      </c>
      <c r="G285" s="7" t="s">
        <v>35</v>
      </c>
      <c r="H285" s="7"/>
      <c r="I285" s="7"/>
      <c r="J285" s="7" t="s">
        <v>36</v>
      </c>
      <c r="K285" s="7" t="s">
        <v>247</v>
      </c>
      <c r="L285" s="7" t="s">
        <v>248</v>
      </c>
      <c r="M285" s="7" t="s">
        <v>249</v>
      </c>
      <c r="N285" s="7" t="s">
        <v>33</v>
      </c>
      <c r="O285" s="7">
        <v>1</v>
      </c>
      <c r="P285" s="7" t="s">
        <v>40</v>
      </c>
      <c r="Q285" s="7">
        <v>18.99</v>
      </c>
      <c r="R285" s="7"/>
      <c r="S285" s="7"/>
      <c r="T285" s="7"/>
      <c r="U285" s="7"/>
      <c r="V285" s="7"/>
      <c r="W285" s="7"/>
      <c r="X285" s="7"/>
      <c r="Y285" s="7" t="s">
        <v>1663</v>
      </c>
      <c r="Z285" s="7" t="s">
        <v>174</v>
      </c>
      <c r="AA285" s="7" t="s">
        <v>1664</v>
      </c>
      <c r="AB285" s="7" t="s">
        <v>43</v>
      </c>
      <c r="AC285" s="7"/>
      <c r="AD285" s="7"/>
      <c r="AE285" s="7"/>
      <c r="AF285" s="7"/>
      <c r="AG285" s="8">
        <f t="shared" si="4"/>
        <v>43319</v>
      </c>
    </row>
    <row r="286" spans="1:33">
      <c r="A286" s="7" t="s">
        <v>1660</v>
      </c>
      <c r="B286" s="7" t="s">
        <v>1660</v>
      </c>
      <c r="C286" s="7" t="s">
        <v>1661</v>
      </c>
      <c r="D286" s="7" t="s">
        <v>1662</v>
      </c>
      <c r="E286" s="7" t="s">
        <v>33</v>
      </c>
      <c r="F286" s="7" t="s">
        <v>34</v>
      </c>
      <c r="G286" s="7" t="s">
        <v>35</v>
      </c>
      <c r="H286" s="7"/>
      <c r="I286" s="7"/>
      <c r="J286" s="7" t="s">
        <v>36</v>
      </c>
      <c r="K286" s="7" t="s">
        <v>199</v>
      </c>
      <c r="L286" s="7" t="s">
        <v>200</v>
      </c>
      <c r="M286" s="7" t="s">
        <v>201</v>
      </c>
      <c r="N286" s="7" t="s">
        <v>33</v>
      </c>
      <c r="O286" s="7">
        <v>1</v>
      </c>
      <c r="P286" s="7" t="s">
        <v>40</v>
      </c>
      <c r="Q286" s="7">
        <v>18.99</v>
      </c>
      <c r="R286" s="7"/>
      <c r="S286" s="7"/>
      <c r="T286" s="7"/>
      <c r="U286" s="7"/>
      <c r="V286" s="7"/>
      <c r="W286" s="7"/>
      <c r="X286" s="7"/>
      <c r="Y286" s="7" t="s">
        <v>1663</v>
      </c>
      <c r="Z286" s="7" t="s">
        <v>174</v>
      </c>
      <c r="AA286" s="7" t="s">
        <v>1664</v>
      </c>
      <c r="AB286" s="7" t="s">
        <v>43</v>
      </c>
      <c r="AC286" s="7"/>
      <c r="AD286" s="7"/>
      <c r="AE286" s="7"/>
      <c r="AF286" s="7"/>
      <c r="AG286" s="8">
        <f t="shared" si="4"/>
        <v>43319</v>
      </c>
    </row>
    <row r="287" spans="1:33">
      <c r="A287" s="7" t="s">
        <v>1665</v>
      </c>
      <c r="B287" s="7" t="s">
        <v>1665</v>
      </c>
      <c r="C287" s="7" t="s">
        <v>1666</v>
      </c>
      <c r="D287" s="7" t="s">
        <v>1667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36</v>
      </c>
      <c r="K287" s="7" t="s">
        <v>125</v>
      </c>
      <c r="L287" s="7" t="s">
        <v>126</v>
      </c>
      <c r="M287" s="7" t="s">
        <v>127</v>
      </c>
      <c r="N287" s="7" t="s">
        <v>33</v>
      </c>
      <c r="O287" s="7">
        <v>1</v>
      </c>
      <c r="P287" s="7" t="s">
        <v>40</v>
      </c>
      <c r="Q287" s="7">
        <v>18.99</v>
      </c>
      <c r="R287" s="7"/>
      <c r="S287" s="7"/>
      <c r="T287" s="7"/>
      <c r="U287" s="7"/>
      <c r="V287" s="7"/>
      <c r="W287" s="7"/>
      <c r="X287" s="7"/>
      <c r="Y287" s="7" t="s">
        <v>1668</v>
      </c>
      <c r="Z287" s="7" t="s">
        <v>51</v>
      </c>
      <c r="AA287" s="7" t="s">
        <v>1669</v>
      </c>
      <c r="AB287" s="7" t="s">
        <v>43</v>
      </c>
      <c r="AC287" s="7"/>
      <c r="AD287" s="7"/>
      <c r="AE287" s="7"/>
      <c r="AF287" s="7"/>
      <c r="AG287" s="8">
        <f t="shared" si="4"/>
        <v>43319</v>
      </c>
    </row>
    <row r="288" spans="1:33">
      <c r="A288" s="7" t="s">
        <v>1670</v>
      </c>
      <c r="B288" s="7" t="s">
        <v>1670</v>
      </c>
      <c r="C288" s="7" t="s">
        <v>1671</v>
      </c>
      <c r="D288" s="7" t="s">
        <v>1672</v>
      </c>
      <c r="E288" s="7" t="s">
        <v>33</v>
      </c>
      <c r="F288" s="7" t="s">
        <v>34</v>
      </c>
      <c r="G288" s="7" t="s">
        <v>35</v>
      </c>
      <c r="H288" s="7"/>
      <c r="I288" s="7"/>
      <c r="J288" s="7" t="s">
        <v>36</v>
      </c>
      <c r="K288" s="7" t="s">
        <v>255</v>
      </c>
      <c r="L288" s="7" t="s">
        <v>277</v>
      </c>
      <c r="M288" s="7" t="s">
        <v>278</v>
      </c>
      <c r="N288" s="7" t="s">
        <v>33</v>
      </c>
      <c r="O288" s="7">
        <v>1</v>
      </c>
      <c r="P288" s="7" t="s">
        <v>40</v>
      </c>
      <c r="Q288" s="7">
        <v>19.99</v>
      </c>
      <c r="R288" s="7"/>
      <c r="S288" s="7"/>
      <c r="T288" s="7"/>
      <c r="U288" s="7"/>
      <c r="V288" s="7"/>
      <c r="W288" s="7"/>
      <c r="X288" s="7"/>
      <c r="Y288" s="7" t="s">
        <v>1673</v>
      </c>
      <c r="Z288" s="7" t="s">
        <v>1674</v>
      </c>
      <c r="AA288" s="7">
        <v>34786</v>
      </c>
      <c r="AB288" s="7" t="s">
        <v>43</v>
      </c>
      <c r="AC288" s="7"/>
      <c r="AD288" s="7"/>
      <c r="AE288" s="7"/>
      <c r="AF288" s="7"/>
      <c r="AG288" s="8">
        <f t="shared" si="4"/>
        <v>43319</v>
      </c>
    </row>
    <row r="289" spans="1:33">
      <c r="A289" s="7" t="s">
        <v>1675</v>
      </c>
      <c r="B289" s="7" t="s">
        <v>1675</v>
      </c>
      <c r="C289" s="7" t="s">
        <v>1676</v>
      </c>
      <c r="D289" s="7" t="s">
        <v>1677</v>
      </c>
      <c r="E289" s="7" t="s">
        <v>33</v>
      </c>
      <c r="F289" s="7" t="s">
        <v>34</v>
      </c>
      <c r="G289" s="7" t="s">
        <v>35</v>
      </c>
      <c r="H289" s="7"/>
      <c r="I289" s="7"/>
      <c r="J289" s="7" t="s">
        <v>36</v>
      </c>
      <c r="K289" s="7" t="s">
        <v>255</v>
      </c>
      <c r="L289" s="7" t="s">
        <v>256</v>
      </c>
      <c r="M289" s="7" t="s">
        <v>257</v>
      </c>
      <c r="N289" s="7" t="s">
        <v>33</v>
      </c>
      <c r="O289" s="7">
        <v>1</v>
      </c>
      <c r="P289" s="7" t="s">
        <v>40</v>
      </c>
      <c r="Q289" s="7">
        <v>19.99</v>
      </c>
      <c r="R289" s="7"/>
      <c r="S289" s="7"/>
      <c r="T289" s="7"/>
      <c r="U289" s="7"/>
      <c r="V289" s="7"/>
      <c r="W289" s="7"/>
      <c r="X289" s="7"/>
      <c r="Y289" s="7" t="s">
        <v>1678</v>
      </c>
      <c r="Z289" s="7" t="s">
        <v>194</v>
      </c>
      <c r="AA289" s="7" t="s">
        <v>1679</v>
      </c>
      <c r="AB289" s="7" t="s">
        <v>43</v>
      </c>
      <c r="AC289" s="7"/>
      <c r="AD289" s="7"/>
      <c r="AE289" s="7"/>
      <c r="AF289" s="7"/>
      <c r="AG289" s="8">
        <f t="shared" si="4"/>
        <v>43319</v>
      </c>
    </row>
    <row r="290" spans="1:33">
      <c r="A290" s="7" t="s">
        <v>1680</v>
      </c>
      <c r="B290" s="7" t="s">
        <v>1680</v>
      </c>
      <c r="C290" s="7" t="s">
        <v>1681</v>
      </c>
      <c r="D290" s="7" t="s">
        <v>1682</v>
      </c>
      <c r="E290" s="7" t="s">
        <v>33</v>
      </c>
      <c r="F290" s="7" t="s">
        <v>34</v>
      </c>
      <c r="G290" s="7" t="s">
        <v>35</v>
      </c>
      <c r="H290" s="7"/>
      <c r="I290" s="7"/>
      <c r="J290" s="7" t="s">
        <v>36</v>
      </c>
      <c r="K290" s="7" t="s">
        <v>388</v>
      </c>
      <c r="L290" s="7" t="s">
        <v>389</v>
      </c>
      <c r="M290" s="7" t="s">
        <v>390</v>
      </c>
      <c r="N290" s="7" t="s">
        <v>33</v>
      </c>
      <c r="O290" s="7">
        <v>1</v>
      </c>
      <c r="P290" s="7" t="s">
        <v>40</v>
      </c>
      <c r="Q290" s="7">
        <v>19.38</v>
      </c>
      <c r="R290" s="7"/>
      <c r="S290" s="7">
        <v>5.07</v>
      </c>
      <c r="T290" s="7"/>
      <c r="U290" s="7"/>
      <c r="V290" s="7"/>
      <c r="W290" s="7"/>
      <c r="X290" s="7"/>
      <c r="Y290" s="7" t="s">
        <v>1683</v>
      </c>
      <c r="Z290" s="7" t="s">
        <v>69</v>
      </c>
      <c r="AA290" s="7" t="s">
        <v>1684</v>
      </c>
      <c r="AB290" s="7" t="s">
        <v>43</v>
      </c>
      <c r="AC290" s="7"/>
      <c r="AD290" s="7"/>
      <c r="AE290" s="7"/>
      <c r="AF290" s="7"/>
      <c r="AG290" s="8">
        <f t="shared" si="4"/>
        <v>43319</v>
      </c>
    </row>
    <row r="291" spans="1:33">
      <c r="A291" s="7" t="s">
        <v>1685</v>
      </c>
      <c r="B291" s="7" t="s">
        <v>1685</v>
      </c>
      <c r="C291" s="7" t="s">
        <v>1686</v>
      </c>
      <c r="D291" s="7" t="s">
        <v>1687</v>
      </c>
      <c r="E291" s="7" t="s">
        <v>99</v>
      </c>
      <c r="F291" s="7" t="s">
        <v>34</v>
      </c>
      <c r="G291" s="7" t="s">
        <v>35</v>
      </c>
      <c r="H291" s="7"/>
      <c r="I291" s="7"/>
      <c r="J291" s="7" t="s">
        <v>36</v>
      </c>
      <c r="K291" s="7" t="s">
        <v>456</v>
      </c>
      <c r="L291" s="7" t="s">
        <v>1248</v>
      </c>
      <c r="M291" s="7" t="s">
        <v>1249</v>
      </c>
      <c r="N291" s="7" t="s">
        <v>99</v>
      </c>
      <c r="O291" s="7">
        <v>0</v>
      </c>
      <c r="P291" s="7"/>
      <c r="Q291" s="7"/>
      <c r="R291" s="7"/>
      <c r="S291" s="7"/>
      <c r="T291" s="7"/>
      <c r="U291" s="7"/>
      <c r="V291" s="7"/>
      <c r="W291" s="7"/>
      <c r="X291" s="7"/>
      <c r="Y291" s="7" t="s">
        <v>467</v>
      </c>
      <c r="Z291" s="7" t="s">
        <v>85</v>
      </c>
      <c r="AA291" s="7" t="s">
        <v>1688</v>
      </c>
      <c r="AB291" s="7" t="s">
        <v>43</v>
      </c>
      <c r="AC291" s="7"/>
      <c r="AD291" s="7"/>
      <c r="AE291" s="7"/>
      <c r="AF291" s="7"/>
      <c r="AG291" s="8">
        <f t="shared" si="4"/>
        <v>43319</v>
      </c>
    </row>
    <row r="292" spans="1:33">
      <c r="A292" s="7" t="s">
        <v>1689</v>
      </c>
      <c r="B292" s="7" t="s">
        <v>1689</v>
      </c>
      <c r="C292" s="7" t="s">
        <v>1690</v>
      </c>
      <c r="D292" s="7" t="s">
        <v>1691</v>
      </c>
      <c r="E292" s="7" t="s">
        <v>33</v>
      </c>
      <c r="F292" s="7" t="s">
        <v>34</v>
      </c>
      <c r="G292" s="7" t="s">
        <v>35</v>
      </c>
      <c r="H292" s="7"/>
      <c r="I292" s="7"/>
      <c r="J292" s="7" t="s">
        <v>36</v>
      </c>
      <c r="K292" s="7" t="s">
        <v>255</v>
      </c>
      <c r="L292" s="7" t="s">
        <v>1170</v>
      </c>
      <c r="M292" s="7" t="s">
        <v>1171</v>
      </c>
      <c r="N292" s="7" t="s">
        <v>33</v>
      </c>
      <c r="O292" s="7">
        <v>1</v>
      </c>
      <c r="P292" s="7" t="s">
        <v>40</v>
      </c>
      <c r="Q292" s="7">
        <v>19.99</v>
      </c>
      <c r="R292" s="7"/>
      <c r="S292" s="7"/>
      <c r="T292" s="7"/>
      <c r="U292" s="7"/>
      <c r="V292" s="7"/>
      <c r="W292" s="7"/>
      <c r="X292" s="7"/>
      <c r="Y292" s="7" t="s">
        <v>1692</v>
      </c>
      <c r="Z292" s="7" t="s">
        <v>135</v>
      </c>
      <c r="AA292" s="7" t="s">
        <v>1693</v>
      </c>
      <c r="AB292" s="7" t="s">
        <v>43</v>
      </c>
      <c r="AC292" s="7"/>
      <c r="AD292" s="7"/>
      <c r="AE292" s="7"/>
      <c r="AF292" s="7"/>
      <c r="AG292" s="8">
        <f t="shared" si="4"/>
        <v>43319</v>
      </c>
    </row>
    <row r="293" spans="1:33">
      <c r="A293" s="7" t="s">
        <v>1694</v>
      </c>
      <c r="B293" s="7" t="s">
        <v>1694</v>
      </c>
      <c r="C293" s="7" t="s">
        <v>1695</v>
      </c>
      <c r="D293" s="7" t="s">
        <v>1696</v>
      </c>
      <c r="E293" s="7" t="s">
        <v>33</v>
      </c>
      <c r="F293" s="7" t="s">
        <v>34</v>
      </c>
      <c r="G293" s="7" t="s">
        <v>35</v>
      </c>
      <c r="H293" s="7"/>
      <c r="I293" s="7"/>
      <c r="J293" s="7" t="s">
        <v>64</v>
      </c>
      <c r="K293" s="7" t="s">
        <v>37</v>
      </c>
      <c r="L293" s="7" t="s">
        <v>1697</v>
      </c>
      <c r="M293" s="7" t="s">
        <v>1698</v>
      </c>
      <c r="N293" s="7" t="s">
        <v>33</v>
      </c>
      <c r="O293" s="7">
        <v>1</v>
      </c>
      <c r="P293" s="7" t="s">
        <v>40</v>
      </c>
      <c r="Q293" s="7">
        <v>19.99</v>
      </c>
      <c r="R293" s="7">
        <v>1.68</v>
      </c>
      <c r="S293" s="7">
        <v>3.99</v>
      </c>
      <c r="T293" s="7">
        <v>0.34</v>
      </c>
      <c r="U293" s="7"/>
      <c r="V293" s="7"/>
      <c r="W293" s="7"/>
      <c r="X293" s="7"/>
      <c r="Y293" s="7" t="s">
        <v>1699</v>
      </c>
      <c r="Z293" s="7" t="s">
        <v>882</v>
      </c>
      <c r="AA293" s="7" t="s">
        <v>1700</v>
      </c>
      <c r="AB293" s="7" t="s">
        <v>43</v>
      </c>
      <c r="AC293" s="7"/>
      <c r="AD293" s="7"/>
      <c r="AE293" s="7"/>
      <c r="AF293" s="7"/>
      <c r="AG293" s="8">
        <f t="shared" si="4"/>
        <v>43319</v>
      </c>
    </row>
    <row r="294" spans="1:33">
      <c r="A294" s="7" t="s">
        <v>1701</v>
      </c>
      <c r="B294" s="7" t="s">
        <v>1701</v>
      </c>
      <c r="C294" s="7" t="s">
        <v>1702</v>
      </c>
      <c r="D294" s="7" t="s">
        <v>1703</v>
      </c>
      <c r="E294" s="7" t="s">
        <v>33</v>
      </c>
      <c r="F294" s="7" t="s">
        <v>34</v>
      </c>
      <c r="G294" s="7" t="s">
        <v>35</v>
      </c>
      <c r="H294" s="7"/>
      <c r="I294" s="7"/>
      <c r="J294" s="7" t="s">
        <v>36</v>
      </c>
      <c r="K294" s="7" t="s">
        <v>131</v>
      </c>
      <c r="L294" s="7" t="s">
        <v>132</v>
      </c>
      <c r="M294" s="7" t="s">
        <v>133</v>
      </c>
      <c r="N294" s="7" t="s">
        <v>33</v>
      </c>
      <c r="O294" s="7">
        <v>1</v>
      </c>
      <c r="P294" s="7" t="s">
        <v>40</v>
      </c>
      <c r="Q294" s="7">
        <v>18.99</v>
      </c>
      <c r="R294" s="7"/>
      <c r="S294" s="7"/>
      <c r="T294" s="7"/>
      <c r="U294" s="7"/>
      <c r="V294" s="7"/>
      <c r="W294" s="7"/>
      <c r="X294" s="7"/>
      <c r="Y294" s="7" t="s">
        <v>1704</v>
      </c>
      <c r="Z294" s="7" t="s">
        <v>85</v>
      </c>
      <c r="AA294" s="7" t="s">
        <v>1705</v>
      </c>
      <c r="AB294" s="7" t="s">
        <v>43</v>
      </c>
      <c r="AC294" s="7"/>
      <c r="AD294" s="7"/>
      <c r="AE294" s="7"/>
      <c r="AF294" s="7"/>
      <c r="AG294" s="8">
        <f t="shared" si="4"/>
        <v>43319</v>
      </c>
    </row>
    <row r="295" spans="1:33">
      <c r="A295" s="7" t="s">
        <v>1706</v>
      </c>
      <c r="B295" s="7" t="s">
        <v>1706</v>
      </c>
      <c r="C295" s="7" t="s">
        <v>1707</v>
      </c>
      <c r="D295" s="7" t="s">
        <v>1708</v>
      </c>
      <c r="E295" s="7" t="s">
        <v>33</v>
      </c>
      <c r="F295" s="7" t="s">
        <v>34</v>
      </c>
      <c r="G295" s="7" t="s">
        <v>35</v>
      </c>
      <c r="H295" s="7"/>
      <c r="I295" s="7"/>
      <c r="J295" s="7" t="s">
        <v>36</v>
      </c>
      <c r="K295" s="7" t="s">
        <v>456</v>
      </c>
      <c r="L295" s="7" t="s">
        <v>1248</v>
      </c>
      <c r="M295" s="7" t="s">
        <v>1249</v>
      </c>
      <c r="N295" s="7" t="s">
        <v>33</v>
      </c>
      <c r="O295" s="7">
        <v>1</v>
      </c>
      <c r="P295" s="7" t="s">
        <v>40</v>
      </c>
      <c r="Q295" s="7">
        <v>19.99</v>
      </c>
      <c r="R295" s="7"/>
      <c r="S295" s="7"/>
      <c r="T295" s="7"/>
      <c r="U295" s="7"/>
      <c r="V295" s="7"/>
      <c r="W295" s="7"/>
      <c r="X295" s="7"/>
      <c r="Y295" s="7" t="s">
        <v>1709</v>
      </c>
      <c r="Z295" s="7" t="s">
        <v>345</v>
      </c>
      <c r="AA295" s="7" t="s">
        <v>1710</v>
      </c>
      <c r="AB295" s="7" t="s">
        <v>43</v>
      </c>
      <c r="AC295" s="7"/>
      <c r="AD295" s="7"/>
      <c r="AE295" s="7"/>
      <c r="AF295" s="7"/>
      <c r="AG295" s="8">
        <f t="shared" si="4"/>
        <v>43319</v>
      </c>
    </row>
    <row r="296" spans="1:33">
      <c r="A296" s="7" t="s">
        <v>1711</v>
      </c>
      <c r="B296" s="7" t="s">
        <v>1711</v>
      </c>
      <c r="C296" s="7" t="s">
        <v>1712</v>
      </c>
      <c r="D296" s="7" t="s">
        <v>1713</v>
      </c>
      <c r="E296" s="7" t="s">
        <v>33</v>
      </c>
      <c r="F296" s="7" t="s">
        <v>34</v>
      </c>
      <c r="G296" s="7" t="s">
        <v>35</v>
      </c>
      <c r="H296" s="7"/>
      <c r="I296" s="7"/>
      <c r="J296" s="7" t="s">
        <v>336</v>
      </c>
      <c r="K296" s="7" t="s">
        <v>247</v>
      </c>
      <c r="L296" s="7" t="s">
        <v>248</v>
      </c>
      <c r="M296" s="7" t="s">
        <v>249</v>
      </c>
      <c r="N296" s="7" t="s">
        <v>33</v>
      </c>
      <c r="O296" s="7">
        <v>1</v>
      </c>
      <c r="P296" s="7" t="s">
        <v>40</v>
      </c>
      <c r="Q296" s="7">
        <v>18.99</v>
      </c>
      <c r="R296" s="7"/>
      <c r="S296" s="7">
        <v>1.96</v>
      </c>
      <c r="T296" s="7"/>
      <c r="U296" s="7"/>
      <c r="V296" s="7"/>
      <c r="W296" s="7"/>
      <c r="X296" s="7">
        <v>1.96</v>
      </c>
      <c r="Y296" s="7" t="s">
        <v>579</v>
      </c>
      <c r="Z296" s="7" t="s">
        <v>392</v>
      </c>
      <c r="AA296" s="7" t="s">
        <v>1714</v>
      </c>
      <c r="AB296" s="7" t="s">
        <v>43</v>
      </c>
      <c r="AC296" s="7" t="s">
        <v>514</v>
      </c>
      <c r="AD296" s="7"/>
      <c r="AE296" s="7"/>
      <c r="AF296" s="7"/>
      <c r="AG296" s="8">
        <f t="shared" si="4"/>
        <v>43319</v>
      </c>
    </row>
    <row r="297" spans="1:33">
      <c r="A297" s="7" t="s">
        <v>1715</v>
      </c>
      <c r="B297" s="7" t="s">
        <v>1715</v>
      </c>
      <c r="C297" s="7" t="s">
        <v>1716</v>
      </c>
      <c r="D297" s="7" t="s">
        <v>1717</v>
      </c>
      <c r="E297" s="7" t="s">
        <v>33</v>
      </c>
      <c r="F297" s="7" t="s">
        <v>34</v>
      </c>
      <c r="G297" s="7" t="s">
        <v>35</v>
      </c>
      <c r="H297" s="7"/>
      <c r="I297" s="7"/>
      <c r="J297" s="7" t="s">
        <v>36</v>
      </c>
      <c r="K297" s="7" t="s">
        <v>255</v>
      </c>
      <c r="L297" s="7" t="s">
        <v>300</v>
      </c>
      <c r="M297" s="7" t="s">
        <v>301</v>
      </c>
      <c r="N297" s="7" t="s">
        <v>33</v>
      </c>
      <c r="O297" s="7">
        <v>1</v>
      </c>
      <c r="P297" s="7" t="s">
        <v>40</v>
      </c>
      <c r="Q297" s="7">
        <v>19.99</v>
      </c>
      <c r="R297" s="7"/>
      <c r="S297" s="7"/>
      <c r="T297" s="7"/>
      <c r="U297" s="7"/>
      <c r="V297" s="7"/>
      <c r="W297" s="7"/>
      <c r="X297" s="7"/>
      <c r="Y297" s="7" t="s">
        <v>525</v>
      </c>
      <c r="Z297" s="7" t="s">
        <v>135</v>
      </c>
      <c r="AA297" s="7">
        <v>33414</v>
      </c>
      <c r="AB297" s="7" t="s">
        <v>43</v>
      </c>
      <c r="AC297" s="7"/>
      <c r="AD297" s="7"/>
      <c r="AE297" s="7"/>
      <c r="AF297" s="7"/>
      <c r="AG297" s="8">
        <f t="shared" si="4"/>
        <v>43319</v>
      </c>
    </row>
    <row r="298" spans="1:33">
      <c r="A298" s="7" t="s">
        <v>1718</v>
      </c>
      <c r="B298" s="7" t="s">
        <v>1718</v>
      </c>
      <c r="C298" s="7" t="s">
        <v>1719</v>
      </c>
      <c r="D298" s="7" t="s">
        <v>1720</v>
      </c>
      <c r="E298" s="7" t="s">
        <v>33</v>
      </c>
      <c r="F298" s="7" t="s">
        <v>34</v>
      </c>
      <c r="G298" s="7" t="s">
        <v>35</v>
      </c>
      <c r="H298" s="7"/>
      <c r="I298" s="7"/>
      <c r="J298" s="7" t="s">
        <v>36</v>
      </c>
      <c r="K298" s="7" t="s">
        <v>1721</v>
      </c>
      <c r="L298" s="7" t="s">
        <v>1722</v>
      </c>
      <c r="M298" s="7" t="s">
        <v>1723</v>
      </c>
      <c r="N298" s="7" t="s">
        <v>33</v>
      </c>
      <c r="O298" s="7">
        <v>1</v>
      </c>
      <c r="P298" s="7" t="s">
        <v>40</v>
      </c>
      <c r="Q298" s="7">
        <v>18.96</v>
      </c>
      <c r="R298" s="7"/>
      <c r="S298" s="7"/>
      <c r="T298" s="7"/>
      <c r="U298" s="7"/>
      <c r="V298" s="7"/>
      <c r="W298" s="7"/>
      <c r="X298" s="7"/>
      <c r="Y298" s="7" t="s">
        <v>1724</v>
      </c>
      <c r="Z298" s="7" t="s">
        <v>345</v>
      </c>
      <c r="AA298" s="7">
        <v>1721</v>
      </c>
      <c r="AB298" s="7" t="s">
        <v>43</v>
      </c>
      <c r="AC298" s="7"/>
      <c r="AD298" s="7"/>
      <c r="AE298" s="7"/>
      <c r="AF298" s="7"/>
      <c r="AG298" s="8">
        <f t="shared" si="4"/>
        <v>43319</v>
      </c>
    </row>
    <row r="299" spans="1:33">
      <c r="A299" s="7" t="s">
        <v>1725</v>
      </c>
      <c r="B299" s="7" t="s">
        <v>1725</v>
      </c>
      <c r="C299" s="7" t="s">
        <v>1726</v>
      </c>
      <c r="D299" s="7" t="s">
        <v>1727</v>
      </c>
      <c r="E299" s="7" t="s">
        <v>33</v>
      </c>
      <c r="F299" s="7" t="s">
        <v>34</v>
      </c>
      <c r="G299" s="7" t="s">
        <v>35</v>
      </c>
      <c r="H299" s="7"/>
      <c r="I299" s="7"/>
      <c r="J299" s="7" t="s">
        <v>36</v>
      </c>
      <c r="K299" s="7" t="s">
        <v>1432</v>
      </c>
      <c r="L299" s="7" t="s">
        <v>1433</v>
      </c>
      <c r="M299" s="7" t="s">
        <v>1434</v>
      </c>
      <c r="N299" s="7" t="s">
        <v>33</v>
      </c>
      <c r="O299" s="7">
        <v>1</v>
      </c>
      <c r="P299" s="7" t="s">
        <v>40</v>
      </c>
      <c r="Q299" s="7">
        <v>11.99</v>
      </c>
      <c r="R299" s="7"/>
      <c r="S299" s="7"/>
      <c r="T299" s="7"/>
      <c r="U299" s="7"/>
      <c r="V299" s="7"/>
      <c r="W299" s="7"/>
      <c r="X299" s="7"/>
      <c r="Y299" s="7" t="s">
        <v>1728</v>
      </c>
      <c r="Z299" s="7" t="s">
        <v>165</v>
      </c>
      <c r="AA299" s="7" t="s">
        <v>1729</v>
      </c>
      <c r="AB299" s="7" t="s">
        <v>43</v>
      </c>
      <c r="AC299" s="7"/>
      <c r="AD299" s="7"/>
      <c r="AE299" s="7"/>
      <c r="AF299" s="7"/>
      <c r="AG299" s="8">
        <f t="shared" si="4"/>
        <v>43319</v>
      </c>
    </row>
    <row r="300" spans="1:33">
      <c r="A300" s="7" t="s">
        <v>1730</v>
      </c>
      <c r="B300" s="7" t="s">
        <v>1730</v>
      </c>
      <c r="C300" s="7" t="s">
        <v>1731</v>
      </c>
      <c r="D300" s="7" t="s">
        <v>1732</v>
      </c>
      <c r="E300" s="7" t="s">
        <v>33</v>
      </c>
      <c r="F300" s="7" t="s">
        <v>34</v>
      </c>
      <c r="G300" s="7" t="s">
        <v>35</v>
      </c>
      <c r="H300" s="7"/>
      <c r="I300" s="7"/>
      <c r="J300" s="7" t="s">
        <v>36</v>
      </c>
      <c r="K300" s="7" t="s">
        <v>37</v>
      </c>
      <c r="L300" s="7" t="s">
        <v>602</v>
      </c>
      <c r="M300" s="7" t="s">
        <v>603</v>
      </c>
      <c r="N300" s="7" t="s">
        <v>33</v>
      </c>
      <c r="O300" s="7">
        <v>1</v>
      </c>
      <c r="P300" s="7" t="s">
        <v>40</v>
      </c>
      <c r="Q300" s="7">
        <v>19.99</v>
      </c>
      <c r="R300" s="7"/>
      <c r="S300" s="7"/>
      <c r="T300" s="7"/>
      <c r="U300" s="7"/>
      <c r="V300" s="7"/>
      <c r="W300" s="7"/>
      <c r="X300" s="7"/>
      <c r="Y300" s="7" t="s">
        <v>1733</v>
      </c>
      <c r="Z300" s="7" t="s">
        <v>392</v>
      </c>
      <c r="AA300" s="7" t="s">
        <v>1734</v>
      </c>
      <c r="AB300" s="7" t="s">
        <v>43</v>
      </c>
      <c r="AC300" s="7"/>
      <c r="AD300" s="7"/>
      <c r="AE300" s="7"/>
      <c r="AF300" s="7"/>
      <c r="AG300" s="8">
        <f t="shared" si="4"/>
        <v>43319</v>
      </c>
    </row>
    <row r="301" spans="1:33">
      <c r="A301" s="7" t="s">
        <v>1735</v>
      </c>
      <c r="B301" s="7" t="s">
        <v>1735</v>
      </c>
      <c r="C301" s="7" t="s">
        <v>1519</v>
      </c>
      <c r="D301" s="7" t="s">
        <v>1736</v>
      </c>
      <c r="E301" s="7" t="s">
        <v>33</v>
      </c>
      <c r="F301" s="7" t="s">
        <v>34</v>
      </c>
      <c r="G301" s="7" t="s">
        <v>35</v>
      </c>
      <c r="H301" s="7"/>
      <c r="I301" s="7"/>
      <c r="J301" s="7" t="s">
        <v>36</v>
      </c>
      <c r="K301" s="7" t="s">
        <v>255</v>
      </c>
      <c r="L301" s="7" t="s">
        <v>256</v>
      </c>
      <c r="M301" s="7" t="s">
        <v>257</v>
      </c>
      <c r="N301" s="7" t="s">
        <v>33</v>
      </c>
      <c r="O301" s="7">
        <v>1</v>
      </c>
      <c r="P301" s="7" t="s">
        <v>40</v>
      </c>
      <c r="Q301" s="7">
        <v>19.99</v>
      </c>
      <c r="R301" s="7"/>
      <c r="S301" s="7"/>
      <c r="T301" s="7"/>
      <c r="U301" s="7"/>
      <c r="V301" s="7"/>
      <c r="W301" s="7"/>
      <c r="X301" s="7"/>
      <c r="Y301" s="7" t="s">
        <v>1737</v>
      </c>
      <c r="Z301" s="7" t="s">
        <v>227</v>
      </c>
      <c r="AA301" s="7">
        <v>11757</v>
      </c>
      <c r="AB301" s="7" t="s">
        <v>43</v>
      </c>
      <c r="AC301" s="7"/>
      <c r="AD301" s="7"/>
      <c r="AE301" s="7"/>
      <c r="AF301" s="7"/>
      <c r="AG301" s="8">
        <f t="shared" si="4"/>
        <v>43319</v>
      </c>
    </row>
    <row r="302" spans="1:33">
      <c r="A302" s="7" t="s">
        <v>1738</v>
      </c>
      <c r="B302" s="7" t="s">
        <v>1738</v>
      </c>
      <c r="C302" s="7" t="s">
        <v>1739</v>
      </c>
      <c r="D302" s="7" t="s">
        <v>1740</v>
      </c>
      <c r="E302" s="7" t="s">
        <v>33</v>
      </c>
      <c r="F302" s="7" t="s">
        <v>34</v>
      </c>
      <c r="G302" s="7" t="s">
        <v>35</v>
      </c>
      <c r="H302" s="7"/>
      <c r="I302" s="7"/>
      <c r="J302" s="7" t="s">
        <v>64</v>
      </c>
      <c r="K302" s="7" t="s">
        <v>497</v>
      </c>
      <c r="L302" s="7" t="s">
        <v>1741</v>
      </c>
      <c r="M302" s="7" t="s">
        <v>1742</v>
      </c>
      <c r="N302" s="7" t="s">
        <v>33</v>
      </c>
      <c r="O302" s="7">
        <v>1</v>
      </c>
      <c r="P302" s="7" t="s">
        <v>40</v>
      </c>
      <c r="Q302" s="7">
        <v>19.99</v>
      </c>
      <c r="R302" s="7"/>
      <c r="S302" s="7">
        <v>3.99</v>
      </c>
      <c r="T302" s="7"/>
      <c r="U302" s="7"/>
      <c r="V302" s="7"/>
      <c r="W302" s="7"/>
      <c r="X302" s="7"/>
      <c r="Y302" s="7" t="s">
        <v>1743</v>
      </c>
      <c r="Z302" s="7" t="s">
        <v>94</v>
      </c>
      <c r="AA302" s="7" t="s">
        <v>1744</v>
      </c>
      <c r="AB302" s="7" t="s">
        <v>43</v>
      </c>
      <c r="AC302" s="7"/>
      <c r="AD302" s="7"/>
      <c r="AE302" s="7"/>
      <c r="AF302" s="7"/>
      <c r="AG302" s="8">
        <f t="shared" si="4"/>
        <v>43319</v>
      </c>
    </row>
    <row r="303" spans="1:33">
      <c r="A303" s="7" t="s">
        <v>1745</v>
      </c>
      <c r="B303" s="7" t="s">
        <v>1745</v>
      </c>
      <c r="C303" s="7" t="s">
        <v>1746</v>
      </c>
      <c r="D303" s="7" t="s">
        <v>1747</v>
      </c>
      <c r="E303" s="7" t="s">
        <v>33</v>
      </c>
      <c r="F303" s="7" t="s">
        <v>34</v>
      </c>
      <c r="G303" s="7" t="s">
        <v>35</v>
      </c>
      <c r="H303" s="7"/>
      <c r="I303" s="7"/>
      <c r="J303" s="7" t="s">
        <v>36</v>
      </c>
      <c r="K303" s="7" t="s">
        <v>215</v>
      </c>
      <c r="L303" s="7" t="s">
        <v>216</v>
      </c>
      <c r="M303" s="7" t="s">
        <v>217</v>
      </c>
      <c r="N303" s="7" t="s">
        <v>33</v>
      </c>
      <c r="O303" s="7">
        <v>1</v>
      </c>
      <c r="P303" s="7" t="s">
        <v>40</v>
      </c>
      <c r="Q303" s="7">
        <v>18.99</v>
      </c>
      <c r="R303" s="7"/>
      <c r="S303" s="7"/>
      <c r="T303" s="7"/>
      <c r="U303" s="7"/>
      <c r="V303" s="7"/>
      <c r="W303" s="7"/>
      <c r="X303" s="7"/>
      <c r="Y303" s="7" t="s">
        <v>1748</v>
      </c>
      <c r="Z303" s="7" t="s">
        <v>165</v>
      </c>
      <c r="AA303" s="7" t="s">
        <v>1749</v>
      </c>
      <c r="AB303" s="7" t="s">
        <v>43</v>
      </c>
      <c r="AC303" s="7"/>
      <c r="AD303" s="7"/>
      <c r="AE303" s="7"/>
      <c r="AF303" s="7"/>
      <c r="AG303" s="8">
        <f t="shared" si="4"/>
        <v>43319</v>
      </c>
    </row>
    <row r="304" spans="1:33">
      <c r="A304" s="7" t="s">
        <v>1750</v>
      </c>
      <c r="B304" s="7" t="s">
        <v>1750</v>
      </c>
      <c r="C304" s="7" t="s">
        <v>1751</v>
      </c>
      <c r="D304" s="7" t="s">
        <v>1752</v>
      </c>
      <c r="E304" s="7" t="s">
        <v>33</v>
      </c>
      <c r="F304" s="7" t="s">
        <v>34</v>
      </c>
      <c r="G304" s="7" t="s">
        <v>35</v>
      </c>
      <c r="H304" s="7"/>
      <c r="I304" s="7"/>
      <c r="J304" s="7" t="s">
        <v>36</v>
      </c>
      <c r="K304" s="7" t="s">
        <v>255</v>
      </c>
      <c r="L304" s="7" t="s">
        <v>256</v>
      </c>
      <c r="M304" s="7" t="s">
        <v>257</v>
      </c>
      <c r="N304" s="7" t="s">
        <v>33</v>
      </c>
      <c r="O304" s="7">
        <v>1</v>
      </c>
      <c r="P304" s="7" t="s">
        <v>40</v>
      </c>
      <c r="Q304" s="7">
        <v>19.99</v>
      </c>
      <c r="R304" s="7">
        <v>1.2</v>
      </c>
      <c r="S304" s="7"/>
      <c r="T304" s="7"/>
      <c r="U304" s="7"/>
      <c r="V304" s="7"/>
      <c r="W304" s="7"/>
      <c r="X304" s="7"/>
      <c r="Y304" s="7" t="s">
        <v>852</v>
      </c>
      <c r="Z304" s="7" t="s">
        <v>42</v>
      </c>
      <c r="AA304" s="7" t="s">
        <v>853</v>
      </c>
      <c r="AB304" s="7" t="s">
        <v>43</v>
      </c>
      <c r="AC304" s="7"/>
      <c r="AD304" s="7"/>
      <c r="AE304" s="7"/>
      <c r="AF304" s="7"/>
      <c r="AG304" s="8">
        <f t="shared" si="4"/>
        <v>43319</v>
      </c>
    </row>
    <row r="305" spans="1:33">
      <c r="A305" s="7" t="s">
        <v>1753</v>
      </c>
      <c r="B305" s="7" t="s">
        <v>1753</v>
      </c>
      <c r="C305" s="7" t="s">
        <v>1754</v>
      </c>
      <c r="D305" s="7" t="s">
        <v>1755</v>
      </c>
      <c r="E305" s="7" t="s">
        <v>33</v>
      </c>
      <c r="F305" s="7" t="s">
        <v>34</v>
      </c>
      <c r="G305" s="7" t="s">
        <v>35</v>
      </c>
      <c r="H305" s="7"/>
      <c r="I305" s="7"/>
      <c r="J305" s="7" t="s">
        <v>36</v>
      </c>
      <c r="K305" s="7" t="s">
        <v>255</v>
      </c>
      <c r="L305" s="7" t="s">
        <v>1170</v>
      </c>
      <c r="M305" s="7" t="s">
        <v>1171</v>
      </c>
      <c r="N305" s="7" t="s">
        <v>33</v>
      </c>
      <c r="O305" s="7">
        <v>1</v>
      </c>
      <c r="P305" s="7" t="s">
        <v>40</v>
      </c>
      <c r="Q305" s="7">
        <v>19.99</v>
      </c>
      <c r="R305" s="7"/>
      <c r="S305" s="7"/>
      <c r="T305" s="7"/>
      <c r="U305" s="7"/>
      <c r="V305" s="7"/>
      <c r="W305" s="7"/>
      <c r="X305" s="7"/>
      <c r="Y305" s="7" t="s">
        <v>1582</v>
      </c>
      <c r="Z305" s="7" t="s">
        <v>59</v>
      </c>
      <c r="AA305" s="7" t="s">
        <v>1756</v>
      </c>
      <c r="AB305" s="7" t="s">
        <v>43</v>
      </c>
      <c r="AC305" s="7"/>
      <c r="AD305" s="7"/>
      <c r="AE305" s="7"/>
      <c r="AF305" s="7"/>
      <c r="AG305" s="8">
        <f t="shared" si="4"/>
        <v>43319</v>
      </c>
    </row>
    <row r="306" spans="1:33">
      <c r="A306" s="7" t="s">
        <v>1757</v>
      </c>
      <c r="B306" s="7" t="s">
        <v>1757</v>
      </c>
      <c r="C306" s="7" t="s">
        <v>1758</v>
      </c>
      <c r="D306" s="7" t="s">
        <v>1759</v>
      </c>
      <c r="E306" s="7" t="s">
        <v>99</v>
      </c>
      <c r="F306" s="7" t="s">
        <v>34</v>
      </c>
      <c r="G306" s="7" t="s">
        <v>35</v>
      </c>
      <c r="H306" s="7"/>
      <c r="I306" s="7"/>
      <c r="J306" s="7" t="s">
        <v>36</v>
      </c>
      <c r="K306" s="7" t="s">
        <v>199</v>
      </c>
      <c r="L306" s="7" t="s">
        <v>200</v>
      </c>
      <c r="M306" s="7" t="s">
        <v>201</v>
      </c>
      <c r="N306" s="7" t="s">
        <v>99</v>
      </c>
      <c r="O306" s="7">
        <v>0</v>
      </c>
      <c r="P306" s="7"/>
      <c r="Q306" s="7"/>
      <c r="R306" s="7"/>
      <c r="S306" s="7"/>
      <c r="T306" s="7"/>
      <c r="U306" s="7"/>
      <c r="V306" s="7"/>
      <c r="W306" s="7"/>
      <c r="X306" s="7"/>
      <c r="Y306" s="7" t="s">
        <v>1760</v>
      </c>
      <c r="Z306" s="7" t="s">
        <v>174</v>
      </c>
      <c r="AA306" s="7" t="s">
        <v>1761</v>
      </c>
      <c r="AB306" s="7" t="s">
        <v>43</v>
      </c>
      <c r="AC306" s="7"/>
      <c r="AD306" s="7"/>
      <c r="AE306" s="7"/>
      <c r="AF306" s="7"/>
      <c r="AG306" s="8">
        <f t="shared" si="4"/>
        <v>43319</v>
      </c>
    </row>
    <row r="307" spans="1:33">
      <c r="A307" s="7" t="s">
        <v>1762</v>
      </c>
      <c r="B307" s="7" t="s">
        <v>1762</v>
      </c>
      <c r="C307" s="7" t="s">
        <v>1763</v>
      </c>
      <c r="D307" s="7" t="s">
        <v>1764</v>
      </c>
      <c r="E307" s="7" t="s">
        <v>33</v>
      </c>
      <c r="F307" s="7" t="s">
        <v>34</v>
      </c>
      <c r="G307" s="7" t="s">
        <v>35</v>
      </c>
      <c r="H307" s="7"/>
      <c r="I307" s="7"/>
      <c r="J307" s="7" t="s">
        <v>36</v>
      </c>
      <c r="K307" s="7" t="s">
        <v>37</v>
      </c>
      <c r="L307" s="7" t="s">
        <v>82</v>
      </c>
      <c r="M307" s="7" t="s">
        <v>83</v>
      </c>
      <c r="N307" s="7" t="s">
        <v>33</v>
      </c>
      <c r="O307" s="7">
        <v>1</v>
      </c>
      <c r="P307" s="7" t="s">
        <v>40</v>
      </c>
      <c r="Q307" s="7">
        <v>19.99</v>
      </c>
      <c r="R307" s="7"/>
      <c r="S307" s="7"/>
      <c r="T307" s="7"/>
      <c r="U307" s="7"/>
      <c r="V307" s="7"/>
      <c r="W307" s="7"/>
      <c r="X307" s="7"/>
      <c r="Y307" s="7" t="s">
        <v>1765</v>
      </c>
      <c r="Z307" s="7" t="s">
        <v>227</v>
      </c>
      <c r="AA307" s="7" t="s">
        <v>1766</v>
      </c>
      <c r="AB307" s="7" t="s">
        <v>43</v>
      </c>
      <c r="AC307" s="7"/>
      <c r="AD307" s="7"/>
      <c r="AE307" s="7"/>
      <c r="AF307" s="7"/>
      <c r="AG307" s="8">
        <f t="shared" si="4"/>
        <v>43319</v>
      </c>
    </row>
    <row r="308" spans="1:33">
      <c r="A308" s="7" t="s">
        <v>1767</v>
      </c>
      <c r="B308" s="7" t="s">
        <v>1767</v>
      </c>
      <c r="C308" s="7" t="s">
        <v>1768</v>
      </c>
      <c r="D308" s="7" t="s">
        <v>1769</v>
      </c>
      <c r="E308" s="7" t="s">
        <v>33</v>
      </c>
      <c r="F308" s="7" t="s">
        <v>34</v>
      </c>
      <c r="G308" s="7" t="s">
        <v>35</v>
      </c>
      <c r="H308" s="7"/>
      <c r="I308" s="7"/>
      <c r="J308" s="7" t="s">
        <v>36</v>
      </c>
      <c r="K308" s="7" t="s">
        <v>1770</v>
      </c>
      <c r="L308" s="7" t="s">
        <v>1771</v>
      </c>
      <c r="M308" s="7" t="s">
        <v>1772</v>
      </c>
      <c r="N308" s="7" t="s">
        <v>33</v>
      </c>
      <c r="O308" s="7">
        <v>1</v>
      </c>
      <c r="P308" s="7" t="s">
        <v>40</v>
      </c>
      <c r="Q308" s="7">
        <v>19.99</v>
      </c>
      <c r="R308" s="7"/>
      <c r="S308" s="7"/>
      <c r="T308" s="7"/>
      <c r="U308" s="7"/>
      <c r="V308" s="7"/>
      <c r="W308" s="7"/>
      <c r="X308" s="7"/>
      <c r="Y308" s="7" t="s">
        <v>1773</v>
      </c>
      <c r="Z308" s="7" t="s">
        <v>227</v>
      </c>
      <c r="AA308" s="7">
        <v>12180</v>
      </c>
      <c r="AB308" s="7" t="s">
        <v>43</v>
      </c>
      <c r="AC308" s="7"/>
      <c r="AD308" s="7"/>
      <c r="AE308" s="7"/>
      <c r="AF308" s="7"/>
      <c r="AG308" s="8">
        <f t="shared" si="4"/>
        <v>43319</v>
      </c>
    </row>
    <row r="309" spans="1:33">
      <c r="A309" s="7" t="s">
        <v>1774</v>
      </c>
      <c r="B309" s="7" t="s">
        <v>1774</v>
      </c>
      <c r="C309" s="7" t="s">
        <v>1775</v>
      </c>
      <c r="D309" s="7" t="s">
        <v>1776</v>
      </c>
      <c r="E309" s="7" t="s">
        <v>33</v>
      </c>
      <c r="F309" s="7" t="s">
        <v>34</v>
      </c>
      <c r="G309" s="7" t="s">
        <v>35</v>
      </c>
      <c r="H309" s="7"/>
      <c r="I309" s="7"/>
      <c r="J309" s="7" t="s">
        <v>36</v>
      </c>
      <c r="K309" s="7" t="s">
        <v>176</v>
      </c>
      <c r="L309" s="7" t="s">
        <v>177</v>
      </c>
      <c r="M309" s="7" t="s">
        <v>178</v>
      </c>
      <c r="N309" s="7" t="s">
        <v>33</v>
      </c>
      <c r="O309" s="7">
        <v>1</v>
      </c>
      <c r="P309" s="7" t="s">
        <v>40</v>
      </c>
      <c r="Q309" s="7">
        <v>19.99</v>
      </c>
      <c r="R309" s="7"/>
      <c r="S309" s="7"/>
      <c r="T309" s="7"/>
      <c r="U309" s="7"/>
      <c r="V309" s="7"/>
      <c r="W309" s="7"/>
      <c r="X309" s="7"/>
      <c r="Y309" s="7" t="s">
        <v>1777</v>
      </c>
      <c r="Z309" s="7" t="s">
        <v>1778</v>
      </c>
      <c r="AA309" s="7" t="s">
        <v>1779</v>
      </c>
      <c r="AB309" s="7" t="s">
        <v>43</v>
      </c>
      <c r="AC309" s="7"/>
      <c r="AD309" s="7"/>
      <c r="AE309" s="7"/>
      <c r="AF309" s="7"/>
      <c r="AG309" s="8">
        <f t="shared" si="4"/>
        <v>43319</v>
      </c>
    </row>
    <row r="310" spans="1:33">
      <c r="A310" s="7" t="s">
        <v>1780</v>
      </c>
      <c r="B310" s="7" t="s">
        <v>1780</v>
      </c>
      <c r="C310" s="7" t="s">
        <v>1781</v>
      </c>
      <c r="D310" s="7" t="s">
        <v>1782</v>
      </c>
      <c r="E310" s="7" t="s">
        <v>33</v>
      </c>
      <c r="F310" s="7" t="s">
        <v>34</v>
      </c>
      <c r="G310" s="7" t="s">
        <v>35</v>
      </c>
      <c r="H310" s="7"/>
      <c r="I310" s="7"/>
      <c r="J310" s="7" t="s">
        <v>36</v>
      </c>
      <c r="K310" s="7" t="s">
        <v>247</v>
      </c>
      <c r="L310" s="7" t="s">
        <v>248</v>
      </c>
      <c r="M310" s="7" t="s">
        <v>249</v>
      </c>
      <c r="N310" s="7" t="s">
        <v>33</v>
      </c>
      <c r="O310" s="7">
        <v>1</v>
      </c>
      <c r="P310" s="7" t="s">
        <v>40</v>
      </c>
      <c r="Q310" s="7">
        <v>18.99</v>
      </c>
      <c r="R310" s="7"/>
      <c r="S310" s="7"/>
      <c r="T310" s="7"/>
      <c r="U310" s="7"/>
      <c r="V310" s="7"/>
      <c r="W310" s="7"/>
      <c r="X310" s="7"/>
      <c r="Y310" s="7" t="s">
        <v>1783</v>
      </c>
      <c r="Z310" s="7" t="s">
        <v>323</v>
      </c>
      <c r="AA310" s="7" t="s">
        <v>1784</v>
      </c>
      <c r="AB310" s="7" t="s">
        <v>43</v>
      </c>
      <c r="AC310" s="7"/>
      <c r="AD310" s="7"/>
      <c r="AE310" s="7"/>
      <c r="AF310" s="7"/>
      <c r="AG310" s="8">
        <f t="shared" si="4"/>
        <v>43319</v>
      </c>
    </row>
    <row r="311" spans="1:33">
      <c r="A311" s="7" t="s">
        <v>1785</v>
      </c>
      <c r="B311" s="7" t="s">
        <v>1785</v>
      </c>
      <c r="C311" s="7" t="s">
        <v>1786</v>
      </c>
      <c r="D311" s="7" t="s">
        <v>1787</v>
      </c>
      <c r="E311" s="7" t="s">
        <v>33</v>
      </c>
      <c r="F311" s="7" t="s">
        <v>34</v>
      </c>
      <c r="G311" s="7" t="s">
        <v>35</v>
      </c>
      <c r="H311" s="7"/>
      <c r="I311" s="7"/>
      <c r="J311" s="7" t="s">
        <v>36</v>
      </c>
      <c r="K311" s="7" t="s">
        <v>255</v>
      </c>
      <c r="L311" s="7" t="s">
        <v>1788</v>
      </c>
      <c r="M311" s="7" t="s">
        <v>1789</v>
      </c>
      <c r="N311" s="7" t="s">
        <v>33</v>
      </c>
      <c r="O311" s="7">
        <v>1</v>
      </c>
      <c r="P311" s="7" t="s">
        <v>40</v>
      </c>
      <c r="Q311" s="7">
        <v>19.99</v>
      </c>
      <c r="R311" s="7"/>
      <c r="S311" s="7"/>
      <c r="T311" s="7"/>
      <c r="U311" s="7"/>
      <c r="V311" s="7"/>
      <c r="W311" s="7"/>
      <c r="X311" s="7"/>
      <c r="Y311" s="7" t="s">
        <v>1790</v>
      </c>
      <c r="Z311" s="7" t="s">
        <v>866</v>
      </c>
      <c r="AA311" s="7" t="s">
        <v>1791</v>
      </c>
      <c r="AB311" s="7" t="s">
        <v>43</v>
      </c>
      <c r="AC311" s="7"/>
      <c r="AD311" s="7"/>
      <c r="AE311" s="7"/>
      <c r="AF311" s="7"/>
      <c r="AG311" s="8">
        <f t="shared" si="4"/>
        <v>43319</v>
      </c>
    </row>
    <row r="312" spans="1:33">
      <c r="A312" s="7" t="s">
        <v>1785</v>
      </c>
      <c r="B312" s="7" t="s">
        <v>1785</v>
      </c>
      <c r="C312" s="7" t="s">
        <v>1786</v>
      </c>
      <c r="D312" s="7" t="s">
        <v>1787</v>
      </c>
      <c r="E312" s="7" t="s">
        <v>33</v>
      </c>
      <c r="F312" s="7" t="s">
        <v>34</v>
      </c>
      <c r="G312" s="7" t="s">
        <v>35</v>
      </c>
      <c r="H312" s="7"/>
      <c r="I312" s="7"/>
      <c r="J312" s="7" t="s">
        <v>36</v>
      </c>
      <c r="K312" s="7" t="s">
        <v>497</v>
      </c>
      <c r="L312" s="7" t="s">
        <v>1741</v>
      </c>
      <c r="M312" s="7" t="s">
        <v>1742</v>
      </c>
      <c r="N312" s="7" t="s">
        <v>33</v>
      </c>
      <c r="O312" s="7">
        <v>1</v>
      </c>
      <c r="P312" s="7" t="s">
        <v>40</v>
      </c>
      <c r="Q312" s="7">
        <v>19.99</v>
      </c>
      <c r="R312" s="7"/>
      <c r="S312" s="7"/>
      <c r="T312" s="7"/>
      <c r="U312" s="7"/>
      <c r="V312" s="7"/>
      <c r="W312" s="7"/>
      <c r="X312" s="7"/>
      <c r="Y312" s="7" t="s">
        <v>1790</v>
      </c>
      <c r="Z312" s="7" t="s">
        <v>866</v>
      </c>
      <c r="AA312" s="7" t="s">
        <v>1791</v>
      </c>
      <c r="AB312" s="7" t="s">
        <v>43</v>
      </c>
      <c r="AC312" s="7"/>
      <c r="AD312" s="7"/>
      <c r="AE312" s="7"/>
      <c r="AF312" s="7"/>
      <c r="AG312" s="8">
        <f t="shared" si="4"/>
        <v>43319</v>
      </c>
    </row>
    <row r="313" spans="1:33">
      <c r="A313" s="7" t="s">
        <v>1792</v>
      </c>
      <c r="B313" s="7" t="s">
        <v>1792</v>
      </c>
      <c r="C313" s="7" t="s">
        <v>1793</v>
      </c>
      <c r="D313" s="7" t="s">
        <v>1794</v>
      </c>
      <c r="E313" s="7" t="s">
        <v>33</v>
      </c>
      <c r="F313" s="7" t="s">
        <v>34</v>
      </c>
      <c r="G313" s="7" t="s">
        <v>35</v>
      </c>
      <c r="H313" s="7"/>
      <c r="I313" s="7"/>
      <c r="J313" s="7" t="s">
        <v>36</v>
      </c>
      <c r="K313" s="7" t="s">
        <v>131</v>
      </c>
      <c r="L313" s="7" t="s">
        <v>132</v>
      </c>
      <c r="M313" s="7" t="s">
        <v>133</v>
      </c>
      <c r="N313" s="7" t="s">
        <v>33</v>
      </c>
      <c r="O313" s="7">
        <v>1</v>
      </c>
      <c r="P313" s="7" t="s">
        <v>40</v>
      </c>
      <c r="Q313" s="7">
        <v>18.99</v>
      </c>
      <c r="R313" s="7"/>
      <c r="S313" s="7"/>
      <c r="T313" s="7"/>
      <c r="U313" s="7"/>
      <c r="V313" s="7"/>
      <c r="W313" s="7"/>
      <c r="X313" s="7"/>
      <c r="Y313" s="7" t="s">
        <v>1795</v>
      </c>
      <c r="Z313" s="7" t="s">
        <v>59</v>
      </c>
      <c r="AA313" s="7" t="s">
        <v>1796</v>
      </c>
      <c r="AB313" s="7" t="s">
        <v>43</v>
      </c>
      <c r="AC313" s="7"/>
      <c r="AD313" s="7"/>
      <c r="AE313" s="7"/>
      <c r="AF313" s="7"/>
      <c r="AG313" s="8">
        <f t="shared" si="4"/>
        <v>43319</v>
      </c>
    </row>
    <row r="314" spans="1:33">
      <c r="A314" s="7" t="s">
        <v>1797</v>
      </c>
      <c r="B314" s="7" t="s">
        <v>1797</v>
      </c>
      <c r="C314" s="7" t="s">
        <v>1798</v>
      </c>
      <c r="D314" s="7" t="s">
        <v>1799</v>
      </c>
      <c r="E314" s="7" t="s">
        <v>33</v>
      </c>
      <c r="F314" s="7" t="s">
        <v>34</v>
      </c>
      <c r="G314" s="7" t="s">
        <v>35</v>
      </c>
      <c r="H314" s="7"/>
      <c r="I314" s="7"/>
      <c r="J314" s="7" t="s">
        <v>36</v>
      </c>
      <c r="K314" s="7" t="s">
        <v>255</v>
      </c>
      <c r="L314" s="7" t="s">
        <v>1647</v>
      </c>
      <c r="M314" s="7" t="s">
        <v>1648</v>
      </c>
      <c r="N314" s="7" t="s">
        <v>33</v>
      </c>
      <c r="O314" s="7">
        <v>1</v>
      </c>
      <c r="P314" s="7" t="s">
        <v>40</v>
      </c>
      <c r="Q314" s="7">
        <v>19.99</v>
      </c>
      <c r="R314" s="7"/>
      <c r="S314" s="7"/>
      <c r="T314" s="7"/>
      <c r="U314" s="7"/>
      <c r="V314" s="7"/>
      <c r="W314" s="7"/>
      <c r="X314" s="7"/>
      <c r="Y314" s="7" t="s">
        <v>1800</v>
      </c>
      <c r="Z314" s="7" t="s">
        <v>59</v>
      </c>
      <c r="AA314" s="7" t="s">
        <v>1801</v>
      </c>
      <c r="AB314" s="7" t="s">
        <v>43</v>
      </c>
      <c r="AC314" s="7"/>
      <c r="AD314" s="7"/>
      <c r="AE314" s="7"/>
      <c r="AF314" s="7"/>
      <c r="AG314" s="8">
        <f t="shared" si="4"/>
        <v>43319</v>
      </c>
    </row>
    <row r="315" spans="1:33">
      <c r="A315" s="7" t="s">
        <v>1802</v>
      </c>
      <c r="B315" s="7" t="s">
        <v>1802</v>
      </c>
      <c r="C315" s="7" t="s">
        <v>1803</v>
      </c>
      <c r="D315" s="7" t="s">
        <v>1804</v>
      </c>
      <c r="E315" s="7" t="s">
        <v>33</v>
      </c>
      <c r="F315" s="7" t="s">
        <v>34</v>
      </c>
      <c r="G315" s="7" t="s">
        <v>35</v>
      </c>
      <c r="H315" s="7"/>
      <c r="I315" s="7"/>
      <c r="J315" s="7" t="s">
        <v>36</v>
      </c>
      <c r="K315" s="7" t="s">
        <v>1805</v>
      </c>
      <c r="L315" s="7" t="s">
        <v>1806</v>
      </c>
      <c r="M315" s="7" t="s">
        <v>1807</v>
      </c>
      <c r="N315" s="7" t="s">
        <v>33</v>
      </c>
      <c r="O315" s="7">
        <v>1</v>
      </c>
      <c r="P315" s="7" t="s">
        <v>40</v>
      </c>
      <c r="Q315" s="7">
        <v>18.96</v>
      </c>
      <c r="R315" s="7"/>
      <c r="S315" s="7"/>
      <c r="T315" s="7"/>
      <c r="U315" s="7"/>
      <c r="V315" s="7"/>
      <c r="W315" s="7"/>
      <c r="X315" s="7"/>
      <c r="Y315" s="7" t="s">
        <v>1808</v>
      </c>
      <c r="Z315" s="7" t="s">
        <v>59</v>
      </c>
      <c r="AA315" s="7" t="s">
        <v>1809</v>
      </c>
      <c r="AB315" s="7" t="s">
        <v>43</v>
      </c>
      <c r="AC315" s="7"/>
      <c r="AD315" s="7"/>
      <c r="AE315" s="7"/>
      <c r="AF315" s="7"/>
      <c r="AG315" s="8">
        <f t="shared" si="4"/>
        <v>43319</v>
      </c>
    </row>
    <row r="316" spans="1:33">
      <c r="A316" s="7" t="s">
        <v>1810</v>
      </c>
      <c r="B316" s="7" t="s">
        <v>1810</v>
      </c>
      <c r="C316" s="7" t="s">
        <v>1811</v>
      </c>
      <c r="D316" s="7" t="s">
        <v>1812</v>
      </c>
      <c r="E316" s="7" t="s">
        <v>33</v>
      </c>
      <c r="F316" s="7" t="s">
        <v>34</v>
      </c>
      <c r="G316" s="7" t="s">
        <v>35</v>
      </c>
      <c r="H316" s="7"/>
      <c r="I316" s="7"/>
      <c r="J316" s="7" t="s">
        <v>36</v>
      </c>
      <c r="K316" s="7" t="s">
        <v>37</v>
      </c>
      <c r="L316" s="7" t="s">
        <v>784</v>
      </c>
      <c r="M316" s="7" t="s">
        <v>785</v>
      </c>
      <c r="N316" s="7" t="s">
        <v>33</v>
      </c>
      <c r="O316" s="7">
        <v>1</v>
      </c>
      <c r="P316" s="7" t="s">
        <v>40</v>
      </c>
      <c r="Q316" s="7">
        <v>19.99</v>
      </c>
      <c r="R316" s="7"/>
      <c r="S316" s="7"/>
      <c r="T316" s="7"/>
      <c r="U316" s="7"/>
      <c r="V316" s="7"/>
      <c r="W316" s="7"/>
      <c r="X316" s="7"/>
      <c r="Y316" s="7" t="s">
        <v>1813</v>
      </c>
      <c r="Z316" s="7" t="s">
        <v>345</v>
      </c>
      <c r="AA316" s="7" t="s">
        <v>1814</v>
      </c>
      <c r="AB316" s="7" t="s">
        <v>43</v>
      </c>
      <c r="AC316" s="7"/>
      <c r="AD316" s="7"/>
      <c r="AE316" s="7"/>
      <c r="AF316" s="7"/>
      <c r="AG316" s="8">
        <f t="shared" si="4"/>
        <v>43319</v>
      </c>
    </row>
    <row r="317" spans="1:33">
      <c r="A317" s="7" t="s">
        <v>1815</v>
      </c>
      <c r="B317" s="7" t="s">
        <v>1815</v>
      </c>
      <c r="C317" s="7" t="s">
        <v>1816</v>
      </c>
      <c r="D317" s="7" t="s">
        <v>1817</v>
      </c>
      <c r="E317" s="7" t="s">
        <v>33</v>
      </c>
      <c r="F317" s="7" t="s">
        <v>34</v>
      </c>
      <c r="G317" s="7" t="s">
        <v>35</v>
      </c>
      <c r="H317" s="7"/>
      <c r="I317" s="7"/>
      <c r="J317" s="7" t="s">
        <v>36</v>
      </c>
      <c r="K317" s="7" t="s">
        <v>255</v>
      </c>
      <c r="L317" s="7" t="s">
        <v>256</v>
      </c>
      <c r="M317" s="7" t="s">
        <v>257</v>
      </c>
      <c r="N317" s="7" t="s">
        <v>33</v>
      </c>
      <c r="O317" s="7">
        <v>1</v>
      </c>
      <c r="P317" s="7" t="s">
        <v>40</v>
      </c>
      <c r="Q317" s="7">
        <v>19.99</v>
      </c>
      <c r="R317" s="7"/>
      <c r="S317" s="7"/>
      <c r="T317" s="7"/>
      <c r="U317" s="7"/>
      <c r="V317" s="7"/>
      <c r="W317" s="7"/>
      <c r="X317" s="7"/>
      <c r="Y317" s="7" t="s">
        <v>372</v>
      </c>
      <c r="Z317" s="7" t="s">
        <v>59</v>
      </c>
      <c r="AA317" s="7" t="s">
        <v>1818</v>
      </c>
      <c r="AB317" s="7" t="s">
        <v>43</v>
      </c>
      <c r="AC317" s="7"/>
      <c r="AD317" s="7"/>
      <c r="AE317" s="7"/>
      <c r="AF317" s="7"/>
      <c r="AG317" s="8">
        <f t="shared" si="4"/>
        <v>43319</v>
      </c>
    </row>
    <row r="318" spans="1:33">
      <c r="A318" s="7" t="s">
        <v>1819</v>
      </c>
      <c r="B318" s="7" t="s">
        <v>1819</v>
      </c>
      <c r="C318" s="7" t="s">
        <v>1820</v>
      </c>
      <c r="D318" s="7" t="s">
        <v>1821</v>
      </c>
      <c r="E318" s="7" t="s">
        <v>33</v>
      </c>
      <c r="F318" s="7" t="s">
        <v>34</v>
      </c>
      <c r="G318" s="7" t="s">
        <v>35</v>
      </c>
      <c r="H318" s="7"/>
      <c r="I318" s="7"/>
      <c r="J318" s="7" t="s">
        <v>336</v>
      </c>
      <c r="K318" s="7" t="s">
        <v>255</v>
      </c>
      <c r="L318" s="7" t="s">
        <v>1788</v>
      </c>
      <c r="M318" s="7" t="s">
        <v>1789</v>
      </c>
      <c r="N318" s="7" t="s">
        <v>33</v>
      </c>
      <c r="O318" s="7">
        <v>1</v>
      </c>
      <c r="P318" s="7" t="s">
        <v>40</v>
      </c>
      <c r="Q318" s="7">
        <v>19.99</v>
      </c>
      <c r="R318" s="7"/>
      <c r="S318" s="7"/>
      <c r="T318" s="7"/>
      <c r="U318" s="7"/>
      <c r="V318" s="7"/>
      <c r="W318" s="7"/>
      <c r="X318" s="7"/>
      <c r="Y318" s="7" t="s">
        <v>1822</v>
      </c>
      <c r="Z318" s="7" t="s">
        <v>69</v>
      </c>
      <c r="AA318" s="7" t="s">
        <v>1823</v>
      </c>
      <c r="AB318" s="7" t="s">
        <v>43</v>
      </c>
      <c r="AC318" s="7"/>
      <c r="AD318" s="7"/>
      <c r="AE318" s="7"/>
      <c r="AF318" s="7"/>
      <c r="AG318" s="8">
        <f t="shared" si="4"/>
        <v>43319</v>
      </c>
    </row>
    <row r="319" spans="1:33">
      <c r="A319" s="7" t="s">
        <v>1824</v>
      </c>
      <c r="B319" s="7" t="s">
        <v>1824</v>
      </c>
      <c r="C319" s="7" t="s">
        <v>1825</v>
      </c>
      <c r="D319" s="7" t="s">
        <v>1826</v>
      </c>
      <c r="E319" s="7" t="s">
        <v>33</v>
      </c>
      <c r="F319" s="7" t="s">
        <v>34</v>
      </c>
      <c r="G319" s="7" t="s">
        <v>35</v>
      </c>
      <c r="H319" s="7"/>
      <c r="I319" s="7"/>
      <c r="J319" s="7" t="s">
        <v>36</v>
      </c>
      <c r="K319" s="7" t="s">
        <v>131</v>
      </c>
      <c r="L319" s="7" t="s">
        <v>132</v>
      </c>
      <c r="M319" s="7" t="s">
        <v>133</v>
      </c>
      <c r="N319" s="7" t="s">
        <v>33</v>
      </c>
      <c r="O319" s="7">
        <v>1</v>
      </c>
      <c r="P319" s="7" t="s">
        <v>40</v>
      </c>
      <c r="Q319" s="7">
        <v>18.99</v>
      </c>
      <c r="R319" s="7"/>
      <c r="S319" s="7"/>
      <c r="T319" s="7"/>
      <c r="U319" s="7"/>
      <c r="V319" s="7"/>
      <c r="W319" s="7"/>
      <c r="X319" s="7"/>
      <c r="Y319" s="7" t="s">
        <v>377</v>
      </c>
      <c r="Z319" s="7" t="s">
        <v>143</v>
      </c>
      <c r="AA319" s="7" t="s">
        <v>1827</v>
      </c>
      <c r="AB319" s="7" t="s">
        <v>43</v>
      </c>
      <c r="AC319" s="7"/>
      <c r="AD319" s="7"/>
      <c r="AE319" s="7"/>
      <c r="AF319" s="7"/>
      <c r="AG319" s="8">
        <f t="shared" si="4"/>
        <v>43319</v>
      </c>
    </row>
    <row r="320" spans="1:33">
      <c r="A320" s="7" t="s">
        <v>1828</v>
      </c>
      <c r="B320" s="7" t="s">
        <v>1828</v>
      </c>
      <c r="C320" s="7" t="s">
        <v>1829</v>
      </c>
      <c r="D320" s="7" t="s">
        <v>1830</v>
      </c>
      <c r="E320" s="7" t="s">
        <v>33</v>
      </c>
      <c r="F320" s="7" t="s">
        <v>34</v>
      </c>
      <c r="G320" s="7" t="s">
        <v>35</v>
      </c>
      <c r="H320" s="7"/>
      <c r="I320" s="7"/>
      <c r="J320" s="7" t="s">
        <v>36</v>
      </c>
      <c r="K320" s="7" t="s">
        <v>255</v>
      </c>
      <c r="L320" s="7" t="s">
        <v>256</v>
      </c>
      <c r="M320" s="7" t="s">
        <v>257</v>
      </c>
      <c r="N320" s="7" t="s">
        <v>33</v>
      </c>
      <c r="O320" s="7">
        <v>1</v>
      </c>
      <c r="P320" s="7" t="s">
        <v>40</v>
      </c>
      <c r="Q320" s="7">
        <v>19.99</v>
      </c>
      <c r="R320" s="7"/>
      <c r="S320" s="7"/>
      <c r="T320" s="7"/>
      <c r="U320" s="7"/>
      <c r="V320" s="7"/>
      <c r="W320" s="7"/>
      <c r="X320" s="7"/>
      <c r="Y320" s="7" t="s">
        <v>1831</v>
      </c>
      <c r="Z320" s="7" t="s">
        <v>94</v>
      </c>
      <c r="AA320" s="7">
        <v>7737</v>
      </c>
      <c r="AB320" s="7" t="s">
        <v>43</v>
      </c>
      <c r="AC320" s="7"/>
      <c r="AD320" s="7"/>
      <c r="AE320" s="7"/>
      <c r="AF320" s="7"/>
      <c r="AG320" s="8">
        <f t="shared" si="4"/>
        <v>43319</v>
      </c>
    </row>
    <row r="321" spans="1:33">
      <c r="A321" s="7" t="s">
        <v>1828</v>
      </c>
      <c r="B321" s="7" t="s">
        <v>1828</v>
      </c>
      <c r="C321" s="7" t="s">
        <v>1829</v>
      </c>
      <c r="D321" s="7" t="s">
        <v>1830</v>
      </c>
      <c r="E321" s="7" t="s">
        <v>33</v>
      </c>
      <c r="F321" s="7" t="s">
        <v>34</v>
      </c>
      <c r="G321" s="7" t="s">
        <v>35</v>
      </c>
      <c r="H321" s="7"/>
      <c r="I321" s="7"/>
      <c r="J321" s="7" t="s">
        <v>36</v>
      </c>
      <c r="K321" s="7" t="s">
        <v>90</v>
      </c>
      <c r="L321" s="7" t="s">
        <v>284</v>
      </c>
      <c r="M321" s="7" t="s">
        <v>285</v>
      </c>
      <c r="N321" s="7" t="s">
        <v>33</v>
      </c>
      <c r="O321" s="7">
        <v>1</v>
      </c>
      <c r="P321" s="7" t="s">
        <v>40</v>
      </c>
      <c r="Q321" s="7">
        <v>19.99</v>
      </c>
      <c r="R321" s="7"/>
      <c r="S321" s="7"/>
      <c r="T321" s="7"/>
      <c r="U321" s="7"/>
      <c r="V321" s="7"/>
      <c r="W321" s="7"/>
      <c r="X321" s="7"/>
      <c r="Y321" s="7" t="s">
        <v>1831</v>
      </c>
      <c r="Z321" s="7" t="s">
        <v>94</v>
      </c>
      <c r="AA321" s="7">
        <v>7737</v>
      </c>
      <c r="AB321" s="7" t="s">
        <v>43</v>
      </c>
      <c r="AC321" s="7"/>
      <c r="AD321" s="7"/>
      <c r="AE321" s="7"/>
      <c r="AF321" s="7"/>
      <c r="AG321" s="8">
        <f t="shared" si="4"/>
        <v>43319</v>
      </c>
    </row>
    <row r="322" spans="1:33">
      <c r="A322" s="7" t="s">
        <v>1832</v>
      </c>
      <c r="B322" s="7" t="s">
        <v>1832</v>
      </c>
      <c r="C322" s="7" t="s">
        <v>1833</v>
      </c>
      <c r="D322" s="7" t="s">
        <v>1834</v>
      </c>
      <c r="E322" s="7" t="s">
        <v>99</v>
      </c>
      <c r="F322" s="7" t="s">
        <v>34</v>
      </c>
      <c r="G322" s="7" t="s">
        <v>35</v>
      </c>
      <c r="H322" s="7"/>
      <c r="I322" s="7"/>
      <c r="J322" s="7" t="s">
        <v>36</v>
      </c>
      <c r="K322" s="7" t="s">
        <v>65</v>
      </c>
      <c r="L322" s="7" t="s">
        <v>771</v>
      </c>
      <c r="M322" s="7" t="s">
        <v>772</v>
      </c>
      <c r="N322" s="7" t="s">
        <v>99</v>
      </c>
      <c r="O322" s="7">
        <v>0</v>
      </c>
      <c r="P322" s="7"/>
      <c r="Q322" s="7"/>
      <c r="R322" s="7"/>
      <c r="S322" s="7"/>
      <c r="T322" s="7"/>
      <c r="U322" s="7"/>
      <c r="V322" s="7"/>
      <c r="W322" s="7"/>
      <c r="X322" s="7"/>
      <c r="Y322" s="7" t="s">
        <v>93</v>
      </c>
      <c r="Z322" s="7" t="s">
        <v>94</v>
      </c>
      <c r="AA322" s="7" t="s">
        <v>1835</v>
      </c>
      <c r="AB322" s="7" t="s">
        <v>43</v>
      </c>
      <c r="AC322" s="7"/>
      <c r="AD322" s="7"/>
      <c r="AE322" s="7"/>
      <c r="AF322" s="7"/>
      <c r="AG322" s="8">
        <f t="shared" ref="AG322:AG385" si="5">DATEVALUE(LEFT(C322,10))</f>
        <v>43319</v>
      </c>
    </row>
    <row r="323" spans="1:33">
      <c r="A323" s="7" t="s">
        <v>1836</v>
      </c>
      <c r="B323" s="7" t="s">
        <v>1836</v>
      </c>
      <c r="C323" s="7" t="s">
        <v>1837</v>
      </c>
      <c r="D323" s="7" t="s">
        <v>1838</v>
      </c>
      <c r="E323" s="7" t="s">
        <v>33</v>
      </c>
      <c r="F323" s="7" t="s">
        <v>34</v>
      </c>
      <c r="G323" s="7" t="s">
        <v>35</v>
      </c>
      <c r="H323" s="7"/>
      <c r="I323" s="7"/>
      <c r="J323" s="7" t="s">
        <v>36</v>
      </c>
      <c r="K323" s="7" t="s">
        <v>90</v>
      </c>
      <c r="L323" s="7" t="s">
        <v>540</v>
      </c>
      <c r="M323" s="7" t="s">
        <v>541</v>
      </c>
      <c r="N323" s="7" t="s">
        <v>33</v>
      </c>
      <c r="O323" s="7">
        <v>1</v>
      </c>
      <c r="P323" s="7" t="s">
        <v>40</v>
      </c>
      <c r="Q323" s="7">
        <v>19.99</v>
      </c>
      <c r="R323" s="7"/>
      <c r="S323" s="7"/>
      <c r="T323" s="7"/>
      <c r="U323" s="7"/>
      <c r="V323" s="7"/>
      <c r="W323" s="7"/>
      <c r="X323" s="7"/>
      <c r="Y323" s="7" t="s">
        <v>1839</v>
      </c>
      <c r="Z323" s="7" t="s">
        <v>59</v>
      </c>
      <c r="AA323" s="7" t="s">
        <v>1840</v>
      </c>
      <c r="AB323" s="7" t="s">
        <v>43</v>
      </c>
      <c r="AC323" s="7"/>
      <c r="AD323" s="7"/>
      <c r="AE323" s="7"/>
      <c r="AF323" s="7"/>
      <c r="AG323" s="8">
        <f t="shared" si="5"/>
        <v>43319</v>
      </c>
    </row>
    <row r="324" spans="1:33">
      <c r="A324" s="7" t="s">
        <v>1841</v>
      </c>
      <c r="B324" s="7" t="s">
        <v>1841</v>
      </c>
      <c r="C324" s="7" t="s">
        <v>1842</v>
      </c>
      <c r="D324" s="7" t="s">
        <v>1843</v>
      </c>
      <c r="E324" s="7" t="s">
        <v>33</v>
      </c>
      <c r="F324" s="7" t="s">
        <v>34</v>
      </c>
      <c r="G324" s="7" t="s">
        <v>35</v>
      </c>
      <c r="H324" s="7"/>
      <c r="I324" s="7"/>
      <c r="J324" s="7" t="s">
        <v>36</v>
      </c>
      <c r="K324" s="7" t="s">
        <v>90</v>
      </c>
      <c r="L324" s="7" t="s">
        <v>540</v>
      </c>
      <c r="M324" s="7" t="s">
        <v>541</v>
      </c>
      <c r="N324" s="7" t="s">
        <v>33</v>
      </c>
      <c r="O324" s="7">
        <v>1</v>
      </c>
      <c r="P324" s="7" t="s">
        <v>40</v>
      </c>
      <c r="Q324" s="7">
        <v>19.99</v>
      </c>
      <c r="R324" s="7"/>
      <c r="S324" s="7"/>
      <c r="T324" s="7"/>
      <c r="U324" s="7"/>
      <c r="V324" s="7"/>
      <c r="W324" s="7"/>
      <c r="X324" s="7"/>
      <c r="Y324" s="7" t="s">
        <v>488</v>
      </c>
      <c r="Z324" s="7" t="s">
        <v>227</v>
      </c>
      <c r="AA324" s="7" t="s">
        <v>1844</v>
      </c>
      <c r="AB324" s="7" t="s">
        <v>43</v>
      </c>
      <c r="AC324" s="7"/>
      <c r="AD324" s="7"/>
      <c r="AE324" s="7"/>
      <c r="AF324" s="7"/>
      <c r="AG324" s="8">
        <f t="shared" si="5"/>
        <v>43319</v>
      </c>
    </row>
    <row r="325" spans="1:33">
      <c r="A325" s="7" t="s">
        <v>1845</v>
      </c>
      <c r="B325" s="7" t="s">
        <v>1845</v>
      </c>
      <c r="C325" s="7" t="s">
        <v>1846</v>
      </c>
      <c r="D325" s="7" t="s">
        <v>1847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36</v>
      </c>
      <c r="K325" s="7" t="s">
        <v>255</v>
      </c>
      <c r="L325" s="7" t="s">
        <v>277</v>
      </c>
      <c r="M325" s="7" t="s">
        <v>278</v>
      </c>
      <c r="N325" s="7" t="s">
        <v>33</v>
      </c>
      <c r="O325" s="7">
        <v>1</v>
      </c>
      <c r="P325" s="7" t="s">
        <v>40</v>
      </c>
      <c r="Q325" s="7">
        <v>19.99</v>
      </c>
      <c r="R325" s="7"/>
      <c r="S325" s="7"/>
      <c r="T325" s="7"/>
      <c r="U325" s="7"/>
      <c r="V325" s="7"/>
      <c r="W325" s="7"/>
      <c r="X325" s="7"/>
      <c r="Y325" s="7" t="s">
        <v>1848</v>
      </c>
      <c r="Z325" s="7" t="s">
        <v>51</v>
      </c>
      <c r="AA325" s="7" t="s">
        <v>1849</v>
      </c>
      <c r="AB325" s="7" t="s">
        <v>43</v>
      </c>
      <c r="AC325" s="7"/>
      <c r="AD325" s="7"/>
      <c r="AE325" s="7"/>
      <c r="AF325" s="7"/>
      <c r="AG325" s="8">
        <f t="shared" si="5"/>
        <v>43319</v>
      </c>
    </row>
    <row r="326" spans="1:33">
      <c r="A326" s="7" t="s">
        <v>1850</v>
      </c>
      <c r="B326" s="7" t="s">
        <v>1850</v>
      </c>
      <c r="C326" s="7" t="s">
        <v>1851</v>
      </c>
      <c r="D326" s="7" t="s">
        <v>1852</v>
      </c>
      <c r="E326" s="7" t="s">
        <v>33</v>
      </c>
      <c r="F326" s="7" t="s">
        <v>34</v>
      </c>
      <c r="G326" s="7" t="s">
        <v>35</v>
      </c>
      <c r="H326" s="7"/>
      <c r="I326" s="7"/>
      <c r="J326" s="7" t="s">
        <v>36</v>
      </c>
      <c r="K326" s="7" t="s">
        <v>90</v>
      </c>
      <c r="L326" s="7" t="s">
        <v>140</v>
      </c>
      <c r="M326" s="7" t="s">
        <v>141</v>
      </c>
      <c r="N326" s="7" t="s">
        <v>33</v>
      </c>
      <c r="O326" s="7">
        <v>1</v>
      </c>
      <c r="P326" s="7" t="s">
        <v>40</v>
      </c>
      <c r="Q326" s="7">
        <v>19.99</v>
      </c>
      <c r="R326" s="7"/>
      <c r="S326" s="7"/>
      <c r="T326" s="7"/>
      <c r="U326" s="7"/>
      <c r="V326" s="7"/>
      <c r="W326" s="7"/>
      <c r="X326" s="7"/>
      <c r="Y326" s="7" t="s">
        <v>1853</v>
      </c>
      <c r="Z326" s="7" t="s">
        <v>1126</v>
      </c>
      <c r="AA326" s="7" t="s">
        <v>1854</v>
      </c>
      <c r="AB326" s="7" t="s">
        <v>43</v>
      </c>
      <c r="AC326" s="7"/>
      <c r="AD326" s="7"/>
      <c r="AE326" s="7"/>
      <c r="AF326" s="7"/>
      <c r="AG326" s="8">
        <f t="shared" si="5"/>
        <v>43320</v>
      </c>
    </row>
    <row r="327" spans="1:33">
      <c r="A327" s="7" t="s">
        <v>1850</v>
      </c>
      <c r="B327" s="7" t="s">
        <v>1850</v>
      </c>
      <c r="C327" s="7" t="s">
        <v>1851</v>
      </c>
      <c r="D327" s="7" t="s">
        <v>1852</v>
      </c>
      <c r="E327" s="7" t="s">
        <v>33</v>
      </c>
      <c r="F327" s="7" t="s">
        <v>34</v>
      </c>
      <c r="G327" s="7" t="s">
        <v>35</v>
      </c>
      <c r="H327" s="7"/>
      <c r="I327" s="7"/>
      <c r="J327" s="7" t="s">
        <v>36</v>
      </c>
      <c r="K327" s="7" t="s">
        <v>456</v>
      </c>
      <c r="L327" s="7" t="s">
        <v>959</v>
      </c>
      <c r="M327" s="7" t="s">
        <v>960</v>
      </c>
      <c r="N327" s="7" t="s">
        <v>33</v>
      </c>
      <c r="O327" s="7">
        <v>1</v>
      </c>
      <c r="P327" s="7" t="s">
        <v>40</v>
      </c>
      <c r="Q327" s="7">
        <v>19.99</v>
      </c>
      <c r="R327" s="7"/>
      <c r="S327" s="7"/>
      <c r="T327" s="7"/>
      <c r="U327" s="7"/>
      <c r="V327" s="7"/>
      <c r="W327" s="7"/>
      <c r="X327" s="7"/>
      <c r="Y327" s="7" t="s">
        <v>1853</v>
      </c>
      <c r="Z327" s="7" t="s">
        <v>1126</v>
      </c>
      <c r="AA327" s="7" t="s">
        <v>1854</v>
      </c>
      <c r="AB327" s="7" t="s">
        <v>43</v>
      </c>
      <c r="AC327" s="7"/>
      <c r="AD327" s="7"/>
      <c r="AE327" s="7"/>
      <c r="AF327" s="7"/>
      <c r="AG327" s="8">
        <f t="shared" si="5"/>
        <v>43320</v>
      </c>
    </row>
    <row r="328" spans="1:33">
      <c r="A328" s="7" t="s">
        <v>1855</v>
      </c>
      <c r="B328" s="7" t="s">
        <v>1855</v>
      </c>
      <c r="C328" s="7" t="s">
        <v>1856</v>
      </c>
      <c r="D328" s="7" t="s">
        <v>1857</v>
      </c>
      <c r="E328" s="7" t="s">
        <v>33</v>
      </c>
      <c r="F328" s="7" t="s">
        <v>34</v>
      </c>
      <c r="G328" s="7" t="s">
        <v>35</v>
      </c>
      <c r="H328" s="7"/>
      <c r="I328" s="7"/>
      <c r="J328" s="7" t="s">
        <v>36</v>
      </c>
      <c r="K328" s="7" t="s">
        <v>617</v>
      </c>
      <c r="L328" s="7" t="s">
        <v>618</v>
      </c>
      <c r="M328" s="7" t="s">
        <v>619</v>
      </c>
      <c r="N328" s="7" t="s">
        <v>33</v>
      </c>
      <c r="O328" s="7">
        <v>1</v>
      </c>
      <c r="P328" s="7" t="s">
        <v>40</v>
      </c>
      <c r="Q328" s="7">
        <v>18.99</v>
      </c>
      <c r="R328" s="7"/>
      <c r="S328" s="7"/>
      <c r="T328" s="7"/>
      <c r="U328" s="7"/>
      <c r="V328" s="7"/>
      <c r="W328" s="7"/>
      <c r="X328" s="7"/>
      <c r="Y328" s="7" t="s">
        <v>1858</v>
      </c>
      <c r="Z328" s="7" t="s">
        <v>174</v>
      </c>
      <c r="AA328" s="7" t="s">
        <v>1859</v>
      </c>
      <c r="AB328" s="7" t="s">
        <v>43</v>
      </c>
      <c r="AC328" s="7"/>
      <c r="AD328" s="7"/>
      <c r="AE328" s="7"/>
      <c r="AF328" s="7"/>
      <c r="AG328" s="8">
        <f t="shared" si="5"/>
        <v>43320</v>
      </c>
    </row>
    <row r="329" spans="1:33">
      <c r="A329" s="7" t="s">
        <v>1860</v>
      </c>
      <c r="B329" s="7" t="s">
        <v>1860</v>
      </c>
      <c r="C329" s="7" t="s">
        <v>1861</v>
      </c>
      <c r="D329" s="7" t="s">
        <v>1862</v>
      </c>
      <c r="E329" s="7" t="s">
        <v>33</v>
      </c>
      <c r="F329" s="7" t="s">
        <v>34</v>
      </c>
      <c r="G329" s="7" t="s">
        <v>35</v>
      </c>
      <c r="H329" s="7"/>
      <c r="I329" s="7"/>
      <c r="J329" s="7" t="s">
        <v>36</v>
      </c>
      <c r="K329" s="7" t="s">
        <v>247</v>
      </c>
      <c r="L329" s="7" t="s">
        <v>248</v>
      </c>
      <c r="M329" s="7" t="s">
        <v>249</v>
      </c>
      <c r="N329" s="7" t="s">
        <v>33</v>
      </c>
      <c r="O329" s="7">
        <v>1</v>
      </c>
      <c r="P329" s="7" t="s">
        <v>40</v>
      </c>
      <c r="Q329" s="7">
        <v>18.99</v>
      </c>
      <c r="R329" s="7"/>
      <c r="S329" s="7"/>
      <c r="T329" s="7"/>
      <c r="U329" s="7"/>
      <c r="V329" s="7"/>
      <c r="W329" s="7"/>
      <c r="X329" s="7"/>
      <c r="Y329" s="7" t="s">
        <v>1863</v>
      </c>
      <c r="Z329" s="7" t="s">
        <v>85</v>
      </c>
      <c r="AA329" s="7" t="s">
        <v>1864</v>
      </c>
      <c r="AB329" s="7" t="s">
        <v>43</v>
      </c>
      <c r="AC329" s="7"/>
      <c r="AD329" s="7"/>
      <c r="AE329" s="7"/>
      <c r="AF329" s="7"/>
      <c r="AG329" s="8">
        <f t="shared" si="5"/>
        <v>43320</v>
      </c>
    </row>
    <row r="330" spans="1:33">
      <c r="A330" s="7" t="s">
        <v>1865</v>
      </c>
      <c r="B330" s="7" t="s">
        <v>1865</v>
      </c>
      <c r="C330" s="7" t="s">
        <v>1866</v>
      </c>
      <c r="D330" s="7" t="s">
        <v>1867</v>
      </c>
      <c r="E330" s="7" t="s">
        <v>33</v>
      </c>
      <c r="F330" s="7" t="s">
        <v>34</v>
      </c>
      <c r="G330" s="7" t="s">
        <v>35</v>
      </c>
      <c r="H330" s="7"/>
      <c r="I330" s="7"/>
      <c r="J330" s="7" t="s">
        <v>36</v>
      </c>
      <c r="K330" s="7" t="s">
        <v>965</v>
      </c>
      <c r="L330" s="7" t="s">
        <v>1868</v>
      </c>
      <c r="M330" s="7" t="s">
        <v>1869</v>
      </c>
      <c r="N330" s="7" t="s">
        <v>33</v>
      </c>
      <c r="O330" s="7">
        <v>1</v>
      </c>
      <c r="P330" s="7" t="s">
        <v>40</v>
      </c>
      <c r="Q330" s="7">
        <v>17.99</v>
      </c>
      <c r="R330" s="7">
        <v>1.85</v>
      </c>
      <c r="S330" s="7"/>
      <c r="T330" s="7"/>
      <c r="U330" s="7"/>
      <c r="V330" s="7"/>
      <c r="W330" s="7"/>
      <c r="X330" s="7"/>
      <c r="Y330" s="7" t="s">
        <v>1870</v>
      </c>
      <c r="Z330" s="7" t="s">
        <v>882</v>
      </c>
      <c r="AA330" s="7">
        <v>98026</v>
      </c>
      <c r="AB330" s="7" t="s">
        <v>43</v>
      </c>
      <c r="AC330" s="7"/>
      <c r="AD330" s="7"/>
      <c r="AE330" s="7"/>
      <c r="AF330" s="7"/>
      <c r="AG330" s="8">
        <f t="shared" si="5"/>
        <v>43320</v>
      </c>
    </row>
    <row r="331" spans="1:33">
      <c r="A331" s="7" t="s">
        <v>1871</v>
      </c>
      <c r="B331" s="7" t="s">
        <v>1871</v>
      </c>
      <c r="C331" s="7" t="s">
        <v>1872</v>
      </c>
      <c r="D331" s="7" t="s">
        <v>1873</v>
      </c>
      <c r="E331" s="7" t="s">
        <v>33</v>
      </c>
      <c r="F331" s="7" t="s">
        <v>34</v>
      </c>
      <c r="G331" s="7" t="s">
        <v>35</v>
      </c>
      <c r="H331" s="7"/>
      <c r="I331" s="7"/>
      <c r="J331" s="7" t="s">
        <v>36</v>
      </c>
      <c r="K331" s="7" t="s">
        <v>90</v>
      </c>
      <c r="L331" s="7" t="s">
        <v>140</v>
      </c>
      <c r="M331" s="7" t="s">
        <v>141</v>
      </c>
      <c r="N331" s="7" t="s">
        <v>33</v>
      </c>
      <c r="O331" s="7">
        <v>1</v>
      </c>
      <c r="P331" s="7" t="s">
        <v>40</v>
      </c>
      <c r="Q331" s="7">
        <v>19.99</v>
      </c>
      <c r="R331" s="7">
        <v>1.2</v>
      </c>
      <c r="S331" s="7"/>
      <c r="T331" s="7"/>
      <c r="U331" s="7"/>
      <c r="V331" s="7"/>
      <c r="W331" s="7"/>
      <c r="X331" s="7"/>
      <c r="Y331" s="7" t="s">
        <v>1874</v>
      </c>
      <c r="Z331" s="7" t="s">
        <v>42</v>
      </c>
      <c r="AA331" s="7" t="s">
        <v>1875</v>
      </c>
      <c r="AB331" s="7" t="s">
        <v>43</v>
      </c>
      <c r="AC331" s="7"/>
      <c r="AD331" s="7"/>
      <c r="AE331" s="7"/>
      <c r="AF331" s="7"/>
      <c r="AG331" s="8">
        <f t="shared" si="5"/>
        <v>43320</v>
      </c>
    </row>
    <row r="332" spans="1:33">
      <c r="A332" s="7" t="s">
        <v>1876</v>
      </c>
      <c r="B332" s="7" t="s">
        <v>1876</v>
      </c>
      <c r="C332" s="7" t="s">
        <v>1877</v>
      </c>
      <c r="D332" s="7" t="s">
        <v>1878</v>
      </c>
      <c r="E332" s="7" t="s">
        <v>33</v>
      </c>
      <c r="F332" s="7" t="s">
        <v>34</v>
      </c>
      <c r="G332" s="7" t="s">
        <v>35</v>
      </c>
      <c r="H332" s="7"/>
      <c r="I332" s="7"/>
      <c r="J332" s="7" t="s">
        <v>36</v>
      </c>
      <c r="K332" s="7" t="s">
        <v>255</v>
      </c>
      <c r="L332" s="7" t="s">
        <v>277</v>
      </c>
      <c r="M332" s="7" t="s">
        <v>278</v>
      </c>
      <c r="N332" s="7" t="s">
        <v>33</v>
      </c>
      <c r="O332" s="7">
        <v>1</v>
      </c>
      <c r="P332" s="7" t="s">
        <v>40</v>
      </c>
      <c r="Q332" s="7">
        <v>19.99</v>
      </c>
      <c r="R332" s="7"/>
      <c r="S332" s="7"/>
      <c r="T332" s="7"/>
      <c r="U332" s="7"/>
      <c r="V332" s="7"/>
      <c r="W332" s="7"/>
      <c r="X332" s="7"/>
      <c r="Y332" s="7" t="s">
        <v>1879</v>
      </c>
      <c r="Z332" s="7" t="s">
        <v>570</v>
      </c>
      <c r="AA332" s="7" t="s">
        <v>1880</v>
      </c>
      <c r="AB332" s="7" t="s">
        <v>43</v>
      </c>
      <c r="AC332" s="7"/>
      <c r="AD332" s="7"/>
      <c r="AE332" s="7"/>
      <c r="AF332" s="7"/>
      <c r="AG332" s="8">
        <f t="shared" si="5"/>
        <v>43320</v>
      </c>
    </row>
    <row r="333" spans="1:33">
      <c r="A333" s="7" t="s">
        <v>1881</v>
      </c>
      <c r="B333" s="7" t="s">
        <v>1881</v>
      </c>
      <c r="C333" s="7" t="s">
        <v>1882</v>
      </c>
      <c r="D333" s="7" t="s">
        <v>1883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36</v>
      </c>
      <c r="K333" s="7" t="s">
        <v>255</v>
      </c>
      <c r="L333" s="7" t="s">
        <v>256</v>
      </c>
      <c r="M333" s="7" t="s">
        <v>257</v>
      </c>
      <c r="N333" s="7" t="s">
        <v>33</v>
      </c>
      <c r="O333" s="7">
        <v>1</v>
      </c>
      <c r="P333" s="7" t="s">
        <v>40</v>
      </c>
      <c r="Q333" s="7">
        <v>19.99</v>
      </c>
      <c r="R333" s="7"/>
      <c r="S333" s="7"/>
      <c r="T333" s="7"/>
      <c r="U333" s="7"/>
      <c r="V333" s="7"/>
      <c r="W333" s="7"/>
      <c r="X333" s="7"/>
      <c r="Y333" s="7" t="s">
        <v>1884</v>
      </c>
      <c r="Z333" s="7" t="s">
        <v>59</v>
      </c>
      <c r="AA333" s="7" t="s">
        <v>1885</v>
      </c>
      <c r="AB333" s="7" t="s">
        <v>43</v>
      </c>
      <c r="AC333" s="7"/>
      <c r="AD333" s="7"/>
      <c r="AE333" s="7"/>
      <c r="AF333" s="7"/>
      <c r="AG333" s="8">
        <f t="shared" si="5"/>
        <v>43320</v>
      </c>
    </row>
    <row r="334" spans="1:33">
      <c r="A334" s="7" t="s">
        <v>1886</v>
      </c>
      <c r="B334" s="7" t="s">
        <v>1886</v>
      </c>
      <c r="C334" s="7" t="s">
        <v>1887</v>
      </c>
      <c r="D334" s="7" t="s">
        <v>1888</v>
      </c>
      <c r="E334" s="7" t="s">
        <v>33</v>
      </c>
      <c r="F334" s="7" t="s">
        <v>34</v>
      </c>
      <c r="G334" s="7" t="s">
        <v>35</v>
      </c>
      <c r="H334" s="7"/>
      <c r="I334" s="7"/>
      <c r="J334" s="7" t="s">
        <v>292</v>
      </c>
      <c r="K334" s="7" t="s">
        <v>90</v>
      </c>
      <c r="L334" s="7" t="s">
        <v>191</v>
      </c>
      <c r="M334" s="7" t="s">
        <v>192</v>
      </c>
      <c r="N334" s="7" t="s">
        <v>33</v>
      </c>
      <c r="O334" s="7">
        <v>1</v>
      </c>
      <c r="P334" s="7" t="s">
        <v>40</v>
      </c>
      <c r="Q334" s="7">
        <v>19.99</v>
      </c>
      <c r="R334" s="7">
        <v>2.02</v>
      </c>
      <c r="S334" s="7"/>
      <c r="T334" s="7"/>
      <c r="U334" s="7"/>
      <c r="V334" s="7"/>
      <c r="W334" s="7"/>
      <c r="X334" s="7"/>
      <c r="Y334" s="7" t="s">
        <v>1889</v>
      </c>
      <c r="Z334" s="7" t="s">
        <v>882</v>
      </c>
      <c r="AA334" s="7">
        <v>98133</v>
      </c>
      <c r="AB334" s="7" t="s">
        <v>43</v>
      </c>
      <c r="AC334" s="7"/>
      <c r="AD334" s="7"/>
      <c r="AE334" s="7"/>
      <c r="AF334" s="7"/>
      <c r="AG334" s="8">
        <f t="shared" si="5"/>
        <v>43320</v>
      </c>
    </row>
    <row r="335" spans="1:33">
      <c r="A335" s="7" t="s">
        <v>1890</v>
      </c>
      <c r="B335" s="7" t="s">
        <v>1890</v>
      </c>
      <c r="C335" s="7" t="s">
        <v>1891</v>
      </c>
      <c r="D335" s="7" t="s">
        <v>1892</v>
      </c>
      <c r="E335" s="7" t="s">
        <v>33</v>
      </c>
      <c r="F335" s="7" t="s">
        <v>34</v>
      </c>
      <c r="G335" s="7" t="s">
        <v>35</v>
      </c>
      <c r="H335" s="7"/>
      <c r="I335" s="7"/>
      <c r="J335" s="7" t="s">
        <v>64</v>
      </c>
      <c r="K335" s="7" t="s">
        <v>131</v>
      </c>
      <c r="L335" s="7" t="s">
        <v>132</v>
      </c>
      <c r="M335" s="7" t="s">
        <v>133</v>
      </c>
      <c r="N335" s="7" t="s">
        <v>33</v>
      </c>
      <c r="O335" s="7">
        <v>1</v>
      </c>
      <c r="P335" s="7" t="s">
        <v>40</v>
      </c>
      <c r="Q335" s="7">
        <v>18.99</v>
      </c>
      <c r="R335" s="7"/>
      <c r="S335" s="7">
        <v>3.99</v>
      </c>
      <c r="T335" s="7"/>
      <c r="U335" s="7"/>
      <c r="V335" s="7"/>
      <c r="W335" s="7"/>
      <c r="X335" s="7"/>
      <c r="Y335" s="7" t="s">
        <v>1893</v>
      </c>
      <c r="Z335" s="7" t="s">
        <v>1126</v>
      </c>
      <c r="AA335" s="7">
        <v>3076</v>
      </c>
      <c r="AB335" s="7" t="s">
        <v>43</v>
      </c>
      <c r="AC335" s="7"/>
      <c r="AD335" s="7"/>
      <c r="AE335" s="7"/>
      <c r="AF335" s="7"/>
      <c r="AG335" s="8">
        <f t="shared" si="5"/>
        <v>43320</v>
      </c>
    </row>
    <row r="336" spans="1:33">
      <c r="A336" s="7" t="s">
        <v>1894</v>
      </c>
      <c r="B336" s="7" t="s">
        <v>1894</v>
      </c>
      <c r="C336" s="7" t="s">
        <v>1895</v>
      </c>
      <c r="D336" s="7" t="s">
        <v>1896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36</v>
      </c>
      <c r="K336" s="7" t="s">
        <v>255</v>
      </c>
      <c r="L336" s="7" t="s">
        <v>277</v>
      </c>
      <c r="M336" s="7" t="s">
        <v>278</v>
      </c>
      <c r="N336" s="7" t="s">
        <v>33</v>
      </c>
      <c r="O336" s="7">
        <v>1</v>
      </c>
      <c r="P336" s="7" t="s">
        <v>40</v>
      </c>
      <c r="Q336" s="7">
        <v>19.99</v>
      </c>
      <c r="R336" s="7"/>
      <c r="S336" s="7"/>
      <c r="T336" s="7"/>
      <c r="U336" s="7"/>
      <c r="V336" s="7"/>
      <c r="W336" s="7"/>
      <c r="X336" s="7"/>
      <c r="Y336" s="7" t="s">
        <v>801</v>
      </c>
      <c r="Z336" s="7" t="s">
        <v>1194</v>
      </c>
      <c r="AA336" s="7" t="s">
        <v>1897</v>
      </c>
      <c r="AB336" s="7" t="s">
        <v>43</v>
      </c>
      <c r="AC336" s="7"/>
      <c r="AD336" s="7"/>
      <c r="AE336" s="7"/>
      <c r="AF336" s="7"/>
      <c r="AG336" s="8">
        <f t="shared" si="5"/>
        <v>43320</v>
      </c>
    </row>
    <row r="337" spans="1:33">
      <c r="A337" s="7" t="s">
        <v>1898</v>
      </c>
      <c r="B337" s="7" t="s">
        <v>1898</v>
      </c>
      <c r="C337" s="7" t="s">
        <v>1899</v>
      </c>
      <c r="D337" s="7" t="s">
        <v>1900</v>
      </c>
      <c r="E337" s="7" t="s">
        <v>33</v>
      </c>
      <c r="F337" s="7" t="s">
        <v>34</v>
      </c>
      <c r="G337" s="7" t="s">
        <v>35</v>
      </c>
      <c r="H337" s="7"/>
      <c r="I337" s="7"/>
      <c r="J337" s="7" t="s">
        <v>36</v>
      </c>
      <c r="K337" s="7" t="s">
        <v>131</v>
      </c>
      <c r="L337" s="7" t="s">
        <v>132</v>
      </c>
      <c r="M337" s="7" t="s">
        <v>133</v>
      </c>
      <c r="N337" s="7" t="s">
        <v>33</v>
      </c>
      <c r="O337" s="7">
        <v>1</v>
      </c>
      <c r="P337" s="7" t="s">
        <v>40</v>
      </c>
      <c r="Q337" s="7">
        <v>18.99</v>
      </c>
      <c r="R337" s="7"/>
      <c r="S337" s="7"/>
      <c r="T337" s="7"/>
      <c r="U337" s="7"/>
      <c r="V337" s="7"/>
      <c r="W337" s="7"/>
      <c r="X337" s="7"/>
      <c r="Y337" s="7" t="s">
        <v>1901</v>
      </c>
      <c r="Z337" s="7" t="s">
        <v>59</v>
      </c>
      <c r="AA337" s="7" t="s">
        <v>1902</v>
      </c>
      <c r="AB337" s="7" t="s">
        <v>43</v>
      </c>
      <c r="AC337" s="7"/>
      <c r="AD337" s="7"/>
      <c r="AE337" s="7"/>
      <c r="AF337" s="7"/>
      <c r="AG337" s="8">
        <f t="shared" si="5"/>
        <v>43320</v>
      </c>
    </row>
    <row r="338" spans="1:33">
      <c r="A338" s="7" t="s">
        <v>1903</v>
      </c>
      <c r="B338" s="7" t="s">
        <v>1903</v>
      </c>
      <c r="C338" s="7" t="s">
        <v>1904</v>
      </c>
      <c r="D338" s="7" t="s">
        <v>1905</v>
      </c>
      <c r="E338" s="7" t="s">
        <v>33</v>
      </c>
      <c r="F338" s="7" t="s">
        <v>34</v>
      </c>
      <c r="G338" s="7" t="s">
        <v>35</v>
      </c>
      <c r="H338" s="7"/>
      <c r="I338" s="7"/>
      <c r="J338" s="7" t="s">
        <v>36</v>
      </c>
      <c r="K338" s="7" t="s">
        <v>472</v>
      </c>
      <c r="L338" s="7" t="s">
        <v>473</v>
      </c>
      <c r="M338" s="7" t="s">
        <v>474</v>
      </c>
      <c r="N338" s="7" t="s">
        <v>33</v>
      </c>
      <c r="O338" s="7">
        <v>1</v>
      </c>
      <c r="P338" s="7" t="s">
        <v>40</v>
      </c>
      <c r="Q338" s="7">
        <v>16.99</v>
      </c>
      <c r="R338" s="7"/>
      <c r="S338" s="7"/>
      <c r="T338" s="7"/>
      <c r="U338" s="7"/>
      <c r="V338" s="7"/>
      <c r="W338" s="7"/>
      <c r="X338" s="7"/>
      <c r="Y338" s="7" t="s">
        <v>1906</v>
      </c>
      <c r="Z338" s="7" t="s">
        <v>227</v>
      </c>
      <c r="AA338" s="7" t="s">
        <v>1907</v>
      </c>
      <c r="AB338" s="7" t="s">
        <v>43</v>
      </c>
      <c r="AC338" s="7"/>
      <c r="AD338" s="7"/>
      <c r="AE338" s="7"/>
      <c r="AF338" s="7"/>
      <c r="AG338" s="8">
        <f t="shared" si="5"/>
        <v>43320</v>
      </c>
    </row>
    <row r="339" spans="1:33">
      <c r="A339" s="7" t="s">
        <v>1908</v>
      </c>
      <c r="B339" s="7" t="s">
        <v>1908</v>
      </c>
      <c r="C339" s="7" t="s">
        <v>1909</v>
      </c>
      <c r="D339" s="7" t="s">
        <v>1910</v>
      </c>
      <c r="E339" s="7" t="s">
        <v>33</v>
      </c>
      <c r="F339" s="7" t="s">
        <v>34</v>
      </c>
      <c r="G339" s="7" t="s">
        <v>35</v>
      </c>
      <c r="H339" s="7"/>
      <c r="I339" s="7"/>
      <c r="J339" s="7" t="s">
        <v>36</v>
      </c>
      <c r="K339" s="7" t="s">
        <v>90</v>
      </c>
      <c r="L339" s="7" t="s">
        <v>540</v>
      </c>
      <c r="M339" s="7" t="s">
        <v>541</v>
      </c>
      <c r="N339" s="7" t="s">
        <v>33</v>
      </c>
      <c r="O339" s="7">
        <v>1</v>
      </c>
      <c r="P339" s="7" t="s">
        <v>40</v>
      </c>
      <c r="Q339" s="7">
        <v>19.99</v>
      </c>
      <c r="R339" s="7"/>
      <c r="S339" s="7"/>
      <c r="T339" s="7"/>
      <c r="U339" s="7"/>
      <c r="V339" s="7"/>
      <c r="W339" s="7"/>
      <c r="X339" s="7"/>
      <c r="Y339" s="7" t="s">
        <v>1911</v>
      </c>
      <c r="Z339" s="7" t="s">
        <v>219</v>
      </c>
      <c r="AA339" s="7" t="s">
        <v>1912</v>
      </c>
      <c r="AB339" s="7" t="s">
        <v>43</v>
      </c>
      <c r="AC339" s="7"/>
      <c r="AD339" s="7"/>
      <c r="AE339" s="7"/>
      <c r="AF339" s="7"/>
      <c r="AG339" s="8">
        <f t="shared" si="5"/>
        <v>43320</v>
      </c>
    </row>
    <row r="340" spans="1:33">
      <c r="A340" s="7" t="s">
        <v>1913</v>
      </c>
      <c r="B340" s="7" t="s">
        <v>1913</v>
      </c>
      <c r="C340" s="7" t="s">
        <v>1914</v>
      </c>
      <c r="D340" s="7" t="s">
        <v>1915</v>
      </c>
      <c r="E340" s="7" t="s">
        <v>99</v>
      </c>
      <c r="F340" s="7" t="s">
        <v>34</v>
      </c>
      <c r="G340" s="7" t="s">
        <v>35</v>
      </c>
      <c r="H340" s="7"/>
      <c r="I340" s="7"/>
      <c r="J340" s="7" t="s">
        <v>36</v>
      </c>
      <c r="K340" s="7" t="s">
        <v>472</v>
      </c>
      <c r="L340" s="7" t="s">
        <v>473</v>
      </c>
      <c r="M340" s="7" t="s">
        <v>474</v>
      </c>
      <c r="N340" s="7" t="s">
        <v>99</v>
      </c>
      <c r="O340" s="7">
        <v>0</v>
      </c>
      <c r="P340" s="7"/>
      <c r="Q340" s="7"/>
      <c r="R340" s="7"/>
      <c r="S340" s="7"/>
      <c r="T340" s="7"/>
      <c r="U340" s="7"/>
      <c r="V340" s="7"/>
      <c r="W340" s="7"/>
      <c r="X340" s="7"/>
      <c r="Y340" s="7" t="s">
        <v>1381</v>
      </c>
      <c r="Z340" s="7" t="s">
        <v>227</v>
      </c>
      <c r="AA340" s="7" t="s">
        <v>1916</v>
      </c>
      <c r="AB340" s="7" t="s">
        <v>43</v>
      </c>
      <c r="AC340" s="7"/>
      <c r="AD340" s="7"/>
      <c r="AE340" s="7"/>
      <c r="AF340" s="7"/>
      <c r="AG340" s="8">
        <f t="shared" si="5"/>
        <v>43320</v>
      </c>
    </row>
    <row r="341" spans="1:33">
      <c r="A341" s="7" t="s">
        <v>1917</v>
      </c>
      <c r="B341" s="7" t="s">
        <v>1917</v>
      </c>
      <c r="C341" s="7" t="s">
        <v>1918</v>
      </c>
      <c r="D341" s="7" t="s">
        <v>1919</v>
      </c>
      <c r="E341" s="7" t="s">
        <v>33</v>
      </c>
      <c r="F341" s="7" t="s">
        <v>34</v>
      </c>
      <c r="G341" s="7" t="s">
        <v>35</v>
      </c>
      <c r="H341" s="7"/>
      <c r="I341" s="7"/>
      <c r="J341" s="7" t="s">
        <v>36</v>
      </c>
      <c r="K341" s="7" t="s">
        <v>232</v>
      </c>
      <c r="L341" s="7" t="s">
        <v>1920</v>
      </c>
      <c r="M341" s="7" t="s">
        <v>1921</v>
      </c>
      <c r="N341" s="7" t="s">
        <v>33</v>
      </c>
      <c r="O341" s="7">
        <v>1</v>
      </c>
      <c r="P341" s="7" t="s">
        <v>40</v>
      </c>
      <c r="Q341" s="7">
        <v>21.99</v>
      </c>
      <c r="R341" s="7"/>
      <c r="S341" s="7"/>
      <c r="T341" s="7"/>
      <c r="U341" s="7"/>
      <c r="V341" s="7"/>
      <c r="W341" s="7"/>
      <c r="X341" s="7"/>
      <c r="Y341" s="7" t="s">
        <v>1922</v>
      </c>
      <c r="Z341" s="7" t="s">
        <v>59</v>
      </c>
      <c r="AA341" s="7" t="s">
        <v>1923</v>
      </c>
      <c r="AB341" s="7" t="s">
        <v>43</v>
      </c>
      <c r="AC341" s="7"/>
      <c r="AD341" s="7"/>
      <c r="AE341" s="7"/>
      <c r="AF341" s="7"/>
      <c r="AG341" s="8">
        <f t="shared" si="5"/>
        <v>43320</v>
      </c>
    </row>
    <row r="342" spans="1:33">
      <c r="A342" s="7" t="s">
        <v>1924</v>
      </c>
      <c r="B342" s="7" t="s">
        <v>1924</v>
      </c>
      <c r="C342" s="7" t="s">
        <v>1925</v>
      </c>
      <c r="D342" s="7" t="s">
        <v>1926</v>
      </c>
      <c r="E342" s="7" t="s">
        <v>33</v>
      </c>
      <c r="F342" s="7" t="s">
        <v>34</v>
      </c>
      <c r="G342" s="7" t="s">
        <v>35</v>
      </c>
      <c r="H342" s="7"/>
      <c r="I342" s="7"/>
      <c r="J342" s="7" t="s">
        <v>36</v>
      </c>
      <c r="K342" s="7" t="s">
        <v>125</v>
      </c>
      <c r="L342" s="7" t="s">
        <v>126</v>
      </c>
      <c r="M342" s="7" t="s">
        <v>127</v>
      </c>
      <c r="N342" s="7" t="s">
        <v>33</v>
      </c>
      <c r="O342" s="7">
        <v>1</v>
      </c>
      <c r="P342" s="7" t="s">
        <v>40</v>
      </c>
      <c r="Q342" s="7">
        <v>18.99</v>
      </c>
      <c r="R342" s="7"/>
      <c r="S342" s="7"/>
      <c r="T342" s="7"/>
      <c r="U342" s="7"/>
      <c r="V342" s="7"/>
      <c r="W342" s="7"/>
      <c r="X342" s="7"/>
      <c r="Y342" s="7" t="s">
        <v>1783</v>
      </c>
      <c r="Z342" s="7" t="s">
        <v>323</v>
      </c>
      <c r="AA342" s="7" t="s">
        <v>1927</v>
      </c>
      <c r="AB342" s="7" t="s">
        <v>43</v>
      </c>
      <c r="AC342" s="7"/>
      <c r="AD342" s="7"/>
      <c r="AE342" s="7"/>
      <c r="AF342" s="7"/>
      <c r="AG342" s="8">
        <f t="shared" si="5"/>
        <v>43320</v>
      </c>
    </row>
    <row r="343" spans="1:33">
      <c r="A343" s="7" t="s">
        <v>1928</v>
      </c>
      <c r="B343" s="7" t="s">
        <v>1928</v>
      </c>
      <c r="C343" s="7" t="s">
        <v>1929</v>
      </c>
      <c r="D343" s="7" t="s">
        <v>1930</v>
      </c>
      <c r="E343" s="7" t="s">
        <v>33</v>
      </c>
      <c r="F343" s="7" t="s">
        <v>34</v>
      </c>
      <c r="G343" s="7" t="s">
        <v>35</v>
      </c>
      <c r="H343" s="7"/>
      <c r="I343" s="7"/>
      <c r="J343" s="7" t="s">
        <v>64</v>
      </c>
      <c r="K343" s="7" t="s">
        <v>247</v>
      </c>
      <c r="L343" s="7" t="s">
        <v>248</v>
      </c>
      <c r="M343" s="7" t="s">
        <v>249</v>
      </c>
      <c r="N343" s="7" t="s">
        <v>33</v>
      </c>
      <c r="O343" s="7">
        <v>1</v>
      </c>
      <c r="P343" s="7" t="s">
        <v>40</v>
      </c>
      <c r="Q343" s="7">
        <v>18.99</v>
      </c>
      <c r="R343" s="7"/>
      <c r="S343" s="7">
        <v>3.99</v>
      </c>
      <c r="T343" s="7"/>
      <c r="U343" s="7"/>
      <c r="V343" s="7"/>
      <c r="W343" s="7"/>
      <c r="X343" s="7"/>
      <c r="Y343" s="7" t="s">
        <v>1931</v>
      </c>
      <c r="Z343" s="7" t="s">
        <v>135</v>
      </c>
      <c r="AA343" s="7" t="s">
        <v>1932</v>
      </c>
      <c r="AB343" s="7" t="s">
        <v>43</v>
      </c>
      <c r="AC343" s="7"/>
      <c r="AD343" s="7"/>
      <c r="AE343" s="7"/>
      <c r="AF343" s="7"/>
      <c r="AG343" s="8">
        <f t="shared" si="5"/>
        <v>43320</v>
      </c>
    </row>
    <row r="344" spans="1:33">
      <c r="A344" s="7" t="s">
        <v>1933</v>
      </c>
      <c r="B344" s="7" t="s">
        <v>1933</v>
      </c>
      <c r="C344" s="7" t="s">
        <v>1934</v>
      </c>
      <c r="D344" s="7" t="s">
        <v>1935</v>
      </c>
      <c r="E344" s="7" t="s">
        <v>33</v>
      </c>
      <c r="F344" s="7" t="s">
        <v>34</v>
      </c>
      <c r="G344" s="7" t="s">
        <v>35</v>
      </c>
      <c r="H344" s="7"/>
      <c r="I344" s="7"/>
      <c r="J344" s="7" t="s">
        <v>64</v>
      </c>
      <c r="K344" s="7" t="s">
        <v>125</v>
      </c>
      <c r="L344" s="7" t="s">
        <v>126</v>
      </c>
      <c r="M344" s="7" t="s">
        <v>127</v>
      </c>
      <c r="N344" s="7" t="s">
        <v>33</v>
      </c>
      <c r="O344" s="7">
        <v>1</v>
      </c>
      <c r="P344" s="7" t="s">
        <v>40</v>
      </c>
      <c r="Q344" s="7">
        <v>18.99</v>
      </c>
      <c r="R344" s="7"/>
      <c r="S344" s="7">
        <v>3.99</v>
      </c>
      <c r="T344" s="7"/>
      <c r="U344" s="7"/>
      <c r="V344" s="7"/>
      <c r="W344" s="7"/>
      <c r="X344" s="7"/>
      <c r="Y344" s="7" t="s">
        <v>1931</v>
      </c>
      <c r="Z344" s="7" t="s">
        <v>135</v>
      </c>
      <c r="AA344" s="7" t="s">
        <v>1932</v>
      </c>
      <c r="AB344" s="7" t="s">
        <v>43</v>
      </c>
      <c r="AC344" s="7"/>
      <c r="AD344" s="7"/>
      <c r="AE344" s="7"/>
      <c r="AF344" s="7"/>
      <c r="AG344" s="8">
        <f t="shared" si="5"/>
        <v>43320</v>
      </c>
    </row>
    <row r="345" spans="1:33">
      <c r="A345" s="7" t="s">
        <v>1936</v>
      </c>
      <c r="B345" s="7" t="s">
        <v>1936</v>
      </c>
      <c r="C345" s="7" t="s">
        <v>1937</v>
      </c>
      <c r="D345" s="7" t="s">
        <v>1938</v>
      </c>
      <c r="E345" s="7" t="s">
        <v>33</v>
      </c>
      <c r="F345" s="7" t="s">
        <v>34</v>
      </c>
      <c r="G345" s="7" t="s">
        <v>35</v>
      </c>
      <c r="H345" s="7"/>
      <c r="I345" s="7"/>
      <c r="J345" s="7" t="s">
        <v>64</v>
      </c>
      <c r="K345" s="7" t="s">
        <v>617</v>
      </c>
      <c r="L345" s="7" t="s">
        <v>618</v>
      </c>
      <c r="M345" s="7" t="s">
        <v>619</v>
      </c>
      <c r="N345" s="7" t="s">
        <v>33</v>
      </c>
      <c r="O345" s="7">
        <v>1</v>
      </c>
      <c r="P345" s="7" t="s">
        <v>40</v>
      </c>
      <c r="Q345" s="7">
        <v>18.99</v>
      </c>
      <c r="R345" s="7"/>
      <c r="S345" s="7">
        <v>3.99</v>
      </c>
      <c r="T345" s="7"/>
      <c r="U345" s="7"/>
      <c r="V345" s="7"/>
      <c r="W345" s="7"/>
      <c r="X345" s="7"/>
      <c r="Y345" s="7" t="s">
        <v>1939</v>
      </c>
      <c r="Z345" s="7" t="s">
        <v>1940</v>
      </c>
      <c r="AA345" s="7" t="s">
        <v>1941</v>
      </c>
      <c r="AB345" s="7" t="s">
        <v>43</v>
      </c>
      <c r="AC345" s="7"/>
      <c r="AD345" s="7"/>
      <c r="AE345" s="7"/>
      <c r="AF345" s="7"/>
      <c r="AG345" s="8">
        <f t="shared" si="5"/>
        <v>43320</v>
      </c>
    </row>
    <row r="346" spans="1:33">
      <c r="A346" s="7" t="s">
        <v>1942</v>
      </c>
      <c r="B346" s="7" t="s">
        <v>1942</v>
      </c>
      <c r="C346" s="7" t="s">
        <v>1943</v>
      </c>
      <c r="D346" s="7" t="s">
        <v>1944</v>
      </c>
      <c r="E346" s="7" t="s">
        <v>33</v>
      </c>
      <c r="F346" s="7" t="s">
        <v>34</v>
      </c>
      <c r="G346" s="7" t="s">
        <v>35</v>
      </c>
      <c r="H346" s="7"/>
      <c r="I346" s="7"/>
      <c r="J346" s="7" t="s">
        <v>36</v>
      </c>
      <c r="K346" s="7" t="s">
        <v>255</v>
      </c>
      <c r="L346" s="7" t="s">
        <v>256</v>
      </c>
      <c r="M346" s="7" t="s">
        <v>257</v>
      </c>
      <c r="N346" s="7" t="s">
        <v>33</v>
      </c>
      <c r="O346" s="7">
        <v>2</v>
      </c>
      <c r="P346" s="7" t="s">
        <v>40</v>
      </c>
      <c r="Q346" s="7">
        <v>39.98</v>
      </c>
      <c r="R346" s="7"/>
      <c r="S346" s="7"/>
      <c r="T346" s="7"/>
      <c r="U346" s="7"/>
      <c r="V346" s="7"/>
      <c r="W346" s="7"/>
      <c r="X346" s="7"/>
      <c r="Y346" s="7" t="s">
        <v>362</v>
      </c>
      <c r="Z346" s="7" t="s">
        <v>227</v>
      </c>
      <c r="AA346" s="7" t="s">
        <v>1945</v>
      </c>
      <c r="AB346" s="7" t="s">
        <v>43</v>
      </c>
      <c r="AC346" s="7"/>
      <c r="AD346" s="7"/>
      <c r="AE346" s="7"/>
      <c r="AF346" s="7"/>
      <c r="AG346" s="8">
        <f t="shared" si="5"/>
        <v>43320</v>
      </c>
    </row>
    <row r="347" spans="1:33">
      <c r="A347" s="7" t="s">
        <v>1946</v>
      </c>
      <c r="B347" s="7" t="s">
        <v>1946</v>
      </c>
      <c r="C347" s="7" t="s">
        <v>1947</v>
      </c>
      <c r="D347" s="7" t="s">
        <v>1948</v>
      </c>
      <c r="E347" s="7" t="s">
        <v>33</v>
      </c>
      <c r="F347" s="7" t="s">
        <v>34</v>
      </c>
      <c r="G347" s="7" t="s">
        <v>35</v>
      </c>
      <c r="H347" s="7"/>
      <c r="I347" s="7"/>
      <c r="J347" s="7" t="s">
        <v>336</v>
      </c>
      <c r="K347" s="7" t="s">
        <v>1949</v>
      </c>
      <c r="L347" s="7" t="s">
        <v>1950</v>
      </c>
      <c r="M347" s="7" t="s">
        <v>1951</v>
      </c>
      <c r="N347" s="7" t="s">
        <v>33</v>
      </c>
      <c r="O347" s="7">
        <v>1</v>
      </c>
      <c r="P347" s="7" t="s">
        <v>40</v>
      </c>
      <c r="Q347" s="7">
        <v>17.99</v>
      </c>
      <c r="R347" s="7"/>
      <c r="S347" s="7">
        <v>3.49</v>
      </c>
      <c r="T347" s="7"/>
      <c r="U347" s="7"/>
      <c r="V347" s="7"/>
      <c r="W347" s="7"/>
      <c r="X347" s="7">
        <v>3.49</v>
      </c>
      <c r="Y347" s="7" t="s">
        <v>1952</v>
      </c>
      <c r="Z347" s="7" t="s">
        <v>165</v>
      </c>
      <c r="AA347" s="7" t="s">
        <v>1953</v>
      </c>
      <c r="AB347" s="7" t="s">
        <v>43</v>
      </c>
      <c r="AC347" s="7" t="s">
        <v>514</v>
      </c>
      <c r="AD347" s="7"/>
      <c r="AE347" s="7"/>
      <c r="AF347" s="7"/>
      <c r="AG347" s="8">
        <f t="shared" si="5"/>
        <v>43320</v>
      </c>
    </row>
    <row r="348" spans="1:33">
      <c r="A348" s="7" t="s">
        <v>1954</v>
      </c>
      <c r="B348" s="7" t="s">
        <v>1954</v>
      </c>
      <c r="C348" s="7" t="s">
        <v>1955</v>
      </c>
      <c r="D348" s="7" t="s">
        <v>1956</v>
      </c>
      <c r="E348" s="7" t="s">
        <v>33</v>
      </c>
      <c r="F348" s="7" t="s">
        <v>34</v>
      </c>
      <c r="G348" s="7" t="s">
        <v>35</v>
      </c>
      <c r="H348" s="7"/>
      <c r="I348" s="7"/>
      <c r="J348" s="7" t="s">
        <v>36</v>
      </c>
      <c r="K348" s="7" t="s">
        <v>1630</v>
      </c>
      <c r="L348" s="7" t="s">
        <v>1957</v>
      </c>
      <c r="M348" s="7" t="s">
        <v>1958</v>
      </c>
      <c r="N348" s="7" t="s">
        <v>33</v>
      </c>
      <c r="O348" s="7">
        <v>1</v>
      </c>
      <c r="P348" s="7" t="s">
        <v>40</v>
      </c>
      <c r="Q348" s="7">
        <v>19.99</v>
      </c>
      <c r="R348" s="7"/>
      <c r="S348" s="7"/>
      <c r="T348" s="7"/>
      <c r="U348" s="7"/>
      <c r="V348" s="7"/>
      <c r="W348" s="7"/>
      <c r="X348" s="7"/>
      <c r="Y348" s="7" t="s">
        <v>1959</v>
      </c>
      <c r="Z348" s="7" t="s">
        <v>85</v>
      </c>
      <c r="AA348" s="7" t="s">
        <v>1960</v>
      </c>
      <c r="AB348" s="7" t="s">
        <v>43</v>
      </c>
      <c r="AC348" s="7"/>
      <c r="AD348" s="7"/>
      <c r="AE348" s="7"/>
      <c r="AF348" s="7"/>
      <c r="AG348" s="8">
        <f t="shared" si="5"/>
        <v>43320</v>
      </c>
    </row>
    <row r="349" spans="1:33">
      <c r="A349" s="7" t="s">
        <v>1961</v>
      </c>
      <c r="B349" s="7" t="s">
        <v>1961</v>
      </c>
      <c r="C349" s="7" t="s">
        <v>1962</v>
      </c>
      <c r="D349" s="7" t="s">
        <v>1963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336</v>
      </c>
      <c r="K349" s="7" t="s">
        <v>170</v>
      </c>
      <c r="L349" s="7" t="s">
        <v>1494</v>
      </c>
      <c r="M349" s="7" t="s">
        <v>1495</v>
      </c>
      <c r="N349" s="7" t="s">
        <v>33</v>
      </c>
      <c r="O349" s="7">
        <v>1</v>
      </c>
      <c r="P349" s="7" t="s">
        <v>40</v>
      </c>
      <c r="Q349" s="7">
        <v>19.38</v>
      </c>
      <c r="R349" s="7"/>
      <c r="S349" s="7"/>
      <c r="T349" s="7"/>
      <c r="U349" s="7"/>
      <c r="V349" s="7"/>
      <c r="W349" s="7"/>
      <c r="X349" s="7"/>
      <c r="Y349" s="7" t="s">
        <v>1964</v>
      </c>
      <c r="Z349" s="7" t="s">
        <v>392</v>
      </c>
      <c r="AA349" s="7" t="s">
        <v>1965</v>
      </c>
      <c r="AB349" s="7" t="s">
        <v>43</v>
      </c>
      <c r="AC349" s="7"/>
      <c r="AD349" s="7"/>
      <c r="AE349" s="7"/>
      <c r="AF349" s="7"/>
      <c r="AG349" s="8">
        <f t="shared" si="5"/>
        <v>43320</v>
      </c>
    </row>
    <row r="350" spans="1:33">
      <c r="A350" s="7" t="s">
        <v>1966</v>
      </c>
      <c r="B350" s="7" t="s">
        <v>1966</v>
      </c>
      <c r="C350" s="7" t="s">
        <v>1967</v>
      </c>
      <c r="D350" s="7" t="s">
        <v>1968</v>
      </c>
      <c r="E350" s="7" t="s">
        <v>33</v>
      </c>
      <c r="F350" s="7" t="s">
        <v>34</v>
      </c>
      <c r="G350" s="7" t="s">
        <v>35</v>
      </c>
      <c r="H350" s="7"/>
      <c r="I350" s="7"/>
      <c r="J350" s="7" t="s">
        <v>64</v>
      </c>
      <c r="K350" s="7" t="s">
        <v>170</v>
      </c>
      <c r="L350" s="7" t="s">
        <v>1494</v>
      </c>
      <c r="M350" s="7" t="s">
        <v>1495</v>
      </c>
      <c r="N350" s="7" t="s">
        <v>33</v>
      </c>
      <c r="O350" s="7">
        <v>1</v>
      </c>
      <c r="P350" s="7" t="s">
        <v>40</v>
      </c>
      <c r="Q350" s="7">
        <v>19.38</v>
      </c>
      <c r="R350" s="7"/>
      <c r="S350" s="7">
        <v>3.99</v>
      </c>
      <c r="T350" s="7"/>
      <c r="U350" s="7"/>
      <c r="V350" s="7"/>
      <c r="W350" s="7"/>
      <c r="X350" s="7"/>
      <c r="Y350" s="7" t="s">
        <v>1969</v>
      </c>
      <c r="Z350" s="7" t="s">
        <v>345</v>
      </c>
      <c r="AA350" s="7" t="s">
        <v>1970</v>
      </c>
      <c r="AB350" s="7" t="s">
        <v>43</v>
      </c>
      <c r="AC350" s="7"/>
      <c r="AD350" s="7"/>
      <c r="AE350" s="7"/>
      <c r="AF350" s="7"/>
      <c r="AG350" s="8">
        <f t="shared" si="5"/>
        <v>43320</v>
      </c>
    </row>
    <row r="351" spans="1:33">
      <c r="A351" s="7" t="s">
        <v>1971</v>
      </c>
      <c r="B351" s="7" t="s">
        <v>1971</v>
      </c>
      <c r="C351" s="7" t="s">
        <v>1972</v>
      </c>
      <c r="D351" s="7" t="s">
        <v>1973</v>
      </c>
      <c r="E351" s="7" t="s">
        <v>33</v>
      </c>
      <c r="F351" s="7" t="s">
        <v>34</v>
      </c>
      <c r="G351" s="7" t="s">
        <v>35</v>
      </c>
      <c r="H351" s="7"/>
      <c r="I351" s="7"/>
      <c r="J351" s="7" t="s">
        <v>64</v>
      </c>
      <c r="K351" s="7" t="s">
        <v>255</v>
      </c>
      <c r="L351" s="7" t="s">
        <v>256</v>
      </c>
      <c r="M351" s="7" t="s">
        <v>257</v>
      </c>
      <c r="N351" s="7" t="s">
        <v>33</v>
      </c>
      <c r="O351" s="7">
        <v>1</v>
      </c>
      <c r="P351" s="7" t="s">
        <v>40</v>
      </c>
      <c r="Q351" s="7">
        <v>19.99</v>
      </c>
      <c r="R351" s="7"/>
      <c r="S351" s="7">
        <v>3.99</v>
      </c>
      <c r="T351" s="7"/>
      <c r="U351" s="7"/>
      <c r="V351" s="7"/>
      <c r="W351" s="7"/>
      <c r="X351" s="7"/>
      <c r="Y351" s="7" t="s">
        <v>1974</v>
      </c>
      <c r="Z351" s="7" t="s">
        <v>452</v>
      </c>
      <c r="AA351" s="7" t="s">
        <v>1975</v>
      </c>
      <c r="AB351" s="7" t="s">
        <v>43</v>
      </c>
      <c r="AC351" s="7"/>
      <c r="AD351" s="7"/>
      <c r="AE351" s="7"/>
      <c r="AF351" s="7"/>
      <c r="AG351" s="8">
        <f t="shared" si="5"/>
        <v>43320</v>
      </c>
    </row>
    <row r="352" spans="1:33">
      <c r="A352" s="7" t="s">
        <v>1976</v>
      </c>
      <c r="B352" s="7" t="s">
        <v>1976</v>
      </c>
      <c r="C352" s="7" t="s">
        <v>1977</v>
      </c>
      <c r="D352" s="7" t="s">
        <v>1978</v>
      </c>
      <c r="E352" s="7" t="s">
        <v>33</v>
      </c>
      <c r="F352" s="7" t="s">
        <v>34</v>
      </c>
      <c r="G352" s="7" t="s">
        <v>35</v>
      </c>
      <c r="H352" s="7"/>
      <c r="I352" s="7"/>
      <c r="J352" s="7" t="s">
        <v>36</v>
      </c>
      <c r="K352" s="7" t="s">
        <v>232</v>
      </c>
      <c r="L352" s="7" t="s">
        <v>233</v>
      </c>
      <c r="M352" s="7" t="s">
        <v>234</v>
      </c>
      <c r="N352" s="7" t="s">
        <v>33</v>
      </c>
      <c r="O352" s="7">
        <v>1</v>
      </c>
      <c r="P352" s="7" t="s">
        <v>40</v>
      </c>
      <c r="Q352" s="7">
        <v>21.99</v>
      </c>
      <c r="R352" s="7"/>
      <c r="S352" s="7"/>
      <c r="T352" s="7"/>
      <c r="U352" s="7"/>
      <c r="V352" s="7"/>
      <c r="W352" s="7"/>
      <c r="X352" s="7"/>
      <c r="Y352" s="7" t="s">
        <v>1683</v>
      </c>
      <c r="Z352" s="7" t="s">
        <v>69</v>
      </c>
      <c r="AA352" s="7" t="s">
        <v>1979</v>
      </c>
      <c r="AB352" s="7" t="s">
        <v>43</v>
      </c>
      <c r="AC352" s="7"/>
      <c r="AD352" s="7"/>
      <c r="AE352" s="7"/>
      <c r="AF352" s="7"/>
      <c r="AG352" s="8">
        <f t="shared" si="5"/>
        <v>43320</v>
      </c>
    </row>
    <row r="353" spans="1:33">
      <c r="A353" s="7" t="s">
        <v>1980</v>
      </c>
      <c r="B353" s="7" t="s">
        <v>1980</v>
      </c>
      <c r="C353" s="7" t="s">
        <v>1981</v>
      </c>
      <c r="D353" s="7" t="s">
        <v>1982</v>
      </c>
      <c r="E353" s="7" t="s">
        <v>33</v>
      </c>
      <c r="F353" s="7" t="s">
        <v>34</v>
      </c>
      <c r="G353" s="7" t="s">
        <v>35</v>
      </c>
      <c r="H353" s="7"/>
      <c r="I353" s="7"/>
      <c r="J353" s="7" t="s">
        <v>64</v>
      </c>
      <c r="K353" s="7" t="s">
        <v>255</v>
      </c>
      <c r="L353" s="7" t="s">
        <v>277</v>
      </c>
      <c r="M353" s="7" t="s">
        <v>278</v>
      </c>
      <c r="N353" s="7" t="s">
        <v>33</v>
      </c>
      <c r="O353" s="7">
        <v>1</v>
      </c>
      <c r="P353" s="7" t="s">
        <v>40</v>
      </c>
      <c r="Q353" s="7">
        <v>19.99</v>
      </c>
      <c r="R353" s="7"/>
      <c r="S353" s="7">
        <v>3.99</v>
      </c>
      <c r="T353" s="7"/>
      <c r="U353" s="7"/>
      <c r="V353" s="7"/>
      <c r="W353" s="7"/>
      <c r="X353" s="7"/>
      <c r="Y353" s="7" t="s">
        <v>1983</v>
      </c>
      <c r="Z353" s="7" t="s">
        <v>59</v>
      </c>
      <c r="AA353" s="7" t="s">
        <v>1984</v>
      </c>
      <c r="AB353" s="7" t="s">
        <v>43</v>
      </c>
      <c r="AC353" s="7"/>
      <c r="AD353" s="7"/>
      <c r="AE353" s="7"/>
      <c r="AF353" s="7"/>
      <c r="AG353" s="8">
        <f t="shared" si="5"/>
        <v>43320</v>
      </c>
    </row>
    <row r="354" spans="1:33">
      <c r="A354" s="7" t="s">
        <v>1985</v>
      </c>
      <c r="B354" s="7" t="s">
        <v>1985</v>
      </c>
      <c r="C354" s="7" t="s">
        <v>1986</v>
      </c>
      <c r="D354" s="7" t="s">
        <v>1987</v>
      </c>
      <c r="E354" s="7" t="s">
        <v>33</v>
      </c>
      <c r="F354" s="7" t="s">
        <v>34</v>
      </c>
      <c r="G354" s="7" t="s">
        <v>35</v>
      </c>
      <c r="H354" s="7"/>
      <c r="I354" s="7"/>
      <c r="J354" s="7" t="s">
        <v>36</v>
      </c>
      <c r="K354" s="7" t="s">
        <v>176</v>
      </c>
      <c r="L354" s="7" t="s">
        <v>177</v>
      </c>
      <c r="M354" s="7" t="s">
        <v>178</v>
      </c>
      <c r="N354" s="7" t="s">
        <v>33</v>
      </c>
      <c r="O354" s="7">
        <v>1</v>
      </c>
      <c r="P354" s="7" t="s">
        <v>40</v>
      </c>
      <c r="Q354" s="7">
        <v>19.99</v>
      </c>
      <c r="R354" s="7">
        <v>1.74</v>
      </c>
      <c r="S354" s="7"/>
      <c r="T354" s="7"/>
      <c r="U354" s="7"/>
      <c r="V354" s="7"/>
      <c r="W354" s="7"/>
      <c r="X354" s="7"/>
      <c r="Y354" s="7" t="s">
        <v>1988</v>
      </c>
      <c r="Z354" s="7" t="s">
        <v>882</v>
      </c>
      <c r="AA354" s="7" t="s">
        <v>1989</v>
      </c>
      <c r="AB354" s="7" t="s">
        <v>43</v>
      </c>
      <c r="AC354" s="7"/>
      <c r="AD354" s="7"/>
      <c r="AE354" s="7"/>
      <c r="AF354" s="7"/>
      <c r="AG354" s="8">
        <f t="shared" si="5"/>
        <v>43320</v>
      </c>
    </row>
    <row r="355" spans="1:33">
      <c r="A355" s="7" t="s">
        <v>1990</v>
      </c>
      <c r="B355" s="7" t="s">
        <v>1990</v>
      </c>
      <c r="C355" s="7" t="s">
        <v>1991</v>
      </c>
      <c r="D355" s="7" t="s">
        <v>1992</v>
      </c>
      <c r="E355" s="7" t="s">
        <v>33</v>
      </c>
      <c r="F355" s="7" t="s">
        <v>34</v>
      </c>
      <c r="G355" s="7" t="s">
        <v>35</v>
      </c>
      <c r="H355" s="7"/>
      <c r="I355" s="7"/>
      <c r="J355" s="7" t="s">
        <v>36</v>
      </c>
      <c r="K355" s="7" t="s">
        <v>120</v>
      </c>
      <c r="L355" s="7" t="s">
        <v>465</v>
      </c>
      <c r="M355" s="7" t="s">
        <v>466</v>
      </c>
      <c r="N355" s="7" t="s">
        <v>33</v>
      </c>
      <c r="O355" s="7">
        <v>1</v>
      </c>
      <c r="P355" s="7" t="s">
        <v>40</v>
      </c>
      <c r="Q355" s="7">
        <v>16.99</v>
      </c>
      <c r="R355" s="7"/>
      <c r="S355" s="7"/>
      <c r="T355" s="7"/>
      <c r="U355" s="7"/>
      <c r="V355" s="7"/>
      <c r="W355" s="7"/>
      <c r="X355" s="7"/>
      <c r="Y355" s="7" t="s">
        <v>1993</v>
      </c>
      <c r="Z355" s="7" t="s">
        <v>219</v>
      </c>
      <c r="AA355" s="7" t="s">
        <v>1994</v>
      </c>
      <c r="AB355" s="7" t="s">
        <v>43</v>
      </c>
      <c r="AC355" s="7"/>
      <c r="AD355" s="7"/>
      <c r="AE355" s="7"/>
      <c r="AF355" s="7"/>
      <c r="AG355" s="8">
        <f t="shared" si="5"/>
        <v>43320</v>
      </c>
    </row>
    <row r="356" spans="1:33">
      <c r="A356" s="7" t="s">
        <v>1995</v>
      </c>
      <c r="B356" s="7" t="s">
        <v>1995</v>
      </c>
      <c r="C356" s="7" t="s">
        <v>1996</v>
      </c>
      <c r="D356" s="7" t="s">
        <v>1997</v>
      </c>
      <c r="E356" s="7" t="s">
        <v>33</v>
      </c>
      <c r="F356" s="7" t="s">
        <v>34</v>
      </c>
      <c r="G356" s="7" t="s">
        <v>35</v>
      </c>
      <c r="H356" s="7"/>
      <c r="I356" s="7"/>
      <c r="J356" s="7" t="s">
        <v>336</v>
      </c>
      <c r="K356" s="7" t="s">
        <v>388</v>
      </c>
      <c r="L356" s="7" t="s">
        <v>1998</v>
      </c>
      <c r="M356" s="7" t="s">
        <v>1999</v>
      </c>
      <c r="N356" s="7" t="s">
        <v>33</v>
      </c>
      <c r="O356" s="7">
        <v>1</v>
      </c>
      <c r="P356" s="7" t="s">
        <v>40</v>
      </c>
      <c r="Q356" s="7">
        <v>19.38</v>
      </c>
      <c r="R356" s="7"/>
      <c r="S356" s="7">
        <v>3.49</v>
      </c>
      <c r="T356" s="7"/>
      <c r="U356" s="7"/>
      <c r="V356" s="7"/>
      <c r="W356" s="7"/>
      <c r="X356" s="7">
        <v>3.49</v>
      </c>
      <c r="Y356" s="7" t="s">
        <v>569</v>
      </c>
      <c r="Z356" s="7" t="s">
        <v>570</v>
      </c>
      <c r="AA356" s="7" t="s">
        <v>2000</v>
      </c>
      <c r="AB356" s="7" t="s">
        <v>43</v>
      </c>
      <c r="AC356" s="7" t="s">
        <v>514</v>
      </c>
      <c r="AD356" s="7"/>
      <c r="AE356" s="7"/>
      <c r="AF356" s="7"/>
      <c r="AG356" s="8">
        <f t="shared" si="5"/>
        <v>43320</v>
      </c>
    </row>
    <row r="357" spans="1:33">
      <c r="A357" s="7" t="s">
        <v>1995</v>
      </c>
      <c r="B357" s="7" t="s">
        <v>1995</v>
      </c>
      <c r="C357" s="7" t="s">
        <v>1996</v>
      </c>
      <c r="D357" s="7" t="s">
        <v>1997</v>
      </c>
      <c r="E357" s="7" t="s">
        <v>33</v>
      </c>
      <c r="F357" s="7" t="s">
        <v>34</v>
      </c>
      <c r="G357" s="7" t="s">
        <v>35</v>
      </c>
      <c r="H357" s="7"/>
      <c r="I357" s="7"/>
      <c r="J357" s="7" t="s">
        <v>336</v>
      </c>
      <c r="K357" s="7" t="s">
        <v>388</v>
      </c>
      <c r="L357" s="7" t="s">
        <v>2001</v>
      </c>
      <c r="M357" s="7" t="s">
        <v>2002</v>
      </c>
      <c r="N357" s="7" t="s">
        <v>33</v>
      </c>
      <c r="O357" s="7">
        <v>1</v>
      </c>
      <c r="P357" s="7" t="s">
        <v>40</v>
      </c>
      <c r="Q357" s="7">
        <v>19.38</v>
      </c>
      <c r="R357" s="7"/>
      <c r="S357" s="7">
        <v>3.48</v>
      </c>
      <c r="T357" s="7"/>
      <c r="U357" s="7"/>
      <c r="V357" s="7"/>
      <c r="W357" s="7"/>
      <c r="X357" s="7">
        <v>3.48</v>
      </c>
      <c r="Y357" s="7" t="s">
        <v>569</v>
      </c>
      <c r="Z357" s="7" t="s">
        <v>570</v>
      </c>
      <c r="AA357" s="7" t="s">
        <v>2000</v>
      </c>
      <c r="AB357" s="7" t="s">
        <v>43</v>
      </c>
      <c r="AC357" s="7" t="s">
        <v>514</v>
      </c>
      <c r="AD357" s="7"/>
      <c r="AE357" s="7"/>
      <c r="AF357" s="7"/>
      <c r="AG357" s="8">
        <f t="shared" si="5"/>
        <v>43320</v>
      </c>
    </row>
    <row r="358" spans="1:33">
      <c r="A358" s="7" t="s">
        <v>2003</v>
      </c>
      <c r="B358" s="7" t="s">
        <v>2003</v>
      </c>
      <c r="C358" s="7" t="s">
        <v>2004</v>
      </c>
      <c r="D358" s="7" t="s">
        <v>2005</v>
      </c>
      <c r="E358" s="7" t="s">
        <v>33</v>
      </c>
      <c r="F358" s="7" t="s">
        <v>34</v>
      </c>
      <c r="G358" s="7" t="s">
        <v>35</v>
      </c>
      <c r="H358" s="7"/>
      <c r="I358" s="7"/>
      <c r="J358" s="7" t="s">
        <v>64</v>
      </c>
      <c r="K358" s="7" t="s">
        <v>176</v>
      </c>
      <c r="L358" s="7" t="s">
        <v>177</v>
      </c>
      <c r="M358" s="7" t="s">
        <v>178</v>
      </c>
      <c r="N358" s="7" t="s">
        <v>33</v>
      </c>
      <c r="O358" s="7">
        <v>1</v>
      </c>
      <c r="P358" s="7" t="s">
        <v>40</v>
      </c>
      <c r="Q358" s="7">
        <v>19.99</v>
      </c>
      <c r="R358" s="7"/>
      <c r="S358" s="7">
        <v>3.99</v>
      </c>
      <c r="T358" s="7"/>
      <c r="U358" s="7"/>
      <c r="V358" s="7"/>
      <c r="W358" s="7"/>
      <c r="X358" s="7"/>
      <c r="Y358" s="7" t="s">
        <v>1177</v>
      </c>
      <c r="Z358" s="7" t="s">
        <v>59</v>
      </c>
      <c r="AA358" s="7" t="s">
        <v>1178</v>
      </c>
      <c r="AB358" s="7" t="s">
        <v>43</v>
      </c>
      <c r="AC358" s="7"/>
      <c r="AD358" s="7"/>
      <c r="AE358" s="7"/>
      <c r="AF358" s="7"/>
      <c r="AG358" s="8">
        <f t="shared" si="5"/>
        <v>43320</v>
      </c>
    </row>
    <row r="359" spans="1:33">
      <c r="A359" s="7" t="s">
        <v>2006</v>
      </c>
      <c r="B359" s="7" t="s">
        <v>2006</v>
      </c>
      <c r="C359" s="7" t="s">
        <v>2007</v>
      </c>
      <c r="D359" s="7" t="s">
        <v>2008</v>
      </c>
      <c r="E359" s="7" t="s">
        <v>33</v>
      </c>
      <c r="F359" s="7" t="s">
        <v>34</v>
      </c>
      <c r="G359" s="7" t="s">
        <v>35</v>
      </c>
      <c r="H359" s="7"/>
      <c r="I359" s="7"/>
      <c r="J359" s="7" t="s">
        <v>36</v>
      </c>
      <c r="K359" s="7" t="s">
        <v>47</v>
      </c>
      <c r="L359" s="7" t="s">
        <v>2009</v>
      </c>
      <c r="M359" s="7" t="s">
        <v>2010</v>
      </c>
      <c r="N359" s="7" t="s">
        <v>33</v>
      </c>
      <c r="O359" s="7">
        <v>1</v>
      </c>
      <c r="P359" s="7" t="s">
        <v>40</v>
      </c>
      <c r="Q359" s="7">
        <v>14.99</v>
      </c>
      <c r="R359" s="7"/>
      <c r="S359" s="7"/>
      <c r="T359" s="7"/>
      <c r="U359" s="7"/>
      <c r="V359" s="7"/>
      <c r="W359" s="7"/>
      <c r="X359" s="7"/>
      <c r="Y359" s="7" t="s">
        <v>2011</v>
      </c>
      <c r="Z359" s="7" t="s">
        <v>266</v>
      </c>
      <c r="AA359" s="7" t="s">
        <v>2012</v>
      </c>
      <c r="AB359" s="7" t="s">
        <v>43</v>
      </c>
      <c r="AC359" s="7"/>
      <c r="AD359" s="7"/>
      <c r="AE359" s="7"/>
      <c r="AF359" s="7"/>
      <c r="AG359" s="8">
        <f t="shared" si="5"/>
        <v>43320</v>
      </c>
    </row>
    <row r="360" spans="1:33">
      <c r="A360" s="7" t="s">
        <v>2013</v>
      </c>
      <c r="B360" s="7" t="s">
        <v>2013</v>
      </c>
      <c r="C360" s="7" t="s">
        <v>2014</v>
      </c>
      <c r="D360" s="7" t="s">
        <v>2015</v>
      </c>
      <c r="E360" s="7" t="s">
        <v>33</v>
      </c>
      <c r="F360" s="7" t="s">
        <v>34</v>
      </c>
      <c r="G360" s="7" t="s">
        <v>35</v>
      </c>
      <c r="H360" s="7"/>
      <c r="I360" s="7"/>
      <c r="J360" s="7" t="s">
        <v>36</v>
      </c>
      <c r="K360" s="7" t="s">
        <v>199</v>
      </c>
      <c r="L360" s="7" t="s">
        <v>200</v>
      </c>
      <c r="M360" s="7" t="s">
        <v>201</v>
      </c>
      <c r="N360" s="7" t="s">
        <v>33</v>
      </c>
      <c r="O360" s="7">
        <v>1</v>
      </c>
      <c r="P360" s="7" t="s">
        <v>40</v>
      </c>
      <c r="Q360" s="7">
        <v>18.99</v>
      </c>
      <c r="R360" s="7"/>
      <c r="S360" s="7"/>
      <c r="T360" s="7"/>
      <c r="U360" s="7"/>
      <c r="V360" s="7"/>
      <c r="W360" s="7"/>
      <c r="X360" s="7"/>
      <c r="Y360" s="7" t="s">
        <v>2016</v>
      </c>
      <c r="Z360" s="7" t="s">
        <v>646</v>
      </c>
      <c r="AA360" s="7" t="s">
        <v>2017</v>
      </c>
      <c r="AB360" s="7" t="s">
        <v>43</v>
      </c>
      <c r="AC360" s="7"/>
      <c r="AD360" s="7"/>
      <c r="AE360" s="7"/>
      <c r="AF360" s="7"/>
      <c r="AG360" s="8">
        <f t="shared" si="5"/>
        <v>43320</v>
      </c>
    </row>
    <row r="361" spans="1:33">
      <c r="A361" s="7" t="s">
        <v>2018</v>
      </c>
      <c r="B361" s="7" t="s">
        <v>2018</v>
      </c>
      <c r="C361" s="7" t="s">
        <v>2019</v>
      </c>
      <c r="D361" s="7" t="s">
        <v>2020</v>
      </c>
      <c r="E361" s="7" t="s">
        <v>33</v>
      </c>
      <c r="F361" s="7" t="s">
        <v>34</v>
      </c>
      <c r="G361" s="7" t="s">
        <v>35</v>
      </c>
      <c r="H361" s="7"/>
      <c r="I361" s="7"/>
      <c r="J361" s="7" t="s">
        <v>36</v>
      </c>
      <c r="K361" s="7" t="s">
        <v>125</v>
      </c>
      <c r="L361" s="7" t="s">
        <v>126</v>
      </c>
      <c r="M361" s="7" t="s">
        <v>127</v>
      </c>
      <c r="N361" s="7" t="s">
        <v>33</v>
      </c>
      <c r="O361" s="7">
        <v>1</v>
      </c>
      <c r="P361" s="7" t="s">
        <v>40</v>
      </c>
      <c r="Q361" s="7">
        <v>18.99</v>
      </c>
      <c r="R361" s="7"/>
      <c r="S361" s="7"/>
      <c r="T361" s="7"/>
      <c r="U361" s="7"/>
      <c r="V361" s="7"/>
      <c r="W361" s="7"/>
      <c r="X361" s="7"/>
      <c r="Y361" s="7" t="s">
        <v>2021</v>
      </c>
      <c r="Z361" s="7" t="s">
        <v>1778</v>
      </c>
      <c r="AA361" s="7">
        <v>4062</v>
      </c>
      <c r="AB361" s="7" t="s">
        <v>43</v>
      </c>
      <c r="AC361" s="7"/>
      <c r="AD361" s="7"/>
      <c r="AE361" s="7"/>
      <c r="AF361" s="7"/>
      <c r="AG361" s="8">
        <f t="shared" si="5"/>
        <v>43320</v>
      </c>
    </row>
    <row r="362" spans="1:33">
      <c r="A362" s="7" t="s">
        <v>2022</v>
      </c>
      <c r="B362" s="7" t="s">
        <v>2022</v>
      </c>
      <c r="C362" s="7" t="s">
        <v>2023</v>
      </c>
      <c r="D362" s="7" t="s">
        <v>2024</v>
      </c>
      <c r="E362" s="7" t="s">
        <v>99</v>
      </c>
      <c r="F362" s="7" t="s">
        <v>34</v>
      </c>
      <c r="G362" s="7" t="s">
        <v>35</v>
      </c>
      <c r="H362" s="7"/>
      <c r="I362" s="7"/>
      <c r="J362" s="7" t="s">
        <v>336</v>
      </c>
      <c r="K362" s="7" t="s">
        <v>90</v>
      </c>
      <c r="L362" s="7" t="s">
        <v>284</v>
      </c>
      <c r="M362" s="7" t="s">
        <v>285</v>
      </c>
      <c r="N362" s="7" t="s">
        <v>459</v>
      </c>
      <c r="O362" s="7">
        <v>1</v>
      </c>
      <c r="P362" s="7" t="s">
        <v>40</v>
      </c>
      <c r="Q362" s="7">
        <v>19.99</v>
      </c>
      <c r="R362" s="7"/>
      <c r="S362" s="7"/>
      <c r="T362" s="7"/>
      <c r="U362" s="7"/>
      <c r="V362" s="7"/>
      <c r="W362" s="7"/>
      <c r="X362" s="7"/>
      <c r="Y362" s="7" t="s">
        <v>779</v>
      </c>
      <c r="Z362" s="7" t="s">
        <v>59</v>
      </c>
      <c r="AA362" s="7" t="s">
        <v>2025</v>
      </c>
      <c r="AB362" s="7" t="s">
        <v>43</v>
      </c>
      <c r="AC362" s="7"/>
      <c r="AD362" s="7"/>
      <c r="AE362" s="7"/>
      <c r="AF362" s="7"/>
      <c r="AG362" s="8">
        <f t="shared" si="5"/>
        <v>43321</v>
      </c>
    </row>
    <row r="363" spans="1:33">
      <c r="A363" s="7" t="s">
        <v>2026</v>
      </c>
      <c r="B363" s="7" t="s">
        <v>2026</v>
      </c>
      <c r="C363" s="7" t="s">
        <v>2027</v>
      </c>
      <c r="D363" s="7" t="s">
        <v>2028</v>
      </c>
      <c r="E363" s="7" t="s">
        <v>33</v>
      </c>
      <c r="F363" s="7" t="s">
        <v>34</v>
      </c>
      <c r="G363" s="7" t="s">
        <v>35</v>
      </c>
      <c r="H363" s="7"/>
      <c r="I363" s="7"/>
      <c r="J363" s="7" t="s">
        <v>36</v>
      </c>
      <c r="K363" s="7" t="s">
        <v>2029</v>
      </c>
      <c r="L363" s="7" t="s">
        <v>2030</v>
      </c>
      <c r="M363" s="7" t="s">
        <v>2031</v>
      </c>
      <c r="N363" s="7" t="s">
        <v>33</v>
      </c>
      <c r="O363" s="7">
        <v>1</v>
      </c>
      <c r="P363" s="7" t="s">
        <v>40</v>
      </c>
      <c r="Q363" s="7">
        <v>19.99</v>
      </c>
      <c r="R363" s="7"/>
      <c r="S363" s="7"/>
      <c r="T363" s="7"/>
      <c r="U363" s="7"/>
      <c r="V363" s="7"/>
      <c r="W363" s="7"/>
      <c r="X363" s="7"/>
      <c r="Y363" s="7" t="s">
        <v>2032</v>
      </c>
      <c r="Z363" s="7" t="s">
        <v>969</v>
      </c>
      <c r="AA363" s="7" t="s">
        <v>2033</v>
      </c>
      <c r="AB363" s="7" t="s">
        <v>43</v>
      </c>
      <c r="AC363" s="7"/>
      <c r="AD363" s="7"/>
      <c r="AE363" s="7"/>
      <c r="AF363" s="7"/>
      <c r="AG363" s="8">
        <f t="shared" si="5"/>
        <v>43321</v>
      </c>
    </row>
    <row r="364" spans="1:33">
      <c r="A364" s="7" t="s">
        <v>2034</v>
      </c>
      <c r="B364" s="7" t="s">
        <v>2034</v>
      </c>
      <c r="C364" s="7" t="s">
        <v>2035</v>
      </c>
      <c r="D364" s="7" t="s">
        <v>2036</v>
      </c>
      <c r="E364" s="7" t="s">
        <v>33</v>
      </c>
      <c r="F364" s="7" t="s">
        <v>34</v>
      </c>
      <c r="G364" s="7" t="s">
        <v>35</v>
      </c>
      <c r="H364" s="7"/>
      <c r="I364" s="7"/>
      <c r="J364" s="7" t="s">
        <v>36</v>
      </c>
      <c r="K364" s="7" t="s">
        <v>65</v>
      </c>
      <c r="L364" s="7" t="s">
        <v>771</v>
      </c>
      <c r="M364" s="7" t="s">
        <v>772</v>
      </c>
      <c r="N364" s="7" t="s">
        <v>33</v>
      </c>
      <c r="O364" s="7">
        <v>1</v>
      </c>
      <c r="P364" s="7" t="s">
        <v>40</v>
      </c>
      <c r="Q364" s="7">
        <v>19.99</v>
      </c>
      <c r="R364" s="7"/>
      <c r="S364" s="7"/>
      <c r="T364" s="7"/>
      <c r="U364" s="7"/>
      <c r="V364" s="7"/>
      <c r="W364" s="7"/>
      <c r="X364" s="7"/>
      <c r="Y364" s="7" t="s">
        <v>801</v>
      </c>
      <c r="Z364" s="7" t="s">
        <v>135</v>
      </c>
      <c r="AA364" s="7" t="s">
        <v>2037</v>
      </c>
      <c r="AB364" s="7" t="s">
        <v>43</v>
      </c>
      <c r="AC364" s="7"/>
      <c r="AD364" s="7"/>
      <c r="AE364" s="7"/>
      <c r="AF364" s="7"/>
      <c r="AG364" s="8">
        <f t="shared" si="5"/>
        <v>43321</v>
      </c>
    </row>
    <row r="365" spans="1:33">
      <c r="A365" s="7" t="s">
        <v>2038</v>
      </c>
      <c r="B365" s="7" t="s">
        <v>2038</v>
      </c>
      <c r="C365" s="7" t="s">
        <v>2039</v>
      </c>
      <c r="D365" s="7" t="s">
        <v>2040</v>
      </c>
      <c r="E365" s="7" t="s">
        <v>33</v>
      </c>
      <c r="F365" s="7" t="s">
        <v>34</v>
      </c>
      <c r="G365" s="7" t="s">
        <v>35</v>
      </c>
      <c r="H365" s="7"/>
      <c r="I365" s="7"/>
      <c r="J365" s="7" t="s">
        <v>36</v>
      </c>
      <c r="K365" s="7" t="s">
        <v>388</v>
      </c>
      <c r="L365" s="7" t="s">
        <v>1488</v>
      </c>
      <c r="M365" s="7" t="s">
        <v>1489</v>
      </c>
      <c r="N365" s="7" t="s">
        <v>33</v>
      </c>
      <c r="O365" s="7">
        <v>1</v>
      </c>
      <c r="P365" s="7" t="s">
        <v>40</v>
      </c>
      <c r="Q365" s="7">
        <v>19.38</v>
      </c>
      <c r="R365" s="7"/>
      <c r="S365" s="7"/>
      <c r="T365" s="7"/>
      <c r="U365" s="7"/>
      <c r="V365" s="7"/>
      <c r="W365" s="7"/>
      <c r="X365" s="7"/>
      <c r="Y365" s="7" t="s">
        <v>2041</v>
      </c>
      <c r="Z365" s="7" t="s">
        <v>345</v>
      </c>
      <c r="AA365" s="7">
        <v>2120</v>
      </c>
      <c r="AB365" s="7" t="s">
        <v>43</v>
      </c>
      <c r="AC365" s="7"/>
      <c r="AD365" s="7"/>
      <c r="AE365" s="7"/>
      <c r="AF365" s="7"/>
      <c r="AG365" s="8">
        <f t="shared" si="5"/>
        <v>43321</v>
      </c>
    </row>
    <row r="366" spans="1:33">
      <c r="A366" s="7" t="s">
        <v>2042</v>
      </c>
      <c r="B366" s="7" t="s">
        <v>2042</v>
      </c>
      <c r="C366" s="7" t="s">
        <v>2043</v>
      </c>
      <c r="D366" s="7" t="s">
        <v>2044</v>
      </c>
      <c r="E366" s="7" t="s">
        <v>33</v>
      </c>
      <c r="F366" s="7" t="s">
        <v>34</v>
      </c>
      <c r="G366" s="7" t="s">
        <v>35</v>
      </c>
      <c r="H366" s="7"/>
      <c r="I366" s="7"/>
      <c r="J366" s="7" t="s">
        <v>36</v>
      </c>
      <c r="K366" s="7" t="s">
        <v>255</v>
      </c>
      <c r="L366" s="7" t="s">
        <v>277</v>
      </c>
      <c r="M366" s="7" t="s">
        <v>278</v>
      </c>
      <c r="N366" s="7" t="s">
        <v>33</v>
      </c>
      <c r="O366" s="7">
        <v>1</v>
      </c>
      <c r="P366" s="7" t="s">
        <v>40</v>
      </c>
      <c r="Q366" s="7">
        <v>19.99</v>
      </c>
      <c r="R366" s="7"/>
      <c r="S366" s="7"/>
      <c r="T366" s="7"/>
      <c r="U366" s="7"/>
      <c r="V366" s="7"/>
      <c r="W366" s="7"/>
      <c r="X366" s="7"/>
      <c r="Y366" s="7" t="s">
        <v>569</v>
      </c>
      <c r="Z366" s="7" t="s">
        <v>570</v>
      </c>
      <c r="AA366" s="7" t="s">
        <v>2045</v>
      </c>
      <c r="AB366" s="7" t="s">
        <v>43</v>
      </c>
      <c r="AC366" s="7"/>
      <c r="AD366" s="7"/>
      <c r="AE366" s="7"/>
      <c r="AF366" s="7"/>
      <c r="AG366" s="8">
        <f t="shared" si="5"/>
        <v>43321</v>
      </c>
    </row>
    <row r="367" spans="1:33">
      <c r="A367" s="7" t="s">
        <v>2046</v>
      </c>
      <c r="B367" s="7" t="s">
        <v>2046</v>
      </c>
      <c r="C367" s="7" t="s">
        <v>2047</v>
      </c>
      <c r="D367" s="7" t="s">
        <v>2048</v>
      </c>
      <c r="E367" s="7" t="s">
        <v>33</v>
      </c>
      <c r="F367" s="7" t="s">
        <v>34</v>
      </c>
      <c r="G367" s="7" t="s">
        <v>35</v>
      </c>
      <c r="H367" s="7"/>
      <c r="I367" s="7"/>
      <c r="J367" s="7" t="s">
        <v>36</v>
      </c>
      <c r="K367" s="7" t="s">
        <v>47</v>
      </c>
      <c r="L367" s="7" t="s">
        <v>74</v>
      </c>
      <c r="M367" s="7" t="s">
        <v>75</v>
      </c>
      <c r="N367" s="7" t="s">
        <v>33</v>
      </c>
      <c r="O367" s="7">
        <v>1</v>
      </c>
      <c r="P367" s="7" t="s">
        <v>40</v>
      </c>
      <c r="Q367" s="7">
        <v>14.99</v>
      </c>
      <c r="R367" s="7"/>
      <c r="S367" s="7"/>
      <c r="T367" s="7"/>
      <c r="U367" s="7"/>
      <c r="V367" s="7"/>
      <c r="W367" s="7"/>
      <c r="X367" s="7"/>
      <c r="Y367" s="7" t="s">
        <v>1108</v>
      </c>
      <c r="Z367" s="7" t="s">
        <v>2049</v>
      </c>
      <c r="AA367" s="7" t="s">
        <v>2050</v>
      </c>
      <c r="AB367" s="7" t="s">
        <v>43</v>
      </c>
      <c r="AC367" s="7"/>
      <c r="AD367" s="7"/>
      <c r="AE367" s="7"/>
      <c r="AF367" s="7"/>
      <c r="AG367" s="8">
        <f t="shared" si="5"/>
        <v>43321</v>
      </c>
    </row>
    <row r="368" spans="1:33">
      <c r="A368" s="7" t="s">
        <v>2051</v>
      </c>
      <c r="B368" s="7" t="s">
        <v>2051</v>
      </c>
      <c r="C368" s="7" t="s">
        <v>2052</v>
      </c>
      <c r="D368" s="7" t="s">
        <v>2053</v>
      </c>
      <c r="E368" s="7" t="s">
        <v>33</v>
      </c>
      <c r="F368" s="7" t="s">
        <v>34</v>
      </c>
      <c r="G368" s="7" t="s">
        <v>35</v>
      </c>
      <c r="H368" s="7"/>
      <c r="I368" s="7"/>
      <c r="J368" s="7" t="s">
        <v>36</v>
      </c>
      <c r="K368" s="7" t="s">
        <v>456</v>
      </c>
      <c r="L368" s="7" t="s">
        <v>959</v>
      </c>
      <c r="M368" s="7" t="s">
        <v>960</v>
      </c>
      <c r="N368" s="7" t="s">
        <v>33</v>
      </c>
      <c r="O368" s="7">
        <v>1</v>
      </c>
      <c r="P368" s="7" t="s">
        <v>40</v>
      </c>
      <c r="Q368" s="7">
        <v>19.99</v>
      </c>
      <c r="R368" s="7"/>
      <c r="S368" s="7"/>
      <c r="T368" s="7"/>
      <c r="U368" s="7"/>
      <c r="V368" s="7"/>
      <c r="W368" s="7"/>
      <c r="X368" s="7"/>
      <c r="Y368" s="7" t="s">
        <v>2054</v>
      </c>
      <c r="Z368" s="7" t="s">
        <v>447</v>
      </c>
      <c r="AA368" s="7" t="s">
        <v>2055</v>
      </c>
      <c r="AB368" s="7" t="s">
        <v>43</v>
      </c>
      <c r="AC368" s="7"/>
      <c r="AD368" s="7"/>
      <c r="AE368" s="7"/>
      <c r="AF368" s="7"/>
      <c r="AG368" s="8">
        <f t="shared" si="5"/>
        <v>43321</v>
      </c>
    </row>
    <row r="369" spans="1:33">
      <c r="A369" s="7" t="s">
        <v>2056</v>
      </c>
      <c r="B369" s="7" t="s">
        <v>2056</v>
      </c>
      <c r="C369" s="7" t="s">
        <v>2057</v>
      </c>
      <c r="D369" s="7" t="s">
        <v>2058</v>
      </c>
      <c r="E369" s="7" t="s">
        <v>33</v>
      </c>
      <c r="F369" s="7" t="s">
        <v>34</v>
      </c>
      <c r="G369" s="7" t="s">
        <v>35</v>
      </c>
      <c r="H369" s="7"/>
      <c r="I369" s="7"/>
      <c r="J369" s="7" t="s">
        <v>36</v>
      </c>
      <c r="K369" s="7" t="s">
        <v>255</v>
      </c>
      <c r="L369" s="7" t="s">
        <v>2059</v>
      </c>
      <c r="M369" s="7" t="s">
        <v>2060</v>
      </c>
      <c r="N369" s="7" t="s">
        <v>33</v>
      </c>
      <c r="O369" s="7">
        <v>1</v>
      </c>
      <c r="P369" s="7" t="s">
        <v>40</v>
      </c>
      <c r="Q369" s="7">
        <v>19.99</v>
      </c>
      <c r="R369" s="7"/>
      <c r="S369" s="7"/>
      <c r="T369" s="7"/>
      <c r="U369" s="7"/>
      <c r="V369" s="7"/>
      <c r="W369" s="7"/>
      <c r="X369" s="7"/>
      <c r="Y369" s="7" t="s">
        <v>2061</v>
      </c>
      <c r="Z369" s="7" t="s">
        <v>59</v>
      </c>
      <c r="AA369" s="7" t="s">
        <v>2062</v>
      </c>
      <c r="AB369" s="7" t="s">
        <v>43</v>
      </c>
      <c r="AC369" s="7"/>
      <c r="AD369" s="7"/>
      <c r="AE369" s="7"/>
      <c r="AF369" s="7"/>
      <c r="AG369" s="8">
        <f t="shared" si="5"/>
        <v>43321</v>
      </c>
    </row>
    <row r="370" spans="1:33">
      <c r="A370" s="7" t="s">
        <v>2063</v>
      </c>
      <c r="B370" s="7" t="s">
        <v>2063</v>
      </c>
      <c r="C370" s="7" t="s">
        <v>2064</v>
      </c>
      <c r="D370" s="7" t="s">
        <v>2065</v>
      </c>
      <c r="E370" s="7" t="s">
        <v>33</v>
      </c>
      <c r="F370" s="7" t="s">
        <v>34</v>
      </c>
      <c r="G370" s="7" t="s">
        <v>35</v>
      </c>
      <c r="H370" s="7"/>
      <c r="I370" s="7"/>
      <c r="J370" s="7" t="s">
        <v>36</v>
      </c>
      <c r="K370" s="7" t="s">
        <v>617</v>
      </c>
      <c r="L370" s="7" t="s">
        <v>618</v>
      </c>
      <c r="M370" s="7" t="s">
        <v>619</v>
      </c>
      <c r="N370" s="7" t="s">
        <v>33</v>
      </c>
      <c r="O370" s="7">
        <v>1</v>
      </c>
      <c r="P370" s="7" t="s">
        <v>40</v>
      </c>
      <c r="Q370" s="7">
        <v>18.99</v>
      </c>
      <c r="R370" s="7"/>
      <c r="S370" s="7"/>
      <c r="T370" s="7"/>
      <c r="U370" s="7"/>
      <c r="V370" s="7"/>
      <c r="W370" s="7"/>
      <c r="X370" s="7"/>
      <c r="Y370" s="7" t="s">
        <v>2066</v>
      </c>
      <c r="Z370" s="7" t="s">
        <v>59</v>
      </c>
      <c r="AA370" s="7">
        <v>92071</v>
      </c>
      <c r="AB370" s="7" t="s">
        <v>43</v>
      </c>
      <c r="AC370" s="7"/>
      <c r="AD370" s="7"/>
      <c r="AE370" s="7"/>
      <c r="AF370" s="7"/>
      <c r="AG370" s="8">
        <f t="shared" si="5"/>
        <v>43321</v>
      </c>
    </row>
    <row r="371" spans="1:33">
      <c r="A371" s="7" t="s">
        <v>2067</v>
      </c>
      <c r="B371" s="7" t="s">
        <v>2067</v>
      </c>
      <c r="C371" s="7" t="s">
        <v>2068</v>
      </c>
      <c r="D371" s="7" t="s">
        <v>2069</v>
      </c>
      <c r="E371" s="7" t="s">
        <v>33</v>
      </c>
      <c r="F371" s="7" t="s">
        <v>34</v>
      </c>
      <c r="G371" s="7" t="s">
        <v>35</v>
      </c>
      <c r="H371" s="7"/>
      <c r="I371" s="7"/>
      <c r="J371" s="7" t="s">
        <v>36</v>
      </c>
      <c r="K371" s="7" t="s">
        <v>131</v>
      </c>
      <c r="L371" s="7" t="s">
        <v>132</v>
      </c>
      <c r="M371" s="7" t="s">
        <v>133</v>
      </c>
      <c r="N371" s="7" t="s">
        <v>33</v>
      </c>
      <c r="O371" s="7">
        <v>1</v>
      </c>
      <c r="P371" s="7" t="s">
        <v>40</v>
      </c>
      <c r="Q371" s="7">
        <v>18.99</v>
      </c>
      <c r="R371" s="7"/>
      <c r="S371" s="7"/>
      <c r="T371" s="7"/>
      <c r="U371" s="7"/>
      <c r="V371" s="7"/>
      <c r="W371" s="7"/>
      <c r="X371" s="7"/>
      <c r="Y371" s="7" t="s">
        <v>2070</v>
      </c>
      <c r="Z371" s="7" t="s">
        <v>143</v>
      </c>
      <c r="AA371" s="7" t="s">
        <v>2071</v>
      </c>
      <c r="AB371" s="7" t="s">
        <v>43</v>
      </c>
      <c r="AC371" s="7"/>
      <c r="AD371" s="7"/>
      <c r="AE371" s="7"/>
      <c r="AF371" s="7"/>
      <c r="AG371" s="8">
        <f t="shared" si="5"/>
        <v>43321</v>
      </c>
    </row>
    <row r="372" spans="1:33">
      <c r="A372" s="7" t="s">
        <v>2072</v>
      </c>
      <c r="B372" s="7" t="s">
        <v>2072</v>
      </c>
      <c r="C372" s="7" t="s">
        <v>2073</v>
      </c>
      <c r="D372" s="7" t="s">
        <v>2074</v>
      </c>
      <c r="E372" s="7" t="s">
        <v>33</v>
      </c>
      <c r="F372" s="7" t="s">
        <v>34</v>
      </c>
      <c r="G372" s="7" t="s">
        <v>35</v>
      </c>
      <c r="H372" s="7"/>
      <c r="I372" s="7"/>
      <c r="J372" s="7" t="s">
        <v>36</v>
      </c>
      <c r="K372" s="7" t="s">
        <v>2075</v>
      </c>
      <c r="L372" s="7" t="s">
        <v>2076</v>
      </c>
      <c r="M372" s="7" t="s">
        <v>2077</v>
      </c>
      <c r="N372" s="7" t="s">
        <v>33</v>
      </c>
      <c r="O372" s="7">
        <v>1</v>
      </c>
      <c r="P372" s="7" t="s">
        <v>40</v>
      </c>
      <c r="Q372" s="7">
        <v>18.98</v>
      </c>
      <c r="R372" s="7"/>
      <c r="S372" s="7"/>
      <c r="T372" s="7"/>
      <c r="U372" s="7"/>
      <c r="V372" s="7"/>
      <c r="W372" s="7"/>
      <c r="X372" s="7"/>
      <c r="Y372" s="7" t="s">
        <v>2078</v>
      </c>
      <c r="Z372" s="7" t="s">
        <v>219</v>
      </c>
      <c r="AA372" s="7">
        <v>85742</v>
      </c>
      <c r="AB372" s="7" t="s">
        <v>43</v>
      </c>
      <c r="AC372" s="7"/>
      <c r="AD372" s="7"/>
      <c r="AE372" s="7"/>
      <c r="AF372" s="7"/>
      <c r="AG372" s="8">
        <f t="shared" si="5"/>
        <v>43321</v>
      </c>
    </row>
    <row r="373" spans="1:33">
      <c r="A373" s="7" t="s">
        <v>2079</v>
      </c>
      <c r="B373" s="7" t="s">
        <v>2079</v>
      </c>
      <c r="C373" s="7" t="s">
        <v>2080</v>
      </c>
      <c r="D373" s="7" t="s">
        <v>2081</v>
      </c>
      <c r="E373" s="7" t="s">
        <v>33</v>
      </c>
      <c r="F373" s="7" t="s">
        <v>34</v>
      </c>
      <c r="G373" s="7" t="s">
        <v>35</v>
      </c>
      <c r="H373" s="7"/>
      <c r="I373" s="7"/>
      <c r="J373" s="7" t="s">
        <v>36</v>
      </c>
      <c r="K373" s="7" t="s">
        <v>497</v>
      </c>
      <c r="L373" s="7" t="s">
        <v>1741</v>
      </c>
      <c r="M373" s="7" t="s">
        <v>1742</v>
      </c>
      <c r="N373" s="7" t="s">
        <v>33</v>
      </c>
      <c r="O373" s="7">
        <v>1</v>
      </c>
      <c r="P373" s="7" t="s">
        <v>40</v>
      </c>
      <c r="Q373" s="7">
        <v>19.99</v>
      </c>
      <c r="R373" s="7"/>
      <c r="S373" s="7"/>
      <c r="T373" s="7"/>
      <c r="U373" s="7"/>
      <c r="V373" s="7"/>
      <c r="W373" s="7"/>
      <c r="X373" s="7"/>
      <c r="Y373" s="7" t="s">
        <v>2082</v>
      </c>
      <c r="Z373" s="7" t="s">
        <v>143</v>
      </c>
      <c r="AA373" s="7" t="s">
        <v>2083</v>
      </c>
      <c r="AB373" s="7" t="s">
        <v>43</v>
      </c>
      <c r="AC373" s="7"/>
      <c r="AD373" s="7"/>
      <c r="AE373" s="7"/>
      <c r="AF373" s="7"/>
      <c r="AG373" s="8">
        <f t="shared" si="5"/>
        <v>43321</v>
      </c>
    </row>
    <row r="374" spans="1:33">
      <c r="A374" s="7" t="s">
        <v>2084</v>
      </c>
      <c r="B374" s="7" t="s">
        <v>2084</v>
      </c>
      <c r="C374" s="7" t="s">
        <v>2085</v>
      </c>
      <c r="D374" s="7" t="s">
        <v>2086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36</v>
      </c>
      <c r="K374" s="7" t="s">
        <v>131</v>
      </c>
      <c r="L374" s="7" t="s">
        <v>132</v>
      </c>
      <c r="M374" s="7" t="s">
        <v>133</v>
      </c>
      <c r="N374" s="7" t="s">
        <v>33</v>
      </c>
      <c r="O374" s="7">
        <v>1</v>
      </c>
      <c r="P374" s="7" t="s">
        <v>40</v>
      </c>
      <c r="Q374" s="7">
        <v>18.99</v>
      </c>
      <c r="R374" s="7"/>
      <c r="S374" s="7"/>
      <c r="T374" s="7"/>
      <c r="U374" s="7"/>
      <c r="V374" s="7"/>
      <c r="W374" s="7"/>
      <c r="X374" s="7"/>
      <c r="Y374" s="7" t="s">
        <v>2087</v>
      </c>
      <c r="Z374" s="7" t="s">
        <v>848</v>
      </c>
      <c r="AA374" s="7" t="s">
        <v>2088</v>
      </c>
      <c r="AB374" s="7" t="s">
        <v>43</v>
      </c>
      <c r="AC374" s="7"/>
      <c r="AD374" s="7"/>
      <c r="AE374" s="7"/>
      <c r="AF374" s="7"/>
      <c r="AG374" s="8">
        <f t="shared" si="5"/>
        <v>43321</v>
      </c>
    </row>
    <row r="375" spans="1:33">
      <c r="A375" s="7" t="s">
        <v>2084</v>
      </c>
      <c r="B375" s="7" t="s">
        <v>2084</v>
      </c>
      <c r="C375" s="7" t="s">
        <v>2085</v>
      </c>
      <c r="D375" s="7" t="s">
        <v>2086</v>
      </c>
      <c r="E375" s="7" t="s">
        <v>33</v>
      </c>
      <c r="F375" s="7" t="s">
        <v>34</v>
      </c>
      <c r="G375" s="7" t="s">
        <v>35</v>
      </c>
      <c r="H375" s="7"/>
      <c r="I375" s="7"/>
      <c r="J375" s="7" t="s">
        <v>36</v>
      </c>
      <c r="K375" s="7" t="s">
        <v>617</v>
      </c>
      <c r="L375" s="7" t="s">
        <v>618</v>
      </c>
      <c r="M375" s="7" t="s">
        <v>619</v>
      </c>
      <c r="N375" s="7" t="s">
        <v>33</v>
      </c>
      <c r="O375" s="7">
        <v>1</v>
      </c>
      <c r="P375" s="7" t="s">
        <v>40</v>
      </c>
      <c r="Q375" s="7">
        <v>18.99</v>
      </c>
      <c r="R375" s="7"/>
      <c r="S375" s="7"/>
      <c r="T375" s="7"/>
      <c r="U375" s="7"/>
      <c r="V375" s="7"/>
      <c r="W375" s="7"/>
      <c r="X375" s="7"/>
      <c r="Y375" s="7" t="s">
        <v>2087</v>
      </c>
      <c r="Z375" s="7" t="s">
        <v>848</v>
      </c>
      <c r="AA375" s="7" t="s">
        <v>2088</v>
      </c>
      <c r="AB375" s="7" t="s">
        <v>43</v>
      </c>
      <c r="AC375" s="7"/>
      <c r="AD375" s="7"/>
      <c r="AE375" s="7"/>
      <c r="AF375" s="7"/>
      <c r="AG375" s="8">
        <f t="shared" si="5"/>
        <v>43321</v>
      </c>
    </row>
    <row r="376" spans="1:33">
      <c r="A376" s="7" t="s">
        <v>2089</v>
      </c>
      <c r="B376" s="7" t="s">
        <v>2089</v>
      </c>
      <c r="C376" s="7" t="s">
        <v>2090</v>
      </c>
      <c r="D376" s="7" t="s">
        <v>2091</v>
      </c>
      <c r="E376" s="7" t="s">
        <v>33</v>
      </c>
      <c r="F376" s="7" t="s">
        <v>34</v>
      </c>
      <c r="G376" s="7" t="s">
        <v>35</v>
      </c>
      <c r="H376" s="7"/>
      <c r="I376" s="7"/>
      <c r="J376" s="7" t="s">
        <v>64</v>
      </c>
      <c r="K376" s="7" t="s">
        <v>2092</v>
      </c>
      <c r="L376" s="7" t="s">
        <v>2093</v>
      </c>
      <c r="M376" s="7" t="s">
        <v>2094</v>
      </c>
      <c r="N376" s="7" t="s">
        <v>33</v>
      </c>
      <c r="O376" s="7">
        <v>1</v>
      </c>
      <c r="P376" s="7" t="s">
        <v>40</v>
      </c>
      <c r="Q376" s="7">
        <v>18.99</v>
      </c>
      <c r="R376" s="7"/>
      <c r="S376" s="7">
        <v>3.99</v>
      </c>
      <c r="T376" s="7"/>
      <c r="U376" s="7"/>
      <c r="V376" s="7"/>
      <c r="W376" s="7"/>
      <c r="X376" s="7"/>
      <c r="Y376" s="7" t="s">
        <v>2095</v>
      </c>
      <c r="Z376" s="7" t="s">
        <v>323</v>
      </c>
      <c r="AA376" s="7" t="s">
        <v>2096</v>
      </c>
      <c r="AB376" s="7" t="s">
        <v>43</v>
      </c>
      <c r="AC376" s="7"/>
      <c r="AD376" s="7"/>
      <c r="AE376" s="7"/>
      <c r="AF376" s="7"/>
      <c r="AG376" s="8">
        <f t="shared" si="5"/>
        <v>43321</v>
      </c>
    </row>
    <row r="377" spans="1:33">
      <c r="A377" s="7" t="s">
        <v>2097</v>
      </c>
      <c r="B377" s="7" t="s">
        <v>2097</v>
      </c>
      <c r="C377" s="7" t="s">
        <v>2098</v>
      </c>
      <c r="D377" s="7" t="s">
        <v>2099</v>
      </c>
      <c r="E377" s="7" t="s">
        <v>33</v>
      </c>
      <c r="F377" s="7" t="s">
        <v>34</v>
      </c>
      <c r="G377" s="7" t="s">
        <v>35</v>
      </c>
      <c r="H377" s="7"/>
      <c r="I377" s="7"/>
      <c r="J377" s="7" t="s">
        <v>36</v>
      </c>
      <c r="K377" s="7" t="s">
        <v>1198</v>
      </c>
      <c r="L377" s="7" t="s">
        <v>1199</v>
      </c>
      <c r="M377" s="7" t="s">
        <v>1200</v>
      </c>
      <c r="N377" s="7" t="s">
        <v>33</v>
      </c>
      <c r="O377" s="7">
        <v>1</v>
      </c>
      <c r="P377" s="7" t="s">
        <v>40</v>
      </c>
      <c r="Q377" s="7">
        <v>18.99</v>
      </c>
      <c r="R377" s="7"/>
      <c r="S377" s="7"/>
      <c r="T377" s="7"/>
      <c r="U377" s="7"/>
      <c r="V377" s="7"/>
      <c r="W377" s="7"/>
      <c r="X377" s="7"/>
      <c r="Y377" s="7" t="s">
        <v>2095</v>
      </c>
      <c r="Z377" s="7" t="s">
        <v>323</v>
      </c>
      <c r="AA377" s="7" t="s">
        <v>2096</v>
      </c>
      <c r="AB377" s="7" t="s">
        <v>43</v>
      </c>
      <c r="AC377" s="7"/>
      <c r="AD377" s="7"/>
      <c r="AE377" s="7"/>
      <c r="AF377" s="7"/>
      <c r="AG377" s="8">
        <f t="shared" si="5"/>
        <v>43321</v>
      </c>
    </row>
    <row r="378" spans="1:33">
      <c r="A378" s="7" t="s">
        <v>2100</v>
      </c>
      <c r="B378" s="7" t="s">
        <v>2100</v>
      </c>
      <c r="C378" s="7" t="s">
        <v>2101</v>
      </c>
      <c r="D378" s="7" t="s">
        <v>2102</v>
      </c>
      <c r="E378" s="7" t="s">
        <v>33</v>
      </c>
      <c r="F378" s="7" t="s">
        <v>34</v>
      </c>
      <c r="G378" s="7" t="s">
        <v>35</v>
      </c>
      <c r="H378" s="7"/>
      <c r="I378" s="7"/>
      <c r="J378" s="7" t="s">
        <v>64</v>
      </c>
      <c r="K378" s="7" t="s">
        <v>155</v>
      </c>
      <c r="L378" s="7" t="s">
        <v>2103</v>
      </c>
      <c r="M378" s="7" t="s">
        <v>2104</v>
      </c>
      <c r="N378" s="7" t="s">
        <v>33</v>
      </c>
      <c r="O378" s="7">
        <v>1</v>
      </c>
      <c r="P378" s="7" t="s">
        <v>40</v>
      </c>
      <c r="Q378" s="7">
        <v>19.99</v>
      </c>
      <c r="R378" s="7"/>
      <c r="S378" s="7">
        <v>3.99</v>
      </c>
      <c r="T378" s="7"/>
      <c r="U378" s="7"/>
      <c r="V378" s="7"/>
      <c r="W378" s="7"/>
      <c r="X378" s="7"/>
      <c r="Y378" s="7" t="s">
        <v>2105</v>
      </c>
      <c r="Z378" s="7" t="s">
        <v>174</v>
      </c>
      <c r="AA378" s="7" t="s">
        <v>2106</v>
      </c>
      <c r="AB378" s="7" t="s">
        <v>43</v>
      </c>
      <c r="AC378" s="7"/>
      <c r="AD378" s="7"/>
      <c r="AE378" s="7"/>
      <c r="AF378" s="7"/>
      <c r="AG378" s="8">
        <f t="shared" si="5"/>
        <v>43321</v>
      </c>
    </row>
    <row r="379" spans="1:33">
      <c r="A379" s="7" t="s">
        <v>2107</v>
      </c>
      <c r="B379" s="7" t="s">
        <v>2107</v>
      </c>
      <c r="C379" s="7" t="s">
        <v>2108</v>
      </c>
      <c r="D379" s="7" t="s">
        <v>2109</v>
      </c>
      <c r="E379" s="7" t="s">
        <v>33</v>
      </c>
      <c r="F379" s="7" t="s">
        <v>34</v>
      </c>
      <c r="G379" s="7" t="s">
        <v>35</v>
      </c>
      <c r="H379" s="7"/>
      <c r="I379" s="7"/>
      <c r="J379" s="7" t="s">
        <v>36</v>
      </c>
      <c r="K379" s="7" t="s">
        <v>255</v>
      </c>
      <c r="L379" s="7" t="s">
        <v>277</v>
      </c>
      <c r="M379" s="7" t="s">
        <v>278</v>
      </c>
      <c r="N379" s="7" t="s">
        <v>33</v>
      </c>
      <c r="O379" s="7">
        <v>1</v>
      </c>
      <c r="P379" s="7" t="s">
        <v>40</v>
      </c>
      <c r="Q379" s="7">
        <v>19.99</v>
      </c>
      <c r="R379" s="7"/>
      <c r="S379" s="7"/>
      <c r="T379" s="7"/>
      <c r="U379" s="7"/>
      <c r="V379" s="7"/>
      <c r="W379" s="7"/>
      <c r="X379" s="7"/>
      <c r="Y379" s="7" t="s">
        <v>372</v>
      </c>
      <c r="Z379" s="7" t="s">
        <v>59</v>
      </c>
      <c r="AA379" s="7" t="s">
        <v>1818</v>
      </c>
      <c r="AB379" s="7" t="s">
        <v>43</v>
      </c>
      <c r="AC379" s="7"/>
      <c r="AD379" s="7"/>
      <c r="AE379" s="7"/>
      <c r="AF379" s="7"/>
      <c r="AG379" s="8">
        <f t="shared" si="5"/>
        <v>43321</v>
      </c>
    </row>
    <row r="380" spans="1:33">
      <c r="A380" s="7" t="s">
        <v>2110</v>
      </c>
      <c r="B380" s="7" t="s">
        <v>2110</v>
      </c>
      <c r="C380" s="7" t="s">
        <v>2111</v>
      </c>
      <c r="D380" s="7" t="s">
        <v>2112</v>
      </c>
      <c r="E380" s="7" t="s">
        <v>33</v>
      </c>
      <c r="F380" s="7" t="s">
        <v>34</v>
      </c>
      <c r="G380" s="7" t="s">
        <v>35</v>
      </c>
      <c r="H380" s="7"/>
      <c r="I380" s="7"/>
      <c r="J380" s="7" t="s">
        <v>36</v>
      </c>
      <c r="K380" s="7" t="s">
        <v>2113</v>
      </c>
      <c r="L380" s="7" t="s">
        <v>2114</v>
      </c>
      <c r="M380" s="7" t="s">
        <v>2115</v>
      </c>
      <c r="N380" s="7" t="s">
        <v>33</v>
      </c>
      <c r="O380" s="7">
        <v>1</v>
      </c>
      <c r="P380" s="7" t="s">
        <v>40</v>
      </c>
      <c r="Q380" s="7">
        <v>16.99</v>
      </c>
      <c r="R380" s="7"/>
      <c r="S380" s="7"/>
      <c r="T380" s="7"/>
      <c r="U380" s="7"/>
      <c r="V380" s="7"/>
      <c r="W380" s="7"/>
      <c r="X380" s="7"/>
      <c r="Y380" s="7" t="s">
        <v>2116</v>
      </c>
      <c r="Z380" s="7" t="s">
        <v>2117</v>
      </c>
      <c r="AA380" s="7" t="s">
        <v>2118</v>
      </c>
      <c r="AB380" s="7" t="s">
        <v>43</v>
      </c>
      <c r="AC380" s="7"/>
      <c r="AD380" s="7"/>
      <c r="AE380" s="7"/>
      <c r="AF380" s="7"/>
      <c r="AG380" s="8">
        <f t="shared" si="5"/>
        <v>43321</v>
      </c>
    </row>
    <row r="381" spans="1:33">
      <c r="A381" s="7" t="s">
        <v>2119</v>
      </c>
      <c r="B381" s="7" t="s">
        <v>2119</v>
      </c>
      <c r="C381" s="7" t="s">
        <v>2120</v>
      </c>
      <c r="D381" s="7" t="s">
        <v>2121</v>
      </c>
      <c r="E381" s="7" t="s">
        <v>33</v>
      </c>
      <c r="F381" s="7" t="s">
        <v>34</v>
      </c>
      <c r="G381" s="7" t="s">
        <v>35</v>
      </c>
      <c r="H381" s="7"/>
      <c r="I381" s="7"/>
      <c r="J381" s="7" t="s">
        <v>64</v>
      </c>
      <c r="K381" s="7" t="s">
        <v>255</v>
      </c>
      <c r="L381" s="7" t="s">
        <v>277</v>
      </c>
      <c r="M381" s="7" t="s">
        <v>278</v>
      </c>
      <c r="N381" s="7" t="s">
        <v>33</v>
      </c>
      <c r="O381" s="7">
        <v>1</v>
      </c>
      <c r="P381" s="7" t="s">
        <v>40</v>
      </c>
      <c r="Q381" s="7">
        <v>19.99</v>
      </c>
      <c r="R381" s="7"/>
      <c r="S381" s="7">
        <v>3.99</v>
      </c>
      <c r="T381" s="7"/>
      <c r="U381" s="7"/>
      <c r="V381" s="7"/>
      <c r="W381" s="7"/>
      <c r="X381" s="7"/>
      <c r="Y381" s="7" t="s">
        <v>2122</v>
      </c>
      <c r="Z381" s="7" t="s">
        <v>69</v>
      </c>
      <c r="AA381" s="7" t="s">
        <v>2123</v>
      </c>
      <c r="AB381" s="7" t="s">
        <v>43</v>
      </c>
      <c r="AC381" s="7"/>
      <c r="AD381" s="7"/>
      <c r="AE381" s="7"/>
      <c r="AF381" s="7"/>
      <c r="AG381" s="8">
        <f t="shared" si="5"/>
        <v>43321</v>
      </c>
    </row>
    <row r="382" spans="1:33">
      <c r="A382" s="7" t="s">
        <v>2124</v>
      </c>
      <c r="B382" s="7" t="s">
        <v>2124</v>
      </c>
      <c r="C382" s="7" t="s">
        <v>2125</v>
      </c>
      <c r="D382" s="7" t="s">
        <v>2126</v>
      </c>
      <c r="E382" s="7" t="s">
        <v>99</v>
      </c>
      <c r="F382" s="7" t="s">
        <v>34</v>
      </c>
      <c r="G382" s="7" t="s">
        <v>35</v>
      </c>
      <c r="H382" s="7"/>
      <c r="I382" s="7"/>
      <c r="J382" s="7" t="s">
        <v>36</v>
      </c>
      <c r="K382" s="7" t="s">
        <v>155</v>
      </c>
      <c r="L382" s="7" t="s">
        <v>813</v>
      </c>
      <c r="M382" s="7" t="s">
        <v>814</v>
      </c>
      <c r="N382" s="7" t="s">
        <v>99</v>
      </c>
      <c r="O382" s="7">
        <v>0</v>
      </c>
      <c r="P382" s="7"/>
      <c r="Q382" s="7"/>
      <c r="R382" s="7"/>
      <c r="S382" s="7"/>
      <c r="T382" s="7"/>
      <c r="U382" s="7"/>
      <c r="V382" s="7"/>
      <c r="W382" s="7"/>
      <c r="X382" s="7"/>
      <c r="Y382" s="7" t="s">
        <v>2122</v>
      </c>
      <c r="Z382" s="7" t="s">
        <v>69</v>
      </c>
      <c r="AA382" s="7" t="s">
        <v>2123</v>
      </c>
      <c r="AB382" s="7" t="s">
        <v>43</v>
      </c>
      <c r="AC382" s="7"/>
      <c r="AD382" s="7"/>
      <c r="AE382" s="7"/>
      <c r="AF382" s="7"/>
      <c r="AG382" s="8">
        <f t="shared" si="5"/>
        <v>43321</v>
      </c>
    </row>
    <row r="383" spans="1:33">
      <c r="A383" s="7" t="s">
        <v>2127</v>
      </c>
      <c r="B383" s="7" t="s">
        <v>2127</v>
      </c>
      <c r="C383" s="7" t="s">
        <v>2128</v>
      </c>
      <c r="D383" s="7" t="s">
        <v>2129</v>
      </c>
      <c r="E383" s="7" t="s">
        <v>33</v>
      </c>
      <c r="F383" s="7" t="s">
        <v>34</v>
      </c>
      <c r="G383" s="7" t="s">
        <v>35</v>
      </c>
      <c r="H383" s="7"/>
      <c r="I383" s="7"/>
      <c r="J383" s="7" t="s">
        <v>336</v>
      </c>
      <c r="K383" s="7" t="s">
        <v>255</v>
      </c>
      <c r="L383" s="7" t="s">
        <v>427</v>
      </c>
      <c r="M383" s="7" t="s">
        <v>428</v>
      </c>
      <c r="N383" s="7" t="s">
        <v>33</v>
      </c>
      <c r="O383" s="7">
        <v>1</v>
      </c>
      <c r="P383" s="7" t="s">
        <v>40</v>
      </c>
      <c r="Q383" s="7">
        <v>19.99</v>
      </c>
      <c r="R383" s="7"/>
      <c r="S383" s="7">
        <v>2.49</v>
      </c>
      <c r="T383" s="7"/>
      <c r="U383" s="7"/>
      <c r="V383" s="7"/>
      <c r="W383" s="7"/>
      <c r="X383" s="7">
        <v>2.49</v>
      </c>
      <c r="Y383" s="7" t="s">
        <v>2130</v>
      </c>
      <c r="Z383" s="7" t="s">
        <v>1472</v>
      </c>
      <c r="AA383" s="7">
        <v>33013</v>
      </c>
      <c r="AB383" s="7" t="s">
        <v>43</v>
      </c>
      <c r="AC383" s="7" t="s">
        <v>514</v>
      </c>
      <c r="AD383" s="7"/>
      <c r="AE383" s="7"/>
      <c r="AF383" s="7"/>
      <c r="AG383" s="8">
        <f t="shared" si="5"/>
        <v>43321</v>
      </c>
    </row>
    <row r="384" spans="1:33">
      <c r="A384" s="7" t="s">
        <v>2131</v>
      </c>
      <c r="B384" s="7" t="s">
        <v>2131</v>
      </c>
      <c r="C384" s="7" t="s">
        <v>2132</v>
      </c>
      <c r="D384" s="7" t="s">
        <v>2133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336</v>
      </c>
      <c r="K384" s="7" t="s">
        <v>617</v>
      </c>
      <c r="L384" s="7" t="s">
        <v>618</v>
      </c>
      <c r="M384" s="7" t="s">
        <v>619</v>
      </c>
      <c r="N384" s="7" t="s">
        <v>33</v>
      </c>
      <c r="O384" s="7">
        <v>1</v>
      </c>
      <c r="P384" s="7" t="s">
        <v>40</v>
      </c>
      <c r="Q384" s="7">
        <v>18.99</v>
      </c>
      <c r="R384" s="7"/>
      <c r="S384" s="7">
        <v>3.48</v>
      </c>
      <c r="T384" s="7"/>
      <c r="U384" s="7"/>
      <c r="V384" s="7"/>
      <c r="W384" s="7"/>
      <c r="X384" s="7">
        <v>3.48</v>
      </c>
      <c r="Y384" s="7" t="s">
        <v>2134</v>
      </c>
      <c r="Z384" s="7" t="s">
        <v>94</v>
      </c>
      <c r="AA384" s="7" t="s">
        <v>2135</v>
      </c>
      <c r="AB384" s="7" t="s">
        <v>43</v>
      </c>
      <c r="AC384" s="7" t="s">
        <v>514</v>
      </c>
      <c r="AD384" s="7"/>
      <c r="AE384" s="7"/>
      <c r="AF384" s="7"/>
      <c r="AG384" s="8">
        <f t="shared" si="5"/>
        <v>43321</v>
      </c>
    </row>
    <row r="385" spans="1:33">
      <c r="A385" s="7" t="s">
        <v>2136</v>
      </c>
      <c r="B385" s="7" t="s">
        <v>2136</v>
      </c>
      <c r="C385" s="7" t="s">
        <v>2137</v>
      </c>
      <c r="D385" s="7" t="s">
        <v>2138</v>
      </c>
      <c r="E385" s="7" t="s">
        <v>33</v>
      </c>
      <c r="F385" s="7" t="s">
        <v>34</v>
      </c>
      <c r="G385" s="7" t="s">
        <v>35</v>
      </c>
      <c r="H385" s="7"/>
      <c r="I385" s="7"/>
      <c r="J385" s="7" t="s">
        <v>36</v>
      </c>
      <c r="K385" s="7" t="s">
        <v>617</v>
      </c>
      <c r="L385" s="7" t="s">
        <v>618</v>
      </c>
      <c r="M385" s="7" t="s">
        <v>619</v>
      </c>
      <c r="N385" s="7" t="s">
        <v>33</v>
      </c>
      <c r="O385" s="7">
        <v>1</v>
      </c>
      <c r="P385" s="7" t="s">
        <v>40</v>
      </c>
      <c r="Q385" s="7">
        <v>18.99</v>
      </c>
      <c r="R385" s="7"/>
      <c r="S385" s="7"/>
      <c r="T385" s="7"/>
      <c r="U385" s="7"/>
      <c r="V385" s="7"/>
      <c r="W385" s="7"/>
      <c r="X385" s="7"/>
      <c r="Y385" s="7" t="s">
        <v>625</v>
      </c>
      <c r="Z385" s="7" t="s">
        <v>626</v>
      </c>
      <c r="AA385" s="7">
        <v>36526</v>
      </c>
      <c r="AB385" s="7" t="s">
        <v>43</v>
      </c>
      <c r="AC385" s="7"/>
      <c r="AD385" s="7"/>
      <c r="AE385" s="7"/>
      <c r="AF385" s="7"/>
      <c r="AG385" s="8">
        <f t="shared" si="5"/>
        <v>43321</v>
      </c>
    </row>
    <row r="386" spans="1:33">
      <c r="A386" s="7" t="s">
        <v>2139</v>
      </c>
      <c r="B386" s="7" t="s">
        <v>2139</v>
      </c>
      <c r="C386" s="7" t="s">
        <v>2140</v>
      </c>
      <c r="D386" s="7" t="s">
        <v>2141</v>
      </c>
      <c r="E386" s="7" t="s">
        <v>33</v>
      </c>
      <c r="F386" s="7" t="s">
        <v>34</v>
      </c>
      <c r="G386" s="7" t="s">
        <v>35</v>
      </c>
      <c r="H386" s="7"/>
      <c r="I386" s="7"/>
      <c r="J386" s="7" t="s">
        <v>336</v>
      </c>
      <c r="K386" s="7" t="s">
        <v>131</v>
      </c>
      <c r="L386" s="7" t="s">
        <v>132</v>
      </c>
      <c r="M386" s="7" t="s">
        <v>133</v>
      </c>
      <c r="N386" s="7" t="s">
        <v>33</v>
      </c>
      <c r="O386" s="7">
        <v>1</v>
      </c>
      <c r="P386" s="7" t="s">
        <v>40</v>
      </c>
      <c r="Q386" s="7">
        <v>18.99</v>
      </c>
      <c r="R386" s="7"/>
      <c r="S386" s="7">
        <v>6.01</v>
      </c>
      <c r="T386" s="7"/>
      <c r="U386" s="7"/>
      <c r="V386" s="7"/>
      <c r="W386" s="7"/>
      <c r="X386" s="7"/>
      <c r="Y386" s="7" t="s">
        <v>2142</v>
      </c>
      <c r="Z386" s="7" t="s">
        <v>340</v>
      </c>
      <c r="AA386" s="7">
        <v>7405903</v>
      </c>
      <c r="AB386" s="7" t="s">
        <v>165</v>
      </c>
      <c r="AC386" s="7"/>
      <c r="AD386" s="7"/>
      <c r="AE386" s="7"/>
      <c r="AF386" s="7"/>
      <c r="AG386" s="8">
        <f t="shared" ref="AG386:AG449" si="6">DATEVALUE(LEFT(C386,10))</f>
        <v>43321</v>
      </c>
    </row>
    <row r="387" spans="1:33">
      <c r="A387" s="7" t="s">
        <v>2143</v>
      </c>
      <c r="B387" s="7" t="s">
        <v>2143</v>
      </c>
      <c r="C387" s="7" t="s">
        <v>2144</v>
      </c>
      <c r="D387" s="7" t="s">
        <v>2145</v>
      </c>
      <c r="E387" s="7" t="s">
        <v>33</v>
      </c>
      <c r="F387" s="7" t="s">
        <v>34</v>
      </c>
      <c r="G387" s="7" t="s">
        <v>35</v>
      </c>
      <c r="H387" s="7"/>
      <c r="I387" s="7"/>
      <c r="J387" s="7" t="s">
        <v>36</v>
      </c>
      <c r="K387" s="7" t="s">
        <v>388</v>
      </c>
      <c r="L387" s="7" t="s">
        <v>1022</v>
      </c>
      <c r="M387" s="7" t="s">
        <v>1023</v>
      </c>
      <c r="N387" s="7" t="s">
        <v>33</v>
      </c>
      <c r="O387" s="7">
        <v>1</v>
      </c>
      <c r="P387" s="7" t="s">
        <v>40</v>
      </c>
      <c r="Q387" s="7">
        <v>19.38</v>
      </c>
      <c r="R387" s="7"/>
      <c r="S387" s="7"/>
      <c r="T387" s="7"/>
      <c r="U387" s="7"/>
      <c r="V387" s="7"/>
      <c r="W387" s="7"/>
      <c r="X387" s="7"/>
      <c r="Y387" s="7" t="s">
        <v>2146</v>
      </c>
      <c r="Z387" s="7" t="s">
        <v>1350</v>
      </c>
      <c r="AA387" s="7" t="s">
        <v>2147</v>
      </c>
      <c r="AB387" s="7" t="s">
        <v>43</v>
      </c>
      <c r="AC387" s="7"/>
      <c r="AD387" s="7"/>
      <c r="AE387" s="7"/>
      <c r="AF387" s="7"/>
      <c r="AG387" s="8">
        <f t="shared" si="6"/>
        <v>43321</v>
      </c>
    </row>
    <row r="388" spans="1:33">
      <c r="A388" s="7" t="s">
        <v>2148</v>
      </c>
      <c r="B388" s="7" t="s">
        <v>2148</v>
      </c>
      <c r="C388" s="7" t="s">
        <v>2149</v>
      </c>
      <c r="D388" s="7" t="s">
        <v>2150</v>
      </c>
      <c r="E388" s="7" t="s">
        <v>33</v>
      </c>
      <c r="F388" s="7" t="s">
        <v>34</v>
      </c>
      <c r="G388" s="7" t="s">
        <v>35</v>
      </c>
      <c r="H388" s="7"/>
      <c r="I388" s="7"/>
      <c r="J388" s="7" t="s">
        <v>36</v>
      </c>
      <c r="K388" s="7" t="s">
        <v>90</v>
      </c>
      <c r="L388" s="7" t="s">
        <v>91</v>
      </c>
      <c r="M388" s="7" t="s">
        <v>92</v>
      </c>
      <c r="N388" s="7" t="s">
        <v>33</v>
      </c>
      <c r="O388" s="7">
        <v>1</v>
      </c>
      <c r="P388" s="7" t="s">
        <v>40</v>
      </c>
      <c r="Q388" s="7">
        <v>19.99</v>
      </c>
      <c r="R388" s="7"/>
      <c r="S388" s="7"/>
      <c r="T388" s="7"/>
      <c r="U388" s="7"/>
      <c r="V388" s="7"/>
      <c r="W388" s="7"/>
      <c r="X388" s="7"/>
      <c r="Y388" s="7" t="s">
        <v>1625</v>
      </c>
      <c r="Z388" s="7" t="s">
        <v>94</v>
      </c>
      <c r="AA388" s="7" t="s">
        <v>2151</v>
      </c>
      <c r="AB388" s="7" t="s">
        <v>43</v>
      </c>
      <c r="AC388" s="7"/>
      <c r="AD388" s="7"/>
      <c r="AE388" s="7"/>
      <c r="AF388" s="7"/>
      <c r="AG388" s="8">
        <f t="shared" si="6"/>
        <v>43321</v>
      </c>
    </row>
    <row r="389" spans="1:33">
      <c r="A389" s="7" t="s">
        <v>2152</v>
      </c>
      <c r="B389" s="7" t="s">
        <v>2152</v>
      </c>
      <c r="C389" s="7" t="s">
        <v>2153</v>
      </c>
      <c r="D389" s="7" t="s">
        <v>2154</v>
      </c>
      <c r="E389" s="7" t="s">
        <v>33</v>
      </c>
      <c r="F389" s="7" t="s">
        <v>34</v>
      </c>
      <c r="G389" s="7" t="s">
        <v>35</v>
      </c>
      <c r="H389" s="7"/>
      <c r="I389" s="7"/>
      <c r="J389" s="7" t="s">
        <v>36</v>
      </c>
      <c r="K389" s="7" t="s">
        <v>176</v>
      </c>
      <c r="L389" s="7" t="s">
        <v>177</v>
      </c>
      <c r="M389" s="7" t="s">
        <v>178</v>
      </c>
      <c r="N389" s="7" t="s">
        <v>33</v>
      </c>
      <c r="O389" s="7">
        <v>1</v>
      </c>
      <c r="P389" s="7" t="s">
        <v>40</v>
      </c>
      <c r="Q389" s="7">
        <v>19.99</v>
      </c>
      <c r="R389" s="7"/>
      <c r="S389" s="7"/>
      <c r="T389" s="7"/>
      <c r="U389" s="7"/>
      <c r="V389" s="7"/>
      <c r="W389" s="7"/>
      <c r="X389" s="7"/>
      <c r="Y389" s="7" t="s">
        <v>356</v>
      </c>
      <c r="Z389" s="7" t="s">
        <v>357</v>
      </c>
      <c r="AA389" s="7" t="s">
        <v>358</v>
      </c>
      <c r="AB389" s="7" t="s">
        <v>43</v>
      </c>
      <c r="AC389" s="7"/>
      <c r="AD389" s="7"/>
      <c r="AE389" s="7"/>
      <c r="AF389" s="7"/>
      <c r="AG389" s="8">
        <f t="shared" si="6"/>
        <v>43321</v>
      </c>
    </row>
    <row r="390" spans="1:33">
      <c r="A390" s="7" t="s">
        <v>2155</v>
      </c>
      <c r="B390" s="7" t="s">
        <v>2155</v>
      </c>
      <c r="C390" s="7" t="s">
        <v>2156</v>
      </c>
      <c r="D390" s="7" t="s">
        <v>2157</v>
      </c>
      <c r="E390" s="7" t="s">
        <v>33</v>
      </c>
      <c r="F390" s="7" t="s">
        <v>34</v>
      </c>
      <c r="G390" s="7" t="s">
        <v>35</v>
      </c>
      <c r="H390" s="7"/>
      <c r="I390" s="7"/>
      <c r="J390" s="7" t="s">
        <v>36</v>
      </c>
      <c r="K390" s="7" t="s">
        <v>456</v>
      </c>
      <c r="L390" s="7" t="s">
        <v>457</v>
      </c>
      <c r="M390" s="7" t="s">
        <v>458</v>
      </c>
      <c r="N390" s="7" t="s">
        <v>33</v>
      </c>
      <c r="O390" s="7">
        <v>1</v>
      </c>
      <c r="P390" s="7" t="s">
        <v>40</v>
      </c>
      <c r="Q390" s="7">
        <v>17.99</v>
      </c>
      <c r="R390" s="7"/>
      <c r="S390" s="7"/>
      <c r="T390" s="7"/>
      <c r="U390" s="7"/>
      <c r="V390" s="7"/>
      <c r="W390" s="7"/>
      <c r="X390" s="7"/>
      <c r="Y390" s="7" t="s">
        <v>2158</v>
      </c>
      <c r="Z390" s="7" t="s">
        <v>59</v>
      </c>
      <c r="AA390" s="7">
        <v>92501</v>
      </c>
      <c r="AB390" s="7" t="s">
        <v>43</v>
      </c>
      <c r="AC390" s="7"/>
      <c r="AD390" s="7"/>
      <c r="AE390" s="7"/>
      <c r="AF390" s="7"/>
      <c r="AG390" s="8">
        <f t="shared" si="6"/>
        <v>43321</v>
      </c>
    </row>
    <row r="391" spans="1:33">
      <c r="A391" s="7" t="s">
        <v>2159</v>
      </c>
      <c r="B391" s="7" t="s">
        <v>2159</v>
      </c>
      <c r="C391" s="7" t="s">
        <v>2160</v>
      </c>
      <c r="D391" s="7" t="s">
        <v>2161</v>
      </c>
      <c r="E391" s="7" t="s">
        <v>33</v>
      </c>
      <c r="F391" s="7" t="s">
        <v>34</v>
      </c>
      <c r="G391" s="7" t="s">
        <v>35</v>
      </c>
      <c r="H391" s="7"/>
      <c r="I391" s="7"/>
      <c r="J391" s="7" t="s">
        <v>36</v>
      </c>
      <c r="K391" s="7" t="s">
        <v>497</v>
      </c>
      <c r="L391" s="7" t="s">
        <v>1741</v>
      </c>
      <c r="M391" s="7" t="s">
        <v>1742</v>
      </c>
      <c r="N391" s="7" t="s">
        <v>33</v>
      </c>
      <c r="O391" s="7">
        <v>1</v>
      </c>
      <c r="P391" s="7" t="s">
        <v>40</v>
      </c>
      <c r="Q391" s="7">
        <v>19.99</v>
      </c>
      <c r="R391" s="7"/>
      <c r="S391" s="7"/>
      <c r="T391" s="7"/>
      <c r="U391" s="7"/>
      <c r="V391" s="7"/>
      <c r="W391" s="7"/>
      <c r="X391" s="7"/>
      <c r="Y391" s="7" t="s">
        <v>791</v>
      </c>
      <c r="Z391" s="7" t="s">
        <v>59</v>
      </c>
      <c r="AA391" s="7" t="s">
        <v>2162</v>
      </c>
      <c r="AB391" s="7" t="s">
        <v>43</v>
      </c>
      <c r="AC391" s="7"/>
      <c r="AD391" s="7"/>
      <c r="AE391" s="7"/>
      <c r="AF391" s="7"/>
      <c r="AG391" s="8">
        <f t="shared" si="6"/>
        <v>43321</v>
      </c>
    </row>
    <row r="392" spans="1:33">
      <c r="A392" s="7" t="s">
        <v>2163</v>
      </c>
      <c r="B392" s="7" t="s">
        <v>2163</v>
      </c>
      <c r="C392" s="7" t="s">
        <v>2164</v>
      </c>
      <c r="D392" s="7" t="s">
        <v>2165</v>
      </c>
      <c r="E392" s="7" t="s">
        <v>33</v>
      </c>
      <c r="F392" s="7" t="s">
        <v>34</v>
      </c>
      <c r="G392" s="7" t="s">
        <v>35</v>
      </c>
      <c r="H392" s="7"/>
      <c r="I392" s="7"/>
      <c r="J392" s="7" t="s">
        <v>36</v>
      </c>
      <c r="K392" s="7" t="s">
        <v>388</v>
      </c>
      <c r="L392" s="7" t="s">
        <v>1998</v>
      </c>
      <c r="M392" s="7" t="s">
        <v>1999</v>
      </c>
      <c r="N392" s="7" t="s">
        <v>33</v>
      </c>
      <c r="O392" s="7">
        <v>1</v>
      </c>
      <c r="P392" s="7" t="s">
        <v>40</v>
      </c>
      <c r="Q392" s="7">
        <v>19.38</v>
      </c>
      <c r="R392" s="7"/>
      <c r="S392" s="7"/>
      <c r="T392" s="7"/>
      <c r="U392" s="7"/>
      <c r="V392" s="7"/>
      <c r="W392" s="7"/>
      <c r="X392" s="7"/>
      <c r="Y392" s="7" t="s">
        <v>2166</v>
      </c>
      <c r="Z392" s="7" t="s">
        <v>59</v>
      </c>
      <c r="AA392" s="7" t="s">
        <v>2167</v>
      </c>
      <c r="AB392" s="7" t="s">
        <v>43</v>
      </c>
      <c r="AC392" s="7"/>
      <c r="AD392" s="7"/>
      <c r="AE392" s="7"/>
      <c r="AF392" s="7"/>
      <c r="AG392" s="8">
        <f t="shared" si="6"/>
        <v>43321</v>
      </c>
    </row>
    <row r="393" spans="1:33">
      <c r="A393" s="7" t="s">
        <v>2168</v>
      </c>
      <c r="B393" s="7" t="s">
        <v>2168</v>
      </c>
      <c r="C393" s="7" t="s">
        <v>2169</v>
      </c>
      <c r="D393" s="7" t="s">
        <v>2170</v>
      </c>
      <c r="E393" s="7" t="s">
        <v>33</v>
      </c>
      <c r="F393" s="7" t="s">
        <v>34</v>
      </c>
      <c r="G393" s="7" t="s">
        <v>35</v>
      </c>
      <c r="H393" s="7"/>
      <c r="I393" s="7"/>
      <c r="J393" s="7" t="s">
        <v>36</v>
      </c>
      <c r="K393" s="7" t="s">
        <v>1079</v>
      </c>
      <c r="L393" s="7" t="s">
        <v>1080</v>
      </c>
      <c r="M393" s="7" t="s">
        <v>1081</v>
      </c>
      <c r="N393" s="7" t="s">
        <v>33</v>
      </c>
      <c r="O393" s="7">
        <v>1</v>
      </c>
      <c r="P393" s="7" t="s">
        <v>40</v>
      </c>
      <c r="Q393" s="7">
        <v>12.99</v>
      </c>
      <c r="R393" s="7"/>
      <c r="S393" s="7"/>
      <c r="T393" s="7"/>
      <c r="U393" s="7"/>
      <c r="V393" s="7"/>
      <c r="W393" s="7"/>
      <c r="X393" s="7"/>
      <c r="Y393" s="7" t="s">
        <v>2171</v>
      </c>
      <c r="Z393" s="7" t="s">
        <v>1350</v>
      </c>
      <c r="AA393" s="7" t="s">
        <v>2172</v>
      </c>
      <c r="AB393" s="7" t="s">
        <v>43</v>
      </c>
      <c r="AC393" s="7"/>
      <c r="AD393" s="7"/>
      <c r="AE393" s="7"/>
      <c r="AF393" s="7"/>
      <c r="AG393" s="8">
        <f t="shared" si="6"/>
        <v>43321</v>
      </c>
    </row>
    <row r="394" spans="1:33">
      <c r="A394" s="7" t="s">
        <v>2173</v>
      </c>
      <c r="B394" s="7" t="s">
        <v>2173</v>
      </c>
      <c r="C394" s="7" t="s">
        <v>2174</v>
      </c>
      <c r="D394" s="7" t="s">
        <v>2175</v>
      </c>
      <c r="E394" s="7" t="s">
        <v>33</v>
      </c>
      <c r="F394" s="7" t="s">
        <v>34</v>
      </c>
      <c r="G394" s="7" t="s">
        <v>35</v>
      </c>
      <c r="H394" s="7"/>
      <c r="I394" s="7"/>
      <c r="J394" s="7" t="s">
        <v>36</v>
      </c>
      <c r="K394" s="7" t="s">
        <v>965</v>
      </c>
      <c r="L394" s="7" t="s">
        <v>966</v>
      </c>
      <c r="M394" s="7" t="s">
        <v>967</v>
      </c>
      <c r="N394" s="7" t="s">
        <v>33</v>
      </c>
      <c r="O394" s="7">
        <v>1</v>
      </c>
      <c r="P394" s="7" t="s">
        <v>40</v>
      </c>
      <c r="Q394" s="7">
        <v>17.99</v>
      </c>
      <c r="R394" s="7"/>
      <c r="S394" s="7"/>
      <c r="T394" s="7"/>
      <c r="U394" s="7"/>
      <c r="V394" s="7"/>
      <c r="W394" s="7"/>
      <c r="X394" s="7"/>
      <c r="Y394" s="7" t="s">
        <v>2176</v>
      </c>
      <c r="Z394" s="7" t="s">
        <v>219</v>
      </c>
      <c r="AA394" s="7">
        <v>86004</v>
      </c>
      <c r="AB394" s="7" t="s">
        <v>43</v>
      </c>
      <c r="AC394" s="7"/>
      <c r="AD394" s="7"/>
      <c r="AE394" s="7"/>
      <c r="AF394" s="7"/>
      <c r="AG394" s="8">
        <f t="shared" si="6"/>
        <v>43321</v>
      </c>
    </row>
    <row r="395" spans="1:33">
      <c r="A395" s="7" t="s">
        <v>2177</v>
      </c>
      <c r="B395" s="7" t="s">
        <v>2177</v>
      </c>
      <c r="C395" s="7" t="s">
        <v>2178</v>
      </c>
      <c r="D395" s="7" t="s">
        <v>2179</v>
      </c>
      <c r="E395" s="7" t="s">
        <v>33</v>
      </c>
      <c r="F395" s="7" t="s">
        <v>34</v>
      </c>
      <c r="G395" s="7" t="s">
        <v>35</v>
      </c>
      <c r="H395" s="7"/>
      <c r="I395" s="7"/>
      <c r="J395" s="7" t="s">
        <v>36</v>
      </c>
      <c r="K395" s="7" t="s">
        <v>497</v>
      </c>
      <c r="L395" s="7" t="s">
        <v>1741</v>
      </c>
      <c r="M395" s="7" t="s">
        <v>1742</v>
      </c>
      <c r="N395" s="7" t="s">
        <v>33</v>
      </c>
      <c r="O395" s="7">
        <v>1</v>
      </c>
      <c r="P395" s="7" t="s">
        <v>40</v>
      </c>
      <c r="Q395" s="7">
        <v>19.99</v>
      </c>
      <c r="R395" s="7"/>
      <c r="S395" s="7"/>
      <c r="T395" s="7"/>
      <c r="U395" s="7"/>
      <c r="V395" s="7"/>
      <c r="W395" s="7"/>
      <c r="X395" s="7"/>
      <c r="Y395" s="7" t="s">
        <v>2180</v>
      </c>
      <c r="Z395" s="7" t="s">
        <v>51</v>
      </c>
      <c r="AA395" s="7" t="s">
        <v>2181</v>
      </c>
      <c r="AB395" s="7" t="s">
        <v>43</v>
      </c>
      <c r="AC395" s="7"/>
      <c r="AD395" s="7"/>
      <c r="AE395" s="7"/>
      <c r="AF395" s="7"/>
      <c r="AG395" s="8">
        <f t="shared" si="6"/>
        <v>43321</v>
      </c>
    </row>
    <row r="396" spans="1:33">
      <c r="A396" s="7" t="s">
        <v>2182</v>
      </c>
      <c r="B396" s="7" t="s">
        <v>2182</v>
      </c>
      <c r="C396" s="7" t="s">
        <v>2183</v>
      </c>
      <c r="D396" s="7" t="s">
        <v>2184</v>
      </c>
      <c r="E396" s="7" t="s">
        <v>33</v>
      </c>
      <c r="F396" s="7" t="s">
        <v>34</v>
      </c>
      <c r="G396" s="7" t="s">
        <v>35</v>
      </c>
      <c r="H396" s="7"/>
      <c r="I396" s="7"/>
      <c r="J396" s="7" t="s">
        <v>36</v>
      </c>
      <c r="K396" s="7" t="s">
        <v>456</v>
      </c>
      <c r="L396" s="7" t="s">
        <v>959</v>
      </c>
      <c r="M396" s="7" t="s">
        <v>960</v>
      </c>
      <c r="N396" s="7" t="s">
        <v>33</v>
      </c>
      <c r="O396" s="7">
        <v>1</v>
      </c>
      <c r="P396" s="7" t="s">
        <v>40</v>
      </c>
      <c r="Q396" s="7">
        <v>19.99</v>
      </c>
      <c r="R396" s="7"/>
      <c r="S396" s="7"/>
      <c r="T396" s="7"/>
      <c r="U396" s="7"/>
      <c r="V396" s="7"/>
      <c r="W396" s="7"/>
      <c r="X396" s="7"/>
      <c r="Y396" s="7" t="s">
        <v>2185</v>
      </c>
      <c r="Z396" s="7" t="s">
        <v>194</v>
      </c>
      <c r="AA396" s="7" t="s">
        <v>2186</v>
      </c>
      <c r="AB396" s="7" t="s">
        <v>43</v>
      </c>
      <c r="AC396" s="7"/>
      <c r="AD396" s="7"/>
      <c r="AE396" s="7"/>
      <c r="AF396" s="7"/>
      <c r="AG396" s="8">
        <f t="shared" si="6"/>
        <v>43321</v>
      </c>
    </row>
    <row r="397" spans="1:33">
      <c r="A397" s="7" t="s">
        <v>2187</v>
      </c>
      <c r="B397" s="7" t="s">
        <v>2187</v>
      </c>
      <c r="C397" s="7" t="s">
        <v>2188</v>
      </c>
      <c r="D397" s="7" t="s">
        <v>2189</v>
      </c>
      <c r="E397" s="7" t="s">
        <v>33</v>
      </c>
      <c r="F397" s="7" t="s">
        <v>34</v>
      </c>
      <c r="G397" s="7" t="s">
        <v>35</v>
      </c>
      <c r="H397" s="7"/>
      <c r="I397" s="7"/>
      <c r="J397" s="7" t="s">
        <v>36</v>
      </c>
      <c r="K397" s="7" t="s">
        <v>497</v>
      </c>
      <c r="L397" s="7" t="s">
        <v>1741</v>
      </c>
      <c r="M397" s="7" t="s">
        <v>1742</v>
      </c>
      <c r="N397" s="7" t="s">
        <v>33</v>
      </c>
      <c r="O397" s="7">
        <v>1</v>
      </c>
      <c r="P397" s="7" t="s">
        <v>40</v>
      </c>
      <c r="Q397" s="7">
        <v>19.99</v>
      </c>
      <c r="R397" s="7"/>
      <c r="S397" s="7"/>
      <c r="T397" s="7"/>
      <c r="U397" s="7"/>
      <c r="V397" s="7"/>
      <c r="W397" s="7"/>
      <c r="X397" s="7"/>
      <c r="Y397" s="7" t="s">
        <v>2190</v>
      </c>
      <c r="Z397" s="7" t="s">
        <v>1156</v>
      </c>
      <c r="AA397" s="7">
        <v>60652</v>
      </c>
      <c r="AB397" s="7" t="s">
        <v>43</v>
      </c>
      <c r="AC397" s="7"/>
      <c r="AD397" s="7"/>
      <c r="AE397" s="7"/>
      <c r="AF397" s="7"/>
      <c r="AG397" s="8">
        <f t="shared" si="6"/>
        <v>43321</v>
      </c>
    </row>
    <row r="398" spans="1:33">
      <c r="A398" s="7" t="s">
        <v>2191</v>
      </c>
      <c r="B398" s="7" t="s">
        <v>2191</v>
      </c>
      <c r="C398" s="7" t="s">
        <v>2192</v>
      </c>
      <c r="D398" s="7" t="s">
        <v>2193</v>
      </c>
      <c r="E398" s="7" t="s">
        <v>33</v>
      </c>
      <c r="F398" s="7" t="s">
        <v>34</v>
      </c>
      <c r="G398" s="7" t="s">
        <v>35</v>
      </c>
      <c r="H398" s="7"/>
      <c r="I398" s="7"/>
      <c r="J398" s="7" t="s">
        <v>36</v>
      </c>
      <c r="K398" s="7" t="s">
        <v>90</v>
      </c>
      <c r="L398" s="7" t="s">
        <v>140</v>
      </c>
      <c r="M398" s="7" t="s">
        <v>141</v>
      </c>
      <c r="N398" s="7" t="s">
        <v>33</v>
      </c>
      <c r="O398" s="7">
        <v>1</v>
      </c>
      <c r="P398" s="7" t="s">
        <v>40</v>
      </c>
      <c r="Q398" s="7">
        <v>19.99</v>
      </c>
      <c r="R398" s="7"/>
      <c r="S398" s="7"/>
      <c r="T398" s="7"/>
      <c r="U398" s="7"/>
      <c r="V398" s="7"/>
      <c r="W398" s="7"/>
      <c r="X398" s="7"/>
      <c r="Y398" s="7" t="s">
        <v>2194</v>
      </c>
      <c r="Z398" s="7" t="s">
        <v>143</v>
      </c>
      <c r="AA398" s="7">
        <v>27529</v>
      </c>
      <c r="AB398" s="7" t="s">
        <v>43</v>
      </c>
      <c r="AC398" s="7"/>
      <c r="AD398" s="7"/>
      <c r="AE398" s="7"/>
      <c r="AF398" s="7"/>
      <c r="AG398" s="8">
        <f t="shared" si="6"/>
        <v>43321</v>
      </c>
    </row>
    <row r="399" spans="1:33">
      <c r="A399" s="7" t="s">
        <v>2195</v>
      </c>
      <c r="B399" s="7" t="s">
        <v>2195</v>
      </c>
      <c r="C399" s="7" t="s">
        <v>2196</v>
      </c>
      <c r="D399" s="7" t="s">
        <v>2197</v>
      </c>
      <c r="E399" s="7" t="s">
        <v>33</v>
      </c>
      <c r="F399" s="7" t="s">
        <v>34</v>
      </c>
      <c r="G399" s="7" t="s">
        <v>35</v>
      </c>
      <c r="H399" s="7"/>
      <c r="I399" s="7"/>
      <c r="J399" s="7" t="s">
        <v>36</v>
      </c>
      <c r="K399" s="7" t="s">
        <v>255</v>
      </c>
      <c r="L399" s="7" t="s">
        <v>1647</v>
      </c>
      <c r="M399" s="7" t="s">
        <v>1648</v>
      </c>
      <c r="N399" s="7" t="s">
        <v>33</v>
      </c>
      <c r="O399" s="7">
        <v>1</v>
      </c>
      <c r="P399" s="7" t="s">
        <v>40</v>
      </c>
      <c r="Q399" s="7">
        <v>19.99</v>
      </c>
      <c r="R399" s="7"/>
      <c r="S399" s="7"/>
      <c r="T399" s="7"/>
      <c r="U399" s="7"/>
      <c r="V399" s="7"/>
      <c r="W399" s="7"/>
      <c r="X399" s="7"/>
      <c r="Y399" s="7" t="s">
        <v>410</v>
      </c>
      <c r="Z399" s="7" t="s">
        <v>85</v>
      </c>
      <c r="AA399" s="7" t="s">
        <v>2198</v>
      </c>
      <c r="AB399" s="7" t="s">
        <v>43</v>
      </c>
      <c r="AC399" s="7"/>
      <c r="AD399" s="7"/>
      <c r="AE399" s="7"/>
      <c r="AF399" s="7"/>
      <c r="AG399" s="8">
        <f t="shared" si="6"/>
        <v>43321</v>
      </c>
    </row>
    <row r="400" spans="1:33">
      <c r="A400" s="7" t="s">
        <v>2199</v>
      </c>
      <c r="B400" s="7" t="s">
        <v>2199</v>
      </c>
      <c r="C400" s="7" t="s">
        <v>2200</v>
      </c>
      <c r="D400" s="7" t="s">
        <v>2201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36</v>
      </c>
      <c r="K400" s="7" t="s">
        <v>90</v>
      </c>
      <c r="L400" s="7" t="s">
        <v>284</v>
      </c>
      <c r="M400" s="7" t="s">
        <v>285</v>
      </c>
      <c r="N400" s="7" t="s">
        <v>33</v>
      </c>
      <c r="O400" s="7">
        <v>1</v>
      </c>
      <c r="P400" s="7" t="s">
        <v>40</v>
      </c>
      <c r="Q400" s="7">
        <v>19.99</v>
      </c>
      <c r="R400" s="7"/>
      <c r="S400" s="7"/>
      <c r="T400" s="7"/>
      <c r="U400" s="7"/>
      <c r="V400" s="7"/>
      <c r="W400" s="7"/>
      <c r="X400" s="7"/>
      <c r="Y400" s="7" t="s">
        <v>1254</v>
      </c>
      <c r="Z400" s="7" t="s">
        <v>174</v>
      </c>
      <c r="AA400" s="7" t="s">
        <v>2202</v>
      </c>
      <c r="AB400" s="7" t="s">
        <v>43</v>
      </c>
      <c r="AC400" s="7"/>
      <c r="AD400" s="7"/>
      <c r="AE400" s="7"/>
      <c r="AF400" s="7"/>
      <c r="AG400" s="8">
        <f t="shared" si="6"/>
        <v>43321</v>
      </c>
    </row>
    <row r="401" spans="1:33">
      <c r="A401" s="7" t="s">
        <v>2203</v>
      </c>
      <c r="B401" s="7"/>
      <c r="C401" s="7" t="s">
        <v>2204</v>
      </c>
      <c r="D401" s="7" t="s">
        <v>2205</v>
      </c>
      <c r="E401" s="7" t="s">
        <v>33</v>
      </c>
      <c r="F401" s="7" t="s">
        <v>2206</v>
      </c>
      <c r="G401" s="7" t="s">
        <v>35</v>
      </c>
      <c r="H401" s="7"/>
      <c r="I401" s="7"/>
      <c r="J401" s="7" t="s">
        <v>336</v>
      </c>
      <c r="K401" s="7" t="s">
        <v>2207</v>
      </c>
      <c r="L401" s="7" t="s">
        <v>2208</v>
      </c>
      <c r="M401" s="7" t="s">
        <v>2209</v>
      </c>
      <c r="N401" s="7" t="s">
        <v>33</v>
      </c>
      <c r="O401" s="7">
        <v>1</v>
      </c>
      <c r="P401" s="7" t="s">
        <v>40</v>
      </c>
      <c r="Q401" s="7">
        <v>16.99</v>
      </c>
      <c r="R401" s="7"/>
      <c r="S401" s="7">
        <v>0</v>
      </c>
      <c r="T401" s="7"/>
      <c r="U401" s="7">
        <v>0</v>
      </c>
      <c r="V401" s="7"/>
      <c r="W401" s="7"/>
      <c r="X401" s="7"/>
      <c r="Y401" s="7" t="s">
        <v>383</v>
      </c>
      <c r="Z401" s="7" t="s">
        <v>227</v>
      </c>
      <c r="AA401" s="7" t="s">
        <v>2210</v>
      </c>
      <c r="AB401" s="7" t="s">
        <v>43</v>
      </c>
      <c r="AC401" s="7"/>
      <c r="AD401" s="7"/>
      <c r="AE401" s="7"/>
      <c r="AF401" s="7"/>
      <c r="AG401" s="8">
        <f t="shared" si="6"/>
        <v>43321</v>
      </c>
    </row>
    <row r="402" spans="1:33">
      <c r="A402" s="7" t="s">
        <v>2211</v>
      </c>
      <c r="B402" s="7" t="s">
        <v>2211</v>
      </c>
      <c r="C402" s="7" t="s">
        <v>2212</v>
      </c>
      <c r="D402" s="7" t="s">
        <v>2213</v>
      </c>
      <c r="E402" s="7" t="s">
        <v>33</v>
      </c>
      <c r="F402" s="7" t="s">
        <v>34</v>
      </c>
      <c r="G402" s="7" t="s">
        <v>35</v>
      </c>
      <c r="H402" s="7"/>
      <c r="I402" s="7"/>
      <c r="J402" s="7" t="s">
        <v>64</v>
      </c>
      <c r="K402" s="7" t="s">
        <v>176</v>
      </c>
      <c r="L402" s="7" t="s">
        <v>2214</v>
      </c>
      <c r="M402" s="7" t="s">
        <v>2215</v>
      </c>
      <c r="N402" s="7" t="s">
        <v>33</v>
      </c>
      <c r="O402" s="7">
        <v>1</v>
      </c>
      <c r="P402" s="7" t="s">
        <v>40</v>
      </c>
      <c r="Q402" s="7">
        <v>19.38</v>
      </c>
      <c r="R402" s="7"/>
      <c r="S402" s="7">
        <v>3.99</v>
      </c>
      <c r="T402" s="7"/>
      <c r="U402" s="7"/>
      <c r="V402" s="7"/>
      <c r="W402" s="7"/>
      <c r="X402" s="7"/>
      <c r="Y402" s="7" t="s">
        <v>2216</v>
      </c>
      <c r="Z402" s="7" t="s">
        <v>2117</v>
      </c>
      <c r="AA402" s="7">
        <v>25419</v>
      </c>
      <c r="AB402" s="7" t="s">
        <v>43</v>
      </c>
      <c r="AC402" s="7"/>
      <c r="AD402" s="7"/>
      <c r="AE402" s="7"/>
      <c r="AF402" s="7"/>
      <c r="AG402" s="8">
        <f t="shared" si="6"/>
        <v>43321</v>
      </c>
    </row>
    <row r="403" spans="1:33">
      <c r="A403" s="7" t="s">
        <v>2217</v>
      </c>
      <c r="B403" s="7" t="s">
        <v>2217</v>
      </c>
      <c r="C403" s="7" t="s">
        <v>2218</v>
      </c>
      <c r="D403" s="7" t="s">
        <v>2219</v>
      </c>
      <c r="E403" s="7" t="s">
        <v>33</v>
      </c>
      <c r="F403" s="7" t="s">
        <v>34</v>
      </c>
      <c r="G403" s="7" t="s">
        <v>35</v>
      </c>
      <c r="H403" s="7"/>
      <c r="I403" s="7"/>
      <c r="J403" s="7" t="s">
        <v>64</v>
      </c>
      <c r="K403" s="7" t="s">
        <v>90</v>
      </c>
      <c r="L403" s="7" t="s">
        <v>191</v>
      </c>
      <c r="M403" s="7" t="s">
        <v>192</v>
      </c>
      <c r="N403" s="7" t="s">
        <v>33</v>
      </c>
      <c r="O403" s="7">
        <v>1</v>
      </c>
      <c r="P403" s="7" t="s">
        <v>40</v>
      </c>
      <c r="Q403" s="7">
        <v>19.99</v>
      </c>
      <c r="R403" s="7">
        <v>1.7</v>
      </c>
      <c r="S403" s="7">
        <v>3.99</v>
      </c>
      <c r="T403" s="7">
        <v>0.34</v>
      </c>
      <c r="U403" s="7"/>
      <c r="V403" s="7"/>
      <c r="W403" s="7"/>
      <c r="X403" s="7"/>
      <c r="Y403" s="7" t="s">
        <v>2220</v>
      </c>
      <c r="Z403" s="7" t="s">
        <v>842</v>
      </c>
      <c r="AA403" s="7" t="s">
        <v>2221</v>
      </c>
      <c r="AB403" s="7" t="s">
        <v>43</v>
      </c>
      <c r="AC403" s="7"/>
      <c r="AD403" s="7"/>
      <c r="AE403" s="7"/>
      <c r="AF403" s="7"/>
      <c r="AG403" s="8">
        <f t="shared" si="6"/>
        <v>43321</v>
      </c>
    </row>
    <row r="404" spans="1:33">
      <c r="A404" s="7" t="s">
        <v>2222</v>
      </c>
      <c r="B404" s="7" t="s">
        <v>2222</v>
      </c>
      <c r="C404" s="7" t="s">
        <v>2223</v>
      </c>
      <c r="D404" s="7" t="s">
        <v>2224</v>
      </c>
      <c r="E404" s="7" t="s">
        <v>33</v>
      </c>
      <c r="F404" s="7" t="s">
        <v>34</v>
      </c>
      <c r="G404" s="7" t="s">
        <v>35</v>
      </c>
      <c r="H404" s="7"/>
      <c r="I404" s="7"/>
      <c r="J404" s="7" t="s">
        <v>36</v>
      </c>
      <c r="K404" s="7" t="s">
        <v>125</v>
      </c>
      <c r="L404" s="7" t="s">
        <v>126</v>
      </c>
      <c r="M404" s="7" t="s">
        <v>127</v>
      </c>
      <c r="N404" s="7" t="s">
        <v>33</v>
      </c>
      <c r="O404" s="7">
        <v>1</v>
      </c>
      <c r="P404" s="7" t="s">
        <v>40</v>
      </c>
      <c r="Q404" s="7">
        <v>18.99</v>
      </c>
      <c r="R404" s="7"/>
      <c r="S404" s="7"/>
      <c r="T404" s="7"/>
      <c r="U404" s="7"/>
      <c r="V404" s="7"/>
      <c r="W404" s="7"/>
      <c r="X404" s="7"/>
      <c r="Y404" s="7" t="s">
        <v>2225</v>
      </c>
      <c r="Z404" s="7" t="s">
        <v>761</v>
      </c>
      <c r="AA404" s="7" t="s">
        <v>2226</v>
      </c>
      <c r="AB404" s="7" t="s">
        <v>43</v>
      </c>
      <c r="AC404" s="7"/>
      <c r="AD404" s="7"/>
      <c r="AE404" s="7"/>
      <c r="AF404" s="7"/>
      <c r="AG404" s="8">
        <f t="shared" si="6"/>
        <v>43321</v>
      </c>
    </row>
    <row r="405" spans="1:33">
      <c r="A405" s="7" t="s">
        <v>2227</v>
      </c>
      <c r="B405" s="7" t="s">
        <v>2227</v>
      </c>
      <c r="C405" s="7" t="s">
        <v>2228</v>
      </c>
      <c r="D405" s="7" t="s">
        <v>2229</v>
      </c>
      <c r="E405" s="7" t="s">
        <v>33</v>
      </c>
      <c r="F405" s="7" t="s">
        <v>34</v>
      </c>
      <c r="G405" s="7" t="s">
        <v>35</v>
      </c>
      <c r="H405" s="7"/>
      <c r="I405" s="7"/>
      <c r="J405" s="7" t="s">
        <v>36</v>
      </c>
      <c r="K405" s="7" t="s">
        <v>65</v>
      </c>
      <c r="L405" s="7" t="s">
        <v>771</v>
      </c>
      <c r="M405" s="7" t="s">
        <v>772</v>
      </c>
      <c r="N405" s="7" t="s">
        <v>33</v>
      </c>
      <c r="O405" s="7">
        <v>1</v>
      </c>
      <c r="P405" s="7" t="s">
        <v>40</v>
      </c>
      <c r="Q405" s="7">
        <v>19.99</v>
      </c>
      <c r="R405" s="7"/>
      <c r="S405" s="7"/>
      <c r="T405" s="7"/>
      <c r="U405" s="7"/>
      <c r="V405" s="7"/>
      <c r="W405" s="7"/>
      <c r="X405" s="7"/>
      <c r="Y405" s="7" t="s">
        <v>738</v>
      </c>
      <c r="Z405" s="7" t="s">
        <v>135</v>
      </c>
      <c r="AA405" s="7" t="s">
        <v>2230</v>
      </c>
      <c r="AB405" s="7" t="s">
        <v>43</v>
      </c>
      <c r="AC405" s="7"/>
      <c r="AD405" s="7"/>
      <c r="AE405" s="7"/>
      <c r="AF405" s="7"/>
      <c r="AG405" s="8">
        <f t="shared" si="6"/>
        <v>43321</v>
      </c>
    </row>
    <row r="406" spans="1:33">
      <c r="A406" s="7" t="s">
        <v>2231</v>
      </c>
      <c r="B406" s="7" t="s">
        <v>2232</v>
      </c>
      <c r="C406" s="7" t="s">
        <v>2233</v>
      </c>
      <c r="D406" s="7" t="s">
        <v>2234</v>
      </c>
      <c r="E406" s="7" t="s">
        <v>33</v>
      </c>
      <c r="F406" s="7" t="s">
        <v>34</v>
      </c>
      <c r="G406" s="7" t="s">
        <v>946</v>
      </c>
      <c r="H406" s="7"/>
      <c r="I406" s="7"/>
      <c r="J406" s="7" t="s">
        <v>336</v>
      </c>
      <c r="K406" s="7" t="s">
        <v>170</v>
      </c>
      <c r="L406" s="7" t="s">
        <v>315</v>
      </c>
      <c r="M406" s="7" t="s">
        <v>316</v>
      </c>
      <c r="N406" s="7" t="s">
        <v>459</v>
      </c>
      <c r="O406" s="7">
        <v>2</v>
      </c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8">
        <f t="shared" si="6"/>
        <v>43322</v>
      </c>
    </row>
    <row r="407" spans="1:33">
      <c r="A407" s="7" t="s">
        <v>2235</v>
      </c>
      <c r="B407" s="7" t="s">
        <v>2235</v>
      </c>
      <c r="C407" s="7" t="s">
        <v>2236</v>
      </c>
      <c r="D407" s="7" t="s">
        <v>2237</v>
      </c>
      <c r="E407" s="7" t="s">
        <v>33</v>
      </c>
      <c r="F407" s="7" t="s">
        <v>34</v>
      </c>
      <c r="G407" s="7" t="s">
        <v>35</v>
      </c>
      <c r="H407" s="7"/>
      <c r="I407" s="7"/>
      <c r="J407" s="7" t="s">
        <v>36</v>
      </c>
      <c r="K407" s="7" t="s">
        <v>215</v>
      </c>
      <c r="L407" s="7" t="s">
        <v>216</v>
      </c>
      <c r="M407" s="7" t="s">
        <v>217</v>
      </c>
      <c r="N407" s="7" t="s">
        <v>33</v>
      </c>
      <c r="O407" s="7">
        <v>1</v>
      </c>
      <c r="P407" s="7" t="s">
        <v>40</v>
      </c>
      <c r="Q407" s="7">
        <v>18.99</v>
      </c>
      <c r="R407" s="7"/>
      <c r="S407" s="7"/>
      <c r="T407" s="7"/>
      <c r="U407" s="7"/>
      <c r="V407" s="7"/>
      <c r="W407" s="7"/>
      <c r="X407" s="7"/>
      <c r="Y407" s="7" t="s">
        <v>2238</v>
      </c>
      <c r="Z407" s="7" t="s">
        <v>2239</v>
      </c>
      <c r="AA407" s="7" t="s">
        <v>2240</v>
      </c>
      <c r="AB407" s="7" t="s">
        <v>43</v>
      </c>
      <c r="AC407" s="7"/>
      <c r="AD407" s="7"/>
      <c r="AE407" s="7"/>
      <c r="AF407" s="7"/>
      <c r="AG407" s="8">
        <f t="shared" si="6"/>
        <v>43322</v>
      </c>
    </row>
    <row r="408" spans="1:33">
      <c r="A408" s="7" t="s">
        <v>2241</v>
      </c>
      <c r="B408" s="7" t="s">
        <v>2241</v>
      </c>
      <c r="C408" s="7" t="s">
        <v>2242</v>
      </c>
      <c r="D408" s="7" t="s">
        <v>2243</v>
      </c>
      <c r="E408" s="7" t="s">
        <v>33</v>
      </c>
      <c r="F408" s="7" t="s">
        <v>34</v>
      </c>
      <c r="G408" s="7" t="s">
        <v>35</v>
      </c>
      <c r="H408" s="7"/>
      <c r="I408" s="7"/>
      <c r="J408" s="7" t="s">
        <v>36</v>
      </c>
      <c r="K408" s="7" t="s">
        <v>2244</v>
      </c>
      <c r="L408" s="7" t="s">
        <v>2245</v>
      </c>
      <c r="M408" s="7" t="s">
        <v>2246</v>
      </c>
      <c r="N408" s="7" t="s">
        <v>33</v>
      </c>
      <c r="O408" s="7">
        <v>1</v>
      </c>
      <c r="P408" s="7" t="s">
        <v>40</v>
      </c>
      <c r="Q408" s="7">
        <v>17.99</v>
      </c>
      <c r="R408" s="7"/>
      <c r="S408" s="7"/>
      <c r="T408" s="7"/>
      <c r="U408" s="7"/>
      <c r="V408" s="7"/>
      <c r="W408" s="7"/>
      <c r="X408" s="7"/>
      <c r="Y408" s="7" t="s">
        <v>2247</v>
      </c>
      <c r="Z408" s="7" t="s">
        <v>447</v>
      </c>
      <c r="AA408" s="7" t="s">
        <v>2248</v>
      </c>
      <c r="AB408" s="7" t="s">
        <v>43</v>
      </c>
      <c r="AC408" s="7"/>
      <c r="AD408" s="7"/>
      <c r="AE408" s="7"/>
      <c r="AF408" s="7"/>
      <c r="AG408" s="8">
        <f t="shared" si="6"/>
        <v>43322</v>
      </c>
    </row>
    <row r="409" spans="1:33">
      <c r="A409" s="7" t="s">
        <v>2249</v>
      </c>
      <c r="B409" s="7" t="s">
        <v>2249</v>
      </c>
      <c r="C409" s="7" t="s">
        <v>2250</v>
      </c>
      <c r="D409" s="7" t="s">
        <v>2251</v>
      </c>
      <c r="E409" s="7" t="s">
        <v>33</v>
      </c>
      <c r="F409" s="7" t="s">
        <v>34</v>
      </c>
      <c r="G409" s="7" t="s">
        <v>35</v>
      </c>
      <c r="H409" s="7"/>
      <c r="I409" s="7"/>
      <c r="J409" s="7" t="s">
        <v>336</v>
      </c>
      <c r="K409" s="7" t="s">
        <v>90</v>
      </c>
      <c r="L409" s="7" t="s">
        <v>284</v>
      </c>
      <c r="M409" s="7" t="s">
        <v>285</v>
      </c>
      <c r="N409" s="7" t="s">
        <v>33</v>
      </c>
      <c r="O409" s="7">
        <v>1</v>
      </c>
      <c r="P409" s="7" t="s">
        <v>40</v>
      </c>
      <c r="Q409" s="7">
        <v>19.99</v>
      </c>
      <c r="R409" s="7"/>
      <c r="S409" s="7">
        <v>1.35</v>
      </c>
      <c r="T409" s="7"/>
      <c r="U409" s="7"/>
      <c r="V409" s="7"/>
      <c r="W409" s="7"/>
      <c r="X409" s="7"/>
      <c r="Y409" s="7" t="s">
        <v>2252</v>
      </c>
      <c r="Z409" s="7" t="s">
        <v>2253</v>
      </c>
      <c r="AA409" s="7">
        <v>28227</v>
      </c>
      <c r="AB409" s="7" t="s">
        <v>43</v>
      </c>
      <c r="AC409" s="7"/>
      <c r="AD409" s="7"/>
      <c r="AE409" s="7"/>
      <c r="AF409" s="7"/>
      <c r="AG409" s="8">
        <f t="shared" si="6"/>
        <v>43322</v>
      </c>
    </row>
    <row r="410" spans="1:33">
      <c r="A410" s="7" t="s">
        <v>2254</v>
      </c>
      <c r="B410" s="7" t="s">
        <v>2254</v>
      </c>
      <c r="C410" s="7" t="s">
        <v>2255</v>
      </c>
      <c r="D410" s="7" t="s">
        <v>2256</v>
      </c>
      <c r="E410" s="7" t="s">
        <v>33</v>
      </c>
      <c r="F410" s="7" t="s">
        <v>34</v>
      </c>
      <c r="G410" s="7" t="s">
        <v>35</v>
      </c>
      <c r="H410" s="7"/>
      <c r="I410" s="7"/>
      <c r="J410" s="7" t="s">
        <v>36</v>
      </c>
      <c r="K410" s="7" t="s">
        <v>2092</v>
      </c>
      <c r="L410" s="7" t="s">
        <v>2093</v>
      </c>
      <c r="M410" s="7" t="s">
        <v>2094</v>
      </c>
      <c r="N410" s="7" t="s">
        <v>33</v>
      </c>
      <c r="O410" s="7">
        <v>1</v>
      </c>
      <c r="P410" s="7" t="s">
        <v>40</v>
      </c>
      <c r="Q410" s="7">
        <v>18.99</v>
      </c>
      <c r="R410" s="7"/>
      <c r="S410" s="7"/>
      <c r="T410" s="7"/>
      <c r="U410" s="7"/>
      <c r="V410" s="7"/>
      <c r="W410" s="7"/>
      <c r="X410" s="7"/>
      <c r="Y410" s="7" t="s">
        <v>2257</v>
      </c>
      <c r="Z410" s="7" t="s">
        <v>51</v>
      </c>
      <c r="AA410" s="7" t="s">
        <v>2258</v>
      </c>
      <c r="AB410" s="7" t="s">
        <v>43</v>
      </c>
      <c r="AC410" s="7"/>
      <c r="AD410" s="7"/>
      <c r="AE410" s="7"/>
      <c r="AF410" s="7"/>
      <c r="AG410" s="8">
        <f t="shared" si="6"/>
        <v>43322</v>
      </c>
    </row>
    <row r="411" spans="1:33">
      <c r="A411" s="7" t="s">
        <v>2259</v>
      </c>
      <c r="B411" s="7" t="s">
        <v>2259</v>
      </c>
      <c r="C411" s="7" t="s">
        <v>2260</v>
      </c>
      <c r="D411" s="7" t="s">
        <v>2261</v>
      </c>
      <c r="E411" s="7" t="s">
        <v>33</v>
      </c>
      <c r="F411" s="7" t="s">
        <v>34</v>
      </c>
      <c r="G411" s="7" t="s">
        <v>35</v>
      </c>
      <c r="H411" s="7"/>
      <c r="I411" s="7"/>
      <c r="J411" s="7" t="s">
        <v>36</v>
      </c>
      <c r="K411" s="7" t="s">
        <v>90</v>
      </c>
      <c r="L411" s="7" t="s">
        <v>284</v>
      </c>
      <c r="M411" s="7" t="s">
        <v>285</v>
      </c>
      <c r="N411" s="7" t="s">
        <v>33</v>
      </c>
      <c r="O411" s="7">
        <v>1</v>
      </c>
      <c r="P411" s="7" t="s">
        <v>40</v>
      </c>
      <c r="Q411" s="7">
        <v>19.99</v>
      </c>
      <c r="R411" s="7"/>
      <c r="S411" s="7"/>
      <c r="T411" s="7"/>
      <c r="U411" s="7"/>
      <c r="V411" s="7"/>
      <c r="W411" s="7"/>
      <c r="X411" s="7"/>
      <c r="Y411" s="7" t="s">
        <v>2016</v>
      </c>
      <c r="Z411" s="7" t="s">
        <v>646</v>
      </c>
      <c r="AA411" s="7" t="s">
        <v>2262</v>
      </c>
      <c r="AB411" s="7" t="s">
        <v>43</v>
      </c>
      <c r="AC411" s="7"/>
      <c r="AD411" s="7"/>
      <c r="AE411" s="7"/>
      <c r="AF411" s="7"/>
      <c r="AG411" s="8">
        <f t="shared" si="6"/>
        <v>43322</v>
      </c>
    </row>
    <row r="412" spans="1:33">
      <c r="A412" s="7" t="s">
        <v>2263</v>
      </c>
      <c r="B412" s="7" t="s">
        <v>2263</v>
      </c>
      <c r="C412" s="7" t="s">
        <v>2264</v>
      </c>
      <c r="D412" s="7" t="s">
        <v>2265</v>
      </c>
      <c r="E412" s="7" t="s">
        <v>33</v>
      </c>
      <c r="F412" s="7" t="s">
        <v>34</v>
      </c>
      <c r="G412" s="7" t="s">
        <v>35</v>
      </c>
      <c r="H412" s="7"/>
      <c r="I412" s="7"/>
      <c r="J412" s="7" t="s">
        <v>36</v>
      </c>
      <c r="K412" s="7" t="s">
        <v>170</v>
      </c>
      <c r="L412" s="7" t="s">
        <v>315</v>
      </c>
      <c r="M412" s="7" t="s">
        <v>316</v>
      </c>
      <c r="N412" s="7" t="s">
        <v>33</v>
      </c>
      <c r="O412" s="7">
        <v>1</v>
      </c>
      <c r="P412" s="7" t="s">
        <v>40</v>
      </c>
      <c r="Q412" s="7">
        <v>19.38</v>
      </c>
      <c r="R412" s="7"/>
      <c r="S412" s="7"/>
      <c r="T412" s="7"/>
      <c r="U412" s="7"/>
      <c r="V412" s="7"/>
      <c r="W412" s="7"/>
      <c r="X412" s="7"/>
      <c r="Y412" s="7" t="s">
        <v>2266</v>
      </c>
      <c r="Z412" s="7" t="s">
        <v>51</v>
      </c>
      <c r="AA412" s="7" t="s">
        <v>2267</v>
      </c>
      <c r="AB412" s="7" t="s">
        <v>43</v>
      </c>
      <c r="AC412" s="7"/>
      <c r="AD412" s="7"/>
      <c r="AE412" s="7"/>
      <c r="AF412" s="7"/>
      <c r="AG412" s="8">
        <f t="shared" si="6"/>
        <v>43322</v>
      </c>
    </row>
    <row r="413" spans="1:33">
      <c r="A413" s="7" t="s">
        <v>2268</v>
      </c>
      <c r="B413" s="7" t="s">
        <v>2268</v>
      </c>
      <c r="C413" s="7" t="s">
        <v>2269</v>
      </c>
      <c r="D413" s="7" t="s">
        <v>2270</v>
      </c>
      <c r="E413" s="7" t="s">
        <v>33</v>
      </c>
      <c r="F413" s="7" t="s">
        <v>34</v>
      </c>
      <c r="G413" s="7" t="s">
        <v>35</v>
      </c>
      <c r="H413" s="7"/>
      <c r="I413" s="7"/>
      <c r="J413" s="7" t="s">
        <v>36</v>
      </c>
      <c r="K413" s="7" t="s">
        <v>2271</v>
      </c>
      <c r="L413" s="7" t="s">
        <v>2272</v>
      </c>
      <c r="M413" s="7" t="s">
        <v>2273</v>
      </c>
      <c r="N413" s="7" t="s">
        <v>33</v>
      </c>
      <c r="O413" s="7">
        <v>1</v>
      </c>
      <c r="P413" s="7" t="s">
        <v>40</v>
      </c>
      <c r="Q413" s="7">
        <v>15.99</v>
      </c>
      <c r="R413" s="7"/>
      <c r="S413" s="7"/>
      <c r="T413" s="7"/>
      <c r="U413" s="7"/>
      <c r="V413" s="7"/>
      <c r="W413" s="7"/>
      <c r="X413" s="7"/>
      <c r="Y413" s="7" t="s">
        <v>2274</v>
      </c>
      <c r="Z413" s="7" t="s">
        <v>94</v>
      </c>
      <c r="AA413" s="7">
        <v>8034</v>
      </c>
      <c r="AB413" s="7" t="s">
        <v>43</v>
      </c>
      <c r="AC413" s="7"/>
      <c r="AD413" s="7"/>
      <c r="AE413" s="7"/>
      <c r="AF413" s="7"/>
      <c r="AG413" s="8">
        <f t="shared" si="6"/>
        <v>43322</v>
      </c>
    </row>
    <row r="414" spans="1:33">
      <c r="A414" s="7" t="s">
        <v>2275</v>
      </c>
      <c r="B414" s="7" t="s">
        <v>2275</v>
      </c>
      <c r="C414" s="7" t="s">
        <v>2276</v>
      </c>
      <c r="D414" s="7" t="s">
        <v>2277</v>
      </c>
      <c r="E414" s="7" t="s">
        <v>33</v>
      </c>
      <c r="F414" s="7" t="s">
        <v>34</v>
      </c>
      <c r="G414" s="7" t="s">
        <v>35</v>
      </c>
      <c r="H414" s="7"/>
      <c r="I414" s="7"/>
      <c r="J414" s="7" t="s">
        <v>36</v>
      </c>
      <c r="K414" s="7" t="s">
        <v>255</v>
      </c>
      <c r="L414" s="7" t="s">
        <v>256</v>
      </c>
      <c r="M414" s="7" t="s">
        <v>257</v>
      </c>
      <c r="N414" s="7" t="s">
        <v>33</v>
      </c>
      <c r="O414" s="7">
        <v>1</v>
      </c>
      <c r="P414" s="7" t="s">
        <v>40</v>
      </c>
      <c r="Q414" s="7">
        <v>19.99</v>
      </c>
      <c r="R414" s="7"/>
      <c r="S414" s="7"/>
      <c r="T414" s="7"/>
      <c r="U414" s="7"/>
      <c r="V414" s="7"/>
      <c r="W414" s="7"/>
      <c r="X414" s="7"/>
      <c r="Y414" s="7" t="s">
        <v>1386</v>
      </c>
      <c r="Z414" s="7" t="s">
        <v>1472</v>
      </c>
      <c r="AA414" s="7">
        <v>33166</v>
      </c>
      <c r="AB414" s="7" t="s">
        <v>43</v>
      </c>
      <c r="AC414" s="7"/>
      <c r="AD414" s="7"/>
      <c r="AE414" s="7"/>
      <c r="AF414" s="7"/>
      <c r="AG414" s="8">
        <f t="shared" si="6"/>
        <v>43322</v>
      </c>
    </row>
    <row r="415" spans="1:33">
      <c r="A415" s="7" t="s">
        <v>2278</v>
      </c>
      <c r="B415" s="7" t="s">
        <v>2278</v>
      </c>
      <c r="C415" s="7" t="s">
        <v>2279</v>
      </c>
      <c r="D415" s="7" t="s">
        <v>2280</v>
      </c>
      <c r="E415" s="7" t="s">
        <v>33</v>
      </c>
      <c r="F415" s="7" t="s">
        <v>34</v>
      </c>
      <c r="G415" s="7" t="s">
        <v>35</v>
      </c>
      <c r="H415" s="7"/>
      <c r="I415" s="7"/>
      <c r="J415" s="7" t="s">
        <v>36</v>
      </c>
      <c r="K415" s="7" t="s">
        <v>1029</v>
      </c>
      <c r="L415" s="7" t="s">
        <v>1030</v>
      </c>
      <c r="M415" s="7" t="s">
        <v>1031</v>
      </c>
      <c r="N415" s="7" t="s">
        <v>33</v>
      </c>
      <c r="O415" s="7">
        <v>1</v>
      </c>
      <c r="P415" s="7" t="s">
        <v>40</v>
      </c>
      <c r="Q415" s="7">
        <v>19.99</v>
      </c>
      <c r="R415" s="7"/>
      <c r="S415" s="7"/>
      <c r="T415" s="7"/>
      <c r="U415" s="7"/>
      <c r="V415" s="7"/>
      <c r="W415" s="7"/>
      <c r="X415" s="7"/>
      <c r="Y415" s="7" t="s">
        <v>2281</v>
      </c>
      <c r="Z415" s="7" t="s">
        <v>2282</v>
      </c>
      <c r="AA415" s="7">
        <v>66047</v>
      </c>
      <c r="AB415" s="7" t="s">
        <v>43</v>
      </c>
      <c r="AC415" s="7"/>
      <c r="AD415" s="7"/>
      <c r="AE415" s="7"/>
      <c r="AF415" s="7"/>
      <c r="AG415" s="8">
        <f t="shared" si="6"/>
        <v>43322</v>
      </c>
    </row>
    <row r="416" spans="1:33">
      <c r="A416" s="7" t="s">
        <v>2283</v>
      </c>
      <c r="B416" s="7" t="s">
        <v>2283</v>
      </c>
      <c r="C416" s="7" t="s">
        <v>2284</v>
      </c>
      <c r="D416" s="7" t="s">
        <v>2285</v>
      </c>
      <c r="E416" s="7" t="s">
        <v>33</v>
      </c>
      <c r="F416" s="7" t="s">
        <v>34</v>
      </c>
      <c r="G416" s="7" t="s">
        <v>35</v>
      </c>
      <c r="H416" s="7"/>
      <c r="I416" s="7"/>
      <c r="J416" s="7" t="s">
        <v>36</v>
      </c>
      <c r="K416" s="7" t="s">
        <v>456</v>
      </c>
      <c r="L416" s="7" t="s">
        <v>1248</v>
      </c>
      <c r="M416" s="7" t="s">
        <v>1249</v>
      </c>
      <c r="N416" s="7" t="s">
        <v>33</v>
      </c>
      <c r="O416" s="7">
        <v>1</v>
      </c>
      <c r="P416" s="7" t="s">
        <v>40</v>
      </c>
      <c r="Q416" s="7">
        <v>19.99</v>
      </c>
      <c r="R416" s="7"/>
      <c r="S416" s="7"/>
      <c r="T416" s="7"/>
      <c r="U416" s="7"/>
      <c r="V416" s="7"/>
      <c r="W416" s="7"/>
      <c r="X416" s="7"/>
      <c r="Y416" s="7" t="s">
        <v>1831</v>
      </c>
      <c r="Z416" s="7" t="s">
        <v>94</v>
      </c>
      <c r="AA416" s="7">
        <v>7737</v>
      </c>
      <c r="AB416" s="7" t="s">
        <v>43</v>
      </c>
      <c r="AC416" s="7"/>
      <c r="AD416" s="7"/>
      <c r="AE416" s="7"/>
      <c r="AF416" s="7"/>
      <c r="AG416" s="8">
        <f t="shared" si="6"/>
        <v>43322</v>
      </c>
    </row>
    <row r="417" spans="1:33">
      <c r="A417" s="7" t="s">
        <v>2283</v>
      </c>
      <c r="B417" s="7" t="s">
        <v>2283</v>
      </c>
      <c r="C417" s="7" t="s">
        <v>2284</v>
      </c>
      <c r="D417" s="7" t="s">
        <v>2285</v>
      </c>
      <c r="E417" s="7" t="s">
        <v>33</v>
      </c>
      <c r="F417" s="7" t="s">
        <v>34</v>
      </c>
      <c r="G417" s="7" t="s">
        <v>35</v>
      </c>
      <c r="H417" s="7"/>
      <c r="I417" s="7"/>
      <c r="J417" s="7" t="s">
        <v>36</v>
      </c>
      <c r="K417" s="7" t="s">
        <v>90</v>
      </c>
      <c r="L417" s="7" t="s">
        <v>91</v>
      </c>
      <c r="M417" s="7" t="s">
        <v>92</v>
      </c>
      <c r="N417" s="7" t="s">
        <v>33</v>
      </c>
      <c r="O417" s="7">
        <v>1</v>
      </c>
      <c r="P417" s="7" t="s">
        <v>40</v>
      </c>
      <c r="Q417" s="7">
        <v>19.99</v>
      </c>
      <c r="R417" s="7"/>
      <c r="S417" s="7"/>
      <c r="T417" s="7"/>
      <c r="U417" s="7"/>
      <c r="V417" s="7"/>
      <c r="W417" s="7"/>
      <c r="X417" s="7"/>
      <c r="Y417" s="7" t="s">
        <v>1831</v>
      </c>
      <c r="Z417" s="7" t="s">
        <v>94</v>
      </c>
      <c r="AA417" s="7">
        <v>7737</v>
      </c>
      <c r="AB417" s="7" t="s">
        <v>43</v>
      </c>
      <c r="AC417" s="7"/>
      <c r="AD417" s="7"/>
      <c r="AE417" s="7"/>
      <c r="AF417" s="7"/>
      <c r="AG417" s="8">
        <f t="shared" si="6"/>
        <v>43322</v>
      </c>
    </row>
    <row r="418" spans="1:33">
      <c r="A418" s="7" t="s">
        <v>2286</v>
      </c>
      <c r="B418" s="7" t="s">
        <v>2286</v>
      </c>
      <c r="C418" s="7" t="s">
        <v>2287</v>
      </c>
      <c r="D418" s="7" t="s">
        <v>2288</v>
      </c>
      <c r="E418" s="7" t="s">
        <v>33</v>
      </c>
      <c r="F418" s="7" t="s">
        <v>34</v>
      </c>
      <c r="G418" s="7" t="s">
        <v>35</v>
      </c>
      <c r="H418" s="7"/>
      <c r="I418" s="7"/>
      <c r="J418" s="7" t="s">
        <v>292</v>
      </c>
      <c r="K418" s="7" t="s">
        <v>125</v>
      </c>
      <c r="L418" s="7" t="s">
        <v>126</v>
      </c>
      <c r="M418" s="7" t="s">
        <v>127</v>
      </c>
      <c r="N418" s="7" t="s">
        <v>33</v>
      </c>
      <c r="O418" s="7">
        <v>1</v>
      </c>
      <c r="P418" s="7" t="s">
        <v>40</v>
      </c>
      <c r="Q418" s="7">
        <v>18.99</v>
      </c>
      <c r="R418" s="7"/>
      <c r="S418" s="7">
        <v>1.19</v>
      </c>
      <c r="T418" s="7"/>
      <c r="U418" s="7"/>
      <c r="V418" s="7"/>
      <c r="W418" s="7"/>
      <c r="X418" s="7">
        <v>1.19</v>
      </c>
      <c r="Y418" s="7" t="s">
        <v>2289</v>
      </c>
      <c r="Z418" s="7" t="s">
        <v>1209</v>
      </c>
      <c r="AA418" s="7">
        <v>40204</v>
      </c>
      <c r="AB418" s="7" t="s">
        <v>43</v>
      </c>
      <c r="AC418" s="7"/>
      <c r="AD418" s="7"/>
      <c r="AE418" s="7"/>
      <c r="AF418" s="7"/>
      <c r="AG418" s="8">
        <f t="shared" si="6"/>
        <v>43322</v>
      </c>
    </row>
    <row r="419" spans="1:33">
      <c r="A419" s="7" t="s">
        <v>2290</v>
      </c>
      <c r="B419" s="7" t="s">
        <v>2290</v>
      </c>
      <c r="C419" s="7" t="s">
        <v>2291</v>
      </c>
      <c r="D419" s="7" t="s">
        <v>2292</v>
      </c>
      <c r="E419" s="7" t="s">
        <v>33</v>
      </c>
      <c r="F419" s="7" t="s">
        <v>34</v>
      </c>
      <c r="G419" s="7" t="s">
        <v>35</v>
      </c>
      <c r="H419" s="7"/>
      <c r="I419" s="7"/>
      <c r="J419" s="7" t="s">
        <v>36</v>
      </c>
      <c r="K419" s="7" t="s">
        <v>2293</v>
      </c>
      <c r="L419" s="7" t="s">
        <v>2294</v>
      </c>
      <c r="M419" s="7" t="s">
        <v>2295</v>
      </c>
      <c r="N419" s="7" t="s">
        <v>33</v>
      </c>
      <c r="O419" s="7">
        <v>1</v>
      </c>
      <c r="P419" s="7" t="s">
        <v>40</v>
      </c>
      <c r="Q419" s="7">
        <v>17.99</v>
      </c>
      <c r="R419" s="7"/>
      <c r="S419" s="7"/>
      <c r="T419" s="7"/>
      <c r="U419" s="7"/>
      <c r="V419" s="7"/>
      <c r="W419" s="7"/>
      <c r="X419" s="7"/>
      <c r="Y419" s="7" t="s">
        <v>2296</v>
      </c>
      <c r="Z419" s="7" t="s">
        <v>323</v>
      </c>
      <c r="AA419" s="7" t="s">
        <v>2297</v>
      </c>
      <c r="AB419" s="7" t="s">
        <v>43</v>
      </c>
      <c r="AC419" s="7"/>
      <c r="AD419" s="7"/>
      <c r="AE419" s="7"/>
      <c r="AF419" s="7"/>
      <c r="AG419" s="8">
        <f t="shared" si="6"/>
        <v>43322</v>
      </c>
    </row>
    <row r="420" spans="1:33">
      <c r="A420" s="7" t="s">
        <v>2298</v>
      </c>
      <c r="B420" s="7" t="s">
        <v>2298</v>
      </c>
      <c r="C420" s="7" t="s">
        <v>2299</v>
      </c>
      <c r="D420" s="7" t="s">
        <v>2300</v>
      </c>
      <c r="E420" s="7" t="s">
        <v>33</v>
      </c>
      <c r="F420" s="7" t="s">
        <v>34</v>
      </c>
      <c r="G420" s="7" t="s">
        <v>35</v>
      </c>
      <c r="H420" s="7"/>
      <c r="I420" s="7"/>
      <c r="J420" s="7" t="s">
        <v>36</v>
      </c>
      <c r="K420" s="7" t="s">
        <v>90</v>
      </c>
      <c r="L420" s="7" t="s">
        <v>140</v>
      </c>
      <c r="M420" s="7" t="s">
        <v>141</v>
      </c>
      <c r="N420" s="7" t="s">
        <v>33</v>
      </c>
      <c r="O420" s="7">
        <v>1</v>
      </c>
      <c r="P420" s="7" t="s">
        <v>40</v>
      </c>
      <c r="Q420" s="7">
        <v>19.99</v>
      </c>
      <c r="R420" s="7"/>
      <c r="S420" s="7"/>
      <c r="T420" s="7"/>
      <c r="U420" s="7"/>
      <c r="V420" s="7"/>
      <c r="W420" s="7"/>
      <c r="X420" s="7"/>
      <c r="Y420" s="7" t="s">
        <v>2301</v>
      </c>
      <c r="Z420" s="7" t="s">
        <v>94</v>
      </c>
      <c r="AA420" s="7" t="s">
        <v>2302</v>
      </c>
      <c r="AB420" s="7" t="s">
        <v>43</v>
      </c>
      <c r="AC420" s="7"/>
      <c r="AD420" s="7"/>
      <c r="AE420" s="7"/>
      <c r="AF420" s="7"/>
      <c r="AG420" s="8">
        <f t="shared" si="6"/>
        <v>43322</v>
      </c>
    </row>
    <row r="421" spans="1:33">
      <c r="A421" s="7" t="s">
        <v>2303</v>
      </c>
      <c r="B421" s="7" t="s">
        <v>2303</v>
      </c>
      <c r="C421" s="7" t="s">
        <v>2304</v>
      </c>
      <c r="D421" s="7" t="s">
        <v>2305</v>
      </c>
      <c r="E421" s="7" t="s">
        <v>33</v>
      </c>
      <c r="F421" s="7" t="s">
        <v>34</v>
      </c>
      <c r="G421" s="7" t="s">
        <v>35</v>
      </c>
      <c r="H421" s="7"/>
      <c r="I421" s="7"/>
      <c r="J421" s="7" t="s">
        <v>36</v>
      </c>
      <c r="K421" s="7" t="s">
        <v>255</v>
      </c>
      <c r="L421" s="7" t="s">
        <v>256</v>
      </c>
      <c r="M421" s="7" t="s">
        <v>257</v>
      </c>
      <c r="N421" s="7" t="s">
        <v>33</v>
      </c>
      <c r="O421" s="7">
        <v>1</v>
      </c>
      <c r="P421" s="7" t="s">
        <v>40</v>
      </c>
      <c r="Q421" s="7">
        <v>19.99</v>
      </c>
      <c r="R421" s="7"/>
      <c r="S421" s="7"/>
      <c r="T421" s="7"/>
      <c r="U421" s="7"/>
      <c r="V421" s="7"/>
      <c r="W421" s="7"/>
      <c r="X421" s="7"/>
      <c r="Y421" s="7" t="s">
        <v>2306</v>
      </c>
      <c r="Z421" s="7" t="s">
        <v>2307</v>
      </c>
      <c r="AA421" s="7">
        <v>20707</v>
      </c>
      <c r="AB421" s="7" t="s">
        <v>43</v>
      </c>
      <c r="AC421" s="7"/>
      <c r="AD421" s="7"/>
      <c r="AE421" s="7"/>
      <c r="AF421" s="7"/>
      <c r="AG421" s="8">
        <f t="shared" si="6"/>
        <v>43322</v>
      </c>
    </row>
    <row r="422" spans="1:33">
      <c r="A422" s="7" t="s">
        <v>2308</v>
      </c>
      <c r="B422" s="7" t="s">
        <v>2308</v>
      </c>
      <c r="C422" s="7" t="s">
        <v>2309</v>
      </c>
      <c r="D422" s="7" t="s">
        <v>2310</v>
      </c>
      <c r="E422" s="7" t="s">
        <v>33</v>
      </c>
      <c r="F422" s="7" t="s">
        <v>34</v>
      </c>
      <c r="G422" s="7" t="s">
        <v>35</v>
      </c>
      <c r="H422" s="7"/>
      <c r="I422" s="7"/>
      <c r="J422" s="7" t="s">
        <v>36</v>
      </c>
      <c r="K422" s="7" t="s">
        <v>90</v>
      </c>
      <c r="L422" s="7" t="s">
        <v>191</v>
      </c>
      <c r="M422" s="7" t="s">
        <v>192</v>
      </c>
      <c r="N422" s="7" t="s">
        <v>33</v>
      </c>
      <c r="O422" s="7">
        <v>1</v>
      </c>
      <c r="P422" s="7" t="s">
        <v>40</v>
      </c>
      <c r="Q422" s="7">
        <v>19.99</v>
      </c>
      <c r="R422" s="7"/>
      <c r="S422" s="7"/>
      <c r="T422" s="7"/>
      <c r="U422" s="7"/>
      <c r="V422" s="7"/>
      <c r="W422" s="7"/>
      <c r="X422" s="7"/>
      <c r="Y422" s="7" t="s">
        <v>2311</v>
      </c>
      <c r="Z422" s="7" t="s">
        <v>447</v>
      </c>
      <c r="AA422" s="7" t="s">
        <v>2312</v>
      </c>
      <c r="AB422" s="7" t="s">
        <v>43</v>
      </c>
      <c r="AC422" s="7"/>
      <c r="AD422" s="7"/>
      <c r="AE422" s="7"/>
      <c r="AF422" s="7"/>
      <c r="AG422" s="8">
        <f t="shared" si="6"/>
        <v>43322</v>
      </c>
    </row>
    <row r="423" spans="1:33">
      <c r="A423" s="7" t="s">
        <v>2313</v>
      </c>
      <c r="B423" s="7" t="s">
        <v>2313</v>
      </c>
      <c r="C423" s="7" t="s">
        <v>2314</v>
      </c>
      <c r="D423" s="7" t="s">
        <v>2315</v>
      </c>
      <c r="E423" s="7" t="s">
        <v>33</v>
      </c>
      <c r="F423" s="7" t="s">
        <v>34</v>
      </c>
      <c r="G423" s="7" t="s">
        <v>35</v>
      </c>
      <c r="H423" s="7"/>
      <c r="I423" s="7"/>
      <c r="J423" s="7" t="s">
        <v>36</v>
      </c>
      <c r="K423" s="7" t="s">
        <v>456</v>
      </c>
      <c r="L423" s="7" t="s">
        <v>1481</v>
      </c>
      <c r="M423" s="7" t="s">
        <v>1482</v>
      </c>
      <c r="N423" s="7" t="s">
        <v>33</v>
      </c>
      <c r="O423" s="7">
        <v>1</v>
      </c>
      <c r="P423" s="7" t="s">
        <v>40</v>
      </c>
      <c r="Q423" s="7">
        <v>19.99</v>
      </c>
      <c r="R423" s="7"/>
      <c r="S423" s="7"/>
      <c r="T423" s="7"/>
      <c r="U423" s="7"/>
      <c r="V423" s="7"/>
      <c r="W423" s="7"/>
      <c r="X423" s="7"/>
      <c r="Y423" s="7" t="s">
        <v>801</v>
      </c>
      <c r="Z423" s="7" t="s">
        <v>135</v>
      </c>
      <c r="AA423" s="7" t="s">
        <v>2316</v>
      </c>
      <c r="AB423" s="7" t="s">
        <v>43</v>
      </c>
      <c r="AC423" s="7"/>
      <c r="AD423" s="7"/>
      <c r="AE423" s="7"/>
      <c r="AF423" s="7"/>
      <c r="AG423" s="8">
        <f t="shared" si="6"/>
        <v>43322</v>
      </c>
    </row>
    <row r="424" spans="1:33">
      <c r="A424" s="7" t="s">
        <v>2317</v>
      </c>
      <c r="B424" s="7" t="s">
        <v>2317</v>
      </c>
      <c r="C424" s="7" t="s">
        <v>2318</v>
      </c>
      <c r="D424" s="7" t="s">
        <v>2319</v>
      </c>
      <c r="E424" s="7" t="s">
        <v>33</v>
      </c>
      <c r="F424" s="7" t="s">
        <v>34</v>
      </c>
      <c r="G424" s="7" t="s">
        <v>35</v>
      </c>
      <c r="H424" s="7"/>
      <c r="I424" s="7"/>
      <c r="J424" s="7" t="s">
        <v>36</v>
      </c>
      <c r="K424" s="7" t="s">
        <v>456</v>
      </c>
      <c r="L424" s="7" t="s">
        <v>1280</v>
      </c>
      <c r="M424" s="7" t="s">
        <v>1281</v>
      </c>
      <c r="N424" s="7" t="s">
        <v>33</v>
      </c>
      <c r="O424" s="7">
        <v>1</v>
      </c>
      <c r="P424" s="7" t="s">
        <v>40</v>
      </c>
      <c r="Q424" s="7">
        <v>19.99</v>
      </c>
      <c r="R424" s="7"/>
      <c r="S424" s="7"/>
      <c r="T424" s="7"/>
      <c r="U424" s="7"/>
      <c r="V424" s="7"/>
      <c r="W424" s="7"/>
      <c r="X424" s="7"/>
      <c r="Y424" s="7" t="s">
        <v>2266</v>
      </c>
      <c r="Z424" s="7" t="s">
        <v>51</v>
      </c>
      <c r="AA424" s="7" t="s">
        <v>2320</v>
      </c>
      <c r="AB424" s="7" t="s">
        <v>43</v>
      </c>
      <c r="AC424" s="7"/>
      <c r="AD424" s="7"/>
      <c r="AE424" s="7"/>
      <c r="AF424" s="7"/>
      <c r="AG424" s="8">
        <f t="shared" si="6"/>
        <v>43322</v>
      </c>
    </row>
    <row r="425" spans="1:33">
      <c r="A425" s="7" t="s">
        <v>2321</v>
      </c>
      <c r="B425" s="7" t="s">
        <v>2321</v>
      </c>
      <c r="C425" s="7" t="s">
        <v>2322</v>
      </c>
      <c r="D425" s="7" t="s">
        <v>2323</v>
      </c>
      <c r="E425" s="7" t="s">
        <v>33</v>
      </c>
      <c r="F425" s="7" t="s">
        <v>34</v>
      </c>
      <c r="G425" s="7" t="s">
        <v>35</v>
      </c>
      <c r="H425" s="7"/>
      <c r="I425" s="7"/>
      <c r="J425" s="7" t="s">
        <v>336</v>
      </c>
      <c r="K425" s="7" t="s">
        <v>90</v>
      </c>
      <c r="L425" s="7" t="s">
        <v>140</v>
      </c>
      <c r="M425" s="7" t="s">
        <v>141</v>
      </c>
      <c r="N425" s="7" t="s">
        <v>33</v>
      </c>
      <c r="O425" s="7">
        <v>1</v>
      </c>
      <c r="P425" s="7" t="s">
        <v>40</v>
      </c>
      <c r="Q425" s="7">
        <v>19.99</v>
      </c>
      <c r="R425" s="7"/>
      <c r="S425" s="7">
        <v>2.82</v>
      </c>
      <c r="T425" s="7"/>
      <c r="U425" s="7"/>
      <c r="V425" s="7"/>
      <c r="W425" s="7"/>
      <c r="X425" s="7">
        <v>2.82</v>
      </c>
      <c r="Y425" s="7" t="s">
        <v>1418</v>
      </c>
      <c r="Z425" s="7" t="s">
        <v>85</v>
      </c>
      <c r="AA425" s="7" t="s">
        <v>2324</v>
      </c>
      <c r="AB425" s="7" t="s">
        <v>43</v>
      </c>
      <c r="AC425" s="7" t="s">
        <v>514</v>
      </c>
      <c r="AD425" s="7"/>
      <c r="AE425" s="7"/>
      <c r="AF425" s="7"/>
      <c r="AG425" s="8">
        <f t="shared" si="6"/>
        <v>43322</v>
      </c>
    </row>
    <row r="426" spans="1:33">
      <c r="A426" s="7" t="s">
        <v>2325</v>
      </c>
      <c r="B426" s="7" t="s">
        <v>2325</v>
      </c>
      <c r="C426" s="7" t="s">
        <v>2326</v>
      </c>
      <c r="D426" s="7" t="s">
        <v>2327</v>
      </c>
      <c r="E426" s="7" t="s">
        <v>33</v>
      </c>
      <c r="F426" s="7" t="s">
        <v>34</v>
      </c>
      <c r="G426" s="7" t="s">
        <v>35</v>
      </c>
      <c r="H426" s="7"/>
      <c r="I426" s="7"/>
      <c r="J426" s="7" t="s">
        <v>36</v>
      </c>
      <c r="K426" s="7" t="s">
        <v>2328</v>
      </c>
      <c r="L426" s="7" t="s">
        <v>2329</v>
      </c>
      <c r="M426" s="7" t="s">
        <v>2330</v>
      </c>
      <c r="N426" s="7" t="s">
        <v>33</v>
      </c>
      <c r="O426" s="7">
        <v>1</v>
      </c>
      <c r="P426" s="7" t="s">
        <v>40</v>
      </c>
      <c r="Q426" s="7">
        <v>17.99</v>
      </c>
      <c r="R426" s="7"/>
      <c r="S426" s="7"/>
      <c r="T426" s="7"/>
      <c r="U426" s="7"/>
      <c r="V426" s="7"/>
      <c r="W426" s="7"/>
      <c r="X426" s="7"/>
      <c r="Y426" s="7" t="s">
        <v>2331</v>
      </c>
      <c r="Z426" s="7" t="s">
        <v>219</v>
      </c>
      <c r="AA426" s="7" t="s">
        <v>2332</v>
      </c>
      <c r="AB426" s="7" t="s">
        <v>43</v>
      </c>
      <c r="AC426" s="7"/>
      <c r="AD426" s="7"/>
      <c r="AE426" s="7"/>
      <c r="AF426" s="7"/>
      <c r="AG426" s="8">
        <f t="shared" si="6"/>
        <v>43322</v>
      </c>
    </row>
    <row r="427" spans="1:33">
      <c r="A427" s="7" t="s">
        <v>2325</v>
      </c>
      <c r="B427" s="7" t="s">
        <v>2325</v>
      </c>
      <c r="C427" s="7" t="s">
        <v>2326</v>
      </c>
      <c r="D427" s="7" t="s">
        <v>2327</v>
      </c>
      <c r="E427" s="7" t="s">
        <v>33</v>
      </c>
      <c r="F427" s="7" t="s">
        <v>34</v>
      </c>
      <c r="G427" s="7" t="s">
        <v>35</v>
      </c>
      <c r="H427" s="7"/>
      <c r="I427" s="7"/>
      <c r="J427" s="7" t="s">
        <v>36</v>
      </c>
      <c r="K427" s="7" t="s">
        <v>2333</v>
      </c>
      <c r="L427" s="7" t="s">
        <v>2334</v>
      </c>
      <c r="M427" s="7" t="s">
        <v>2335</v>
      </c>
      <c r="N427" s="7" t="s">
        <v>33</v>
      </c>
      <c r="O427" s="7">
        <v>1</v>
      </c>
      <c r="P427" s="7" t="s">
        <v>40</v>
      </c>
      <c r="Q427" s="7">
        <v>18.99</v>
      </c>
      <c r="R427" s="7"/>
      <c r="S427" s="7"/>
      <c r="T427" s="7"/>
      <c r="U427" s="7"/>
      <c r="V427" s="7"/>
      <c r="W427" s="7"/>
      <c r="X427" s="7"/>
      <c r="Y427" s="7" t="s">
        <v>2331</v>
      </c>
      <c r="Z427" s="7" t="s">
        <v>219</v>
      </c>
      <c r="AA427" s="7" t="s">
        <v>2332</v>
      </c>
      <c r="AB427" s="7" t="s">
        <v>43</v>
      </c>
      <c r="AC427" s="7"/>
      <c r="AD427" s="7"/>
      <c r="AE427" s="7"/>
      <c r="AF427" s="7"/>
      <c r="AG427" s="8">
        <f t="shared" si="6"/>
        <v>43322</v>
      </c>
    </row>
    <row r="428" spans="1:33">
      <c r="A428" s="7" t="s">
        <v>2325</v>
      </c>
      <c r="B428" s="7" t="s">
        <v>2325</v>
      </c>
      <c r="C428" s="7" t="s">
        <v>2326</v>
      </c>
      <c r="D428" s="7" t="s">
        <v>2327</v>
      </c>
      <c r="E428" s="7" t="s">
        <v>33</v>
      </c>
      <c r="F428" s="7" t="s">
        <v>34</v>
      </c>
      <c r="G428" s="7" t="s">
        <v>35</v>
      </c>
      <c r="H428" s="7"/>
      <c r="I428" s="7"/>
      <c r="J428" s="7" t="s">
        <v>36</v>
      </c>
      <c r="K428" s="7" t="s">
        <v>1373</v>
      </c>
      <c r="L428" s="7" t="s">
        <v>1374</v>
      </c>
      <c r="M428" s="7" t="s">
        <v>1375</v>
      </c>
      <c r="N428" s="7" t="s">
        <v>33</v>
      </c>
      <c r="O428" s="7">
        <v>1</v>
      </c>
      <c r="P428" s="7" t="s">
        <v>40</v>
      </c>
      <c r="Q428" s="7">
        <v>18.99</v>
      </c>
      <c r="R428" s="7"/>
      <c r="S428" s="7"/>
      <c r="T428" s="7"/>
      <c r="U428" s="7"/>
      <c r="V428" s="7"/>
      <c r="W428" s="7"/>
      <c r="X428" s="7"/>
      <c r="Y428" s="7" t="s">
        <v>2331</v>
      </c>
      <c r="Z428" s="7" t="s">
        <v>219</v>
      </c>
      <c r="AA428" s="7" t="s">
        <v>2332</v>
      </c>
      <c r="AB428" s="7" t="s">
        <v>43</v>
      </c>
      <c r="AC428" s="7"/>
      <c r="AD428" s="7"/>
      <c r="AE428" s="7"/>
      <c r="AF428" s="7"/>
      <c r="AG428" s="8">
        <f t="shared" si="6"/>
        <v>43322</v>
      </c>
    </row>
    <row r="429" spans="1:33">
      <c r="A429" s="7" t="s">
        <v>2325</v>
      </c>
      <c r="B429" s="7" t="s">
        <v>2325</v>
      </c>
      <c r="C429" s="7" t="s">
        <v>2326</v>
      </c>
      <c r="D429" s="7" t="s">
        <v>2327</v>
      </c>
      <c r="E429" s="7" t="s">
        <v>33</v>
      </c>
      <c r="F429" s="7" t="s">
        <v>34</v>
      </c>
      <c r="G429" s="7" t="s">
        <v>35</v>
      </c>
      <c r="H429" s="7"/>
      <c r="I429" s="7"/>
      <c r="J429" s="7" t="s">
        <v>36</v>
      </c>
      <c r="K429" s="7" t="s">
        <v>2336</v>
      </c>
      <c r="L429" s="7" t="s">
        <v>2337</v>
      </c>
      <c r="M429" s="7" t="s">
        <v>2338</v>
      </c>
      <c r="N429" s="7" t="s">
        <v>33</v>
      </c>
      <c r="O429" s="7">
        <v>1</v>
      </c>
      <c r="P429" s="7" t="s">
        <v>40</v>
      </c>
      <c r="Q429" s="7">
        <v>18.99</v>
      </c>
      <c r="R429" s="7"/>
      <c r="S429" s="7"/>
      <c r="T429" s="7"/>
      <c r="U429" s="7"/>
      <c r="V429" s="7"/>
      <c r="W429" s="7"/>
      <c r="X429" s="7"/>
      <c r="Y429" s="7" t="s">
        <v>2331</v>
      </c>
      <c r="Z429" s="7" t="s">
        <v>219</v>
      </c>
      <c r="AA429" s="7" t="s">
        <v>2332</v>
      </c>
      <c r="AB429" s="7" t="s">
        <v>43</v>
      </c>
      <c r="AC429" s="7"/>
      <c r="AD429" s="7"/>
      <c r="AE429" s="7"/>
      <c r="AF429" s="7"/>
      <c r="AG429" s="8">
        <f t="shared" si="6"/>
        <v>43322</v>
      </c>
    </row>
    <row r="430" spans="1:33">
      <c r="A430" s="7" t="s">
        <v>2339</v>
      </c>
      <c r="B430" s="7" t="s">
        <v>2339</v>
      </c>
      <c r="C430" s="7" t="s">
        <v>2340</v>
      </c>
      <c r="D430" s="7" t="s">
        <v>2341</v>
      </c>
      <c r="E430" s="7" t="s">
        <v>33</v>
      </c>
      <c r="F430" s="7" t="s">
        <v>34</v>
      </c>
      <c r="G430" s="7" t="s">
        <v>35</v>
      </c>
      <c r="H430" s="7"/>
      <c r="I430" s="7"/>
      <c r="J430" s="7" t="s">
        <v>36</v>
      </c>
      <c r="K430" s="7" t="s">
        <v>388</v>
      </c>
      <c r="L430" s="7" t="s">
        <v>700</v>
      </c>
      <c r="M430" s="7" t="s">
        <v>701</v>
      </c>
      <c r="N430" s="7" t="s">
        <v>33</v>
      </c>
      <c r="O430" s="7">
        <v>1</v>
      </c>
      <c r="P430" s="7" t="s">
        <v>40</v>
      </c>
      <c r="Q430" s="7">
        <v>19.38</v>
      </c>
      <c r="R430" s="7"/>
      <c r="S430" s="7"/>
      <c r="T430" s="7"/>
      <c r="U430" s="7"/>
      <c r="V430" s="7"/>
      <c r="W430" s="7"/>
      <c r="X430" s="7"/>
      <c r="Y430" s="7" t="s">
        <v>187</v>
      </c>
      <c r="Z430" s="7" t="s">
        <v>59</v>
      </c>
      <c r="AA430" s="7">
        <v>95136</v>
      </c>
      <c r="AB430" s="7" t="s">
        <v>43</v>
      </c>
      <c r="AC430" s="7"/>
      <c r="AD430" s="7"/>
      <c r="AE430" s="7"/>
      <c r="AF430" s="7"/>
      <c r="AG430" s="8">
        <f t="shared" si="6"/>
        <v>43322</v>
      </c>
    </row>
    <row r="431" spans="1:33">
      <c r="A431" s="7" t="s">
        <v>2342</v>
      </c>
      <c r="B431" s="7" t="s">
        <v>2342</v>
      </c>
      <c r="C431" s="7" t="s">
        <v>2343</v>
      </c>
      <c r="D431" s="7" t="s">
        <v>2344</v>
      </c>
      <c r="E431" s="7" t="s">
        <v>33</v>
      </c>
      <c r="F431" s="7" t="s">
        <v>34</v>
      </c>
      <c r="G431" s="7" t="s">
        <v>35</v>
      </c>
      <c r="H431" s="7"/>
      <c r="I431" s="7"/>
      <c r="J431" s="7" t="s">
        <v>36</v>
      </c>
      <c r="K431" s="7" t="s">
        <v>388</v>
      </c>
      <c r="L431" s="7" t="s">
        <v>1998</v>
      </c>
      <c r="M431" s="7" t="s">
        <v>1999</v>
      </c>
      <c r="N431" s="7" t="s">
        <v>33</v>
      </c>
      <c r="O431" s="7">
        <v>1</v>
      </c>
      <c r="P431" s="7" t="s">
        <v>40</v>
      </c>
      <c r="Q431" s="7">
        <v>19.38</v>
      </c>
      <c r="R431" s="7"/>
      <c r="S431" s="7"/>
      <c r="T431" s="7"/>
      <c r="U431" s="7"/>
      <c r="V431" s="7"/>
      <c r="W431" s="7"/>
      <c r="X431" s="7"/>
      <c r="Y431" s="7" t="s">
        <v>2345</v>
      </c>
      <c r="Z431" s="7" t="s">
        <v>59</v>
      </c>
      <c r="AA431" s="7" t="s">
        <v>2346</v>
      </c>
      <c r="AB431" s="7" t="s">
        <v>43</v>
      </c>
      <c r="AC431" s="7"/>
      <c r="AD431" s="7"/>
      <c r="AE431" s="7"/>
      <c r="AF431" s="7"/>
      <c r="AG431" s="8">
        <f t="shared" si="6"/>
        <v>43322</v>
      </c>
    </row>
    <row r="432" spans="1:33">
      <c r="A432" s="7" t="s">
        <v>2347</v>
      </c>
      <c r="B432" s="7" t="s">
        <v>2347</v>
      </c>
      <c r="C432" s="7" t="s">
        <v>2348</v>
      </c>
      <c r="D432" s="7" t="s">
        <v>2349</v>
      </c>
      <c r="E432" s="7" t="s">
        <v>33</v>
      </c>
      <c r="F432" s="7" t="s">
        <v>34</v>
      </c>
      <c r="G432" s="7" t="s">
        <v>35</v>
      </c>
      <c r="H432" s="7"/>
      <c r="I432" s="7"/>
      <c r="J432" s="7" t="s">
        <v>36</v>
      </c>
      <c r="K432" s="7" t="s">
        <v>37</v>
      </c>
      <c r="L432" s="7" t="s">
        <v>162</v>
      </c>
      <c r="M432" s="7" t="s">
        <v>163</v>
      </c>
      <c r="N432" s="7" t="s">
        <v>33</v>
      </c>
      <c r="O432" s="7">
        <v>1</v>
      </c>
      <c r="P432" s="7" t="s">
        <v>40</v>
      </c>
      <c r="Q432" s="7">
        <v>19.99</v>
      </c>
      <c r="R432" s="7"/>
      <c r="S432" s="7"/>
      <c r="T432" s="7"/>
      <c r="U432" s="7"/>
      <c r="V432" s="7"/>
      <c r="W432" s="7"/>
      <c r="X432" s="7"/>
      <c r="Y432" s="7" t="s">
        <v>1733</v>
      </c>
      <c r="Z432" s="7" t="s">
        <v>392</v>
      </c>
      <c r="AA432" s="7" t="s">
        <v>1734</v>
      </c>
      <c r="AB432" s="7" t="s">
        <v>43</v>
      </c>
      <c r="AC432" s="7"/>
      <c r="AD432" s="7"/>
      <c r="AE432" s="7"/>
      <c r="AF432" s="7"/>
      <c r="AG432" s="8">
        <f t="shared" si="6"/>
        <v>43322</v>
      </c>
    </row>
    <row r="433" spans="1:33">
      <c r="A433" s="7" t="s">
        <v>2347</v>
      </c>
      <c r="B433" s="7" t="s">
        <v>2347</v>
      </c>
      <c r="C433" s="7" t="s">
        <v>2348</v>
      </c>
      <c r="D433" s="7" t="s">
        <v>2349</v>
      </c>
      <c r="E433" s="7" t="s">
        <v>33</v>
      </c>
      <c r="F433" s="7" t="s">
        <v>34</v>
      </c>
      <c r="G433" s="7" t="s">
        <v>35</v>
      </c>
      <c r="H433" s="7"/>
      <c r="I433" s="7"/>
      <c r="J433" s="7" t="s">
        <v>36</v>
      </c>
      <c r="K433" s="7" t="s">
        <v>37</v>
      </c>
      <c r="L433" s="7" t="s">
        <v>224</v>
      </c>
      <c r="M433" s="7" t="s">
        <v>225</v>
      </c>
      <c r="N433" s="7" t="s">
        <v>33</v>
      </c>
      <c r="O433" s="7">
        <v>1</v>
      </c>
      <c r="P433" s="7" t="s">
        <v>40</v>
      </c>
      <c r="Q433" s="7">
        <v>19.99</v>
      </c>
      <c r="R433" s="7"/>
      <c r="S433" s="7"/>
      <c r="T433" s="7"/>
      <c r="U433" s="7"/>
      <c r="V433" s="7"/>
      <c r="W433" s="7"/>
      <c r="X433" s="7"/>
      <c r="Y433" s="7" t="s">
        <v>1733</v>
      </c>
      <c r="Z433" s="7" t="s">
        <v>392</v>
      </c>
      <c r="AA433" s="7" t="s">
        <v>1734</v>
      </c>
      <c r="AB433" s="7" t="s">
        <v>43</v>
      </c>
      <c r="AC433" s="7"/>
      <c r="AD433" s="7"/>
      <c r="AE433" s="7"/>
      <c r="AF433" s="7"/>
      <c r="AG433" s="8">
        <f t="shared" si="6"/>
        <v>43322</v>
      </c>
    </row>
    <row r="434" spans="1:33">
      <c r="A434" s="7" t="s">
        <v>2350</v>
      </c>
      <c r="B434" s="7" t="s">
        <v>2350</v>
      </c>
      <c r="C434" s="7" t="s">
        <v>2351</v>
      </c>
      <c r="D434" s="7" t="s">
        <v>2352</v>
      </c>
      <c r="E434" s="7" t="s">
        <v>33</v>
      </c>
      <c r="F434" s="7" t="s">
        <v>34</v>
      </c>
      <c r="G434" s="7" t="s">
        <v>35</v>
      </c>
      <c r="H434" s="7"/>
      <c r="I434" s="7"/>
      <c r="J434" s="7" t="s">
        <v>336</v>
      </c>
      <c r="K434" s="7" t="s">
        <v>2353</v>
      </c>
      <c r="L434" s="7" t="s">
        <v>2354</v>
      </c>
      <c r="M434" s="7" t="s">
        <v>2355</v>
      </c>
      <c r="N434" s="7" t="s">
        <v>33</v>
      </c>
      <c r="O434" s="7">
        <v>1</v>
      </c>
      <c r="P434" s="7" t="s">
        <v>40</v>
      </c>
      <c r="Q434" s="7">
        <v>18.98</v>
      </c>
      <c r="R434" s="7"/>
      <c r="S434" s="7">
        <v>5.99</v>
      </c>
      <c r="T434" s="7"/>
      <c r="U434" s="7"/>
      <c r="V434" s="7"/>
      <c r="W434" s="7"/>
      <c r="X434" s="7"/>
      <c r="Y434" s="7" t="s">
        <v>2356</v>
      </c>
      <c r="Z434" s="7" t="s">
        <v>135</v>
      </c>
      <c r="AA434" s="7" t="s">
        <v>2357</v>
      </c>
      <c r="AB434" s="7" t="s">
        <v>43</v>
      </c>
      <c r="AC434" s="7"/>
      <c r="AD434" s="7"/>
      <c r="AE434" s="7"/>
      <c r="AF434" s="7"/>
      <c r="AG434" s="8">
        <f t="shared" si="6"/>
        <v>43322</v>
      </c>
    </row>
    <row r="435" spans="1:33">
      <c r="A435" s="7" t="s">
        <v>2358</v>
      </c>
      <c r="B435" s="7" t="s">
        <v>2358</v>
      </c>
      <c r="C435" s="7" t="s">
        <v>2359</v>
      </c>
      <c r="D435" s="7" t="s">
        <v>2360</v>
      </c>
      <c r="E435" s="7" t="s">
        <v>33</v>
      </c>
      <c r="F435" s="7" t="s">
        <v>34</v>
      </c>
      <c r="G435" s="7" t="s">
        <v>35</v>
      </c>
      <c r="H435" s="7"/>
      <c r="I435" s="7"/>
      <c r="J435" s="7" t="s">
        <v>36</v>
      </c>
      <c r="K435" s="7" t="s">
        <v>125</v>
      </c>
      <c r="L435" s="7" t="s">
        <v>126</v>
      </c>
      <c r="M435" s="7" t="s">
        <v>127</v>
      </c>
      <c r="N435" s="7" t="s">
        <v>33</v>
      </c>
      <c r="O435" s="7">
        <v>1</v>
      </c>
      <c r="P435" s="7" t="s">
        <v>40</v>
      </c>
      <c r="Q435" s="7">
        <v>18.99</v>
      </c>
      <c r="R435" s="7"/>
      <c r="S435" s="7"/>
      <c r="T435" s="7"/>
      <c r="U435" s="7"/>
      <c r="V435" s="7"/>
      <c r="W435" s="7"/>
      <c r="X435" s="7"/>
      <c r="Y435" s="7" t="s">
        <v>2361</v>
      </c>
      <c r="Z435" s="7" t="s">
        <v>2362</v>
      </c>
      <c r="AA435" s="7" t="s">
        <v>2363</v>
      </c>
      <c r="AB435" s="7" t="s">
        <v>43</v>
      </c>
      <c r="AC435" s="7"/>
      <c r="AD435" s="7"/>
      <c r="AE435" s="7"/>
      <c r="AF435" s="7"/>
      <c r="AG435" s="8">
        <f t="shared" si="6"/>
        <v>43322</v>
      </c>
    </row>
    <row r="436" spans="1:33">
      <c r="A436" s="7" t="s">
        <v>2364</v>
      </c>
      <c r="B436" s="7" t="s">
        <v>2364</v>
      </c>
      <c r="C436" s="7" t="s">
        <v>2365</v>
      </c>
      <c r="D436" s="7" t="s">
        <v>2366</v>
      </c>
      <c r="E436" s="7" t="s">
        <v>99</v>
      </c>
      <c r="F436" s="7" t="s">
        <v>34</v>
      </c>
      <c r="G436" s="7" t="s">
        <v>35</v>
      </c>
      <c r="H436" s="7"/>
      <c r="I436" s="7"/>
      <c r="J436" s="7" t="s">
        <v>36</v>
      </c>
      <c r="K436" s="7" t="s">
        <v>255</v>
      </c>
      <c r="L436" s="7" t="s">
        <v>277</v>
      </c>
      <c r="M436" s="7" t="s">
        <v>278</v>
      </c>
      <c r="N436" s="7" t="s">
        <v>99</v>
      </c>
      <c r="O436" s="7">
        <v>0</v>
      </c>
      <c r="P436" s="7"/>
      <c r="Q436" s="7"/>
      <c r="R436" s="7"/>
      <c r="S436" s="7"/>
      <c r="T436" s="7"/>
      <c r="U436" s="7"/>
      <c r="V436" s="7"/>
      <c r="W436" s="7"/>
      <c r="X436" s="7"/>
      <c r="Y436" s="7" t="s">
        <v>2367</v>
      </c>
      <c r="Z436" s="7" t="s">
        <v>59</v>
      </c>
      <c r="AA436" s="7" t="s">
        <v>2368</v>
      </c>
      <c r="AB436" s="7" t="s">
        <v>43</v>
      </c>
      <c r="AC436" s="7"/>
      <c r="AD436" s="7"/>
      <c r="AE436" s="7"/>
      <c r="AF436" s="7"/>
      <c r="AG436" s="8">
        <f t="shared" si="6"/>
        <v>43322</v>
      </c>
    </row>
    <row r="437" spans="1:33">
      <c r="A437" s="7" t="s">
        <v>2369</v>
      </c>
      <c r="B437" s="7" t="s">
        <v>2369</v>
      </c>
      <c r="C437" s="7" t="s">
        <v>2370</v>
      </c>
      <c r="D437" s="7" t="s">
        <v>2371</v>
      </c>
      <c r="E437" s="7" t="s">
        <v>33</v>
      </c>
      <c r="F437" s="7" t="s">
        <v>34</v>
      </c>
      <c r="G437" s="7" t="s">
        <v>35</v>
      </c>
      <c r="H437" s="7"/>
      <c r="I437" s="7"/>
      <c r="J437" s="7" t="s">
        <v>36</v>
      </c>
      <c r="K437" s="7" t="s">
        <v>1029</v>
      </c>
      <c r="L437" s="7" t="s">
        <v>1367</v>
      </c>
      <c r="M437" s="7" t="s">
        <v>1368</v>
      </c>
      <c r="N437" s="7" t="s">
        <v>33</v>
      </c>
      <c r="O437" s="7">
        <v>1</v>
      </c>
      <c r="P437" s="7" t="s">
        <v>40</v>
      </c>
      <c r="Q437" s="7">
        <v>18.99</v>
      </c>
      <c r="R437" s="7"/>
      <c r="S437" s="7"/>
      <c r="T437" s="7"/>
      <c r="U437" s="7"/>
      <c r="V437" s="7"/>
      <c r="W437" s="7"/>
      <c r="X437" s="7"/>
      <c r="Y437" s="7" t="s">
        <v>2372</v>
      </c>
      <c r="Z437" s="7" t="s">
        <v>1341</v>
      </c>
      <c r="AA437" s="7" t="s">
        <v>2373</v>
      </c>
      <c r="AB437" s="7" t="s">
        <v>43</v>
      </c>
      <c r="AC437" s="7"/>
      <c r="AD437" s="7"/>
      <c r="AE437" s="7"/>
      <c r="AF437" s="7"/>
      <c r="AG437" s="8">
        <f t="shared" si="6"/>
        <v>43323</v>
      </c>
    </row>
    <row r="438" spans="1:33">
      <c r="A438" s="7" t="s">
        <v>2374</v>
      </c>
      <c r="B438" s="7" t="s">
        <v>2374</v>
      </c>
      <c r="C438" s="7" t="s">
        <v>2375</v>
      </c>
      <c r="D438" s="7" t="s">
        <v>2376</v>
      </c>
      <c r="E438" s="7" t="s">
        <v>99</v>
      </c>
      <c r="F438" s="7" t="s">
        <v>34</v>
      </c>
      <c r="G438" s="7" t="s">
        <v>35</v>
      </c>
      <c r="H438" s="7"/>
      <c r="I438" s="7"/>
      <c r="J438" s="7" t="s">
        <v>36</v>
      </c>
      <c r="K438" s="7" t="s">
        <v>255</v>
      </c>
      <c r="L438" s="7" t="s">
        <v>277</v>
      </c>
      <c r="M438" s="7" t="s">
        <v>278</v>
      </c>
      <c r="N438" s="7" t="s">
        <v>99</v>
      </c>
      <c r="O438" s="7">
        <v>0</v>
      </c>
      <c r="P438" s="7"/>
      <c r="Q438" s="7"/>
      <c r="R438" s="7"/>
      <c r="S438" s="7"/>
      <c r="T438" s="7"/>
      <c r="U438" s="7"/>
      <c r="V438" s="7"/>
      <c r="W438" s="7"/>
      <c r="X438" s="7"/>
      <c r="Y438" s="7" t="s">
        <v>2377</v>
      </c>
      <c r="Z438" s="7" t="s">
        <v>383</v>
      </c>
      <c r="AA438" s="7">
        <v>13901</v>
      </c>
      <c r="AB438" s="7" t="s">
        <v>43</v>
      </c>
      <c r="AC438" s="7"/>
      <c r="AD438" s="7"/>
      <c r="AE438" s="7"/>
      <c r="AF438" s="7"/>
      <c r="AG438" s="8">
        <f t="shared" si="6"/>
        <v>43323</v>
      </c>
    </row>
    <row r="439" spans="1:33">
      <c r="A439" s="7" t="s">
        <v>2378</v>
      </c>
      <c r="B439" s="7" t="s">
        <v>2378</v>
      </c>
      <c r="C439" s="7" t="s">
        <v>2379</v>
      </c>
      <c r="D439" s="7" t="s">
        <v>2380</v>
      </c>
      <c r="E439" s="7" t="s">
        <v>33</v>
      </c>
      <c r="F439" s="7" t="s">
        <v>34</v>
      </c>
      <c r="G439" s="7" t="s">
        <v>35</v>
      </c>
      <c r="H439" s="7"/>
      <c r="I439" s="7"/>
      <c r="J439" s="7" t="s">
        <v>36</v>
      </c>
      <c r="K439" s="7" t="s">
        <v>90</v>
      </c>
      <c r="L439" s="7" t="s">
        <v>284</v>
      </c>
      <c r="M439" s="7" t="s">
        <v>285</v>
      </c>
      <c r="N439" s="7" t="s">
        <v>33</v>
      </c>
      <c r="O439" s="7">
        <v>1</v>
      </c>
      <c r="P439" s="7" t="s">
        <v>40</v>
      </c>
      <c r="Q439" s="7">
        <v>19.99</v>
      </c>
      <c r="R439" s="7"/>
      <c r="S439" s="7"/>
      <c r="T439" s="7"/>
      <c r="U439" s="7"/>
      <c r="V439" s="7"/>
      <c r="W439" s="7"/>
      <c r="X439" s="7"/>
      <c r="Y439" s="7" t="s">
        <v>2381</v>
      </c>
      <c r="Z439" s="7" t="s">
        <v>165</v>
      </c>
      <c r="AA439" s="7" t="s">
        <v>2382</v>
      </c>
      <c r="AB439" s="7" t="s">
        <v>43</v>
      </c>
      <c r="AC439" s="7"/>
      <c r="AD439" s="7"/>
      <c r="AE439" s="7"/>
      <c r="AF439" s="7"/>
      <c r="AG439" s="8">
        <f t="shared" si="6"/>
        <v>43323</v>
      </c>
    </row>
    <row r="440" spans="1:33">
      <c r="A440" s="7" t="s">
        <v>2383</v>
      </c>
      <c r="B440" s="7" t="s">
        <v>2383</v>
      </c>
      <c r="C440" s="7" t="s">
        <v>2384</v>
      </c>
      <c r="D440" s="7" t="s">
        <v>2385</v>
      </c>
      <c r="E440" s="7" t="s">
        <v>33</v>
      </c>
      <c r="F440" s="7" t="s">
        <v>34</v>
      </c>
      <c r="G440" s="7" t="s">
        <v>35</v>
      </c>
      <c r="H440" s="7"/>
      <c r="I440" s="7"/>
      <c r="J440" s="7" t="s">
        <v>36</v>
      </c>
      <c r="K440" s="7" t="s">
        <v>170</v>
      </c>
      <c r="L440" s="7" t="s">
        <v>1494</v>
      </c>
      <c r="M440" s="7" t="s">
        <v>1495</v>
      </c>
      <c r="N440" s="7" t="s">
        <v>33</v>
      </c>
      <c r="O440" s="7">
        <v>1</v>
      </c>
      <c r="P440" s="7" t="s">
        <v>40</v>
      </c>
      <c r="Q440" s="7">
        <v>19.38</v>
      </c>
      <c r="R440" s="7"/>
      <c r="S440" s="7"/>
      <c r="T440" s="7"/>
      <c r="U440" s="7"/>
      <c r="V440" s="7"/>
      <c r="W440" s="7"/>
      <c r="X440" s="7"/>
      <c r="Y440" s="7" t="s">
        <v>2386</v>
      </c>
      <c r="Z440" s="7" t="s">
        <v>135</v>
      </c>
      <c r="AA440" s="7" t="s">
        <v>2387</v>
      </c>
      <c r="AB440" s="7" t="s">
        <v>43</v>
      </c>
      <c r="AC440" s="7"/>
      <c r="AD440" s="7"/>
      <c r="AE440" s="7"/>
      <c r="AF440" s="7"/>
      <c r="AG440" s="8">
        <f t="shared" si="6"/>
        <v>43323</v>
      </c>
    </row>
    <row r="441" spans="1:33">
      <c r="A441" s="7" t="s">
        <v>2388</v>
      </c>
      <c r="B441" s="7" t="s">
        <v>2388</v>
      </c>
      <c r="C441" s="7" t="s">
        <v>2389</v>
      </c>
      <c r="D441" s="7" t="s">
        <v>2390</v>
      </c>
      <c r="E441" s="7" t="s">
        <v>33</v>
      </c>
      <c r="F441" s="7" t="s">
        <v>34</v>
      </c>
      <c r="G441" s="7" t="s">
        <v>35</v>
      </c>
      <c r="H441" s="7"/>
      <c r="I441" s="7"/>
      <c r="J441" s="7" t="s">
        <v>36</v>
      </c>
      <c r="K441" s="7" t="s">
        <v>255</v>
      </c>
      <c r="L441" s="7" t="s">
        <v>2391</v>
      </c>
      <c r="M441" s="7" t="s">
        <v>2392</v>
      </c>
      <c r="N441" s="7" t="s">
        <v>33</v>
      </c>
      <c r="O441" s="7">
        <v>1</v>
      </c>
      <c r="P441" s="7" t="s">
        <v>40</v>
      </c>
      <c r="Q441" s="7">
        <v>19.99</v>
      </c>
      <c r="R441" s="7"/>
      <c r="S441" s="7"/>
      <c r="T441" s="7"/>
      <c r="U441" s="7"/>
      <c r="V441" s="7"/>
      <c r="W441" s="7"/>
      <c r="X441" s="7"/>
      <c r="Y441" s="7" t="s">
        <v>2393</v>
      </c>
      <c r="Z441" s="7" t="s">
        <v>452</v>
      </c>
      <c r="AA441" s="7" t="s">
        <v>2394</v>
      </c>
      <c r="AB441" s="7" t="s">
        <v>43</v>
      </c>
      <c r="AC441" s="7"/>
      <c r="AD441" s="7"/>
      <c r="AE441" s="7"/>
      <c r="AF441" s="7"/>
      <c r="AG441" s="8">
        <f t="shared" si="6"/>
        <v>43323</v>
      </c>
    </row>
    <row r="442" spans="1:33">
      <c r="A442" s="7" t="s">
        <v>2395</v>
      </c>
      <c r="B442" s="7" t="s">
        <v>2395</v>
      </c>
      <c r="C442" s="7" t="s">
        <v>2396</v>
      </c>
      <c r="D442" s="7" t="s">
        <v>2397</v>
      </c>
      <c r="E442" s="7" t="s">
        <v>33</v>
      </c>
      <c r="F442" s="7" t="s">
        <v>34</v>
      </c>
      <c r="G442" s="7" t="s">
        <v>35</v>
      </c>
      <c r="H442" s="7"/>
      <c r="I442" s="7"/>
      <c r="J442" s="7" t="s">
        <v>36</v>
      </c>
      <c r="K442" s="7" t="s">
        <v>170</v>
      </c>
      <c r="L442" s="7" t="s">
        <v>1494</v>
      </c>
      <c r="M442" s="7" t="s">
        <v>1495</v>
      </c>
      <c r="N442" s="7" t="s">
        <v>33</v>
      </c>
      <c r="O442" s="7">
        <v>1</v>
      </c>
      <c r="P442" s="7" t="s">
        <v>40</v>
      </c>
      <c r="Q442" s="7">
        <v>19.38</v>
      </c>
      <c r="R442" s="7"/>
      <c r="S442" s="7"/>
      <c r="T442" s="7"/>
      <c r="U442" s="7"/>
      <c r="V442" s="7"/>
      <c r="W442" s="7"/>
      <c r="X442" s="7"/>
      <c r="Y442" s="7" t="s">
        <v>2398</v>
      </c>
      <c r="Z442" s="7" t="s">
        <v>2399</v>
      </c>
      <c r="AA442" s="7">
        <v>37920</v>
      </c>
      <c r="AB442" s="7" t="s">
        <v>43</v>
      </c>
      <c r="AC442" s="7"/>
      <c r="AD442" s="7"/>
      <c r="AE442" s="7"/>
      <c r="AF442" s="7"/>
      <c r="AG442" s="8">
        <f t="shared" si="6"/>
        <v>43323</v>
      </c>
    </row>
    <row r="443" spans="1:33">
      <c r="A443" s="7" t="s">
        <v>2400</v>
      </c>
      <c r="B443" s="7" t="s">
        <v>2400</v>
      </c>
      <c r="C443" s="7" t="s">
        <v>2401</v>
      </c>
      <c r="D443" s="7" t="s">
        <v>2402</v>
      </c>
      <c r="E443" s="7" t="s">
        <v>33</v>
      </c>
      <c r="F443" s="7" t="s">
        <v>34</v>
      </c>
      <c r="G443" s="7" t="s">
        <v>35</v>
      </c>
      <c r="H443" s="7"/>
      <c r="I443" s="7"/>
      <c r="J443" s="7" t="s">
        <v>36</v>
      </c>
      <c r="K443" s="7" t="s">
        <v>215</v>
      </c>
      <c r="L443" s="7" t="s">
        <v>216</v>
      </c>
      <c r="M443" s="7" t="s">
        <v>217</v>
      </c>
      <c r="N443" s="7" t="s">
        <v>33</v>
      </c>
      <c r="O443" s="7">
        <v>1</v>
      </c>
      <c r="P443" s="7" t="s">
        <v>40</v>
      </c>
      <c r="Q443" s="7">
        <v>18.99</v>
      </c>
      <c r="R443" s="7"/>
      <c r="S443" s="7"/>
      <c r="T443" s="7"/>
      <c r="U443" s="7"/>
      <c r="V443" s="7"/>
      <c r="W443" s="7"/>
      <c r="X443" s="7"/>
      <c r="Y443" s="7" t="s">
        <v>2087</v>
      </c>
      <c r="Z443" s="7" t="s">
        <v>848</v>
      </c>
      <c r="AA443" s="7" t="s">
        <v>2088</v>
      </c>
      <c r="AB443" s="7" t="s">
        <v>43</v>
      </c>
      <c r="AC443" s="7"/>
      <c r="AD443" s="7"/>
      <c r="AE443" s="7"/>
      <c r="AF443" s="7"/>
      <c r="AG443" s="8">
        <f t="shared" si="6"/>
        <v>43323</v>
      </c>
    </row>
    <row r="444" spans="1:33">
      <c r="A444" s="7" t="s">
        <v>2400</v>
      </c>
      <c r="B444" s="7" t="s">
        <v>2400</v>
      </c>
      <c r="C444" s="7" t="s">
        <v>2401</v>
      </c>
      <c r="D444" s="7" t="s">
        <v>2402</v>
      </c>
      <c r="E444" s="7" t="s">
        <v>33</v>
      </c>
      <c r="F444" s="7" t="s">
        <v>34</v>
      </c>
      <c r="G444" s="7" t="s">
        <v>35</v>
      </c>
      <c r="H444" s="7"/>
      <c r="I444" s="7"/>
      <c r="J444" s="7" t="s">
        <v>36</v>
      </c>
      <c r="K444" s="7" t="s">
        <v>2092</v>
      </c>
      <c r="L444" s="7" t="s">
        <v>2093</v>
      </c>
      <c r="M444" s="7" t="s">
        <v>2094</v>
      </c>
      <c r="N444" s="7" t="s">
        <v>33</v>
      </c>
      <c r="O444" s="7">
        <v>1</v>
      </c>
      <c r="P444" s="7" t="s">
        <v>40</v>
      </c>
      <c r="Q444" s="7">
        <v>18.99</v>
      </c>
      <c r="R444" s="7"/>
      <c r="S444" s="7"/>
      <c r="T444" s="7"/>
      <c r="U444" s="7"/>
      <c r="V444" s="7"/>
      <c r="W444" s="7"/>
      <c r="X444" s="7"/>
      <c r="Y444" s="7" t="s">
        <v>2087</v>
      </c>
      <c r="Z444" s="7" t="s">
        <v>848</v>
      </c>
      <c r="AA444" s="7" t="s">
        <v>2088</v>
      </c>
      <c r="AB444" s="7" t="s">
        <v>43</v>
      </c>
      <c r="AC444" s="7"/>
      <c r="AD444" s="7"/>
      <c r="AE444" s="7"/>
      <c r="AF444" s="7"/>
      <c r="AG444" s="8">
        <f t="shared" si="6"/>
        <v>43323</v>
      </c>
    </row>
    <row r="445" spans="1:33">
      <c r="A445" s="7" t="s">
        <v>2403</v>
      </c>
      <c r="B445" s="7" t="s">
        <v>2403</v>
      </c>
      <c r="C445" s="7" t="s">
        <v>2404</v>
      </c>
      <c r="D445" s="7" t="s">
        <v>2405</v>
      </c>
      <c r="E445" s="7" t="s">
        <v>33</v>
      </c>
      <c r="F445" s="7" t="s">
        <v>34</v>
      </c>
      <c r="G445" s="7" t="s">
        <v>35</v>
      </c>
      <c r="H445" s="7"/>
      <c r="I445" s="7"/>
      <c r="J445" s="7" t="s">
        <v>36</v>
      </c>
      <c r="K445" s="7" t="s">
        <v>247</v>
      </c>
      <c r="L445" s="7" t="s">
        <v>248</v>
      </c>
      <c r="M445" s="7" t="s">
        <v>249</v>
      </c>
      <c r="N445" s="7" t="s">
        <v>33</v>
      </c>
      <c r="O445" s="7">
        <v>1</v>
      </c>
      <c r="P445" s="7" t="s">
        <v>40</v>
      </c>
      <c r="Q445" s="7">
        <v>18.99</v>
      </c>
      <c r="R445" s="7"/>
      <c r="S445" s="7"/>
      <c r="T445" s="7"/>
      <c r="U445" s="7"/>
      <c r="V445" s="7"/>
      <c r="W445" s="7"/>
      <c r="X445" s="7"/>
      <c r="Y445" s="7" t="s">
        <v>1922</v>
      </c>
      <c r="Z445" s="7" t="s">
        <v>59</v>
      </c>
      <c r="AA445" s="7" t="s">
        <v>2406</v>
      </c>
      <c r="AB445" s="7" t="s">
        <v>43</v>
      </c>
      <c r="AC445" s="7"/>
      <c r="AD445" s="7"/>
      <c r="AE445" s="7"/>
      <c r="AF445" s="7"/>
      <c r="AG445" s="8">
        <f t="shared" si="6"/>
        <v>43323</v>
      </c>
    </row>
    <row r="446" spans="1:33">
      <c r="A446" s="7" t="s">
        <v>2407</v>
      </c>
      <c r="B446" s="7" t="s">
        <v>2407</v>
      </c>
      <c r="C446" s="7" t="s">
        <v>2408</v>
      </c>
      <c r="D446" s="7" t="s">
        <v>2409</v>
      </c>
      <c r="E446" s="7" t="s">
        <v>33</v>
      </c>
      <c r="F446" s="7" t="s">
        <v>34</v>
      </c>
      <c r="G446" s="7" t="s">
        <v>35</v>
      </c>
      <c r="H446" s="7"/>
      <c r="I446" s="7"/>
      <c r="J446" s="7" t="s">
        <v>36</v>
      </c>
      <c r="K446" s="7" t="s">
        <v>199</v>
      </c>
      <c r="L446" s="7" t="s">
        <v>200</v>
      </c>
      <c r="M446" s="7" t="s">
        <v>201</v>
      </c>
      <c r="N446" s="7" t="s">
        <v>33</v>
      </c>
      <c r="O446" s="7">
        <v>1</v>
      </c>
      <c r="P446" s="7" t="s">
        <v>40</v>
      </c>
      <c r="Q446" s="7">
        <v>18.99</v>
      </c>
      <c r="R446" s="7"/>
      <c r="S446" s="7"/>
      <c r="T446" s="7"/>
      <c r="U446" s="7"/>
      <c r="V446" s="7"/>
      <c r="W446" s="7"/>
      <c r="X446" s="7"/>
      <c r="Y446" s="7" t="s">
        <v>2410</v>
      </c>
      <c r="Z446" s="7" t="s">
        <v>85</v>
      </c>
      <c r="AA446" s="7" t="s">
        <v>2411</v>
      </c>
      <c r="AB446" s="7" t="s">
        <v>43</v>
      </c>
      <c r="AC446" s="7"/>
      <c r="AD446" s="7"/>
      <c r="AE446" s="7"/>
      <c r="AF446" s="7"/>
      <c r="AG446" s="8">
        <f t="shared" si="6"/>
        <v>43323</v>
      </c>
    </row>
    <row r="447" spans="1:33">
      <c r="A447" s="7" t="s">
        <v>2412</v>
      </c>
      <c r="B447" s="7" t="s">
        <v>2412</v>
      </c>
      <c r="C447" s="7" t="s">
        <v>2413</v>
      </c>
      <c r="D447" s="7" t="s">
        <v>2414</v>
      </c>
      <c r="E447" s="7" t="s">
        <v>33</v>
      </c>
      <c r="F447" s="7" t="s">
        <v>34</v>
      </c>
      <c r="G447" s="7" t="s">
        <v>35</v>
      </c>
      <c r="H447" s="7"/>
      <c r="I447" s="7"/>
      <c r="J447" s="7" t="s">
        <v>336</v>
      </c>
      <c r="K447" s="7" t="s">
        <v>2415</v>
      </c>
      <c r="L447" s="7" t="s">
        <v>2416</v>
      </c>
      <c r="M447" s="7" t="s">
        <v>2417</v>
      </c>
      <c r="N447" s="7" t="s">
        <v>33</v>
      </c>
      <c r="O447" s="7">
        <v>1</v>
      </c>
      <c r="P447" s="7" t="s">
        <v>40</v>
      </c>
      <c r="Q447" s="7">
        <v>16.99</v>
      </c>
      <c r="R447" s="7"/>
      <c r="S447" s="7">
        <v>1.22</v>
      </c>
      <c r="T447" s="7"/>
      <c r="U447" s="7"/>
      <c r="V447" s="7"/>
      <c r="W447" s="7"/>
      <c r="X447" s="7"/>
      <c r="Y447" s="7" t="s">
        <v>2418</v>
      </c>
      <c r="Z447" s="7" t="s">
        <v>227</v>
      </c>
      <c r="AA447" s="7" t="s">
        <v>2419</v>
      </c>
      <c r="AB447" s="7" t="s">
        <v>43</v>
      </c>
      <c r="AC447" s="7"/>
      <c r="AD447" s="7"/>
      <c r="AE447" s="7"/>
      <c r="AF447" s="7"/>
      <c r="AG447" s="8">
        <f t="shared" si="6"/>
        <v>43323</v>
      </c>
    </row>
    <row r="448" spans="1:33">
      <c r="A448" s="7" t="s">
        <v>2412</v>
      </c>
      <c r="B448" s="7" t="s">
        <v>2412</v>
      </c>
      <c r="C448" s="7" t="s">
        <v>2413</v>
      </c>
      <c r="D448" s="7" t="s">
        <v>2414</v>
      </c>
      <c r="E448" s="7" t="s">
        <v>33</v>
      </c>
      <c r="F448" s="7" t="s">
        <v>34</v>
      </c>
      <c r="G448" s="7" t="s">
        <v>35</v>
      </c>
      <c r="H448" s="7"/>
      <c r="I448" s="7"/>
      <c r="J448" s="7" t="s">
        <v>336</v>
      </c>
      <c r="K448" s="7" t="s">
        <v>2420</v>
      </c>
      <c r="L448" s="7" t="s">
        <v>2421</v>
      </c>
      <c r="M448" s="7" t="s">
        <v>2422</v>
      </c>
      <c r="N448" s="7" t="s">
        <v>33</v>
      </c>
      <c r="O448" s="7">
        <v>1</v>
      </c>
      <c r="P448" s="7" t="s">
        <v>40</v>
      </c>
      <c r="Q448" s="7">
        <v>16.99</v>
      </c>
      <c r="R448" s="7"/>
      <c r="S448" s="7">
        <v>1.12</v>
      </c>
      <c r="T448" s="7"/>
      <c r="U448" s="7"/>
      <c r="V448" s="7"/>
      <c r="W448" s="7"/>
      <c r="X448" s="7"/>
      <c r="Y448" s="7" t="s">
        <v>2418</v>
      </c>
      <c r="Z448" s="7" t="s">
        <v>227</v>
      </c>
      <c r="AA448" s="7" t="s">
        <v>2419</v>
      </c>
      <c r="AB448" s="7" t="s">
        <v>43</v>
      </c>
      <c r="AC448" s="7"/>
      <c r="AD448" s="7"/>
      <c r="AE448" s="7"/>
      <c r="AF448" s="7"/>
      <c r="AG448" s="8">
        <f t="shared" si="6"/>
        <v>43323</v>
      </c>
    </row>
    <row r="449" spans="1:33">
      <c r="A449" s="7" t="s">
        <v>2423</v>
      </c>
      <c r="B449" s="7" t="s">
        <v>2423</v>
      </c>
      <c r="C449" s="7" t="s">
        <v>2424</v>
      </c>
      <c r="D449" s="7" t="s">
        <v>2425</v>
      </c>
      <c r="E449" s="7" t="s">
        <v>33</v>
      </c>
      <c r="F449" s="7" t="s">
        <v>34</v>
      </c>
      <c r="G449" s="7" t="s">
        <v>35</v>
      </c>
      <c r="H449" s="7"/>
      <c r="I449" s="7"/>
      <c r="J449" s="7" t="s">
        <v>36</v>
      </c>
      <c r="K449" s="7" t="s">
        <v>2293</v>
      </c>
      <c r="L449" s="7" t="s">
        <v>2294</v>
      </c>
      <c r="M449" s="7" t="s">
        <v>2295</v>
      </c>
      <c r="N449" s="7" t="s">
        <v>33</v>
      </c>
      <c r="O449" s="7">
        <v>1</v>
      </c>
      <c r="P449" s="7" t="s">
        <v>40</v>
      </c>
      <c r="Q449" s="7">
        <v>17.99</v>
      </c>
      <c r="R449" s="7"/>
      <c r="S449" s="7"/>
      <c r="T449" s="7"/>
      <c r="U449" s="7"/>
      <c r="V449" s="7"/>
      <c r="W449" s="7"/>
      <c r="X449" s="7"/>
      <c r="Y449" s="7" t="s">
        <v>2426</v>
      </c>
      <c r="Z449" s="7" t="s">
        <v>2427</v>
      </c>
      <c r="AA449" s="7" t="s">
        <v>2428</v>
      </c>
      <c r="AB449" s="7" t="s">
        <v>43</v>
      </c>
      <c r="AC449" s="7"/>
      <c r="AD449" s="7"/>
      <c r="AE449" s="7"/>
      <c r="AF449" s="7"/>
      <c r="AG449" s="8">
        <f t="shared" si="6"/>
        <v>43323</v>
      </c>
    </row>
    <row r="450" spans="1:33">
      <c r="A450" s="7" t="s">
        <v>2429</v>
      </c>
      <c r="B450" s="7" t="s">
        <v>2429</v>
      </c>
      <c r="C450" s="7" t="s">
        <v>2430</v>
      </c>
      <c r="D450" s="7" t="s">
        <v>2431</v>
      </c>
      <c r="E450" s="7" t="s">
        <v>33</v>
      </c>
      <c r="F450" s="7" t="s">
        <v>34</v>
      </c>
      <c r="G450" s="7" t="s">
        <v>35</v>
      </c>
      <c r="H450" s="7"/>
      <c r="I450" s="7"/>
      <c r="J450" s="7" t="s">
        <v>36</v>
      </c>
      <c r="K450" s="7" t="s">
        <v>90</v>
      </c>
      <c r="L450" s="7" t="s">
        <v>284</v>
      </c>
      <c r="M450" s="7" t="s">
        <v>285</v>
      </c>
      <c r="N450" s="7" t="s">
        <v>33</v>
      </c>
      <c r="O450" s="7">
        <v>1</v>
      </c>
      <c r="P450" s="7" t="s">
        <v>40</v>
      </c>
      <c r="Q450" s="7">
        <v>19.99</v>
      </c>
      <c r="R450" s="7"/>
      <c r="S450" s="7"/>
      <c r="T450" s="7"/>
      <c r="U450" s="7"/>
      <c r="V450" s="7"/>
      <c r="W450" s="7"/>
      <c r="X450" s="7"/>
      <c r="Y450" s="7" t="s">
        <v>2194</v>
      </c>
      <c r="Z450" s="7" t="s">
        <v>143</v>
      </c>
      <c r="AA450" s="7">
        <v>27529</v>
      </c>
      <c r="AB450" s="7" t="s">
        <v>43</v>
      </c>
      <c r="AC450" s="7"/>
      <c r="AD450" s="7"/>
      <c r="AE450" s="7"/>
      <c r="AF450" s="7"/>
      <c r="AG450" s="8">
        <f t="shared" ref="AG450:AG513" si="7">DATEVALUE(LEFT(C450,10))</f>
        <v>43323</v>
      </c>
    </row>
    <row r="451" spans="1:33">
      <c r="A451" s="7" t="s">
        <v>2432</v>
      </c>
      <c r="B451" s="7" t="s">
        <v>2432</v>
      </c>
      <c r="C451" s="7" t="s">
        <v>2433</v>
      </c>
      <c r="D451" s="7" t="s">
        <v>2434</v>
      </c>
      <c r="E451" s="7" t="s">
        <v>33</v>
      </c>
      <c r="F451" s="7" t="s">
        <v>34</v>
      </c>
      <c r="G451" s="7" t="s">
        <v>35</v>
      </c>
      <c r="H451" s="7"/>
      <c r="I451" s="7"/>
      <c r="J451" s="7" t="s">
        <v>36</v>
      </c>
      <c r="K451" s="7" t="s">
        <v>125</v>
      </c>
      <c r="L451" s="7" t="s">
        <v>126</v>
      </c>
      <c r="M451" s="7" t="s">
        <v>127</v>
      </c>
      <c r="N451" s="7" t="s">
        <v>33</v>
      </c>
      <c r="O451" s="7">
        <v>1</v>
      </c>
      <c r="P451" s="7" t="s">
        <v>40</v>
      </c>
      <c r="Q451" s="7">
        <v>18.99</v>
      </c>
      <c r="R451" s="7"/>
      <c r="S451" s="7"/>
      <c r="T451" s="7"/>
      <c r="U451" s="7"/>
      <c r="V451" s="7"/>
      <c r="W451" s="7"/>
      <c r="X451" s="7"/>
      <c r="Y451" s="7" t="s">
        <v>2435</v>
      </c>
      <c r="Z451" s="7" t="s">
        <v>174</v>
      </c>
      <c r="AA451" s="7" t="s">
        <v>2436</v>
      </c>
      <c r="AB451" s="7" t="s">
        <v>43</v>
      </c>
      <c r="AC451" s="7"/>
      <c r="AD451" s="7"/>
      <c r="AE451" s="7"/>
      <c r="AF451" s="7"/>
      <c r="AG451" s="8">
        <f t="shared" si="7"/>
        <v>43323</v>
      </c>
    </row>
    <row r="452" spans="1:33">
      <c r="A452" s="7" t="s">
        <v>2437</v>
      </c>
      <c r="B452" s="7" t="s">
        <v>2437</v>
      </c>
      <c r="C452" s="7" t="s">
        <v>2438</v>
      </c>
      <c r="D452" s="7" t="s">
        <v>2439</v>
      </c>
      <c r="E452" s="7" t="s">
        <v>33</v>
      </c>
      <c r="F452" s="7" t="s">
        <v>34</v>
      </c>
      <c r="G452" s="7" t="s">
        <v>35</v>
      </c>
      <c r="H452" s="7"/>
      <c r="I452" s="7"/>
      <c r="J452" s="7" t="s">
        <v>36</v>
      </c>
      <c r="K452" s="7" t="s">
        <v>456</v>
      </c>
      <c r="L452" s="7" t="s">
        <v>1481</v>
      </c>
      <c r="M452" s="7" t="s">
        <v>1482</v>
      </c>
      <c r="N452" s="7" t="s">
        <v>33</v>
      </c>
      <c r="O452" s="7">
        <v>1</v>
      </c>
      <c r="P452" s="7" t="s">
        <v>40</v>
      </c>
      <c r="Q452" s="7">
        <v>19.99</v>
      </c>
      <c r="R452" s="7"/>
      <c r="S452" s="7"/>
      <c r="T452" s="7"/>
      <c r="U452" s="7"/>
      <c r="V452" s="7"/>
      <c r="W452" s="7"/>
      <c r="X452" s="7"/>
      <c r="Y452" s="7" t="s">
        <v>2440</v>
      </c>
      <c r="Z452" s="7" t="s">
        <v>94</v>
      </c>
      <c r="AA452" s="7" t="s">
        <v>2441</v>
      </c>
      <c r="AB452" s="7" t="s">
        <v>43</v>
      </c>
      <c r="AC452" s="7"/>
      <c r="AD452" s="7"/>
      <c r="AE452" s="7"/>
      <c r="AF452" s="7"/>
      <c r="AG452" s="8">
        <f t="shared" si="7"/>
        <v>43323</v>
      </c>
    </row>
    <row r="453" spans="1:33">
      <c r="A453" s="7" t="s">
        <v>2442</v>
      </c>
      <c r="B453" s="7" t="s">
        <v>2442</v>
      </c>
      <c r="C453" s="7" t="s">
        <v>2443</v>
      </c>
      <c r="D453" s="7" t="s">
        <v>2444</v>
      </c>
      <c r="E453" s="7" t="s">
        <v>33</v>
      </c>
      <c r="F453" s="7" t="s">
        <v>34</v>
      </c>
      <c r="G453" s="7" t="s">
        <v>35</v>
      </c>
      <c r="H453" s="7"/>
      <c r="I453" s="7"/>
      <c r="J453" s="7" t="s">
        <v>36</v>
      </c>
      <c r="K453" s="7" t="s">
        <v>90</v>
      </c>
      <c r="L453" s="7" t="s">
        <v>284</v>
      </c>
      <c r="M453" s="7" t="s">
        <v>285</v>
      </c>
      <c r="N453" s="7" t="s">
        <v>33</v>
      </c>
      <c r="O453" s="7">
        <v>2</v>
      </c>
      <c r="P453" s="7" t="s">
        <v>40</v>
      </c>
      <c r="Q453" s="7">
        <v>39.98</v>
      </c>
      <c r="R453" s="7"/>
      <c r="S453" s="7"/>
      <c r="T453" s="7"/>
      <c r="U453" s="7"/>
      <c r="V453" s="7"/>
      <c r="W453" s="7"/>
      <c r="X453" s="7"/>
      <c r="Y453" s="7" t="s">
        <v>2445</v>
      </c>
      <c r="Z453" s="7" t="s">
        <v>135</v>
      </c>
      <c r="AA453" s="7" t="s">
        <v>2446</v>
      </c>
      <c r="AB453" s="7" t="s">
        <v>43</v>
      </c>
      <c r="AC453" s="7"/>
      <c r="AD453" s="7"/>
      <c r="AE453" s="7"/>
      <c r="AF453" s="7"/>
      <c r="AG453" s="8">
        <f t="shared" si="7"/>
        <v>43323</v>
      </c>
    </row>
    <row r="454" spans="1:33">
      <c r="A454" s="7" t="s">
        <v>2447</v>
      </c>
      <c r="B454" s="7" t="s">
        <v>2447</v>
      </c>
      <c r="C454" s="7" t="s">
        <v>2448</v>
      </c>
      <c r="D454" s="7" t="s">
        <v>2449</v>
      </c>
      <c r="E454" s="7" t="s">
        <v>33</v>
      </c>
      <c r="F454" s="7" t="s">
        <v>34</v>
      </c>
      <c r="G454" s="7" t="s">
        <v>35</v>
      </c>
      <c r="H454" s="7"/>
      <c r="I454" s="7"/>
      <c r="J454" s="7" t="s">
        <v>36</v>
      </c>
      <c r="K454" s="7" t="s">
        <v>247</v>
      </c>
      <c r="L454" s="7" t="s">
        <v>248</v>
      </c>
      <c r="M454" s="7" t="s">
        <v>249</v>
      </c>
      <c r="N454" s="7" t="s">
        <v>33</v>
      </c>
      <c r="O454" s="7">
        <v>1</v>
      </c>
      <c r="P454" s="7" t="s">
        <v>40</v>
      </c>
      <c r="Q454" s="7">
        <v>18.99</v>
      </c>
      <c r="R454" s="7"/>
      <c r="S454" s="7"/>
      <c r="T454" s="7"/>
      <c r="U454" s="7"/>
      <c r="V454" s="7"/>
      <c r="W454" s="7"/>
      <c r="X454" s="7"/>
      <c r="Y454" s="7" t="s">
        <v>2450</v>
      </c>
      <c r="Z454" s="7" t="s">
        <v>227</v>
      </c>
      <c r="AA454" s="7" t="s">
        <v>2451</v>
      </c>
      <c r="AB454" s="7" t="s">
        <v>43</v>
      </c>
      <c r="AC454" s="7"/>
      <c r="AD454" s="7"/>
      <c r="AE454" s="7"/>
      <c r="AF454" s="7"/>
      <c r="AG454" s="8">
        <f t="shared" si="7"/>
        <v>43323</v>
      </c>
    </row>
    <row r="455" spans="1:33">
      <c r="A455" s="7" t="s">
        <v>2452</v>
      </c>
      <c r="B455" s="7" t="s">
        <v>2452</v>
      </c>
      <c r="C455" s="7" t="s">
        <v>2453</v>
      </c>
      <c r="D455" s="7" t="s">
        <v>2454</v>
      </c>
      <c r="E455" s="7" t="s">
        <v>33</v>
      </c>
      <c r="F455" s="7" t="s">
        <v>34</v>
      </c>
      <c r="G455" s="7" t="s">
        <v>35</v>
      </c>
      <c r="H455" s="7"/>
      <c r="I455" s="7"/>
      <c r="J455" s="7" t="s">
        <v>36</v>
      </c>
      <c r="K455" s="7" t="s">
        <v>255</v>
      </c>
      <c r="L455" s="7" t="s">
        <v>277</v>
      </c>
      <c r="M455" s="7" t="s">
        <v>278</v>
      </c>
      <c r="N455" s="7" t="s">
        <v>33</v>
      </c>
      <c r="O455" s="7">
        <v>1</v>
      </c>
      <c r="P455" s="7" t="s">
        <v>40</v>
      </c>
      <c r="Q455" s="7">
        <v>19.99</v>
      </c>
      <c r="R455" s="7"/>
      <c r="S455" s="7"/>
      <c r="T455" s="7"/>
      <c r="U455" s="7"/>
      <c r="V455" s="7"/>
      <c r="W455" s="7"/>
      <c r="X455" s="7"/>
      <c r="Y455" s="7" t="s">
        <v>2455</v>
      </c>
      <c r="Z455" s="7" t="s">
        <v>165</v>
      </c>
      <c r="AA455" s="7" t="s">
        <v>2456</v>
      </c>
      <c r="AB455" s="7" t="s">
        <v>43</v>
      </c>
      <c r="AC455" s="7"/>
      <c r="AD455" s="7"/>
      <c r="AE455" s="7"/>
      <c r="AF455" s="7"/>
      <c r="AG455" s="8">
        <f t="shared" si="7"/>
        <v>43323</v>
      </c>
    </row>
    <row r="456" spans="1:33">
      <c r="A456" s="7" t="s">
        <v>2457</v>
      </c>
      <c r="B456" s="7" t="s">
        <v>2457</v>
      </c>
      <c r="C456" s="7" t="s">
        <v>2458</v>
      </c>
      <c r="D456" s="7" t="s">
        <v>2459</v>
      </c>
      <c r="E456" s="7" t="s">
        <v>33</v>
      </c>
      <c r="F456" s="7" t="s">
        <v>34</v>
      </c>
      <c r="G456" s="7" t="s">
        <v>35</v>
      </c>
      <c r="H456" s="7"/>
      <c r="I456" s="7"/>
      <c r="J456" s="7" t="s">
        <v>36</v>
      </c>
      <c r="K456" s="7" t="s">
        <v>37</v>
      </c>
      <c r="L456" s="7" t="s">
        <v>1092</v>
      </c>
      <c r="M456" s="7" t="s">
        <v>1093</v>
      </c>
      <c r="N456" s="7" t="s">
        <v>33</v>
      </c>
      <c r="O456" s="7">
        <v>1</v>
      </c>
      <c r="P456" s="7" t="s">
        <v>40</v>
      </c>
      <c r="Q456" s="7">
        <v>19.99</v>
      </c>
      <c r="R456" s="7"/>
      <c r="S456" s="7"/>
      <c r="T456" s="7"/>
      <c r="U456" s="7"/>
      <c r="V456" s="7"/>
      <c r="W456" s="7"/>
      <c r="X456" s="7"/>
      <c r="Y456" s="7" t="s">
        <v>2460</v>
      </c>
      <c r="Z456" s="7" t="s">
        <v>227</v>
      </c>
      <c r="AA456" s="7" t="s">
        <v>2461</v>
      </c>
      <c r="AB456" s="7" t="s">
        <v>43</v>
      </c>
      <c r="AC456" s="7"/>
      <c r="AD456" s="7"/>
      <c r="AE456" s="7"/>
      <c r="AF456" s="7"/>
      <c r="AG456" s="8">
        <f t="shared" si="7"/>
        <v>43323</v>
      </c>
    </row>
    <row r="457" spans="1:33">
      <c r="A457" s="7" t="s">
        <v>2462</v>
      </c>
      <c r="B457" s="7" t="s">
        <v>2462</v>
      </c>
      <c r="C457" s="7" t="s">
        <v>2463</v>
      </c>
      <c r="D457" s="7" t="s">
        <v>2464</v>
      </c>
      <c r="E457" s="7" t="s">
        <v>33</v>
      </c>
      <c r="F457" s="7" t="s">
        <v>34</v>
      </c>
      <c r="G457" s="7" t="s">
        <v>35</v>
      </c>
      <c r="H457" s="7"/>
      <c r="I457" s="7"/>
      <c r="J457" s="7" t="s">
        <v>36</v>
      </c>
      <c r="K457" s="7" t="s">
        <v>37</v>
      </c>
      <c r="L457" s="7" t="s">
        <v>82</v>
      </c>
      <c r="M457" s="7" t="s">
        <v>83</v>
      </c>
      <c r="N457" s="7" t="s">
        <v>33</v>
      </c>
      <c r="O457" s="7">
        <v>1</v>
      </c>
      <c r="P457" s="7" t="s">
        <v>40</v>
      </c>
      <c r="Q457" s="7">
        <v>19.99</v>
      </c>
      <c r="R457" s="7"/>
      <c r="S457" s="7"/>
      <c r="T457" s="7"/>
      <c r="U457" s="7"/>
      <c r="V457" s="7"/>
      <c r="W457" s="7"/>
      <c r="X457" s="7"/>
      <c r="Y457" s="7" t="s">
        <v>2465</v>
      </c>
      <c r="Z457" s="7" t="s">
        <v>165</v>
      </c>
      <c r="AA457" s="7">
        <v>61048</v>
      </c>
      <c r="AB457" s="7" t="s">
        <v>43</v>
      </c>
      <c r="AC457" s="7"/>
      <c r="AD457" s="7"/>
      <c r="AE457" s="7"/>
      <c r="AF457" s="7"/>
      <c r="AG457" s="8">
        <f t="shared" si="7"/>
        <v>43323</v>
      </c>
    </row>
    <row r="458" spans="1:33">
      <c r="A458" s="7" t="s">
        <v>2466</v>
      </c>
      <c r="B458" s="7" t="s">
        <v>2466</v>
      </c>
      <c r="C458" s="7" t="s">
        <v>2467</v>
      </c>
      <c r="D458" s="7" t="s">
        <v>2468</v>
      </c>
      <c r="E458" s="7" t="s">
        <v>33</v>
      </c>
      <c r="F458" s="7" t="s">
        <v>34</v>
      </c>
      <c r="G458" s="7" t="s">
        <v>35</v>
      </c>
      <c r="H458" s="7"/>
      <c r="I458" s="7"/>
      <c r="J458" s="7" t="s">
        <v>336</v>
      </c>
      <c r="K458" s="7" t="s">
        <v>566</v>
      </c>
      <c r="L458" s="7" t="s">
        <v>2469</v>
      </c>
      <c r="M458" s="7" t="s">
        <v>2470</v>
      </c>
      <c r="N458" s="7" t="s">
        <v>33</v>
      </c>
      <c r="O458" s="7">
        <v>1</v>
      </c>
      <c r="P458" s="7" t="s">
        <v>40</v>
      </c>
      <c r="Q458" s="7">
        <v>18.98</v>
      </c>
      <c r="R458" s="7"/>
      <c r="S458" s="7">
        <v>1.99</v>
      </c>
      <c r="T458" s="7"/>
      <c r="U458" s="7"/>
      <c r="V458" s="7"/>
      <c r="W458" s="7"/>
      <c r="X458" s="7">
        <v>1.99</v>
      </c>
      <c r="Y458" s="7" t="s">
        <v>2471</v>
      </c>
      <c r="Z458" s="7" t="s">
        <v>2472</v>
      </c>
      <c r="AA458" s="7" t="s">
        <v>2473</v>
      </c>
      <c r="AB458" s="7" t="s">
        <v>43</v>
      </c>
      <c r="AC458" s="7" t="s">
        <v>514</v>
      </c>
      <c r="AD458" s="7"/>
      <c r="AE458" s="7"/>
      <c r="AF458" s="7"/>
      <c r="AG458" s="8">
        <f t="shared" si="7"/>
        <v>43323</v>
      </c>
    </row>
    <row r="459" spans="1:33">
      <c r="A459" s="7" t="s">
        <v>2474</v>
      </c>
      <c r="B459" s="7" t="s">
        <v>2474</v>
      </c>
      <c r="C459" s="7" t="s">
        <v>2475</v>
      </c>
      <c r="D459" s="7" t="s">
        <v>2261</v>
      </c>
      <c r="E459" s="7" t="s">
        <v>33</v>
      </c>
      <c r="F459" s="7" t="s">
        <v>34</v>
      </c>
      <c r="G459" s="7" t="s">
        <v>35</v>
      </c>
      <c r="H459" s="7"/>
      <c r="I459" s="7"/>
      <c r="J459" s="7" t="s">
        <v>36</v>
      </c>
      <c r="K459" s="7" t="s">
        <v>199</v>
      </c>
      <c r="L459" s="7" t="s">
        <v>200</v>
      </c>
      <c r="M459" s="7" t="s">
        <v>201</v>
      </c>
      <c r="N459" s="7" t="s">
        <v>33</v>
      </c>
      <c r="O459" s="7">
        <v>1</v>
      </c>
      <c r="P459" s="7" t="s">
        <v>40</v>
      </c>
      <c r="Q459" s="7">
        <v>18.99</v>
      </c>
      <c r="R459" s="7"/>
      <c r="S459" s="7"/>
      <c r="T459" s="7"/>
      <c r="U459" s="7"/>
      <c r="V459" s="7"/>
      <c r="W459" s="7"/>
      <c r="X459" s="7"/>
      <c r="Y459" s="7" t="s">
        <v>429</v>
      </c>
      <c r="Z459" s="7" t="s">
        <v>59</v>
      </c>
      <c r="AA459" s="7" t="s">
        <v>2476</v>
      </c>
      <c r="AB459" s="7" t="s">
        <v>43</v>
      </c>
      <c r="AC459" s="7"/>
      <c r="AD459" s="7"/>
      <c r="AE459" s="7"/>
      <c r="AF459" s="7"/>
      <c r="AG459" s="8">
        <f t="shared" si="7"/>
        <v>43323</v>
      </c>
    </row>
    <row r="460" spans="1:33">
      <c r="A460" s="7" t="s">
        <v>2474</v>
      </c>
      <c r="B460" s="7" t="s">
        <v>2474</v>
      </c>
      <c r="C460" s="7" t="s">
        <v>2475</v>
      </c>
      <c r="D460" s="7" t="s">
        <v>2261</v>
      </c>
      <c r="E460" s="7" t="s">
        <v>33</v>
      </c>
      <c r="F460" s="7" t="s">
        <v>34</v>
      </c>
      <c r="G460" s="7" t="s">
        <v>35</v>
      </c>
      <c r="H460" s="7"/>
      <c r="I460" s="7"/>
      <c r="J460" s="7" t="s">
        <v>36</v>
      </c>
      <c r="K460" s="7" t="s">
        <v>247</v>
      </c>
      <c r="L460" s="7" t="s">
        <v>248</v>
      </c>
      <c r="M460" s="7" t="s">
        <v>249</v>
      </c>
      <c r="N460" s="7" t="s">
        <v>33</v>
      </c>
      <c r="O460" s="7">
        <v>1</v>
      </c>
      <c r="P460" s="7" t="s">
        <v>40</v>
      </c>
      <c r="Q460" s="7">
        <v>18.99</v>
      </c>
      <c r="R460" s="7"/>
      <c r="S460" s="7"/>
      <c r="T460" s="7"/>
      <c r="U460" s="7"/>
      <c r="V460" s="7"/>
      <c r="W460" s="7"/>
      <c r="X460" s="7"/>
      <c r="Y460" s="7" t="s">
        <v>429</v>
      </c>
      <c r="Z460" s="7" t="s">
        <v>59</v>
      </c>
      <c r="AA460" s="7" t="s">
        <v>2476</v>
      </c>
      <c r="AB460" s="7" t="s">
        <v>43</v>
      </c>
      <c r="AC460" s="7"/>
      <c r="AD460" s="7"/>
      <c r="AE460" s="7"/>
      <c r="AF460" s="7"/>
      <c r="AG460" s="8">
        <f t="shared" si="7"/>
        <v>43323</v>
      </c>
    </row>
    <row r="461" spans="1:33">
      <c r="A461" s="7" t="s">
        <v>2477</v>
      </c>
      <c r="B461" s="7" t="s">
        <v>2477</v>
      </c>
      <c r="C461" s="7" t="s">
        <v>2478</v>
      </c>
      <c r="D461" s="7" t="s">
        <v>2479</v>
      </c>
      <c r="E461" s="7" t="s">
        <v>33</v>
      </c>
      <c r="F461" s="7" t="s">
        <v>34</v>
      </c>
      <c r="G461" s="7" t="s">
        <v>35</v>
      </c>
      <c r="H461" s="7"/>
      <c r="I461" s="7"/>
      <c r="J461" s="7" t="s">
        <v>36</v>
      </c>
      <c r="K461" s="7" t="s">
        <v>170</v>
      </c>
      <c r="L461" s="7" t="s">
        <v>1494</v>
      </c>
      <c r="M461" s="7" t="s">
        <v>1495</v>
      </c>
      <c r="N461" s="7" t="s">
        <v>33</v>
      </c>
      <c r="O461" s="7">
        <v>1</v>
      </c>
      <c r="P461" s="7" t="s">
        <v>40</v>
      </c>
      <c r="Q461" s="7">
        <v>19.38</v>
      </c>
      <c r="R461" s="7"/>
      <c r="S461" s="7"/>
      <c r="T461" s="7"/>
      <c r="U461" s="7"/>
      <c r="V461" s="7"/>
      <c r="W461" s="7"/>
      <c r="X461" s="7"/>
      <c r="Y461" s="7" t="s">
        <v>2480</v>
      </c>
      <c r="Z461" s="7" t="s">
        <v>85</v>
      </c>
      <c r="AA461" s="7" t="s">
        <v>2481</v>
      </c>
      <c r="AB461" s="7" t="s">
        <v>43</v>
      </c>
      <c r="AC461" s="7"/>
      <c r="AD461" s="7"/>
      <c r="AE461" s="7"/>
      <c r="AF461" s="7"/>
      <c r="AG461" s="8">
        <f t="shared" si="7"/>
        <v>43323</v>
      </c>
    </row>
    <row r="462" spans="1:33">
      <c r="A462" s="7" t="s">
        <v>2482</v>
      </c>
      <c r="B462" s="7" t="s">
        <v>2482</v>
      </c>
      <c r="C462" s="7" t="s">
        <v>2483</v>
      </c>
      <c r="D462" s="7" t="s">
        <v>2484</v>
      </c>
      <c r="E462" s="7" t="s">
        <v>33</v>
      </c>
      <c r="F462" s="7" t="s">
        <v>34</v>
      </c>
      <c r="G462" s="7" t="s">
        <v>35</v>
      </c>
      <c r="H462" s="7"/>
      <c r="I462" s="7"/>
      <c r="J462" s="7" t="s">
        <v>36</v>
      </c>
      <c r="K462" s="7" t="s">
        <v>131</v>
      </c>
      <c r="L462" s="7" t="s">
        <v>132</v>
      </c>
      <c r="M462" s="7" t="s">
        <v>133</v>
      </c>
      <c r="N462" s="7" t="s">
        <v>33</v>
      </c>
      <c r="O462" s="7">
        <v>1</v>
      </c>
      <c r="P462" s="7" t="s">
        <v>40</v>
      </c>
      <c r="Q462" s="7">
        <v>18.99</v>
      </c>
      <c r="R462" s="7">
        <v>1.97</v>
      </c>
      <c r="S462" s="7"/>
      <c r="T462" s="7"/>
      <c r="U462" s="7"/>
      <c r="V462" s="7"/>
      <c r="W462" s="7"/>
      <c r="X462" s="7"/>
      <c r="Y462" s="7" t="s">
        <v>2485</v>
      </c>
      <c r="Z462" s="7" t="s">
        <v>882</v>
      </c>
      <c r="AA462" s="7" t="s">
        <v>2486</v>
      </c>
      <c r="AB462" s="7" t="s">
        <v>43</v>
      </c>
      <c r="AC462" s="7"/>
      <c r="AD462" s="7"/>
      <c r="AE462" s="7"/>
      <c r="AF462" s="7"/>
      <c r="AG462" s="8">
        <f t="shared" si="7"/>
        <v>43323</v>
      </c>
    </row>
    <row r="463" spans="1:33">
      <c r="A463" s="7" t="s">
        <v>2487</v>
      </c>
      <c r="B463" s="7" t="s">
        <v>2487</v>
      </c>
      <c r="C463" s="7" t="s">
        <v>2488</v>
      </c>
      <c r="D463" s="7" t="s">
        <v>2489</v>
      </c>
      <c r="E463" s="7" t="s">
        <v>33</v>
      </c>
      <c r="F463" s="7" t="s">
        <v>34</v>
      </c>
      <c r="G463" s="7" t="s">
        <v>35</v>
      </c>
      <c r="H463" s="7"/>
      <c r="I463" s="7"/>
      <c r="J463" s="7" t="s">
        <v>36</v>
      </c>
      <c r="K463" s="7" t="s">
        <v>255</v>
      </c>
      <c r="L463" s="7" t="s">
        <v>1647</v>
      </c>
      <c r="M463" s="7" t="s">
        <v>1648</v>
      </c>
      <c r="N463" s="7" t="s">
        <v>33</v>
      </c>
      <c r="O463" s="7">
        <v>1</v>
      </c>
      <c r="P463" s="7" t="s">
        <v>40</v>
      </c>
      <c r="Q463" s="7">
        <v>19.99</v>
      </c>
      <c r="R463" s="7"/>
      <c r="S463" s="7"/>
      <c r="T463" s="7"/>
      <c r="U463" s="7"/>
      <c r="V463" s="7"/>
      <c r="W463" s="7"/>
      <c r="X463" s="7"/>
      <c r="Y463" s="7" t="s">
        <v>584</v>
      </c>
      <c r="Z463" s="7" t="s">
        <v>488</v>
      </c>
      <c r="AA463" s="7" t="s">
        <v>2490</v>
      </c>
      <c r="AB463" s="7" t="s">
        <v>43</v>
      </c>
      <c r="AC463" s="7"/>
      <c r="AD463" s="7"/>
      <c r="AE463" s="7"/>
      <c r="AF463" s="7"/>
      <c r="AG463" s="8">
        <f t="shared" si="7"/>
        <v>43323</v>
      </c>
    </row>
    <row r="464" spans="1:33">
      <c r="A464" s="7" t="s">
        <v>2491</v>
      </c>
      <c r="B464" s="7" t="s">
        <v>2491</v>
      </c>
      <c r="C464" s="7" t="s">
        <v>2492</v>
      </c>
      <c r="D464" s="7" t="s">
        <v>2493</v>
      </c>
      <c r="E464" s="7" t="s">
        <v>33</v>
      </c>
      <c r="F464" s="7" t="s">
        <v>34</v>
      </c>
      <c r="G464" s="7" t="s">
        <v>35</v>
      </c>
      <c r="H464" s="7"/>
      <c r="I464" s="7"/>
      <c r="J464" s="7" t="s">
        <v>36</v>
      </c>
      <c r="K464" s="7" t="s">
        <v>2092</v>
      </c>
      <c r="L464" s="7" t="s">
        <v>2093</v>
      </c>
      <c r="M464" s="7" t="s">
        <v>2094</v>
      </c>
      <c r="N464" s="7" t="s">
        <v>33</v>
      </c>
      <c r="O464" s="7">
        <v>1</v>
      </c>
      <c r="P464" s="7" t="s">
        <v>40</v>
      </c>
      <c r="Q464" s="7">
        <v>18.99</v>
      </c>
      <c r="R464" s="7"/>
      <c r="S464" s="7"/>
      <c r="T464" s="7"/>
      <c r="U464" s="7"/>
      <c r="V464" s="7"/>
      <c r="W464" s="7"/>
      <c r="X464" s="7"/>
      <c r="Y464" s="7" t="s">
        <v>1939</v>
      </c>
      <c r="Z464" s="7" t="s">
        <v>1940</v>
      </c>
      <c r="AA464" s="7" t="s">
        <v>2494</v>
      </c>
      <c r="AB464" s="7" t="s">
        <v>43</v>
      </c>
      <c r="AC464" s="7"/>
      <c r="AD464" s="7"/>
      <c r="AE464" s="7"/>
      <c r="AF464" s="7"/>
      <c r="AG464" s="8">
        <f t="shared" si="7"/>
        <v>43323</v>
      </c>
    </row>
    <row r="465" spans="1:33">
      <c r="A465" s="7" t="s">
        <v>2491</v>
      </c>
      <c r="B465" s="7" t="s">
        <v>2491</v>
      </c>
      <c r="C465" s="7" t="s">
        <v>2492</v>
      </c>
      <c r="D465" s="7" t="s">
        <v>2493</v>
      </c>
      <c r="E465" s="7" t="s">
        <v>33</v>
      </c>
      <c r="F465" s="7" t="s">
        <v>34</v>
      </c>
      <c r="G465" s="7" t="s">
        <v>35</v>
      </c>
      <c r="H465" s="7"/>
      <c r="I465" s="7"/>
      <c r="J465" s="7" t="s">
        <v>36</v>
      </c>
      <c r="K465" s="7" t="s">
        <v>1198</v>
      </c>
      <c r="L465" s="7" t="s">
        <v>1199</v>
      </c>
      <c r="M465" s="7" t="s">
        <v>1200</v>
      </c>
      <c r="N465" s="7" t="s">
        <v>33</v>
      </c>
      <c r="O465" s="7">
        <v>1</v>
      </c>
      <c r="P465" s="7" t="s">
        <v>40</v>
      </c>
      <c r="Q465" s="7">
        <v>18.99</v>
      </c>
      <c r="R465" s="7"/>
      <c r="S465" s="7"/>
      <c r="T465" s="7"/>
      <c r="U465" s="7"/>
      <c r="V465" s="7"/>
      <c r="W465" s="7"/>
      <c r="X465" s="7"/>
      <c r="Y465" s="7" t="s">
        <v>1939</v>
      </c>
      <c r="Z465" s="7" t="s">
        <v>1940</v>
      </c>
      <c r="AA465" s="7" t="s">
        <v>2494</v>
      </c>
      <c r="AB465" s="7" t="s">
        <v>43</v>
      </c>
      <c r="AC465" s="7"/>
      <c r="AD465" s="7"/>
      <c r="AE465" s="7"/>
      <c r="AF465" s="7"/>
      <c r="AG465" s="8">
        <f t="shared" si="7"/>
        <v>43323</v>
      </c>
    </row>
    <row r="466" spans="1:33">
      <c r="A466" s="7" t="s">
        <v>2495</v>
      </c>
      <c r="B466" s="7" t="s">
        <v>2495</v>
      </c>
      <c r="C466" s="7" t="s">
        <v>2496</v>
      </c>
      <c r="D466" s="7" t="s">
        <v>2497</v>
      </c>
      <c r="E466" s="7" t="s">
        <v>33</v>
      </c>
      <c r="F466" s="7" t="s">
        <v>34</v>
      </c>
      <c r="G466" s="7" t="s">
        <v>35</v>
      </c>
      <c r="H466" s="7"/>
      <c r="I466" s="7"/>
      <c r="J466" s="7" t="s">
        <v>36</v>
      </c>
      <c r="K466" s="7" t="s">
        <v>2498</v>
      </c>
      <c r="L466" s="7" t="s">
        <v>2499</v>
      </c>
      <c r="M466" s="7" t="s">
        <v>2500</v>
      </c>
      <c r="N466" s="7" t="s">
        <v>33</v>
      </c>
      <c r="O466" s="7">
        <v>1</v>
      </c>
      <c r="P466" s="7" t="s">
        <v>40</v>
      </c>
      <c r="Q466" s="7">
        <v>18.99</v>
      </c>
      <c r="R466" s="7"/>
      <c r="S466" s="7"/>
      <c r="T466" s="7"/>
      <c r="U466" s="7"/>
      <c r="V466" s="7"/>
      <c r="W466" s="7"/>
      <c r="X466" s="7"/>
      <c r="Y466" s="7" t="s">
        <v>2501</v>
      </c>
      <c r="Z466" s="7" t="s">
        <v>357</v>
      </c>
      <c r="AA466" s="7" t="s">
        <v>2502</v>
      </c>
      <c r="AB466" s="7" t="s">
        <v>43</v>
      </c>
      <c r="AC466" s="7"/>
      <c r="AD466" s="7"/>
      <c r="AE466" s="7"/>
      <c r="AF466" s="7"/>
      <c r="AG466" s="8">
        <f t="shared" si="7"/>
        <v>43323</v>
      </c>
    </row>
    <row r="467" spans="1:33">
      <c r="A467" s="7" t="s">
        <v>2503</v>
      </c>
      <c r="B467" s="7" t="s">
        <v>2503</v>
      </c>
      <c r="C467" s="7" t="s">
        <v>2504</v>
      </c>
      <c r="D467" s="7" t="s">
        <v>2505</v>
      </c>
      <c r="E467" s="7" t="s">
        <v>33</v>
      </c>
      <c r="F467" s="7" t="s">
        <v>34</v>
      </c>
      <c r="G467" s="7" t="s">
        <v>35</v>
      </c>
      <c r="H467" s="7"/>
      <c r="I467" s="7"/>
      <c r="J467" s="7" t="s">
        <v>36</v>
      </c>
      <c r="K467" s="7" t="s">
        <v>255</v>
      </c>
      <c r="L467" s="7" t="s">
        <v>1647</v>
      </c>
      <c r="M467" s="7" t="s">
        <v>1648</v>
      </c>
      <c r="N467" s="7" t="s">
        <v>33</v>
      </c>
      <c r="O467" s="7">
        <v>1</v>
      </c>
      <c r="P467" s="7" t="s">
        <v>40</v>
      </c>
      <c r="Q467" s="7">
        <v>19.99</v>
      </c>
      <c r="R467" s="7"/>
      <c r="S467" s="7"/>
      <c r="T467" s="7"/>
      <c r="U467" s="7"/>
      <c r="V467" s="7"/>
      <c r="W467" s="7"/>
      <c r="X467" s="7"/>
      <c r="Y467" s="7" t="s">
        <v>1911</v>
      </c>
      <c r="Z467" s="7" t="s">
        <v>219</v>
      </c>
      <c r="AA467" s="7" t="s">
        <v>2506</v>
      </c>
      <c r="AB467" s="7" t="s">
        <v>43</v>
      </c>
      <c r="AC467" s="7"/>
      <c r="AD467" s="7"/>
      <c r="AE467" s="7"/>
      <c r="AF467" s="7"/>
      <c r="AG467" s="8">
        <f t="shared" si="7"/>
        <v>43323</v>
      </c>
    </row>
    <row r="468" spans="1:33">
      <c r="A468" s="7" t="s">
        <v>2507</v>
      </c>
      <c r="B468" s="7" t="s">
        <v>2507</v>
      </c>
      <c r="C468" s="7" t="s">
        <v>2508</v>
      </c>
      <c r="D468" s="7" t="s">
        <v>2509</v>
      </c>
      <c r="E468" s="7" t="s">
        <v>33</v>
      </c>
      <c r="F468" s="7" t="s">
        <v>34</v>
      </c>
      <c r="G468" s="7" t="s">
        <v>35</v>
      </c>
      <c r="H468" s="7"/>
      <c r="I468" s="7"/>
      <c r="J468" s="7" t="s">
        <v>36</v>
      </c>
      <c r="K468" s="7" t="s">
        <v>255</v>
      </c>
      <c r="L468" s="7" t="s">
        <v>1236</v>
      </c>
      <c r="M468" s="7" t="s">
        <v>1237</v>
      </c>
      <c r="N468" s="7" t="s">
        <v>33</v>
      </c>
      <c r="O468" s="7">
        <v>1</v>
      </c>
      <c r="P468" s="7" t="s">
        <v>40</v>
      </c>
      <c r="Q468" s="7">
        <v>19.99</v>
      </c>
      <c r="R468" s="7"/>
      <c r="S468" s="7"/>
      <c r="T468" s="7"/>
      <c r="U468" s="7"/>
      <c r="V468" s="7"/>
      <c r="W468" s="7"/>
      <c r="X468" s="7"/>
      <c r="Y468" s="7" t="s">
        <v>1435</v>
      </c>
      <c r="Z468" s="7" t="s">
        <v>135</v>
      </c>
      <c r="AA468" s="7" t="s">
        <v>2510</v>
      </c>
      <c r="AB468" s="7" t="s">
        <v>43</v>
      </c>
      <c r="AC468" s="7"/>
      <c r="AD468" s="7"/>
      <c r="AE468" s="7"/>
      <c r="AF468" s="7"/>
      <c r="AG468" s="8">
        <f t="shared" si="7"/>
        <v>43323</v>
      </c>
    </row>
    <row r="469" spans="1:33">
      <c r="A469" s="7" t="s">
        <v>2511</v>
      </c>
      <c r="B469" s="7" t="s">
        <v>2512</v>
      </c>
      <c r="C469" s="7" t="s">
        <v>2513</v>
      </c>
      <c r="D469" s="7" t="s">
        <v>2514</v>
      </c>
      <c r="E469" s="7" t="s">
        <v>33</v>
      </c>
      <c r="F469" s="7" t="s">
        <v>34</v>
      </c>
      <c r="G469" s="7" t="s">
        <v>946</v>
      </c>
      <c r="H469" s="7"/>
      <c r="I469" s="7"/>
      <c r="J469" s="7" t="s">
        <v>336</v>
      </c>
      <c r="K469" s="7" t="s">
        <v>1198</v>
      </c>
      <c r="L469" s="7" t="s">
        <v>1199</v>
      </c>
      <c r="M469" s="7" t="s">
        <v>1200</v>
      </c>
      <c r="N469" s="7" t="s">
        <v>33</v>
      </c>
      <c r="O469" s="7">
        <v>1</v>
      </c>
      <c r="P469" s="7"/>
      <c r="Q469" s="7"/>
      <c r="R469" s="7"/>
      <c r="S469" s="7"/>
      <c r="T469" s="7"/>
      <c r="U469" s="7"/>
      <c r="V469" s="7"/>
      <c r="W469" s="7"/>
      <c r="X469" s="7"/>
      <c r="Y469" s="7" t="s">
        <v>2515</v>
      </c>
      <c r="Z469" s="7" t="s">
        <v>866</v>
      </c>
      <c r="AA469" s="7">
        <v>6704</v>
      </c>
      <c r="AB469" s="7" t="s">
        <v>43</v>
      </c>
      <c r="AC469" s="7"/>
      <c r="AD469" s="7"/>
      <c r="AE469" s="7"/>
      <c r="AF469" s="7"/>
      <c r="AG469" s="8">
        <f t="shared" si="7"/>
        <v>43324</v>
      </c>
    </row>
    <row r="470" spans="1:33">
      <c r="A470" s="7" t="s">
        <v>2516</v>
      </c>
      <c r="B470" s="7" t="s">
        <v>2516</v>
      </c>
      <c r="C470" s="7" t="s">
        <v>2517</v>
      </c>
      <c r="D470" s="7" t="s">
        <v>2518</v>
      </c>
      <c r="E470" s="7" t="s">
        <v>33</v>
      </c>
      <c r="F470" s="7" t="s">
        <v>34</v>
      </c>
      <c r="G470" s="7" t="s">
        <v>35</v>
      </c>
      <c r="H470" s="7"/>
      <c r="I470" s="7"/>
      <c r="J470" s="7" t="s">
        <v>36</v>
      </c>
      <c r="K470" s="7" t="s">
        <v>1071</v>
      </c>
      <c r="L470" s="7" t="s">
        <v>2519</v>
      </c>
      <c r="M470" s="7" t="s">
        <v>2520</v>
      </c>
      <c r="N470" s="7" t="s">
        <v>33</v>
      </c>
      <c r="O470" s="7">
        <v>1</v>
      </c>
      <c r="P470" s="7" t="s">
        <v>40</v>
      </c>
      <c r="Q470" s="7">
        <v>25.99</v>
      </c>
      <c r="R470" s="7"/>
      <c r="S470" s="7"/>
      <c r="T470" s="7"/>
      <c r="U470" s="7"/>
      <c r="V470" s="7"/>
      <c r="W470" s="7"/>
      <c r="X470" s="7"/>
      <c r="Y470" s="7" t="s">
        <v>1959</v>
      </c>
      <c r="Z470" s="7" t="s">
        <v>85</v>
      </c>
      <c r="AA470" s="7" t="s">
        <v>2521</v>
      </c>
      <c r="AB470" s="7" t="s">
        <v>43</v>
      </c>
      <c r="AC470" s="7"/>
      <c r="AD470" s="7"/>
      <c r="AE470" s="7"/>
      <c r="AF470" s="7"/>
      <c r="AG470" s="8">
        <f t="shared" si="7"/>
        <v>43324</v>
      </c>
    </row>
    <row r="471" spans="1:33">
      <c r="A471" s="7" t="s">
        <v>2522</v>
      </c>
      <c r="B471" s="7" t="s">
        <v>2522</v>
      </c>
      <c r="C471" s="7" t="s">
        <v>2523</v>
      </c>
      <c r="D471" s="7" t="s">
        <v>2524</v>
      </c>
      <c r="E471" s="7" t="s">
        <v>33</v>
      </c>
      <c r="F471" s="7" t="s">
        <v>34</v>
      </c>
      <c r="G471" s="7" t="s">
        <v>35</v>
      </c>
      <c r="H471" s="7"/>
      <c r="I471" s="7"/>
      <c r="J471" s="7" t="s">
        <v>36</v>
      </c>
      <c r="K471" s="7" t="s">
        <v>131</v>
      </c>
      <c r="L471" s="7" t="s">
        <v>132</v>
      </c>
      <c r="M471" s="7" t="s">
        <v>133</v>
      </c>
      <c r="N471" s="7" t="s">
        <v>33</v>
      </c>
      <c r="O471" s="7">
        <v>1</v>
      </c>
      <c r="P471" s="7" t="s">
        <v>40</v>
      </c>
      <c r="Q471" s="7">
        <v>18.99</v>
      </c>
      <c r="R471" s="7"/>
      <c r="S471" s="7"/>
      <c r="T471" s="7"/>
      <c r="U471" s="7"/>
      <c r="V471" s="7"/>
      <c r="W471" s="7"/>
      <c r="X471" s="7"/>
      <c r="Y471" s="7" t="s">
        <v>2525</v>
      </c>
      <c r="Z471" s="7" t="s">
        <v>2526</v>
      </c>
      <c r="AA471" s="7" t="s">
        <v>2527</v>
      </c>
      <c r="AB471" s="7" t="s">
        <v>43</v>
      </c>
      <c r="AC471" s="7"/>
      <c r="AD471" s="7"/>
      <c r="AE471" s="7"/>
      <c r="AF471" s="7"/>
      <c r="AG471" s="8">
        <f t="shared" si="7"/>
        <v>43324</v>
      </c>
    </row>
    <row r="472" spans="1:33">
      <c r="A472" s="7" t="s">
        <v>2528</v>
      </c>
      <c r="B472" s="7" t="s">
        <v>2528</v>
      </c>
      <c r="C472" s="7" t="s">
        <v>2529</v>
      </c>
      <c r="D472" s="7" t="s">
        <v>2530</v>
      </c>
      <c r="E472" s="7" t="s">
        <v>33</v>
      </c>
      <c r="F472" s="7" t="s">
        <v>34</v>
      </c>
      <c r="G472" s="7" t="s">
        <v>35</v>
      </c>
      <c r="H472" s="7"/>
      <c r="I472" s="7"/>
      <c r="J472" s="7" t="s">
        <v>36</v>
      </c>
      <c r="K472" s="7" t="s">
        <v>37</v>
      </c>
      <c r="L472" s="7" t="s">
        <v>523</v>
      </c>
      <c r="M472" s="7" t="s">
        <v>524</v>
      </c>
      <c r="N472" s="7" t="s">
        <v>33</v>
      </c>
      <c r="O472" s="7">
        <v>1</v>
      </c>
      <c r="P472" s="7" t="s">
        <v>40</v>
      </c>
      <c r="Q472" s="7">
        <v>19.99</v>
      </c>
      <c r="R472" s="7"/>
      <c r="S472" s="7"/>
      <c r="T472" s="7"/>
      <c r="U472" s="7"/>
      <c r="V472" s="7"/>
      <c r="W472" s="7"/>
      <c r="X472" s="7"/>
      <c r="Y472" s="7" t="s">
        <v>2531</v>
      </c>
      <c r="Z472" s="7" t="s">
        <v>94</v>
      </c>
      <c r="AA472" s="7" t="s">
        <v>2532</v>
      </c>
      <c r="AB472" s="7" t="s">
        <v>43</v>
      </c>
      <c r="AC472" s="7"/>
      <c r="AD472" s="7"/>
      <c r="AE472" s="7"/>
      <c r="AF472" s="7"/>
      <c r="AG472" s="8">
        <f t="shared" si="7"/>
        <v>43324</v>
      </c>
    </row>
    <row r="473" spans="1:33">
      <c r="A473" s="7" t="s">
        <v>2533</v>
      </c>
      <c r="B473" s="7" t="s">
        <v>2533</v>
      </c>
      <c r="C473" s="7" t="s">
        <v>2534</v>
      </c>
      <c r="D473" s="7" t="s">
        <v>2535</v>
      </c>
      <c r="E473" s="7" t="s">
        <v>33</v>
      </c>
      <c r="F473" s="7" t="s">
        <v>34</v>
      </c>
      <c r="G473" s="7" t="s">
        <v>35</v>
      </c>
      <c r="H473" s="7"/>
      <c r="I473" s="7"/>
      <c r="J473" s="7" t="s">
        <v>36</v>
      </c>
      <c r="K473" s="7" t="s">
        <v>262</v>
      </c>
      <c r="L473" s="7" t="s">
        <v>2536</v>
      </c>
      <c r="M473" s="7" t="s">
        <v>2537</v>
      </c>
      <c r="N473" s="7" t="s">
        <v>33</v>
      </c>
      <c r="O473" s="7">
        <v>1</v>
      </c>
      <c r="P473" s="7" t="s">
        <v>40</v>
      </c>
      <c r="Q473" s="7">
        <v>17.99</v>
      </c>
      <c r="R473" s="7"/>
      <c r="S473" s="7"/>
      <c r="T473" s="7"/>
      <c r="U473" s="7"/>
      <c r="V473" s="7"/>
      <c r="W473" s="7"/>
      <c r="X473" s="7"/>
      <c r="Y473" s="7" t="s">
        <v>2538</v>
      </c>
      <c r="Z473" s="7" t="s">
        <v>2539</v>
      </c>
      <c r="AA473" s="7">
        <v>21801</v>
      </c>
      <c r="AB473" s="7" t="s">
        <v>43</v>
      </c>
      <c r="AC473" s="7"/>
      <c r="AD473" s="7"/>
      <c r="AE473" s="7"/>
      <c r="AF473" s="7"/>
      <c r="AG473" s="8">
        <f t="shared" si="7"/>
        <v>43324</v>
      </c>
    </row>
    <row r="474" spans="1:33">
      <c r="A474" s="7" t="s">
        <v>2540</v>
      </c>
      <c r="B474" s="7" t="s">
        <v>2540</v>
      </c>
      <c r="C474" s="7" t="s">
        <v>2541</v>
      </c>
      <c r="D474" s="7" t="s">
        <v>2542</v>
      </c>
      <c r="E474" s="7" t="s">
        <v>33</v>
      </c>
      <c r="F474" s="7" t="s">
        <v>34</v>
      </c>
      <c r="G474" s="7" t="s">
        <v>35</v>
      </c>
      <c r="H474" s="7"/>
      <c r="I474" s="7"/>
      <c r="J474" s="7" t="s">
        <v>36</v>
      </c>
      <c r="K474" s="7" t="s">
        <v>456</v>
      </c>
      <c r="L474" s="7" t="s">
        <v>1248</v>
      </c>
      <c r="M474" s="7" t="s">
        <v>1249</v>
      </c>
      <c r="N474" s="7" t="s">
        <v>33</v>
      </c>
      <c r="O474" s="7">
        <v>1</v>
      </c>
      <c r="P474" s="7" t="s">
        <v>40</v>
      </c>
      <c r="Q474" s="7">
        <v>19.99</v>
      </c>
      <c r="R474" s="7"/>
      <c r="S474" s="7"/>
      <c r="T474" s="7"/>
      <c r="U474" s="7"/>
      <c r="V474" s="7"/>
      <c r="W474" s="7"/>
      <c r="X474" s="7"/>
      <c r="Y474" s="7" t="s">
        <v>1254</v>
      </c>
      <c r="Z474" s="7" t="s">
        <v>174</v>
      </c>
      <c r="AA474" s="7" t="s">
        <v>2543</v>
      </c>
      <c r="AB474" s="7" t="s">
        <v>43</v>
      </c>
      <c r="AC474" s="7"/>
      <c r="AD474" s="7"/>
      <c r="AE474" s="7"/>
      <c r="AF474" s="7"/>
      <c r="AG474" s="8">
        <f t="shared" si="7"/>
        <v>43324</v>
      </c>
    </row>
    <row r="475" spans="1:33">
      <c r="A475" s="7" t="s">
        <v>2544</v>
      </c>
      <c r="B475" s="7" t="s">
        <v>2544</v>
      </c>
      <c r="C475" s="7" t="s">
        <v>2545</v>
      </c>
      <c r="D475" s="7" t="s">
        <v>2546</v>
      </c>
      <c r="E475" s="7" t="s">
        <v>33</v>
      </c>
      <c r="F475" s="7" t="s">
        <v>34</v>
      </c>
      <c r="G475" s="7" t="s">
        <v>35</v>
      </c>
      <c r="H475" s="7"/>
      <c r="I475" s="7"/>
      <c r="J475" s="7" t="s">
        <v>36</v>
      </c>
      <c r="K475" s="7" t="s">
        <v>388</v>
      </c>
      <c r="L475" s="7" t="s">
        <v>1488</v>
      </c>
      <c r="M475" s="7" t="s">
        <v>1489</v>
      </c>
      <c r="N475" s="7" t="s">
        <v>33</v>
      </c>
      <c r="O475" s="7">
        <v>1</v>
      </c>
      <c r="P475" s="7" t="s">
        <v>40</v>
      </c>
      <c r="Q475" s="7">
        <v>19.38</v>
      </c>
      <c r="R475" s="7"/>
      <c r="S475" s="7"/>
      <c r="T475" s="7"/>
      <c r="U475" s="7"/>
      <c r="V475" s="7"/>
      <c r="W475" s="7"/>
      <c r="X475" s="7"/>
      <c r="Y475" s="7" t="s">
        <v>2547</v>
      </c>
      <c r="Z475" s="7" t="s">
        <v>774</v>
      </c>
      <c r="AA475" s="7">
        <v>87506</v>
      </c>
      <c r="AB475" s="7" t="s">
        <v>43</v>
      </c>
      <c r="AC475" s="7"/>
      <c r="AD475" s="7"/>
      <c r="AE475" s="7"/>
      <c r="AF475" s="7"/>
      <c r="AG475" s="8">
        <f t="shared" si="7"/>
        <v>43324</v>
      </c>
    </row>
    <row r="476" spans="1:33">
      <c r="A476" s="7" t="s">
        <v>2548</v>
      </c>
      <c r="B476" s="7" t="s">
        <v>2548</v>
      </c>
      <c r="C476" s="7" t="s">
        <v>2549</v>
      </c>
      <c r="D476" s="7" t="s">
        <v>2550</v>
      </c>
      <c r="E476" s="7" t="s">
        <v>99</v>
      </c>
      <c r="F476" s="7" t="s">
        <v>34</v>
      </c>
      <c r="G476" s="7" t="s">
        <v>35</v>
      </c>
      <c r="H476" s="7"/>
      <c r="I476" s="7"/>
      <c r="J476" s="7" t="s">
        <v>36</v>
      </c>
      <c r="K476" s="7" t="s">
        <v>90</v>
      </c>
      <c r="L476" s="7" t="s">
        <v>284</v>
      </c>
      <c r="M476" s="7" t="s">
        <v>285</v>
      </c>
      <c r="N476" s="7" t="s">
        <v>99</v>
      </c>
      <c r="O476" s="7">
        <v>0</v>
      </c>
      <c r="P476" s="7"/>
      <c r="Q476" s="7"/>
      <c r="R476" s="7"/>
      <c r="S476" s="7"/>
      <c r="T476" s="7"/>
      <c r="U476" s="7"/>
      <c r="V476" s="7"/>
      <c r="W476" s="7"/>
      <c r="X476" s="7"/>
      <c r="Y476" s="7" t="s">
        <v>2551</v>
      </c>
      <c r="Z476" s="7" t="s">
        <v>69</v>
      </c>
      <c r="AA476" s="7" t="s">
        <v>2552</v>
      </c>
      <c r="AB476" s="7" t="s">
        <v>43</v>
      </c>
      <c r="AC476" s="7"/>
      <c r="AD476" s="7"/>
      <c r="AE476" s="7"/>
      <c r="AF476" s="7"/>
      <c r="AG476" s="8">
        <f t="shared" si="7"/>
        <v>43324</v>
      </c>
    </row>
    <row r="477" spans="1:33">
      <c r="A477" s="7" t="s">
        <v>2553</v>
      </c>
      <c r="B477" s="7" t="s">
        <v>2553</v>
      </c>
      <c r="C477" s="7" t="s">
        <v>2554</v>
      </c>
      <c r="D477" s="7" t="s">
        <v>2555</v>
      </c>
      <c r="E477" s="7" t="s">
        <v>33</v>
      </c>
      <c r="F477" s="7" t="s">
        <v>34</v>
      </c>
      <c r="G477" s="7" t="s">
        <v>35</v>
      </c>
      <c r="H477" s="7"/>
      <c r="I477" s="7"/>
      <c r="J477" s="7" t="s">
        <v>36</v>
      </c>
      <c r="K477" s="7" t="s">
        <v>255</v>
      </c>
      <c r="L477" s="7" t="s">
        <v>1647</v>
      </c>
      <c r="M477" s="7" t="s">
        <v>1648</v>
      </c>
      <c r="N477" s="7" t="s">
        <v>33</v>
      </c>
      <c r="O477" s="7">
        <v>1</v>
      </c>
      <c r="P477" s="7" t="s">
        <v>40</v>
      </c>
      <c r="Q477" s="7">
        <v>19.99</v>
      </c>
      <c r="R477" s="7"/>
      <c r="S477" s="7"/>
      <c r="T477" s="7"/>
      <c r="U477" s="7"/>
      <c r="V477" s="7"/>
      <c r="W477" s="7"/>
      <c r="X477" s="7"/>
      <c r="Y477" s="7" t="s">
        <v>2311</v>
      </c>
      <c r="Z477" s="7" t="s">
        <v>447</v>
      </c>
      <c r="AA477" s="7" t="s">
        <v>2556</v>
      </c>
      <c r="AB477" s="7" t="s">
        <v>43</v>
      </c>
      <c r="AC477" s="7"/>
      <c r="AD477" s="7"/>
      <c r="AE477" s="7"/>
      <c r="AF477" s="7"/>
      <c r="AG477" s="8">
        <f t="shared" si="7"/>
        <v>43324</v>
      </c>
    </row>
    <row r="478" spans="1:33">
      <c r="A478" s="7" t="s">
        <v>2557</v>
      </c>
      <c r="B478" s="7" t="s">
        <v>2557</v>
      </c>
      <c r="C478" s="7" t="s">
        <v>2558</v>
      </c>
      <c r="D478" s="7" t="s">
        <v>2559</v>
      </c>
      <c r="E478" s="7" t="s">
        <v>33</v>
      </c>
      <c r="F478" s="7" t="s">
        <v>34</v>
      </c>
      <c r="G478" s="7" t="s">
        <v>35</v>
      </c>
      <c r="H478" s="7"/>
      <c r="I478" s="7"/>
      <c r="J478" s="7" t="s">
        <v>36</v>
      </c>
      <c r="K478" s="7" t="s">
        <v>456</v>
      </c>
      <c r="L478" s="7" t="s">
        <v>1481</v>
      </c>
      <c r="M478" s="7" t="s">
        <v>1482</v>
      </c>
      <c r="N478" s="7" t="s">
        <v>33</v>
      </c>
      <c r="O478" s="7">
        <v>1</v>
      </c>
      <c r="P478" s="7" t="s">
        <v>40</v>
      </c>
      <c r="Q478" s="7">
        <v>19.99</v>
      </c>
      <c r="R478" s="7">
        <v>0.9</v>
      </c>
      <c r="S478" s="7"/>
      <c r="T478" s="7"/>
      <c r="U478" s="7"/>
      <c r="V478" s="7"/>
      <c r="W478" s="7"/>
      <c r="X478" s="7"/>
      <c r="Y478" s="7" t="s">
        <v>2560</v>
      </c>
      <c r="Z478" s="7" t="s">
        <v>842</v>
      </c>
      <c r="AA478" s="7" t="s">
        <v>2561</v>
      </c>
      <c r="AB478" s="7" t="s">
        <v>43</v>
      </c>
      <c r="AC478" s="7"/>
      <c r="AD478" s="7"/>
      <c r="AE478" s="7"/>
      <c r="AF478" s="7"/>
      <c r="AG478" s="8">
        <f t="shared" si="7"/>
        <v>43324</v>
      </c>
    </row>
    <row r="479" spans="1:33">
      <c r="A479" s="7" t="s">
        <v>2562</v>
      </c>
      <c r="B479" s="7" t="s">
        <v>2562</v>
      </c>
      <c r="C479" s="7" t="s">
        <v>2563</v>
      </c>
      <c r="D479" s="7" t="s">
        <v>2564</v>
      </c>
      <c r="E479" s="7" t="s">
        <v>33</v>
      </c>
      <c r="F479" s="7" t="s">
        <v>34</v>
      </c>
      <c r="G479" s="7" t="s">
        <v>35</v>
      </c>
      <c r="H479" s="7"/>
      <c r="I479" s="7"/>
      <c r="J479" s="7" t="s">
        <v>36</v>
      </c>
      <c r="K479" s="7" t="s">
        <v>90</v>
      </c>
      <c r="L479" s="7" t="s">
        <v>91</v>
      </c>
      <c r="M479" s="7" t="s">
        <v>92</v>
      </c>
      <c r="N479" s="7" t="s">
        <v>33</v>
      </c>
      <c r="O479" s="7">
        <v>1</v>
      </c>
      <c r="P479" s="7" t="s">
        <v>40</v>
      </c>
      <c r="Q479" s="7">
        <v>19.99</v>
      </c>
      <c r="R479" s="7"/>
      <c r="S479" s="7"/>
      <c r="T479" s="7"/>
      <c r="U479" s="7"/>
      <c r="V479" s="7"/>
      <c r="W479" s="7"/>
      <c r="X479" s="7"/>
      <c r="Y479" s="7" t="s">
        <v>2565</v>
      </c>
      <c r="Z479" s="7" t="s">
        <v>59</v>
      </c>
      <c r="AA479" s="7">
        <v>91356</v>
      </c>
      <c r="AB479" s="7" t="s">
        <v>43</v>
      </c>
      <c r="AC479" s="7"/>
      <c r="AD479" s="7"/>
      <c r="AE479" s="7"/>
      <c r="AF479" s="7"/>
      <c r="AG479" s="8">
        <f t="shared" si="7"/>
        <v>43324</v>
      </c>
    </row>
    <row r="480" spans="1:33">
      <c r="A480" s="7" t="s">
        <v>2566</v>
      </c>
      <c r="B480" s="7" t="s">
        <v>2566</v>
      </c>
      <c r="C480" s="7" t="s">
        <v>2567</v>
      </c>
      <c r="D480" s="7" t="s">
        <v>2568</v>
      </c>
      <c r="E480" s="7" t="s">
        <v>33</v>
      </c>
      <c r="F480" s="7" t="s">
        <v>34</v>
      </c>
      <c r="G480" s="7" t="s">
        <v>35</v>
      </c>
      <c r="H480" s="7"/>
      <c r="I480" s="7"/>
      <c r="J480" s="7" t="s">
        <v>336</v>
      </c>
      <c r="K480" s="7" t="s">
        <v>207</v>
      </c>
      <c r="L480" s="7" t="s">
        <v>2569</v>
      </c>
      <c r="M480" s="7" t="s">
        <v>2570</v>
      </c>
      <c r="N480" s="7" t="s">
        <v>33</v>
      </c>
      <c r="O480" s="7">
        <v>1</v>
      </c>
      <c r="P480" s="7" t="s">
        <v>40</v>
      </c>
      <c r="Q480" s="7">
        <v>19.38</v>
      </c>
      <c r="R480" s="7"/>
      <c r="S480" s="7">
        <v>4.2</v>
      </c>
      <c r="T480" s="7"/>
      <c r="U480" s="7"/>
      <c r="V480" s="7"/>
      <c r="W480" s="7"/>
      <c r="X480" s="7">
        <v>4.2</v>
      </c>
      <c r="Y480" s="7" t="s">
        <v>921</v>
      </c>
      <c r="Z480" s="7" t="s">
        <v>69</v>
      </c>
      <c r="AA480" s="7" t="s">
        <v>922</v>
      </c>
      <c r="AB480" s="7" t="s">
        <v>43</v>
      </c>
      <c r="AC480" s="7" t="s">
        <v>514</v>
      </c>
      <c r="AD480" s="7"/>
      <c r="AE480" s="7"/>
      <c r="AF480" s="7"/>
      <c r="AG480" s="8">
        <f t="shared" si="7"/>
        <v>43324</v>
      </c>
    </row>
    <row r="481" spans="1:33">
      <c r="A481" s="7" t="s">
        <v>2571</v>
      </c>
      <c r="B481" s="7" t="s">
        <v>2571</v>
      </c>
      <c r="C481" s="7" t="s">
        <v>2572</v>
      </c>
      <c r="D481" s="7" t="s">
        <v>2573</v>
      </c>
      <c r="E481" s="7" t="s">
        <v>33</v>
      </c>
      <c r="F481" s="7" t="s">
        <v>34</v>
      </c>
      <c r="G481" s="7" t="s">
        <v>35</v>
      </c>
      <c r="H481" s="7"/>
      <c r="I481" s="7"/>
      <c r="J481" s="7" t="s">
        <v>64</v>
      </c>
      <c r="K481" s="7" t="s">
        <v>2574</v>
      </c>
      <c r="L481" s="7" t="s">
        <v>2575</v>
      </c>
      <c r="M481" s="7" t="s">
        <v>2576</v>
      </c>
      <c r="N481" s="7" t="s">
        <v>33</v>
      </c>
      <c r="O481" s="7">
        <v>1</v>
      </c>
      <c r="P481" s="7" t="s">
        <v>40</v>
      </c>
      <c r="Q481" s="7">
        <v>16.99</v>
      </c>
      <c r="R481" s="7"/>
      <c r="S481" s="7">
        <v>3.99</v>
      </c>
      <c r="T481" s="7"/>
      <c r="U481" s="7"/>
      <c r="V481" s="7"/>
      <c r="W481" s="7"/>
      <c r="X481" s="7"/>
      <c r="Y481" s="7" t="s">
        <v>2577</v>
      </c>
      <c r="Z481" s="7" t="s">
        <v>447</v>
      </c>
      <c r="AA481" s="7">
        <v>38024</v>
      </c>
      <c r="AB481" s="7" t="s">
        <v>43</v>
      </c>
      <c r="AC481" s="7"/>
      <c r="AD481" s="7"/>
      <c r="AE481" s="7"/>
      <c r="AF481" s="7"/>
      <c r="AG481" s="8">
        <f t="shared" si="7"/>
        <v>43324</v>
      </c>
    </row>
    <row r="482" spans="1:33">
      <c r="A482" s="7" t="s">
        <v>2578</v>
      </c>
      <c r="B482" s="7" t="s">
        <v>2578</v>
      </c>
      <c r="C482" s="7" t="s">
        <v>2579</v>
      </c>
      <c r="D482" s="7" t="s">
        <v>2580</v>
      </c>
      <c r="E482" s="7" t="s">
        <v>33</v>
      </c>
      <c r="F482" s="7" t="s">
        <v>34</v>
      </c>
      <c r="G482" s="7" t="s">
        <v>35</v>
      </c>
      <c r="H482" s="7"/>
      <c r="I482" s="7"/>
      <c r="J482" s="7" t="s">
        <v>36</v>
      </c>
      <c r="K482" s="7" t="s">
        <v>255</v>
      </c>
      <c r="L482" s="7" t="s">
        <v>277</v>
      </c>
      <c r="M482" s="7" t="s">
        <v>278</v>
      </c>
      <c r="N482" s="7" t="s">
        <v>33</v>
      </c>
      <c r="O482" s="7">
        <v>1</v>
      </c>
      <c r="P482" s="7" t="s">
        <v>40</v>
      </c>
      <c r="Q482" s="7">
        <v>19.99</v>
      </c>
      <c r="R482" s="7"/>
      <c r="S482" s="7"/>
      <c r="T482" s="7"/>
      <c r="U482" s="7"/>
      <c r="V482" s="7"/>
      <c r="W482" s="7"/>
      <c r="X482" s="7"/>
      <c r="Y482" s="7" t="s">
        <v>2581</v>
      </c>
      <c r="Z482" s="7" t="s">
        <v>165</v>
      </c>
      <c r="AA482" s="7" t="s">
        <v>2582</v>
      </c>
      <c r="AB482" s="7" t="s">
        <v>43</v>
      </c>
      <c r="AC482" s="7"/>
      <c r="AD482" s="7"/>
      <c r="AE482" s="7"/>
      <c r="AF482" s="7"/>
      <c r="AG482" s="8">
        <f t="shared" si="7"/>
        <v>43324</v>
      </c>
    </row>
    <row r="483" spans="1:33">
      <c r="A483" s="7" t="s">
        <v>2583</v>
      </c>
      <c r="B483" s="7" t="s">
        <v>2583</v>
      </c>
      <c r="C483" s="7" t="s">
        <v>2584</v>
      </c>
      <c r="D483" s="7" t="s">
        <v>2585</v>
      </c>
      <c r="E483" s="7" t="s">
        <v>33</v>
      </c>
      <c r="F483" s="7" t="s">
        <v>34</v>
      </c>
      <c r="G483" s="7" t="s">
        <v>35</v>
      </c>
      <c r="H483" s="7"/>
      <c r="I483" s="7"/>
      <c r="J483" s="7" t="s">
        <v>336</v>
      </c>
      <c r="K483" s="7" t="s">
        <v>155</v>
      </c>
      <c r="L483" s="7" t="s">
        <v>2586</v>
      </c>
      <c r="M483" s="7" t="s">
        <v>2587</v>
      </c>
      <c r="N483" s="7" t="s">
        <v>33</v>
      </c>
      <c r="O483" s="7">
        <v>1</v>
      </c>
      <c r="P483" s="7" t="s">
        <v>40</v>
      </c>
      <c r="Q483" s="7">
        <v>19.99</v>
      </c>
      <c r="R483" s="7"/>
      <c r="S483" s="7">
        <v>3.09</v>
      </c>
      <c r="T483" s="7"/>
      <c r="U483" s="7"/>
      <c r="V483" s="7"/>
      <c r="W483" s="7"/>
      <c r="X483" s="7">
        <v>3.09</v>
      </c>
      <c r="Y483" s="7" t="s">
        <v>1418</v>
      </c>
      <c r="Z483" s="7" t="s">
        <v>85</v>
      </c>
      <c r="AA483" s="7" t="s">
        <v>2588</v>
      </c>
      <c r="AB483" s="7" t="s">
        <v>43</v>
      </c>
      <c r="AC483" s="7" t="s">
        <v>514</v>
      </c>
      <c r="AD483" s="7"/>
      <c r="AE483" s="7"/>
      <c r="AF483" s="7"/>
      <c r="AG483" s="8">
        <f t="shared" si="7"/>
        <v>43324</v>
      </c>
    </row>
    <row r="484" spans="1:33">
      <c r="A484" s="7" t="s">
        <v>2589</v>
      </c>
      <c r="B484" s="7" t="s">
        <v>2589</v>
      </c>
      <c r="C484" s="7" t="s">
        <v>2590</v>
      </c>
      <c r="D484" s="7" t="s">
        <v>2591</v>
      </c>
      <c r="E484" s="7" t="s">
        <v>33</v>
      </c>
      <c r="F484" s="7" t="s">
        <v>34</v>
      </c>
      <c r="G484" s="7" t="s">
        <v>35</v>
      </c>
      <c r="H484" s="7"/>
      <c r="I484" s="7"/>
      <c r="J484" s="7" t="s">
        <v>36</v>
      </c>
      <c r="K484" s="7" t="s">
        <v>90</v>
      </c>
      <c r="L484" s="7" t="s">
        <v>140</v>
      </c>
      <c r="M484" s="7" t="s">
        <v>141</v>
      </c>
      <c r="N484" s="7" t="s">
        <v>33</v>
      </c>
      <c r="O484" s="7">
        <v>1</v>
      </c>
      <c r="P484" s="7" t="s">
        <v>40</v>
      </c>
      <c r="Q484" s="7">
        <v>19.99</v>
      </c>
      <c r="R484" s="7"/>
      <c r="S484" s="7"/>
      <c r="T484" s="7"/>
      <c r="U484" s="7"/>
      <c r="V484" s="7"/>
      <c r="W484" s="7"/>
      <c r="X484" s="7"/>
      <c r="Y484" s="7" t="s">
        <v>2592</v>
      </c>
      <c r="Z484" s="7" t="s">
        <v>59</v>
      </c>
      <c r="AA484" s="7" t="s">
        <v>2593</v>
      </c>
      <c r="AB484" s="7" t="s">
        <v>43</v>
      </c>
      <c r="AC484" s="7"/>
      <c r="AD484" s="7"/>
      <c r="AE484" s="7"/>
      <c r="AF484" s="7"/>
      <c r="AG484" s="8">
        <f t="shared" si="7"/>
        <v>43324</v>
      </c>
    </row>
    <row r="485" spans="1:33">
      <c r="A485" s="7" t="s">
        <v>2594</v>
      </c>
      <c r="B485" s="7" t="s">
        <v>2594</v>
      </c>
      <c r="C485" s="7" t="s">
        <v>2595</v>
      </c>
      <c r="D485" s="7" t="s">
        <v>2596</v>
      </c>
      <c r="E485" s="7" t="s">
        <v>33</v>
      </c>
      <c r="F485" s="7" t="s">
        <v>34</v>
      </c>
      <c r="G485" s="7" t="s">
        <v>35</v>
      </c>
      <c r="H485" s="7"/>
      <c r="I485" s="7"/>
      <c r="J485" s="7" t="s">
        <v>36</v>
      </c>
      <c r="K485" s="7" t="s">
        <v>255</v>
      </c>
      <c r="L485" s="7" t="s">
        <v>300</v>
      </c>
      <c r="M485" s="7" t="s">
        <v>301</v>
      </c>
      <c r="N485" s="7" t="s">
        <v>33</v>
      </c>
      <c r="O485" s="7">
        <v>1</v>
      </c>
      <c r="P485" s="7" t="s">
        <v>40</v>
      </c>
      <c r="Q485" s="7">
        <v>19.99</v>
      </c>
      <c r="R485" s="7"/>
      <c r="S485" s="7"/>
      <c r="T485" s="7"/>
      <c r="U485" s="7"/>
      <c r="V485" s="7"/>
      <c r="W485" s="7"/>
      <c r="X485" s="7"/>
      <c r="Y485" s="7" t="s">
        <v>1931</v>
      </c>
      <c r="Z485" s="7" t="s">
        <v>135</v>
      </c>
      <c r="AA485" s="7" t="s">
        <v>2597</v>
      </c>
      <c r="AB485" s="7" t="s">
        <v>43</v>
      </c>
      <c r="AC485" s="7"/>
      <c r="AD485" s="7"/>
      <c r="AE485" s="7"/>
      <c r="AF485" s="7"/>
      <c r="AG485" s="8">
        <f t="shared" si="7"/>
        <v>43324</v>
      </c>
    </row>
    <row r="486" spans="1:33">
      <c r="A486" s="7" t="s">
        <v>2598</v>
      </c>
      <c r="B486" s="7" t="s">
        <v>2598</v>
      </c>
      <c r="C486" s="7" t="s">
        <v>2599</v>
      </c>
      <c r="D486" s="7" t="s">
        <v>2600</v>
      </c>
      <c r="E486" s="7" t="s">
        <v>33</v>
      </c>
      <c r="F486" s="7" t="s">
        <v>34</v>
      </c>
      <c r="G486" s="7" t="s">
        <v>35</v>
      </c>
      <c r="H486" s="7"/>
      <c r="I486" s="7"/>
      <c r="J486" s="7" t="s">
        <v>36</v>
      </c>
      <c r="K486" s="7" t="s">
        <v>207</v>
      </c>
      <c r="L486" s="7" t="s">
        <v>2601</v>
      </c>
      <c r="M486" s="7" t="s">
        <v>2602</v>
      </c>
      <c r="N486" s="7" t="s">
        <v>33</v>
      </c>
      <c r="O486" s="7">
        <v>1</v>
      </c>
      <c r="P486" s="7" t="s">
        <v>40</v>
      </c>
      <c r="Q486" s="7">
        <v>19.38</v>
      </c>
      <c r="R486" s="7"/>
      <c r="S486" s="7"/>
      <c r="T486" s="7"/>
      <c r="U486" s="7"/>
      <c r="V486" s="7"/>
      <c r="W486" s="7"/>
      <c r="X486" s="7"/>
      <c r="Y486" s="7" t="s">
        <v>2603</v>
      </c>
      <c r="Z486" s="7" t="s">
        <v>59</v>
      </c>
      <c r="AA486" s="7" t="s">
        <v>2604</v>
      </c>
      <c r="AB486" s="7" t="s">
        <v>43</v>
      </c>
      <c r="AC486" s="7"/>
      <c r="AD486" s="7"/>
      <c r="AE486" s="7"/>
      <c r="AF486" s="7"/>
      <c r="AG486" s="8">
        <f t="shared" si="7"/>
        <v>43324</v>
      </c>
    </row>
    <row r="487" spans="1:33">
      <c r="A487" s="7" t="s">
        <v>2605</v>
      </c>
      <c r="B487" s="7" t="s">
        <v>2605</v>
      </c>
      <c r="C487" s="7" t="s">
        <v>2606</v>
      </c>
      <c r="D487" s="7" t="s">
        <v>2607</v>
      </c>
      <c r="E487" s="7" t="s">
        <v>33</v>
      </c>
      <c r="F487" s="7" t="s">
        <v>34</v>
      </c>
      <c r="G487" s="7" t="s">
        <v>35</v>
      </c>
      <c r="H487" s="7"/>
      <c r="I487" s="7"/>
      <c r="J487" s="7" t="s">
        <v>36</v>
      </c>
      <c r="K487" s="7" t="s">
        <v>90</v>
      </c>
      <c r="L487" s="7" t="s">
        <v>284</v>
      </c>
      <c r="M487" s="7" t="s">
        <v>285</v>
      </c>
      <c r="N487" s="7" t="s">
        <v>33</v>
      </c>
      <c r="O487" s="7">
        <v>1</v>
      </c>
      <c r="P487" s="7" t="s">
        <v>40</v>
      </c>
      <c r="Q487" s="7">
        <v>19.99</v>
      </c>
      <c r="R487" s="7"/>
      <c r="S487" s="7"/>
      <c r="T487" s="7"/>
      <c r="U487" s="7"/>
      <c r="V487" s="7"/>
      <c r="W487" s="7"/>
      <c r="X487" s="7"/>
      <c r="Y487" s="7" t="s">
        <v>2301</v>
      </c>
      <c r="Z487" s="7" t="s">
        <v>94</v>
      </c>
      <c r="AA487" s="7" t="s">
        <v>2302</v>
      </c>
      <c r="AB487" s="7" t="s">
        <v>43</v>
      </c>
      <c r="AC487" s="7"/>
      <c r="AD487" s="7"/>
      <c r="AE487" s="7"/>
      <c r="AF487" s="7"/>
      <c r="AG487" s="8">
        <f t="shared" si="7"/>
        <v>43324</v>
      </c>
    </row>
    <row r="488" spans="1:33">
      <c r="A488" s="7" t="s">
        <v>2608</v>
      </c>
      <c r="B488" s="7" t="s">
        <v>2608</v>
      </c>
      <c r="C488" s="7" t="s">
        <v>2609</v>
      </c>
      <c r="D488" s="7" t="s">
        <v>2610</v>
      </c>
      <c r="E488" s="7" t="s">
        <v>33</v>
      </c>
      <c r="F488" s="7" t="s">
        <v>34</v>
      </c>
      <c r="G488" s="7" t="s">
        <v>35</v>
      </c>
      <c r="H488" s="7"/>
      <c r="I488" s="7"/>
      <c r="J488" s="7" t="s">
        <v>36</v>
      </c>
      <c r="K488" s="7" t="s">
        <v>2611</v>
      </c>
      <c r="L488" s="7" t="s">
        <v>2612</v>
      </c>
      <c r="M488" s="7" t="s">
        <v>2613</v>
      </c>
      <c r="N488" s="7" t="s">
        <v>33</v>
      </c>
      <c r="O488" s="7">
        <v>1</v>
      </c>
      <c r="P488" s="7" t="s">
        <v>40</v>
      </c>
      <c r="Q488" s="7">
        <v>16.99</v>
      </c>
      <c r="R488" s="7"/>
      <c r="S488" s="7"/>
      <c r="T488" s="7"/>
      <c r="U488" s="7"/>
      <c r="V488" s="7"/>
      <c r="W488" s="7"/>
      <c r="X488" s="7"/>
      <c r="Y488" s="7" t="s">
        <v>2614</v>
      </c>
      <c r="Z488" s="7" t="s">
        <v>646</v>
      </c>
      <c r="AA488" s="7" t="s">
        <v>2615</v>
      </c>
      <c r="AB488" s="7" t="s">
        <v>43</v>
      </c>
      <c r="AC488" s="7"/>
      <c r="AD488" s="7"/>
      <c r="AE488" s="7"/>
      <c r="AF488" s="7"/>
      <c r="AG488" s="8">
        <f t="shared" si="7"/>
        <v>43324</v>
      </c>
    </row>
    <row r="489" spans="1:33">
      <c r="A489" s="7" t="s">
        <v>2608</v>
      </c>
      <c r="B489" s="7" t="s">
        <v>2608</v>
      </c>
      <c r="C489" s="7" t="s">
        <v>2609</v>
      </c>
      <c r="D489" s="7" t="s">
        <v>2610</v>
      </c>
      <c r="E489" s="7" t="s">
        <v>33</v>
      </c>
      <c r="F489" s="7" t="s">
        <v>34</v>
      </c>
      <c r="G489" s="7" t="s">
        <v>35</v>
      </c>
      <c r="H489" s="7"/>
      <c r="I489" s="7"/>
      <c r="J489" s="7" t="s">
        <v>36</v>
      </c>
      <c r="K489" s="7" t="s">
        <v>2616</v>
      </c>
      <c r="L489" s="7" t="s">
        <v>2617</v>
      </c>
      <c r="M489" s="7" t="s">
        <v>2618</v>
      </c>
      <c r="N489" s="7" t="s">
        <v>33</v>
      </c>
      <c r="O489" s="7">
        <v>1</v>
      </c>
      <c r="P489" s="7" t="s">
        <v>40</v>
      </c>
      <c r="Q489" s="7">
        <v>17.99</v>
      </c>
      <c r="R489" s="7"/>
      <c r="S489" s="7"/>
      <c r="T489" s="7"/>
      <c r="U489" s="7"/>
      <c r="V489" s="7"/>
      <c r="W489" s="7"/>
      <c r="X489" s="7"/>
      <c r="Y489" s="7" t="s">
        <v>2614</v>
      </c>
      <c r="Z489" s="7" t="s">
        <v>646</v>
      </c>
      <c r="AA489" s="7" t="s">
        <v>2615</v>
      </c>
      <c r="AB489" s="7" t="s">
        <v>43</v>
      </c>
      <c r="AC489" s="7"/>
      <c r="AD489" s="7"/>
      <c r="AE489" s="7"/>
      <c r="AF489" s="7"/>
      <c r="AG489" s="8">
        <f t="shared" si="7"/>
        <v>43324</v>
      </c>
    </row>
    <row r="490" spans="1:33">
      <c r="A490" s="7" t="s">
        <v>2619</v>
      </c>
      <c r="B490" s="7" t="s">
        <v>2619</v>
      </c>
      <c r="C490" s="7" t="s">
        <v>2620</v>
      </c>
      <c r="D490" s="7" t="s">
        <v>2621</v>
      </c>
      <c r="E490" s="7" t="s">
        <v>33</v>
      </c>
      <c r="F490" s="7" t="s">
        <v>34</v>
      </c>
      <c r="G490" s="7" t="s">
        <v>35</v>
      </c>
      <c r="H490" s="7"/>
      <c r="I490" s="7"/>
      <c r="J490" s="7" t="s">
        <v>36</v>
      </c>
      <c r="K490" s="7" t="s">
        <v>255</v>
      </c>
      <c r="L490" s="7" t="s">
        <v>256</v>
      </c>
      <c r="M490" s="7" t="s">
        <v>257</v>
      </c>
      <c r="N490" s="7" t="s">
        <v>33</v>
      </c>
      <c r="O490" s="7">
        <v>1</v>
      </c>
      <c r="P490" s="7" t="s">
        <v>40</v>
      </c>
      <c r="Q490" s="7">
        <v>19.99</v>
      </c>
      <c r="R490" s="7"/>
      <c r="S490" s="7"/>
      <c r="T490" s="7"/>
      <c r="U490" s="7"/>
      <c r="V490" s="7"/>
      <c r="W490" s="7"/>
      <c r="X490" s="7"/>
      <c r="Y490" s="7" t="s">
        <v>2622</v>
      </c>
      <c r="Z490" s="7" t="s">
        <v>392</v>
      </c>
      <c r="AA490" s="7" t="s">
        <v>2623</v>
      </c>
      <c r="AB490" s="7" t="s">
        <v>43</v>
      </c>
      <c r="AC490" s="7"/>
      <c r="AD490" s="7"/>
      <c r="AE490" s="7"/>
      <c r="AF490" s="7"/>
      <c r="AG490" s="8">
        <f t="shared" si="7"/>
        <v>43324</v>
      </c>
    </row>
    <row r="491" spans="1:33">
      <c r="A491" s="7" t="s">
        <v>2624</v>
      </c>
      <c r="B491" s="7" t="s">
        <v>2624</v>
      </c>
      <c r="C491" s="7" t="s">
        <v>2625</v>
      </c>
      <c r="D491" s="7" t="s">
        <v>2626</v>
      </c>
      <c r="E491" s="7" t="s">
        <v>33</v>
      </c>
      <c r="F491" s="7" t="s">
        <v>34</v>
      </c>
      <c r="G491" s="7" t="s">
        <v>35</v>
      </c>
      <c r="H491" s="7"/>
      <c r="I491" s="7"/>
      <c r="J491" s="7" t="s">
        <v>36</v>
      </c>
      <c r="K491" s="7" t="s">
        <v>456</v>
      </c>
      <c r="L491" s="7" t="s">
        <v>1280</v>
      </c>
      <c r="M491" s="7" t="s">
        <v>1281</v>
      </c>
      <c r="N491" s="7" t="s">
        <v>33</v>
      </c>
      <c r="O491" s="7">
        <v>1</v>
      </c>
      <c r="P491" s="7" t="s">
        <v>40</v>
      </c>
      <c r="Q491" s="7">
        <v>19.99</v>
      </c>
      <c r="R491" s="7"/>
      <c r="S491" s="7"/>
      <c r="T491" s="7"/>
      <c r="U491" s="7"/>
      <c r="V491" s="7"/>
      <c r="W491" s="7"/>
      <c r="X491" s="7"/>
      <c r="Y491" s="7" t="s">
        <v>1931</v>
      </c>
      <c r="Z491" s="7" t="s">
        <v>135</v>
      </c>
      <c r="AA491" s="7" t="s">
        <v>2627</v>
      </c>
      <c r="AB491" s="7" t="s">
        <v>43</v>
      </c>
      <c r="AC491" s="7"/>
      <c r="AD491" s="7"/>
      <c r="AE491" s="7"/>
      <c r="AF491" s="7"/>
      <c r="AG491" s="8">
        <f t="shared" si="7"/>
        <v>43324</v>
      </c>
    </row>
    <row r="492" spans="1:33">
      <c r="A492" s="7" t="s">
        <v>2628</v>
      </c>
      <c r="B492" s="7" t="s">
        <v>2628</v>
      </c>
      <c r="C492" s="7" t="s">
        <v>2629</v>
      </c>
      <c r="D492" s="7" t="s">
        <v>2630</v>
      </c>
      <c r="E492" s="7" t="s">
        <v>33</v>
      </c>
      <c r="F492" s="7" t="s">
        <v>34</v>
      </c>
      <c r="G492" s="7" t="s">
        <v>35</v>
      </c>
      <c r="H492" s="7"/>
      <c r="I492" s="7"/>
      <c r="J492" s="7" t="s">
        <v>36</v>
      </c>
      <c r="K492" s="7" t="s">
        <v>90</v>
      </c>
      <c r="L492" s="7" t="s">
        <v>91</v>
      </c>
      <c r="M492" s="7" t="s">
        <v>92</v>
      </c>
      <c r="N492" s="7" t="s">
        <v>33</v>
      </c>
      <c r="O492" s="7">
        <v>1</v>
      </c>
      <c r="P492" s="7" t="s">
        <v>40</v>
      </c>
      <c r="Q492" s="7">
        <v>19.99</v>
      </c>
      <c r="R492" s="7"/>
      <c r="S492" s="7"/>
      <c r="T492" s="7"/>
      <c r="U492" s="7"/>
      <c r="V492" s="7"/>
      <c r="W492" s="7"/>
      <c r="X492" s="7"/>
      <c r="Y492" s="7" t="s">
        <v>2631</v>
      </c>
      <c r="Z492" s="7" t="s">
        <v>227</v>
      </c>
      <c r="AA492" s="7" t="s">
        <v>2632</v>
      </c>
      <c r="AB492" s="7" t="s">
        <v>43</v>
      </c>
      <c r="AC492" s="7"/>
      <c r="AD492" s="7"/>
      <c r="AE492" s="7"/>
      <c r="AF492" s="7"/>
      <c r="AG492" s="8">
        <f t="shared" si="7"/>
        <v>43324</v>
      </c>
    </row>
    <row r="493" spans="1:33">
      <c r="A493" s="7" t="s">
        <v>2633</v>
      </c>
      <c r="B493" s="7" t="s">
        <v>2633</v>
      </c>
      <c r="C493" s="7" t="s">
        <v>2634</v>
      </c>
      <c r="D493" s="7" t="s">
        <v>2635</v>
      </c>
      <c r="E493" s="7" t="s">
        <v>33</v>
      </c>
      <c r="F493" s="7" t="s">
        <v>34</v>
      </c>
      <c r="G493" s="7" t="s">
        <v>35</v>
      </c>
      <c r="H493" s="7"/>
      <c r="I493" s="7"/>
      <c r="J493" s="7" t="s">
        <v>36</v>
      </c>
      <c r="K493" s="7" t="s">
        <v>155</v>
      </c>
      <c r="L493" s="7" t="s">
        <v>2636</v>
      </c>
      <c r="M493" s="7" t="s">
        <v>2637</v>
      </c>
      <c r="N493" s="7" t="s">
        <v>33</v>
      </c>
      <c r="O493" s="7">
        <v>1</v>
      </c>
      <c r="P493" s="7" t="s">
        <v>40</v>
      </c>
      <c r="Q493" s="7">
        <v>19.99</v>
      </c>
      <c r="R493" s="7"/>
      <c r="S493" s="7"/>
      <c r="T493" s="7"/>
      <c r="U493" s="7"/>
      <c r="V493" s="7"/>
      <c r="W493" s="7"/>
      <c r="X493" s="7"/>
      <c r="Y493" s="7" t="s">
        <v>2638</v>
      </c>
      <c r="Z493" s="7" t="s">
        <v>94</v>
      </c>
      <c r="AA493" s="7" t="s">
        <v>2639</v>
      </c>
      <c r="AB493" s="7" t="s">
        <v>43</v>
      </c>
      <c r="AC493" s="7"/>
      <c r="AD493" s="7"/>
      <c r="AE493" s="7"/>
      <c r="AF493" s="7"/>
      <c r="AG493" s="8">
        <f t="shared" si="7"/>
        <v>43324</v>
      </c>
    </row>
    <row r="494" spans="1:33">
      <c r="A494" s="7" t="s">
        <v>2640</v>
      </c>
      <c r="B494" s="7" t="s">
        <v>2640</v>
      </c>
      <c r="C494" s="7" t="s">
        <v>2641</v>
      </c>
      <c r="D494" s="7" t="s">
        <v>2642</v>
      </c>
      <c r="E494" s="7" t="s">
        <v>33</v>
      </c>
      <c r="F494" s="7" t="s">
        <v>34</v>
      </c>
      <c r="G494" s="7" t="s">
        <v>35</v>
      </c>
      <c r="H494" s="7"/>
      <c r="I494" s="7"/>
      <c r="J494" s="7" t="s">
        <v>36</v>
      </c>
      <c r="K494" s="7" t="s">
        <v>255</v>
      </c>
      <c r="L494" s="7" t="s">
        <v>300</v>
      </c>
      <c r="M494" s="7" t="s">
        <v>301</v>
      </c>
      <c r="N494" s="7" t="s">
        <v>33</v>
      </c>
      <c r="O494" s="7">
        <v>1</v>
      </c>
      <c r="P494" s="7" t="s">
        <v>40</v>
      </c>
      <c r="Q494" s="7">
        <v>19.99</v>
      </c>
      <c r="R494" s="7"/>
      <c r="S494" s="7"/>
      <c r="T494" s="7"/>
      <c r="U494" s="7"/>
      <c r="V494" s="7"/>
      <c r="W494" s="7"/>
      <c r="X494" s="7"/>
      <c r="Y494" s="7" t="s">
        <v>2643</v>
      </c>
      <c r="Z494" s="7" t="s">
        <v>174</v>
      </c>
      <c r="AA494" s="7" t="s">
        <v>2644</v>
      </c>
      <c r="AB494" s="7" t="s">
        <v>43</v>
      </c>
      <c r="AC494" s="7"/>
      <c r="AD494" s="7"/>
      <c r="AE494" s="7"/>
      <c r="AF494" s="7"/>
      <c r="AG494" s="8">
        <f t="shared" si="7"/>
        <v>43324</v>
      </c>
    </row>
    <row r="495" spans="1:33">
      <c r="A495" s="7" t="s">
        <v>2645</v>
      </c>
      <c r="B495" s="7" t="s">
        <v>2645</v>
      </c>
      <c r="C495" s="7" t="s">
        <v>2646</v>
      </c>
      <c r="D495" s="7" t="s">
        <v>2647</v>
      </c>
      <c r="E495" s="7" t="s">
        <v>33</v>
      </c>
      <c r="F495" s="7" t="s">
        <v>34</v>
      </c>
      <c r="G495" s="7" t="s">
        <v>35</v>
      </c>
      <c r="H495" s="7"/>
      <c r="I495" s="7"/>
      <c r="J495" s="7" t="s">
        <v>36</v>
      </c>
      <c r="K495" s="7" t="s">
        <v>255</v>
      </c>
      <c r="L495" s="7" t="s">
        <v>256</v>
      </c>
      <c r="M495" s="7" t="s">
        <v>257</v>
      </c>
      <c r="N495" s="7" t="s">
        <v>33</v>
      </c>
      <c r="O495" s="7">
        <v>1</v>
      </c>
      <c r="P495" s="7" t="s">
        <v>40</v>
      </c>
      <c r="Q495" s="7">
        <v>19.99</v>
      </c>
      <c r="R495" s="7"/>
      <c r="S495" s="7"/>
      <c r="T495" s="7"/>
      <c r="U495" s="7"/>
      <c r="V495" s="7"/>
      <c r="W495" s="7"/>
      <c r="X495" s="7"/>
      <c r="Y495" s="7" t="s">
        <v>2648</v>
      </c>
      <c r="Z495" s="7" t="s">
        <v>59</v>
      </c>
      <c r="AA495" s="7" t="s">
        <v>2649</v>
      </c>
      <c r="AB495" s="7" t="s">
        <v>43</v>
      </c>
      <c r="AC495" s="7"/>
      <c r="AD495" s="7"/>
      <c r="AE495" s="7"/>
      <c r="AF495" s="7"/>
      <c r="AG495" s="8">
        <f t="shared" si="7"/>
        <v>43324</v>
      </c>
    </row>
    <row r="496" spans="1:33">
      <c r="A496" s="7" t="s">
        <v>2650</v>
      </c>
      <c r="B496" s="7" t="s">
        <v>2650</v>
      </c>
      <c r="C496" s="7" t="s">
        <v>2651</v>
      </c>
      <c r="D496" s="7" t="s">
        <v>2652</v>
      </c>
      <c r="E496" s="7" t="s">
        <v>33</v>
      </c>
      <c r="F496" s="7" t="s">
        <v>34</v>
      </c>
      <c r="G496" s="7" t="s">
        <v>35</v>
      </c>
      <c r="H496" s="7"/>
      <c r="I496" s="7"/>
      <c r="J496" s="7" t="s">
        <v>36</v>
      </c>
      <c r="K496" s="7" t="s">
        <v>2653</v>
      </c>
      <c r="L496" s="7" t="s">
        <v>2654</v>
      </c>
      <c r="M496" s="7" t="s">
        <v>2655</v>
      </c>
      <c r="N496" s="7" t="s">
        <v>33</v>
      </c>
      <c r="O496" s="7">
        <v>1</v>
      </c>
      <c r="P496" s="7" t="s">
        <v>40</v>
      </c>
      <c r="Q496" s="7">
        <v>17.99</v>
      </c>
      <c r="R496" s="7"/>
      <c r="S496" s="7"/>
      <c r="T496" s="7"/>
      <c r="U496" s="7"/>
      <c r="V496" s="7"/>
      <c r="W496" s="7"/>
      <c r="X496" s="7"/>
      <c r="Y496" s="7" t="s">
        <v>2656</v>
      </c>
      <c r="Z496" s="7" t="s">
        <v>227</v>
      </c>
      <c r="AA496" s="7" t="s">
        <v>2657</v>
      </c>
      <c r="AB496" s="7" t="s">
        <v>43</v>
      </c>
      <c r="AC496" s="7"/>
      <c r="AD496" s="7"/>
      <c r="AE496" s="7"/>
      <c r="AF496" s="7"/>
      <c r="AG496" s="8">
        <f t="shared" si="7"/>
        <v>43324</v>
      </c>
    </row>
    <row r="497" spans="1:33">
      <c r="A497" s="7" t="s">
        <v>2658</v>
      </c>
      <c r="B497" s="7" t="s">
        <v>2658</v>
      </c>
      <c r="C497" s="7" t="s">
        <v>2659</v>
      </c>
      <c r="D497" s="7" t="s">
        <v>2660</v>
      </c>
      <c r="E497" s="7" t="s">
        <v>33</v>
      </c>
      <c r="F497" s="7" t="s">
        <v>34</v>
      </c>
      <c r="G497" s="7" t="s">
        <v>35</v>
      </c>
      <c r="H497" s="7"/>
      <c r="I497" s="7"/>
      <c r="J497" s="7" t="s">
        <v>36</v>
      </c>
      <c r="K497" s="7" t="s">
        <v>255</v>
      </c>
      <c r="L497" s="7" t="s">
        <v>277</v>
      </c>
      <c r="M497" s="7" t="s">
        <v>278</v>
      </c>
      <c r="N497" s="7" t="s">
        <v>33</v>
      </c>
      <c r="O497" s="7">
        <v>1</v>
      </c>
      <c r="P497" s="7" t="s">
        <v>40</v>
      </c>
      <c r="Q497" s="7">
        <v>19.99</v>
      </c>
      <c r="R497" s="7"/>
      <c r="S497" s="7"/>
      <c r="T497" s="7"/>
      <c r="U497" s="7"/>
      <c r="V497" s="7"/>
      <c r="W497" s="7"/>
      <c r="X497" s="7"/>
      <c r="Y497" s="7" t="s">
        <v>2661</v>
      </c>
      <c r="Z497" s="7" t="s">
        <v>135</v>
      </c>
      <c r="AA497" s="7">
        <v>33184</v>
      </c>
      <c r="AB497" s="7" t="s">
        <v>43</v>
      </c>
      <c r="AC497" s="7"/>
      <c r="AD497" s="7"/>
      <c r="AE497" s="7"/>
      <c r="AF497" s="7"/>
      <c r="AG497" s="8">
        <f t="shared" si="7"/>
        <v>43324</v>
      </c>
    </row>
    <row r="498" spans="1:33">
      <c r="A498" s="7" t="s">
        <v>2662</v>
      </c>
      <c r="B498" s="7" t="s">
        <v>2662</v>
      </c>
      <c r="C498" s="7" t="s">
        <v>2663</v>
      </c>
      <c r="D498" s="7" t="s">
        <v>2664</v>
      </c>
      <c r="E498" s="7" t="s">
        <v>33</v>
      </c>
      <c r="F498" s="7" t="s">
        <v>34</v>
      </c>
      <c r="G498" s="7" t="s">
        <v>35</v>
      </c>
      <c r="H498" s="7"/>
      <c r="I498" s="7"/>
      <c r="J498" s="7" t="s">
        <v>36</v>
      </c>
      <c r="K498" s="7" t="s">
        <v>155</v>
      </c>
      <c r="L498" s="7" t="s">
        <v>2636</v>
      </c>
      <c r="M498" s="7" t="s">
        <v>2637</v>
      </c>
      <c r="N498" s="7" t="s">
        <v>33</v>
      </c>
      <c r="O498" s="7">
        <v>1</v>
      </c>
      <c r="P498" s="7" t="s">
        <v>40</v>
      </c>
      <c r="Q498" s="7">
        <v>19.99</v>
      </c>
      <c r="R498" s="7"/>
      <c r="S498" s="7"/>
      <c r="T498" s="7"/>
      <c r="U498" s="7"/>
      <c r="V498" s="7"/>
      <c r="W498" s="7"/>
      <c r="X498" s="7"/>
      <c r="Y498" s="7" t="s">
        <v>2665</v>
      </c>
      <c r="Z498" s="7" t="s">
        <v>1546</v>
      </c>
      <c r="AA498" s="7">
        <v>20874</v>
      </c>
      <c r="AB498" s="7" t="s">
        <v>43</v>
      </c>
      <c r="AC498" s="7"/>
      <c r="AD498" s="7"/>
      <c r="AE498" s="7"/>
      <c r="AF498" s="7"/>
      <c r="AG498" s="8">
        <f t="shared" si="7"/>
        <v>43324</v>
      </c>
    </row>
    <row r="499" spans="1:33">
      <c r="A499" s="7" t="s">
        <v>2666</v>
      </c>
      <c r="B499" s="7" t="s">
        <v>2666</v>
      </c>
      <c r="C499" s="7" t="s">
        <v>2667</v>
      </c>
      <c r="D499" s="7" t="s">
        <v>2668</v>
      </c>
      <c r="E499" s="7" t="s">
        <v>33</v>
      </c>
      <c r="F499" s="7" t="s">
        <v>34</v>
      </c>
      <c r="G499" s="7" t="s">
        <v>35</v>
      </c>
      <c r="H499" s="7"/>
      <c r="I499" s="7"/>
      <c r="J499" s="7" t="s">
        <v>36</v>
      </c>
      <c r="K499" s="7" t="s">
        <v>617</v>
      </c>
      <c r="L499" s="7" t="s">
        <v>618</v>
      </c>
      <c r="M499" s="7" t="s">
        <v>619</v>
      </c>
      <c r="N499" s="7" t="s">
        <v>33</v>
      </c>
      <c r="O499" s="7">
        <v>1</v>
      </c>
      <c r="P499" s="7" t="s">
        <v>40</v>
      </c>
      <c r="Q499" s="7">
        <v>18.99</v>
      </c>
      <c r="R499" s="7"/>
      <c r="S499" s="7"/>
      <c r="T499" s="7"/>
      <c r="U499" s="7"/>
      <c r="V499" s="7"/>
      <c r="W499" s="7"/>
      <c r="X499" s="7"/>
      <c r="Y499" s="7" t="s">
        <v>2669</v>
      </c>
      <c r="Z499" s="7" t="s">
        <v>323</v>
      </c>
      <c r="AA499" s="7" t="s">
        <v>2670</v>
      </c>
      <c r="AB499" s="7" t="s">
        <v>43</v>
      </c>
      <c r="AC499" s="7"/>
      <c r="AD499" s="7"/>
      <c r="AE499" s="7"/>
      <c r="AF499" s="7"/>
      <c r="AG499" s="8">
        <f t="shared" si="7"/>
        <v>43324</v>
      </c>
    </row>
    <row r="500" spans="1:33">
      <c r="A500" s="7" t="s">
        <v>2671</v>
      </c>
      <c r="B500" s="7" t="s">
        <v>2671</v>
      </c>
      <c r="C500" s="7" t="s">
        <v>2672</v>
      </c>
      <c r="D500" s="7" t="s">
        <v>2673</v>
      </c>
      <c r="E500" s="7" t="s">
        <v>33</v>
      </c>
      <c r="F500" s="7" t="s">
        <v>34</v>
      </c>
      <c r="G500" s="7" t="s">
        <v>35</v>
      </c>
      <c r="H500" s="7"/>
      <c r="I500" s="7"/>
      <c r="J500" s="7" t="s">
        <v>36</v>
      </c>
      <c r="K500" s="7" t="s">
        <v>37</v>
      </c>
      <c r="L500" s="7" t="s">
        <v>82</v>
      </c>
      <c r="M500" s="7" t="s">
        <v>83</v>
      </c>
      <c r="N500" s="7" t="s">
        <v>33</v>
      </c>
      <c r="O500" s="7">
        <v>1</v>
      </c>
      <c r="P500" s="7" t="s">
        <v>40</v>
      </c>
      <c r="Q500" s="7">
        <v>19.99</v>
      </c>
      <c r="R500" s="7"/>
      <c r="S500" s="7"/>
      <c r="T500" s="7"/>
      <c r="U500" s="7"/>
      <c r="V500" s="7"/>
      <c r="W500" s="7"/>
      <c r="X500" s="7"/>
      <c r="Y500" s="7" t="s">
        <v>2674</v>
      </c>
      <c r="Z500" s="7" t="s">
        <v>85</v>
      </c>
      <c r="AA500" s="7" t="s">
        <v>2675</v>
      </c>
      <c r="AB500" s="7" t="s">
        <v>43</v>
      </c>
      <c r="AC500" s="7"/>
      <c r="AD500" s="7"/>
      <c r="AE500" s="7"/>
      <c r="AF500" s="7"/>
      <c r="AG500" s="8">
        <f t="shared" si="7"/>
        <v>43325</v>
      </c>
    </row>
    <row r="501" spans="1:33">
      <c r="A501" s="7" t="s">
        <v>2676</v>
      </c>
      <c r="B501" s="7" t="s">
        <v>2676</v>
      </c>
      <c r="C501" s="7" t="s">
        <v>2677</v>
      </c>
      <c r="D501" s="7" t="s">
        <v>2678</v>
      </c>
      <c r="E501" s="7" t="s">
        <v>33</v>
      </c>
      <c r="F501" s="7" t="s">
        <v>34</v>
      </c>
      <c r="G501" s="7" t="s">
        <v>35</v>
      </c>
      <c r="H501" s="7"/>
      <c r="I501" s="7"/>
      <c r="J501" s="7" t="s">
        <v>36</v>
      </c>
      <c r="K501" s="7" t="s">
        <v>125</v>
      </c>
      <c r="L501" s="7" t="s">
        <v>126</v>
      </c>
      <c r="M501" s="7" t="s">
        <v>127</v>
      </c>
      <c r="N501" s="7" t="s">
        <v>33</v>
      </c>
      <c r="O501" s="7">
        <v>1</v>
      </c>
      <c r="P501" s="7" t="s">
        <v>40</v>
      </c>
      <c r="Q501" s="7">
        <v>18.99</v>
      </c>
      <c r="R501" s="7"/>
      <c r="S501" s="7"/>
      <c r="T501" s="7"/>
      <c r="U501" s="7"/>
      <c r="V501" s="7"/>
      <c r="W501" s="7"/>
      <c r="X501" s="7"/>
      <c r="Y501" s="7" t="s">
        <v>2679</v>
      </c>
      <c r="Z501" s="7" t="s">
        <v>94</v>
      </c>
      <c r="AA501" s="7" t="s">
        <v>2680</v>
      </c>
      <c r="AB501" s="7" t="s">
        <v>43</v>
      </c>
      <c r="AC501" s="7"/>
      <c r="AD501" s="7"/>
      <c r="AE501" s="7"/>
      <c r="AF501" s="7"/>
      <c r="AG501" s="8">
        <f t="shared" si="7"/>
        <v>43325</v>
      </c>
    </row>
    <row r="502" spans="1:33">
      <c r="A502" s="7" t="s">
        <v>2681</v>
      </c>
      <c r="B502" s="7" t="s">
        <v>2681</v>
      </c>
      <c r="C502" s="7" t="s">
        <v>2682</v>
      </c>
      <c r="D502" s="7" t="s">
        <v>2683</v>
      </c>
      <c r="E502" s="7" t="s">
        <v>33</v>
      </c>
      <c r="F502" s="7" t="s">
        <v>34</v>
      </c>
      <c r="G502" s="7" t="s">
        <v>35</v>
      </c>
      <c r="H502" s="7"/>
      <c r="I502" s="7"/>
      <c r="J502" s="7" t="s">
        <v>36</v>
      </c>
      <c r="K502" s="7" t="s">
        <v>2684</v>
      </c>
      <c r="L502" s="7" t="s">
        <v>2685</v>
      </c>
      <c r="M502" s="7" t="s">
        <v>2686</v>
      </c>
      <c r="N502" s="7" t="s">
        <v>33</v>
      </c>
      <c r="O502" s="7">
        <v>1</v>
      </c>
      <c r="P502" s="7" t="s">
        <v>40</v>
      </c>
      <c r="Q502" s="7">
        <v>17.99</v>
      </c>
      <c r="R502" s="7"/>
      <c r="S502" s="7"/>
      <c r="T502" s="7"/>
      <c r="U502" s="7"/>
      <c r="V502" s="7"/>
      <c r="W502" s="7"/>
      <c r="X502" s="7"/>
      <c r="Y502" s="7" t="s">
        <v>1642</v>
      </c>
      <c r="Z502" s="7" t="s">
        <v>85</v>
      </c>
      <c r="AA502" s="7" t="s">
        <v>1643</v>
      </c>
      <c r="AB502" s="7" t="s">
        <v>43</v>
      </c>
      <c r="AC502" s="7"/>
      <c r="AD502" s="7"/>
      <c r="AE502" s="7"/>
      <c r="AF502" s="7"/>
      <c r="AG502" s="8">
        <f t="shared" si="7"/>
        <v>43325</v>
      </c>
    </row>
    <row r="503" spans="1:33">
      <c r="A503" s="7" t="s">
        <v>2687</v>
      </c>
      <c r="B503" s="7" t="s">
        <v>2687</v>
      </c>
      <c r="C503" s="7" t="s">
        <v>2688</v>
      </c>
      <c r="D503" s="7" t="s">
        <v>2402</v>
      </c>
      <c r="E503" s="7" t="s">
        <v>33</v>
      </c>
      <c r="F503" s="7" t="s">
        <v>34</v>
      </c>
      <c r="G503" s="7" t="s">
        <v>35</v>
      </c>
      <c r="H503" s="7"/>
      <c r="I503" s="7"/>
      <c r="J503" s="7" t="s">
        <v>36</v>
      </c>
      <c r="K503" s="7" t="s">
        <v>90</v>
      </c>
      <c r="L503" s="7" t="s">
        <v>284</v>
      </c>
      <c r="M503" s="7" t="s">
        <v>285</v>
      </c>
      <c r="N503" s="7" t="s">
        <v>33</v>
      </c>
      <c r="O503" s="7">
        <v>1</v>
      </c>
      <c r="P503" s="7" t="s">
        <v>40</v>
      </c>
      <c r="Q503" s="7">
        <v>12.99</v>
      </c>
      <c r="R503" s="7"/>
      <c r="S503" s="7"/>
      <c r="T503" s="7"/>
      <c r="U503" s="7"/>
      <c r="V503" s="7"/>
      <c r="W503" s="7"/>
      <c r="X503" s="7"/>
      <c r="Y503" s="7" t="s">
        <v>2689</v>
      </c>
      <c r="Z503" s="7" t="s">
        <v>848</v>
      </c>
      <c r="AA503" s="7" t="s">
        <v>2690</v>
      </c>
      <c r="AB503" s="7" t="s">
        <v>43</v>
      </c>
      <c r="AC503" s="7"/>
      <c r="AD503" s="7"/>
      <c r="AE503" s="7"/>
      <c r="AF503" s="7"/>
      <c r="AG503" s="8">
        <f t="shared" si="7"/>
        <v>43325</v>
      </c>
    </row>
    <row r="504" spans="1:33">
      <c r="A504" s="7" t="s">
        <v>2691</v>
      </c>
      <c r="B504" s="7" t="s">
        <v>2691</v>
      </c>
      <c r="C504" s="7" t="s">
        <v>2692</v>
      </c>
      <c r="D504" s="7" t="s">
        <v>2693</v>
      </c>
      <c r="E504" s="7" t="s">
        <v>33</v>
      </c>
      <c r="F504" s="7" t="s">
        <v>34</v>
      </c>
      <c r="G504" s="7" t="s">
        <v>35</v>
      </c>
      <c r="H504" s="7"/>
      <c r="I504" s="7"/>
      <c r="J504" s="7" t="s">
        <v>36</v>
      </c>
      <c r="K504" s="7" t="s">
        <v>90</v>
      </c>
      <c r="L504" s="7" t="s">
        <v>191</v>
      </c>
      <c r="M504" s="7" t="s">
        <v>192</v>
      </c>
      <c r="N504" s="7" t="s">
        <v>33</v>
      </c>
      <c r="O504" s="7">
        <v>1</v>
      </c>
      <c r="P504" s="7" t="s">
        <v>40</v>
      </c>
      <c r="Q504" s="7">
        <v>12.99</v>
      </c>
      <c r="R504" s="7"/>
      <c r="S504" s="7"/>
      <c r="T504" s="7"/>
      <c r="U504" s="7"/>
      <c r="V504" s="7"/>
      <c r="W504" s="7"/>
      <c r="X504" s="7"/>
      <c r="Y504" s="7" t="s">
        <v>569</v>
      </c>
      <c r="Z504" s="7" t="s">
        <v>570</v>
      </c>
      <c r="AA504" s="7" t="s">
        <v>2694</v>
      </c>
      <c r="AB504" s="7" t="s">
        <v>43</v>
      </c>
      <c r="AC504" s="7"/>
      <c r="AD504" s="7"/>
      <c r="AE504" s="7"/>
      <c r="AF504" s="7"/>
      <c r="AG504" s="8">
        <f t="shared" si="7"/>
        <v>43325</v>
      </c>
    </row>
    <row r="505" spans="1:33">
      <c r="A505" s="7" t="s">
        <v>2695</v>
      </c>
      <c r="B505" s="7" t="s">
        <v>2695</v>
      </c>
      <c r="C505" s="7" t="s">
        <v>2696</v>
      </c>
      <c r="D505" s="7" t="s">
        <v>2697</v>
      </c>
      <c r="E505" s="7" t="s">
        <v>33</v>
      </c>
      <c r="F505" s="7" t="s">
        <v>34</v>
      </c>
      <c r="G505" s="7" t="s">
        <v>35</v>
      </c>
      <c r="H505" s="7"/>
      <c r="I505" s="7"/>
      <c r="J505" s="7" t="s">
        <v>36</v>
      </c>
      <c r="K505" s="7" t="s">
        <v>232</v>
      </c>
      <c r="L505" s="7" t="s">
        <v>233</v>
      </c>
      <c r="M505" s="7" t="s">
        <v>234</v>
      </c>
      <c r="N505" s="7" t="s">
        <v>33</v>
      </c>
      <c r="O505" s="7">
        <v>1</v>
      </c>
      <c r="P505" s="7" t="s">
        <v>40</v>
      </c>
      <c r="Q505" s="7">
        <v>21.99</v>
      </c>
      <c r="R505" s="7"/>
      <c r="S505" s="7"/>
      <c r="T505" s="7"/>
      <c r="U505" s="7"/>
      <c r="V505" s="7"/>
      <c r="W505" s="7"/>
      <c r="X505" s="7"/>
      <c r="Y505" s="7" t="s">
        <v>2698</v>
      </c>
      <c r="Z505" s="7" t="s">
        <v>59</v>
      </c>
      <c r="AA505" s="7" t="s">
        <v>2699</v>
      </c>
      <c r="AB505" s="7" t="s">
        <v>43</v>
      </c>
      <c r="AC505" s="7"/>
      <c r="AD505" s="7"/>
      <c r="AE505" s="7"/>
      <c r="AF505" s="7"/>
      <c r="AG505" s="8">
        <f t="shared" si="7"/>
        <v>43325</v>
      </c>
    </row>
    <row r="506" spans="1:33">
      <c r="A506" s="7" t="s">
        <v>2700</v>
      </c>
      <c r="B506" s="7" t="s">
        <v>2700</v>
      </c>
      <c r="C506" s="7" t="s">
        <v>2701</v>
      </c>
      <c r="D506" s="7" t="s">
        <v>2702</v>
      </c>
      <c r="E506" s="7" t="s">
        <v>33</v>
      </c>
      <c r="F506" s="7" t="s">
        <v>34</v>
      </c>
      <c r="G506" s="7" t="s">
        <v>35</v>
      </c>
      <c r="H506" s="7"/>
      <c r="I506" s="7"/>
      <c r="J506" s="7" t="s">
        <v>36</v>
      </c>
      <c r="K506" s="7" t="s">
        <v>90</v>
      </c>
      <c r="L506" s="7" t="s">
        <v>284</v>
      </c>
      <c r="M506" s="7" t="s">
        <v>285</v>
      </c>
      <c r="N506" s="7" t="s">
        <v>33</v>
      </c>
      <c r="O506" s="7">
        <v>1</v>
      </c>
      <c r="P506" s="7" t="s">
        <v>40</v>
      </c>
      <c r="Q506" s="7">
        <v>12.99</v>
      </c>
      <c r="R506" s="7"/>
      <c r="S506" s="7"/>
      <c r="T506" s="7"/>
      <c r="U506" s="7"/>
      <c r="V506" s="7"/>
      <c r="W506" s="7"/>
      <c r="X506" s="7"/>
      <c r="Y506" s="7" t="s">
        <v>1418</v>
      </c>
      <c r="Z506" s="7" t="s">
        <v>85</v>
      </c>
      <c r="AA506" s="7" t="s">
        <v>2703</v>
      </c>
      <c r="AB506" s="7" t="s">
        <v>43</v>
      </c>
      <c r="AC506" s="7"/>
      <c r="AD506" s="7"/>
      <c r="AE506" s="7"/>
      <c r="AF506" s="7"/>
      <c r="AG506" s="8">
        <f t="shared" si="7"/>
        <v>43325</v>
      </c>
    </row>
    <row r="507" spans="1:33">
      <c r="A507" s="7" t="s">
        <v>2704</v>
      </c>
      <c r="B507" s="7" t="s">
        <v>2704</v>
      </c>
      <c r="C507" s="7" t="s">
        <v>2705</v>
      </c>
      <c r="D507" s="7" t="s">
        <v>2706</v>
      </c>
      <c r="E507" s="7" t="s">
        <v>33</v>
      </c>
      <c r="F507" s="7" t="s">
        <v>34</v>
      </c>
      <c r="G507" s="7" t="s">
        <v>35</v>
      </c>
      <c r="H507" s="7"/>
      <c r="I507" s="7"/>
      <c r="J507" s="7" t="s">
        <v>36</v>
      </c>
      <c r="K507" s="7" t="s">
        <v>47</v>
      </c>
      <c r="L507" s="7" t="s">
        <v>1206</v>
      </c>
      <c r="M507" s="7" t="s">
        <v>1207</v>
      </c>
      <c r="N507" s="7" t="s">
        <v>33</v>
      </c>
      <c r="O507" s="7">
        <v>1</v>
      </c>
      <c r="P507" s="7" t="s">
        <v>40</v>
      </c>
      <c r="Q507" s="7">
        <v>16.99</v>
      </c>
      <c r="R507" s="7"/>
      <c r="S507" s="7"/>
      <c r="T507" s="7"/>
      <c r="U507" s="7"/>
      <c r="V507" s="7"/>
      <c r="W507" s="7"/>
      <c r="X507" s="7"/>
      <c r="Y507" s="7" t="s">
        <v>2707</v>
      </c>
      <c r="Z507" s="7" t="s">
        <v>2708</v>
      </c>
      <c r="AA507" s="7">
        <v>42303</v>
      </c>
      <c r="AB507" s="7" t="s">
        <v>43</v>
      </c>
      <c r="AC507" s="7"/>
      <c r="AD507" s="7"/>
      <c r="AE507" s="7"/>
      <c r="AF507" s="7"/>
      <c r="AG507" s="8">
        <f t="shared" si="7"/>
        <v>43325</v>
      </c>
    </row>
    <row r="508" spans="1:33">
      <c r="A508" s="7" t="s">
        <v>2709</v>
      </c>
      <c r="B508" s="7" t="s">
        <v>2709</v>
      </c>
      <c r="C508" s="7" t="s">
        <v>2710</v>
      </c>
      <c r="D508" s="7" t="s">
        <v>2711</v>
      </c>
      <c r="E508" s="7" t="s">
        <v>33</v>
      </c>
      <c r="F508" s="7" t="s">
        <v>34</v>
      </c>
      <c r="G508" s="7" t="s">
        <v>35</v>
      </c>
      <c r="H508" s="7"/>
      <c r="I508" s="7"/>
      <c r="J508" s="7" t="s">
        <v>36</v>
      </c>
      <c r="K508" s="7" t="s">
        <v>199</v>
      </c>
      <c r="L508" s="7" t="s">
        <v>200</v>
      </c>
      <c r="M508" s="7" t="s">
        <v>201</v>
      </c>
      <c r="N508" s="7" t="s">
        <v>33</v>
      </c>
      <c r="O508" s="7">
        <v>1</v>
      </c>
      <c r="P508" s="7" t="s">
        <v>40</v>
      </c>
      <c r="Q508" s="7">
        <v>18.99</v>
      </c>
      <c r="R508" s="7"/>
      <c r="S508" s="7"/>
      <c r="T508" s="7"/>
      <c r="U508" s="7"/>
      <c r="V508" s="7"/>
      <c r="W508" s="7"/>
      <c r="X508" s="7"/>
      <c r="Y508" s="7" t="s">
        <v>2712</v>
      </c>
      <c r="Z508" s="7" t="s">
        <v>392</v>
      </c>
      <c r="AA508" s="7" t="s">
        <v>2713</v>
      </c>
      <c r="AB508" s="7" t="s">
        <v>43</v>
      </c>
      <c r="AC508" s="7"/>
      <c r="AD508" s="7"/>
      <c r="AE508" s="7"/>
      <c r="AF508" s="7"/>
      <c r="AG508" s="8">
        <f t="shared" si="7"/>
        <v>43325</v>
      </c>
    </row>
    <row r="509" spans="1:33">
      <c r="A509" s="7" t="s">
        <v>2714</v>
      </c>
      <c r="B509" s="7" t="s">
        <v>2714</v>
      </c>
      <c r="C509" s="7" t="s">
        <v>2715</v>
      </c>
      <c r="D509" s="7" t="s">
        <v>2716</v>
      </c>
      <c r="E509" s="7" t="s">
        <v>33</v>
      </c>
      <c r="F509" s="7" t="s">
        <v>34</v>
      </c>
      <c r="G509" s="7" t="s">
        <v>35</v>
      </c>
      <c r="H509" s="7"/>
      <c r="I509" s="7"/>
      <c r="J509" s="7" t="s">
        <v>336</v>
      </c>
      <c r="K509" s="7" t="s">
        <v>2717</v>
      </c>
      <c r="L509" s="7" t="s">
        <v>2718</v>
      </c>
      <c r="M509" s="7" t="s">
        <v>2719</v>
      </c>
      <c r="N509" s="7" t="s">
        <v>33</v>
      </c>
      <c r="O509" s="7">
        <v>1</v>
      </c>
      <c r="P509" s="7" t="s">
        <v>40</v>
      </c>
      <c r="Q509" s="7">
        <v>16.99</v>
      </c>
      <c r="R509" s="7"/>
      <c r="S509" s="7">
        <v>2.29</v>
      </c>
      <c r="T509" s="7"/>
      <c r="U509" s="7"/>
      <c r="V509" s="7"/>
      <c r="W509" s="7"/>
      <c r="X509" s="7">
        <v>2.29</v>
      </c>
      <c r="Y509" s="7" t="s">
        <v>2720</v>
      </c>
      <c r="Z509" s="7" t="s">
        <v>85</v>
      </c>
      <c r="AA509" s="7" t="s">
        <v>2721</v>
      </c>
      <c r="AB509" s="7" t="s">
        <v>43</v>
      </c>
      <c r="AC509" s="7" t="s">
        <v>514</v>
      </c>
      <c r="AD509" s="7"/>
      <c r="AE509" s="7"/>
      <c r="AF509" s="7"/>
      <c r="AG509" s="8">
        <f t="shared" si="7"/>
        <v>43325</v>
      </c>
    </row>
    <row r="510" spans="1:33">
      <c r="A510" s="7" t="s">
        <v>2714</v>
      </c>
      <c r="B510" s="7" t="s">
        <v>2714</v>
      </c>
      <c r="C510" s="7" t="s">
        <v>2715</v>
      </c>
      <c r="D510" s="7" t="s">
        <v>2716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336</v>
      </c>
      <c r="K510" s="7" t="s">
        <v>2722</v>
      </c>
      <c r="L510" s="7" t="s">
        <v>2723</v>
      </c>
      <c r="M510" s="7" t="s">
        <v>2724</v>
      </c>
      <c r="N510" s="7" t="s">
        <v>33</v>
      </c>
      <c r="O510" s="7">
        <v>1</v>
      </c>
      <c r="P510" s="7" t="s">
        <v>40</v>
      </c>
      <c r="Q510" s="7">
        <v>16.99</v>
      </c>
      <c r="R510" s="7"/>
      <c r="S510" s="7">
        <v>2.29</v>
      </c>
      <c r="T510" s="7"/>
      <c r="U510" s="7"/>
      <c r="V510" s="7"/>
      <c r="W510" s="7"/>
      <c r="X510" s="7">
        <v>2.29</v>
      </c>
      <c r="Y510" s="7" t="s">
        <v>2720</v>
      </c>
      <c r="Z510" s="7" t="s">
        <v>85</v>
      </c>
      <c r="AA510" s="7" t="s">
        <v>2721</v>
      </c>
      <c r="AB510" s="7" t="s">
        <v>43</v>
      </c>
      <c r="AC510" s="7" t="s">
        <v>514</v>
      </c>
      <c r="AD510" s="7"/>
      <c r="AE510" s="7"/>
      <c r="AF510" s="7"/>
      <c r="AG510" s="8">
        <f t="shared" si="7"/>
        <v>43325</v>
      </c>
    </row>
    <row r="511" spans="1:33">
      <c r="A511" s="7" t="s">
        <v>2725</v>
      </c>
      <c r="B511" s="7" t="s">
        <v>2725</v>
      </c>
      <c r="C511" s="7" t="s">
        <v>2726</v>
      </c>
      <c r="D511" s="7" t="s">
        <v>2727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36</v>
      </c>
      <c r="K511" s="7" t="s">
        <v>90</v>
      </c>
      <c r="L511" s="7" t="s">
        <v>91</v>
      </c>
      <c r="M511" s="7" t="s">
        <v>92</v>
      </c>
      <c r="N511" s="7" t="s">
        <v>33</v>
      </c>
      <c r="O511" s="7">
        <v>1</v>
      </c>
      <c r="P511" s="7" t="s">
        <v>40</v>
      </c>
      <c r="Q511" s="7">
        <v>12.99</v>
      </c>
      <c r="R511" s="7"/>
      <c r="S511" s="7"/>
      <c r="T511" s="7"/>
      <c r="U511" s="7"/>
      <c r="V511" s="7"/>
      <c r="W511" s="7"/>
      <c r="X511" s="7"/>
      <c r="Y511" s="7" t="s">
        <v>2728</v>
      </c>
      <c r="Z511" s="7" t="s">
        <v>392</v>
      </c>
      <c r="AA511" s="7" t="s">
        <v>2729</v>
      </c>
      <c r="AB511" s="7" t="s">
        <v>43</v>
      </c>
      <c r="AC511" s="7"/>
      <c r="AD511" s="7"/>
      <c r="AE511" s="7"/>
      <c r="AF511" s="7"/>
      <c r="AG511" s="8">
        <f t="shared" si="7"/>
        <v>43325</v>
      </c>
    </row>
    <row r="512" spans="1:33">
      <c r="A512" s="7" t="s">
        <v>2730</v>
      </c>
      <c r="B512" s="7" t="s">
        <v>2730</v>
      </c>
      <c r="C512" s="7" t="s">
        <v>2731</v>
      </c>
      <c r="D512" s="7" t="s">
        <v>2732</v>
      </c>
      <c r="E512" s="7" t="s">
        <v>33</v>
      </c>
      <c r="F512" s="7" t="s">
        <v>34</v>
      </c>
      <c r="G512" s="7" t="s">
        <v>35</v>
      </c>
      <c r="H512" s="7"/>
      <c r="I512" s="7"/>
      <c r="J512" s="7" t="s">
        <v>36</v>
      </c>
      <c r="K512" s="7" t="s">
        <v>125</v>
      </c>
      <c r="L512" s="7" t="s">
        <v>126</v>
      </c>
      <c r="M512" s="7" t="s">
        <v>127</v>
      </c>
      <c r="N512" s="7" t="s">
        <v>33</v>
      </c>
      <c r="O512" s="7">
        <v>1</v>
      </c>
      <c r="P512" s="7" t="s">
        <v>40</v>
      </c>
      <c r="Q512" s="7">
        <v>18.99</v>
      </c>
      <c r="R512" s="7"/>
      <c r="S512" s="7"/>
      <c r="T512" s="7"/>
      <c r="U512" s="7"/>
      <c r="V512" s="7"/>
      <c r="W512" s="7"/>
      <c r="X512" s="7"/>
      <c r="Y512" s="7" t="s">
        <v>2733</v>
      </c>
      <c r="Z512" s="7" t="s">
        <v>227</v>
      </c>
      <c r="AA512" s="7" t="s">
        <v>2734</v>
      </c>
      <c r="AB512" s="7" t="s">
        <v>43</v>
      </c>
      <c r="AC512" s="7"/>
      <c r="AD512" s="7"/>
      <c r="AE512" s="7"/>
      <c r="AF512" s="7"/>
      <c r="AG512" s="8">
        <f t="shared" si="7"/>
        <v>43325</v>
      </c>
    </row>
    <row r="513" spans="1:33">
      <c r="A513" s="7" t="s">
        <v>2735</v>
      </c>
      <c r="B513" s="7" t="s">
        <v>2735</v>
      </c>
      <c r="C513" s="7" t="s">
        <v>2736</v>
      </c>
      <c r="D513" s="7" t="s">
        <v>2737</v>
      </c>
      <c r="E513" s="7" t="s">
        <v>33</v>
      </c>
      <c r="F513" s="7" t="s">
        <v>34</v>
      </c>
      <c r="G513" s="7" t="s">
        <v>35</v>
      </c>
      <c r="H513" s="7"/>
      <c r="I513" s="7"/>
      <c r="J513" s="7" t="s">
        <v>36</v>
      </c>
      <c r="K513" s="7" t="s">
        <v>2738</v>
      </c>
      <c r="L513" s="7" t="s">
        <v>2739</v>
      </c>
      <c r="M513" s="7" t="s">
        <v>2740</v>
      </c>
      <c r="N513" s="7" t="s">
        <v>33</v>
      </c>
      <c r="O513" s="7">
        <v>1</v>
      </c>
      <c r="P513" s="7" t="s">
        <v>40</v>
      </c>
      <c r="Q513" s="7">
        <v>17.99</v>
      </c>
      <c r="R513" s="7"/>
      <c r="S513" s="7"/>
      <c r="T513" s="7"/>
      <c r="U513" s="7"/>
      <c r="V513" s="7"/>
      <c r="W513" s="7"/>
      <c r="X513" s="7"/>
      <c r="Y513" s="7" t="s">
        <v>2741</v>
      </c>
      <c r="Z513" s="7" t="s">
        <v>866</v>
      </c>
      <c r="AA513" s="7" t="s">
        <v>2742</v>
      </c>
      <c r="AB513" s="7" t="s">
        <v>43</v>
      </c>
      <c r="AC513" s="7"/>
      <c r="AD513" s="7"/>
      <c r="AE513" s="7"/>
      <c r="AF513" s="7"/>
      <c r="AG513" s="8">
        <f t="shared" si="7"/>
        <v>43325</v>
      </c>
    </row>
    <row r="514" spans="1:33">
      <c r="A514" s="7" t="s">
        <v>2743</v>
      </c>
      <c r="B514" s="7" t="s">
        <v>2743</v>
      </c>
      <c r="C514" s="7" t="s">
        <v>2744</v>
      </c>
      <c r="D514" s="7" t="s">
        <v>2745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64</v>
      </c>
      <c r="K514" s="7" t="s">
        <v>456</v>
      </c>
      <c r="L514" s="7" t="s">
        <v>959</v>
      </c>
      <c r="M514" s="7" t="s">
        <v>960</v>
      </c>
      <c r="N514" s="7" t="s">
        <v>33</v>
      </c>
      <c r="O514" s="7">
        <v>1</v>
      </c>
      <c r="P514" s="7" t="s">
        <v>40</v>
      </c>
      <c r="Q514" s="7">
        <v>12.99</v>
      </c>
      <c r="R514" s="7"/>
      <c r="S514" s="7">
        <v>3.99</v>
      </c>
      <c r="T514" s="7"/>
      <c r="U514" s="7"/>
      <c r="V514" s="7"/>
      <c r="W514" s="7"/>
      <c r="X514" s="7"/>
      <c r="Y514" s="7" t="s">
        <v>2070</v>
      </c>
      <c r="Z514" s="7" t="s">
        <v>143</v>
      </c>
      <c r="AA514" s="7" t="s">
        <v>2746</v>
      </c>
      <c r="AB514" s="7" t="s">
        <v>43</v>
      </c>
      <c r="AC514" s="7"/>
      <c r="AD514" s="7"/>
      <c r="AE514" s="7"/>
      <c r="AF514" s="7"/>
      <c r="AG514" s="8">
        <f t="shared" ref="AG514:AG577" si="8">DATEVALUE(LEFT(C514,10))</f>
        <v>43325</v>
      </c>
    </row>
    <row r="515" spans="1:33">
      <c r="A515" s="7" t="s">
        <v>2747</v>
      </c>
      <c r="B515" s="7" t="s">
        <v>2747</v>
      </c>
      <c r="C515" s="7" t="s">
        <v>2748</v>
      </c>
      <c r="D515" s="7" t="s">
        <v>2749</v>
      </c>
      <c r="E515" s="7" t="s">
        <v>33</v>
      </c>
      <c r="F515" s="7" t="s">
        <v>34</v>
      </c>
      <c r="G515" s="7" t="s">
        <v>35</v>
      </c>
      <c r="H515" s="7"/>
      <c r="I515" s="7"/>
      <c r="J515" s="7" t="s">
        <v>36</v>
      </c>
      <c r="K515" s="7" t="s">
        <v>47</v>
      </c>
      <c r="L515" s="7" t="s">
        <v>1269</v>
      </c>
      <c r="M515" s="7" t="s">
        <v>1270</v>
      </c>
      <c r="N515" s="7" t="s">
        <v>33</v>
      </c>
      <c r="O515" s="7">
        <v>1</v>
      </c>
      <c r="P515" s="7" t="s">
        <v>40</v>
      </c>
      <c r="Q515" s="7">
        <v>15.99</v>
      </c>
      <c r="R515" s="7"/>
      <c r="S515" s="7"/>
      <c r="T515" s="7"/>
      <c r="U515" s="7"/>
      <c r="V515" s="7"/>
      <c r="W515" s="7"/>
      <c r="X515" s="7"/>
      <c r="Y515" s="7" t="s">
        <v>2750</v>
      </c>
      <c r="Z515" s="7" t="s">
        <v>42</v>
      </c>
      <c r="AA515" s="7" t="s">
        <v>2751</v>
      </c>
      <c r="AB515" s="7" t="s">
        <v>43</v>
      </c>
      <c r="AC515" s="7"/>
      <c r="AD515" s="7"/>
      <c r="AE515" s="7"/>
      <c r="AF515" s="7"/>
      <c r="AG515" s="8">
        <f t="shared" si="8"/>
        <v>43325</v>
      </c>
    </row>
    <row r="516" spans="1:33">
      <c r="A516" s="7" t="s">
        <v>2747</v>
      </c>
      <c r="B516" s="7" t="s">
        <v>2747</v>
      </c>
      <c r="C516" s="7" t="s">
        <v>2748</v>
      </c>
      <c r="D516" s="7" t="s">
        <v>2749</v>
      </c>
      <c r="E516" s="7" t="s">
        <v>33</v>
      </c>
      <c r="F516" s="7" t="s">
        <v>34</v>
      </c>
      <c r="G516" s="7" t="s">
        <v>35</v>
      </c>
      <c r="H516" s="7"/>
      <c r="I516" s="7"/>
      <c r="J516" s="7" t="s">
        <v>36</v>
      </c>
      <c r="K516" s="7" t="s">
        <v>47</v>
      </c>
      <c r="L516" s="7" t="s">
        <v>725</v>
      </c>
      <c r="M516" s="7" t="s">
        <v>726</v>
      </c>
      <c r="N516" s="7" t="s">
        <v>33</v>
      </c>
      <c r="O516" s="7">
        <v>1</v>
      </c>
      <c r="P516" s="7" t="s">
        <v>40</v>
      </c>
      <c r="Q516" s="7">
        <v>15.99</v>
      </c>
      <c r="R516" s="7"/>
      <c r="S516" s="7"/>
      <c r="T516" s="7"/>
      <c r="U516" s="7"/>
      <c r="V516" s="7"/>
      <c r="W516" s="7"/>
      <c r="X516" s="7"/>
      <c r="Y516" s="7" t="s">
        <v>2750</v>
      </c>
      <c r="Z516" s="7" t="s">
        <v>42</v>
      </c>
      <c r="AA516" s="7" t="s">
        <v>2751</v>
      </c>
      <c r="AB516" s="7" t="s">
        <v>43</v>
      </c>
      <c r="AC516" s="7"/>
      <c r="AD516" s="7"/>
      <c r="AE516" s="7"/>
      <c r="AF516" s="7"/>
      <c r="AG516" s="8">
        <f t="shared" si="8"/>
        <v>43325</v>
      </c>
    </row>
    <row r="517" spans="1:33">
      <c r="A517" s="7" t="s">
        <v>2752</v>
      </c>
      <c r="B517" s="7" t="s">
        <v>2752</v>
      </c>
      <c r="C517" s="7" t="s">
        <v>2753</v>
      </c>
      <c r="D517" s="7" t="s">
        <v>2754</v>
      </c>
      <c r="E517" s="7" t="s">
        <v>33</v>
      </c>
      <c r="F517" s="7" t="s">
        <v>34</v>
      </c>
      <c r="G517" s="7" t="s">
        <v>35</v>
      </c>
      <c r="H517" s="7"/>
      <c r="I517" s="7"/>
      <c r="J517" s="7" t="s">
        <v>36</v>
      </c>
      <c r="K517" s="7" t="s">
        <v>90</v>
      </c>
      <c r="L517" s="7" t="s">
        <v>91</v>
      </c>
      <c r="M517" s="7" t="s">
        <v>92</v>
      </c>
      <c r="N517" s="7" t="s">
        <v>33</v>
      </c>
      <c r="O517" s="7">
        <v>1</v>
      </c>
      <c r="P517" s="7" t="s">
        <v>40</v>
      </c>
      <c r="Q517" s="7">
        <v>12.99</v>
      </c>
      <c r="R517" s="7"/>
      <c r="S517" s="7"/>
      <c r="T517" s="7"/>
      <c r="U517" s="7"/>
      <c r="V517" s="7"/>
      <c r="W517" s="7"/>
      <c r="X517" s="7"/>
      <c r="Y517" s="7" t="s">
        <v>372</v>
      </c>
      <c r="Z517" s="7" t="s">
        <v>59</v>
      </c>
      <c r="AA517" s="7" t="s">
        <v>2755</v>
      </c>
      <c r="AB517" s="7" t="s">
        <v>43</v>
      </c>
      <c r="AC517" s="7"/>
      <c r="AD517" s="7"/>
      <c r="AE517" s="7"/>
      <c r="AF517" s="7"/>
      <c r="AG517" s="8">
        <f t="shared" si="8"/>
        <v>43325</v>
      </c>
    </row>
    <row r="518" spans="1:33">
      <c r="A518" s="7" t="s">
        <v>2756</v>
      </c>
      <c r="B518" s="7" t="s">
        <v>2756</v>
      </c>
      <c r="C518" s="7" t="s">
        <v>2757</v>
      </c>
      <c r="D518" s="7" t="s">
        <v>2758</v>
      </c>
      <c r="E518" s="7" t="s">
        <v>33</v>
      </c>
      <c r="F518" s="7" t="s">
        <v>34</v>
      </c>
      <c r="G518" s="7" t="s">
        <v>35</v>
      </c>
      <c r="H518" s="7"/>
      <c r="I518" s="7"/>
      <c r="J518" s="7" t="s">
        <v>36</v>
      </c>
      <c r="K518" s="7" t="s">
        <v>255</v>
      </c>
      <c r="L518" s="7" t="s">
        <v>300</v>
      </c>
      <c r="M518" s="7" t="s">
        <v>301</v>
      </c>
      <c r="N518" s="7" t="s">
        <v>33</v>
      </c>
      <c r="O518" s="7">
        <v>1</v>
      </c>
      <c r="P518" s="7" t="s">
        <v>40</v>
      </c>
      <c r="Q518" s="7">
        <v>19.99</v>
      </c>
      <c r="R518" s="7"/>
      <c r="S518" s="7"/>
      <c r="T518" s="7"/>
      <c r="U518" s="7"/>
      <c r="V518" s="7"/>
      <c r="W518" s="7"/>
      <c r="X518" s="7"/>
      <c r="Y518" s="7" t="s">
        <v>372</v>
      </c>
      <c r="Z518" s="7" t="s">
        <v>59</v>
      </c>
      <c r="AA518" s="7" t="s">
        <v>2759</v>
      </c>
      <c r="AB518" s="7" t="s">
        <v>43</v>
      </c>
      <c r="AC518" s="7"/>
      <c r="AD518" s="7"/>
      <c r="AE518" s="7"/>
      <c r="AF518" s="7"/>
      <c r="AG518" s="8">
        <f t="shared" si="8"/>
        <v>43325</v>
      </c>
    </row>
    <row r="519" spans="1:33">
      <c r="A519" s="7" t="s">
        <v>2760</v>
      </c>
      <c r="B519" s="7" t="s">
        <v>2760</v>
      </c>
      <c r="C519" s="7" t="s">
        <v>2761</v>
      </c>
      <c r="D519" s="7" t="s">
        <v>2762</v>
      </c>
      <c r="E519" s="7" t="s">
        <v>33</v>
      </c>
      <c r="F519" s="7" t="s">
        <v>34</v>
      </c>
      <c r="G519" s="7" t="s">
        <v>35</v>
      </c>
      <c r="H519" s="7"/>
      <c r="I519" s="7"/>
      <c r="J519" s="7" t="s">
        <v>36</v>
      </c>
      <c r="K519" s="7" t="s">
        <v>255</v>
      </c>
      <c r="L519" s="7" t="s">
        <v>277</v>
      </c>
      <c r="M519" s="7" t="s">
        <v>278</v>
      </c>
      <c r="N519" s="7" t="s">
        <v>33</v>
      </c>
      <c r="O519" s="7">
        <v>1</v>
      </c>
      <c r="P519" s="7" t="s">
        <v>40</v>
      </c>
      <c r="Q519" s="7">
        <v>19.99</v>
      </c>
      <c r="R519" s="7"/>
      <c r="S519" s="7"/>
      <c r="T519" s="7"/>
      <c r="U519" s="7"/>
      <c r="V519" s="7"/>
      <c r="W519" s="7"/>
      <c r="X519" s="7"/>
      <c r="Y519" s="7" t="s">
        <v>2763</v>
      </c>
      <c r="Z519" s="7" t="s">
        <v>1350</v>
      </c>
      <c r="AA519" s="7" t="s">
        <v>2764</v>
      </c>
      <c r="AB519" s="7" t="s">
        <v>43</v>
      </c>
      <c r="AC519" s="7"/>
      <c r="AD519" s="7"/>
      <c r="AE519" s="7"/>
      <c r="AF519" s="7"/>
      <c r="AG519" s="8">
        <f t="shared" si="8"/>
        <v>43325</v>
      </c>
    </row>
    <row r="520" spans="1:33">
      <c r="A520" s="7" t="s">
        <v>2765</v>
      </c>
      <c r="B520" s="7" t="s">
        <v>2765</v>
      </c>
      <c r="C520" s="7" t="s">
        <v>2766</v>
      </c>
      <c r="D520" s="7" t="s">
        <v>2767</v>
      </c>
      <c r="E520" s="7" t="s">
        <v>33</v>
      </c>
      <c r="F520" s="7" t="s">
        <v>34</v>
      </c>
      <c r="G520" s="7" t="s">
        <v>35</v>
      </c>
      <c r="H520" s="7"/>
      <c r="I520" s="7"/>
      <c r="J520" s="7" t="s">
        <v>36</v>
      </c>
      <c r="K520" s="7" t="s">
        <v>255</v>
      </c>
      <c r="L520" s="7" t="s">
        <v>1236</v>
      </c>
      <c r="M520" s="7" t="s">
        <v>1237</v>
      </c>
      <c r="N520" s="7" t="s">
        <v>33</v>
      </c>
      <c r="O520" s="7">
        <v>1</v>
      </c>
      <c r="P520" s="7" t="s">
        <v>40</v>
      </c>
      <c r="Q520" s="7">
        <v>19.99</v>
      </c>
      <c r="R520" s="7"/>
      <c r="S520" s="7"/>
      <c r="T520" s="7"/>
      <c r="U520" s="7"/>
      <c r="V520" s="7"/>
      <c r="W520" s="7"/>
      <c r="X520" s="7"/>
      <c r="Y520" s="7" t="s">
        <v>2471</v>
      </c>
      <c r="Z520" s="7" t="s">
        <v>1209</v>
      </c>
      <c r="AA520" s="7" t="s">
        <v>2768</v>
      </c>
      <c r="AB520" s="7" t="s">
        <v>43</v>
      </c>
      <c r="AC520" s="7"/>
      <c r="AD520" s="7"/>
      <c r="AE520" s="7"/>
      <c r="AF520" s="7"/>
      <c r="AG520" s="8">
        <f t="shared" si="8"/>
        <v>43325</v>
      </c>
    </row>
    <row r="521" spans="1:33">
      <c r="A521" s="7" t="s">
        <v>2769</v>
      </c>
      <c r="B521" s="7" t="s">
        <v>2769</v>
      </c>
      <c r="C521" s="7" t="s">
        <v>2770</v>
      </c>
      <c r="D521" s="7" t="s">
        <v>2771</v>
      </c>
      <c r="E521" s="7" t="s">
        <v>33</v>
      </c>
      <c r="F521" s="7" t="s">
        <v>34</v>
      </c>
      <c r="G521" s="7" t="s">
        <v>35</v>
      </c>
      <c r="H521" s="7"/>
      <c r="I521" s="7"/>
      <c r="J521" s="7" t="s">
        <v>36</v>
      </c>
      <c r="K521" s="7" t="s">
        <v>155</v>
      </c>
      <c r="L521" s="7" t="s">
        <v>2586</v>
      </c>
      <c r="M521" s="7" t="s">
        <v>2587</v>
      </c>
      <c r="N521" s="7" t="s">
        <v>33</v>
      </c>
      <c r="O521" s="7">
        <v>1</v>
      </c>
      <c r="P521" s="7" t="s">
        <v>40</v>
      </c>
      <c r="Q521" s="7">
        <v>19.99</v>
      </c>
      <c r="R521" s="7"/>
      <c r="S521" s="7"/>
      <c r="T521" s="7"/>
      <c r="U521" s="7"/>
      <c r="V521" s="7"/>
      <c r="W521" s="7"/>
      <c r="X521" s="7"/>
      <c r="Y521" s="7" t="s">
        <v>2772</v>
      </c>
      <c r="Z521" s="7" t="s">
        <v>227</v>
      </c>
      <c r="AA521" s="7" t="s">
        <v>2773</v>
      </c>
      <c r="AB521" s="7" t="s">
        <v>43</v>
      </c>
      <c r="AC521" s="7"/>
      <c r="AD521" s="7"/>
      <c r="AE521" s="7"/>
      <c r="AF521" s="7"/>
      <c r="AG521" s="8">
        <f t="shared" si="8"/>
        <v>43325</v>
      </c>
    </row>
    <row r="522" spans="1:33">
      <c r="A522" s="7" t="s">
        <v>2774</v>
      </c>
      <c r="B522" s="7" t="s">
        <v>2774</v>
      </c>
      <c r="C522" s="7" t="s">
        <v>2775</v>
      </c>
      <c r="D522" s="7" t="s">
        <v>2776</v>
      </c>
      <c r="E522" s="7" t="s">
        <v>33</v>
      </c>
      <c r="F522" s="7" t="s">
        <v>34</v>
      </c>
      <c r="G522" s="7" t="s">
        <v>35</v>
      </c>
      <c r="H522" s="7"/>
      <c r="I522" s="7"/>
      <c r="J522" s="7" t="s">
        <v>36</v>
      </c>
      <c r="K522" s="7" t="s">
        <v>37</v>
      </c>
      <c r="L522" s="7" t="s">
        <v>602</v>
      </c>
      <c r="M522" s="7" t="s">
        <v>603</v>
      </c>
      <c r="N522" s="7" t="s">
        <v>33</v>
      </c>
      <c r="O522" s="7">
        <v>1</v>
      </c>
      <c r="P522" s="7" t="s">
        <v>40</v>
      </c>
      <c r="Q522" s="7">
        <v>19.99</v>
      </c>
      <c r="R522" s="7"/>
      <c r="S522" s="7"/>
      <c r="T522" s="7"/>
      <c r="U522" s="7"/>
      <c r="V522" s="7"/>
      <c r="W522" s="7"/>
      <c r="X522" s="7"/>
      <c r="Y522" s="7" t="s">
        <v>2777</v>
      </c>
      <c r="Z522" s="7" t="s">
        <v>143</v>
      </c>
      <c r="AA522" s="7" t="s">
        <v>2778</v>
      </c>
      <c r="AB522" s="7" t="s">
        <v>43</v>
      </c>
      <c r="AC522" s="7"/>
      <c r="AD522" s="7"/>
      <c r="AE522" s="7"/>
      <c r="AF522" s="7"/>
      <c r="AG522" s="8">
        <f t="shared" si="8"/>
        <v>43325</v>
      </c>
    </row>
    <row r="523" spans="1:33">
      <c r="A523" s="7" t="s">
        <v>2779</v>
      </c>
      <c r="B523" s="7" t="s">
        <v>2779</v>
      </c>
      <c r="C523" s="7" t="s">
        <v>2780</v>
      </c>
      <c r="D523" s="7" t="s">
        <v>2781</v>
      </c>
      <c r="E523" s="7" t="s">
        <v>33</v>
      </c>
      <c r="F523" s="7" t="s">
        <v>34</v>
      </c>
      <c r="G523" s="7" t="s">
        <v>35</v>
      </c>
      <c r="H523" s="7"/>
      <c r="I523" s="7"/>
      <c r="J523" s="7" t="s">
        <v>36</v>
      </c>
      <c r="K523" s="7" t="s">
        <v>456</v>
      </c>
      <c r="L523" s="7" t="s">
        <v>959</v>
      </c>
      <c r="M523" s="7" t="s">
        <v>960</v>
      </c>
      <c r="N523" s="7" t="s">
        <v>33</v>
      </c>
      <c r="O523" s="7">
        <v>1</v>
      </c>
      <c r="P523" s="7" t="s">
        <v>40</v>
      </c>
      <c r="Q523" s="7">
        <v>19.99</v>
      </c>
      <c r="R523" s="7"/>
      <c r="S523" s="7"/>
      <c r="T523" s="7"/>
      <c r="U523" s="7"/>
      <c r="V523" s="7"/>
      <c r="W523" s="7"/>
      <c r="X523" s="7"/>
      <c r="Y523" s="7" t="s">
        <v>2782</v>
      </c>
      <c r="Z523" s="7" t="s">
        <v>174</v>
      </c>
      <c r="AA523" s="7" t="s">
        <v>2783</v>
      </c>
      <c r="AB523" s="7" t="s">
        <v>43</v>
      </c>
      <c r="AC523" s="7"/>
      <c r="AD523" s="7"/>
      <c r="AE523" s="7"/>
      <c r="AF523" s="7"/>
      <c r="AG523" s="8">
        <f t="shared" si="8"/>
        <v>43325</v>
      </c>
    </row>
    <row r="524" spans="1:33">
      <c r="A524" s="7" t="s">
        <v>2784</v>
      </c>
      <c r="B524" s="7" t="s">
        <v>2785</v>
      </c>
      <c r="C524" s="7" t="s">
        <v>2786</v>
      </c>
      <c r="D524" s="7" t="s">
        <v>2787</v>
      </c>
      <c r="E524" s="7" t="s">
        <v>33</v>
      </c>
      <c r="F524" s="7" t="s">
        <v>34</v>
      </c>
      <c r="G524" s="7" t="s">
        <v>946</v>
      </c>
      <c r="H524" s="7"/>
      <c r="I524" s="7"/>
      <c r="J524" s="7" t="s">
        <v>336</v>
      </c>
      <c r="K524" s="7" t="s">
        <v>2788</v>
      </c>
      <c r="L524" s="7" t="s">
        <v>2789</v>
      </c>
      <c r="M524" s="7" t="s">
        <v>2790</v>
      </c>
      <c r="N524" s="7" t="s">
        <v>459</v>
      </c>
      <c r="O524" s="7">
        <v>4</v>
      </c>
      <c r="P524" s="7"/>
      <c r="Q524" s="7"/>
      <c r="R524" s="7"/>
      <c r="S524" s="7"/>
      <c r="T524" s="7"/>
      <c r="U524" s="7"/>
      <c r="V524" s="7"/>
      <c r="W524" s="7"/>
      <c r="X524" s="7"/>
      <c r="Y524" s="7" t="s">
        <v>451</v>
      </c>
      <c r="Z524" s="7" t="s">
        <v>452</v>
      </c>
      <c r="AA524" s="7">
        <v>70808</v>
      </c>
      <c r="AB524" s="7" t="s">
        <v>43</v>
      </c>
      <c r="AC524" s="7"/>
      <c r="AD524" s="7"/>
      <c r="AE524" s="7"/>
      <c r="AF524" s="7"/>
      <c r="AG524" s="8">
        <f t="shared" si="8"/>
        <v>43326</v>
      </c>
    </row>
    <row r="525" spans="1:33">
      <c r="A525" s="7" t="s">
        <v>2791</v>
      </c>
      <c r="B525" s="7" t="s">
        <v>2792</v>
      </c>
      <c r="C525" s="7" t="s">
        <v>2793</v>
      </c>
      <c r="D525" s="7" t="s">
        <v>2794</v>
      </c>
      <c r="E525" s="7" t="s">
        <v>33</v>
      </c>
      <c r="F525" s="7" t="s">
        <v>34</v>
      </c>
      <c r="G525" s="7" t="s">
        <v>946</v>
      </c>
      <c r="H525" s="7"/>
      <c r="I525" s="7"/>
      <c r="J525" s="7" t="s">
        <v>336</v>
      </c>
      <c r="K525" s="7" t="s">
        <v>2795</v>
      </c>
      <c r="L525" s="7" t="s">
        <v>2796</v>
      </c>
      <c r="M525" s="7" t="s">
        <v>2797</v>
      </c>
      <c r="N525" s="7" t="s">
        <v>459</v>
      </c>
      <c r="O525" s="7">
        <v>6</v>
      </c>
      <c r="P525" s="7"/>
      <c r="Q525" s="7"/>
      <c r="R525" s="7"/>
      <c r="S525" s="7"/>
      <c r="T525" s="7"/>
      <c r="U525" s="7"/>
      <c r="V525" s="7"/>
      <c r="W525" s="7"/>
      <c r="X525" s="7"/>
      <c r="Y525" s="7" t="s">
        <v>451</v>
      </c>
      <c r="Z525" s="7" t="s">
        <v>452</v>
      </c>
      <c r="AA525" s="7">
        <v>70808</v>
      </c>
      <c r="AB525" s="7" t="s">
        <v>43</v>
      </c>
      <c r="AC525" s="7"/>
      <c r="AD525" s="7"/>
      <c r="AE525" s="7"/>
      <c r="AF525" s="7"/>
      <c r="AG525" s="8">
        <f t="shared" si="8"/>
        <v>43326</v>
      </c>
    </row>
    <row r="526" spans="1:33">
      <c r="A526" s="7" t="s">
        <v>2798</v>
      </c>
      <c r="B526" s="7" t="s">
        <v>2799</v>
      </c>
      <c r="C526" s="7" t="s">
        <v>2800</v>
      </c>
      <c r="D526" s="7" t="s">
        <v>2801</v>
      </c>
      <c r="E526" s="7" t="s">
        <v>33</v>
      </c>
      <c r="F526" s="7" t="s">
        <v>34</v>
      </c>
      <c r="G526" s="7" t="s">
        <v>946</v>
      </c>
      <c r="H526" s="7"/>
      <c r="I526" s="7"/>
      <c r="J526" s="7" t="s">
        <v>336</v>
      </c>
      <c r="K526" s="7" t="s">
        <v>2802</v>
      </c>
      <c r="L526" s="7" t="s">
        <v>2803</v>
      </c>
      <c r="M526" s="7" t="s">
        <v>2804</v>
      </c>
      <c r="N526" s="7" t="s">
        <v>459</v>
      </c>
      <c r="O526" s="7">
        <v>1</v>
      </c>
      <c r="P526" s="7"/>
      <c r="Q526" s="7"/>
      <c r="R526" s="7"/>
      <c r="S526" s="7"/>
      <c r="T526" s="7"/>
      <c r="U526" s="7"/>
      <c r="V526" s="7"/>
      <c r="W526" s="7"/>
      <c r="X526" s="7"/>
      <c r="Y526" s="7" t="s">
        <v>451</v>
      </c>
      <c r="Z526" s="7" t="s">
        <v>452</v>
      </c>
      <c r="AA526" s="7">
        <v>70808</v>
      </c>
      <c r="AB526" s="7" t="s">
        <v>43</v>
      </c>
      <c r="AC526" s="7"/>
      <c r="AD526" s="7"/>
      <c r="AE526" s="7"/>
      <c r="AF526" s="7"/>
      <c r="AG526" s="8">
        <f t="shared" si="8"/>
        <v>43326</v>
      </c>
    </row>
    <row r="527" spans="1:33">
      <c r="A527" s="7" t="s">
        <v>2805</v>
      </c>
      <c r="B527" s="7" t="s">
        <v>2806</v>
      </c>
      <c r="C527" s="7" t="s">
        <v>2807</v>
      </c>
      <c r="D527" s="7" t="s">
        <v>2808</v>
      </c>
      <c r="E527" s="7" t="s">
        <v>33</v>
      </c>
      <c r="F527" s="7" t="s">
        <v>34</v>
      </c>
      <c r="G527" s="7" t="s">
        <v>946</v>
      </c>
      <c r="H527" s="7"/>
      <c r="I527" s="7"/>
      <c r="J527" s="7" t="s">
        <v>336</v>
      </c>
      <c r="K527" s="7" t="s">
        <v>2802</v>
      </c>
      <c r="L527" s="7" t="s">
        <v>2809</v>
      </c>
      <c r="M527" s="7" t="s">
        <v>2810</v>
      </c>
      <c r="N527" s="7" t="s">
        <v>459</v>
      </c>
      <c r="O527" s="7">
        <v>2</v>
      </c>
      <c r="P527" s="7"/>
      <c r="Q527" s="7"/>
      <c r="R527" s="7"/>
      <c r="S527" s="7"/>
      <c r="T527" s="7"/>
      <c r="U527" s="7"/>
      <c r="V527" s="7"/>
      <c r="W527" s="7"/>
      <c r="X527" s="7"/>
      <c r="Y527" s="7" t="s">
        <v>451</v>
      </c>
      <c r="Z527" s="7" t="s">
        <v>452</v>
      </c>
      <c r="AA527" s="7">
        <v>70808</v>
      </c>
      <c r="AB527" s="7" t="s">
        <v>43</v>
      </c>
      <c r="AC527" s="7"/>
      <c r="AD527" s="7"/>
      <c r="AE527" s="7"/>
      <c r="AF527" s="7"/>
      <c r="AG527" s="8">
        <f t="shared" si="8"/>
        <v>43326</v>
      </c>
    </row>
    <row r="528" spans="1:33">
      <c r="A528" s="7" t="s">
        <v>2811</v>
      </c>
      <c r="B528" s="7" t="s">
        <v>2812</v>
      </c>
      <c r="C528" s="7" t="s">
        <v>2813</v>
      </c>
      <c r="D528" s="7" t="s">
        <v>2814</v>
      </c>
      <c r="E528" s="7" t="s">
        <v>33</v>
      </c>
      <c r="F528" s="7" t="s">
        <v>34</v>
      </c>
      <c r="G528" s="7" t="s">
        <v>946</v>
      </c>
      <c r="H528" s="7"/>
      <c r="I528" s="7"/>
      <c r="J528" s="7" t="s">
        <v>336</v>
      </c>
      <c r="K528" s="7" t="s">
        <v>2802</v>
      </c>
      <c r="L528" s="7" t="s">
        <v>2815</v>
      </c>
      <c r="M528" s="7" t="s">
        <v>2816</v>
      </c>
      <c r="N528" s="7" t="s">
        <v>459</v>
      </c>
      <c r="O528" s="7">
        <v>3</v>
      </c>
      <c r="P528" s="7"/>
      <c r="Q528" s="7"/>
      <c r="R528" s="7"/>
      <c r="S528" s="7"/>
      <c r="T528" s="7"/>
      <c r="U528" s="7"/>
      <c r="V528" s="7"/>
      <c r="W528" s="7"/>
      <c r="X528" s="7"/>
      <c r="Y528" s="7" t="s">
        <v>451</v>
      </c>
      <c r="Z528" s="7" t="s">
        <v>452</v>
      </c>
      <c r="AA528" s="7">
        <v>70808</v>
      </c>
      <c r="AB528" s="7" t="s">
        <v>43</v>
      </c>
      <c r="AC528" s="7"/>
      <c r="AD528" s="7"/>
      <c r="AE528" s="7"/>
      <c r="AF528" s="7"/>
      <c r="AG528" s="8">
        <f t="shared" si="8"/>
        <v>43326</v>
      </c>
    </row>
    <row r="529" spans="1:33">
      <c r="A529" s="7" t="s">
        <v>2817</v>
      </c>
      <c r="B529" s="7" t="s">
        <v>2818</v>
      </c>
      <c r="C529" s="7" t="s">
        <v>2819</v>
      </c>
      <c r="D529" s="7" t="s">
        <v>2820</v>
      </c>
      <c r="E529" s="7" t="s">
        <v>33</v>
      </c>
      <c r="F529" s="7" t="s">
        <v>34</v>
      </c>
      <c r="G529" s="7" t="s">
        <v>946</v>
      </c>
      <c r="H529" s="7"/>
      <c r="I529" s="7"/>
      <c r="J529" s="7" t="s">
        <v>336</v>
      </c>
      <c r="K529" s="7" t="s">
        <v>2821</v>
      </c>
      <c r="L529" s="7" t="s">
        <v>2822</v>
      </c>
      <c r="M529" s="7" t="s">
        <v>2823</v>
      </c>
      <c r="N529" s="7" t="s">
        <v>459</v>
      </c>
      <c r="O529" s="7">
        <v>6</v>
      </c>
      <c r="P529" s="7"/>
      <c r="Q529" s="7"/>
      <c r="R529" s="7"/>
      <c r="S529" s="7"/>
      <c r="T529" s="7"/>
      <c r="U529" s="7"/>
      <c r="V529" s="7"/>
      <c r="W529" s="7"/>
      <c r="X529" s="7"/>
      <c r="Y529" s="7" t="s">
        <v>451</v>
      </c>
      <c r="Z529" s="7" t="s">
        <v>452</v>
      </c>
      <c r="AA529" s="7">
        <v>70808</v>
      </c>
      <c r="AB529" s="7" t="s">
        <v>43</v>
      </c>
      <c r="AC529" s="7"/>
      <c r="AD529" s="7"/>
      <c r="AE529" s="7"/>
      <c r="AF529" s="7"/>
      <c r="AG529" s="8">
        <f t="shared" si="8"/>
        <v>43326</v>
      </c>
    </row>
    <row r="530" spans="1:33">
      <c r="A530" s="7" t="s">
        <v>2824</v>
      </c>
      <c r="B530" s="7" t="s">
        <v>2825</v>
      </c>
      <c r="C530" s="7" t="s">
        <v>2826</v>
      </c>
      <c r="D530" s="7" t="s">
        <v>2827</v>
      </c>
      <c r="E530" s="7" t="s">
        <v>33</v>
      </c>
      <c r="F530" s="7" t="s">
        <v>34</v>
      </c>
      <c r="G530" s="7" t="s">
        <v>946</v>
      </c>
      <c r="H530" s="7"/>
      <c r="I530" s="7"/>
      <c r="J530" s="7" t="s">
        <v>336</v>
      </c>
      <c r="K530" s="7" t="s">
        <v>2828</v>
      </c>
      <c r="L530" s="7" t="s">
        <v>2829</v>
      </c>
      <c r="M530" s="7" t="s">
        <v>2830</v>
      </c>
      <c r="N530" s="7" t="s">
        <v>459</v>
      </c>
      <c r="O530" s="7">
        <v>2</v>
      </c>
      <c r="P530" s="7"/>
      <c r="Q530" s="7"/>
      <c r="R530" s="7"/>
      <c r="S530" s="7"/>
      <c r="T530" s="7"/>
      <c r="U530" s="7"/>
      <c r="V530" s="7"/>
      <c r="W530" s="7"/>
      <c r="X530" s="7"/>
      <c r="Y530" s="7" t="s">
        <v>451</v>
      </c>
      <c r="Z530" s="7" t="s">
        <v>452</v>
      </c>
      <c r="AA530" s="7">
        <v>70808</v>
      </c>
      <c r="AB530" s="7" t="s">
        <v>43</v>
      </c>
      <c r="AC530" s="7"/>
      <c r="AD530" s="7"/>
      <c r="AE530" s="7"/>
      <c r="AF530" s="7"/>
      <c r="AG530" s="8">
        <f t="shared" si="8"/>
        <v>43326</v>
      </c>
    </row>
    <row r="531" spans="1:33">
      <c r="A531" s="7" t="s">
        <v>2831</v>
      </c>
      <c r="B531" s="7" t="s">
        <v>2832</v>
      </c>
      <c r="C531" s="7" t="s">
        <v>2833</v>
      </c>
      <c r="D531" s="7" t="s">
        <v>2834</v>
      </c>
      <c r="E531" s="7" t="s">
        <v>33</v>
      </c>
      <c r="F531" s="7" t="s">
        <v>34</v>
      </c>
      <c r="G531" s="7" t="s">
        <v>946</v>
      </c>
      <c r="H531" s="7"/>
      <c r="I531" s="7"/>
      <c r="J531" s="7" t="s">
        <v>336</v>
      </c>
      <c r="K531" s="7" t="s">
        <v>2835</v>
      </c>
      <c r="L531" s="7" t="s">
        <v>2836</v>
      </c>
      <c r="M531" s="7" t="s">
        <v>2837</v>
      </c>
      <c r="N531" s="7" t="s">
        <v>459</v>
      </c>
      <c r="O531" s="7">
        <v>9</v>
      </c>
      <c r="P531" s="7"/>
      <c r="Q531" s="7"/>
      <c r="R531" s="7"/>
      <c r="S531" s="7"/>
      <c r="T531" s="7"/>
      <c r="U531" s="7"/>
      <c r="V531" s="7"/>
      <c r="W531" s="7"/>
      <c r="X531" s="7"/>
      <c r="Y531" s="7" t="s">
        <v>451</v>
      </c>
      <c r="Z531" s="7" t="s">
        <v>452</v>
      </c>
      <c r="AA531" s="7">
        <v>70808</v>
      </c>
      <c r="AB531" s="7" t="s">
        <v>43</v>
      </c>
      <c r="AC531" s="7"/>
      <c r="AD531" s="7"/>
      <c r="AE531" s="7"/>
      <c r="AF531" s="7"/>
      <c r="AG531" s="8">
        <f t="shared" si="8"/>
        <v>43326</v>
      </c>
    </row>
    <row r="532" spans="1:33">
      <c r="A532" s="7" t="s">
        <v>2838</v>
      </c>
      <c r="B532" s="7" t="s">
        <v>2839</v>
      </c>
      <c r="C532" s="7" t="s">
        <v>2840</v>
      </c>
      <c r="D532" s="7" t="s">
        <v>2841</v>
      </c>
      <c r="E532" s="7" t="s">
        <v>33</v>
      </c>
      <c r="F532" s="7" t="s">
        <v>34</v>
      </c>
      <c r="G532" s="7" t="s">
        <v>946</v>
      </c>
      <c r="H532" s="7"/>
      <c r="I532" s="7"/>
      <c r="J532" s="7" t="s">
        <v>336</v>
      </c>
      <c r="K532" s="7" t="s">
        <v>2842</v>
      </c>
      <c r="L532" s="7" t="s">
        <v>2843</v>
      </c>
      <c r="M532" s="7" t="s">
        <v>2844</v>
      </c>
      <c r="N532" s="7" t="s">
        <v>459</v>
      </c>
      <c r="O532" s="7">
        <v>10</v>
      </c>
      <c r="P532" s="7"/>
      <c r="Q532" s="7"/>
      <c r="R532" s="7"/>
      <c r="S532" s="7"/>
      <c r="T532" s="7"/>
      <c r="U532" s="7"/>
      <c r="V532" s="7"/>
      <c r="W532" s="7"/>
      <c r="X532" s="7"/>
      <c r="Y532" s="7" t="s">
        <v>451</v>
      </c>
      <c r="Z532" s="7" t="s">
        <v>452</v>
      </c>
      <c r="AA532" s="7">
        <v>70808</v>
      </c>
      <c r="AB532" s="7" t="s">
        <v>43</v>
      </c>
      <c r="AC532" s="7"/>
      <c r="AD532" s="7"/>
      <c r="AE532" s="7"/>
      <c r="AF532" s="7"/>
      <c r="AG532" s="8">
        <f t="shared" si="8"/>
        <v>43326</v>
      </c>
    </row>
    <row r="533" spans="1:33">
      <c r="A533" s="7" t="s">
        <v>2845</v>
      </c>
      <c r="B533" s="7" t="s">
        <v>2846</v>
      </c>
      <c r="C533" s="7" t="s">
        <v>2847</v>
      </c>
      <c r="D533" s="7" t="s">
        <v>2848</v>
      </c>
      <c r="E533" s="7" t="s">
        <v>33</v>
      </c>
      <c r="F533" s="7" t="s">
        <v>34</v>
      </c>
      <c r="G533" s="7" t="s">
        <v>946</v>
      </c>
      <c r="H533" s="7"/>
      <c r="I533" s="7"/>
      <c r="J533" s="7" t="s">
        <v>336</v>
      </c>
      <c r="K533" s="7" t="s">
        <v>2849</v>
      </c>
      <c r="L533" s="7" t="s">
        <v>2850</v>
      </c>
      <c r="M533" s="7" t="s">
        <v>2851</v>
      </c>
      <c r="N533" s="7" t="s">
        <v>459</v>
      </c>
      <c r="O533" s="7">
        <v>4</v>
      </c>
      <c r="P533" s="7"/>
      <c r="Q533" s="7"/>
      <c r="R533" s="7"/>
      <c r="S533" s="7"/>
      <c r="T533" s="7"/>
      <c r="U533" s="7"/>
      <c r="V533" s="7"/>
      <c r="W533" s="7"/>
      <c r="X533" s="7"/>
      <c r="Y533" s="7" t="s">
        <v>451</v>
      </c>
      <c r="Z533" s="7" t="s">
        <v>452</v>
      </c>
      <c r="AA533" s="7">
        <v>70808</v>
      </c>
      <c r="AB533" s="7" t="s">
        <v>43</v>
      </c>
      <c r="AC533" s="7"/>
      <c r="AD533" s="7"/>
      <c r="AE533" s="7"/>
      <c r="AF533" s="7"/>
      <c r="AG533" s="8">
        <f t="shared" si="8"/>
        <v>43326</v>
      </c>
    </row>
    <row r="534" spans="1:33">
      <c r="A534" s="7" t="s">
        <v>2852</v>
      </c>
      <c r="B534" s="7" t="s">
        <v>2853</v>
      </c>
      <c r="C534" s="7" t="s">
        <v>2854</v>
      </c>
      <c r="D534" s="7" t="s">
        <v>2855</v>
      </c>
      <c r="E534" s="7" t="s">
        <v>33</v>
      </c>
      <c r="F534" s="7" t="s">
        <v>34</v>
      </c>
      <c r="G534" s="7" t="s">
        <v>946</v>
      </c>
      <c r="H534" s="7"/>
      <c r="I534" s="7"/>
      <c r="J534" s="7" t="s">
        <v>336</v>
      </c>
      <c r="K534" s="7" t="s">
        <v>2856</v>
      </c>
      <c r="L534" s="7" t="s">
        <v>2857</v>
      </c>
      <c r="M534" s="7" t="s">
        <v>2858</v>
      </c>
      <c r="N534" s="7" t="s">
        <v>459</v>
      </c>
      <c r="O534" s="7">
        <v>1</v>
      </c>
      <c r="P534" s="7"/>
      <c r="Q534" s="7"/>
      <c r="R534" s="7"/>
      <c r="S534" s="7"/>
      <c r="T534" s="7"/>
      <c r="U534" s="7"/>
      <c r="V534" s="7"/>
      <c r="W534" s="7"/>
      <c r="X534" s="7"/>
      <c r="Y534" s="7" t="s">
        <v>451</v>
      </c>
      <c r="Z534" s="7" t="s">
        <v>452</v>
      </c>
      <c r="AA534" s="7">
        <v>70808</v>
      </c>
      <c r="AB534" s="7" t="s">
        <v>43</v>
      </c>
      <c r="AC534" s="7"/>
      <c r="AD534" s="7"/>
      <c r="AE534" s="7"/>
      <c r="AF534" s="7"/>
      <c r="AG534" s="8">
        <f t="shared" si="8"/>
        <v>43326</v>
      </c>
    </row>
    <row r="535" spans="1:33">
      <c r="A535" s="7" t="s">
        <v>2859</v>
      </c>
      <c r="B535" s="7" t="s">
        <v>2860</v>
      </c>
      <c r="C535" s="7" t="s">
        <v>2861</v>
      </c>
      <c r="D535" s="7" t="s">
        <v>2862</v>
      </c>
      <c r="E535" s="7" t="s">
        <v>33</v>
      </c>
      <c r="F535" s="7" t="s">
        <v>34</v>
      </c>
      <c r="G535" s="7" t="s">
        <v>946</v>
      </c>
      <c r="H535" s="7"/>
      <c r="I535" s="7"/>
      <c r="J535" s="7" t="s">
        <v>336</v>
      </c>
      <c r="K535" s="7" t="s">
        <v>2863</v>
      </c>
      <c r="L535" s="7" t="s">
        <v>2864</v>
      </c>
      <c r="M535" s="7" t="s">
        <v>2865</v>
      </c>
      <c r="N535" s="7" t="s">
        <v>459</v>
      </c>
      <c r="O535" s="7">
        <v>2</v>
      </c>
      <c r="P535" s="7"/>
      <c r="Q535" s="7"/>
      <c r="R535" s="7"/>
      <c r="S535" s="7"/>
      <c r="T535" s="7"/>
      <c r="U535" s="7"/>
      <c r="V535" s="7"/>
      <c r="W535" s="7"/>
      <c r="X535" s="7"/>
      <c r="Y535" s="7" t="s">
        <v>451</v>
      </c>
      <c r="Z535" s="7" t="s">
        <v>452</v>
      </c>
      <c r="AA535" s="7">
        <v>70808</v>
      </c>
      <c r="AB535" s="7" t="s">
        <v>43</v>
      </c>
      <c r="AC535" s="7"/>
      <c r="AD535" s="7"/>
      <c r="AE535" s="7"/>
      <c r="AF535" s="7"/>
      <c r="AG535" s="8">
        <f t="shared" si="8"/>
        <v>43326</v>
      </c>
    </row>
    <row r="536" spans="1:33">
      <c r="A536" s="7" t="s">
        <v>2866</v>
      </c>
      <c r="B536" s="7" t="s">
        <v>2867</v>
      </c>
      <c r="C536" s="7" t="s">
        <v>2868</v>
      </c>
      <c r="D536" s="7" t="s">
        <v>2869</v>
      </c>
      <c r="E536" s="7" t="s">
        <v>33</v>
      </c>
      <c r="F536" s="7" t="s">
        <v>34</v>
      </c>
      <c r="G536" s="7" t="s">
        <v>946</v>
      </c>
      <c r="H536" s="7"/>
      <c r="I536" s="7"/>
      <c r="J536" s="7" t="s">
        <v>336</v>
      </c>
      <c r="K536" s="7" t="s">
        <v>2870</v>
      </c>
      <c r="L536" s="7" t="s">
        <v>2871</v>
      </c>
      <c r="M536" s="7" t="s">
        <v>2872</v>
      </c>
      <c r="N536" s="7" t="s">
        <v>459</v>
      </c>
      <c r="O536" s="7">
        <v>7</v>
      </c>
      <c r="P536" s="7"/>
      <c r="Q536" s="7"/>
      <c r="R536" s="7"/>
      <c r="S536" s="7"/>
      <c r="T536" s="7"/>
      <c r="U536" s="7"/>
      <c r="V536" s="7"/>
      <c r="W536" s="7"/>
      <c r="X536" s="7"/>
      <c r="Y536" s="7" t="s">
        <v>451</v>
      </c>
      <c r="Z536" s="7" t="s">
        <v>452</v>
      </c>
      <c r="AA536" s="7">
        <v>70808</v>
      </c>
      <c r="AB536" s="7" t="s">
        <v>43</v>
      </c>
      <c r="AC536" s="7"/>
      <c r="AD536" s="7"/>
      <c r="AE536" s="7"/>
      <c r="AF536" s="7"/>
      <c r="AG536" s="8">
        <f t="shared" si="8"/>
        <v>43326</v>
      </c>
    </row>
    <row r="537" spans="1:33">
      <c r="A537" s="7" t="s">
        <v>2873</v>
      </c>
      <c r="B537" s="7" t="s">
        <v>2874</v>
      </c>
      <c r="C537" s="7" t="s">
        <v>2875</v>
      </c>
      <c r="D537" s="7" t="s">
        <v>2876</v>
      </c>
      <c r="E537" s="7" t="s">
        <v>33</v>
      </c>
      <c r="F537" s="7" t="s">
        <v>34</v>
      </c>
      <c r="G537" s="7" t="s">
        <v>946</v>
      </c>
      <c r="H537" s="7"/>
      <c r="I537" s="7"/>
      <c r="J537" s="7" t="s">
        <v>336</v>
      </c>
      <c r="K537" s="7" t="s">
        <v>2877</v>
      </c>
      <c r="L537" s="7" t="s">
        <v>2878</v>
      </c>
      <c r="M537" s="7" t="s">
        <v>2879</v>
      </c>
      <c r="N537" s="7" t="s">
        <v>459</v>
      </c>
      <c r="O537" s="7">
        <v>6</v>
      </c>
      <c r="P537" s="7"/>
      <c r="Q537" s="7"/>
      <c r="R537" s="7"/>
      <c r="S537" s="7"/>
      <c r="T537" s="7"/>
      <c r="U537" s="7"/>
      <c r="V537" s="7"/>
      <c r="W537" s="7"/>
      <c r="X537" s="7"/>
      <c r="Y537" s="7" t="s">
        <v>451</v>
      </c>
      <c r="Z537" s="7" t="s">
        <v>452</v>
      </c>
      <c r="AA537" s="7">
        <v>70808</v>
      </c>
      <c r="AB537" s="7" t="s">
        <v>43</v>
      </c>
      <c r="AC537" s="7"/>
      <c r="AD537" s="7"/>
      <c r="AE537" s="7"/>
      <c r="AF537" s="7"/>
      <c r="AG537" s="8">
        <f t="shared" si="8"/>
        <v>43326</v>
      </c>
    </row>
    <row r="538" spans="1:33">
      <c r="A538" s="7" t="s">
        <v>2880</v>
      </c>
      <c r="B538" s="7" t="s">
        <v>2881</v>
      </c>
      <c r="C538" s="7" t="s">
        <v>2882</v>
      </c>
      <c r="D538" s="7" t="s">
        <v>2883</v>
      </c>
      <c r="E538" s="7" t="s">
        <v>33</v>
      </c>
      <c r="F538" s="7" t="s">
        <v>34</v>
      </c>
      <c r="G538" s="7" t="s">
        <v>946</v>
      </c>
      <c r="H538" s="7"/>
      <c r="I538" s="7"/>
      <c r="J538" s="7" t="s">
        <v>336</v>
      </c>
      <c r="K538" s="7" t="s">
        <v>2884</v>
      </c>
      <c r="L538" s="7" t="s">
        <v>2885</v>
      </c>
      <c r="M538" s="7" t="s">
        <v>2886</v>
      </c>
      <c r="N538" s="7" t="s">
        <v>459</v>
      </c>
      <c r="O538" s="7">
        <v>6</v>
      </c>
      <c r="P538" s="7"/>
      <c r="Q538" s="7"/>
      <c r="R538" s="7"/>
      <c r="S538" s="7"/>
      <c r="T538" s="7"/>
      <c r="U538" s="7"/>
      <c r="V538" s="7"/>
      <c r="W538" s="7"/>
      <c r="X538" s="7"/>
      <c r="Y538" s="7" t="s">
        <v>451</v>
      </c>
      <c r="Z538" s="7" t="s">
        <v>452</v>
      </c>
      <c r="AA538" s="7">
        <v>70808</v>
      </c>
      <c r="AB538" s="7" t="s">
        <v>43</v>
      </c>
      <c r="AC538" s="7"/>
      <c r="AD538" s="7"/>
      <c r="AE538" s="7"/>
      <c r="AF538" s="7"/>
      <c r="AG538" s="8">
        <f t="shared" si="8"/>
        <v>43326</v>
      </c>
    </row>
    <row r="539" spans="1:33">
      <c r="A539" s="7" t="s">
        <v>2887</v>
      </c>
      <c r="B539" s="7" t="s">
        <v>2888</v>
      </c>
      <c r="C539" s="7" t="s">
        <v>2889</v>
      </c>
      <c r="D539" s="7" t="s">
        <v>2890</v>
      </c>
      <c r="E539" s="7" t="s">
        <v>33</v>
      </c>
      <c r="F539" s="7" t="s">
        <v>34</v>
      </c>
      <c r="G539" s="7" t="s">
        <v>946</v>
      </c>
      <c r="H539" s="7"/>
      <c r="I539" s="7"/>
      <c r="J539" s="7" t="s">
        <v>336</v>
      </c>
      <c r="K539" s="7" t="s">
        <v>2891</v>
      </c>
      <c r="L539" s="7" t="s">
        <v>2892</v>
      </c>
      <c r="M539" s="7" t="s">
        <v>2893</v>
      </c>
      <c r="N539" s="7" t="s">
        <v>459</v>
      </c>
      <c r="O539" s="7">
        <v>2</v>
      </c>
      <c r="P539" s="7"/>
      <c r="Q539" s="7"/>
      <c r="R539" s="7"/>
      <c r="S539" s="7"/>
      <c r="T539" s="7"/>
      <c r="U539" s="7"/>
      <c r="V539" s="7"/>
      <c r="W539" s="7"/>
      <c r="X539" s="7"/>
      <c r="Y539" s="7" t="s">
        <v>451</v>
      </c>
      <c r="Z539" s="7" t="s">
        <v>452</v>
      </c>
      <c r="AA539" s="7">
        <v>70808</v>
      </c>
      <c r="AB539" s="7" t="s">
        <v>43</v>
      </c>
      <c r="AC539" s="7"/>
      <c r="AD539" s="7"/>
      <c r="AE539" s="7"/>
      <c r="AF539" s="7"/>
      <c r="AG539" s="8">
        <f t="shared" si="8"/>
        <v>43326</v>
      </c>
    </row>
    <row r="540" spans="1:33">
      <c r="A540" s="7" t="s">
        <v>2894</v>
      </c>
      <c r="B540" s="7" t="s">
        <v>2895</v>
      </c>
      <c r="C540" s="7" t="s">
        <v>2896</v>
      </c>
      <c r="D540" s="7" t="s">
        <v>2897</v>
      </c>
      <c r="E540" s="7" t="s">
        <v>33</v>
      </c>
      <c r="F540" s="7" t="s">
        <v>34</v>
      </c>
      <c r="G540" s="7" t="s">
        <v>946</v>
      </c>
      <c r="H540" s="7"/>
      <c r="I540" s="7"/>
      <c r="J540" s="7" t="s">
        <v>336</v>
      </c>
      <c r="K540" s="7" t="s">
        <v>2898</v>
      </c>
      <c r="L540" s="7" t="s">
        <v>2899</v>
      </c>
      <c r="M540" s="7" t="s">
        <v>2900</v>
      </c>
      <c r="N540" s="7" t="s">
        <v>459</v>
      </c>
      <c r="O540" s="7">
        <v>6</v>
      </c>
      <c r="P540" s="7"/>
      <c r="Q540" s="7"/>
      <c r="R540" s="7"/>
      <c r="S540" s="7"/>
      <c r="T540" s="7"/>
      <c r="U540" s="7"/>
      <c r="V540" s="7"/>
      <c r="W540" s="7"/>
      <c r="X540" s="7"/>
      <c r="Y540" s="7" t="s">
        <v>451</v>
      </c>
      <c r="Z540" s="7" t="s">
        <v>452</v>
      </c>
      <c r="AA540" s="7">
        <v>70808</v>
      </c>
      <c r="AB540" s="7" t="s">
        <v>43</v>
      </c>
      <c r="AC540" s="7"/>
      <c r="AD540" s="7"/>
      <c r="AE540" s="7"/>
      <c r="AF540" s="7"/>
      <c r="AG540" s="8">
        <f t="shared" si="8"/>
        <v>43326</v>
      </c>
    </row>
    <row r="541" spans="1:33">
      <c r="A541" s="7" t="s">
        <v>2901</v>
      </c>
      <c r="B541" s="7" t="s">
        <v>2902</v>
      </c>
      <c r="C541" s="7" t="s">
        <v>2903</v>
      </c>
      <c r="D541" s="7" t="s">
        <v>2904</v>
      </c>
      <c r="E541" s="7" t="s">
        <v>33</v>
      </c>
      <c r="F541" s="7" t="s">
        <v>34</v>
      </c>
      <c r="G541" s="7" t="s">
        <v>946</v>
      </c>
      <c r="H541" s="7"/>
      <c r="I541" s="7"/>
      <c r="J541" s="7" t="s">
        <v>336</v>
      </c>
      <c r="K541" s="7" t="s">
        <v>2905</v>
      </c>
      <c r="L541" s="7" t="s">
        <v>2906</v>
      </c>
      <c r="M541" s="7" t="s">
        <v>2907</v>
      </c>
      <c r="N541" s="7" t="s">
        <v>459</v>
      </c>
      <c r="O541" s="7">
        <v>6</v>
      </c>
      <c r="P541" s="7"/>
      <c r="Q541" s="7"/>
      <c r="R541" s="7"/>
      <c r="S541" s="7"/>
      <c r="T541" s="7"/>
      <c r="U541" s="7"/>
      <c r="V541" s="7"/>
      <c r="W541" s="7"/>
      <c r="X541" s="7"/>
      <c r="Y541" s="7" t="s">
        <v>451</v>
      </c>
      <c r="Z541" s="7" t="s">
        <v>452</v>
      </c>
      <c r="AA541" s="7">
        <v>70808</v>
      </c>
      <c r="AB541" s="7" t="s">
        <v>43</v>
      </c>
      <c r="AC541" s="7"/>
      <c r="AD541" s="7"/>
      <c r="AE541" s="7"/>
      <c r="AF541" s="7"/>
      <c r="AG541" s="8">
        <f t="shared" si="8"/>
        <v>43326</v>
      </c>
    </row>
    <row r="542" spans="1:33">
      <c r="A542" s="7" t="s">
        <v>2908</v>
      </c>
      <c r="B542" s="7" t="s">
        <v>2909</v>
      </c>
      <c r="C542" s="7" t="s">
        <v>2910</v>
      </c>
      <c r="D542" s="7" t="s">
        <v>2911</v>
      </c>
      <c r="E542" s="7" t="s">
        <v>33</v>
      </c>
      <c r="F542" s="7" t="s">
        <v>34</v>
      </c>
      <c r="G542" s="7" t="s">
        <v>946</v>
      </c>
      <c r="H542" s="7"/>
      <c r="I542" s="7"/>
      <c r="J542" s="7" t="s">
        <v>336</v>
      </c>
      <c r="K542" s="7" t="s">
        <v>2912</v>
      </c>
      <c r="L542" s="7" t="s">
        <v>2913</v>
      </c>
      <c r="M542" s="7" t="s">
        <v>2914</v>
      </c>
      <c r="N542" s="7" t="s">
        <v>459</v>
      </c>
      <c r="O542" s="7">
        <v>5</v>
      </c>
      <c r="P542" s="7"/>
      <c r="Q542" s="7"/>
      <c r="R542" s="7"/>
      <c r="S542" s="7"/>
      <c r="T542" s="7"/>
      <c r="U542" s="7"/>
      <c r="V542" s="7"/>
      <c r="W542" s="7"/>
      <c r="X542" s="7"/>
      <c r="Y542" s="7" t="s">
        <v>451</v>
      </c>
      <c r="Z542" s="7" t="s">
        <v>452</v>
      </c>
      <c r="AA542" s="7">
        <v>70808</v>
      </c>
      <c r="AB542" s="7" t="s">
        <v>43</v>
      </c>
      <c r="AC542" s="7"/>
      <c r="AD542" s="7"/>
      <c r="AE542" s="7"/>
      <c r="AF542" s="7"/>
      <c r="AG542" s="8">
        <f t="shared" si="8"/>
        <v>43326</v>
      </c>
    </row>
    <row r="543" spans="1:33">
      <c r="A543" s="7" t="s">
        <v>2915</v>
      </c>
      <c r="B543" s="7" t="s">
        <v>2916</v>
      </c>
      <c r="C543" s="7" t="s">
        <v>2917</v>
      </c>
      <c r="D543" s="7" t="s">
        <v>2918</v>
      </c>
      <c r="E543" s="7" t="s">
        <v>33</v>
      </c>
      <c r="F543" s="7" t="s">
        <v>34</v>
      </c>
      <c r="G543" s="7" t="s">
        <v>946</v>
      </c>
      <c r="H543" s="7"/>
      <c r="I543" s="7"/>
      <c r="J543" s="7" t="s">
        <v>336</v>
      </c>
      <c r="K543" s="7" t="s">
        <v>2919</v>
      </c>
      <c r="L543" s="7" t="s">
        <v>2920</v>
      </c>
      <c r="M543" s="7" t="s">
        <v>2921</v>
      </c>
      <c r="N543" s="7" t="s">
        <v>459</v>
      </c>
      <c r="O543" s="7">
        <v>7</v>
      </c>
      <c r="P543" s="7"/>
      <c r="Q543" s="7"/>
      <c r="R543" s="7"/>
      <c r="S543" s="7"/>
      <c r="T543" s="7"/>
      <c r="U543" s="7"/>
      <c r="V543" s="7"/>
      <c r="W543" s="7"/>
      <c r="X543" s="7"/>
      <c r="Y543" s="7" t="s">
        <v>451</v>
      </c>
      <c r="Z543" s="7" t="s">
        <v>452</v>
      </c>
      <c r="AA543" s="7">
        <v>70808</v>
      </c>
      <c r="AB543" s="7" t="s">
        <v>43</v>
      </c>
      <c r="AC543" s="7"/>
      <c r="AD543" s="7"/>
      <c r="AE543" s="7"/>
      <c r="AF543" s="7"/>
      <c r="AG543" s="8">
        <f t="shared" si="8"/>
        <v>43326</v>
      </c>
    </row>
    <row r="544" spans="1:33">
      <c r="A544" s="7" t="s">
        <v>2922</v>
      </c>
      <c r="B544" s="7" t="s">
        <v>2923</v>
      </c>
      <c r="C544" s="7" t="s">
        <v>2924</v>
      </c>
      <c r="D544" s="7" t="s">
        <v>2925</v>
      </c>
      <c r="E544" s="7" t="s">
        <v>33</v>
      </c>
      <c r="F544" s="7" t="s">
        <v>34</v>
      </c>
      <c r="G544" s="7" t="s">
        <v>946</v>
      </c>
      <c r="H544" s="7"/>
      <c r="I544" s="7"/>
      <c r="J544" s="7" t="s">
        <v>336</v>
      </c>
      <c r="K544" s="7" t="s">
        <v>2926</v>
      </c>
      <c r="L544" s="7" t="s">
        <v>2927</v>
      </c>
      <c r="M544" s="7" t="s">
        <v>2928</v>
      </c>
      <c r="N544" s="7" t="s">
        <v>459</v>
      </c>
      <c r="O544" s="7">
        <v>5</v>
      </c>
      <c r="P544" s="7"/>
      <c r="Q544" s="7"/>
      <c r="R544" s="7"/>
      <c r="S544" s="7"/>
      <c r="T544" s="7"/>
      <c r="U544" s="7"/>
      <c r="V544" s="7"/>
      <c r="W544" s="7"/>
      <c r="X544" s="7"/>
      <c r="Y544" s="7" t="s">
        <v>451</v>
      </c>
      <c r="Z544" s="7" t="s">
        <v>452</v>
      </c>
      <c r="AA544" s="7">
        <v>70808</v>
      </c>
      <c r="AB544" s="7" t="s">
        <v>43</v>
      </c>
      <c r="AC544" s="7"/>
      <c r="AD544" s="7"/>
      <c r="AE544" s="7"/>
      <c r="AF544" s="7"/>
      <c r="AG544" s="8">
        <f t="shared" si="8"/>
        <v>43326</v>
      </c>
    </row>
    <row r="545" spans="1:33">
      <c r="A545" s="7" t="s">
        <v>2929</v>
      </c>
      <c r="B545" s="7" t="s">
        <v>2930</v>
      </c>
      <c r="C545" s="7" t="s">
        <v>2931</v>
      </c>
      <c r="D545" s="7" t="s">
        <v>2932</v>
      </c>
      <c r="E545" s="7" t="s">
        <v>33</v>
      </c>
      <c r="F545" s="7" t="s">
        <v>34</v>
      </c>
      <c r="G545" s="7" t="s">
        <v>946</v>
      </c>
      <c r="H545" s="7"/>
      <c r="I545" s="7"/>
      <c r="J545" s="7" t="s">
        <v>336</v>
      </c>
      <c r="K545" s="7" t="s">
        <v>2933</v>
      </c>
      <c r="L545" s="7" t="s">
        <v>2934</v>
      </c>
      <c r="M545" s="7" t="s">
        <v>2935</v>
      </c>
      <c r="N545" s="7" t="s">
        <v>459</v>
      </c>
      <c r="O545" s="7">
        <v>5</v>
      </c>
      <c r="P545" s="7"/>
      <c r="Q545" s="7"/>
      <c r="R545" s="7"/>
      <c r="S545" s="7"/>
      <c r="T545" s="7"/>
      <c r="U545" s="7"/>
      <c r="V545" s="7"/>
      <c r="W545" s="7"/>
      <c r="X545" s="7"/>
      <c r="Y545" s="7" t="s">
        <v>451</v>
      </c>
      <c r="Z545" s="7" t="s">
        <v>452</v>
      </c>
      <c r="AA545" s="7">
        <v>70808</v>
      </c>
      <c r="AB545" s="7" t="s">
        <v>43</v>
      </c>
      <c r="AC545" s="7"/>
      <c r="AD545" s="7"/>
      <c r="AE545" s="7"/>
      <c r="AF545" s="7"/>
      <c r="AG545" s="8">
        <f t="shared" si="8"/>
        <v>43326</v>
      </c>
    </row>
    <row r="546" spans="1:33">
      <c r="A546" s="7" t="s">
        <v>2936</v>
      </c>
      <c r="B546" s="7" t="s">
        <v>2937</v>
      </c>
      <c r="C546" s="7" t="s">
        <v>2938</v>
      </c>
      <c r="D546" s="7" t="s">
        <v>2939</v>
      </c>
      <c r="E546" s="7" t="s">
        <v>33</v>
      </c>
      <c r="F546" s="7" t="s">
        <v>34</v>
      </c>
      <c r="G546" s="7" t="s">
        <v>946</v>
      </c>
      <c r="H546" s="7"/>
      <c r="I546" s="7"/>
      <c r="J546" s="7" t="s">
        <v>336</v>
      </c>
      <c r="K546" s="7" t="s">
        <v>2940</v>
      </c>
      <c r="L546" s="7" t="s">
        <v>2941</v>
      </c>
      <c r="M546" s="7" t="s">
        <v>2942</v>
      </c>
      <c r="N546" s="7" t="s">
        <v>459</v>
      </c>
      <c r="O546" s="7">
        <v>5</v>
      </c>
      <c r="P546" s="7"/>
      <c r="Q546" s="7"/>
      <c r="R546" s="7"/>
      <c r="S546" s="7"/>
      <c r="T546" s="7"/>
      <c r="U546" s="7"/>
      <c r="V546" s="7"/>
      <c r="W546" s="7"/>
      <c r="X546" s="7"/>
      <c r="Y546" s="7" t="s">
        <v>451</v>
      </c>
      <c r="Z546" s="7" t="s">
        <v>452</v>
      </c>
      <c r="AA546" s="7">
        <v>70808</v>
      </c>
      <c r="AB546" s="7" t="s">
        <v>43</v>
      </c>
      <c r="AC546" s="7"/>
      <c r="AD546" s="7"/>
      <c r="AE546" s="7"/>
      <c r="AF546" s="7"/>
      <c r="AG546" s="8">
        <f t="shared" si="8"/>
        <v>43326</v>
      </c>
    </row>
    <row r="547" spans="1:33">
      <c r="A547" s="7" t="s">
        <v>2943</v>
      </c>
      <c r="B547" s="7" t="s">
        <v>2944</v>
      </c>
      <c r="C547" s="7" t="s">
        <v>2945</v>
      </c>
      <c r="D547" s="7" t="s">
        <v>2946</v>
      </c>
      <c r="E547" s="7" t="s">
        <v>33</v>
      </c>
      <c r="F547" s="7" t="s">
        <v>34</v>
      </c>
      <c r="G547" s="7" t="s">
        <v>946</v>
      </c>
      <c r="H547" s="7"/>
      <c r="I547" s="7"/>
      <c r="J547" s="7" t="s">
        <v>336</v>
      </c>
      <c r="K547" s="7" t="s">
        <v>2947</v>
      </c>
      <c r="L547" s="7" t="s">
        <v>2948</v>
      </c>
      <c r="M547" s="7" t="s">
        <v>2949</v>
      </c>
      <c r="N547" s="7" t="s">
        <v>459</v>
      </c>
      <c r="O547" s="7">
        <v>5</v>
      </c>
      <c r="P547" s="7"/>
      <c r="Q547" s="7"/>
      <c r="R547" s="7"/>
      <c r="S547" s="7"/>
      <c r="T547" s="7"/>
      <c r="U547" s="7"/>
      <c r="V547" s="7"/>
      <c r="W547" s="7"/>
      <c r="X547" s="7"/>
      <c r="Y547" s="7" t="s">
        <v>451</v>
      </c>
      <c r="Z547" s="7" t="s">
        <v>452</v>
      </c>
      <c r="AA547" s="7">
        <v>70808</v>
      </c>
      <c r="AB547" s="7" t="s">
        <v>43</v>
      </c>
      <c r="AC547" s="7"/>
      <c r="AD547" s="7"/>
      <c r="AE547" s="7"/>
      <c r="AF547" s="7"/>
      <c r="AG547" s="8">
        <f t="shared" si="8"/>
        <v>43326</v>
      </c>
    </row>
    <row r="548" spans="1:33">
      <c r="A548" s="7" t="s">
        <v>2950</v>
      </c>
      <c r="B548" s="7" t="s">
        <v>2951</v>
      </c>
      <c r="C548" s="7" t="s">
        <v>2952</v>
      </c>
      <c r="D548" s="7" t="s">
        <v>2953</v>
      </c>
      <c r="E548" s="7" t="s">
        <v>33</v>
      </c>
      <c r="F548" s="7" t="s">
        <v>34</v>
      </c>
      <c r="G548" s="7" t="s">
        <v>946</v>
      </c>
      <c r="H548" s="7"/>
      <c r="I548" s="7"/>
      <c r="J548" s="7" t="s">
        <v>336</v>
      </c>
      <c r="K548" s="7" t="s">
        <v>2954</v>
      </c>
      <c r="L548" s="7" t="s">
        <v>2955</v>
      </c>
      <c r="M548" s="7" t="s">
        <v>2956</v>
      </c>
      <c r="N548" s="7" t="s">
        <v>459</v>
      </c>
      <c r="O548" s="7">
        <v>5</v>
      </c>
      <c r="P548" s="7"/>
      <c r="Q548" s="7"/>
      <c r="R548" s="7"/>
      <c r="S548" s="7"/>
      <c r="T548" s="7"/>
      <c r="U548" s="7"/>
      <c r="V548" s="7"/>
      <c r="W548" s="7"/>
      <c r="X548" s="7"/>
      <c r="Y548" s="7" t="s">
        <v>451</v>
      </c>
      <c r="Z548" s="7" t="s">
        <v>452</v>
      </c>
      <c r="AA548" s="7">
        <v>70808</v>
      </c>
      <c r="AB548" s="7" t="s">
        <v>43</v>
      </c>
      <c r="AC548" s="7"/>
      <c r="AD548" s="7"/>
      <c r="AE548" s="7"/>
      <c r="AF548" s="7"/>
      <c r="AG548" s="8">
        <f t="shared" si="8"/>
        <v>43326</v>
      </c>
    </row>
    <row r="549" spans="1:33">
      <c r="A549" s="7" t="s">
        <v>2957</v>
      </c>
      <c r="B549" s="7" t="s">
        <v>2958</v>
      </c>
      <c r="C549" s="7" t="s">
        <v>2959</v>
      </c>
      <c r="D549" s="7" t="s">
        <v>2960</v>
      </c>
      <c r="E549" s="7" t="s">
        <v>33</v>
      </c>
      <c r="F549" s="7" t="s">
        <v>34</v>
      </c>
      <c r="G549" s="7" t="s">
        <v>946</v>
      </c>
      <c r="H549" s="7"/>
      <c r="I549" s="7"/>
      <c r="J549" s="7" t="s">
        <v>336</v>
      </c>
      <c r="K549" s="7" t="s">
        <v>2961</v>
      </c>
      <c r="L549" s="7" t="s">
        <v>2962</v>
      </c>
      <c r="M549" s="7" t="s">
        <v>2963</v>
      </c>
      <c r="N549" s="7" t="s">
        <v>459</v>
      </c>
      <c r="O549" s="7">
        <v>4</v>
      </c>
      <c r="P549" s="7"/>
      <c r="Q549" s="7"/>
      <c r="R549" s="7"/>
      <c r="S549" s="7"/>
      <c r="T549" s="7"/>
      <c r="U549" s="7"/>
      <c r="V549" s="7"/>
      <c r="W549" s="7"/>
      <c r="X549" s="7"/>
      <c r="Y549" s="7" t="s">
        <v>451</v>
      </c>
      <c r="Z549" s="7" t="s">
        <v>452</v>
      </c>
      <c r="AA549" s="7">
        <v>70808</v>
      </c>
      <c r="AB549" s="7" t="s">
        <v>43</v>
      </c>
      <c r="AC549" s="7"/>
      <c r="AD549" s="7"/>
      <c r="AE549" s="7"/>
      <c r="AF549" s="7"/>
      <c r="AG549" s="8">
        <f t="shared" si="8"/>
        <v>43326</v>
      </c>
    </row>
    <row r="550" spans="1:33">
      <c r="A550" s="7" t="s">
        <v>2964</v>
      </c>
      <c r="B550" s="7" t="s">
        <v>2965</v>
      </c>
      <c r="C550" s="7" t="s">
        <v>2966</v>
      </c>
      <c r="D550" s="7" t="s">
        <v>2967</v>
      </c>
      <c r="E550" s="7" t="s">
        <v>33</v>
      </c>
      <c r="F550" s="7" t="s">
        <v>34</v>
      </c>
      <c r="G550" s="7" t="s">
        <v>946</v>
      </c>
      <c r="H550" s="7"/>
      <c r="I550" s="7"/>
      <c r="J550" s="7" t="s">
        <v>336</v>
      </c>
      <c r="K550" s="7" t="s">
        <v>2968</v>
      </c>
      <c r="L550" s="7" t="s">
        <v>2969</v>
      </c>
      <c r="M550" s="7" t="s">
        <v>2970</v>
      </c>
      <c r="N550" s="7" t="s">
        <v>459</v>
      </c>
      <c r="O550" s="7">
        <v>12</v>
      </c>
      <c r="P550" s="7"/>
      <c r="Q550" s="7"/>
      <c r="R550" s="7"/>
      <c r="S550" s="7"/>
      <c r="T550" s="7"/>
      <c r="U550" s="7"/>
      <c r="V550" s="7"/>
      <c r="W550" s="7"/>
      <c r="X550" s="7"/>
      <c r="Y550" s="7" t="s">
        <v>451</v>
      </c>
      <c r="Z550" s="7" t="s">
        <v>452</v>
      </c>
      <c r="AA550" s="7">
        <v>70808</v>
      </c>
      <c r="AB550" s="7" t="s">
        <v>43</v>
      </c>
      <c r="AC550" s="7"/>
      <c r="AD550" s="7"/>
      <c r="AE550" s="7"/>
      <c r="AF550" s="7"/>
      <c r="AG550" s="8">
        <f t="shared" si="8"/>
        <v>43326</v>
      </c>
    </row>
    <row r="551" spans="1:33">
      <c r="A551" s="7" t="s">
        <v>2971</v>
      </c>
      <c r="B551" s="7" t="s">
        <v>2972</v>
      </c>
      <c r="C551" s="7" t="s">
        <v>2973</v>
      </c>
      <c r="D551" s="7" t="s">
        <v>2974</v>
      </c>
      <c r="E551" s="7" t="s">
        <v>33</v>
      </c>
      <c r="F551" s="7" t="s">
        <v>34</v>
      </c>
      <c r="G551" s="7" t="s">
        <v>946</v>
      </c>
      <c r="H551" s="7"/>
      <c r="I551" s="7"/>
      <c r="J551" s="7" t="s">
        <v>336</v>
      </c>
      <c r="K551" s="7" t="s">
        <v>2975</v>
      </c>
      <c r="L551" s="7" t="s">
        <v>2976</v>
      </c>
      <c r="M551" s="7" t="s">
        <v>2977</v>
      </c>
      <c r="N551" s="7" t="s">
        <v>459</v>
      </c>
      <c r="O551" s="7">
        <v>3</v>
      </c>
      <c r="P551" s="7"/>
      <c r="Q551" s="7"/>
      <c r="R551" s="7"/>
      <c r="S551" s="7"/>
      <c r="T551" s="7"/>
      <c r="U551" s="7"/>
      <c r="V551" s="7"/>
      <c r="W551" s="7"/>
      <c r="X551" s="7"/>
      <c r="Y551" s="7" t="s">
        <v>451</v>
      </c>
      <c r="Z551" s="7" t="s">
        <v>452</v>
      </c>
      <c r="AA551" s="7">
        <v>70808</v>
      </c>
      <c r="AB551" s="7" t="s">
        <v>43</v>
      </c>
      <c r="AC551" s="7"/>
      <c r="AD551" s="7"/>
      <c r="AE551" s="7"/>
      <c r="AF551" s="7"/>
      <c r="AG551" s="8">
        <f t="shared" si="8"/>
        <v>43326</v>
      </c>
    </row>
    <row r="552" spans="1:33">
      <c r="A552" s="7" t="s">
        <v>2978</v>
      </c>
      <c r="B552" s="7" t="s">
        <v>2979</v>
      </c>
      <c r="C552" s="7" t="s">
        <v>2980</v>
      </c>
      <c r="D552" s="7" t="s">
        <v>2981</v>
      </c>
      <c r="E552" s="7" t="s">
        <v>33</v>
      </c>
      <c r="F552" s="7" t="s">
        <v>34</v>
      </c>
      <c r="G552" s="7" t="s">
        <v>946</v>
      </c>
      <c r="H552" s="7"/>
      <c r="I552" s="7"/>
      <c r="J552" s="7" t="s">
        <v>336</v>
      </c>
      <c r="K552" s="7" t="s">
        <v>2982</v>
      </c>
      <c r="L552" s="7" t="s">
        <v>2983</v>
      </c>
      <c r="M552" s="7" t="s">
        <v>2984</v>
      </c>
      <c r="N552" s="7" t="s">
        <v>459</v>
      </c>
      <c r="O552" s="7">
        <v>7</v>
      </c>
      <c r="P552" s="7"/>
      <c r="Q552" s="7"/>
      <c r="R552" s="7"/>
      <c r="S552" s="7"/>
      <c r="T552" s="7"/>
      <c r="U552" s="7"/>
      <c r="V552" s="7"/>
      <c r="W552" s="7"/>
      <c r="X552" s="7"/>
      <c r="Y552" s="7" t="s">
        <v>451</v>
      </c>
      <c r="Z552" s="7" t="s">
        <v>452</v>
      </c>
      <c r="AA552" s="7">
        <v>70808</v>
      </c>
      <c r="AB552" s="7" t="s">
        <v>43</v>
      </c>
      <c r="AC552" s="7"/>
      <c r="AD552" s="7"/>
      <c r="AE552" s="7"/>
      <c r="AF552" s="7"/>
      <c r="AG552" s="8">
        <f t="shared" si="8"/>
        <v>43326</v>
      </c>
    </row>
    <row r="553" spans="1:33">
      <c r="A553" s="7" t="s">
        <v>2985</v>
      </c>
      <c r="B553" s="7" t="s">
        <v>2986</v>
      </c>
      <c r="C553" s="7" t="s">
        <v>2987</v>
      </c>
      <c r="D553" s="7" t="s">
        <v>2988</v>
      </c>
      <c r="E553" s="7" t="s">
        <v>33</v>
      </c>
      <c r="F553" s="7" t="s">
        <v>34</v>
      </c>
      <c r="G553" s="7" t="s">
        <v>946</v>
      </c>
      <c r="H553" s="7"/>
      <c r="I553" s="7"/>
      <c r="J553" s="7" t="s">
        <v>336</v>
      </c>
      <c r="K553" s="7" t="s">
        <v>2989</v>
      </c>
      <c r="L553" s="7" t="s">
        <v>2990</v>
      </c>
      <c r="M553" s="7" t="s">
        <v>2991</v>
      </c>
      <c r="N553" s="7" t="s">
        <v>459</v>
      </c>
      <c r="O553" s="7">
        <v>4</v>
      </c>
      <c r="P553" s="7"/>
      <c r="Q553" s="7"/>
      <c r="R553" s="7"/>
      <c r="S553" s="7"/>
      <c r="T553" s="7"/>
      <c r="U553" s="7"/>
      <c r="V553" s="7"/>
      <c r="W553" s="7"/>
      <c r="X553" s="7"/>
      <c r="Y553" s="7" t="s">
        <v>451</v>
      </c>
      <c r="Z553" s="7" t="s">
        <v>452</v>
      </c>
      <c r="AA553" s="7">
        <v>70808</v>
      </c>
      <c r="AB553" s="7" t="s">
        <v>43</v>
      </c>
      <c r="AC553" s="7"/>
      <c r="AD553" s="7"/>
      <c r="AE553" s="7"/>
      <c r="AF553" s="7"/>
      <c r="AG553" s="8">
        <f t="shared" si="8"/>
        <v>43326</v>
      </c>
    </row>
    <row r="554" spans="1:33">
      <c r="A554" s="7" t="s">
        <v>2992</v>
      </c>
      <c r="B554" s="7" t="s">
        <v>2993</v>
      </c>
      <c r="C554" s="7" t="s">
        <v>2994</v>
      </c>
      <c r="D554" s="7" t="s">
        <v>2995</v>
      </c>
      <c r="E554" s="7" t="s">
        <v>33</v>
      </c>
      <c r="F554" s="7" t="s">
        <v>34</v>
      </c>
      <c r="G554" s="7" t="s">
        <v>946</v>
      </c>
      <c r="H554" s="7"/>
      <c r="I554" s="7"/>
      <c r="J554" s="7" t="s">
        <v>336</v>
      </c>
      <c r="K554" s="7" t="s">
        <v>2996</v>
      </c>
      <c r="L554" s="7" t="s">
        <v>2997</v>
      </c>
      <c r="M554" s="7" t="s">
        <v>2998</v>
      </c>
      <c r="N554" s="7" t="s">
        <v>459</v>
      </c>
      <c r="O554" s="7">
        <v>4</v>
      </c>
      <c r="P554" s="7"/>
      <c r="Q554" s="7"/>
      <c r="R554" s="7"/>
      <c r="S554" s="7"/>
      <c r="T554" s="7"/>
      <c r="U554" s="7"/>
      <c r="V554" s="7"/>
      <c r="W554" s="7"/>
      <c r="X554" s="7"/>
      <c r="Y554" s="7" t="s">
        <v>451</v>
      </c>
      <c r="Z554" s="7" t="s">
        <v>452</v>
      </c>
      <c r="AA554" s="7">
        <v>70808</v>
      </c>
      <c r="AB554" s="7" t="s">
        <v>43</v>
      </c>
      <c r="AC554" s="7"/>
      <c r="AD554" s="7"/>
      <c r="AE554" s="7"/>
      <c r="AF554" s="7"/>
      <c r="AG554" s="8">
        <f t="shared" si="8"/>
        <v>43326</v>
      </c>
    </row>
    <row r="555" spans="1:33">
      <c r="A555" s="7" t="s">
        <v>2999</v>
      </c>
      <c r="B555" s="7" t="s">
        <v>3000</v>
      </c>
      <c r="C555" s="7" t="s">
        <v>3001</v>
      </c>
      <c r="D555" s="7" t="s">
        <v>3002</v>
      </c>
      <c r="E555" s="7" t="s">
        <v>33</v>
      </c>
      <c r="F555" s="7" t="s">
        <v>34</v>
      </c>
      <c r="G555" s="7" t="s">
        <v>946</v>
      </c>
      <c r="H555" s="7"/>
      <c r="I555" s="7"/>
      <c r="J555" s="7" t="s">
        <v>336</v>
      </c>
      <c r="K555" s="7" t="s">
        <v>3003</v>
      </c>
      <c r="L555" s="7" t="s">
        <v>3004</v>
      </c>
      <c r="M555" s="7" t="s">
        <v>3005</v>
      </c>
      <c r="N555" s="7" t="s">
        <v>459</v>
      </c>
      <c r="O555" s="7">
        <v>1</v>
      </c>
      <c r="P555" s="7"/>
      <c r="Q555" s="7"/>
      <c r="R555" s="7"/>
      <c r="S555" s="7"/>
      <c r="T555" s="7"/>
      <c r="U555" s="7"/>
      <c r="V555" s="7"/>
      <c r="W555" s="7"/>
      <c r="X555" s="7"/>
      <c r="Y555" s="7" t="s">
        <v>451</v>
      </c>
      <c r="Z555" s="7" t="s">
        <v>452</v>
      </c>
      <c r="AA555" s="7">
        <v>70808</v>
      </c>
      <c r="AB555" s="7" t="s">
        <v>43</v>
      </c>
      <c r="AC555" s="7"/>
      <c r="AD555" s="7"/>
      <c r="AE555" s="7"/>
      <c r="AF555" s="7"/>
      <c r="AG555" s="8">
        <f t="shared" si="8"/>
        <v>43326</v>
      </c>
    </row>
    <row r="556" spans="1:33">
      <c r="A556" s="7" t="s">
        <v>3006</v>
      </c>
      <c r="B556" s="7" t="s">
        <v>3007</v>
      </c>
      <c r="C556" s="7" t="s">
        <v>3008</v>
      </c>
      <c r="D556" s="7" t="s">
        <v>3009</v>
      </c>
      <c r="E556" s="7" t="s">
        <v>33</v>
      </c>
      <c r="F556" s="7" t="s">
        <v>34</v>
      </c>
      <c r="G556" s="7" t="s">
        <v>946</v>
      </c>
      <c r="H556" s="7"/>
      <c r="I556" s="7"/>
      <c r="J556" s="7" t="s">
        <v>336</v>
      </c>
      <c r="K556" s="7" t="s">
        <v>3010</v>
      </c>
      <c r="L556" s="7" t="s">
        <v>3011</v>
      </c>
      <c r="M556" s="7" t="s">
        <v>3012</v>
      </c>
      <c r="N556" s="7" t="s">
        <v>459</v>
      </c>
      <c r="O556" s="7">
        <v>1</v>
      </c>
      <c r="P556" s="7"/>
      <c r="Q556" s="7"/>
      <c r="R556" s="7"/>
      <c r="S556" s="7"/>
      <c r="T556" s="7"/>
      <c r="U556" s="7"/>
      <c r="V556" s="7"/>
      <c r="W556" s="7"/>
      <c r="X556" s="7"/>
      <c r="Y556" s="7" t="s">
        <v>451</v>
      </c>
      <c r="Z556" s="7" t="s">
        <v>452</v>
      </c>
      <c r="AA556" s="7">
        <v>70808</v>
      </c>
      <c r="AB556" s="7" t="s">
        <v>43</v>
      </c>
      <c r="AC556" s="7"/>
      <c r="AD556" s="7"/>
      <c r="AE556" s="7"/>
      <c r="AF556" s="7"/>
      <c r="AG556" s="8">
        <f t="shared" si="8"/>
        <v>43326</v>
      </c>
    </row>
    <row r="557" spans="1:33">
      <c r="A557" s="7" t="s">
        <v>3013</v>
      </c>
      <c r="B557" s="7" t="s">
        <v>3014</v>
      </c>
      <c r="C557" s="7" t="s">
        <v>3015</v>
      </c>
      <c r="D557" s="7" t="s">
        <v>3016</v>
      </c>
      <c r="E557" s="7" t="s">
        <v>33</v>
      </c>
      <c r="F557" s="7" t="s">
        <v>34</v>
      </c>
      <c r="G557" s="7" t="s">
        <v>946</v>
      </c>
      <c r="H557" s="7"/>
      <c r="I557" s="7"/>
      <c r="J557" s="7" t="s">
        <v>336</v>
      </c>
      <c r="K557" s="7" t="s">
        <v>3017</v>
      </c>
      <c r="L557" s="7" t="s">
        <v>3018</v>
      </c>
      <c r="M557" s="7" t="s">
        <v>3019</v>
      </c>
      <c r="N557" s="7" t="s">
        <v>459</v>
      </c>
      <c r="O557" s="7">
        <v>2</v>
      </c>
      <c r="P557" s="7"/>
      <c r="Q557" s="7"/>
      <c r="R557" s="7"/>
      <c r="S557" s="7"/>
      <c r="T557" s="7"/>
      <c r="U557" s="7"/>
      <c r="V557" s="7"/>
      <c r="W557" s="7"/>
      <c r="X557" s="7"/>
      <c r="Y557" s="7" t="s">
        <v>451</v>
      </c>
      <c r="Z557" s="7" t="s">
        <v>452</v>
      </c>
      <c r="AA557" s="7">
        <v>70808</v>
      </c>
      <c r="AB557" s="7" t="s">
        <v>43</v>
      </c>
      <c r="AC557" s="7"/>
      <c r="AD557" s="7"/>
      <c r="AE557" s="7"/>
      <c r="AF557" s="7"/>
      <c r="AG557" s="8">
        <f t="shared" si="8"/>
        <v>43326</v>
      </c>
    </row>
    <row r="558" spans="1:33">
      <c r="A558" s="7" t="s">
        <v>3020</v>
      </c>
      <c r="B558" s="7" t="s">
        <v>3021</v>
      </c>
      <c r="C558" s="7" t="s">
        <v>3022</v>
      </c>
      <c r="D558" s="7" t="s">
        <v>3023</v>
      </c>
      <c r="E558" s="7" t="s">
        <v>33</v>
      </c>
      <c r="F558" s="7" t="s">
        <v>34</v>
      </c>
      <c r="G558" s="7" t="s">
        <v>946</v>
      </c>
      <c r="H558" s="7"/>
      <c r="I558" s="7"/>
      <c r="J558" s="7" t="s">
        <v>336</v>
      </c>
      <c r="K558" s="7" t="s">
        <v>3024</v>
      </c>
      <c r="L558" s="7" t="s">
        <v>3025</v>
      </c>
      <c r="M558" s="7" t="s">
        <v>3026</v>
      </c>
      <c r="N558" s="7" t="s">
        <v>459</v>
      </c>
      <c r="O558" s="7">
        <v>4</v>
      </c>
      <c r="P558" s="7"/>
      <c r="Q558" s="7"/>
      <c r="R558" s="7"/>
      <c r="S558" s="7"/>
      <c r="T558" s="7"/>
      <c r="U558" s="7"/>
      <c r="V558" s="7"/>
      <c r="W558" s="7"/>
      <c r="X558" s="7"/>
      <c r="Y558" s="7" t="s">
        <v>451</v>
      </c>
      <c r="Z558" s="7" t="s">
        <v>452</v>
      </c>
      <c r="AA558" s="7">
        <v>70808</v>
      </c>
      <c r="AB558" s="7" t="s">
        <v>43</v>
      </c>
      <c r="AC558" s="7"/>
      <c r="AD558" s="7"/>
      <c r="AE558" s="7"/>
      <c r="AF558" s="7"/>
      <c r="AG558" s="8">
        <f t="shared" si="8"/>
        <v>43326</v>
      </c>
    </row>
    <row r="559" spans="1:33">
      <c r="A559" s="7" t="s">
        <v>3027</v>
      </c>
      <c r="B559" s="7" t="s">
        <v>3028</v>
      </c>
      <c r="C559" s="7" t="s">
        <v>3029</v>
      </c>
      <c r="D559" s="7" t="s">
        <v>3030</v>
      </c>
      <c r="E559" s="7" t="s">
        <v>33</v>
      </c>
      <c r="F559" s="7" t="s">
        <v>34</v>
      </c>
      <c r="G559" s="7" t="s">
        <v>946</v>
      </c>
      <c r="H559" s="7"/>
      <c r="I559" s="7"/>
      <c r="J559" s="7" t="s">
        <v>336</v>
      </c>
      <c r="K559" s="7" t="s">
        <v>3031</v>
      </c>
      <c r="L559" s="7" t="s">
        <v>3032</v>
      </c>
      <c r="M559" s="7" t="s">
        <v>3033</v>
      </c>
      <c r="N559" s="7" t="s">
        <v>459</v>
      </c>
      <c r="O559" s="7">
        <v>1</v>
      </c>
      <c r="P559" s="7"/>
      <c r="Q559" s="7"/>
      <c r="R559" s="7"/>
      <c r="S559" s="7"/>
      <c r="T559" s="7"/>
      <c r="U559" s="7"/>
      <c r="V559" s="7"/>
      <c r="W559" s="7"/>
      <c r="X559" s="7"/>
      <c r="Y559" s="7" t="s">
        <v>451</v>
      </c>
      <c r="Z559" s="7" t="s">
        <v>452</v>
      </c>
      <c r="AA559" s="7">
        <v>70808</v>
      </c>
      <c r="AB559" s="7" t="s">
        <v>43</v>
      </c>
      <c r="AC559" s="7"/>
      <c r="AD559" s="7"/>
      <c r="AE559" s="7"/>
      <c r="AF559" s="7"/>
      <c r="AG559" s="8">
        <f t="shared" si="8"/>
        <v>43326</v>
      </c>
    </row>
    <row r="560" spans="1:33">
      <c r="A560" s="7" t="s">
        <v>3034</v>
      </c>
      <c r="B560" s="7" t="s">
        <v>3035</v>
      </c>
      <c r="C560" s="7" t="s">
        <v>3036</v>
      </c>
      <c r="D560" s="7" t="s">
        <v>3037</v>
      </c>
      <c r="E560" s="7" t="s">
        <v>99</v>
      </c>
      <c r="F560" s="7" t="s">
        <v>34</v>
      </c>
      <c r="G560" s="7" t="s">
        <v>946</v>
      </c>
      <c r="H560" s="7"/>
      <c r="I560" s="7"/>
      <c r="J560" s="7" t="s">
        <v>336</v>
      </c>
      <c r="K560" s="7" t="s">
        <v>3024</v>
      </c>
      <c r="L560" s="7" t="s">
        <v>3025</v>
      </c>
      <c r="M560" s="7" t="s">
        <v>3026</v>
      </c>
      <c r="N560" s="7" t="s">
        <v>459</v>
      </c>
      <c r="O560" s="7">
        <v>4</v>
      </c>
      <c r="P560" s="7"/>
      <c r="Q560" s="7"/>
      <c r="R560" s="7"/>
      <c r="S560" s="7"/>
      <c r="T560" s="7"/>
      <c r="U560" s="7"/>
      <c r="V560" s="7"/>
      <c r="W560" s="7"/>
      <c r="X560" s="7"/>
      <c r="Y560" s="7" t="s">
        <v>451</v>
      </c>
      <c r="Z560" s="7" t="s">
        <v>452</v>
      </c>
      <c r="AA560" s="7">
        <v>70808</v>
      </c>
      <c r="AB560" s="7" t="s">
        <v>43</v>
      </c>
      <c r="AC560" s="7"/>
      <c r="AD560" s="7"/>
      <c r="AE560" s="7"/>
      <c r="AF560" s="7"/>
      <c r="AG560" s="8">
        <f t="shared" si="8"/>
        <v>43326</v>
      </c>
    </row>
    <row r="561" spans="1:33">
      <c r="A561" s="7" t="s">
        <v>3038</v>
      </c>
      <c r="B561" s="7" t="s">
        <v>3039</v>
      </c>
      <c r="C561" s="7" t="s">
        <v>3040</v>
      </c>
      <c r="D561" s="7" t="s">
        <v>3041</v>
      </c>
      <c r="E561" s="7" t="s">
        <v>33</v>
      </c>
      <c r="F561" s="7" t="s">
        <v>34</v>
      </c>
      <c r="G561" s="7" t="s">
        <v>946</v>
      </c>
      <c r="H561" s="7"/>
      <c r="I561" s="7"/>
      <c r="J561" s="7" t="s">
        <v>336</v>
      </c>
      <c r="K561" s="7" t="s">
        <v>3042</v>
      </c>
      <c r="L561" s="7" t="s">
        <v>3043</v>
      </c>
      <c r="M561" s="7" t="s">
        <v>3044</v>
      </c>
      <c r="N561" s="7" t="s">
        <v>459</v>
      </c>
      <c r="O561" s="7">
        <v>2</v>
      </c>
      <c r="P561" s="7"/>
      <c r="Q561" s="7"/>
      <c r="R561" s="7"/>
      <c r="S561" s="7"/>
      <c r="T561" s="7"/>
      <c r="U561" s="7"/>
      <c r="V561" s="7"/>
      <c r="W561" s="7"/>
      <c r="X561" s="7"/>
      <c r="Y561" s="7" t="s">
        <v>451</v>
      </c>
      <c r="Z561" s="7" t="s">
        <v>452</v>
      </c>
      <c r="AA561" s="7">
        <v>70808</v>
      </c>
      <c r="AB561" s="7" t="s">
        <v>43</v>
      </c>
      <c r="AC561" s="7"/>
      <c r="AD561" s="7"/>
      <c r="AE561" s="7"/>
      <c r="AF561" s="7"/>
      <c r="AG561" s="8">
        <f t="shared" si="8"/>
        <v>43326</v>
      </c>
    </row>
    <row r="562" spans="1:33">
      <c r="A562" s="7" t="s">
        <v>3045</v>
      </c>
      <c r="B562" s="7" t="s">
        <v>3046</v>
      </c>
      <c r="C562" s="7" t="s">
        <v>3047</v>
      </c>
      <c r="D562" s="7" t="s">
        <v>3048</v>
      </c>
      <c r="E562" s="7" t="s">
        <v>33</v>
      </c>
      <c r="F562" s="7" t="s">
        <v>34</v>
      </c>
      <c r="G562" s="7" t="s">
        <v>946</v>
      </c>
      <c r="H562" s="7"/>
      <c r="I562" s="7"/>
      <c r="J562" s="7" t="s">
        <v>336</v>
      </c>
      <c r="K562" s="7" t="s">
        <v>3049</v>
      </c>
      <c r="L562" s="7" t="s">
        <v>3050</v>
      </c>
      <c r="M562" s="7" t="s">
        <v>3051</v>
      </c>
      <c r="N562" s="7" t="s">
        <v>459</v>
      </c>
      <c r="O562" s="7">
        <v>2</v>
      </c>
      <c r="P562" s="7"/>
      <c r="Q562" s="7"/>
      <c r="R562" s="7"/>
      <c r="S562" s="7"/>
      <c r="T562" s="7"/>
      <c r="U562" s="7"/>
      <c r="V562" s="7"/>
      <c r="W562" s="7"/>
      <c r="X562" s="7"/>
      <c r="Y562" s="7" t="s">
        <v>451</v>
      </c>
      <c r="Z562" s="7" t="s">
        <v>452</v>
      </c>
      <c r="AA562" s="7">
        <v>70808</v>
      </c>
      <c r="AB562" s="7" t="s">
        <v>43</v>
      </c>
      <c r="AC562" s="7"/>
      <c r="AD562" s="7"/>
      <c r="AE562" s="7"/>
      <c r="AF562" s="7"/>
      <c r="AG562" s="8">
        <f t="shared" si="8"/>
        <v>43326</v>
      </c>
    </row>
    <row r="563" spans="1:33">
      <c r="A563" s="7" t="s">
        <v>3052</v>
      </c>
      <c r="B563" s="7" t="s">
        <v>3053</v>
      </c>
      <c r="C563" s="7" t="s">
        <v>3054</v>
      </c>
      <c r="D563" s="7" t="s">
        <v>3055</v>
      </c>
      <c r="E563" s="7" t="s">
        <v>33</v>
      </c>
      <c r="F563" s="7" t="s">
        <v>34</v>
      </c>
      <c r="G563" s="7" t="s">
        <v>946</v>
      </c>
      <c r="H563" s="7"/>
      <c r="I563" s="7"/>
      <c r="J563" s="7" t="s">
        <v>336</v>
      </c>
      <c r="K563" s="7" t="s">
        <v>3056</v>
      </c>
      <c r="L563" s="7" t="s">
        <v>3057</v>
      </c>
      <c r="M563" s="7" t="s">
        <v>3058</v>
      </c>
      <c r="N563" s="7" t="s">
        <v>459</v>
      </c>
      <c r="O563" s="7">
        <v>7</v>
      </c>
      <c r="P563" s="7"/>
      <c r="Q563" s="7"/>
      <c r="R563" s="7"/>
      <c r="S563" s="7"/>
      <c r="T563" s="7"/>
      <c r="U563" s="7"/>
      <c r="V563" s="7"/>
      <c r="W563" s="7"/>
      <c r="X563" s="7"/>
      <c r="Y563" s="7" t="s">
        <v>451</v>
      </c>
      <c r="Z563" s="7" t="s">
        <v>452</v>
      </c>
      <c r="AA563" s="7">
        <v>70808</v>
      </c>
      <c r="AB563" s="7" t="s">
        <v>43</v>
      </c>
      <c r="AC563" s="7"/>
      <c r="AD563" s="7"/>
      <c r="AE563" s="7"/>
      <c r="AF563" s="7"/>
      <c r="AG563" s="8">
        <f t="shared" si="8"/>
        <v>43326</v>
      </c>
    </row>
    <row r="564" spans="1:33">
      <c r="A564" s="7" t="s">
        <v>3059</v>
      </c>
      <c r="B564" s="7" t="s">
        <v>3060</v>
      </c>
      <c r="C564" s="7" t="s">
        <v>3061</v>
      </c>
      <c r="D564" s="7" t="s">
        <v>3062</v>
      </c>
      <c r="E564" s="7" t="s">
        <v>33</v>
      </c>
      <c r="F564" s="7" t="s">
        <v>34</v>
      </c>
      <c r="G564" s="7" t="s">
        <v>946</v>
      </c>
      <c r="H564" s="7"/>
      <c r="I564" s="7"/>
      <c r="J564" s="7" t="s">
        <v>336</v>
      </c>
      <c r="K564" s="7" t="s">
        <v>3063</v>
      </c>
      <c r="L564" s="7" t="s">
        <v>3064</v>
      </c>
      <c r="M564" s="7" t="s">
        <v>3065</v>
      </c>
      <c r="N564" s="7" t="s">
        <v>459</v>
      </c>
      <c r="O564" s="7">
        <v>10</v>
      </c>
      <c r="P564" s="7"/>
      <c r="Q564" s="7"/>
      <c r="R564" s="7"/>
      <c r="S564" s="7"/>
      <c r="T564" s="7"/>
      <c r="U564" s="7"/>
      <c r="V564" s="7"/>
      <c r="W564" s="7"/>
      <c r="X564" s="7"/>
      <c r="Y564" s="7" t="s">
        <v>451</v>
      </c>
      <c r="Z564" s="7" t="s">
        <v>452</v>
      </c>
      <c r="AA564" s="7">
        <v>70808</v>
      </c>
      <c r="AB564" s="7" t="s">
        <v>43</v>
      </c>
      <c r="AC564" s="7"/>
      <c r="AD564" s="7"/>
      <c r="AE564" s="7"/>
      <c r="AF564" s="7"/>
      <c r="AG564" s="8">
        <f t="shared" si="8"/>
        <v>43326</v>
      </c>
    </row>
    <row r="565" spans="1:33">
      <c r="A565" s="7" t="s">
        <v>3066</v>
      </c>
      <c r="B565" s="7" t="s">
        <v>3067</v>
      </c>
      <c r="C565" s="7" t="s">
        <v>3068</v>
      </c>
      <c r="D565" s="7" t="s">
        <v>3069</v>
      </c>
      <c r="E565" s="7" t="s">
        <v>33</v>
      </c>
      <c r="F565" s="7" t="s">
        <v>34</v>
      </c>
      <c r="G565" s="7" t="s">
        <v>946</v>
      </c>
      <c r="H565" s="7"/>
      <c r="I565" s="7"/>
      <c r="J565" s="7" t="s">
        <v>336</v>
      </c>
      <c r="K565" s="7" t="s">
        <v>3070</v>
      </c>
      <c r="L565" s="7" t="s">
        <v>3071</v>
      </c>
      <c r="M565" s="7" t="s">
        <v>3072</v>
      </c>
      <c r="N565" s="7" t="s">
        <v>459</v>
      </c>
      <c r="O565" s="7">
        <v>2</v>
      </c>
      <c r="P565" s="7"/>
      <c r="Q565" s="7"/>
      <c r="R565" s="7"/>
      <c r="S565" s="7"/>
      <c r="T565" s="7"/>
      <c r="U565" s="7"/>
      <c r="V565" s="7"/>
      <c r="W565" s="7"/>
      <c r="X565" s="7"/>
      <c r="Y565" s="7" t="s">
        <v>451</v>
      </c>
      <c r="Z565" s="7" t="s">
        <v>452</v>
      </c>
      <c r="AA565" s="7">
        <v>70808</v>
      </c>
      <c r="AB565" s="7" t="s">
        <v>43</v>
      </c>
      <c r="AC565" s="7"/>
      <c r="AD565" s="7"/>
      <c r="AE565" s="7"/>
      <c r="AF565" s="7"/>
      <c r="AG565" s="8">
        <f t="shared" si="8"/>
        <v>43326</v>
      </c>
    </row>
    <row r="566" spans="1:33">
      <c r="A566" s="7" t="s">
        <v>3073</v>
      </c>
      <c r="B566" s="7" t="s">
        <v>3074</v>
      </c>
      <c r="C566" s="7" t="s">
        <v>3075</v>
      </c>
      <c r="D566" s="7" t="s">
        <v>3076</v>
      </c>
      <c r="E566" s="7" t="s">
        <v>33</v>
      </c>
      <c r="F566" s="7" t="s">
        <v>34</v>
      </c>
      <c r="G566" s="7" t="s">
        <v>946</v>
      </c>
      <c r="H566" s="7"/>
      <c r="I566" s="7"/>
      <c r="J566" s="7" t="s">
        <v>336</v>
      </c>
      <c r="K566" s="7" t="s">
        <v>3077</v>
      </c>
      <c r="L566" s="7" t="s">
        <v>3078</v>
      </c>
      <c r="M566" s="7" t="s">
        <v>3079</v>
      </c>
      <c r="N566" s="7" t="s">
        <v>459</v>
      </c>
      <c r="O566" s="7">
        <v>3</v>
      </c>
      <c r="P566" s="7"/>
      <c r="Q566" s="7"/>
      <c r="R566" s="7"/>
      <c r="S566" s="7"/>
      <c r="T566" s="7"/>
      <c r="U566" s="7"/>
      <c r="V566" s="7"/>
      <c r="W566" s="7"/>
      <c r="X566" s="7"/>
      <c r="Y566" s="7" t="s">
        <v>451</v>
      </c>
      <c r="Z566" s="7" t="s">
        <v>452</v>
      </c>
      <c r="AA566" s="7">
        <v>70808</v>
      </c>
      <c r="AB566" s="7" t="s">
        <v>43</v>
      </c>
      <c r="AC566" s="7"/>
      <c r="AD566" s="7"/>
      <c r="AE566" s="7"/>
      <c r="AF566" s="7"/>
      <c r="AG566" s="8">
        <f t="shared" si="8"/>
        <v>43326</v>
      </c>
    </row>
    <row r="567" spans="1:33">
      <c r="A567" s="7" t="s">
        <v>3080</v>
      </c>
      <c r="B567" s="7" t="s">
        <v>3081</v>
      </c>
      <c r="C567" s="7" t="s">
        <v>3082</v>
      </c>
      <c r="D567" s="7" t="s">
        <v>3083</v>
      </c>
      <c r="E567" s="7" t="s">
        <v>33</v>
      </c>
      <c r="F567" s="7" t="s">
        <v>34</v>
      </c>
      <c r="G567" s="7" t="s">
        <v>946</v>
      </c>
      <c r="H567" s="7"/>
      <c r="I567" s="7"/>
      <c r="J567" s="7" t="s">
        <v>336</v>
      </c>
      <c r="K567" s="7" t="s">
        <v>1071</v>
      </c>
      <c r="L567" s="7" t="s">
        <v>2519</v>
      </c>
      <c r="M567" s="7" t="s">
        <v>2520</v>
      </c>
      <c r="N567" s="7" t="s">
        <v>459</v>
      </c>
      <c r="O567" s="7">
        <v>7</v>
      </c>
      <c r="P567" s="7"/>
      <c r="Q567" s="7"/>
      <c r="R567" s="7"/>
      <c r="S567" s="7"/>
      <c r="T567" s="7"/>
      <c r="U567" s="7"/>
      <c r="V567" s="7"/>
      <c r="W567" s="7"/>
      <c r="X567" s="7"/>
      <c r="Y567" s="7" t="s">
        <v>451</v>
      </c>
      <c r="Z567" s="7" t="s">
        <v>452</v>
      </c>
      <c r="AA567" s="7">
        <v>70808</v>
      </c>
      <c r="AB567" s="7" t="s">
        <v>43</v>
      </c>
      <c r="AC567" s="7"/>
      <c r="AD567" s="7"/>
      <c r="AE567" s="7"/>
      <c r="AF567" s="7"/>
      <c r="AG567" s="8">
        <f t="shared" si="8"/>
        <v>43326</v>
      </c>
    </row>
    <row r="568" spans="1:33">
      <c r="A568" s="7" t="s">
        <v>3084</v>
      </c>
      <c r="B568" s="7" t="s">
        <v>3085</v>
      </c>
      <c r="C568" s="7" t="s">
        <v>3086</v>
      </c>
      <c r="D568" s="7" t="s">
        <v>3087</v>
      </c>
      <c r="E568" s="7" t="s">
        <v>33</v>
      </c>
      <c r="F568" s="7" t="s">
        <v>34</v>
      </c>
      <c r="G568" s="7" t="s">
        <v>946</v>
      </c>
      <c r="H568" s="7"/>
      <c r="I568" s="7"/>
      <c r="J568" s="7" t="s">
        <v>336</v>
      </c>
      <c r="K568" s="7" t="s">
        <v>1071</v>
      </c>
      <c r="L568" s="7" t="s">
        <v>3088</v>
      </c>
      <c r="M568" s="7" t="s">
        <v>3089</v>
      </c>
      <c r="N568" s="7" t="s">
        <v>459</v>
      </c>
      <c r="O568" s="7">
        <v>3</v>
      </c>
      <c r="P568" s="7"/>
      <c r="Q568" s="7"/>
      <c r="R568" s="7"/>
      <c r="S568" s="7"/>
      <c r="T568" s="7"/>
      <c r="U568" s="7"/>
      <c r="V568" s="7"/>
      <c r="W568" s="7"/>
      <c r="X568" s="7"/>
      <c r="Y568" s="7" t="s">
        <v>451</v>
      </c>
      <c r="Z568" s="7" t="s">
        <v>452</v>
      </c>
      <c r="AA568" s="7">
        <v>70808</v>
      </c>
      <c r="AB568" s="7" t="s">
        <v>43</v>
      </c>
      <c r="AC568" s="7"/>
      <c r="AD568" s="7"/>
      <c r="AE568" s="7"/>
      <c r="AF568" s="7"/>
      <c r="AG568" s="8">
        <f t="shared" si="8"/>
        <v>43326</v>
      </c>
    </row>
    <row r="569" spans="1:33">
      <c r="A569" s="7" t="s">
        <v>3090</v>
      </c>
      <c r="B569" s="7" t="s">
        <v>3091</v>
      </c>
      <c r="C569" s="7" t="s">
        <v>3092</v>
      </c>
      <c r="D569" s="7" t="s">
        <v>3093</v>
      </c>
      <c r="E569" s="7" t="s">
        <v>33</v>
      </c>
      <c r="F569" s="7" t="s">
        <v>34</v>
      </c>
      <c r="G569" s="7" t="s">
        <v>946</v>
      </c>
      <c r="H569" s="7"/>
      <c r="I569" s="7"/>
      <c r="J569" s="7" t="s">
        <v>336</v>
      </c>
      <c r="K569" s="7" t="s">
        <v>1071</v>
      </c>
      <c r="L569" s="7" t="s">
        <v>1072</v>
      </c>
      <c r="M569" s="7" t="s">
        <v>1073</v>
      </c>
      <c r="N569" s="7" t="s">
        <v>459</v>
      </c>
      <c r="O569" s="7">
        <v>5</v>
      </c>
      <c r="P569" s="7"/>
      <c r="Q569" s="7"/>
      <c r="R569" s="7"/>
      <c r="S569" s="7"/>
      <c r="T569" s="7"/>
      <c r="U569" s="7"/>
      <c r="V569" s="7"/>
      <c r="W569" s="7"/>
      <c r="X569" s="7"/>
      <c r="Y569" s="7" t="s">
        <v>451</v>
      </c>
      <c r="Z569" s="7" t="s">
        <v>452</v>
      </c>
      <c r="AA569" s="7">
        <v>70808</v>
      </c>
      <c r="AB569" s="7" t="s">
        <v>43</v>
      </c>
      <c r="AC569" s="7"/>
      <c r="AD569" s="7"/>
      <c r="AE569" s="7"/>
      <c r="AF569" s="7"/>
      <c r="AG569" s="8">
        <f t="shared" si="8"/>
        <v>43326</v>
      </c>
    </row>
    <row r="570" spans="1:33">
      <c r="A570" s="7" t="s">
        <v>3094</v>
      </c>
      <c r="B570" s="7" t="s">
        <v>3095</v>
      </c>
      <c r="C570" s="7" t="s">
        <v>3096</v>
      </c>
      <c r="D570" s="7" t="s">
        <v>3097</v>
      </c>
      <c r="E570" s="7" t="s">
        <v>33</v>
      </c>
      <c r="F570" s="7" t="s">
        <v>34</v>
      </c>
      <c r="G570" s="7" t="s">
        <v>946</v>
      </c>
      <c r="H570" s="7"/>
      <c r="I570" s="7"/>
      <c r="J570" s="7" t="s">
        <v>336</v>
      </c>
      <c r="K570" s="7" t="s">
        <v>1071</v>
      </c>
      <c r="L570" s="7" t="s">
        <v>3098</v>
      </c>
      <c r="M570" s="7" t="s">
        <v>3099</v>
      </c>
      <c r="N570" s="7" t="s">
        <v>459</v>
      </c>
      <c r="O570" s="7">
        <v>4</v>
      </c>
      <c r="P570" s="7"/>
      <c r="Q570" s="7"/>
      <c r="R570" s="7"/>
      <c r="S570" s="7"/>
      <c r="T570" s="7"/>
      <c r="U570" s="7"/>
      <c r="V570" s="7"/>
      <c r="W570" s="7"/>
      <c r="X570" s="7"/>
      <c r="Y570" s="7" t="s">
        <v>451</v>
      </c>
      <c r="Z570" s="7" t="s">
        <v>452</v>
      </c>
      <c r="AA570" s="7">
        <v>70808</v>
      </c>
      <c r="AB570" s="7" t="s">
        <v>43</v>
      </c>
      <c r="AC570" s="7"/>
      <c r="AD570" s="7"/>
      <c r="AE570" s="7"/>
      <c r="AF570" s="7"/>
      <c r="AG570" s="8">
        <f t="shared" si="8"/>
        <v>43326</v>
      </c>
    </row>
    <row r="571" spans="1:33">
      <c r="A571" s="7" t="s">
        <v>3100</v>
      </c>
      <c r="B571" s="7" t="s">
        <v>3101</v>
      </c>
      <c r="C571" s="7" t="s">
        <v>3102</v>
      </c>
      <c r="D571" s="7" t="s">
        <v>3103</v>
      </c>
      <c r="E571" s="7" t="s">
        <v>33</v>
      </c>
      <c r="F571" s="7" t="s">
        <v>34</v>
      </c>
      <c r="G571" s="7" t="s">
        <v>946</v>
      </c>
      <c r="H571" s="7"/>
      <c r="I571" s="7"/>
      <c r="J571" s="7" t="s">
        <v>336</v>
      </c>
      <c r="K571" s="7" t="s">
        <v>1071</v>
      </c>
      <c r="L571" s="7" t="s">
        <v>3104</v>
      </c>
      <c r="M571" s="7" t="s">
        <v>3105</v>
      </c>
      <c r="N571" s="7" t="s">
        <v>459</v>
      </c>
      <c r="O571" s="7">
        <v>2</v>
      </c>
      <c r="P571" s="7"/>
      <c r="Q571" s="7"/>
      <c r="R571" s="7"/>
      <c r="S571" s="7"/>
      <c r="T571" s="7"/>
      <c r="U571" s="7"/>
      <c r="V571" s="7"/>
      <c r="W571" s="7"/>
      <c r="X571" s="7"/>
      <c r="Y571" s="7" t="s">
        <v>451</v>
      </c>
      <c r="Z571" s="7" t="s">
        <v>452</v>
      </c>
      <c r="AA571" s="7">
        <v>70808</v>
      </c>
      <c r="AB571" s="7" t="s">
        <v>43</v>
      </c>
      <c r="AC571" s="7"/>
      <c r="AD571" s="7"/>
      <c r="AE571" s="7"/>
      <c r="AF571" s="7"/>
      <c r="AG571" s="8">
        <f t="shared" si="8"/>
        <v>43326</v>
      </c>
    </row>
    <row r="572" spans="1:33">
      <c r="A572" s="7" t="s">
        <v>3106</v>
      </c>
      <c r="B572" s="7" t="s">
        <v>3107</v>
      </c>
      <c r="C572" s="7" t="s">
        <v>3108</v>
      </c>
      <c r="D572" s="7" t="s">
        <v>3109</v>
      </c>
      <c r="E572" s="7" t="s">
        <v>33</v>
      </c>
      <c r="F572" s="7" t="s">
        <v>34</v>
      </c>
      <c r="G572" s="7" t="s">
        <v>946</v>
      </c>
      <c r="H572" s="7"/>
      <c r="I572" s="7"/>
      <c r="J572" s="7" t="s">
        <v>336</v>
      </c>
      <c r="K572" s="7" t="s">
        <v>1071</v>
      </c>
      <c r="L572" s="7" t="s">
        <v>3110</v>
      </c>
      <c r="M572" s="7" t="s">
        <v>3111</v>
      </c>
      <c r="N572" s="7" t="s">
        <v>459</v>
      </c>
      <c r="O572" s="7">
        <v>2</v>
      </c>
      <c r="P572" s="7"/>
      <c r="Q572" s="7"/>
      <c r="R572" s="7"/>
      <c r="S572" s="7"/>
      <c r="T572" s="7"/>
      <c r="U572" s="7"/>
      <c r="V572" s="7"/>
      <c r="W572" s="7"/>
      <c r="X572" s="7"/>
      <c r="Y572" s="7" t="s">
        <v>451</v>
      </c>
      <c r="Z572" s="7" t="s">
        <v>452</v>
      </c>
      <c r="AA572" s="7">
        <v>70808</v>
      </c>
      <c r="AB572" s="7" t="s">
        <v>43</v>
      </c>
      <c r="AC572" s="7"/>
      <c r="AD572" s="7"/>
      <c r="AE572" s="7"/>
      <c r="AF572" s="7"/>
      <c r="AG572" s="8">
        <f t="shared" si="8"/>
        <v>43326</v>
      </c>
    </row>
    <row r="573" spans="1:33">
      <c r="A573" s="7" t="s">
        <v>3112</v>
      </c>
      <c r="B573" s="7" t="s">
        <v>3113</v>
      </c>
      <c r="C573" s="7" t="s">
        <v>3114</v>
      </c>
      <c r="D573" s="7" t="s">
        <v>3115</v>
      </c>
      <c r="E573" s="7" t="s">
        <v>33</v>
      </c>
      <c r="F573" s="7" t="s">
        <v>34</v>
      </c>
      <c r="G573" s="7" t="s">
        <v>946</v>
      </c>
      <c r="H573" s="7"/>
      <c r="I573" s="7"/>
      <c r="J573" s="7" t="s">
        <v>336</v>
      </c>
      <c r="K573" s="7" t="s">
        <v>1071</v>
      </c>
      <c r="L573" s="7" t="s">
        <v>3116</v>
      </c>
      <c r="M573" s="7" t="s">
        <v>3117</v>
      </c>
      <c r="N573" s="7" t="s">
        <v>459</v>
      </c>
      <c r="O573" s="7">
        <v>4</v>
      </c>
      <c r="P573" s="7"/>
      <c r="Q573" s="7"/>
      <c r="R573" s="7"/>
      <c r="S573" s="7"/>
      <c r="T573" s="7"/>
      <c r="U573" s="7"/>
      <c r="V573" s="7"/>
      <c r="W573" s="7"/>
      <c r="X573" s="7"/>
      <c r="Y573" s="7" t="s">
        <v>451</v>
      </c>
      <c r="Z573" s="7" t="s">
        <v>452</v>
      </c>
      <c r="AA573" s="7">
        <v>70808</v>
      </c>
      <c r="AB573" s="7" t="s">
        <v>43</v>
      </c>
      <c r="AC573" s="7"/>
      <c r="AD573" s="7"/>
      <c r="AE573" s="7"/>
      <c r="AF573" s="7"/>
      <c r="AG573" s="8">
        <f t="shared" si="8"/>
        <v>43326</v>
      </c>
    </row>
    <row r="574" spans="1:33">
      <c r="A574" s="7" t="s">
        <v>3118</v>
      </c>
      <c r="B574" s="7" t="s">
        <v>3119</v>
      </c>
      <c r="C574" s="7" t="s">
        <v>3120</v>
      </c>
      <c r="D574" s="7" t="s">
        <v>3121</v>
      </c>
      <c r="E574" s="7" t="s">
        <v>33</v>
      </c>
      <c r="F574" s="7" t="s">
        <v>34</v>
      </c>
      <c r="G574" s="7" t="s">
        <v>946</v>
      </c>
      <c r="H574" s="7"/>
      <c r="I574" s="7"/>
      <c r="J574" s="7" t="s">
        <v>336</v>
      </c>
      <c r="K574" s="7" t="s">
        <v>1071</v>
      </c>
      <c r="L574" s="7" t="s">
        <v>3122</v>
      </c>
      <c r="M574" s="7" t="s">
        <v>3123</v>
      </c>
      <c r="N574" s="7" t="s">
        <v>459</v>
      </c>
      <c r="O574" s="7">
        <v>4</v>
      </c>
      <c r="P574" s="7"/>
      <c r="Q574" s="7"/>
      <c r="R574" s="7"/>
      <c r="S574" s="7"/>
      <c r="T574" s="7"/>
      <c r="U574" s="7"/>
      <c r="V574" s="7"/>
      <c r="W574" s="7"/>
      <c r="X574" s="7"/>
      <c r="Y574" s="7" t="s">
        <v>451</v>
      </c>
      <c r="Z574" s="7" t="s">
        <v>452</v>
      </c>
      <c r="AA574" s="7">
        <v>70808</v>
      </c>
      <c r="AB574" s="7" t="s">
        <v>43</v>
      </c>
      <c r="AC574" s="7"/>
      <c r="AD574" s="7"/>
      <c r="AE574" s="7"/>
      <c r="AF574" s="7"/>
      <c r="AG574" s="8">
        <f t="shared" si="8"/>
        <v>43326</v>
      </c>
    </row>
    <row r="575" spans="1:33">
      <c r="A575" s="7" t="s">
        <v>3124</v>
      </c>
      <c r="B575" s="7" t="s">
        <v>3125</v>
      </c>
      <c r="C575" s="7" t="s">
        <v>3126</v>
      </c>
      <c r="D575" s="7" t="s">
        <v>3127</v>
      </c>
      <c r="E575" s="7" t="s">
        <v>33</v>
      </c>
      <c r="F575" s="7" t="s">
        <v>34</v>
      </c>
      <c r="G575" s="7" t="s">
        <v>946</v>
      </c>
      <c r="H575" s="7"/>
      <c r="I575" s="7"/>
      <c r="J575" s="7" t="s">
        <v>336</v>
      </c>
      <c r="K575" s="7" t="s">
        <v>3128</v>
      </c>
      <c r="L575" s="7" t="s">
        <v>3129</v>
      </c>
      <c r="M575" s="7" t="s">
        <v>3130</v>
      </c>
      <c r="N575" s="7" t="s">
        <v>459</v>
      </c>
      <c r="O575" s="7">
        <v>2</v>
      </c>
      <c r="P575" s="7"/>
      <c r="Q575" s="7"/>
      <c r="R575" s="7"/>
      <c r="S575" s="7"/>
      <c r="T575" s="7"/>
      <c r="U575" s="7"/>
      <c r="V575" s="7"/>
      <c r="W575" s="7"/>
      <c r="X575" s="7"/>
      <c r="Y575" s="7" t="s">
        <v>451</v>
      </c>
      <c r="Z575" s="7" t="s">
        <v>452</v>
      </c>
      <c r="AA575" s="7">
        <v>70808</v>
      </c>
      <c r="AB575" s="7" t="s">
        <v>43</v>
      </c>
      <c r="AC575" s="7"/>
      <c r="AD575" s="7"/>
      <c r="AE575" s="7"/>
      <c r="AF575" s="7"/>
      <c r="AG575" s="8">
        <f t="shared" si="8"/>
        <v>43326</v>
      </c>
    </row>
    <row r="576" spans="1:33">
      <c r="A576" s="7" t="s">
        <v>3131</v>
      </c>
      <c r="B576" s="7" t="s">
        <v>3132</v>
      </c>
      <c r="C576" s="7" t="s">
        <v>3133</v>
      </c>
      <c r="D576" s="7" t="s">
        <v>3134</v>
      </c>
      <c r="E576" s="7" t="s">
        <v>33</v>
      </c>
      <c r="F576" s="7" t="s">
        <v>34</v>
      </c>
      <c r="G576" s="7" t="s">
        <v>946</v>
      </c>
      <c r="H576" s="7"/>
      <c r="I576" s="7"/>
      <c r="J576" s="7" t="s">
        <v>336</v>
      </c>
      <c r="K576" s="7" t="s">
        <v>3128</v>
      </c>
      <c r="L576" s="7" t="s">
        <v>3135</v>
      </c>
      <c r="M576" s="7" t="s">
        <v>3136</v>
      </c>
      <c r="N576" s="7" t="s">
        <v>459</v>
      </c>
      <c r="O576" s="7">
        <v>3</v>
      </c>
      <c r="P576" s="7"/>
      <c r="Q576" s="7"/>
      <c r="R576" s="7"/>
      <c r="S576" s="7"/>
      <c r="T576" s="7"/>
      <c r="U576" s="7"/>
      <c r="V576" s="7"/>
      <c r="W576" s="7"/>
      <c r="X576" s="7"/>
      <c r="Y576" s="7" t="s">
        <v>451</v>
      </c>
      <c r="Z576" s="7" t="s">
        <v>452</v>
      </c>
      <c r="AA576" s="7">
        <v>70808</v>
      </c>
      <c r="AB576" s="7" t="s">
        <v>43</v>
      </c>
      <c r="AC576" s="7"/>
      <c r="AD576" s="7"/>
      <c r="AE576" s="7"/>
      <c r="AF576" s="7"/>
      <c r="AG576" s="8">
        <f t="shared" si="8"/>
        <v>43326</v>
      </c>
    </row>
    <row r="577" spans="1:33">
      <c r="A577" s="7" t="s">
        <v>3137</v>
      </c>
      <c r="B577" s="7" t="s">
        <v>3138</v>
      </c>
      <c r="C577" s="7" t="s">
        <v>3139</v>
      </c>
      <c r="D577" s="7" t="s">
        <v>3140</v>
      </c>
      <c r="E577" s="7" t="s">
        <v>33</v>
      </c>
      <c r="F577" s="7" t="s">
        <v>34</v>
      </c>
      <c r="G577" s="7" t="s">
        <v>946</v>
      </c>
      <c r="H577" s="7"/>
      <c r="I577" s="7"/>
      <c r="J577" s="7" t="s">
        <v>336</v>
      </c>
      <c r="K577" s="7" t="s">
        <v>3128</v>
      </c>
      <c r="L577" s="7" t="s">
        <v>3141</v>
      </c>
      <c r="M577" s="7" t="s">
        <v>3142</v>
      </c>
      <c r="N577" s="7" t="s">
        <v>459</v>
      </c>
      <c r="O577" s="7">
        <v>1</v>
      </c>
      <c r="P577" s="7"/>
      <c r="Q577" s="7"/>
      <c r="R577" s="7"/>
      <c r="S577" s="7"/>
      <c r="T577" s="7"/>
      <c r="U577" s="7"/>
      <c r="V577" s="7"/>
      <c r="W577" s="7"/>
      <c r="X577" s="7"/>
      <c r="Y577" s="7" t="s">
        <v>451</v>
      </c>
      <c r="Z577" s="7" t="s">
        <v>452</v>
      </c>
      <c r="AA577" s="7">
        <v>70808</v>
      </c>
      <c r="AB577" s="7" t="s">
        <v>43</v>
      </c>
      <c r="AC577" s="7"/>
      <c r="AD577" s="7"/>
      <c r="AE577" s="7"/>
      <c r="AF577" s="7"/>
      <c r="AG577" s="8">
        <f t="shared" si="8"/>
        <v>43326</v>
      </c>
    </row>
    <row r="578" spans="1:33">
      <c r="A578" s="7" t="s">
        <v>3143</v>
      </c>
      <c r="B578" s="7" t="s">
        <v>3144</v>
      </c>
      <c r="C578" s="7" t="s">
        <v>3145</v>
      </c>
      <c r="D578" s="7" t="s">
        <v>3146</v>
      </c>
      <c r="E578" s="7" t="s">
        <v>33</v>
      </c>
      <c r="F578" s="7" t="s">
        <v>34</v>
      </c>
      <c r="G578" s="7" t="s">
        <v>946</v>
      </c>
      <c r="H578" s="7"/>
      <c r="I578" s="7"/>
      <c r="J578" s="7" t="s">
        <v>336</v>
      </c>
      <c r="K578" s="7" t="s">
        <v>3128</v>
      </c>
      <c r="L578" s="7" t="s">
        <v>3147</v>
      </c>
      <c r="M578" s="7" t="s">
        <v>3148</v>
      </c>
      <c r="N578" s="7" t="s">
        <v>459</v>
      </c>
      <c r="O578" s="7">
        <v>4</v>
      </c>
      <c r="P578" s="7"/>
      <c r="Q578" s="7"/>
      <c r="R578" s="7"/>
      <c r="S578" s="7"/>
      <c r="T578" s="7"/>
      <c r="U578" s="7"/>
      <c r="V578" s="7"/>
      <c r="W578" s="7"/>
      <c r="X578" s="7"/>
      <c r="Y578" s="7" t="s">
        <v>451</v>
      </c>
      <c r="Z578" s="7" t="s">
        <v>452</v>
      </c>
      <c r="AA578" s="7">
        <v>70808</v>
      </c>
      <c r="AB578" s="7" t="s">
        <v>43</v>
      </c>
      <c r="AC578" s="7"/>
      <c r="AD578" s="7"/>
      <c r="AE578" s="7"/>
      <c r="AF578" s="7"/>
      <c r="AG578" s="8">
        <f t="shared" ref="AG578:AG641" si="9">DATEVALUE(LEFT(C578,10))</f>
        <v>43326</v>
      </c>
    </row>
    <row r="579" spans="1:33">
      <c r="A579" s="7" t="s">
        <v>3149</v>
      </c>
      <c r="B579" s="7" t="s">
        <v>3150</v>
      </c>
      <c r="C579" s="7" t="s">
        <v>3151</v>
      </c>
      <c r="D579" s="7" t="s">
        <v>3152</v>
      </c>
      <c r="E579" s="7" t="s">
        <v>33</v>
      </c>
      <c r="F579" s="7" t="s">
        <v>34</v>
      </c>
      <c r="G579" s="7" t="s">
        <v>946</v>
      </c>
      <c r="H579" s="7"/>
      <c r="I579" s="7"/>
      <c r="J579" s="7" t="s">
        <v>336</v>
      </c>
      <c r="K579" s="7" t="s">
        <v>3128</v>
      </c>
      <c r="L579" s="7" t="s">
        <v>3153</v>
      </c>
      <c r="M579" s="7" t="s">
        <v>3154</v>
      </c>
      <c r="N579" s="7" t="s">
        <v>459</v>
      </c>
      <c r="O579" s="7">
        <v>4</v>
      </c>
      <c r="P579" s="7"/>
      <c r="Q579" s="7"/>
      <c r="R579" s="7"/>
      <c r="S579" s="7"/>
      <c r="T579" s="7"/>
      <c r="U579" s="7"/>
      <c r="V579" s="7"/>
      <c r="W579" s="7"/>
      <c r="X579" s="7"/>
      <c r="Y579" s="7" t="s">
        <v>451</v>
      </c>
      <c r="Z579" s="7" t="s">
        <v>452</v>
      </c>
      <c r="AA579" s="7">
        <v>70808</v>
      </c>
      <c r="AB579" s="7" t="s">
        <v>43</v>
      </c>
      <c r="AC579" s="7"/>
      <c r="AD579" s="7"/>
      <c r="AE579" s="7"/>
      <c r="AF579" s="7"/>
      <c r="AG579" s="8">
        <f t="shared" si="9"/>
        <v>43326</v>
      </c>
    </row>
    <row r="580" spans="1:33">
      <c r="A580" s="7" t="s">
        <v>3155</v>
      </c>
      <c r="B580" s="7" t="s">
        <v>3156</v>
      </c>
      <c r="C580" s="7" t="s">
        <v>3157</v>
      </c>
      <c r="D580" s="7" t="s">
        <v>3158</v>
      </c>
      <c r="E580" s="7" t="s">
        <v>33</v>
      </c>
      <c r="F580" s="7" t="s">
        <v>34</v>
      </c>
      <c r="G580" s="7" t="s">
        <v>946</v>
      </c>
      <c r="H580" s="7"/>
      <c r="I580" s="7"/>
      <c r="J580" s="7" t="s">
        <v>336</v>
      </c>
      <c r="K580" s="7" t="s">
        <v>3128</v>
      </c>
      <c r="L580" s="7" t="s">
        <v>3159</v>
      </c>
      <c r="M580" s="7" t="s">
        <v>3160</v>
      </c>
      <c r="N580" s="7" t="s">
        <v>459</v>
      </c>
      <c r="O580" s="7">
        <v>4</v>
      </c>
      <c r="P580" s="7"/>
      <c r="Q580" s="7"/>
      <c r="R580" s="7"/>
      <c r="S580" s="7"/>
      <c r="T580" s="7"/>
      <c r="U580" s="7"/>
      <c r="V580" s="7"/>
      <c r="W580" s="7"/>
      <c r="X580" s="7"/>
      <c r="Y580" s="7" t="s">
        <v>451</v>
      </c>
      <c r="Z580" s="7" t="s">
        <v>452</v>
      </c>
      <c r="AA580" s="7">
        <v>70808</v>
      </c>
      <c r="AB580" s="7" t="s">
        <v>43</v>
      </c>
      <c r="AC580" s="7"/>
      <c r="AD580" s="7"/>
      <c r="AE580" s="7"/>
      <c r="AF580" s="7"/>
      <c r="AG580" s="8">
        <f t="shared" si="9"/>
        <v>43326</v>
      </c>
    </row>
    <row r="581" spans="1:33">
      <c r="A581" s="7" t="s">
        <v>3161</v>
      </c>
      <c r="B581" s="7" t="s">
        <v>3162</v>
      </c>
      <c r="C581" s="7" t="s">
        <v>3163</v>
      </c>
      <c r="D581" s="7" t="s">
        <v>3164</v>
      </c>
      <c r="E581" s="7" t="s">
        <v>33</v>
      </c>
      <c r="F581" s="7" t="s">
        <v>34</v>
      </c>
      <c r="G581" s="7" t="s">
        <v>946</v>
      </c>
      <c r="H581" s="7"/>
      <c r="I581" s="7"/>
      <c r="J581" s="7" t="s">
        <v>336</v>
      </c>
      <c r="K581" s="7" t="s">
        <v>3128</v>
      </c>
      <c r="L581" s="7" t="s">
        <v>3165</v>
      </c>
      <c r="M581" s="7" t="s">
        <v>3166</v>
      </c>
      <c r="N581" s="7" t="s">
        <v>459</v>
      </c>
      <c r="O581" s="7">
        <v>1</v>
      </c>
      <c r="P581" s="7"/>
      <c r="Q581" s="7"/>
      <c r="R581" s="7"/>
      <c r="S581" s="7"/>
      <c r="T581" s="7"/>
      <c r="U581" s="7"/>
      <c r="V581" s="7"/>
      <c r="W581" s="7"/>
      <c r="X581" s="7"/>
      <c r="Y581" s="7" t="s">
        <v>451</v>
      </c>
      <c r="Z581" s="7" t="s">
        <v>452</v>
      </c>
      <c r="AA581" s="7">
        <v>70808</v>
      </c>
      <c r="AB581" s="7" t="s">
        <v>43</v>
      </c>
      <c r="AC581" s="7"/>
      <c r="AD581" s="7"/>
      <c r="AE581" s="7"/>
      <c r="AF581" s="7"/>
      <c r="AG581" s="8">
        <f t="shared" si="9"/>
        <v>43326</v>
      </c>
    </row>
    <row r="582" spans="1:33">
      <c r="A582" s="7" t="s">
        <v>3167</v>
      </c>
      <c r="B582" s="7" t="s">
        <v>3168</v>
      </c>
      <c r="C582" s="7" t="s">
        <v>3169</v>
      </c>
      <c r="D582" s="7" t="s">
        <v>3170</v>
      </c>
      <c r="E582" s="7" t="s">
        <v>33</v>
      </c>
      <c r="F582" s="7" t="s">
        <v>34</v>
      </c>
      <c r="G582" s="7" t="s">
        <v>946</v>
      </c>
      <c r="H582" s="7"/>
      <c r="I582" s="7"/>
      <c r="J582" s="7" t="s">
        <v>336</v>
      </c>
      <c r="K582" s="7" t="s">
        <v>3128</v>
      </c>
      <c r="L582" s="7" t="s">
        <v>3171</v>
      </c>
      <c r="M582" s="7" t="s">
        <v>3172</v>
      </c>
      <c r="N582" s="7" t="s">
        <v>459</v>
      </c>
      <c r="O582" s="7">
        <v>7</v>
      </c>
      <c r="P582" s="7"/>
      <c r="Q582" s="7"/>
      <c r="R582" s="7"/>
      <c r="S582" s="7"/>
      <c r="T582" s="7"/>
      <c r="U582" s="7"/>
      <c r="V582" s="7"/>
      <c r="W582" s="7"/>
      <c r="X582" s="7"/>
      <c r="Y582" s="7" t="s">
        <v>451</v>
      </c>
      <c r="Z582" s="7" t="s">
        <v>452</v>
      </c>
      <c r="AA582" s="7">
        <v>70808</v>
      </c>
      <c r="AB582" s="7" t="s">
        <v>43</v>
      </c>
      <c r="AC582" s="7"/>
      <c r="AD582" s="7"/>
      <c r="AE582" s="7"/>
      <c r="AF582" s="7"/>
      <c r="AG582" s="8">
        <f t="shared" si="9"/>
        <v>43326</v>
      </c>
    </row>
    <row r="583" spans="1:33">
      <c r="A583" s="7" t="s">
        <v>3173</v>
      </c>
      <c r="B583" s="7" t="s">
        <v>3174</v>
      </c>
      <c r="C583" s="7" t="s">
        <v>3175</v>
      </c>
      <c r="D583" s="7" t="s">
        <v>3176</v>
      </c>
      <c r="E583" s="7" t="s">
        <v>33</v>
      </c>
      <c r="F583" s="7" t="s">
        <v>34</v>
      </c>
      <c r="G583" s="7" t="s">
        <v>946</v>
      </c>
      <c r="H583" s="7"/>
      <c r="I583" s="7"/>
      <c r="J583" s="7" t="s">
        <v>336</v>
      </c>
      <c r="K583" s="7" t="s">
        <v>1079</v>
      </c>
      <c r="L583" s="7" t="s">
        <v>1080</v>
      </c>
      <c r="M583" s="7" t="s">
        <v>1081</v>
      </c>
      <c r="N583" s="7" t="s">
        <v>459</v>
      </c>
      <c r="O583" s="7">
        <v>1</v>
      </c>
      <c r="P583" s="7"/>
      <c r="Q583" s="7"/>
      <c r="R583" s="7"/>
      <c r="S583" s="7"/>
      <c r="T583" s="7"/>
      <c r="U583" s="7"/>
      <c r="V583" s="7"/>
      <c r="W583" s="7"/>
      <c r="X583" s="7"/>
      <c r="Y583" s="7" t="s">
        <v>451</v>
      </c>
      <c r="Z583" s="7" t="s">
        <v>452</v>
      </c>
      <c r="AA583" s="7">
        <v>70808</v>
      </c>
      <c r="AB583" s="7" t="s">
        <v>43</v>
      </c>
      <c r="AC583" s="7"/>
      <c r="AD583" s="7"/>
      <c r="AE583" s="7"/>
      <c r="AF583" s="7"/>
      <c r="AG583" s="8">
        <f t="shared" si="9"/>
        <v>43326</v>
      </c>
    </row>
    <row r="584" spans="1:33">
      <c r="A584" s="7" t="s">
        <v>3177</v>
      </c>
      <c r="B584" s="7" t="s">
        <v>3178</v>
      </c>
      <c r="C584" s="7" t="s">
        <v>3179</v>
      </c>
      <c r="D584" s="7" t="s">
        <v>3180</v>
      </c>
      <c r="E584" s="7" t="s">
        <v>33</v>
      </c>
      <c r="F584" s="7" t="s">
        <v>34</v>
      </c>
      <c r="G584" s="7" t="s">
        <v>946</v>
      </c>
      <c r="H584" s="7"/>
      <c r="I584" s="7"/>
      <c r="J584" s="7" t="s">
        <v>336</v>
      </c>
      <c r="K584" s="7" t="s">
        <v>1079</v>
      </c>
      <c r="L584" s="7" t="s">
        <v>3181</v>
      </c>
      <c r="M584" s="7" t="s">
        <v>3182</v>
      </c>
      <c r="N584" s="7" t="s">
        <v>459</v>
      </c>
      <c r="O584" s="7">
        <v>2</v>
      </c>
      <c r="P584" s="7"/>
      <c r="Q584" s="7"/>
      <c r="R584" s="7"/>
      <c r="S584" s="7"/>
      <c r="T584" s="7"/>
      <c r="U584" s="7"/>
      <c r="V584" s="7"/>
      <c r="W584" s="7"/>
      <c r="X584" s="7"/>
      <c r="Y584" s="7" t="s">
        <v>451</v>
      </c>
      <c r="Z584" s="7" t="s">
        <v>452</v>
      </c>
      <c r="AA584" s="7">
        <v>70808</v>
      </c>
      <c r="AB584" s="7" t="s">
        <v>43</v>
      </c>
      <c r="AC584" s="7"/>
      <c r="AD584" s="7"/>
      <c r="AE584" s="7"/>
      <c r="AF584" s="7"/>
      <c r="AG584" s="8">
        <f t="shared" si="9"/>
        <v>43326</v>
      </c>
    </row>
    <row r="585" spans="1:33">
      <c r="A585" s="7" t="s">
        <v>3183</v>
      </c>
      <c r="B585" s="7" t="s">
        <v>3184</v>
      </c>
      <c r="C585" s="7" t="s">
        <v>3185</v>
      </c>
      <c r="D585" s="7" t="s">
        <v>3186</v>
      </c>
      <c r="E585" s="7" t="s">
        <v>33</v>
      </c>
      <c r="F585" s="7" t="s">
        <v>34</v>
      </c>
      <c r="G585" s="7" t="s">
        <v>946</v>
      </c>
      <c r="H585" s="7"/>
      <c r="I585" s="7"/>
      <c r="J585" s="7" t="s">
        <v>336</v>
      </c>
      <c r="K585" s="7" t="s">
        <v>1079</v>
      </c>
      <c r="L585" s="7" t="s">
        <v>3187</v>
      </c>
      <c r="M585" s="7" t="s">
        <v>3188</v>
      </c>
      <c r="N585" s="7" t="s">
        <v>459</v>
      </c>
      <c r="O585" s="7">
        <v>3</v>
      </c>
      <c r="P585" s="7"/>
      <c r="Q585" s="7"/>
      <c r="R585" s="7"/>
      <c r="S585" s="7"/>
      <c r="T585" s="7"/>
      <c r="U585" s="7"/>
      <c r="V585" s="7"/>
      <c r="W585" s="7"/>
      <c r="X585" s="7"/>
      <c r="Y585" s="7" t="s">
        <v>451</v>
      </c>
      <c r="Z585" s="7" t="s">
        <v>452</v>
      </c>
      <c r="AA585" s="7">
        <v>70808</v>
      </c>
      <c r="AB585" s="7" t="s">
        <v>43</v>
      </c>
      <c r="AC585" s="7"/>
      <c r="AD585" s="7"/>
      <c r="AE585" s="7"/>
      <c r="AF585" s="7"/>
      <c r="AG585" s="8">
        <f t="shared" si="9"/>
        <v>43326</v>
      </c>
    </row>
    <row r="586" spans="1:33">
      <c r="A586" s="7" t="s">
        <v>3189</v>
      </c>
      <c r="B586" s="7" t="s">
        <v>3190</v>
      </c>
      <c r="C586" s="7" t="s">
        <v>3191</v>
      </c>
      <c r="D586" s="7" t="s">
        <v>3192</v>
      </c>
      <c r="E586" s="7" t="s">
        <v>33</v>
      </c>
      <c r="F586" s="7" t="s">
        <v>34</v>
      </c>
      <c r="G586" s="7" t="s">
        <v>946</v>
      </c>
      <c r="H586" s="7"/>
      <c r="I586" s="7"/>
      <c r="J586" s="7" t="s">
        <v>336</v>
      </c>
      <c r="K586" s="7" t="s">
        <v>1079</v>
      </c>
      <c r="L586" s="7" t="s">
        <v>3193</v>
      </c>
      <c r="M586" s="7" t="s">
        <v>3194</v>
      </c>
      <c r="N586" s="7" t="s">
        <v>459</v>
      </c>
      <c r="O586" s="7">
        <v>4</v>
      </c>
      <c r="P586" s="7"/>
      <c r="Q586" s="7"/>
      <c r="R586" s="7"/>
      <c r="S586" s="7"/>
      <c r="T586" s="7"/>
      <c r="U586" s="7"/>
      <c r="V586" s="7"/>
      <c r="W586" s="7"/>
      <c r="X586" s="7"/>
      <c r="Y586" s="7" t="s">
        <v>451</v>
      </c>
      <c r="Z586" s="7" t="s">
        <v>452</v>
      </c>
      <c r="AA586" s="7">
        <v>70808</v>
      </c>
      <c r="AB586" s="7" t="s">
        <v>43</v>
      </c>
      <c r="AC586" s="7"/>
      <c r="AD586" s="7"/>
      <c r="AE586" s="7"/>
      <c r="AF586" s="7"/>
      <c r="AG586" s="8">
        <f t="shared" si="9"/>
        <v>43326</v>
      </c>
    </row>
    <row r="587" spans="1:33">
      <c r="A587" s="7" t="s">
        <v>3195</v>
      </c>
      <c r="B587" s="7" t="s">
        <v>3196</v>
      </c>
      <c r="C587" s="7" t="s">
        <v>3197</v>
      </c>
      <c r="D587" s="7" t="s">
        <v>3198</v>
      </c>
      <c r="E587" s="7" t="s">
        <v>33</v>
      </c>
      <c r="F587" s="7" t="s">
        <v>34</v>
      </c>
      <c r="G587" s="7" t="s">
        <v>946</v>
      </c>
      <c r="H587" s="7"/>
      <c r="I587" s="7"/>
      <c r="J587" s="7" t="s">
        <v>336</v>
      </c>
      <c r="K587" s="7" t="s">
        <v>1079</v>
      </c>
      <c r="L587" s="7" t="s">
        <v>3199</v>
      </c>
      <c r="M587" s="7" t="s">
        <v>3200</v>
      </c>
      <c r="N587" s="7" t="s">
        <v>459</v>
      </c>
      <c r="O587" s="7">
        <v>4</v>
      </c>
      <c r="P587" s="7"/>
      <c r="Q587" s="7"/>
      <c r="R587" s="7"/>
      <c r="S587" s="7"/>
      <c r="T587" s="7"/>
      <c r="U587" s="7"/>
      <c r="V587" s="7"/>
      <c r="W587" s="7"/>
      <c r="X587" s="7"/>
      <c r="Y587" s="7" t="s">
        <v>451</v>
      </c>
      <c r="Z587" s="7" t="s">
        <v>452</v>
      </c>
      <c r="AA587" s="7">
        <v>70808</v>
      </c>
      <c r="AB587" s="7" t="s">
        <v>43</v>
      </c>
      <c r="AC587" s="7"/>
      <c r="AD587" s="7"/>
      <c r="AE587" s="7"/>
      <c r="AF587" s="7"/>
      <c r="AG587" s="8">
        <f t="shared" si="9"/>
        <v>43326</v>
      </c>
    </row>
    <row r="588" spans="1:33">
      <c r="A588" s="7" t="s">
        <v>3201</v>
      </c>
      <c r="B588" s="7" t="s">
        <v>3202</v>
      </c>
      <c r="C588" s="7" t="s">
        <v>3203</v>
      </c>
      <c r="D588" s="7" t="s">
        <v>3204</v>
      </c>
      <c r="E588" s="7" t="s">
        <v>33</v>
      </c>
      <c r="F588" s="7" t="s">
        <v>34</v>
      </c>
      <c r="G588" s="7" t="s">
        <v>946</v>
      </c>
      <c r="H588" s="7"/>
      <c r="I588" s="7"/>
      <c r="J588" s="7" t="s">
        <v>336</v>
      </c>
      <c r="K588" s="7" t="s">
        <v>1079</v>
      </c>
      <c r="L588" s="7" t="s">
        <v>3205</v>
      </c>
      <c r="M588" s="7" t="s">
        <v>3206</v>
      </c>
      <c r="N588" s="7" t="s">
        <v>459</v>
      </c>
      <c r="O588" s="7">
        <v>4</v>
      </c>
      <c r="P588" s="7"/>
      <c r="Q588" s="7"/>
      <c r="R588" s="7"/>
      <c r="S588" s="7"/>
      <c r="T588" s="7"/>
      <c r="U588" s="7"/>
      <c r="V588" s="7"/>
      <c r="W588" s="7"/>
      <c r="X588" s="7"/>
      <c r="Y588" s="7" t="s">
        <v>451</v>
      </c>
      <c r="Z588" s="7" t="s">
        <v>452</v>
      </c>
      <c r="AA588" s="7">
        <v>70808</v>
      </c>
      <c r="AB588" s="7" t="s">
        <v>43</v>
      </c>
      <c r="AC588" s="7"/>
      <c r="AD588" s="7"/>
      <c r="AE588" s="7"/>
      <c r="AF588" s="7"/>
      <c r="AG588" s="8">
        <f t="shared" si="9"/>
        <v>43326</v>
      </c>
    </row>
    <row r="589" spans="1:33">
      <c r="A589" s="7" t="s">
        <v>3207</v>
      </c>
      <c r="B589" s="7" t="s">
        <v>3208</v>
      </c>
      <c r="C589" s="7" t="s">
        <v>3209</v>
      </c>
      <c r="D589" s="7" t="s">
        <v>3210</v>
      </c>
      <c r="E589" s="7" t="s">
        <v>33</v>
      </c>
      <c r="F589" s="7" t="s">
        <v>34</v>
      </c>
      <c r="G589" s="7" t="s">
        <v>946</v>
      </c>
      <c r="H589" s="7"/>
      <c r="I589" s="7"/>
      <c r="J589" s="7" t="s">
        <v>336</v>
      </c>
      <c r="K589" s="7" t="s">
        <v>1079</v>
      </c>
      <c r="L589" s="7" t="s">
        <v>3211</v>
      </c>
      <c r="M589" s="7" t="s">
        <v>3212</v>
      </c>
      <c r="N589" s="7" t="s">
        <v>459</v>
      </c>
      <c r="O589" s="7">
        <v>5</v>
      </c>
      <c r="P589" s="7"/>
      <c r="Q589" s="7"/>
      <c r="R589" s="7"/>
      <c r="S589" s="7"/>
      <c r="T589" s="7"/>
      <c r="U589" s="7"/>
      <c r="V589" s="7"/>
      <c r="W589" s="7"/>
      <c r="X589" s="7"/>
      <c r="Y589" s="7" t="s">
        <v>451</v>
      </c>
      <c r="Z589" s="7" t="s">
        <v>452</v>
      </c>
      <c r="AA589" s="7">
        <v>70808</v>
      </c>
      <c r="AB589" s="7" t="s">
        <v>43</v>
      </c>
      <c r="AC589" s="7"/>
      <c r="AD589" s="7"/>
      <c r="AE589" s="7"/>
      <c r="AF589" s="7"/>
      <c r="AG589" s="8">
        <f t="shared" si="9"/>
        <v>43326</v>
      </c>
    </row>
    <row r="590" spans="1:33">
      <c r="A590" s="7" t="s">
        <v>3213</v>
      </c>
      <c r="B590" s="7" t="s">
        <v>3214</v>
      </c>
      <c r="C590" s="7" t="s">
        <v>3215</v>
      </c>
      <c r="D590" s="7" t="s">
        <v>3216</v>
      </c>
      <c r="E590" s="7" t="s">
        <v>33</v>
      </c>
      <c r="F590" s="7" t="s">
        <v>34</v>
      </c>
      <c r="G590" s="7" t="s">
        <v>946</v>
      </c>
      <c r="H590" s="7"/>
      <c r="I590" s="7"/>
      <c r="J590" s="7" t="s">
        <v>336</v>
      </c>
      <c r="K590" s="7" t="s">
        <v>1079</v>
      </c>
      <c r="L590" s="7" t="s">
        <v>3217</v>
      </c>
      <c r="M590" s="7" t="s">
        <v>3218</v>
      </c>
      <c r="N590" s="7" t="s">
        <v>459</v>
      </c>
      <c r="O590" s="7">
        <v>6</v>
      </c>
      <c r="P590" s="7"/>
      <c r="Q590" s="7"/>
      <c r="R590" s="7"/>
      <c r="S590" s="7"/>
      <c r="T590" s="7"/>
      <c r="U590" s="7"/>
      <c r="V590" s="7"/>
      <c r="W590" s="7"/>
      <c r="X590" s="7"/>
      <c r="Y590" s="7" t="s">
        <v>451</v>
      </c>
      <c r="Z590" s="7" t="s">
        <v>452</v>
      </c>
      <c r="AA590" s="7">
        <v>70808</v>
      </c>
      <c r="AB590" s="7" t="s">
        <v>43</v>
      </c>
      <c r="AC590" s="7"/>
      <c r="AD590" s="7"/>
      <c r="AE590" s="7"/>
      <c r="AF590" s="7"/>
      <c r="AG590" s="8">
        <f t="shared" si="9"/>
        <v>43326</v>
      </c>
    </row>
    <row r="591" spans="1:33">
      <c r="A591" s="7" t="s">
        <v>3219</v>
      </c>
      <c r="B591" s="7" t="s">
        <v>3220</v>
      </c>
      <c r="C591" s="7" t="s">
        <v>3221</v>
      </c>
      <c r="D591" s="7" t="s">
        <v>3222</v>
      </c>
      <c r="E591" s="7" t="s">
        <v>33</v>
      </c>
      <c r="F591" s="7" t="s">
        <v>34</v>
      </c>
      <c r="G591" s="7" t="s">
        <v>946</v>
      </c>
      <c r="H591" s="7"/>
      <c r="I591" s="7"/>
      <c r="J591" s="7" t="s">
        <v>336</v>
      </c>
      <c r="K591" s="7" t="s">
        <v>1079</v>
      </c>
      <c r="L591" s="7" t="s">
        <v>3223</v>
      </c>
      <c r="M591" s="7" t="s">
        <v>3224</v>
      </c>
      <c r="N591" s="7" t="s">
        <v>459</v>
      </c>
      <c r="O591" s="7">
        <v>6</v>
      </c>
      <c r="P591" s="7"/>
      <c r="Q591" s="7"/>
      <c r="R591" s="7"/>
      <c r="S591" s="7"/>
      <c r="T591" s="7"/>
      <c r="U591" s="7"/>
      <c r="V591" s="7"/>
      <c r="W591" s="7"/>
      <c r="X591" s="7"/>
      <c r="Y591" s="7" t="s">
        <v>451</v>
      </c>
      <c r="Z591" s="7" t="s">
        <v>452</v>
      </c>
      <c r="AA591" s="7">
        <v>70808</v>
      </c>
      <c r="AB591" s="7" t="s">
        <v>43</v>
      </c>
      <c r="AC591" s="7"/>
      <c r="AD591" s="7"/>
      <c r="AE591" s="7"/>
      <c r="AF591" s="7"/>
      <c r="AG591" s="8">
        <f t="shared" si="9"/>
        <v>43326</v>
      </c>
    </row>
    <row r="592" spans="1:33">
      <c r="A592" s="7" t="s">
        <v>3225</v>
      </c>
      <c r="B592" s="7" t="s">
        <v>3226</v>
      </c>
      <c r="C592" s="7" t="s">
        <v>3227</v>
      </c>
      <c r="D592" s="7" t="s">
        <v>3228</v>
      </c>
      <c r="E592" s="7" t="s">
        <v>33</v>
      </c>
      <c r="F592" s="7" t="s">
        <v>34</v>
      </c>
      <c r="G592" s="7" t="s">
        <v>946</v>
      </c>
      <c r="H592" s="7"/>
      <c r="I592" s="7"/>
      <c r="J592" s="7" t="s">
        <v>336</v>
      </c>
      <c r="K592" s="7" t="s">
        <v>1079</v>
      </c>
      <c r="L592" s="7" t="s">
        <v>3229</v>
      </c>
      <c r="M592" s="7" t="s">
        <v>3230</v>
      </c>
      <c r="N592" s="7" t="s">
        <v>459</v>
      </c>
      <c r="O592" s="7">
        <v>7</v>
      </c>
      <c r="P592" s="7"/>
      <c r="Q592" s="7"/>
      <c r="R592" s="7"/>
      <c r="S592" s="7"/>
      <c r="T592" s="7"/>
      <c r="U592" s="7"/>
      <c r="V592" s="7"/>
      <c r="W592" s="7"/>
      <c r="X592" s="7"/>
      <c r="Y592" s="7" t="s">
        <v>451</v>
      </c>
      <c r="Z592" s="7" t="s">
        <v>452</v>
      </c>
      <c r="AA592" s="7">
        <v>70808</v>
      </c>
      <c r="AB592" s="7" t="s">
        <v>43</v>
      </c>
      <c r="AC592" s="7"/>
      <c r="AD592" s="7"/>
      <c r="AE592" s="7"/>
      <c r="AF592" s="7"/>
      <c r="AG592" s="8">
        <f t="shared" si="9"/>
        <v>43326</v>
      </c>
    </row>
    <row r="593" spans="1:33">
      <c r="A593" s="7" t="s">
        <v>3231</v>
      </c>
      <c r="B593" s="7" t="s">
        <v>3232</v>
      </c>
      <c r="C593" s="7" t="s">
        <v>3233</v>
      </c>
      <c r="D593" s="7" t="s">
        <v>3234</v>
      </c>
      <c r="E593" s="7" t="s">
        <v>33</v>
      </c>
      <c r="F593" s="7" t="s">
        <v>34</v>
      </c>
      <c r="G593" s="7" t="s">
        <v>946</v>
      </c>
      <c r="H593" s="7"/>
      <c r="I593" s="7"/>
      <c r="J593" s="7" t="s">
        <v>336</v>
      </c>
      <c r="K593" s="7" t="s">
        <v>3235</v>
      </c>
      <c r="L593" s="7" t="s">
        <v>3236</v>
      </c>
      <c r="M593" s="7" t="s">
        <v>3237</v>
      </c>
      <c r="N593" s="7" t="s">
        <v>459</v>
      </c>
      <c r="O593" s="7">
        <v>10</v>
      </c>
      <c r="P593" s="7"/>
      <c r="Q593" s="7"/>
      <c r="R593" s="7"/>
      <c r="S593" s="7"/>
      <c r="T593" s="7"/>
      <c r="U593" s="7"/>
      <c r="V593" s="7"/>
      <c r="W593" s="7"/>
      <c r="X593" s="7"/>
      <c r="Y593" s="7" t="s">
        <v>451</v>
      </c>
      <c r="Z593" s="7" t="s">
        <v>452</v>
      </c>
      <c r="AA593" s="7">
        <v>70808</v>
      </c>
      <c r="AB593" s="7" t="s">
        <v>43</v>
      </c>
      <c r="AC593" s="7"/>
      <c r="AD593" s="7"/>
      <c r="AE593" s="7"/>
      <c r="AF593" s="7"/>
      <c r="AG593" s="8">
        <f t="shared" si="9"/>
        <v>43326</v>
      </c>
    </row>
    <row r="594" spans="1:33">
      <c r="A594" s="7" t="s">
        <v>3238</v>
      </c>
      <c r="B594" s="7" t="s">
        <v>3239</v>
      </c>
      <c r="C594" s="7" t="s">
        <v>3240</v>
      </c>
      <c r="D594" s="7" t="s">
        <v>3241</v>
      </c>
      <c r="E594" s="7" t="s">
        <v>33</v>
      </c>
      <c r="F594" s="7" t="s">
        <v>34</v>
      </c>
      <c r="G594" s="7" t="s">
        <v>946</v>
      </c>
      <c r="H594" s="7"/>
      <c r="I594" s="7"/>
      <c r="J594" s="7" t="s">
        <v>336</v>
      </c>
      <c r="K594" s="7" t="s">
        <v>3242</v>
      </c>
      <c r="L594" s="7" t="s">
        <v>3243</v>
      </c>
      <c r="M594" s="7" t="s">
        <v>3244</v>
      </c>
      <c r="N594" s="7" t="s">
        <v>459</v>
      </c>
      <c r="O594" s="7">
        <v>4</v>
      </c>
      <c r="P594" s="7"/>
      <c r="Q594" s="7"/>
      <c r="R594" s="7"/>
      <c r="S594" s="7"/>
      <c r="T594" s="7"/>
      <c r="U594" s="7"/>
      <c r="V594" s="7"/>
      <c r="W594" s="7"/>
      <c r="X594" s="7"/>
      <c r="Y594" s="7" t="s">
        <v>451</v>
      </c>
      <c r="Z594" s="7" t="s">
        <v>452</v>
      </c>
      <c r="AA594" s="7">
        <v>70808</v>
      </c>
      <c r="AB594" s="7" t="s">
        <v>43</v>
      </c>
      <c r="AC594" s="7"/>
      <c r="AD594" s="7"/>
      <c r="AE594" s="7"/>
      <c r="AF594" s="7"/>
      <c r="AG594" s="8">
        <f t="shared" si="9"/>
        <v>43326</v>
      </c>
    </row>
    <row r="595" spans="1:33">
      <c r="A595" s="7" t="s">
        <v>3245</v>
      </c>
      <c r="B595" s="7" t="s">
        <v>3246</v>
      </c>
      <c r="C595" s="7" t="s">
        <v>3247</v>
      </c>
      <c r="D595" s="7" t="s">
        <v>3248</v>
      </c>
      <c r="E595" s="7" t="s">
        <v>33</v>
      </c>
      <c r="F595" s="7" t="s">
        <v>34</v>
      </c>
      <c r="G595" s="7" t="s">
        <v>946</v>
      </c>
      <c r="H595" s="7"/>
      <c r="I595" s="7"/>
      <c r="J595" s="7" t="s">
        <v>336</v>
      </c>
      <c r="K595" s="7" t="s">
        <v>3249</v>
      </c>
      <c r="L595" s="7" t="s">
        <v>3250</v>
      </c>
      <c r="M595" s="7" t="s">
        <v>3251</v>
      </c>
      <c r="N595" s="7" t="s">
        <v>459</v>
      </c>
      <c r="O595" s="7">
        <v>8</v>
      </c>
      <c r="P595" s="7"/>
      <c r="Q595" s="7"/>
      <c r="R595" s="7"/>
      <c r="S595" s="7"/>
      <c r="T595" s="7"/>
      <c r="U595" s="7"/>
      <c r="V595" s="7"/>
      <c r="W595" s="7"/>
      <c r="X595" s="7"/>
      <c r="Y595" s="7" t="s">
        <v>451</v>
      </c>
      <c r="Z595" s="7" t="s">
        <v>452</v>
      </c>
      <c r="AA595" s="7">
        <v>70808</v>
      </c>
      <c r="AB595" s="7" t="s">
        <v>43</v>
      </c>
      <c r="AC595" s="7"/>
      <c r="AD595" s="7"/>
      <c r="AE595" s="7"/>
      <c r="AF595" s="7"/>
      <c r="AG595" s="8">
        <f t="shared" si="9"/>
        <v>43326</v>
      </c>
    </row>
    <row r="596" spans="1:33">
      <c r="A596" s="7" t="s">
        <v>3252</v>
      </c>
      <c r="B596" s="7" t="s">
        <v>3253</v>
      </c>
      <c r="C596" s="7" t="s">
        <v>3254</v>
      </c>
      <c r="D596" s="7" t="s">
        <v>3255</v>
      </c>
      <c r="E596" s="7" t="s">
        <v>33</v>
      </c>
      <c r="F596" s="7" t="s">
        <v>34</v>
      </c>
      <c r="G596" s="7" t="s">
        <v>946</v>
      </c>
      <c r="H596" s="7"/>
      <c r="I596" s="7"/>
      <c r="J596" s="7" t="s">
        <v>336</v>
      </c>
      <c r="K596" s="7" t="s">
        <v>3256</v>
      </c>
      <c r="L596" s="7" t="s">
        <v>3257</v>
      </c>
      <c r="M596" s="7" t="s">
        <v>3258</v>
      </c>
      <c r="N596" s="7" t="s">
        <v>459</v>
      </c>
      <c r="O596" s="7">
        <v>1</v>
      </c>
      <c r="P596" s="7"/>
      <c r="Q596" s="7"/>
      <c r="R596" s="7"/>
      <c r="S596" s="7"/>
      <c r="T596" s="7"/>
      <c r="U596" s="7"/>
      <c r="V596" s="7"/>
      <c r="W596" s="7"/>
      <c r="X596" s="7"/>
      <c r="Y596" s="7" t="s">
        <v>451</v>
      </c>
      <c r="Z596" s="7" t="s">
        <v>452</v>
      </c>
      <c r="AA596" s="7">
        <v>70808</v>
      </c>
      <c r="AB596" s="7" t="s">
        <v>43</v>
      </c>
      <c r="AC596" s="7"/>
      <c r="AD596" s="7"/>
      <c r="AE596" s="7"/>
      <c r="AF596" s="7"/>
      <c r="AG596" s="8">
        <f t="shared" si="9"/>
        <v>43326</v>
      </c>
    </row>
    <row r="597" spans="1:33">
      <c r="A597" s="7" t="s">
        <v>3259</v>
      </c>
      <c r="B597" s="7" t="s">
        <v>3260</v>
      </c>
      <c r="C597" s="7" t="s">
        <v>3261</v>
      </c>
      <c r="D597" s="7" t="s">
        <v>3262</v>
      </c>
      <c r="E597" s="7" t="s">
        <v>33</v>
      </c>
      <c r="F597" s="7" t="s">
        <v>34</v>
      </c>
      <c r="G597" s="7" t="s">
        <v>946</v>
      </c>
      <c r="H597" s="7"/>
      <c r="I597" s="7"/>
      <c r="J597" s="7" t="s">
        <v>336</v>
      </c>
      <c r="K597" s="7" t="s">
        <v>3263</v>
      </c>
      <c r="L597" s="7" t="s">
        <v>3264</v>
      </c>
      <c r="M597" s="7" t="s">
        <v>3265</v>
      </c>
      <c r="N597" s="7" t="s">
        <v>459</v>
      </c>
      <c r="O597" s="7">
        <v>3</v>
      </c>
      <c r="P597" s="7"/>
      <c r="Q597" s="7"/>
      <c r="R597" s="7"/>
      <c r="S597" s="7"/>
      <c r="T597" s="7"/>
      <c r="U597" s="7"/>
      <c r="V597" s="7"/>
      <c r="W597" s="7"/>
      <c r="X597" s="7"/>
      <c r="Y597" s="7" t="s">
        <v>451</v>
      </c>
      <c r="Z597" s="7" t="s">
        <v>452</v>
      </c>
      <c r="AA597" s="7">
        <v>70808</v>
      </c>
      <c r="AB597" s="7" t="s">
        <v>43</v>
      </c>
      <c r="AC597" s="7"/>
      <c r="AD597" s="7"/>
      <c r="AE597" s="7"/>
      <c r="AF597" s="7"/>
      <c r="AG597" s="8">
        <f t="shared" si="9"/>
        <v>43326</v>
      </c>
    </row>
    <row r="598" spans="1:33">
      <c r="A598" s="7" t="s">
        <v>3266</v>
      </c>
      <c r="B598" s="7" t="s">
        <v>3267</v>
      </c>
      <c r="C598" s="7" t="s">
        <v>3268</v>
      </c>
      <c r="D598" s="7" t="s">
        <v>3269</v>
      </c>
      <c r="E598" s="7" t="s">
        <v>33</v>
      </c>
      <c r="F598" s="7" t="s">
        <v>34</v>
      </c>
      <c r="G598" s="7" t="s">
        <v>946</v>
      </c>
      <c r="H598" s="7"/>
      <c r="I598" s="7"/>
      <c r="J598" s="7" t="s">
        <v>336</v>
      </c>
      <c r="K598" s="7" t="s">
        <v>3270</v>
      </c>
      <c r="L598" s="7" t="s">
        <v>3271</v>
      </c>
      <c r="M598" s="7" t="s">
        <v>3272</v>
      </c>
      <c r="N598" s="7" t="s">
        <v>459</v>
      </c>
      <c r="O598" s="7">
        <v>5</v>
      </c>
      <c r="P598" s="7"/>
      <c r="Q598" s="7"/>
      <c r="R598" s="7"/>
      <c r="S598" s="7"/>
      <c r="T598" s="7"/>
      <c r="U598" s="7"/>
      <c r="V598" s="7"/>
      <c r="W598" s="7"/>
      <c r="X598" s="7"/>
      <c r="Y598" s="7" t="s">
        <v>451</v>
      </c>
      <c r="Z598" s="7" t="s">
        <v>452</v>
      </c>
      <c r="AA598" s="7">
        <v>70808</v>
      </c>
      <c r="AB598" s="7" t="s">
        <v>43</v>
      </c>
      <c r="AC598" s="7"/>
      <c r="AD598" s="7"/>
      <c r="AE598" s="7"/>
      <c r="AF598" s="7"/>
      <c r="AG598" s="8">
        <f t="shared" si="9"/>
        <v>43326</v>
      </c>
    </row>
    <row r="599" spans="1:33">
      <c r="A599" s="7" t="s">
        <v>3273</v>
      </c>
      <c r="B599" s="7" t="s">
        <v>3274</v>
      </c>
      <c r="C599" s="7" t="s">
        <v>3275</v>
      </c>
      <c r="D599" s="7" t="s">
        <v>3276</v>
      </c>
      <c r="E599" s="7" t="s">
        <v>33</v>
      </c>
      <c r="F599" s="7" t="s">
        <v>34</v>
      </c>
      <c r="G599" s="7" t="s">
        <v>946</v>
      </c>
      <c r="H599" s="7"/>
      <c r="I599" s="7"/>
      <c r="J599" s="7" t="s">
        <v>336</v>
      </c>
      <c r="K599" s="7" t="s">
        <v>3277</v>
      </c>
      <c r="L599" s="7" t="s">
        <v>3278</v>
      </c>
      <c r="M599" s="7" t="s">
        <v>3279</v>
      </c>
      <c r="N599" s="7" t="s">
        <v>459</v>
      </c>
      <c r="O599" s="7">
        <v>14</v>
      </c>
      <c r="P599" s="7"/>
      <c r="Q599" s="7"/>
      <c r="R599" s="7"/>
      <c r="S599" s="7"/>
      <c r="T599" s="7"/>
      <c r="U599" s="7"/>
      <c r="V599" s="7"/>
      <c r="W599" s="7"/>
      <c r="X599" s="7"/>
      <c r="Y599" s="7" t="s">
        <v>451</v>
      </c>
      <c r="Z599" s="7" t="s">
        <v>452</v>
      </c>
      <c r="AA599" s="7">
        <v>70808</v>
      </c>
      <c r="AB599" s="7" t="s">
        <v>43</v>
      </c>
      <c r="AC599" s="7"/>
      <c r="AD599" s="7"/>
      <c r="AE599" s="7"/>
      <c r="AF599" s="7"/>
      <c r="AG599" s="8">
        <f t="shared" si="9"/>
        <v>43326</v>
      </c>
    </row>
    <row r="600" spans="1:33">
      <c r="A600" s="7" t="s">
        <v>3280</v>
      </c>
      <c r="B600" s="7" t="s">
        <v>3281</v>
      </c>
      <c r="C600" s="7" t="s">
        <v>3282</v>
      </c>
      <c r="D600" s="7" t="s">
        <v>3283</v>
      </c>
      <c r="E600" s="7" t="s">
        <v>33</v>
      </c>
      <c r="F600" s="7" t="s">
        <v>34</v>
      </c>
      <c r="G600" s="7" t="s">
        <v>946</v>
      </c>
      <c r="H600" s="7"/>
      <c r="I600" s="7"/>
      <c r="J600" s="7" t="s">
        <v>336</v>
      </c>
      <c r="K600" s="7" t="s">
        <v>262</v>
      </c>
      <c r="L600" s="7" t="s">
        <v>3284</v>
      </c>
      <c r="M600" s="7" t="s">
        <v>3285</v>
      </c>
      <c r="N600" s="7" t="s">
        <v>459</v>
      </c>
      <c r="O600" s="7">
        <v>2</v>
      </c>
      <c r="P600" s="7"/>
      <c r="Q600" s="7"/>
      <c r="R600" s="7"/>
      <c r="S600" s="7"/>
      <c r="T600" s="7"/>
      <c r="U600" s="7"/>
      <c r="V600" s="7"/>
      <c r="W600" s="7"/>
      <c r="X600" s="7"/>
      <c r="Y600" s="7" t="s">
        <v>451</v>
      </c>
      <c r="Z600" s="7" t="s">
        <v>452</v>
      </c>
      <c r="AA600" s="7">
        <v>70808</v>
      </c>
      <c r="AB600" s="7" t="s">
        <v>43</v>
      </c>
      <c r="AC600" s="7"/>
      <c r="AD600" s="7"/>
      <c r="AE600" s="7"/>
      <c r="AF600" s="7"/>
      <c r="AG600" s="8">
        <f t="shared" si="9"/>
        <v>43326</v>
      </c>
    </row>
    <row r="601" spans="1:33">
      <c r="A601" s="7" t="s">
        <v>3286</v>
      </c>
      <c r="B601" s="7" t="s">
        <v>3287</v>
      </c>
      <c r="C601" s="7" t="s">
        <v>3288</v>
      </c>
      <c r="D601" s="7" t="s">
        <v>3289</v>
      </c>
      <c r="E601" s="7" t="s">
        <v>33</v>
      </c>
      <c r="F601" s="7" t="s">
        <v>34</v>
      </c>
      <c r="G601" s="7" t="s">
        <v>946</v>
      </c>
      <c r="H601" s="7"/>
      <c r="I601" s="7"/>
      <c r="J601" s="7" t="s">
        <v>336</v>
      </c>
      <c r="K601" s="7" t="s">
        <v>262</v>
      </c>
      <c r="L601" s="7" t="s">
        <v>3290</v>
      </c>
      <c r="M601" s="7" t="s">
        <v>3291</v>
      </c>
      <c r="N601" s="7" t="s">
        <v>459</v>
      </c>
      <c r="O601" s="7">
        <v>10</v>
      </c>
      <c r="P601" s="7"/>
      <c r="Q601" s="7"/>
      <c r="R601" s="7"/>
      <c r="S601" s="7"/>
      <c r="T601" s="7"/>
      <c r="U601" s="7"/>
      <c r="V601" s="7"/>
      <c r="W601" s="7"/>
      <c r="X601" s="7"/>
      <c r="Y601" s="7" t="s">
        <v>451</v>
      </c>
      <c r="Z601" s="7" t="s">
        <v>452</v>
      </c>
      <c r="AA601" s="7">
        <v>70808</v>
      </c>
      <c r="AB601" s="7" t="s">
        <v>43</v>
      </c>
      <c r="AC601" s="7"/>
      <c r="AD601" s="7"/>
      <c r="AE601" s="7"/>
      <c r="AF601" s="7"/>
      <c r="AG601" s="8">
        <f t="shared" si="9"/>
        <v>43326</v>
      </c>
    </row>
    <row r="602" spans="1:33">
      <c r="A602" s="7" t="s">
        <v>3292</v>
      </c>
      <c r="B602" s="7" t="s">
        <v>3293</v>
      </c>
      <c r="C602" s="7" t="s">
        <v>3294</v>
      </c>
      <c r="D602" s="7" t="s">
        <v>3295</v>
      </c>
      <c r="E602" s="7" t="s">
        <v>33</v>
      </c>
      <c r="F602" s="7" t="s">
        <v>34</v>
      </c>
      <c r="G602" s="7" t="s">
        <v>946</v>
      </c>
      <c r="H602" s="7"/>
      <c r="I602" s="7"/>
      <c r="J602" s="7" t="s">
        <v>336</v>
      </c>
      <c r="K602" s="7" t="s">
        <v>262</v>
      </c>
      <c r="L602" s="7" t="s">
        <v>3296</v>
      </c>
      <c r="M602" s="7" t="s">
        <v>3297</v>
      </c>
      <c r="N602" s="7" t="s">
        <v>459</v>
      </c>
      <c r="O602" s="7">
        <v>2</v>
      </c>
      <c r="P602" s="7"/>
      <c r="Q602" s="7"/>
      <c r="R602" s="7"/>
      <c r="S602" s="7"/>
      <c r="T602" s="7"/>
      <c r="U602" s="7"/>
      <c r="V602" s="7"/>
      <c r="W602" s="7"/>
      <c r="X602" s="7"/>
      <c r="Y602" s="7" t="s">
        <v>451</v>
      </c>
      <c r="Z602" s="7" t="s">
        <v>452</v>
      </c>
      <c r="AA602" s="7">
        <v>70808</v>
      </c>
      <c r="AB602" s="7" t="s">
        <v>43</v>
      </c>
      <c r="AC602" s="7"/>
      <c r="AD602" s="7"/>
      <c r="AE602" s="7"/>
      <c r="AF602" s="7"/>
      <c r="AG602" s="8">
        <f t="shared" si="9"/>
        <v>43326</v>
      </c>
    </row>
    <row r="603" spans="1:33">
      <c r="A603" s="7" t="s">
        <v>3298</v>
      </c>
      <c r="B603" s="7" t="s">
        <v>3299</v>
      </c>
      <c r="C603" s="7" t="s">
        <v>3300</v>
      </c>
      <c r="D603" s="7" t="s">
        <v>3301</v>
      </c>
      <c r="E603" s="7" t="s">
        <v>33</v>
      </c>
      <c r="F603" s="7" t="s">
        <v>34</v>
      </c>
      <c r="G603" s="7" t="s">
        <v>946</v>
      </c>
      <c r="H603" s="7"/>
      <c r="I603" s="7"/>
      <c r="J603" s="7" t="s">
        <v>336</v>
      </c>
      <c r="K603" s="7" t="s">
        <v>262</v>
      </c>
      <c r="L603" s="7" t="s">
        <v>3302</v>
      </c>
      <c r="M603" s="7" t="s">
        <v>3303</v>
      </c>
      <c r="N603" s="7" t="s">
        <v>459</v>
      </c>
      <c r="O603" s="7">
        <v>2</v>
      </c>
      <c r="P603" s="7"/>
      <c r="Q603" s="7"/>
      <c r="R603" s="7"/>
      <c r="S603" s="7"/>
      <c r="T603" s="7"/>
      <c r="U603" s="7"/>
      <c r="V603" s="7"/>
      <c r="W603" s="7"/>
      <c r="X603" s="7"/>
      <c r="Y603" s="7" t="s">
        <v>451</v>
      </c>
      <c r="Z603" s="7" t="s">
        <v>452</v>
      </c>
      <c r="AA603" s="7">
        <v>70808</v>
      </c>
      <c r="AB603" s="7" t="s">
        <v>43</v>
      </c>
      <c r="AC603" s="7"/>
      <c r="AD603" s="7"/>
      <c r="AE603" s="7"/>
      <c r="AF603" s="7"/>
      <c r="AG603" s="8">
        <f t="shared" si="9"/>
        <v>43326</v>
      </c>
    </row>
    <row r="604" spans="1:33">
      <c r="A604" s="7" t="s">
        <v>3304</v>
      </c>
      <c r="B604" s="7" t="s">
        <v>3305</v>
      </c>
      <c r="C604" s="7" t="s">
        <v>3306</v>
      </c>
      <c r="D604" s="7" t="s">
        <v>3307</v>
      </c>
      <c r="E604" s="7" t="s">
        <v>33</v>
      </c>
      <c r="F604" s="7" t="s">
        <v>34</v>
      </c>
      <c r="G604" s="7" t="s">
        <v>946</v>
      </c>
      <c r="H604" s="7"/>
      <c r="I604" s="7"/>
      <c r="J604" s="7" t="s">
        <v>336</v>
      </c>
      <c r="K604" s="7" t="s">
        <v>262</v>
      </c>
      <c r="L604" s="7" t="s">
        <v>1640</v>
      </c>
      <c r="M604" s="7" t="s">
        <v>1641</v>
      </c>
      <c r="N604" s="7" t="s">
        <v>459</v>
      </c>
      <c r="O604" s="7">
        <v>1</v>
      </c>
      <c r="P604" s="7"/>
      <c r="Q604" s="7"/>
      <c r="R604" s="7"/>
      <c r="S604" s="7"/>
      <c r="T604" s="7"/>
      <c r="U604" s="7"/>
      <c r="V604" s="7"/>
      <c r="W604" s="7"/>
      <c r="X604" s="7"/>
      <c r="Y604" s="7" t="s">
        <v>451</v>
      </c>
      <c r="Z604" s="7" t="s">
        <v>452</v>
      </c>
      <c r="AA604" s="7">
        <v>70808</v>
      </c>
      <c r="AB604" s="7" t="s">
        <v>43</v>
      </c>
      <c r="AC604" s="7"/>
      <c r="AD604" s="7"/>
      <c r="AE604" s="7"/>
      <c r="AF604" s="7"/>
      <c r="AG604" s="8">
        <f t="shared" si="9"/>
        <v>43326</v>
      </c>
    </row>
    <row r="605" spans="1:33">
      <c r="A605" s="7" t="s">
        <v>3308</v>
      </c>
      <c r="B605" s="7" t="s">
        <v>3309</v>
      </c>
      <c r="C605" s="7" t="s">
        <v>3310</v>
      </c>
      <c r="D605" s="7" t="s">
        <v>3311</v>
      </c>
      <c r="E605" s="7" t="s">
        <v>33</v>
      </c>
      <c r="F605" s="7" t="s">
        <v>34</v>
      </c>
      <c r="G605" s="7" t="s">
        <v>946</v>
      </c>
      <c r="H605" s="7"/>
      <c r="I605" s="7"/>
      <c r="J605" s="7" t="s">
        <v>336</v>
      </c>
      <c r="K605" s="7" t="s">
        <v>262</v>
      </c>
      <c r="L605" s="7" t="s">
        <v>3312</v>
      </c>
      <c r="M605" s="7" t="s">
        <v>3313</v>
      </c>
      <c r="N605" s="7" t="s">
        <v>459</v>
      </c>
      <c r="O605" s="7">
        <v>3</v>
      </c>
      <c r="P605" s="7"/>
      <c r="Q605" s="7"/>
      <c r="R605" s="7"/>
      <c r="S605" s="7"/>
      <c r="T605" s="7"/>
      <c r="U605" s="7"/>
      <c r="V605" s="7"/>
      <c r="W605" s="7"/>
      <c r="X605" s="7"/>
      <c r="Y605" s="7" t="s">
        <v>451</v>
      </c>
      <c r="Z605" s="7" t="s">
        <v>452</v>
      </c>
      <c r="AA605" s="7">
        <v>70808</v>
      </c>
      <c r="AB605" s="7" t="s">
        <v>43</v>
      </c>
      <c r="AC605" s="7"/>
      <c r="AD605" s="7"/>
      <c r="AE605" s="7"/>
      <c r="AF605" s="7"/>
      <c r="AG605" s="8">
        <f t="shared" si="9"/>
        <v>43326</v>
      </c>
    </row>
    <row r="606" spans="1:33">
      <c r="A606" s="7" t="s">
        <v>3314</v>
      </c>
      <c r="B606" s="7" t="s">
        <v>3315</v>
      </c>
      <c r="C606" s="7" t="s">
        <v>3316</v>
      </c>
      <c r="D606" s="7" t="s">
        <v>3317</v>
      </c>
      <c r="E606" s="7" t="s">
        <v>33</v>
      </c>
      <c r="F606" s="7" t="s">
        <v>34</v>
      </c>
      <c r="G606" s="7" t="s">
        <v>946</v>
      </c>
      <c r="H606" s="7"/>
      <c r="I606" s="7"/>
      <c r="J606" s="7" t="s">
        <v>336</v>
      </c>
      <c r="K606" s="7" t="s">
        <v>262</v>
      </c>
      <c r="L606" s="7" t="s">
        <v>3318</v>
      </c>
      <c r="M606" s="7" t="s">
        <v>3319</v>
      </c>
      <c r="N606" s="7" t="s">
        <v>459</v>
      </c>
      <c r="O606" s="7">
        <v>6</v>
      </c>
      <c r="P606" s="7"/>
      <c r="Q606" s="7"/>
      <c r="R606" s="7"/>
      <c r="S606" s="7"/>
      <c r="T606" s="7"/>
      <c r="U606" s="7"/>
      <c r="V606" s="7"/>
      <c r="W606" s="7"/>
      <c r="X606" s="7"/>
      <c r="Y606" s="7" t="s">
        <v>451</v>
      </c>
      <c r="Z606" s="7" t="s">
        <v>452</v>
      </c>
      <c r="AA606" s="7">
        <v>70808</v>
      </c>
      <c r="AB606" s="7" t="s">
        <v>43</v>
      </c>
      <c r="AC606" s="7"/>
      <c r="AD606" s="7"/>
      <c r="AE606" s="7"/>
      <c r="AF606" s="7"/>
      <c r="AG606" s="8">
        <f t="shared" si="9"/>
        <v>43326</v>
      </c>
    </row>
    <row r="607" spans="1:33">
      <c r="A607" s="7" t="s">
        <v>3320</v>
      </c>
      <c r="B607" s="7" t="s">
        <v>3321</v>
      </c>
      <c r="C607" s="7" t="s">
        <v>3322</v>
      </c>
      <c r="D607" s="7" t="s">
        <v>3323</v>
      </c>
      <c r="E607" s="7" t="s">
        <v>33</v>
      </c>
      <c r="F607" s="7" t="s">
        <v>34</v>
      </c>
      <c r="G607" s="7" t="s">
        <v>946</v>
      </c>
      <c r="H607" s="7"/>
      <c r="I607" s="7"/>
      <c r="J607" s="7" t="s">
        <v>336</v>
      </c>
      <c r="K607" s="7" t="s">
        <v>262</v>
      </c>
      <c r="L607" s="7" t="s">
        <v>3324</v>
      </c>
      <c r="M607" s="7" t="s">
        <v>3325</v>
      </c>
      <c r="N607" s="7" t="s">
        <v>459</v>
      </c>
      <c r="O607" s="7">
        <v>4</v>
      </c>
      <c r="P607" s="7"/>
      <c r="Q607" s="7"/>
      <c r="R607" s="7"/>
      <c r="S607" s="7"/>
      <c r="T607" s="7"/>
      <c r="U607" s="7"/>
      <c r="V607" s="7"/>
      <c r="W607" s="7"/>
      <c r="X607" s="7"/>
      <c r="Y607" s="7" t="s">
        <v>451</v>
      </c>
      <c r="Z607" s="7" t="s">
        <v>452</v>
      </c>
      <c r="AA607" s="7">
        <v>70808</v>
      </c>
      <c r="AB607" s="7" t="s">
        <v>43</v>
      </c>
      <c r="AC607" s="7"/>
      <c r="AD607" s="7"/>
      <c r="AE607" s="7"/>
      <c r="AF607" s="7"/>
      <c r="AG607" s="8">
        <f t="shared" si="9"/>
        <v>43326</v>
      </c>
    </row>
    <row r="608" spans="1:33">
      <c r="A608" s="7" t="s">
        <v>3326</v>
      </c>
      <c r="B608" s="7" t="s">
        <v>3327</v>
      </c>
      <c r="C608" s="7" t="s">
        <v>3328</v>
      </c>
      <c r="D608" s="7" t="s">
        <v>3329</v>
      </c>
      <c r="E608" s="7" t="s">
        <v>33</v>
      </c>
      <c r="F608" s="7" t="s">
        <v>34</v>
      </c>
      <c r="G608" s="7" t="s">
        <v>946</v>
      </c>
      <c r="H608" s="7"/>
      <c r="I608" s="7"/>
      <c r="J608" s="7" t="s">
        <v>336</v>
      </c>
      <c r="K608" s="7" t="s">
        <v>262</v>
      </c>
      <c r="L608" s="7" t="s">
        <v>3330</v>
      </c>
      <c r="M608" s="7" t="s">
        <v>3331</v>
      </c>
      <c r="N608" s="7" t="s">
        <v>459</v>
      </c>
      <c r="O608" s="7">
        <v>5</v>
      </c>
      <c r="P608" s="7"/>
      <c r="Q608" s="7"/>
      <c r="R608" s="7"/>
      <c r="S608" s="7"/>
      <c r="T608" s="7"/>
      <c r="U608" s="7"/>
      <c r="V608" s="7"/>
      <c r="W608" s="7"/>
      <c r="X608" s="7"/>
      <c r="Y608" s="7" t="s">
        <v>451</v>
      </c>
      <c r="Z608" s="7" t="s">
        <v>452</v>
      </c>
      <c r="AA608" s="7">
        <v>70808</v>
      </c>
      <c r="AB608" s="7" t="s">
        <v>43</v>
      </c>
      <c r="AC608" s="7"/>
      <c r="AD608" s="7"/>
      <c r="AE608" s="7"/>
      <c r="AF608" s="7"/>
      <c r="AG608" s="8">
        <f t="shared" si="9"/>
        <v>43326</v>
      </c>
    </row>
    <row r="609" spans="1:33">
      <c r="A609" s="7" t="s">
        <v>3332</v>
      </c>
      <c r="B609" s="7" t="s">
        <v>3333</v>
      </c>
      <c r="C609" s="7" t="s">
        <v>3334</v>
      </c>
      <c r="D609" s="7" t="s">
        <v>3335</v>
      </c>
      <c r="E609" s="7" t="s">
        <v>33</v>
      </c>
      <c r="F609" s="7" t="s">
        <v>34</v>
      </c>
      <c r="G609" s="7" t="s">
        <v>946</v>
      </c>
      <c r="H609" s="7"/>
      <c r="I609" s="7"/>
      <c r="J609" s="7" t="s">
        <v>336</v>
      </c>
      <c r="K609" s="7" t="s">
        <v>262</v>
      </c>
      <c r="L609" s="7" t="s">
        <v>2685</v>
      </c>
      <c r="M609" s="7" t="s">
        <v>2686</v>
      </c>
      <c r="N609" s="7" t="s">
        <v>459</v>
      </c>
      <c r="O609" s="7">
        <v>3</v>
      </c>
      <c r="P609" s="7"/>
      <c r="Q609" s="7"/>
      <c r="R609" s="7"/>
      <c r="S609" s="7"/>
      <c r="T609" s="7"/>
      <c r="U609" s="7"/>
      <c r="V609" s="7"/>
      <c r="W609" s="7"/>
      <c r="X609" s="7"/>
      <c r="Y609" s="7" t="s">
        <v>451</v>
      </c>
      <c r="Z609" s="7" t="s">
        <v>452</v>
      </c>
      <c r="AA609" s="7">
        <v>70808</v>
      </c>
      <c r="AB609" s="7" t="s">
        <v>43</v>
      </c>
      <c r="AC609" s="7"/>
      <c r="AD609" s="7"/>
      <c r="AE609" s="7"/>
      <c r="AF609" s="7"/>
      <c r="AG609" s="8">
        <f t="shared" si="9"/>
        <v>43326</v>
      </c>
    </row>
    <row r="610" spans="1:33">
      <c r="A610" s="7" t="s">
        <v>3336</v>
      </c>
      <c r="B610" s="7" t="s">
        <v>3337</v>
      </c>
      <c r="C610" s="7" t="s">
        <v>3338</v>
      </c>
      <c r="D610" s="7" t="s">
        <v>3339</v>
      </c>
      <c r="E610" s="7" t="s">
        <v>33</v>
      </c>
      <c r="F610" s="7" t="s">
        <v>34</v>
      </c>
      <c r="G610" s="7" t="s">
        <v>946</v>
      </c>
      <c r="H610" s="7"/>
      <c r="I610" s="7"/>
      <c r="J610" s="7" t="s">
        <v>336</v>
      </c>
      <c r="K610" s="7" t="s">
        <v>262</v>
      </c>
      <c r="L610" s="7" t="s">
        <v>3340</v>
      </c>
      <c r="M610" s="7" t="s">
        <v>3341</v>
      </c>
      <c r="N610" s="7" t="s">
        <v>459</v>
      </c>
      <c r="O610" s="7">
        <v>6</v>
      </c>
      <c r="P610" s="7"/>
      <c r="Q610" s="7"/>
      <c r="R610" s="7"/>
      <c r="S610" s="7"/>
      <c r="T610" s="7"/>
      <c r="U610" s="7"/>
      <c r="V610" s="7"/>
      <c r="W610" s="7"/>
      <c r="X610" s="7"/>
      <c r="Y610" s="7" t="s">
        <v>451</v>
      </c>
      <c r="Z610" s="7" t="s">
        <v>452</v>
      </c>
      <c r="AA610" s="7">
        <v>70808</v>
      </c>
      <c r="AB610" s="7" t="s">
        <v>43</v>
      </c>
      <c r="AC610" s="7"/>
      <c r="AD610" s="7"/>
      <c r="AE610" s="7"/>
      <c r="AF610" s="7"/>
      <c r="AG610" s="8">
        <f t="shared" si="9"/>
        <v>43326</v>
      </c>
    </row>
    <row r="611" spans="1:33">
      <c r="A611" s="7" t="s">
        <v>3342</v>
      </c>
      <c r="B611" s="7" t="s">
        <v>3343</v>
      </c>
      <c r="C611" s="7" t="s">
        <v>3344</v>
      </c>
      <c r="D611" s="7" t="s">
        <v>3345</v>
      </c>
      <c r="E611" s="7" t="s">
        <v>33</v>
      </c>
      <c r="F611" s="7" t="s">
        <v>34</v>
      </c>
      <c r="G611" s="7" t="s">
        <v>946</v>
      </c>
      <c r="H611" s="7"/>
      <c r="I611" s="7"/>
      <c r="J611" s="7" t="s">
        <v>336</v>
      </c>
      <c r="K611" s="7" t="s">
        <v>262</v>
      </c>
      <c r="L611" s="7" t="s">
        <v>3346</v>
      </c>
      <c r="M611" s="7" t="s">
        <v>3347</v>
      </c>
      <c r="N611" s="7" t="s">
        <v>459</v>
      </c>
      <c r="O611" s="7">
        <v>4</v>
      </c>
      <c r="P611" s="7"/>
      <c r="Q611" s="7"/>
      <c r="R611" s="7"/>
      <c r="S611" s="7"/>
      <c r="T611" s="7"/>
      <c r="U611" s="7"/>
      <c r="V611" s="7"/>
      <c r="W611" s="7"/>
      <c r="X611" s="7"/>
      <c r="Y611" s="7" t="s">
        <v>451</v>
      </c>
      <c r="Z611" s="7" t="s">
        <v>452</v>
      </c>
      <c r="AA611" s="7">
        <v>70808</v>
      </c>
      <c r="AB611" s="7" t="s">
        <v>43</v>
      </c>
      <c r="AC611" s="7"/>
      <c r="AD611" s="7"/>
      <c r="AE611" s="7"/>
      <c r="AF611" s="7"/>
      <c r="AG611" s="8">
        <f t="shared" si="9"/>
        <v>43326</v>
      </c>
    </row>
    <row r="612" spans="1:33">
      <c r="A612" s="7" t="s">
        <v>3348</v>
      </c>
      <c r="B612" s="7" t="s">
        <v>3349</v>
      </c>
      <c r="C612" s="7" t="s">
        <v>3350</v>
      </c>
      <c r="D612" s="7" t="s">
        <v>3351</v>
      </c>
      <c r="E612" s="7" t="s">
        <v>33</v>
      </c>
      <c r="F612" s="7" t="s">
        <v>34</v>
      </c>
      <c r="G612" s="7" t="s">
        <v>946</v>
      </c>
      <c r="H612" s="7"/>
      <c r="I612" s="7"/>
      <c r="J612" s="7" t="s">
        <v>336</v>
      </c>
      <c r="K612" s="7" t="s">
        <v>262</v>
      </c>
      <c r="L612" s="7" t="s">
        <v>3352</v>
      </c>
      <c r="M612" s="7" t="s">
        <v>3353</v>
      </c>
      <c r="N612" s="7" t="s">
        <v>459</v>
      </c>
      <c r="O612" s="7">
        <v>5</v>
      </c>
      <c r="P612" s="7"/>
      <c r="Q612" s="7"/>
      <c r="R612" s="7"/>
      <c r="S612" s="7"/>
      <c r="T612" s="7"/>
      <c r="U612" s="7"/>
      <c r="V612" s="7"/>
      <c r="W612" s="7"/>
      <c r="X612" s="7"/>
      <c r="Y612" s="7" t="s">
        <v>451</v>
      </c>
      <c r="Z612" s="7" t="s">
        <v>452</v>
      </c>
      <c r="AA612" s="7">
        <v>70808</v>
      </c>
      <c r="AB612" s="7" t="s">
        <v>43</v>
      </c>
      <c r="AC612" s="7"/>
      <c r="AD612" s="7"/>
      <c r="AE612" s="7"/>
      <c r="AF612" s="7"/>
      <c r="AG612" s="8">
        <f t="shared" si="9"/>
        <v>43326</v>
      </c>
    </row>
    <row r="613" spans="1:33">
      <c r="A613" s="7" t="s">
        <v>3354</v>
      </c>
      <c r="B613" s="7" t="s">
        <v>3355</v>
      </c>
      <c r="C613" s="7" t="s">
        <v>3356</v>
      </c>
      <c r="D613" s="7" t="s">
        <v>3357</v>
      </c>
      <c r="E613" s="7" t="s">
        <v>33</v>
      </c>
      <c r="F613" s="7" t="s">
        <v>34</v>
      </c>
      <c r="G613" s="7" t="s">
        <v>946</v>
      </c>
      <c r="H613" s="7"/>
      <c r="I613" s="7"/>
      <c r="J613" s="7" t="s">
        <v>336</v>
      </c>
      <c r="K613" s="7" t="s">
        <v>262</v>
      </c>
      <c r="L613" s="7" t="s">
        <v>3358</v>
      </c>
      <c r="M613" s="7" t="s">
        <v>3359</v>
      </c>
      <c r="N613" s="7" t="s">
        <v>459</v>
      </c>
      <c r="O613" s="7">
        <v>10</v>
      </c>
      <c r="P613" s="7"/>
      <c r="Q613" s="7"/>
      <c r="R613" s="7"/>
      <c r="S613" s="7"/>
      <c r="T613" s="7"/>
      <c r="U613" s="7"/>
      <c r="V613" s="7"/>
      <c r="W613" s="7"/>
      <c r="X613" s="7"/>
      <c r="Y613" s="7" t="s">
        <v>451</v>
      </c>
      <c r="Z613" s="7" t="s">
        <v>452</v>
      </c>
      <c r="AA613" s="7">
        <v>70808</v>
      </c>
      <c r="AB613" s="7" t="s">
        <v>43</v>
      </c>
      <c r="AC613" s="7"/>
      <c r="AD613" s="7"/>
      <c r="AE613" s="7"/>
      <c r="AF613" s="7"/>
      <c r="AG613" s="8">
        <f t="shared" si="9"/>
        <v>43326</v>
      </c>
    </row>
    <row r="614" spans="1:33">
      <c r="A614" s="7" t="s">
        <v>3360</v>
      </c>
      <c r="B614" s="7" t="s">
        <v>3361</v>
      </c>
      <c r="C614" s="7" t="s">
        <v>3362</v>
      </c>
      <c r="D614" s="7" t="s">
        <v>3363</v>
      </c>
      <c r="E614" s="7" t="s">
        <v>33</v>
      </c>
      <c r="F614" s="7" t="s">
        <v>34</v>
      </c>
      <c r="G614" s="7" t="s">
        <v>946</v>
      </c>
      <c r="H614" s="7"/>
      <c r="I614" s="7"/>
      <c r="J614" s="7" t="s">
        <v>336</v>
      </c>
      <c r="K614" s="7" t="s">
        <v>262</v>
      </c>
      <c r="L614" s="7" t="s">
        <v>3364</v>
      </c>
      <c r="M614" s="7" t="s">
        <v>3365</v>
      </c>
      <c r="N614" s="7" t="s">
        <v>459</v>
      </c>
      <c r="O614" s="7">
        <v>2</v>
      </c>
      <c r="P614" s="7"/>
      <c r="Q614" s="7"/>
      <c r="R614" s="7"/>
      <c r="S614" s="7"/>
      <c r="T614" s="7"/>
      <c r="U614" s="7"/>
      <c r="V614" s="7"/>
      <c r="W614" s="7"/>
      <c r="X614" s="7"/>
      <c r="Y614" s="7" t="s">
        <v>451</v>
      </c>
      <c r="Z614" s="7" t="s">
        <v>452</v>
      </c>
      <c r="AA614" s="7">
        <v>70808</v>
      </c>
      <c r="AB614" s="7" t="s">
        <v>43</v>
      </c>
      <c r="AC614" s="7"/>
      <c r="AD614" s="7"/>
      <c r="AE614" s="7"/>
      <c r="AF614" s="7"/>
      <c r="AG614" s="8">
        <f t="shared" si="9"/>
        <v>43326</v>
      </c>
    </row>
    <row r="615" spans="1:33">
      <c r="A615" s="7" t="s">
        <v>3366</v>
      </c>
      <c r="B615" s="7" t="s">
        <v>3367</v>
      </c>
      <c r="C615" s="7" t="s">
        <v>3368</v>
      </c>
      <c r="D615" s="7" t="s">
        <v>3369</v>
      </c>
      <c r="E615" s="7" t="s">
        <v>33</v>
      </c>
      <c r="F615" s="7" t="s">
        <v>34</v>
      </c>
      <c r="G615" s="7" t="s">
        <v>946</v>
      </c>
      <c r="H615" s="7"/>
      <c r="I615" s="7"/>
      <c r="J615" s="7" t="s">
        <v>336</v>
      </c>
      <c r="K615" s="7" t="s">
        <v>262</v>
      </c>
      <c r="L615" s="7" t="s">
        <v>3370</v>
      </c>
      <c r="M615" s="7" t="s">
        <v>3371</v>
      </c>
      <c r="N615" s="7" t="s">
        <v>459</v>
      </c>
      <c r="O615" s="7">
        <v>5</v>
      </c>
      <c r="P615" s="7"/>
      <c r="Q615" s="7"/>
      <c r="R615" s="7"/>
      <c r="S615" s="7"/>
      <c r="T615" s="7"/>
      <c r="U615" s="7"/>
      <c r="V615" s="7"/>
      <c r="W615" s="7"/>
      <c r="X615" s="7"/>
      <c r="Y615" s="7" t="s">
        <v>451</v>
      </c>
      <c r="Z615" s="7" t="s">
        <v>452</v>
      </c>
      <c r="AA615" s="7">
        <v>70808</v>
      </c>
      <c r="AB615" s="7" t="s">
        <v>43</v>
      </c>
      <c r="AC615" s="7"/>
      <c r="AD615" s="7"/>
      <c r="AE615" s="7"/>
      <c r="AF615" s="7"/>
      <c r="AG615" s="8">
        <f t="shared" si="9"/>
        <v>43326</v>
      </c>
    </row>
    <row r="616" spans="1:33">
      <c r="A616" s="7" t="s">
        <v>3372</v>
      </c>
      <c r="B616" s="7" t="s">
        <v>3373</v>
      </c>
      <c r="C616" s="7" t="s">
        <v>3374</v>
      </c>
      <c r="D616" s="7" t="s">
        <v>3375</v>
      </c>
      <c r="E616" s="7" t="s">
        <v>33</v>
      </c>
      <c r="F616" s="7" t="s">
        <v>34</v>
      </c>
      <c r="G616" s="7" t="s">
        <v>946</v>
      </c>
      <c r="H616" s="7"/>
      <c r="I616" s="7"/>
      <c r="J616" s="7" t="s">
        <v>336</v>
      </c>
      <c r="K616" s="7" t="s">
        <v>262</v>
      </c>
      <c r="L616" s="7" t="s">
        <v>263</v>
      </c>
      <c r="M616" s="7" t="s">
        <v>264</v>
      </c>
      <c r="N616" s="7" t="s">
        <v>459</v>
      </c>
      <c r="O616" s="7">
        <v>4</v>
      </c>
      <c r="P616" s="7"/>
      <c r="Q616" s="7"/>
      <c r="R616" s="7"/>
      <c r="S616" s="7"/>
      <c r="T616" s="7"/>
      <c r="U616" s="7"/>
      <c r="V616" s="7"/>
      <c r="W616" s="7"/>
      <c r="X616" s="7"/>
      <c r="Y616" s="7" t="s">
        <v>451</v>
      </c>
      <c r="Z616" s="7" t="s">
        <v>452</v>
      </c>
      <c r="AA616" s="7">
        <v>70808</v>
      </c>
      <c r="AB616" s="7" t="s">
        <v>43</v>
      </c>
      <c r="AC616" s="7"/>
      <c r="AD616" s="7"/>
      <c r="AE616" s="7"/>
      <c r="AF616" s="7"/>
      <c r="AG616" s="8">
        <f t="shared" si="9"/>
        <v>43326</v>
      </c>
    </row>
    <row r="617" spans="1:33">
      <c r="A617" s="7" t="s">
        <v>3376</v>
      </c>
      <c r="B617" s="7" t="s">
        <v>3377</v>
      </c>
      <c r="C617" s="7" t="s">
        <v>3378</v>
      </c>
      <c r="D617" s="7" t="s">
        <v>3379</v>
      </c>
      <c r="E617" s="7" t="s">
        <v>33</v>
      </c>
      <c r="F617" s="7" t="s">
        <v>34</v>
      </c>
      <c r="G617" s="7" t="s">
        <v>946</v>
      </c>
      <c r="H617" s="7"/>
      <c r="I617" s="7"/>
      <c r="J617" s="7" t="s">
        <v>336</v>
      </c>
      <c r="K617" s="7" t="s">
        <v>262</v>
      </c>
      <c r="L617" s="7" t="s">
        <v>3380</v>
      </c>
      <c r="M617" s="7" t="s">
        <v>3381</v>
      </c>
      <c r="N617" s="7" t="s">
        <v>459</v>
      </c>
      <c r="O617" s="7">
        <v>4</v>
      </c>
      <c r="P617" s="7"/>
      <c r="Q617" s="7"/>
      <c r="R617" s="7"/>
      <c r="S617" s="7"/>
      <c r="T617" s="7"/>
      <c r="U617" s="7"/>
      <c r="V617" s="7"/>
      <c r="W617" s="7"/>
      <c r="X617" s="7"/>
      <c r="Y617" s="7" t="s">
        <v>451</v>
      </c>
      <c r="Z617" s="7" t="s">
        <v>452</v>
      </c>
      <c r="AA617" s="7">
        <v>70808</v>
      </c>
      <c r="AB617" s="7" t="s">
        <v>43</v>
      </c>
      <c r="AC617" s="7"/>
      <c r="AD617" s="7"/>
      <c r="AE617" s="7"/>
      <c r="AF617" s="7"/>
      <c r="AG617" s="8">
        <f t="shared" si="9"/>
        <v>43326</v>
      </c>
    </row>
    <row r="618" spans="1:33">
      <c r="A618" s="7" t="s">
        <v>3382</v>
      </c>
      <c r="B618" s="7" t="s">
        <v>3383</v>
      </c>
      <c r="C618" s="7" t="s">
        <v>3384</v>
      </c>
      <c r="D618" s="7" t="s">
        <v>3385</v>
      </c>
      <c r="E618" s="7" t="s">
        <v>33</v>
      </c>
      <c r="F618" s="7" t="s">
        <v>34</v>
      </c>
      <c r="G618" s="7" t="s">
        <v>946</v>
      </c>
      <c r="H618" s="7"/>
      <c r="I618" s="7"/>
      <c r="J618" s="7" t="s">
        <v>336</v>
      </c>
      <c r="K618" s="7" t="s">
        <v>262</v>
      </c>
      <c r="L618" s="7" t="s">
        <v>3386</v>
      </c>
      <c r="M618" s="7" t="s">
        <v>3387</v>
      </c>
      <c r="N618" s="7" t="s">
        <v>459</v>
      </c>
      <c r="O618" s="7">
        <v>5</v>
      </c>
      <c r="P618" s="7"/>
      <c r="Q618" s="7"/>
      <c r="R618" s="7"/>
      <c r="S618" s="7"/>
      <c r="T618" s="7"/>
      <c r="U618" s="7"/>
      <c r="V618" s="7"/>
      <c r="W618" s="7"/>
      <c r="X618" s="7"/>
      <c r="Y618" s="7" t="s">
        <v>451</v>
      </c>
      <c r="Z618" s="7" t="s">
        <v>452</v>
      </c>
      <c r="AA618" s="7">
        <v>70808</v>
      </c>
      <c r="AB618" s="7" t="s">
        <v>43</v>
      </c>
      <c r="AC618" s="7"/>
      <c r="AD618" s="7"/>
      <c r="AE618" s="7"/>
      <c r="AF618" s="7"/>
      <c r="AG618" s="8">
        <f t="shared" si="9"/>
        <v>43326</v>
      </c>
    </row>
    <row r="619" spans="1:33">
      <c r="A619" s="7" t="s">
        <v>3388</v>
      </c>
      <c r="B619" s="7" t="s">
        <v>3389</v>
      </c>
      <c r="C619" s="7" t="s">
        <v>3390</v>
      </c>
      <c r="D619" s="7" t="s">
        <v>3391</v>
      </c>
      <c r="E619" s="7" t="s">
        <v>33</v>
      </c>
      <c r="F619" s="7" t="s">
        <v>34</v>
      </c>
      <c r="G619" s="7" t="s">
        <v>946</v>
      </c>
      <c r="H619" s="7"/>
      <c r="I619" s="7"/>
      <c r="J619" s="7" t="s">
        <v>336</v>
      </c>
      <c r="K619" s="7" t="s">
        <v>262</v>
      </c>
      <c r="L619" s="7" t="s">
        <v>3392</v>
      </c>
      <c r="M619" s="7" t="s">
        <v>3393</v>
      </c>
      <c r="N619" s="7" t="s">
        <v>459</v>
      </c>
      <c r="O619" s="7">
        <v>11</v>
      </c>
      <c r="P619" s="7"/>
      <c r="Q619" s="7"/>
      <c r="R619" s="7"/>
      <c r="S619" s="7"/>
      <c r="T619" s="7"/>
      <c r="U619" s="7"/>
      <c r="V619" s="7"/>
      <c r="W619" s="7"/>
      <c r="X619" s="7"/>
      <c r="Y619" s="7" t="s">
        <v>451</v>
      </c>
      <c r="Z619" s="7" t="s">
        <v>452</v>
      </c>
      <c r="AA619" s="7">
        <v>70808</v>
      </c>
      <c r="AB619" s="7" t="s">
        <v>43</v>
      </c>
      <c r="AC619" s="7"/>
      <c r="AD619" s="7"/>
      <c r="AE619" s="7"/>
      <c r="AF619" s="7"/>
      <c r="AG619" s="8">
        <f t="shared" si="9"/>
        <v>43326</v>
      </c>
    </row>
    <row r="620" spans="1:33">
      <c r="A620" s="7" t="s">
        <v>3394</v>
      </c>
      <c r="B620" s="7" t="s">
        <v>3395</v>
      </c>
      <c r="C620" s="7" t="s">
        <v>3396</v>
      </c>
      <c r="D620" s="7" t="s">
        <v>3397</v>
      </c>
      <c r="E620" s="7" t="s">
        <v>33</v>
      </c>
      <c r="F620" s="7" t="s">
        <v>34</v>
      </c>
      <c r="G620" s="7" t="s">
        <v>946</v>
      </c>
      <c r="H620" s="7"/>
      <c r="I620" s="7"/>
      <c r="J620" s="7" t="s">
        <v>336</v>
      </c>
      <c r="K620" s="7" t="s">
        <v>262</v>
      </c>
      <c r="L620" s="7" t="s">
        <v>3398</v>
      </c>
      <c r="M620" s="7" t="s">
        <v>3399</v>
      </c>
      <c r="N620" s="7" t="s">
        <v>459</v>
      </c>
      <c r="O620" s="7">
        <v>5</v>
      </c>
      <c r="P620" s="7"/>
      <c r="Q620" s="7"/>
      <c r="R620" s="7"/>
      <c r="S620" s="7"/>
      <c r="T620" s="7"/>
      <c r="U620" s="7"/>
      <c r="V620" s="7"/>
      <c r="W620" s="7"/>
      <c r="X620" s="7"/>
      <c r="Y620" s="7" t="s">
        <v>451</v>
      </c>
      <c r="Z620" s="7" t="s">
        <v>452</v>
      </c>
      <c r="AA620" s="7">
        <v>70808</v>
      </c>
      <c r="AB620" s="7" t="s">
        <v>43</v>
      </c>
      <c r="AC620" s="7"/>
      <c r="AD620" s="7"/>
      <c r="AE620" s="7"/>
      <c r="AF620" s="7"/>
      <c r="AG620" s="8">
        <f t="shared" si="9"/>
        <v>43326</v>
      </c>
    </row>
    <row r="621" spans="1:33">
      <c r="A621" s="7" t="s">
        <v>3400</v>
      </c>
      <c r="B621" s="7" t="s">
        <v>3401</v>
      </c>
      <c r="C621" s="7" t="s">
        <v>3402</v>
      </c>
      <c r="D621" s="7" t="s">
        <v>3403</v>
      </c>
      <c r="E621" s="7" t="s">
        <v>33</v>
      </c>
      <c r="F621" s="7" t="s">
        <v>34</v>
      </c>
      <c r="G621" s="7" t="s">
        <v>946</v>
      </c>
      <c r="H621" s="7"/>
      <c r="I621" s="7"/>
      <c r="J621" s="7" t="s">
        <v>336</v>
      </c>
      <c r="K621" s="7" t="s">
        <v>262</v>
      </c>
      <c r="L621" s="7" t="s">
        <v>3404</v>
      </c>
      <c r="M621" s="7" t="s">
        <v>3405</v>
      </c>
      <c r="N621" s="7" t="s">
        <v>459</v>
      </c>
      <c r="O621" s="7">
        <v>8</v>
      </c>
      <c r="P621" s="7"/>
      <c r="Q621" s="7"/>
      <c r="R621" s="7"/>
      <c r="S621" s="7"/>
      <c r="T621" s="7"/>
      <c r="U621" s="7"/>
      <c r="V621" s="7"/>
      <c r="W621" s="7"/>
      <c r="X621" s="7"/>
      <c r="Y621" s="7" t="s">
        <v>451</v>
      </c>
      <c r="Z621" s="7" t="s">
        <v>452</v>
      </c>
      <c r="AA621" s="7">
        <v>70808</v>
      </c>
      <c r="AB621" s="7" t="s">
        <v>43</v>
      </c>
      <c r="AC621" s="7"/>
      <c r="AD621" s="7"/>
      <c r="AE621" s="7"/>
      <c r="AF621" s="7"/>
      <c r="AG621" s="8">
        <f t="shared" si="9"/>
        <v>43326</v>
      </c>
    </row>
    <row r="622" spans="1:33">
      <c r="A622" s="7" t="s">
        <v>3406</v>
      </c>
      <c r="B622" s="7" t="s">
        <v>3407</v>
      </c>
      <c r="C622" s="7" t="s">
        <v>3408</v>
      </c>
      <c r="D622" s="7" t="s">
        <v>3409</v>
      </c>
      <c r="E622" s="7" t="s">
        <v>33</v>
      </c>
      <c r="F622" s="7" t="s">
        <v>34</v>
      </c>
      <c r="G622" s="7" t="s">
        <v>946</v>
      </c>
      <c r="H622" s="7"/>
      <c r="I622" s="7"/>
      <c r="J622" s="7" t="s">
        <v>336</v>
      </c>
      <c r="K622" s="7" t="s">
        <v>262</v>
      </c>
      <c r="L622" s="7" t="s">
        <v>3410</v>
      </c>
      <c r="M622" s="7" t="s">
        <v>3411</v>
      </c>
      <c r="N622" s="7" t="s">
        <v>459</v>
      </c>
      <c r="O622" s="7">
        <v>6</v>
      </c>
      <c r="P622" s="7"/>
      <c r="Q622" s="7"/>
      <c r="R622" s="7"/>
      <c r="S622" s="7"/>
      <c r="T622" s="7"/>
      <c r="U622" s="7"/>
      <c r="V622" s="7"/>
      <c r="W622" s="7"/>
      <c r="X622" s="7"/>
      <c r="Y622" s="7" t="s">
        <v>451</v>
      </c>
      <c r="Z622" s="7" t="s">
        <v>452</v>
      </c>
      <c r="AA622" s="7">
        <v>70808</v>
      </c>
      <c r="AB622" s="7" t="s">
        <v>43</v>
      </c>
      <c r="AC622" s="7"/>
      <c r="AD622" s="7"/>
      <c r="AE622" s="7"/>
      <c r="AF622" s="7"/>
      <c r="AG622" s="8">
        <f t="shared" si="9"/>
        <v>43326</v>
      </c>
    </row>
    <row r="623" spans="1:33">
      <c r="A623" s="7" t="s">
        <v>3412</v>
      </c>
      <c r="B623" s="7" t="s">
        <v>3413</v>
      </c>
      <c r="C623" s="7" t="s">
        <v>3414</v>
      </c>
      <c r="D623" s="7" t="s">
        <v>3415</v>
      </c>
      <c r="E623" s="7" t="s">
        <v>33</v>
      </c>
      <c r="F623" s="7" t="s">
        <v>34</v>
      </c>
      <c r="G623" s="7" t="s">
        <v>946</v>
      </c>
      <c r="H623" s="7"/>
      <c r="I623" s="7"/>
      <c r="J623" s="7" t="s">
        <v>336</v>
      </c>
      <c r="K623" s="7" t="s">
        <v>262</v>
      </c>
      <c r="L623" s="7" t="s">
        <v>3416</v>
      </c>
      <c r="M623" s="7" t="s">
        <v>3417</v>
      </c>
      <c r="N623" s="7" t="s">
        <v>459</v>
      </c>
      <c r="O623" s="7">
        <v>3</v>
      </c>
      <c r="P623" s="7"/>
      <c r="Q623" s="7"/>
      <c r="R623" s="7"/>
      <c r="S623" s="7"/>
      <c r="T623" s="7"/>
      <c r="U623" s="7"/>
      <c r="V623" s="7"/>
      <c r="W623" s="7"/>
      <c r="X623" s="7"/>
      <c r="Y623" s="7" t="s">
        <v>451</v>
      </c>
      <c r="Z623" s="7" t="s">
        <v>452</v>
      </c>
      <c r="AA623" s="7">
        <v>70808</v>
      </c>
      <c r="AB623" s="7" t="s">
        <v>43</v>
      </c>
      <c r="AC623" s="7"/>
      <c r="AD623" s="7"/>
      <c r="AE623" s="7"/>
      <c r="AF623" s="7"/>
      <c r="AG623" s="8">
        <f t="shared" si="9"/>
        <v>43326</v>
      </c>
    </row>
    <row r="624" spans="1:33">
      <c r="A624" s="7" t="s">
        <v>3418</v>
      </c>
      <c r="B624" s="7" t="s">
        <v>3419</v>
      </c>
      <c r="C624" s="7" t="s">
        <v>3420</v>
      </c>
      <c r="D624" s="7" t="s">
        <v>3421</v>
      </c>
      <c r="E624" s="7" t="s">
        <v>33</v>
      </c>
      <c r="F624" s="7" t="s">
        <v>34</v>
      </c>
      <c r="G624" s="7" t="s">
        <v>946</v>
      </c>
      <c r="H624" s="7"/>
      <c r="I624" s="7"/>
      <c r="J624" s="7" t="s">
        <v>336</v>
      </c>
      <c r="K624" s="7" t="s">
        <v>262</v>
      </c>
      <c r="L624" s="7" t="s">
        <v>3422</v>
      </c>
      <c r="M624" s="7" t="s">
        <v>3423</v>
      </c>
      <c r="N624" s="7" t="s">
        <v>459</v>
      </c>
      <c r="O624" s="7">
        <v>4</v>
      </c>
      <c r="P624" s="7"/>
      <c r="Q624" s="7"/>
      <c r="R624" s="7"/>
      <c r="S624" s="7"/>
      <c r="T624" s="7"/>
      <c r="U624" s="7"/>
      <c r="V624" s="7"/>
      <c r="W624" s="7"/>
      <c r="X624" s="7"/>
      <c r="Y624" s="7" t="s">
        <v>451</v>
      </c>
      <c r="Z624" s="7" t="s">
        <v>452</v>
      </c>
      <c r="AA624" s="7">
        <v>70808</v>
      </c>
      <c r="AB624" s="7" t="s">
        <v>43</v>
      </c>
      <c r="AC624" s="7"/>
      <c r="AD624" s="7"/>
      <c r="AE624" s="7"/>
      <c r="AF624" s="7"/>
      <c r="AG624" s="8">
        <f t="shared" si="9"/>
        <v>43326</v>
      </c>
    </row>
    <row r="625" spans="1:33">
      <c r="A625" s="7" t="s">
        <v>3424</v>
      </c>
      <c r="B625" s="7" t="s">
        <v>3425</v>
      </c>
      <c r="C625" s="7" t="s">
        <v>3426</v>
      </c>
      <c r="D625" s="7" t="s">
        <v>3427</v>
      </c>
      <c r="E625" s="7" t="s">
        <v>33</v>
      </c>
      <c r="F625" s="7" t="s">
        <v>34</v>
      </c>
      <c r="G625" s="7" t="s">
        <v>946</v>
      </c>
      <c r="H625" s="7"/>
      <c r="I625" s="7"/>
      <c r="J625" s="7" t="s">
        <v>336</v>
      </c>
      <c r="K625" s="7" t="s">
        <v>262</v>
      </c>
      <c r="L625" s="7" t="s">
        <v>3428</v>
      </c>
      <c r="M625" s="7" t="s">
        <v>3429</v>
      </c>
      <c r="N625" s="7" t="s">
        <v>459</v>
      </c>
      <c r="O625" s="7">
        <v>8</v>
      </c>
      <c r="P625" s="7"/>
      <c r="Q625" s="7"/>
      <c r="R625" s="7"/>
      <c r="S625" s="7"/>
      <c r="T625" s="7"/>
      <c r="U625" s="7"/>
      <c r="V625" s="7"/>
      <c r="W625" s="7"/>
      <c r="X625" s="7"/>
      <c r="Y625" s="7" t="s">
        <v>451</v>
      </c>
      <c r="Z625" s="7" t="s">
        <v>452</v>
      </c>
      <c r="AA625" s="7">
        <v>70808</v>
      </c>
      <c r="AB625" s="7" t="s">
        <v>43</v>
      </c>
      <c r="AC625" s="7"/>
      <c r="AD625" s="7"/>
      <c r="AE625" s="7"/>
      <c r="AF625" s="7"/>
      <c r="AG625" s="8">
        <f t="shared" si="9"/>
        <v>43326</v>
      </c>
    </row>
    <row r="626" spans="1:33">
      <c r="A626" s="7" t="s">
        <v>3430</v>
      </c>
      <c r="B626" s="7" t="s">
        <v>3431</v>
      </c>
      <c r="C626" s="7" t="s">
        <v>3432</v>
      </c>
      <c r="D626" s="7" t="s">
        <v>3433</v>
      </c>
      <c r="E626" s="7" t="s">
        <v>33</v>
      </c>
      <c r="F626" s="7" t="s">
        <v>34</v>
      </c>
      <c r="G626" s="7" t="s">
        <v>946</v>
      </c>
      <c r="H626" s="7"/>
      <c r="I626" s="7"/>
      <c r="J626" s="7" t="s">
        <v>336</v>
      </c>
      <c r="K626" s="7" t="s">
        <v>262</v>
      </c>
      <c r="L626" s="7" t="s">
        <v>3434</v>
      </c>
      <c r="M626" s="7" t="s">
        <v>3435</v>
      </c>
      <c r="N626" s="7" t="s">
        <v>459</v>
      </c>
      <c r="O626" s="7">
        <v>5</v>
      </c>
      <c r="P626" s="7"/>
      <c r="Q626" s="7"/>
      <c r="R626" s="7"/>
      <c r="S626" s="7"/>
      <c r="T626" s="7"/>
      <c r="U626" s="7"/>
      <c r="V626" s="7"/>
      <c r="W626" s="7"/>
      <c r="X626" s="7"/>
      <c r="Y626" s="7" t="s">
        <v>451</v>
      </c>
      <c r="Z626" s="7" t="s">
        <v>452</v>
      </c>
      <c r="AA626" s="7">
        <v>70808</v>
      </c>
      <c r="AB626" s="7" t="s">
        <v>43</v>
      </c>
      <c r="AC626" s="7"/>
      <c r="AD626" s="7"/>
      <c r="AE626" s="7"/>
      <c r="AF626" s="7"/>
      <c r="AG626" s="8">
        <f t="shared" si="9"/>
        <v>43326</v>
      </c>
    </row>
    <row r="627" spans="1:33">
      <c r="A627" s="7" t="s">
        <v>3436</v>
      </c>
      <c r="B627" s="7" t="s">
        <v>3437</v>
      </c>
      <c r="C627" s="7" t="s">
        <v>3438</v>
      </c>
      <c r="D627" s="7" t="s">
        <v>3439</v>
      </c>
      <c r="E627" s="7" t="s">
        <v>33</v>
      </c>
      <c r="F627" s="7" t="s">
        <v>34</v>
      </c>
      <c r="G627" s="7" t="s">
        <v>946</v>
      </c>
      <c r="H627" s="7"/>
      <c r="I627" s="7"/>
      <c r="J627" s="7" t="s">
        <v>336</v>
      </c>
      <c r="K627" s="7" t="s">
        <v>262</v>
      </c>
      <c r="L627" s="7" t="s">
        <v>3440</v>
      </c>
      <c r="M627" s="7" t="s">
        <v>3441</v>
      </c>
      <c r="N627" s="7" t="s">
        <v>459</v>
      </c>
      <c r="O627" s="7">
        <v>3</v>
      </c>
      <c r="P627" s="7"/>
      <c r="Q627" s="7"/>
      <c r="R627" s="7"/>
      <c r="S627" s="7"/>
      <c r="T627" s="7"/>
      <c r="U627" s="7"/>
      <c r="V627" s="7"/>
      <c r="W627" s="7"/>
      <c r="X627" s="7"/>
      <c r="Y627" s="7" t="s">
        <v>451</v>
      </c>
      <c r="Z627" s="7" t="s">
        <v>452</v>
      </c>
      <c r="AA627" s="7">
        <v>70808</v>
      </c>
      <c r="AB627" s="7" t="s">
        <v>43</v>
      </c>
      <c r="AC627" s="7"/>
      <c r="AD627" s="7"/>
      <c r="AE627" s="7"/>
      <c r="AF627" s="7"/>
      <c r="AG627" s="8">
        <f t="shared" si="9"/>
        <v>43326</v>
      </c>
    </row>
    <row r="628" spans="1:33">
      <c r="A628" s="7" t="s">
        <v>3442</v>
      </c>
      <c r="B628" s="7" t="s">
        <v>3443</v>
      </c>
      <c r="C628" s="7" t="s">
        <v>3444</v>
      </c>
      <c r="D628" s="7" t="s">
        <v>3445</v>
      </c>
      <c r="E628" s="7" t="s">
        <v>33</v>
      </c>
      <c r="F628" s="7" t="s">
        <v>34</v>
      </c>
      <c r="G628" s="7" t="s">
        <v>946</v>
      </c>
      <c r="H628" s="7"/>
      <c r="I628" s="7"/>
      <c r="J628" s="7" t="s">
        <v>336</v>
      </c>
      <c r="K628" s="7" t="s">
        <v>262</v>
      </c>
      <c r="L628" s="7" t="s">
        <v>3446</v>
      </c>
      <c r="M628" s="7" t="s">
        <v>3447</v>
      </c>
      <c r="N628" s="7" t="s">
        <v>459</v>
      </c>
      <c r="O628" s="7">
        <v>7</v>
      </c>
      <c r="P628" s="7"/>
      <c r="Q628" s="7"/>
      <c r="R628" s="7"/>
      <c r="S628" s="7"/>
      <c r="T628" s="7"/>
      <c r="U628" s="7"/>
      <c r="V628" s="7"/>
      <c r="W628" s="7"/>
      <c r="X628" s="7"/>
      <c r="Y628" s="7" t="s">
        <v>451</v>
      </c>
      <c r="Z628" s="7" t="s">
        <v>452</v>
      </c>
      <c r="AA628" s="7">
        <v>70808</v>
      </c>
      <c r="AB628" s="7" t="s">
        <v>43</v>
      </c>
      <c r="AC628" s="7"/>
      <c r="AD628" s="7"/>
      <c r="AE628" s="7"/>
      <c r="AF628" s="7"/>
      <c r="AG628" s="8">
        <f t="shared" si="9"/>
        <v>43326</v>
      </c>
    </row>
    <row r="629" spans="1:33">
      <c r="A629" s="7" t="s">
        <v>3448</v>
      </c>
      <c r="B629" s="7" t="s">
        <v>3449</v>
      </c>
      <c r="C629" s="7" t="s">
        <v>3450</v>
      </c>
      <c r="D629" s="7" t="s">
        <v>3451</v>
      </c>
      <c r="E629" s="7" t="s">
        <v>33</v>
      </c>
      <c r="F629" s="7" t="s">
        <v>34</v>
      </c>
      <c r="G629" s="7" t="s">
        <v>946</v>
      </c>
      <c r="H629" s="7"/>
      <c r="I629" s="7"/>
      <c r="J629" s="7" t="s">
        <v>336</v>
      </c>
      <c r="K629" s="7" t="s">
        <v>1770</v>
      </c>
      <c r="L629" s="7" t="s">
        <v>1771</v>
      </c>
      <c r="M629" s="7" t="s">
        <v>1772</v>
      </c>
      <c r="N629" s="7" t="s">
        <v>459</v>
      </c>
      <c r="O629" s="7">
        <v>9</v>
      </c>
      <c r="P629" s="7"/>
      <c r="Q629" s="7"/>
      <c r="R629" s="7"/>
      <c r="S629" s="7"/>
      <c r="T629" s="7"/>
      <c r="U629" s="7"/>
      <c r="V629" s="7"/>
      <c r="W629" s="7"/>
      <c r="X629" s="7"/>
      <c r="Y629" s="7" t="s">
        <v>451</v>
      </c>
      <c r="Z629" s="7" t="s">
        <v>452</v>
      </c>
      <c r="AA629" s="7">
        <v>70808</v>
      </c>
      <c r="AB629" s="7" t="s">
        <v>43</v>
      </c>
      <c r="AC629" s="7"/>
      <c r="AD629" s="7"/>
      <c r="AE629" s="7"/>
      <c r="AF629" s="7"/>
      <c r="AG629" s="8">
        <f t="shared" si="9"/>
        <v>43326</v>
      </c>
    </row>
    <row r="630" spans="1:33">
      <c r="A630" s="7" t="s">
        <v>3452</v>
      </c>
      <c r="B630" s="7" t="s">
        <v>3453</v>
      </c>
      <c r="C630" s="7" t="s">
        <v>3454</v>
      </c>
      <c r="D630" s="7" t="s">
        <v>3455</v>
      </c>
      <c r="E630" s="7" t="s">
        <v>33</v>
      </c>
      <c r="F630" s="7" t="s">
        <v>34</v>
      </c>
      <c r="G630" s="7" t="s">
        <v>946</v>
      </c>
      <c r="H630" s="7"/>
      <c r="I630" s="7"/>
      <c r="J630" s="7" t="s">
        <v>336</v>
      </c>
      <c r="K630" s="7" t="s">
        <v>3456</v>
      </c>
      <c r="L630" s="7" t="s">
        <v>3457</v>
      </c>
      <c r="M630" s="7" t="s">
        <v>3458</v>
      </c>
      <c r="N630" s="7" t="s">
        <v>459</v>
      </c>
      <c r="O630" s="7">
        <v>9</v>
      </c>
      <c r="P630" s="7"/>
      <c r="Q630" s="7"/>
      <c r="R630" s="7"/>
      <c r="S630" s="7"/>
      <c r="T630" s="7"/>
      <c r="U630" s="7"/>
      <c r="V630" s="7"/>
      <c r="W630" s="7"/>
      <c r="X630" s="7"/>
      <c r="Y630" s="7" t="s">
        <v>451</v>
      </c>
      <c r="Z630" s="7" t="s">
        <v>452</v>
      </c>
      <c r="AA630" s="7">
        <v>70808</v>
      </c>
      <c r="AB630" s="7" t="s">
        <v>43</v>
      </c>
      <c r="AC630" s="7"/>
      <c r="AD630" s="7"/>
      <c r="AE630" s="7"/>
      <c r="AF630" s="7"/>
      <c r="AG630" s="8">
        <f t="shared" si="9"/>
        <v>43326</v>
      </c>
    </row>
    <row r="631" spans="1:33">
      <c r="A631" s="7" t="s">
        <v>3459</v>
      </c>
      <c r="B631" s="7" t="s">
        <v>3460</v>
      </c>
      <c r="C631" s="7" t="s">
        <v>3461</v>
      </c>
      <c r="D631" s="7" t="s">
        <v>3462</v>
      </c>
      <c r="E631" s="7" t="s">
        <v>33</v>
      </c>
      <c r="F631" s="7" t="s">
        <v>34</v>
      </c>
      <c r="G631" s="7" t="s">
        <v>946</v>
      </c>
      <c r="H631" s="7"/>
      <c r="I631" s="7"/>
      <c r="J631" s="7" t="s">
        <v>336</v>
      </c>
      <c r="K631" s="7" t="s">
        <v>2113</v>
      </c>
      <c r="L631" s="7" t="s">
        <v>2114</v>
      </c>
      <c r="M631" s="7" t="s">
        <v>2115</v>
      </c>
      <c r="N631" s="7" t="s">
        <v>459</v>
      </c>
      <c r="O631" s="7">
        <v>7</v>
      </c>
      <c r="P631" s="7"/>
      <c r="Q631" s="7"/>
      <c r="R631" s="7"/>
      <c r="S631" s="7"/>
      <c r="T631" s="7"/>
      <c r="U631" s="7"/>
      <c r="V631" s="7"/>
      <c r="W631" s="7"/>
      <c r="X631" s="7"/>
      <c r="Y631" s="7" t="s">
        <v>451</v>
      </c>
      <c r="Z631" s="7" t="s">
        <v>452</v>
      </c>
      <c r="AA631" s="7">
        <v>70808</v>
      </c>
      <c r="AB631" s="7" t="s">
        <v>43</v>
      </c>
      <c r="AC631" s="7"/>
      <c r="AD631" s="7"/>
      <c r="AE631" s="7"/>
      <c r="AF631" s="7"/>
      <c r="AG631" s="8">
        <f t="shared" si="9"/>
        <v>43326</v>
      </c>
    </row>
    <row r="632" spans="1:33">
      <c r="A632" s="7" t="s">
        <v>3463</v>
      </c>
      <c r="B632" s="7" t="s">
        <v>3464</v>
      </c>
      <c r="C632" s="7" t="s">
        <v>3465</v>
      </c>
      <c r="D632" s="7" t="s">
        <v>3466</v>
      </c>
      <c r="E632" s="7" t="s">
        <v>33</v>
      </c>
      <c r="F632" s="7" t="s">
        <v>34</v>
      </c>
      <c r="G632" s="7" t="s">
        <v>946</v>
      </c>
      <c r="H632" s="7"/>
      <c r="I632" s="7"/>
      <c r="J632" s="7" t="s">
        <v>336</v>
      </c>
      <c r="K632" s="7" t="s">
        <v>3467</v>
      </c>
      <c r="L632" s="7" t="s">
        <v>3468</v>
      </c>
      <c r="M632" s="7" t="s">
        <v>3469</v>
      </c>
      <c r="N632" s="7" t="s">
        <v>459</v>
      </c>
      <c r="O632" s="7">
        <v>4</v>
      </c>
      <c r="P632" s="7"/>
      <c r="Q632" s="7"/>
      <c r="R632" s="7"/>
      <c r="S632" s="7"/>
      <c r="T632" s="7"/>
      <c r="U632" s="7"/>
      <c r="V632" s="7"/>
      <c r="W632" s="7"/>
      <c r="X632" s="7"/>
      <c r="Y632" s="7" t="s">
        <v>451</v>
      </c>
      <c r="Z632" s="7" t="s">
        <v>452</v>
      </c>
      <c r="AA632" s="7">
        <v>70808</v>
      </c>
      <c r="AB632" s="7" t="s">
        <v>43</v>
      </c>
      <c r="AC632" s="7"/>
      <c r="AD632" s="7"/>
      <c r="AE632" s="7"/>
      <c r="AF632" s="7"/>
      <c r="AG632" s="8">
        <f t="shared" si="9"/>
        <v>43326</v>
      </c>
    </row>
    <row r="633" spans="1:33">
      <c r="A633" s="7" t="s">
        <v>3470</v>
      </c>
      <c r="B633" s="7" t="s">
        <v>3471</v>
      </c>
      <c r="C633" s="7" t="s">
        <v>3472</v>
      </c>
      <c r="D633" s="7" t="s">
        <v>3473</v>
      </c>
      <c r="E633" s="7" t="s">
        <v>33</v>
      </c>
      <c r="F633" s="7" t="s">
        <v>34</v>
      </c>
      <c r="G633" s="7" t="s">
        <v>946</v>
      </c>
      <c r="H633" s="7"/>
      <c r="I633" s="7"/>
      <c r="J633" s="7" t="s">
        <v>336</v>
      </c>
      <c r="K633" s="7" t="s">
        <v>2420</v>
      </c>
      <c r="L633" s="7" t="s">
        <v>2421</v>
      </c>
      <c r="M633" s="7" t="s">
        <v>2422</v>
      </c>
      <c r="N633" s="7" t="s">
        <v>459</v>
      </c>
      <c r="O633" s="7">
        <v>6</v>
      </c>
      <c r="P633" s="7"/>
      <c r="Q633" s="7"/>
      <c r="R633" s="7"/>
      <c r="S633" s="7"/>
      <c r="T633" s="7"/>
      <c r="U633" s="7"/>
      <c r="V633" s="7"/>
      <c r="W633" s="7"/>
      <c r="X633" s="7"/>
      <c r="Y633" s="7" t="s">
        <v>451</v>
      </c>
      <c r="Z633" s="7" t="s">
        <v>452</v>
      </c>
      <c r="AA633" s="7">
        <v>70808</v>
      </c>
      <c r="AB633" s="7" t="s">
        <v>43</v>
      </c>
      <c r="AC633" s="7"/>
      <c r="AD633" s="7"/>
      <c r="AE633" s="7"/>
      <c r="AF633" s="7"/>
      <c r="AG633" s="8">
        <f t="shared" si="9"/>
        <v>43326</v>
      </c>
    </row>
    <row r="634" spans="1:33">
      <c r="A634" s="7" t="s">
        <v>3474</v>
      </c>
      <c r="B634" s="7" t="s">
        <v>3475</v>
      </c>
      <c r="C634" s="7" t="s">
        <v>3476</v>
      </c>
      <c r="D634" s="7" t="s">
        <v>3477</v>
      </c>
      <c r="E634" s="7" t="s">
        <v>33</v>
      </c>
      <c r="F634" s="7" t="s">
        <v>34</v>
      </c>
      <c r="G634" s="7" t="s">
        <v>946</v>
      </c>
      <c r="H634" s="7"/>
      <c r="I634" s="7"/>
      <c r="J634" s="7" t="s">
        <v>336</v>
      </c>
      <c r="K634" s="7" t="s">
        <v>3478</v>
      </c>
      <c r="L634" s="7" t="s">
        <v>3479</v>
      </c>
      <c r="M634" s="7" t="s">
        <v>3480</v>
      </c>
      <c r="N634" s="7" t="s">
        <v>459</v>
      </c>
      <c r="O634" s="7">
        <v>6</v>
      </c>
      <c r="P634" s="7"/>
      <c r="Q634" s="7"/>
      <c r="R634" s="7"/>
      <c r="S634" s="7"/>
      <c r="T634" s="7"/>
      <c r="U634" s="7"/>
      <c r="V634" s="7"/>
      <c r="W634" s="7"/>
      <c r="X634" s="7"/>
      <c r="Y634" s="7" t="s">
        <v>451</v>
      </c>
      <c r="Z634" s="7" t="s">
        <v>452</v>
      </c>
      <c r="AA634" s="7">
        <v>70808</v>
      </c>
      <c r="AB634" s="7" t="s">
        <v>43</v>
      </c>
      <c r="AC634" s="7"/>
      <c r="AD634" s="7"/>
      <c r="AE634" s="7"/>
      <c r="AF634" s="7"/>
      <c r="AG634" s="8">
        <f t="shared" si="9"/>
        <v>43326</v>
      </c>
    </row>
    <row r="635" spans="1:33">
      <c r="A635" s="7" t="s">
        <v>3481</v>
      </c>
      <c r="B635" s="7" t="s">
        <v>3482</v>
      </c>
      <c r="C635" s="7" t="s">
        <v>3483</v>
      </c>
      <c r="D635" s="7" t="s">
        <v>3484</v>
      </c>
      <c r="E635" s="7" t="s">
        <v>33</v>
      </c>
      <c r="F635" s="7" t="s">
        <v>34</v>
      </c>
      <c r="G635" s="7" t="s">
        <v>946</v>
      </c>
      <c r="H635" s="7"/>
      <c r="I635" s="7"/>
      <c r="J635" s="7" t="s">
        <v>336</v>
      </c>
      <c r="K635" s="7" t="s">
        <v>2244</v>
      </c>
      <c r="L635" s="7" t="s">
        <v>2245</v>
      </c>
      <c r="M635" s="7" t="s">
        <v>2246</v>
      </c>
      <c r="N635" s="7" t="s">
        <v>459</v>
      </c>
      <c r="O635" s="7">
        <v>12</v>
      </c>
      <c r="P635" s="7"/>
      <c r="Q635" s="7"/>
      <c r="R635" s="7"/>
      <c r="S635" s="7"/>
      <c r="T635" s="7"/>
      <c r="U635" s="7"/>
      <c r="V635" s="7"/>
      <c r="W635" s="7"/>
      <c r="X635" s="7"/>
      <c r="Y635" s="7" t="s">
        <v>451</v>
      </c>
      <c r="Z635" s="7" t="s">
        <v>452</v>
      </c>
      <c r="AA635" s="7">
        <v>70808</v>
      </c>
      <c r="AB635" s="7" t="s">
        <v>43</v>
      </c>
      <c r="AC635" s="7"/>
      <c r="AD635" s="7"/>
      <c r="AE635" s="7"/>
      <c r="AF635" s="7"/>
      <c r="AG635" s="8">
        <f t="shared" si="9"/>
        <v>43326</v>
      </c>
    </row>
    <row r="636" spans="1:33">
      <c r="A636" s="7" t="s">
        <v>3485</v>
      </c>
      <c r="B636" s="7" t="s">
        <v>3486</v>
      </c>
      <c r="C636" s="7" t="s">
        <v>3487</v>
      </c>
      <c r="D636" s="7" t="s">
        <v>3488</v>
      </c>
      <c r="E636" s="7" t="s">
        <v>33</v>
      </c>
      <c r="F636" s="7" t="s">
        <v>34</v>
      </c>
      <c r="G636" s="7" t="s">
        <v>946</v>
      </c>
      <c r="H636" s="7"/>
      <c r="I636" s="7"/>
      <c r="J636" s="7" t="s">
        <v>336</v>
      </c>
      <c r="K636" s="7" t="s">
        <v>2738</v>
      </c>
      <c r="L636" s="7" t="s">
        <v>2739</v>
      </c>
      <c r="M636" s="7" t="s">
        <v>2740</v>
      </c>
      <c r="N636" s="7" t="s">
        <v>459</v>
      </c>
      <c r="O636" s="7">
        <v>12</v>
      </c>
      <c r="P636" s="7"/>
      <c r="Q636" s="7"/>
      <c r="R636" s="7"/>
      <c r="S636" s="7"/>
      <c r="T636" s="7"/>
      <c r="U636" s="7"/>
      <c r="V636" s="7"/>
      <c r="W636" s="7"/>
      <c r="X636" s="7"/>
      <c r="Y636" s="7" t="s">
        <v>451</v>
      </c>
      <c r="Z636" s="7" t="s">
        <v>452</v>
      </c>
      <c r="AA636" s="7">
        <v>70808</v>
      </c>
      <c r="AB636" s="7" t="s">
        <v>43</v>
      </c>
      <c r="AC636" s="7"/>
      <c r="AD636" s="7"/>
      <c r="AE636" s="7"/>
      <c r="AF636" s="7"/>
      <c r="AG636" s="8">
        <f t="shared" si="9"/>
        <v>43326</v>
      </c>
    </row>
    <row r="637" spans="1:33">
      <c r="A637" s="7" t="s">
        <v>3489</v>
      </c>
      <c r="B637" s="7" t="s">
        <v>3490</v>
      </c>
      <c r="C637" s="7" t="s">
        <v>3491</v>
      </c>
      <c r="D637" s="7" t="s">
        <v>3492</v>
      </c>
      <c r="E637" s="7" t="s">
        <v>33</v>
      </c>
      <c r="F637" s="7" t="s">
        <v>34</v>
      </c>
      <c r="G637" s="7" t="s">
        <v>946</v>
      </c>
      <c r="H637" s="7"/>
      <c r="I637" s="7"/>
      <c r="J637" s="7" t="s">
        <v>336</v>
      </c>
      <c r="K637" s="7" t="s">
        <v>2498</v>
      </c>
      <c r="L637" s="7" t="s">
        <v>2499</v>
      </c>
      <c r="M637" s="7" t="s">
        <v>2500</v>
      </c>
      <c r="N637" s="7" t="s">
        <v>459</v>
      </c>
      <c r="O637" s="7">
        <v>9</v>
      </c>
      <c r="P637" s="7"/>
      <c r="Q637" s="7"/>
      <c r="R637" s="7"/>
      <c r="S637" s="7"/>
      <c r="T637" s="7"/>
      <c r="U637" s="7"/>
      <c r="V637" s="7"/>
      <c r="W637" s="7"/>
      <c r="X637" s="7"/>
      <c r="Y637" s="7" t="s">
        <v>451</v>
      </c>
      <c r="Z637" s="7" t="s">
        <v>452</v>
      </c>
      <c r="AA637" s="7">
        <v>70808</v>
      </c>
      <c r="AB637" s="7" t="s">
        <v>43</v>
      </c>
      <c r="AC637" s="7"/>
      <c r="AD637" s="7"/>
      <c r="AE637" s="7"/>
      <c r="AF637" s="7"/>
      <c r="AG637" s="8">
        <f t="shared" si="9"/>
        <v>43326</v>
      </c>
    </row>
    <row r="638" spans="1:33">
      <c r="A638" s="7" t="s">
        <v>3493</v>
      </c>
      <c r="B638" s="7" t="s">
        <v>3494</v>
      </c>
      <c r="C638" s="7" t="s">
        <v>3495</v>
      </c>
      <c r="D638" s="7" t="s">
        <v>3496</v>
      </c>
      <c r="E638" s="7" t="s">
        <v>33</v>
      </c>
      <c r="F638" s="7" t="s">
        <v>34</v>
      </c>
      <c r="G638" s="7" t="s">
        <v>946</v>
      </c>
      <c r="H638" s="7"/>
      <c r="I638" s="7"/>
      <c r="J638" s="7" t="s">
        <v>336</v>
      </c>
      <c r="K638" s="7" t="s">
        <v>103</v>
      </c>
      <c r="L638" s="7" t="s">
        <v>104</v>
      </c>
      <c r="M638" s="7" t="s">
        <v>105</v>
      </c>
      <c r="N638" s="7" t="s">
        <v>459</v>
      </c>
      <c r="O638" s="7">
        <v>7</v>
      </c>
      <c r="P638" s="7"/>
      <c r="Q638" s="7"/>
      <c r="R638" s="7"/>
      <c r="S638" s="7"/>
      <c r="T638" s="7"/>
      <c r="U638" s="7"/>
      <c r="V638" s="7"/>
      <c r="W638" s="7"/>
      <c r="X638" s="7"/>
      <c r="Y638" s="7" t="s">
        <v>451</v>
      </c>
      <c r="Z638" s="7" t="s">
        <v>452</v>
      </c>
      <c r="AA638" s="7">
        <v>70808</v>
      </c>
      <c r="AB638" s="7" t="s">
        <v>43</v>
      </c>
      <c r="AC638" s="7"/>
      <c r="AD638" s="7"/>
      <c r="AE638" s="7"/>
      <c r="AF638" s="7"/>
      <c r="AG638" s="8">
        <f t="shared" si="9"/>
        <v>43326</v>
      </c>
    </row>
    <row r="639" spans="1:33">
      <c r="A639" s="7" t="s">
        <v>3497</v>
      </c>
      <c r="B639" s="7" t="s">
        <v>3498</v>
      </c>
      <c r="C639" s="7" t="s">
        <v>3499</v>
      </c>
      <c r="D639" s="7" t="s">
        <v>3500</v>
      </c>
      <c r="E639" s="7" t="s">
        <v>33</v>
      </c>
      <c r="F639" s="7" t="s">
        <v>34</v>
      </c>
      <c r="G639" s="7" t="s">
        <v>946</v>
      </c>
      <c r="H639" s="7"/>
      <c r="I639" s="7"/>
      <c r="J639" s="7" t="s">
        <v>336</v>
      </c>
      <c r="K639" s="7" t="s">
        <v>3501</v>
      </c>
      <c r="L639" s="7" t="s">
        <v>3502</v>
      </c>
      <c r="M639" s="7" t="s">
        <v>3503</v>
      </c>
      <c r="N639" s="7" t="s">
        <v>459</v>
      </c>
      <c r="O639" s="7">
        <v>10</v>
      </c>
      <c r="P639" s="7"/>
      <c r="Q639" s="7"/>
      <c r="R639" s="7"/>
      <c r="S639" s="7"/>
      <c r="T639" s="7"/>
      <c r="U639" s="7"/>
      <c r="V639" s="7"/>
      <c r="W639" s="7"/>
      <c r="X639" s="7"/>
      <c r="Y639" s="7" t="s">
        <v>451</v>
      </c>
      <c r="Z639" s="7" t="s">
        <v>452</v>
      </c>
      <c r="AA639" s="7">
        <v>70808</v>
      </c>
      <c r="AB639" s="7" t="s">
        <v>43</v>
      </c>
      <c r="AC639" s="7"/>
      <c r="AD639" s="7"/>
      <c r="AE639" s="7"/>
      <c r="AF639" s="7"/>
      <c r="AG639" s="8">
        <f t="shared" si="9"/>
        <v>43326</v>
      </c>
    </row>
    <row r="640" spans="1:33">
      <c r="A640" s="7" t="s">
        <v>3504</v>
      </c>
      <c r="B640" s="7" t="s">
        <v>3505</v>
      </c>
      <c r="C640" s="7" t="s">
        <v>3506</v>
      </c>
      <c r="D640" s="7" t="s">
        <v>3507</v>
      </c>
      <c r="E640" s="7" t="s">
        <v>33</v>
      </c>
      <c r="F640" s="7" t="s">
        <v>34</v>
      </c>
      <c r="G640" s="7" t="s">
        <v>946</v>
      </c>
      <c r="H640" s="7"/>
      <c r="I640" s="7"/>
      <c r="J640" s="7" t="s">
        <v>336</v>
      </c>
      <c r="K640" s="7" t="s">
        <v>862</v>
      </c>
      <c r="L640" s="7" t="s">
        <v>863</v>
      </c>
      <c r="M640" s="7" t="s">
        <v>864</v>
      </c>
      <c r="N640" s="7" t="s">
        <v>459</v>
      </c>
      <c r="O640" s="7">
        <v>5</v>
      </c>
      <c r="P640" s="7"/>
      <c r="Q640" s="7"/>
      <c r="R640" s="7"/>
      <c r="S640" s="7"/>
      <c r="T640" s="7"/>
      <c r="U640" s="7"/>
      <c r="V640" s="7"/>
      <c r="W640" s="7"/>
      <c r="X640" s="7"/>
      <c r="Y640" s="7" t="s">
        <v>451</v>
      </c>
      <c r="Z640" s="7" t="s">
        <v>452</v>
      </c>
      <c r="AA640" s="7">
        <v>70808</v>
      </c>
      <c r="AB640" s="7" t="s">
        <v>43</v>
      </c>
      <c r="AC640" s="7"/>
      <c r="AD640" s="7"/>
      <c r="AE640" s="7"/>
      <c r="AF640" s="7"/>
      <c r="AG640" s="8">
        <f t="shared" si="9"/>
        <v>43326</v>
      </c>
    </row>
    <row r="641" spans="1:33">
      <c r="A641" s="7" t="s">
        <v>3508</v>
      </c>
      <c r="B641" s="7" t="s">
        <v>3509</v>
      </c>
      <c r="C641" s="7" t="s">
        <v>3510</v>
      </c>
      <c r="D641" s="7" t="s">
        <v>3511</v>
      </c>
      <c r="E641" s="7" t="s">
        <v>33</v>
      </c>
      <c r="F641" s="7" t="s">
        <v>34</v>
      </c>
      <c r="G641" s="7" t="s">
        <v>946</v>
      </c>
      <c r="H641" s="7"/>
      <c r="I641" s="7"/>
      <c r="J641" s="7" t="s">
        <v>336</v>
      </c>
      <c r="K641" s="7" t="s">
        <v>1346</v>
      </c>
      <c r="L641" s="7" t="s">
        <v>1347</v>
      </c>
      <c r="M641" s="7" t="s">
        <v>1348</v>
      </c>
      <c r="N641" s="7" t="s">
        <v>459</v>
      </c>
      <c r="O641" s="7">
        <v>4</v>
      </c>
      <c r="P641" s="7"/>
      <c r="Q641" s="7"/>
      <c r="R641" s="7"/>
      <c r="S641" s="7"/>
      <c r="T641" s="7"/>
      <c r="U641" s="7"/>
      <c r="V641" s="7"/>
      <c r="W641" s="7"/>
      <c r="X641" s="7"/>
      <c r="Y641" s="7" t="s">
        <v>451</v>
      </c>
      <c r="Z641" s="7" t="s">
        <v>452</v>
      </c>
      <c r="AA641" s="7">
        <v>70808</v>
      </c>
      <c r="AB641" s="7" t="s">
        <v>43</v>
      </c>
      <c r="AC641" s="7"/>
      <c r="AD641" s="7"/>
      <c r="AE641" s="7"/>
      <c r="AF641" s="7"/>
      <c r="AG641" s="8">
        <f t="shared" si="9"/>
        <v>43326</v>
      </c>
    </row>
    <row r="642" spans="1:33">
      <c r="A642" s="7" t="s">
        <v>3512</v>
      </c>
      <c r="B642" s="7" t="s">
        <v>3513</v>
      </c>
      <c r="C642" s="7" t="s">
        <v>3514</v>
      </c>
      <c r="D642" s="7" t="s">
        <v>3515</v>
      </c>
      <c r="E642" s="7" t="s">
        <v>33</v>
      </c>
      <c r="F642" s="7" t="s">
        <v>34</v>
      </c>
      <c r="G642" s="7" t="s">
        <v>946</v>
      </c>
      <c r="H642" s="7"/>
      <c r="I642" s="7"/>
      <c r="J642" s="7" t="s">
        <v>336</v>
      </c>
      <c r="K642" s="7" t="s">
        <v>3516</v>
      </c>
      <c r="L642" s="7" t="s">
        <v>3517</v>
      </c>
      <c r="M642" s="7" t="s">
        <v>3518</v>
      </c>
      <c r="N642" s="7" t="s">
        <v>459</v>
      </c>
      <c r="O642" s="7">
        <v>4</v>
      </c>
      <c r="P642" s="7"/>
      <c r="Q642" s="7"/>
      <c r="R642" s="7"/>
      <c r="S642" s="7"/>
      <c r="T642" s="7"/>
      <c r="U642" s="7"/>
      <c r="V642" s="7"/>
      <c r="W642" s="7"/>
      <c r="X642" s="7"/>
      <c r="Y642" s="7" t="s">
        <v>451</v>
      </c>
      <c r="Z642" s="7" t="s">
        <v>452</v>
      </c>
      <c r="AA642" s="7">
        <v>70808</v>
      </c>
      <c r="AB642" s="7" t="s">
        <v>43</v>
      </c>
      <c r="AC642" s="7"/>
      <c r="AD642" s="7"/>
      <c r="AE642" s="7"/>
      <c r="AF642" s="7"/>
      <c r="AG642" s="8">
        <f t="shared" ref="AG642:AG705" si="10">DATEVALUE(LEFT(C642,10))</f>
        <v>43326</v>
      </c>
    </row>
    <row r="643" spans="1:33">
      <c r="A643" s="7" t="s">
        <v>3519</v>
      </c>
      <c r="B643" s="7" t="s">
        <v>3520</v>
      </c>
      <c r="C643" s="7" t="s">
        <v>3521</v>
      </c>
      <c r="D643" s="7" t="s">
        <v>3522</v>
      </c>
      <c r="E643" s="7" t="s">
        <v>33</v>
      </c>
      <c r="F643" s="7" t="s">
        <v>34</v>
      </c>
      <c r="G643" s="7" t="s">
        <v>946</v>
      </c>
      <c r="H643" s="7"/>
      <c r="I643" s="7"/>
      <c r="J643" s="7" t="s">
        <v>336</v>
      </c>
      <c r="K643" s="7" t="s">
        <v>3523</v>
      </c>
      <c r="L643" s="7" t="s">
        <v>3524</v>
      </c>
      <c r="M643" s="7" t="s">
        <v>3525</v>
      </c>
      <c r="N643" s="7" t="s">
        <v>459</v>
      </c>
      <c r="O643" s="7">
        <v>6</v>
      </c>
      <c r="P643" s="7"/>
      <c r="Q643" s="7"/>
      <c r="R643" s="7"/>
      <c r="S643" s="7"/>
      <c r="T643" s="7"/>
      <c r="U643" s="7"/>
      <c r="V643" s="7"/>
      <c r="W643" s="7"/>
      <c r="X643" s="7"/>
      <c r="Y643" s="7" t="s">
        <v>451</v>
      </c>
      <c r="Z643" s="7" t="s">
        <v>452</v>
      </c>
      <c r="AA643" s="7">
        <v>70808</v>
      </c>
      <c r="AB643" s="7" t="s">
        <v>43</v>
      </c>
      <c r="AC643" s="7"/>
      <c r="AD643" s="7"/>
      <c r="AE643" s="7"/>
      <c r="AF643" s="7"/>
      <c r="AG643" s="8">
        <f t="shared" si="10"/>
        <v>43326</v>
      </c>
    </row>
    <row r="644" spans="1:33">
      <c r="A644" s="7" t="s">
        <v>3526</v>
      </c>
      <c r="B644" s="7" t="s">
        <v>3527</v>
      </c>
      <c r="C644" s="7" t="s">
        <v>3528</v>
      </c>
      <c r="D644" s="7" t="s">
        <v>3529</v>
      </c>
      <c r="E644" s="7" t="s">
        <v>33</v>
      </c>
      <c r="F644" s="7" t="s">
        <v>34</v>
      </c>
      <c r="G644" s="7" t="s">
        <v>946</v>
      </c>
      <c r="H644" s="7"/>
      <c r="I644" s="7"/>
      <c r="J644" s="7" t="s">
        <v>336</v>
      </c>
      <c r="K644" s="7" t="s">
        <v>3530</v>
      </c>
      <c r="L644" s="7" t="s">
        <v>3531</v>
      </c>
      <c r="M644" s="7" t="s">
        <v>3532</v>
      </c>
      <c r="N644" s="7" t="s">
        <v>459</v>
      </c>
      <c r="O644" s="7">
        <v>9</v>
      </c>
      <c r="P644" s="7"/>
      <c r="Q644" s="7"/>
      <c r="R644" s="7"/>
      <c r="S644" s="7"/>
      <c r="T644" s="7"/>
      <c r="U644" s="7"/>
      <c r="V644" s="7"/>
      <c r="W644" s="7"/>
      <c r="X644" s="7"/>
      <c r="Y644" s="7" t="s">
        <v>451</v>
      </c>
      <c r="Z644" s="7" t="s">
        <v>452</v>
      </c>
      <c r="AA644" s="7">
        <v>70808</v>
      </c>
      <c r="AB644" s="7" t="s">
        <v>43</v>
      </c>
      <c r="AC644" s="7"/>
      <c r="AD644" s="7"/>
      <c r="AE644" s="7"/>
      <c r="AF644" s="7"/>
      <c r="AG644" s="8">
        <f t="shared" si="10"/>
        <v>43326</v>
      </c>
    </row>
    <row r="645" spans="1:33">
      <c r="A645" s="7" t="s">
        <v>3533</v>
      </c>
      <c r="B645" s="7" t="s">
        <v>3534</v>
      </c>
      <c r="C645" s="7" t="s">
        <v>3535</v>
      </c>
      <c r="D645" s="7" t="s">
        <v>3536</v>
      </c>
      <c r="E645" s="7" t="s">
        <v>33</v>
      </c>
      <c r="F645" s="7" t="s">
        <v>34</v>
      </c>
      <c r="G645" s="7" t="s">
        <v>946</v>
      </c>
      <c r="H645" s="7"/>
      <c r="I645" s="7"/>
      <c r="J645" s="7" t="s">
        <v>336</v>
      </c>
      <c r="K645" s="7" t="s">
        <v>3537</v>
      </c>
      <c r="L645" s="7" t="s">
        <v>3538</v>
      </c>
      <c r="M645" s="7" t="s">
        <v>3539</v>
      </c>
      <c r="N645" s="7" t="s">
        <v>459</v>
      </c>
      <c r="O645" s="7">
        <v>6</v>
      </c>
      <c r="P645" s="7"/>
      <c r="Q645" s="7"/>
      <c r="R645" s="7"/>
      <c r="S645" s="7"/>
      <c r="T645" s="7"/>
      <c r="U645" s="7"/>
      <c r="V645" s="7"/>
      <c r="W645" s="7"/>
      <c r="X645" s="7"/>
      <c r="Y645" s="7" t="s">
        <v>451</v>
      </c>
      <c r="Z645" s="7" t="s">
        <v>452</v>
      </c>
      <c r="AA645" s="7">
        <v>70808</v>
      </c>
      <c r="AB645" s="7" t="s">
        <v>43</v>
      </c>
      <c r="AC645" s="7"/>
      <c r="AD645" s="7"/>
      <c r="AE645" s="7"/>
      <c r="AF645" s="7"/>
      <c r="AG645" s="8">
        <f t="shared" si="10"/>
        <v>43326</v>
      </c>
    </row>
    <row r="646" spans="1:33">
      <c r="A646" s="7" t="s">
        <v>3540</v>
      </c>
      <c r="B646" s="7" t="s">
        <v>3541</v>
      </c>
      <c r="C646" s="7" t="s">
        <v>3542</v>
      </c>
      <c r="D646" s="7" t="s">
        <v>3543</v>
      </c>
      <c r="E646" s="7" t="s">
        <v>33</v>
      </c>
      <c r="F646" s="7" t="s">
        <v>34</v>
      </c>
      <c r="G646" s="7" t="s">
        <v>946</v>
      </c>
      <c r="H646" s="7"/>
      <c r="I646" s="7"/>
      <c r="J646" s="7" t="s">
        <v>336</v>
      </c>
      <c r="K646" s="7" t="s">
        <v>1949</v>
      </c>
      <c r="L646" s="7" t="s">
        <v>1950</v>
      </c>
      <c r="M646" s="7" t="s">
        <v>1951</v>
      </c>
      <c r="N646" s="7" t="s">
        <v>459</v>
      </c>
      <c r="O646" s="7">
        <v>10</v>
      </c>
      <c r="P646" s="7"/>
      <c r="Q646" s="7"/>
      <c r="R646" s="7"/>
      <c r="S646" s="7"/>
      <c r="T646" s="7"/>
      <c r="U646" s="7"/>
      <c r="V646" s="7"/>
      <c r="W646" s="7"/>
      <c r="X646" s="7"/>
      <c r="Y646" s="7" t="s">
        <v>451</v>
      </c>
      <c r="Z646" s="7" t="s">
        <v>452</v>
      </c>
      <c r="AA646" s="7">
        <v>70808</v>
      </c>
      <c r="AB646" s="7" t="s">
        <v>43</v>
      </c>
      <c r="AC646" s="7"/>
      <c r="AD646" s="7"/>
      <c r="AE646" s="7"/>
      <c r="AF646" s="7"/>
      <c r="AG646" s="8">
        <f t="shared" si="10"/>
        <v>43326</v>
      </c>
    </row>
    <row r="647" spans="1:33">
      <c r="A647" s="7" t="s">
        <v>3544</v>
      </c>
      <c r="B647" s="7" t="s">
        <v>3545</v>
      </c>
      <c r="C647" s="7" t="s">
        <v>3546</v>
      </c>
      <c r="D647" s="7" t="s">
        <v>3547</v>
      </c>
      <c r="E647" s="7" t="s">
        <v>33</v>
      </c>
      <c r="F647" s="7" t="s">
        <v>34</v>
      </c>
      <c r="G647" s="7" t="s">
        <v>946</v>
      </c>
      <c r="H647" s="7"/>
      <c r="I647" s="7"/>
      <c r="J647" s="7" t="s">
        <v>336</v>
      </c>
      <c r="K647" s="7" t="s">
        <v>2717</v>
      </c>
      <c r="L647" s="7" t="s">
        <v>2718</v>
      </c>
      <c r="M647" s="7" t="s">
        <v>2719</v>
      </c>
      <c r="N647" s="7" t="s">
        <v>459</v>
      </c>
      <c r="O647" s="7">
        <v>9</v>
      </c>
      <c r="P647" s="7"/>
      <c r="Q647" s="7"/>
      <c r="R647" s="7"/>
      <c r="S647" s="7"/>
      <c r="T647" s="7"/>
      <c r="U647" s="7"/>
      <c r="V647" s="7"/>
      <c r="W647" s="7"/>
      <c r="X647" s="7"/>
      <c r="Y647" s="7" t="s">
        <v>451</v>
      </c>
      <c r="Z647" s="7" t="s">
        <v>452</v>
      </c>
      <c r="AA647" s="7">
        <v>70808</v>
      </c>
      <c r="AB647" s="7" t="s">
        <v>43</v>
      </c>
      <c r="AC647" s="7"/>
      <c r="AD647" s="7"/>
      <c r="AE647" s="7"/>
      <c r="AF647" s="7"/>
      <c r="AG647" s="8">
        <f t="shared" si="10"/>
        <v>43326</v>
      </c>
    </row>
    <row r="648" spans="1:33">
      <c r="A648" s="7" t="s">
        <v>3548</v>
      </c>
      <c r="B648" s="7" t="s">
        <v>3549</v>
      </c>
      <c r="C648" s="7" t="s">
        <v>3550</v>
      </c>
      <c r="D648" s="7" t="s">
        <v>3551</v>
      </c>
      <c r="E648" s="7" t="s">
        <v>33</v>
      </c>
      <c r="F648" s="7" t="s">
        <v>34</v>
      </c>
      <c r="G648" s="7" t="s">
        <v>946</v>
      </c>
      <c r="H648" s="7"/>
      <c r="I648" s="7"/>
      <c r="J648" s="7" t="s">
        <v>336</v>
      </c>
      <c r="K648" s="7" t="s">
        <v>2293</v>
      </c>
      <c r="L648" s="7" t="s">
        <v>2294</v>
      </c>
      <c r="M648" s="7" t="s">
        <v>2295</v>
      </c>
      <c r="N648" s="7" t="s">
        <v>459</v>
      </c>
      <c r="O648" s="7">
        <v>7</v>
      </c>
      <c r="P648" s="7"/>
      <c r="Q648" s="7"/>
      <c r="R648" s="7"/>
      <c r="S648" s="7"/>
      <c r="T648" s="7"/>
      <c r="U648" s="7"/>
      <c r="V648" s="7"/>
      <c r="W648" s="7"/>
      <c r="X648" s="7"/>
      <c r="Y648" s="7" t="s">
        <v>451</v>
      </c>
      <c r="Z648" s="7" t="s">
        <v>452</v>
      </c>
      <c r="AA648" s="7">
        <v>70808</v>
      </c>
      <c r="AB648" s="7" t="s">
        <v>43</v>
      </c>
      <c r="AC648" s="7"/>
      <c r="AD648" s="7"/>
      <c r="AE648" s="7"/>
      <c r="AF648" s="7"/>
      <c r="AG648" s="8">
        <f t="shared" si="10"/>
        <v>43326</v>
      </c>
    </row>
    <row r="649" spans="1:33">
      <c r="A649" s="7" t="s">
        <v>3552</v>
      </c>
      <c r="B649" s="7" t="s">
        <v>3553</v>
      </c>
      <c r="C649" s="7" t="s">
        <v>3554</v>
      </c>
      <c r="D649" s="7" t="s">
        <v>3555</v>
      </c>
      <c r="E649" s="7" t="s">
        <v>33</v>
      </c>
      <c r="F649" s="7" t="s">
        <v>34</v>
      </c>
      <c r="G649" s="7" t="s">
        <v>946</v>
      </c>
      <c r="H649" s="7"/>
      <c r="I649" s="7"/>
      <c r="J649" s="7" t="s">
        <v>336</v>
      </c>
      <c r="K649" s="7" t="s">
        <v>3556</v>
      </c>
      <c r="L649" s="7" t="s">
        <v>3557</v>
      </c>
      <c r="M649" s="7" t="s">
        <v>3558</v>
      </c>
      <c r="N649" s="7" t="s">
        <v>459</v>
      </c>
      <c r="O649" s="7">
        <v>6</v>
      </c>
      <c r="P649" s="7"/>
      <c r="Q649" s="7"/>
      <c r="R649" s="7"/>
      <c r="S649" s="7"/>
      <c r="T649" s="7"/>
      <c r="U649" s="7"/>
      <c r="V649" s="7"/>
      <c r="W649" s="7"/>
      <c r="X649" s="7"/>
      <c r="Y649" s="7" t="s">
        <v>451</v>
      </c>
      <c r="Z649" s="7" t="s">
        <v>452</v>
      </c>
      <c r="AA649" s="7">
        <v>70808</v>
      </c>
      <c r="AB649" s="7" t="s">
        <v>43</v>
      </c>
      <c r="AC649" s="7"/>
      <c r="AD649" s="7"/>
      <c r="AE649" s="7"/>
      <c r="AF649" s="7"/>
      <c r="AG649" s="8">
        <f t="shared" si="10"/>
        <v>43326</v>
      </c>
    </row>
    <row r="650" spans="1:33">
      <c r="A650" s="7" t="s">
        <v>3559</v>
      </c>
      <c r="B650" s="7" t="s">
        <v>3560</v>
      </c>
      <c r="C650" s="7" t="s">
        <v>3561</v>
      </c>
      <c r="D650" s="7" t="s">
        <v>3562</v>
      </c>
      <c r="E650" s="7" t="s">
        <v>33</v>
      </c>
      <c r="F650" s="7" t="s">
        <v>34</v>
      </c>
      <c r="G650" s="7" t="s">
        <v>946</v>
      </c>
      <c r="H650" s="7"/>
      <c r="I650" s="7"/>
      <c r="J650" s="7" t="s">
        <v>336</v>
      </c>
      <c r="K650" s="7" t="s">
        <v>2333</v>
      </c>
      <c r="L650" s="7" t="s">
        <v>2334</v>
      </c>
      <c r="M650" s="7" t="s">
        <v>2335</v>
      </c>
      <c r="N650" s="7" t="s">
        <v>459</v>
      </c>
      <c r="O650" s="7">
        <v>4</v>
      </c>
      <c r="P650" s="7"/>
      <c r="Q650" s="7"/>
      <c r="R650" s="7"/>
      <c r="S650" s="7"/>
      <c r="T650" s="7"/>
      <c r="U650" s="7"/>
      <c r="V650" s="7"/>
      <c r="W650" s="7"/>
      <c r="X650" s="7"/>
      <c r="Y650" s="7" t="s">
        <v>451</v>
      </c>
      <c r="Z650" s="7" t="s">
        <v>452</v>
      </c>
      <c r="AA650" s="7">
        <v>70808</v>
      </c>
      <c r="AB650" s="7" t="s">
        <v>43</v>
      </c>
      <c r="AC650" s="7"/>
      <c r="AD650" s="7"/>
      <c r="AE650" s="7"/>
      <c r="AF650" s="7"/>
      <c r="AG650" s="8">
        <f t="shared" si="10"/>
        <v>43326</v>
      </c>
    </row>
    <row r="651" spans="1:33">
      <c r="A651" s="7" t="s">
        <v>3563</v>
      </c>
      <c r="B651" s="7" t="s">
        <v>3563</v>
      </c>
      <c r="C651" s="7" t="s">
        <v>3564</v>
      </c>
      <c r="D651" s="7" t="s">
        <v>3565</v>
      </c>
      <c r="E651" s="7" t="s">
        <v>33</v>
      </c>
      <c r="F651" s="7" t="s">
        <v>34</v>
      </c>
      <c r="G651" s="7" t="s">
        <v>35</v>
      </c>
      <c r="H651" s="7"/>
      <c r="I651" s="7"/>
      <c r="J651" s="7" t="s">
        <v>36</v>
      </c>
      <c r="K651" s="7" t="s">
        <v>617</v>
      </c>
      <c r="L651" s="7" t="s">
        <v>618</v>
      </c>
      <c r="M651" s="7" t="s">
        <v>619</v>
      </c>
      <c r="N651" s="7" t="s">
        <v>33</v>
      </c>
      <c r="O651" s="7">
        <v>1</v>
      </c>
      <c r="P651" s="7" t="s">
        <v>40</v>
      </c>
      <c r="Q651" s="7">
        <v>18.99</v>
      </c>
      <c r="R651" s="7"/>
      <c r="S651" s="7"/>
      <c r="T651" s="7"/>
      <c r="U651" s="7"/>
      <c r="V651" s="7"/>
      <c r="W651" s="7"/>
      <c r="X651" s="7"/>
      <c r="Y651" s="7" t="s">
        <v>3566</v>
      </c>
      <c r="Z651" s="7" t="s">
        <v>94</v>
      </c>
      <c r="AA651" s="7" t="s">
        <v>3567</v>
      </c>
      <c r="AB651" s="7" t="s">
        <v>43</v>
      </c>
      <c r="AC651" s="7"/>
      <c r="AD651" s="7"/>
      <c r="AE651" s="7"/>
      <c r="AF651" s="7"/>
      <c r="AG651" s="8">
        <f t="shared" si="10"/>
        <v>43326</v>
      </c>
    </row>
    <row r="652" spans="1:33">
      <c r="A652" s="7" t="s">
        <v>3568</v>
      </c>
      <c r="B652" s="7" t="s">
        <v>3568</v>
      </c>
      <c r="C652" s="7" t="s">
        <v>3569</v>
      </c>
      <c r="D652" s="7" t="s">
        <v>3570</v>
      </c>
      <c r="E652" s="7" t="s">
        <v>33</v>
      </c>
      <c r="F652" s="7" t="s">
        <v>34</v>
      </c>
      <c r="G652" s="7" t="s">
        <v>35</v>
      </c>
      <c r="H652" s="7"/>
      <c r="I652" s="7"/>
      <c r="J652" s="7" t="s">
        <v>36</v>
      </c>
      <c r="K652" s="7" t="s">
        <v>255</v>
      </c>
      <c r="L652" s="7" t="s">
        <v>256</v>
      </c>
      <c r="M652" s="7" t="s">
        <v>257</v>
      </c>
      <c r="N652" s="7" t="s">
        <v>33</v>
      </c>
      <c r="O652" s="7">
        <v>1</v>
      </c>
      <c r="P652" s="7" t="s">
        <v>40</v>
      </c>
      <c r="Q652" s="7">
        <v>19.99</v>
      </c>
      <c r="R652" s="7"/>
      <c r="S652" s="7"/>
      <c r="T652" s="7"/>
      <c r="U652" s="7"/>
      <c r="V652" s="7"/>
      <c r="W652" s="7"/>
      <c r="X652" s="7"/>
      <c r="Y652" s="7" t="s">
        <v>3571</v>
      </c>
      <c r="Z652" s="7" t="s">
        <v>135</v>
      </c>
      <c r="AA652" s="7" t="s">
        <v>3572</v>
      </c>
      <c r="AB652" s="7" t="s">
        <v>43</v>
      </c>
      <c r="AC652" s="7"/>
      <c r="AD652" s="7"/>
      <c r="AE652" s="7"/>
      <c r="AF652" s="7"/>
      <c r="AG652" s="8">
        <f t="shared" si="10"/>
        <v>43326</v>
      </c>
    </row>
    <row r="653" spans="1:33">
      <c r="A653" s="7" t="s">
        <v>3573</v>
      </c>
      <c r="B653" s="7" t="s">
        <v>3573</v>
      </c>
      <c r="C653" s="7" t="s">
        <v>3574</v>
      </c>
      <c r="D653" s="7" t="s">
        <v>3575</v>
      </c>
      <c r="E653" s="7" t="s">
        <v>33</v>
      </c>
      <c r="F653" s="7" t="s">
        <v>34</v>
      </c>
      <c r="G653" s="7" t="s">
        <v>35</v>
      </c>
      <c r="H653" s="7"/>
      <c r="I653" s="7"/>
      <c r="J653" s="7" t="s">
        <v>336</v>
      </c>
      <c r="K653" s="7" t="s">
        <v>131</v>
      </c>
      <c r="L653" s="7" t="s">
        <v>132</v>
      </c>
      <c r="M653" s="7" t="s">
        <v>133</v>
      </c>
      <c r="N653" s="7" t="s">
        <v>33</v>
      </c>
      <c r="O653" s="7">
        <v>1</v>
      </c>
      <c r="P653" s="7" t="s">
        <v>40</v>
      </c>
      <c r="Q653" s="7">
        <v>18.99</v>
      </c>
      <c r="R653" s="7"/>
      <c r="S653" s="7">
        <v>2.82</v>
      </c>
      <c r="T653" s="7"/>
      <c r="U653" s="7"/>
      <c r="V653" s="7"/>
      <c r="W653" s="7"/>
      <c r="X653" s="7">
        <v>2.82</v>
      </c>
      <c r="Y653" s="7" t="s">
        <v>1863</v>
      </c>
      <c r="Z653" s="7" t="s">
        <v>85</v>
      </c>
      <c r="AA653" s="7" t="s">
        <v>3576</v>
      </c>
      <c r="AB653" s="7" t="s">
        <v>43</v>
      </c>
      <c r="AC653" s="7" t="s">
        <v>514</v>
      </c>
      <c r="AD653" s="7"/>
      <c r="AE653" s="7"/>
      <c r="AF653" s="7"/>
      <c r="AG653" s="8">
        <f t="shared" si="10"/>
        <v>43326</v>
      </c>
    </row>
    <row r="654" spans="1:33">
      <c r="A654" s="7" t="s">
        <v>3577</v>
      </c>
      <c r="B654" s="7" t="s">
        <v>3577</v>
      </c>
      <c r="C654" s="7" t="s">
        <v>3578</v>
      </c>
      <c r="D654" s="7" t="s">
        <v>3579</v>
      </c>
      <c r="E654" s="7" t="s">
        <v>33</v>
      </c>
      <c r="F654" s="7" t="s">
        <v>34</v>
      </c>
      <c r="G654" s="7" t="s">
        <v>35</v>
      </c>
      <c r="H654" s="7"/>
      <c r="I654" s="7"/>
      <c r="J654" s="7" t="s">
        <v>336</v>
      </c>
      <c r="K654" s="7" t="s">
        <v>255</v>
      </c>
      <c r="L654" s="7" t="s">
        <v>277</v>
      </c>
      <c r="M654" s="7" t="s">
        <v>278</v>
      </c>
      <c r="N654" s="7" t="s">
        <v>33</v>
      </c>
      <c r="O654" s="7">
        <v>1</v>
      </c>
      <c r="P654" s="7" t="s">
        <v>40</v>
      </c>
      <c r="Q654" s="7">
        <v>19.99</v>
      </c>
      <c r="R654" s="7"/>
      <c r="S654" s="7">
        <v>0.98</v>
      </c>
      <c r="T654" s="7"/>
      <c r="U654" s="7"/>
      <c r="V654" s="7"/>
      <c r="W654" s="7"/>
      <c r="X654" s="7"/>
      <c r="Y654" s="7" t="s">
        <v>3580</v>
      </c>
      <c r="Z654" s="7" t="s">
        <v>59</v>
      </c>
      <c r="AA654" s="7" t="s">
        <v>3581</v>
      </c>
      <c r="AB654" s="7" t="s">
        <v>43</v>
      </c>
      <c r="AC654" s="7"/>
      <c r="AD654" s="7"/>
      <c r="AE654" s="7"/>
      <c r="AF654" s="7"/>
      <c r="AG654" s="8">
        <f t="shared" si="10"/>
        <v>43326</v>
      </c>
    </row>
    <row r="655" spans="1:33">
      <c r="A655" s="7" t="s">
        <v>3582</v>
      </c>
      <c r="B655" s="7" t="s">
        <v>3582</v>
      </c>
      <c r="C655" s="7" t="s">
        <v>3583</v>
      </c>
      <c r="D655" s="7" t="s">
        <v>3584</v>
      </c>
      <c r="E655" s="7" t="s">
        <v>33</v>
      </c>
      <c r="F655" s="7" t="s">
        <v>34</v>
      </c>
      <c r="G655" s="7" t="s">
        <v>35</v>
      </c>
      <c r="H655" s="7"/>
      <c r="I655" s="7"/>
      <c r="J655" s="7" t="s">
        <v>64</v>
      </c>
      <c r="K655" s="7" t="s">
        <v>497</v>
      </c>
      <c r="L655" s="7" t="s">
        <v>1741</v>
      </c>
      <c r="M655" s="7" t="s">
        <v>1742</v>
      </c>
      <c r="N655" s="7" t="s">
        <v>33</v>
      </c>
      <c r="O655" s="7">
        <v>1</v>
      </c>
      <c r="P655" s="7" t="s">
        <v>40</v>
      </c>
      <c r="Q655" s="7">
        <v>19.99</v>
      </c>
      <c r="R655" s="7"/>
      <c r="S655" s="7">
        <v>3.99</v>
      </c>
      <c r="T655" s="7"/>
      <c r="U655" s="7"/>
      <c r="V655" s="7"/>
      <c r="W655" s="7"/>
      <c r="X655" s="7"/>
      <c r="Y655" s="7" t="s">
        <v>3585</v>
      </c>
      <c r="Z655" s="7" t="s">
        <v>227</v>
      </c>
      <c r="AA655" s="7">
        <v>10801</v>
      </c>
      <c r="AB655" s="7" t="s">
        <v>43</v>
      </c>
      <c r="AC655" s="7"/>
      <c r="AD655" s="7"/>
      <c r="AE655" s="7"/>
      <c r="AF655" s="7"/>
      <c r="AG655" s="8">
        <f t="shared" si="10"/>
        <v>43326</v>
      </c>
    </row>
    <row r="656" spans="1:33">
      <c r="A656" s="7" t="s">
        <v>3586</v>
      </c>
      <c r="B656" s="7" t="s">
        <v>3586</v>
      </c>
      <c r="C656" s="7" t="s">
        <v>3587</v>
      </c>
      <c r="D656" s="7" t="s">
        <v>3588</v>
      </c>
      <c r="E656" s="7" t="s">
        <v>33</v>
      </c>
      <c r="F656" s="7" t="s">
        <v>34</v>
      </c>
      <c r="G656" s="7" t="s">
        <v>35</v>
      </c>
      <c r="H656" s="7"/>
      <c r="I656" s="7"/>
      <c r="J656" s="7" t="s">
        <v>36</v>
      </c>
      <c r="K656" s="7" t="s">
        <v>37</v>
      </c>
      <c r="L656" s="7" t="s">
        <v>1092</v>
      </c>
      <c r="M656" s="7" t="s">
        <v>1093</v>
      </c>
      <c r="N656" s="7" t="s">
        <v>33</v>
      </c>
      <c r="O656" s="7">
        <v>1</v>
      </c>
      <c r="P656" s="7" t="s">
        <v>40</v>
      </c>
      <c r="Q656" s="7">
        <v>19.99</v>
      </c>
      <c r="R656" s="7"/>
      <c r="S656" s="7"/>
      <c r="T656" s="7"/>
      <c r="U656" s="7"/>
      <c r="V656" s="7"/>
      <c r="W656" s="7"/>
      <c r="X656" s="7"/>
      <c r="Y656" s="7" t="s">
        <v>3589</v>
      </c>
      <c r="Z656" s="7" t="s">
        <v>3590</v>
      </c>
      <c r="AA656" s="7">
        <v>32162</v>
      </c>
      <c r="AB656" s="7" t="s">
        <v>43</v>
      </c>
      <c r="AC656" s="7"/>
      <c r="AD656" s="7"/>
      <c r="AE656" s="7"/>
      <c r="AF656" s="7"/>
      <c r="AG656" s="8">
        <f t="shared" si="10"/>
        <v>43326</v>
      </c>
    </row>
    <row r="657" spans="1:33">
      <c r="A657" s="7" t="s">
        <v>3591</v>
      </c>
      <c r="B657" s="7" t="s">
        <v>3591</v>
      </c>
      <c r="C657" s="7" t="s">
        <v>3592</v>
      </c>
      <c r="D657" s="7" t="s">
        <v>3593</v>
      </c>
      <c r="E657" s="7" t="s">
        <v>33</v>
      </c>
      <c r="F657" s="7" t="s">
        <v>34</v>
      </c>
      <c r="G657" s="7" t="s">
        <v>35</v>
      </c>
      <c r="H657" s="7"/>
      <c r="I657" s="7"/>
      <c r="J657" s="7" t="s">
        <v>36</v>
      </c>
      <c r="K657" s="7" t="s">
        <v>47</v>
      </c>
      <c r="L657" s="7" t="s">
        <v>725</v>
      </c>
      <c r="M657" s="7" t="s">
        <v>726</v>
      </c>
      <c r="N657" s="7" t="s">
        <v>33</v>
      </c>
      <c r="O657" s="7">
        <v>1</v>
      </c>
      <c r="P657" s="7" t="s">
        <v>40</v>
      </c>
      <c r="Q657" s="7">
        <v>15.99</v>
      </c>
      <c r="R657" s="7"/>
      <c r="S657" s="7"/>
      <c r="T657" s="7"/>
      <c r="U657" s="7"/>
      <c r="V657" s="7"/>
      <c r="W657" s="7"/>
      <c r="X657" s="7"/>
      <c r="Y657" s="7" t="s">
        <v>3594</v>
      </c>
      <c r="Z657" s="7" t="s">
        <v>345</v>
      </c>
      <c r="AA657" s="7" t="s">
        <v>3595</v>
      </c>
      <c r="AB657" s="7" t="s">
        <v>43</v>
      </c>
      <c r="AC657" s="7"/>
      <c r="AD657" s="7"/>
      <c r="AE657" s="7"/>
      <c r="AF657" s="7"/>
      <c r="AG657" s="8">
        <f t="shared" si="10"/>
        <v>43326</v>
      </c>
    </row>
    <row r="658" spans="1:33">
      <c r="A658" s="7" t="s">
        <v>3596</v>
      </c>
      <c r="B658" s="7" t="s">
        <v>3596</v>
      </c>
      <c r="C658" s="7" t="s">
        <v>3597</v>
      </c>
      <c r="D658" s="7" t="s">
        <v>3598</v>
      </c>
      <c r="E658" s="7" t="s">
        <v>33</v>
      </c>
      <c r="F658" s="7" t="s">
        <v>34</v>
      </c>
      <c r="G658" s="7" t="s">
        <v>35</v>
      </c>
      <c r="H658" s="7"/>
      <c r="I658" s="7"/>
      <c r="J658" s="7" t="s">
        <v>36</v>
      </c>
      <c r="K658" s="7" t="s">
        <v>247</v>
      </c>
      <c r="L658" s="7" t="s">
        <v>248</v>
      </c>
      <c r="M658" s="7" t="s">
        <v>249</v>
      </c>
      <c r="N658" s="7" t="s">
        <v>33</v>
      </c>
      <c r="O658" s="7">
        <v>1</v>
      </c>
      <c r="P658" s="7" t="s">
        <v>40</v>
      </c>
      <c r="Q658" s="7">
        <v>18.99</v>
      </c>
      <c r="R658" s="7"/>
      <c r="S658" s="7"/>
      <c r="T658" s="7"/>
      <c r="U658" s="7"/>
      <c r="V658" s="7"/>
      <c r="W658" s="7"/>
      <c r="X658" s="7"/>
      <c r="Y658" s="7" t="s">
        <v>2450</v>
      </c>
      <c r="Z658" s="7" t="s">
        <v>378</v>
      </c>
      <c r="AA658" s="7" t="s">
        <v>3599</v>
      </c>
      <c r="AB658" s="7" t="s">
        <v>43</v>
      </c>
      <c r="AC658" s="7"/>
      <c r="AD658" s="7"/>
      <c r="AE658" s="7"/>
      <c r="AF658" s="7"/>
      <c r="AG658" s="8">
        <f t="shared" si="10"/>
        <v>43326</v>
      </c>
    </row>
    <row r="659" spans="1:33">
      <c r="A659" s="7" t="s">
        <v>3600</v>
      </c>
      <c r="B659" s="7" t="s">
        <v>3600</v>
      </c>
      <c r="C659" s="7" t="s">
        <v>3601</v>
      </c>
      <c r="D659" s="7" t="s">
        <v>3602</v>
      </c>
      <c r="E659" s="7" t="s">
        <v>33</v>
      </c>
      <c r="F659" s="7" t="s">
        <v>34</v>
      </c>
      <c r="G659" s="7" t="s">
        <v>35</v>
      </c>
      <c r="H659" s="7"/>
      <c r="I659" s="7"/>
      <c r="J659" s="7" t="s">
        <v>336</v>
      </c>
      <c r="K659" s="7" t="s">
        <v>255</v>
      </c>
      <c r="L659" s="7" t="s">
        <v>277</v>
      </c>
      <c r="M659" s="7" t="s">
        <v>278</v>
      </c>
      <c r="N659" s="7" t="s">
        <v>33</v>
      </c>
      <c r="O659" s="7">
        <v>1</v>
      </c>
      <c r="P659" s="7" t="s">
        <v>40</v>
      </c>
      <c r="Q659" s="7">
        <v>19.99</v>
      </c>
      <c r="R659" s="7"/>
      <c r="S659" s="7"/>
      <c r="T659" s="7"/>
      <c r="U659" s="7"/>
      <c r="V659" s="7"/>
      <c r="W659" s="7"/>
      <c r="X659" s="7"/>
      <c r="Y659" s="7" t="s">
        <v>3603</v>
      </c>
      <c r="Z659" s="7" t="s">
        <v>3604</v>
      </c>
      <c r="AA659" s="7">
        <v>96703</v>
      </c>
      <c r="AB659" s="7" t="s">
        <v>43</v>
      </c>
      <c r="AC659" s="7"/>
      <c r="AD659" s="7"/>
      <c r="AE659" s="7"/>
      <c r="AF659" s="7"/>
      <c r="AG659" s="8">
        <f t="shared" si="10"/>
        <v>43326</v>
      </c>
    </row>
    <row r="660" spans="1:33">
      <c r="A660" s="7" t="s">
        <v>3605</v>
      </c>
      <c r="B660" s="7" t="s">
        <v>3605</v>
      </c>
      <c r="C660" s="7" t="s">
        <v>3606</v>
      </c>
      <c r="D660" s="7" t="s">
        <v>3607</v>
      </c>
      <c r="E660" s="7" t="s">
        <v>33</v>
      </c>
      <c r="F660" s="7" t="s">
        <v>34</v>
      </c>
      <c r="G660" s="7" t="s">
        <v>35</v>
      </c>
      <c r="H660" s="7"/>
      <c r="I660" s="7"/>
      <c r="J660" s="7" t="s">
        <v>36</v>
      </c>
      <c r="K660" s="7" t="s">
        <v>120</v>
      </c>
      <c r="L660" s="7" t="s">
        <v>293</v>
      </c>
      <c r="M660" s="7" t="s">
        <v>294</v>
      </c>
      <c r="N660" s="7" t="s">
        <v>33</v>
      </c>
      <c r="O660" s="7">
        <v>1</v>
      </c>
      <c r="P660" s="7" t="s">
        <v>40</v>
      </c>
      <c r="Q660" s="7">
        <v>18.99</v>
      </c>
      <c r="R660" s="7">
        <v>1.63</v>
      </c>
      <c r="S660" s="7"/>
      <c r="T660" s="7"/>
      <c r="U660" s="7"/>
      <c r="V660" s="7"/>
      <c r="W660" s="7"/>
      <c r="X660" s="7"/>
      <c r="Y660" s="7" t="s">
        <v>3608</v>
      </c>
      <c r="Z660" s="7" t="s">
        <v>882</v>
      </c>
      <c r="AA660" s="7" t="s">
        <v>3609</v>
      </c>
      <c r="AB660" s="7" t="s">
        <v>43</v>
      </c>
      <c r="AC660" s="7"/>
      <c r="AD660" s="7"/>
      <c r="AE660" s="7"/>
      <c r="AF660" s="7"/>
      <c r="AG660" s="8">
        <f t="shared" si="10"/>
        <v>43326</v>
      </c>
    </row>
    <row r="661" spans="1:33">
      <c r="A661" s="7" t="s">
        <v>3605</v>
      </c>
      <c r="B661" s="7" t="s">
        <v>3605</v>
      </c>
      <c r="C661" s="7" t="s">
        <v>3606</v>
      </c>
      <c r="D661" s="7" t="s">
        <v>3607</v>
      </c>
      <c r="E661" s="7" t="s">
        <v>33</v>
      </c>
      <c r="F661" s="7" t="s">
        <v>34</v>
      </c>
      <c r="G661" s="7" t="s">
        <v>35</v>
      </c>
      <c r="H661" s="7"/>
      <c r="I661" s="7"/>
      <c r="J661" s="7" t="s">
        <v>36</v>
      </c>
      <c r="K661" s="7" t="s">
        <v>120</v>
      </c>
      <c r="L661" s="7" t="s">
        <v>465</v>
      </c>
      <c r="M661" s="7" t="s">
        <v>466</v>
      </c>
      <c r="N661" s="7" t="s">
        <v>33</v>
      </c>
      <c r="O661" s="7">
        <v>1</v>
      </c>
      <c r="P661" s="7" t="s">
        <v>40</v>
      </c>
      <c r="Q661" s="7">
        <v>16.99</v>
      </c>
      <c r="R661" s="7">
        <v>1.46</v>
      </c>
      <c r="S661" s="7"/>
      <c r="T661" s="7"/>
      <c r="U661" s="7"/>
      <c r="V661" s="7"/>
      <c r="W661" s="7"/>
      <c r="X661" s="7"/>
      <c r="Y661" s="7" t="s">
        <v>3608</v>
      </c>
      <c r="Z661" s="7" t="s">
        <v>882</v>
      </c>
      <c r="AA661" s="7" t="s">
        <v>3609</v>
      </c>
      <c r="AB661" s="7" t="s">
        <v>43</v>
      </c>
      <c r="AC661" s="7"/>
      <c r="AD661" s="7"/>
      <c r="AE661" s="7"/>
      <c r="AF661" s="7"/>
      <c r="AG661" s="8">
        <f t="shared" si="10"/>
        <v>43326</v>
      </c>
    </row>
    <row r="662" spans="1:33">
      <c r="A662" s="7" t="s">
        <v>3610</v>
      </c>
      <c r="B662" s="7" t="s">
        <v>3610</v>
      </c>
      <c r="C662" s="7" t="s">
        <v>3611</v>
      </c>
      <c r="D662" s="7" t="s">
        <v>3612</v>
      </c>
      <c r="E662" s="7" t="s">
        <v>33</v>
      </c>
      <c r="F662" s="7" t="s">
        <v>34</v>
      </c>
      <c r="G662" s="7" t="s">
        <v>35</v>
      </c>
      <c r="H662" s="7"/>
      <c r="I662" s="7"/>
      <c r="J662" s="7" t="s">
        <v>36</v>
      </c>
      <c r="K662" s="7" t="s">
        <v>255</v>
      </c>
      <c r="L662" s="7" t="s">
        <v>1647</v>
      </c>
      <c r="M662" s="7" t="s">
        <v>1648</v>
      </c>
      <c r="N662" s="7" t="s">
        <v>33</v>
      </c>
      <c r="O662" s="7">
        <v>1</v>
      </c>
      <c r="P662" s="7" t="s">
        <v>40</v>
      </c>
      <c r="Q662" s="7">
        <v>19.99</v>
      </c>
      <c r="R662" s="7"/>
      <c r="S662" s="7"/>
      <c r="T662" s="7"/>
      <c r="U662" s="7"/>
      <c r="V662" s="7"/>
      <c r="W662" s="7"/>
      <c r="X662" s="7"/>
      <c r="Y662" s="7" t="s">
        <v>3613</v>
      </c>
      <c r="Z662" s="7" t="s">
        <v>69</v>
      </c>
      <c r="AA662" s="7" t="s">
        <v>3614</v>
      </c>
      <c r="AB662" s="7" t="s">
        <v>43</v>
      </c>
      <c r="AC662" s="7"/>
      <c r="AD662" s="7"/>
      <c r="AE662" s="7"/>
      <c r="AF662" s="7"/>
      <c r="AG662" s="8">
        <f t="shared" si="10"/>
        <v>43326</v>
      </c>
    </row>
    <row r="663" spans="1:33">
      <c r="A663" s="7" t="s">
        <v>3615</v>
      </c>
      <c r="B663" s="7" t="s">
        <v>3615</v>
      </c>
      <c r="C663" s="7" t="s">
        <v>3616</v>
      </c>
      <c r="D663" s="7" t="s">
        <v>3617</v>
      </c>
      <c r="E663" s="7" t="s">
        <v>33</v>
      </c>
      <c r="F663" s="7" t="s">
        <v>34</v>
      </c>
      <c r="G663" s="7" t="s">
        <v>35</v>
      </c>
      <c r="H663" s="7"/>
      <c r="I663" s="7"/>
      <c r="J663" s="7" t="s">
        <v>36</v>
      </c>
      <c r="K663" s="7" t="s">
        <v>155</v>
      </c>
      <c r="L663" s="7" t="s">
        <v>813</v>
      </c>
      <c r="M663" s="7" t="s">
        <v>814</v>
      </c>
      <c r="N663" s="7" t="s">
        <v>33</v>
      </c>
      <c r="O663" s="7">
        <v>1</v>
      </c>
      <c r="P663" s="7" t="s">
        <v>40</v>
      </c>
      <c r="Q663" s="7">
        <v>19.99</v>
      </c>
      <c r="R663" s="7"/>
      <c r="S663" s="7"/>
      <c r="T663" s="7"/>
      <c r="U663" s="7"/>
      <c r="V663" s="7"/>
      <c r="W663" s="7"/>
      <c r="X663" s="7"/>
      <c r="Y663" s="7" t="s">
        <v>801</v>
      </c>
      <c r="Z663" s="7" t="s">
        <v>1194</v>
      </c>
      <c r="AA663" s="7" t="s">
        <v>2316</v>
      </c>
      <c r="AB663" s="7" t="s">
        <v>43</v>
      </c>
      <c r="AC663" s="7"/>
      <c r="AD663" s="7"/>
      <c r="AE663" s="7"/>
      <c r="AF663" s="7"/>
      <c r="AG663" s="8">
        <f t="shared" si="10"/>
        <v>43326</v>
      </c>
    </row>
    <row r="664" spans="1:33">
      <c r="A664" s="7" t="s">
        <v>3618</v>
      </c>
      <c r="B664" s="7" t="s">
        <v>3618</v>
      </c>
      <c r="C664" s="7" t="s">
        <v>3619</v>
      </c>
      <c r="D664" s="7" t="s">
        <v>3620</v>
      </c>
      <c r="E664" s="7" t="s">
        <v>33</v>
      </c>
      <c r="F664" s="7" t="s">
        <v>34</v>
      </c>
      <c r="G664" s="7" t="s">
        <v>35</v>
      </c>
      <c r="H664" s="7"/>
      <c r="I664" s="7"/>
      <c r="J664" s="7" t="s">
        <v>36</v>
      </c>
      <c r="K664" s="7" t="s">
        <v>2653</v>
      </c>
      <c r="L664" s="7" t="s">
        <v>2654</v>
      </c>
      <c r="M664" s="7" t="s">
        <v>2655</v>
      </c>
      <c r="N664" s="7" t="s">
        <v>33</v>
      </c>
      <c r="O664" s="7">
        <v>1</v>
      </c>
      <c r="P664" s="7" t="s">
        <v>40</v>
      </c>
      <c r="Q664" s="7">
        <v>17.99</v>
      </c>
      <c r="R664" s="7"/>
      <c r="S664" s="7"/>
      <c r="T664" s="7"/>
      <c r="U664" s="7"/>
      <c r="V664" s="7"/>
      <c r="W664" s="7"/>
      <c r="X664" s="7"/>
      <c r="Y664" s="7" t="s">
        <v>3621</v>
      </c>
      <c r="Z664" s="7" t="s">
        <v>323</v>
      </c>
      <c r="AA664" s="7" t="s">
        <v>3622</v>
      </c>
      <c r="AB664" s="7" t="s">
        <v>43</v>
      </c>
      <c r="AC664" s="7"/>
      <c r="AD664" s="7"/>
      <c r="AE664" s="7"/>
      <c r="AF664" s="7"/>
      <c r="AG664" s="8">
        <f t="shared" si="10"/>
        <v>43326</v>
      </c>
    </row>
    <row r="665" spans="1:33">
      <c r="A665" s="7" t="s">
        <v>3623</v>
      </c>
      <c r="B665" s="7" t="s">
        <v>3623</v>
      </c>
      <c r="C665" s="7" t="s">
        <v>3624</v>
      </c>
      <c r="D665" s="7" t="s">
        <v>3625</v>
      </c>
      <c r="E665" s="7" t="s">
        <v>33</v>
      </c>
      <c r="F665" s="7" t="s">
        <v>34</v>
      </c>
      <c r="G665" s="7" t="s">
        <v>35</v>
      </c>
      <c r="H665" s="7"/>
      <c r="I665" s="7"/>
      <c r="J665" s="7" t="s">
        <v>64</v>
      </c>
      <c r="K665" s="7" t="s">
        <v>456</v>
      </c>
      <c r="L665" s="7" t="s">
        <v>1280</v>
      </c>
      <c r="M665" s="7" t="s">
        <v>1281</v>
      </c>
      <c r="N665" s="7" t="s">
        <v>33</v>
      </c>
      <c r="O665" s="7">
        <v>1</v>
      </c>
      <c r="P665" s="7" t="s">
        <v>40</v>
      </c>
      <c r="Q665" s="7">
        <v>12.99</v>
      </c>
      <c r="R665" s="7"/>
      <c r="S665" s="7">
        <v>3.99</v>
      </c>
      <c r="T665" s="7"/>
      <c r="U665" s="7"/>
      <c r="V665" s="7"/>
      <c r="W665" s="7"/>
      <c r="X665" s="7"/>
      <c r="Y665" s="7" t="s">
        <v>3626</v>
      </c>
      <c r="Z665" s="7" t="s">
        <v>345</v>
      </c>
      <c r="AA665" s="7" t="s">
        <v>3627</v>
      </c>
      <c r="AB665" s="7" t="s">
        <v>43</v>
      </c>
      <c r="AC665" s="7"/>
      <c r="AD665" s="7"/>
      <c r="AE665" s="7"/>
      <c r="AF665" s="7"/>
      <c r="AG665" s="8">
        <f t="shared" si="10"/>
        <v>43326</v>
      </c>
    </row>
    <row r="666" spans="1:33">
      <c r="A666" s="7" t="s">
        <v>3628</v>
      </c>
      <c r="B666" s="7" t="s">
        <v>3628</v>
      </c>
      <c r="C666" s="7" t="s">
        <v>3629</v>
      </c>
      <c r="D666" s="7" t="s">
        <v>3630</v>
      </c>
      <c r="E666" s="7" t="s">
        <v>33</v>
      </c>
      <c r="F666" s="7" t="s">
        <v>34</v>
      </c>
      <c r="G666" s="7" t="s">
        <v>35</v>
      </c>
      <c r="H666" s="7"/>
      <c r="I666" s="7"/>
      <c r="J666" s="7" t="s">
        <v>36</v>
      </c>
      <c r="K666" s="7" t="s">
        <v>90</v>
      </c>
      <c r="L666" s="7" t="s">
        <v>140</v>
      </c>
      <c r="M666" s="7" t="s">
        <v>141</v>
      </c>
      <c r="N666" s="7" t="s">
        <v>33</v>
      </c>
      <c r="O666" s="7">
        <v>1</v>
      </c>
      <c r="P666" s="7" t="s">
        <v>40</v>
      </c>
      <c r="Q666" s="7">
        <v>12.99</v>
      </c>
      <c r="R666" s="7"/>
      <c r="S666" s="7"/>
      <c r="T666" s="7"/>
      <c r="U666" s="7"/>
      <c r="V666" s="7"/>
      <c r="W666" s="7"/>
      <c r="X666" s="7"/>
      <c r="Y666" s="7" t="s">
        <v>3631</v>
      </c>
      <c r="Z666" s="7" t="s">
        <v>174</v>
      </c>
      <c r="AA666" s="7" t="s">
        <v>3632</v>
      </c>
      <c r="AB666" s="7" t="s">
        <v>43</v>
      </c>
      <c r="AC666" s="7"/>
      <c r="AD666" s="7"/>
      <c r="AE666" s="7"/>
      <c r="AF666" s="7"/>
      <c r="AG666" s="8">
        <f t="shared" si="10"/>
        <v>43326</v>
      </c>
    </row>
    <row r="667" spans="1:33">
      <c r="A667" s="7" t="s">
        <v>3633</v>
      </c>
      <c r="B667" s="7" t="s">
        <v>3633</v>
      </c>
      <c r="C667" s="7" t="s">
        <v>3634</v>
      </c>
      <c r="D667" s="7" t="s">
        <v>3635</v>
      </c>
      <c r="E667" s="7" t="s">
        <v>33</v>
      </c>
      <c r="F667" s="7" t="s">
        <v>34</v>
      </c>
      <c r="G667" s="7" t="s">
        <v>35</v>
      </c>
      <c r="H667" s="7"/>
      <c r="I667" s="7"/>
      <c r="J667" s="7" t="s">
        <v>36</v>
      </c>
      <c r="K667" s="7" t="s">
        <v>247</v>
      </c>
      <c r="L667" s="7" t="s">
        <v>248</v>
      </c>
      <c r="M667" s="7" t="s">
        <v>249</v>
      </c>
      <c r="N667" s="7" t="s">
        <v>33</v>
      </c>
      <c r="O667" s="7">
        <v>1</v>
      </c>
      <c r="P667" s="7" t="s">
        <v>40</v>
      </c>
      <c r="Q667" s="7">
        <v>18.99</v>
      </c>
      <c r="R667" s="7"/>
      <c r="S667" s="7"/>
      <c r="T667" s="7"/>
      <c r="U667" s="7"/>
      <c r="V667" s="7"/>
      <c r="W667" s="7"/>
      <c r="X667" s="7"/>
      <c r="Y667" s="7" t="s">
        <v>1165</v>
      </c>
      <c r="Z667" s="7" t="s">
        <v>143</v>
      </c>
      <c r="AA667" s="7" t="s">
        <v>3636</v>
      </c>
      <c r="AB667" s="7" t="s">
        <v>43</v>
      </c>
      <c r="AC667" s="7"/>
      <c r="AD667" s="7"/>
      <c r="AE667" s="7"/>
      <c r="AF667" s="7"/>
      <c r="AG667" s="8">
        <f t="shared" si="10"/>
        <v>43326</v>
      </c>
    </row>
    <row r="668" spans="1:33">
      <c r="A668" s="7" t="s">
        <v>3637</v>
      </c>
      <c r="B668" s="7" t="s">
        <v>3637</v>
      </c>
      <c r="C668" s="7" t="s">
        <v>3638</v>
      </c>
      <c r="D668" s="7" t="s">
        <v>3639</v>
      </c>
      <c r="E668" s="7" t="s">
        <v>33</v>
      </c>
      <c r="F668" s="7" t="s">
        <v>34</v>
      </c>
      <c r="G668" s="7" t="s">
        <v>35</v>
      </c>
      <c r="H668" s="7"/>
      <c r="I668" s="7"/>
      <c r="J668" s="7" t="s">
        <v>36</v>
      </c>
      <c r="K668" s="7" t="s">
        <v>456</v>
      </c>
      <c r="L668" s="7" t="s">
        <v>1280</v>
      </c>
      <c r="M668" s="7" t="s">
        <v>1281</v>
      </c>
      <c r="N668" s="7" t="s">
        <v>33</v>
      </c>
      <c r="O668" s="7">
        <v>1</v>
      </c>
      <c r="P668" s="7" t="s">
        <v>40</v>
      </c>
      <c r="Q668" s="7">
        <v>12.99</v>
      </c>
      <c r="R668" s="7"/>
      <c r="S668" s="7"/>
      <c r="T668" s="7"/>
      <c r="U668" s="7"/>
      <c r="V668" s="7"/>
      <c r="W668" s="7"/>
      <c r="X668" s="7"/>
      <c r="Y668" s="7" t="s">
        <v>362</v>
      </c>
      <c r="Z668" s="7" t="s">
        <v>227</v>
      </c>
      <c r="AA668" s="7" t="s">
        <v>3640</v>
      </c>
      <c r="AB668" s="7" t="s">
        <v>43</v>
      </c>
      <c r="AC668" s="7"/>
      <c r="AD668" s="7"/>
      <c r="AE668" s="7"/>
      <c r="AF668" s="7"/>
      <c r="AG668" s="8">
        <f t="shared" si="10"/>
        <v>43326</v>
      </c>
    </row>
    <row r="669" spans="1:33">
      <c r="A669" s="7" t="s">
        <v>3641</v>
      </c>
      <c r="B669" s="7" t="s">
        <v>3641</v>
      </c>
      <c r="C669" s="7" t="s">
        <v>3642</v>
      </c>
      <c r="D669" s="7" t="s">
        <v>2754</v>
      </c>
      <c r="E669" s="7" t="s">
        <v>33</v>
      </c>
      <c r="F669" s="7" t="s">
        <v>34</v>
      </c>
      <c r="G669" s="7" t="s">
        <v>35</v>
      </c>
      <c r="H669" s="7"/>
      <c r="I669" s="7"/>
      <c r="J669" s="7" t="s">
        <v>36</v>
      </c>
      <c r="K669" s="7" t="s">
        <v>90</v>
      </c>
      <c r="L669" s="7" t="s">
        <v>140</v>
      </c>
      <c r="M669" s="7" t="s">
        <v>141</v>
      </c>
      <c r="N669" s="7" t="s">
        <v>33</v>
      </c>
      <c r="O669" s="7">
        <v>1</v>
      </c>
      <c r="P669" s="7" t="s">
        <v>40</v>
      </c>
      <c r="Q669" s="7">
        <v>12.99</v>
      </c>
      <c r="R669" s="7"/>
      <c r="S669" s="7"/>
      <c r="T669" s="7"/>
      <c r="U669" s="7"/>
      <c r="V669" s="7"/>
      <c r="W669" s="7"/>
      <c r="X669" s="7"/>
      <c r="Y669" s="7" t="s">
        <v>3643</v>
      </c>
      <c r="Z669" s="7" t="s">
        <v>59</v>
      </c>
      <c r="AA669" s="7" t="s">
        <v>3644</v>
      </c>
      <c r="AB669" s="7" t="s">
        <v>43</v>
      </c>
      <c r="AC669" s="7"/>
      <c r="AD669" s="7"/>
      <c r="AE669" s="7"/>
      <c r="AF669" s="7"/>
      <c r="AG669" s="8">
        <f t="shared" si="10"/>
        <v>43326</v>
      </c>
    </row>
    <row r="670" spans="1:33">
      <c r="A670" s="7" t="s">
        <v>3645</v>
      </c>
      <c r="B670" s="7" t="s">
        <v>3645</v>
      </c>
      <c r="C670" s="7" t="s">
        <v>3646</v>
      </c>
      <c r="D670" s="7" t="s">
        <v>3647</v>
      </c>
      <c r="E670" s="7" t="s">
        <v>33</v>
      </c>
      <c r="F670" s="7" t="s">
        <v>34</v>
      </c>
      <c r="G670" s="7" t="s">
        <v>35</v>
      </c>
      <c r="H670" s="7"/>
      <c r="I670" s="7"/>
      <c r="J670" s="7" t="s">
        <v>36</v>
      </c>
      <c r="K670" s="7" t="s">
        <v>3648</v>
      </c>
      <c r="L670" s="7" t="s">
        <v>3649</v>
      </c>
      <c r="M670" s="7" t="s">
        <v>3650</v>
      </c>
      <c r="N670" s="7" t="s">
        <v>33</v>
      </c>
      <c r="O670" s="7">
        <v>1</v>
      </c>
      <c r="P670" s="7" t="s">
        <v>40</v>
      </c>
      <c r="Q670" s="7">
        <v>16.99</v>
      </c>
      <c r="R670" s="7"/>
      <c r="S670" s="7"/>
      <c r="T670" s="7"/>
      <c r="U670" s="7"/>
      <c r="V670" s="7"/>
      <c r="W670" s="7"/>
      <c r="X670" s="7"/>
      <c r="Y670" s="7" t="s">
        <v>3651</v>
      </c>
      <c r="Z670" s="7" t="s">
        <v>94</v>
      </c>
      <c r="AA670" s="7" t="s">
        <v>3652</v>
      </c>
      <c r="AB670" s="7" t="s">
        <v>43</v>
      </c>
      <c r="AC670" s="7"/>
      <c r="AD670" s="7"/>
      <c r="AE670" s="7"/>
      <c r="AF670" s="7"/>
      <c r="AG670" s="8">
        <f t="shared" si="10"/>
        <v>43326</v>
      </c>
    </row>
    <row r="671" spans="1:33">
      <c r="A671" s="7" t="s">
        <v>3653</v>
      </c>
      <c r="B671" s="7" t="s">
        <v>3653</v>
      </c>
      <c r="C671" s="7" t="s">
        <v>3654</v>
      </c>
      <c r="D671" s="7" t="s">
        <v>3655</v>
      </c>
      <c r="E671" s="7" t="s">
        <v>33</v>
      </c>
      <c r="F671" s="7" t="s">
        <v>34</v>
      </c>
      <c r="G671" s="7" t="s">
        <v>35</v>
      </c>
      <c r="H671" s="7"/>
      <c r="I671" s="7"/>
      <c r="J671" s="7" t="s">
        <v>36</v>
      </c>
      <c r="K671" s="7" t="s">
        <v>90</v>
      </c>
      <c r="L671" s="7" t="s">
        <v>91</v>
      </c>
      <c r="M671" s="7" t="s">
        <v>92</v>
      </c>
      <c r="N671" s="7" t="s">
        <v>33</v>
      </c>
      <c r="O671" s="7">
        <v>1</v>
      </c>
      <c r="P671" s="7" t="s">
        <v>40</v>
      </c>
      <c r="Q671" s="7">
        <v>12.99</v>
      </c>
      <c r="R671" s="7"/>
      <c r="S671" s="7"/>
      <c r="T671" s="7"/>
      <c r="U671" s="7"/>
      <c r="V671" s="7"/>
      <c r="W671" s="7"/>
      <c r="X671" s="7"/>
      <c r="Y671" s="7" t="s">
        <v>1853</v>
      </c>
      <c r="Z671" s="7" t="s">
        <v>1126</v>
      </c>
      <c r="AA671" s="7" t="s">
        <v>1854</v>
      </c>
      <c r="AB671" s="7" t="s">
        <v>43</v>
      </c>
      <c r="AC671" s="7"/>
      <c r="AD671" s="7"/>
      <c r="AE671" s="7"/>
      <c r="AF671" s="7"/>
      <c r="AG671" s="8">
        <f t="shared" si="10"/>
        <v>43326</v>
      </c>
    </row>
    <row r="672" spans="1:33">
      <c r="A672" s="7" t="s">
        <v>3653</v>
      </c>
      <c r="B672" s="7" t="s">
        <v>3653</v>
      </c>
      <c r="C672" s="7" t="s">
        <v>3654</v>
      </c>
      <c r="D672" s="7" t="s">
        <v>3655</v>
      </c>
      <c r="E672" s="7" t="s">
        <v>33</v>
      </c>
      <c r="F672" s="7" t="s">
        <v>34</v>
      </c>
      <c r="G672" s="7" t="s">
        <v>35</v>
      </c>
      <c r="H672" s="7"/>
      <c r="I672" s="7"/>
      <c r="J672" s="7" t="s">
        <v>36</v>
      </c>
      <c r="K672" s="7" t="s">
        <v>456</v>
      </c>
      <c r="L672" s="7" t="s">
        <v>1248</v>
      </c>
      <c r="M672" s="7" t="s">
        <v>1249</v>
      </c>
      <c r="N672" s="7" t="s">
        <v>33</v>
      </c>
      <c r="O672" s="7">
        <v>1</v>
      </c>
      <c r="P672" s="7" t="s">
        <v>40</v>
      </c>
      <c r="Q672" s="7">
        <v>12.99</v>
      </c>
      <c r="R672" s="7"/>
      <c r="S672" s="7"/>
      <c r="T672" s="7"/>
      <c r="U672" s="7"/>
      <c r="V672" s="7"/>
      <c r="W672" s="7"/>
      <c r="X672" s="7"/>
      <c r="Y672" s="7" t="s">
        <v>1853</v>
      </c>
      <c r="Z672" s="7" t="s">
        <v>1126</v>
      </c>
      <c r="AA672" s="7" t="s">
        <v>1854</v>
      </c>
      <c r="AB672" s="7" t="s">
        <v>43</v>
      </c>
      <c r="AC672" s="7"/>
      <c r="AD672" s="7"/>
      <c r="AE672" s="7"/>
      <c r="AF672" s="7"/>
      <c r="AG672" s="8">
        <f t="shared" si="10"/>
        <v>43326</v>
      </c>
    </row>
    <row r="673" spans="1:33">
      <c r="A673" s="7" t="s">
        <v>3656</v>
      </c>
      <c r="B673" s="7" t="s">
        <v>3656</v>
      </c>
      <c r="C673" s="7" t="s">
        <v>3657</v>
      </c>
      <c r="D673" s="7" t="s">
        <v>3658</v>
      </c>
      <c r="E673" s="7" t="s">
        <v>33</v>
      </c>
      <c r="F673" s="7" t="s">
        <v>34</v>
      </c>
      <c r="G673" s="7" t="s">
        <v>35</v>
      </c>
      <c r="H673" s="7"/>
      <c r="I673" s="7"/>
      <c r="J673" s="7" t="s">
        <v>36</v>
      </c>
      <c r="K673" s="7" t="s">
        <v>155</v>
      </c>
      <c r="L673" s="7" t="s">
        <v>3659</v>
      </c>
      <c r="M673" s="7" t="s">
        <v>3660</v>
      </c>
      <c r="N673" s="7" t="s">
        <v>33</v>
      </c>
      <c r="O673" s="7">
        <v>1</v>
      </c>
      <c r="P673" s="7" t="s">
        <v>40</v>
      </c>
      <c r="Q673" s="7">
        <v>19.99</v>
      </c>
      <c r="R673" s="7"/>
      <c r="S673" s="7"/>
      <c r="T673" s="7"/>
      <c r="U673" s="7"/>
      <c r="V673" s="7"/>
      <c r="W673" s="7"/>
      <c r="X673" s="7"/>
      <c r="Y673" s="7" t="s">
        <v>3661</v>
      </c>
      <c r="Z673" s="7" t="s">
        <v>227</v>
      </c>
      <c r="AA673" s="7" t="s">
        <v>3662</v>
      </c>
      <c r="AB673" s="7" t="s">
        <v>43</v>
      </c>
      <c r="AC673" s="7"/>
      <c r="AD673" s="7"/>
      <c r="AE673" s="7"/>
      <c r="AF673" s="7"/>
      <c r="AG673" s="8">
        <f t="shared" si="10"/>
        <v>43326</v>
      </c>
    </row>
    <row r="674" spans="1:33">
      <c r="A674" s="7" t="s">
        <v>3663</v>
      </c>
      <c r="B674" s="7" t="s">
        <v>3663</v>
      </c>
      <c r="C674" s="7" t="s">
        <v>3664</v>
      </c>
      <c r="D674" s="7" t="s">
        <v>3665</v>
      </c>
      <c r="E674" s="7" t="s">
        <v>33</v>
      </c>
      <c r="F674" s="7" t="s">
        <v>34</v>
      </c>
      <c r="G674" s="7" t="s">
        <v>35</v>
      </c>
      <c r="H674" s="7"/>
      <c r="I674" s="7"/>
      <c r="J674" s="7" t="s">
        <v>36</v>
      </c>
      <c r="K674" s="7" t="s">
        <v>456</v>
      </c>
      <c r="L674" s="7" t="s">
        <v>1280</v>
      </c>
      <c r="M674" s="7" t="s">
        <v>1281</v>
      </c>
      <c r="N674" s="7" t="s">
        <v>33</v>
      </c>
      <c r="O674" s="7">
        <v>1</v>
      </c>
      <c r="P674" s="7" t="s">
        <v>40</v>
      </c>
      <c r="Q674" s="7">
        <v>12.99</v>
      </c>
      <c r="R674" s="7"/>
      <c r="S674" s="7"/>
      <c r="T674" s="7"/>
      <c r="U674" s="7"/>
      <c r="V674" s="7"/>
      <c r="W674" s="7"/>
      <c r="X674" s="7"/>
      <c r="Y674" s="7" t="s">
        <v>3666</v>
      </c>
      <c r="Z674" s="7" t="s">
        <v>452</v>
      </c>
      <c r="AA674" s="7" t="s">
        <v>3667</v>
      </c>
      <c r="AB674" s="7" t="s">
        <v>43</v>
      </c>
      <c r="AC674" s="7"/>
      <c r="AD674" s="7"/>
      <c r="AE674" s="7"/>
      <c r="AF674" s="7"/>
      <c r="AG674" s="8">
        <f t="shared" si="10"/>
        <v>43326</v>
      </c>
    </row>
    <row r="675" spans="1:33">
      <c r="A675" s="7" t="s">
        <v>3668</v>
      </c>
      <c r="B675" s="7" t="s">
        <v>3668</v>
      </c>
      <c r="C675" s="7" t="s">
        <v>3669</v>
      </c>
      <c r="D675" s="7" t="s">
        <v>3670</v>
      </c>
      <c r="E675" s="7" t="s">
        <v>33</v>
      </c>
      <c r="F675" s="7" t="s">
        <v>34</v>
      </c>
      <c r="G675" s="7" t="s">
        <v>35</v>
      </c>
      <c r="H675" s="7"/>
      <c r="I675" s="7"/>
      <c r="J675" s="7" t="s">
        <v>336</v>
      </c>
      <c r="K675" s="7" t="s">
        <v>90</v>
      </c>
      <c r="L675" s="7" t="s">
        <v>91</v>
      </c>
      <c r="M675" s="7" t="s">
        <v>92</v>
      </c>
      <c r="N675" s="7" t="s">
        <v>33</v>
      </c>
      <c r="O675" s="7">
        <v>1</v>
      </c>
      <c r="P675" s="7" t="s">
        <v>40</v>
      </c>
      <c r="Q675" s="7">
        <v>12.99</v>
      </c>
      <c r="R675" s="7"/>
      <c r="S675" s="7">
        <v>2.44</v>
      </c>
      <c r="T675" s="7"/>
      <c r="U675" s="7"/>
      <c r="V675" s="7"/>
      <c r="W675" s="7"/>
      <c r="X675" s="7">
        <v>2.44</v>
      </c>
      <c r="Y675" s="7" t="s">
        <v>210</v>
      </c>
      <c r="Z675" s="7" t="s">
        <v>135</v>
      </c>
      <c r="AA675" s="7" t="s">
        <v>3671</v>
      </c>
      <c r="AB675" s="7" t="s">
        <v>43</v>
      </c>
      <c r="AC675" s="7" t="s">
        <v>514</v>
      </c>
      <c r="AD675" s="7"/>
      <c r="AE675" s="7"/>
      <c r="AF675" s="7"/>
      <c r="AG675" s="8">
        <f t="shared" si="10"/>
        <v>43326</v>
      </c>
    </row>
    <row r="676" spans="1:33">
      <c r="A676" s="7" t="s">
        <v>3668</v>
      </c>
      <c r="B676" s="7" t="s">
        <v>3668</v>
      </c>
      <c r="C676" s="7" t="s">
        <v>3669</v>
      </c>
      <c r="D676" s="7" t="s">
        <v>3670</v>
      </c>
      <c r="E676" s="7" t="s">
        <v>33</v>
      </c>
      <c r="F676" s="7" t="s">
        <v>34</v>
      </c>
      <c r="G676" s="7" t="s">
        <v>35</v>
      </c>
      <c r="H676" s="7"/>
      <c r="I676" s="7"/>
      <c r="J676" s="7" t="s">
        <v>336</v>
      </c>
      <c r="K676" s="7" t="s">
        <v>90</v>
      </c>
      <c r="L676" s="7" t="s">
        <v>540</v>
      </c>
      <c r="M676" s="7" t="s">
        <v>541</v>
      </c>
      <c r="N676" s="7" t="s">
        <v>33</v>
      </c>
      <c r="O676" s="7">
        <v>1</v>
      </c>
      <c r="P676" s="7" t="s">
        <v>40</v>
      </c>
      <c r="Q676" s="7">
        <v>12.99</v>
      </c>
      <c r="R676" s="7"/>
      <c r="S676" s="7">
        <v>2.44</v>
      </c>
      <c r="T676" s="7"/>
      <c r="U676" s="7"/>
      <c r="V676" s="7"/>
      <c r="W676" s="7"/>
      <c r="X676" s="7">
        <v>2.44</v>
      </c>
      <c r="Y676" s="7" t="s">
        <v>210</v>
      </c>
      <c r="Z676" s="7" t="s">
        <v>135</v>
      </c>
      <c r="AA676" s="7" t="s">
        <v>3671</v>
      </c>
      <c r="AB676" s="7" t="s">
        <v>43</v>
      </c>
      <c r="AC676" s="7" t="s">
        <v>514</v>
      </c>
      <c r="AD676" s="7"/>
      <c r="AE676" s="7"/>
      <c r="AF676" s="7"/>
      <c r="AG676" s="8">
        <f t="shared" si="10"/>
        <v>43326</v>
      </c>
    </row>
    <row r="677" spans="1:33">
      <c r="A677" s="7" t="s">
        <v>3672</v>
      </c>
      <c r="B677" s="7" t="s">
        <v>3672</v>
      </c>
      <c r="C677" s="7" t="s">
        <v>3673</v>
      </c>
      <c r="D677" s="7" t="s">
        <v>3674</v>
      </c>
      <c r="E677" s="7" t="s">
        <v>33</v>
      </c>
      <c r="F677" s="7" t="s">
        <v>34</v>
      </c>
      <c r="G677" s="7" t="s">
        <v>35</v>
      </c>
      <c r="H677" s="7"/>
      <c r="I677" s="7"/>
      <c r="J677" s="7" t="s">
        <v>336</v>
      </c>
      <c r="K677" s="7" t="s">
        <v>456</v>
      </c>
      <c r="L677" s="7" t="s">
        <v>1280</v>
      </c>
      <c r="M677" s="7" t="s">
        <v>1281</v>
      </c>
      <c r="N677" s="7" t="s">
        <v>33</v>
      </c>
      <c r="O677" s="7">
        <v>1</v>
      </c>
      <c r="P677" s="7" t="s">
        <v>40</v>
      </c>
      <c r="Q677" s="7">
        <v>12.99</v>
      </c>
      <c r="R677" s="7"/>
      <c r="S677" s="7">
        <v>2.82</v>
      </c>
      <c r="T677" s="7"/>
      <c r="U677" s="7"/>
      <c r="V677" s="7"/>
      <c r="W677" s="7"/>
      <c r="X677" s="7">
        <v>2.82</v>
      </c>
      <c r="Y677" s="7" t="s">
        <v>3675</v>
      </c>
      <c r="Z677" s="7" t="s">
        <v>1095</v>
      </c>
      <c r="AA677" s="7">
        <v>93215</v>
      </c>
      <c r="AB677" s="7" t="s">
        <v>43</v>
      </c>
      <c r="AC677" s="7" t="s">
        <v>514</v>
      </c>
      <c r="AD677" s="7"/>
      <c r="AE677" s="7"/>
      <c r="AF677" s="7"/>
      <c r="AG677" s="8">
        <f t="shared" si="10"/>
        <v>43326</v>
      </c>
    </row>
    <row r="678" spans="1:33">
      <c r="A678" s="7" t="s">
        <v>3676</v>
      </c>
      <c r="B678" s="7" t="s">
        <v>3676</v>
      </c>
      <c r="C678" s="7" t="s">
        <v>3677</v>
      </c>
      <c r="D678" s="7" t="s">
        <v>3678</v>
      </c>
      <c r="E678" s="7" t="s">
        <v>33</v>
      </c>
      <c r="F678" s="7" t="s">
        <v>34</v>
      </c>
      <c r="G678" s="7" t="s">
        <v>35</v>
      </c>
      <c r="H678" s="7"/>
      <c r="I678" s="7"/>
      <c r="J678" s="7" t="s">
        <v>36</v>
      </c>
      <c r="K678" s="7" t="s">
        <v>90</v>
      </c>
      <c r="L678" s="7" t="s">
        <v>540</v>
      </c>
      <c r="M678" s="7" t="s">
        <v>541</v>
      </c>
      <c r="N678" s="7" t="s">
        <v>33</v>
      </c>
      <c r="O678" s="7">
        <v>1</v>
      </c>
      <c r="P678" s="7" t="s">
        <v>40</v>
      </c>
      <c r="Q678" s="7">
        <v>12.99</v>
      </c>
      <c r="R678" s="7"/>
      <c r="S678" s="7"/>
      <c r="T678" s="7"/>
      <c r="U678" s="7"/>
      <c r="V678" s="7"/>
      <c r="W678" s="7"/>
      <c r="X678" s="7"/>
      <c r="Y678" s="7" t="s">
        <v>3679</v>
      </c>
      <c r="Z678" s="7" t="s">
        <v>2362</v>
      </c>
      <c r="AA678" s="7" t="s">
        <v>3680</v>
      </c>
      <c r="AB678" s="7" t="s">
        <v>43</v>
      </c>
      <c r="AC678" s="7"/>
      <c r="AD678" s="7"/>
      <c r="AE678" s="7"/>
      <c r="AF678" s="7"/>
      <c r="AG678" s="8">
        <f t="shared" si="10"/>
        <v>43326</v>
      </c>
    </row>
    <row r="679" spans="1:33">
      <c r="A679" s="7" t="s">
        <v>3681</v>
      </c>
      <c r="B679" s="7" t="s">
        <v>3681</v>
      </c>
      <c r="C679" s="7" t="s">
        <v>3682</v>
      </c>
      <c r="D679" s="7" t="s">
        <v>3683</v>
      </c>
      <c r="E679" s="7" t="s">
        <v>33</v>
      </c>
      <c r="F679" s="7" t="s">
        <v>34</v>
      </c>
      <c r="G679" s="7" t="s">
        <v>35</v>
      </c>
      <c r="H679" s="7"/>
      <c r="I679" s="7"/>
      <c r="J679" s="7" t="s">
        <v>36</v>
      </c>
      <c r="K679" s="7" t="s">
        <v>3684</v>
      </c>
      <c r="L679" s="7" t="s">
        <v>3685</v>
      </c>
      <c r="M679" s="7" t="s">
        <v>3686</v>
      </c>
      <c r="N679" s="7" t="s">
        <v>33</v>
      </c>
      <c r="O679" s="7">
        <v>1</v>
      </c>
      <c r="P679" s="7" t="s">
        <v>40</v>
      </c>
      <c r="Q679" s="7">
        <v>19.99</v>
      </c>
      <c r="R679" s="7"/>
      <c r="S679" s="7"/>
      <c r="T679" s="7"/>
      <c r="U679" s="7"/>
      <c r="V679" s="7"/>
      <c r="W679" s="7"/>
      <c r="X679" s="7"/>
      <c r="Y679" s="7" t="s">
        <v>3687</v>
      </c>
      <c r="Z679" s="7" t="s">
        <v>848</v>
      </c>
      <c r="AA679" s="7" t="s">
        <v>3688</v>
      </c>
      <c r="AB679" s="7" t="s">
        <v>43</v>
      </c>
      <c r="AC679" s="7"/>
      <c r="AD679" s="7"/>
      <c r="AE679" s="7"/>
      <c r="AF679" s="7"/>
      <c r="AG679" s="8">
        <f t="shared" si="10"/>
        <v>43326</v>
      </c>
    </row>
    <row r="680" spans="1:33">
      <c r="A680" s="7" t="s">
        <v>3689</v>
      </c>
      <c r="B680" s="7" t="s">
        <v>3689</v>
      </c>
      <c r="C680" s="7" t="s">
        <v>3690</v>
      </c>
      <c r="D680" s="7" t="s">
        <v>3691</v>
      </c>
      <c r="E680" s="7" t="s">
        <v>33</v>
      </c>
      <c r="F680" s="7" t="s">
        <v>34</v>
      </c>
      <c r="G680" s="7" t="s">
        <v>35</v>
      </c>
      <c r="H680" s="7"/>
      <c r="I680" s="7"/>
      <c r="J680" s="7" t="s">
        <v>36</v>
      </c>
      <c r="K680" s="7" t="s">
        <v>255</v>
      </c>
      <c r="L680" s="7" t="s">
        <v>1647</v>
      </c>
      <c r="M680" s="7" t="s">
        <v>1648</v>
      </c>
      <c r="N680" s="7" t="s">
        <v>33</v>
      </c>
      <c r="O680" s="7">
        <v>1</v>
      </c>
      <c r="P680" s="7" t="s">
        <v>40</v>
      </c>
      <c r="Q680" s="7">
        <v>19.99</v>
      </c>
      <c r="R680" s="7"/>
      <c r="S680" s="7"/>
      <c r="T680" s="7"/>
      <c r="U680" s="7"/>
      <c r="V680" s="7"/>
      <c r="W680" s="7"/>
      <c r="X680" s="7"/>
      <c r="Y680" s="7" t="s">
        <v>1582</v>
      </c>
      <c r="Z680" s="7" t="s">
        <v>59</v>
      </c>
      <c r="AA680" s="7" t="s">
        <v>1756</v>
      </c>
      <c r="AB680" s="7" t="s">
        <v>43</v>
      </c>
      <c r="AC680" s="7"/>
      <c r="AD680" s="7"/>
      <c r="AE680" s="7"/>
      <c r="AF680" s="7"/>
      <c r="AG680" s="8">
        <f t="shared" si="10"/>
        <v>43326</v>
      </c>
    </row>
    <row r="681" spans="1:33">
      <c r="A681" s="7" t="s">
        <v>3692</v>
      </c>
      <c r="B681" s="7" t="s">
        <v>3692</v>
      </c>
      <c r="C681" s="7" t="s">
        <v>3693</v>
      </c>
      <c r="D681" s="7" t="s">
        <v>3694</v>
      </c>
      <c r="E681" s="7" t="s">
        <v>33</v>
      </c>
      <c r="F681" s="7" t="s">
        <v>34</v>
      </c>
      <c r="G681" s="7" t="s">
        <v>35</v>
      </c>
      <c r="H681" s="7"/>
      <c r="I681" s="7"/>
      <c r="J681" s="7" t="s">
        <v>36</v>
      </c>
      <c r="K681" s="7" t="s">
        <v>2415</v>
      </c>
      <c r="L681" s="7" t="s">
        <v>2416</v>
      </c>
      <c r="M681" s="7" t="s">
        <v>2417</v>
      </c>
      <c r="N681" s="7" t="s">
        <v>33</v>
      </c>
      <c r="O681" s="7">
        <v>1</v>
      </c>
      <c r="P681" s="7" t="s">
        <v>40</v>
      </c>
      <c r="Q681" s="7">
        <v>16.99</v>
      </c>
      <c r="R681" s="7"/>
      <c r="S681" s="7"/>
      <c r="T681" s="7"/>
      <c r="U681" s="7"/>
      <c r="V681" s="7"/>
      <c r="W681" s="7"/>
      <c r="X681" s="7"/>
      <c r="Y681" s="7" t="s">
        <v>3695</v>
      </c>
      <c r="Z681" s="7" t="s">
        <v>570</v>
      </c>
      <c r="AA681" s="7" t="s">
        <v>3696</v>
      </c>
      <c r="AB681" s="7" t="s">
        <v>43</v>
      </c>
      <c r="AC681" s="7"/>
      <c r="AD681" s="7"/>
      <c r="AE681" s="7"/>
      <c r="AF681" s="7"/>
      <c r="AG681" s="8">
        <f t="shared" si="10"/>
        <v>43326</v>
      </c>
    </row>
    <row r="682" spans="1:33">
      <c r="A682" s="7" t="s">
        <v>3697</v>
      </c>
      <c r="B682" s="7" t="s">
        <v>3697</v>
      </c>
      <c r="C682" s="7" t="s">
        <v>3698</v>
      </c>
      <c r="D682" s="7" t="s">
        <v>3699</v>
      </c>
      <c r="E682" s="7" t="s">
        <v>33</v>
      </c>
      <c r="F682" s="7" t="s">
        <v>34</v>
      </c>
      <c r="G682" s="7" t="s">
        <v>35</v>
      </c>
      <c r="H682" s="7"/>
      <c r="I682" s="7"/>
      <c r="J682" s="7" t="s">
        <v>36</v>
      </c>
      <c r="K682" s="7" t="s">
        <v>255</v>
      </c>
      <c r="L682" s="7" t="s">
        <v>256</v>
      </c>
      <c r="M682" s="7" t="s">
        <v>257</v>
      </c>
      <c r="N682" s="7" t="s">
        <v>33</v>
      </c>
      <c r="O682" s="7">
        <v>1</v>
      </c>
      <c r="P682" s="7" t="s">
        <v>40</v>
      </c>
      <c r="Q682" s="7">
        <v>19.99</v>
      </c>
      <c r="R682" s="7"/>
      <c r="S682" s="7"/>
      <c r="T682" s="7"/>
      <c r="U682" s="7"/>
      <c r="V682" s="7"/>
      <c r="W682" s="7"/>
      <c r="X682" s="7"/>
      <c r="Y682" s="7" t="s">
        <v>3700</v>
      </c>
      <c r="Z682" s="7" t="s">
        <v>59</v>
      </c>
      <c r="AA682" s="7" t="s">
        <v>3701</v>
      </c>
      <c r="AB682" s="7" t="s">
        <v>43</v>
      </c>
      <c r="AC682" s="7"/>
      <c r="AD682" s="7"/>
      <c r="AE682" s="7"/>
      <c r="AF682" s="7"/>
      <c r="AG682" s="8">
        <f t="shared" si="10"/>
        <v>43326</v>
      </c>
    </row>
    <row r="683" spans="1:33">
      <c r="A683" s="7" t="s">
        <v>3702</v>
      </c>
      <c r="B683" s="7" t="s">
        <v>3702</v>
      </c>
      <c r="C683" s="7" t="s">
        <v>3703</v>
      </c>
      <c r="D683" s="7" t="s">
        <v>3704</v>
      </c>
      <c r="E683" s="7" t="s">
        <v>33</v>
      </c>
      <c r="F683" s="7" t="s">
        <v>34</v>
      </c>
      <c r="G683" s="7" t="s">
        <v>35</v>
      </c>
      <c r="H683" s="7"/>
      <c r="I683" s="7"/>
      <c r="J683" s="7" t="s">
        <v>36</v>
      </c>
      <c r="K683" s="7" t="s">
        <v>255</v>
      </c>
      <c r="L683" s="7" t="s">
        <v>300</v>
      </c>
      <c r="M683" s="7" t="s">
        <v>301</v>
      </c>
      <c r="N683" s="7" t="s">
        <v>33</v>
      </c>
      <c r="O683" s="7">
        <v>1</v>
      </c>
      <c r="P683" s="7" t="s">
        <v>40</v>
      </c>
      <c r="Q683" s="7">
        <v>19.99</v>
      </c>
      <c r="R683" s="7"/>
      <c r="S683" s="7"/>
      <c r="T683" s="7"/>
      <c r="U683" s="7"/>
      <c r="V683" s="7"/>
      <c r="W683" s="7"/>
      <c r="X683" s="7"/>
      <c r="Y683" s="7" t="s">
        <v>2381</v>
      </c>
      <c r="Z683" s="7" t="s">
        <v>165</v>
      </c>
      <c r="AA683" s="7" t="s">
        <v>3705</v>
      </c>
      <c r="AB683" s="7" t="s">
        <v>43</v>
      </c>
      <c r="AC683" s="7"/>
      <c r="AD683" s="7"/>
      <c r="AE683" s="7"/>
      <c r="AF683" s="7"/>
      <c r="AG683" s="8">
        <f t="shared" si="10"/>
        <v>43326</v>
      </c>
    </row>
    <row r="684" spans="1:33">
      <c r="A684" s="7" t="s">
        <v>3706</v>
      </c>
      <c r="B684" s="7" t="s">
        <v>3706</v>
      </c>
      <c r="C684" s="7" t="s">
        <v>3707</v>
      </c>
      <c r="D684" s="7" t="s">
        <v>3708</v>
      </c>
      <c r="E684" s="7" t="s">
        <v>33</v>
      </c>
      <c r="F684" s="7" t="s">
        <v>34</v>
      </c>
      <c r="G684" s="7" t="s">
        <v>35</v>
      </c>
      <c r="H684" s="7"/>
      <c r="I684" s="7"/>
      <c r="J684" s="7" t="s">
        <v>36</v>
      </c>
      <c r="K684" s="7" t="s">
        <v>65</v>
      </c>
      <c r="L684" s="7" t="s">
        <v>148</v>
      </c>
      <c r="M684" s="7" t="s">
        <v>149</v>
      </c>
      <c r="N684" s="7" t="s">
        <v>33</v>
      </c>
      <c r="O684" s="7">
        <v>1</v>
      </c>
      <c r="P684" s="7" t="s">
        <v>40</v>
      </c>
      <c r="Q684" s="7">
        <v>21.99</v>
      </c>
      <c r="R684" s="7"/>
      <c r="S684" s="7"/>
      <c r="T684" s="7"/>
      <c r="U684" s="7"/>
      <c r="V684" s="7"/>
      <c r="W684" s="7"/>
      <c r="X684" s="7"/>
      <c r="Y684" s="7" t="s">
        <v>1231</v>
      </c>
      <c r="Z684" s="7" t="s">
        <v>135</v>
      </c>
      <c r="AA684" s="7" t="s">
        <v>3709</v>
      </c>
      <c r="AB684" s="7" t="s">
        <v>43</v>
      </c>
      <c r="AC684" s="7"/>
      <c r="AD684" s="7"/>
      <c r="AE684" s="7"/>
      <c r="AF684" s="7"/>
      <c r="AG684" s="8">
        <f t="shared" si="10"/>
        <v>43326</v>
      </c>
    </row>
    <row r="685" spans="1:33">
      <c r="A685" s="7" t="s">
        <v>3710</v>
      </c>
      <c r="B685" s="7" t="s">
        <v>3710</v>
      </c>
      <c r="C685" s="7" t="s">
        <v>3711</v>
      </c>
      <c r="D685" s="7" t="s">
        <v>3712</v>
      </c>
      <c r="E685" s="7" t="s">
        <v>33</v>
      </c>
      <c r="F685" s="7" t="s">
        <v>34</v>
      </c>
      <c r="G685" s="7" t="s">
        <v>35</v>
      </c>
      <c r="H685" s="7"/>
      <c r="I685" s="7"/>
      <c r="J685" s="7" t="s">
        <v>36</v>
      </c>
      <c r="K685" s="7" t="s">
        <v>255</v>
      </c>
      <c r="L685" s="7" t="s">
        <v>256</v>
      </c>
      <c r="M685" s="7" t="s">
        <v>257</v>
      </c>
      <c r="N685" s="7" t="s">
        <v>33</v>
      </c>
      <c r="O685" s="7">
        <v>1</v>
      </c>
      <c r="P685" s="7" t="s">
        <v>40</v>
      </c>
      <c r="Q685" s="7">
        <v>19.99</v>
      </c>
      <c r="R685" s="7"/>
      <c r="S685" s="7"/>
      <c r="T685" s="7"/>
      <c r="U685" s="7"/>
      <c r="V685" s="7"/>
      <c r="W685" s="7"/>
      <c r="X685" s="7"/>
      <c r="Y685" s="7" t="s">
        <v>791</v>
      </c>
      <c r="Z685" s="7" t="s">
        <v>59</v>
      </c>
      <c r="AA685" s="7" t="s">
        <v>3713</v>
      </c>
      <c r="AB685" s="7" t="s">
        <v>43</v>
      </c>
      <c r="AC685" s="7"/>
      <c r="AD685" s="7"/>
      <c r="AE685" s="7"/>
      <c r="AF685" s="7"/>
      <c r="AG685" s="8">
        <f t="shared" si="10"/>
        <v>43326</v>
      </c>
    </row>
    <row r="686" spans="1:33">
      <c r="A686" s="7" t="s">
        <v>3714</v>
      </c>
      <c r="B686" s="7" t="s">
        <v>3714</v>
      </c>
      <c r="C686" s="7" t="s">
        <v>3715</v>
      </c>
      <c r="D686" s="7" t="s">
        <v>3716</v>
      </c>
      <c r="E686" s="7" t="s">
        <v>33</v>
      </c>
      <c r="F686" s="7" t="s">
        <v>34</v>
      </c>
      <c r="G686" s="7" t="s">
        <v>35</v>
      </c>
      <c r="H686" s="7"/>
      <c r="I686" s="7"/>
      <c r="J686" s="7" t="s">
        <v>36</v>
      </c>
      <c r="K686" s="7" t="s">
        <v>232</v>
      </c>
      <c r="L686" s="7" t="s">
        <v>233</v>
      </c>
      <c r="M686" s="7" t="s">
        <v>234</v>
      </c>
      <c r="N686" s="7" t="s">
        <v>33</v>
      </c>
      <c r="O686" s="7">
        <v>1</v>
      </c>
      <c r="P686" s="7" t="s">
        <v>40</v>
      </c>
      <c r="Q686" s="7">
        <v>21.99</v>
      </c>
      <c r="R686" s="7"/>
      <c r="S686" s="7"/>
      <c r="T686" s="7"/>
      <c r="U686" s="7"/>
      <c r="V686" s="7"/>
      <c r="W686" s="7"/>
      <c r="X686" s="7"/>
      <c r="Y686" s="7" t="s">
        <v>3717</v>
      </c>
      <c r="Z686" s="7" t="s">
        <v>85</v>
      </c>
      <c r="AA686" s="7" t="s">
        <v>3718</v>
      </c>
      <c r="AB686" s="7" t="s">
        <v>43</v>
      </c>
      <c r="AC686" s="7"/>
      <c r="AD686" s="7"/>
      <c r="AE686" s="7"/>
      <c r="AF686" s="7"/>
      <c r="AG686" s="8">
        <f t="shared" si="10"/>
        <v>43326</v>
      </c>
    </row>
    <row r="687" spans="1:33">
      <c r="A687" s="7" t="s">
        <v>3719</v>
      </c>
      <c r="B687" s="7" t="s">
        <v>3719</v>
      </c>
      <c r="C687" s="7" t="s">
        <v>3720</v>
      </c>
      <c r="D687" s="7" t="s">
        <v>3721</v>
      </c>
      <c r="E687" s="7" t="s">
        <v>33</v>
      </c>
      <c r="F687" s="7" t="s">
        <v>34</v>
      </c>
      <c r="G687" s="7" t="s">
        <v>35</v>
      </c>
      <c r="H687" s="7"/>
      <c r="I687" s="7"/>
      <c r="J687" s="7" t="s">
        <v>36</v>
      </c>
      <c r="K687" s="7" t="s">
        <v>131</v>
      </c>
      <c r="L687" s="7" t="s">
        <v>132</v>
      </c>
      <c r="M687" s="7" t="s">
        <v>133</v>
      </c>
      <c r="N687" s="7" t="s">
        <v>33</v>
      </c>
      <c r="O687" s="7">
        <v>1</v>
      </c>
      <c r="P687" s="7" t="s">
        <v>40</v>
      </c>
      <c r="Q687" s="7">
        <v>18.99</v>
      </c>
      <c r="R687" s="7"/>
      <c r="S687" s="7"/>
      <c r="T687" s="7"/>
      <c r="U687" s="7"/>
      <c r="V687" s="7"/>
      <c r="W687" s="7"/>
      <c r="X687" s="7"/>
      <c r="Y687" s="7" t="s">
        <v>1601</v>
      </c>
      <c r="Z687" s="7" t="s">
        <v>2239</v>
      </c>
      <c r="AA687" s="7" t="s">
        <v>3722</v>
      </c>
      <c r="AB687" s="7" t="s">
        <v>43</v>
      </c>
      <c r="AC687" s="7"/>
      <c r="AD687" s="7"/>
      <c r="AE687" s="7"/>
      <c r="AF687" s="7"/>
      <c r="AG687" s="8">
        <f t="shared" si="10"/>
        <v>43326</v>
      </c>
    </row>
    <row r="688" spans="1:33">
      <c r="A688" s="7" t="s">
        <v>3723</v>
      </c>
      <c r="B688" s="7" t="s">
        <v>3723</v>
      </c>
      <c r="C688" s="7" t="s">
        <v>3724</v>
      </c>
      <c r="D688" s="7" t="s">
        <v>3725</v>
      </c>
      <c r="E688" s="7" t="s">
        <v>33</v>
      </c>
      <c r="F688" s="7" t="s">
        <v>34</v>
      </c>
      <c r="G688" s="7" t="s">
        <v>35</v>
      </c>
      <c r="H688" s="7"/>
      <c r="I688" s="7"/>
      <c r="J688" s="7" t="s">
        <v>336</v>
      </c>
      <c r="K688" s="7" t="s">
        <v>497</v>
      </c>
      <c r="L688" s="7" t="s">
        <v>1741</v>
      </c>
      <c r="M688" s="7" t="s">
        <v>1742</v>
      </c>
      <c r="N688" s="7" t="s">
        <v>33</v>
      </c>
      <c r="O688" s="7">
        <v>1</v>
      </c>
      <c r="P688" s="7" t="s">
        <v>40</v>
      </c>
      <c r="Q688" s="7">
        <v>19.99</v>
      </c>
      <c r="R688" s="7"/>
      <c r="S688" s="7"/>
      <c r="T688" s="7"/>
      <c r="U688" s="7"/>
      <c r="V688" s="7"/>
      <c r="W688" s="7"/>
      <c r="X688" s="7"/>
      <c r="Y688" s="7" t="s">
        <v>2661</v>
      </c>
      <c r="Z688" s="7" t="s">
        <v>1674</v>
      </c>
      <c r="AA688" s="7">
        <v>33186</v>
      </c>
      <c r="AB688" s="7" t="s">
        <v>43</v>
      </c>
      <c r="AC688" s="7"/>
      <c r="AD688" s="7"/>
      <c r="AE688" s="7"/>
      <c r="AF688" s="7"/>
      <c r="AG688" s="8">
        <f t="shared" si="10"/>
        <v>43326</v>
      </c>
    </row>
    <row r="689" spans="1:33">
      <c r="A689" s="7" t="s">
        <v>3726</v>
      </c>
      <c r="B689" s="7" t="s">
        <v>3727</v>
      </c>
      <c r="C689" s="7" t="s">
        <v>3728</v>
      </c>
      <c r="D689" s="7" t="s">
        <v>3729</v>
      </c>
      <c r="E689" s="7" t="s">
        <v>33</v>
      </c>
      <c r="F689" s="7" t="s">
        <v>34</v>
      </c>
      <c r="G689" s="7" t="s">
        <v>946</v>
      </c>
      <c r="H689" s="7"/>
      <c r="I689" s="7"/>
      <c r="J689" s="7" t="s">
        <v>336</v>
      </c>
      <c r="K689" s="7" t="s">
        <v>3730</v>
      </c>
      <c r="L689" s="7" t="s">
        <v>3731</v>
      </c>
      <c r="M689" s="7" t="s">
        <v>3732</v>
      </c>
      <c r="N689" s="7" t="s">
        <v>459</v>
      </c>
      <c r="O689" s="7">
        <v>3</v>
      </c>
      <c r="P689" s="7"/>
      <c r="Q689" s="7"/>
      <c r="R689" s="7"/>
      <c r="S689" s="7"/>
      <c r="T689" s="7"/>
      <c r="U689" s="7"/>
      <c r="V689" s="7"/>
      <c r="W689" s="7"/>
      <c r="X689" s="7"/>
      <c r="Y689" s="7" t="s">
        <v>451</v>
      </c>
      <c r="Z689" s="7" t="s">
        <v>452</v>
      </c>
      <c r="AA689" s="7">
        <v>70808</v>
      </c>
      <c r="AB689" s="7" t="s">
        <v>43</v>
      </c>
      <c r="AC689" s="7"/>
      <c r="AD689" s="7"/>
      <c r="AE689" s="7"/>
      <c r="AF689" s="7"/>
      <c r="AG689" s="8">
        <f t="shared" si="10"/>
        <v>43327</v>
      </c>
    </row>
    <row r="690" spans="1:33">
      <c r="A690" s="7" t="s">
        <v>3733</v>
      </c>
      <c r="B690" s="7" t="s">
        <v>3734</v>
      </c>
      <c r="C690" s="7" t="s">
        <v>3735</v>
      </c>
      <c r="D690" s="7" t="s">
        <v>3736</v>
      </c>
      <c r="E690" s="7" t="s">
        <v>33</v>
      </c>
      <c r="F690" s="7" t="s">
        <v>34</v>
      </c>
      <c r="G690" s="7" t="s">
        <v>946</v>
      </c>
      <c r="H690" s="7"/>
      <c r="I690" s="7"/>
      <c r="J690" s="7" t="s">
        <v>336</v>
      </c>
      <c r="K690" s="7" t="s">
        <v>3737</v>
      </c>
      <c r="L690" s="7" t="s">
        <v>3738</v>
      </c>
      <c r="M690" s="7" t="s">
        <v>3739</v>
      </c>
      <c r="N690" s="7" t="s">
        <v>459</v>
      </c>
      <c r="O690" s="7">
        <v>3</v>
      </c>
      <c r="P690" s="7"/>
      <c r="Q690" s="7"/>
      <c r="R690" s="7"/>
      <c r="S690" s="7"/>
      <c r="T690" s="7"/>
      <c r="U690" s="7"/>
      <c r="V690" s="7"/>
      <c r="W690" s="7"/>
      <c r="X690" s="7"/>
      <c r="Y690" s="7" t="s">
        <v>451</v>
      </c>
      <c r="Z690" s="7" t="s">
        <v>452</v>
      </c>
      <c r="AA690" s="7">
        <v>70808</v>
      </c>
      <c r="AB690" s="7" t="s">
        <v>43</v>
      </c>
      <c r="AC690" s="7"/>
      <c r="AD690" s="7"/>
      <c r="AE690" s="7"/>
      <c r="AF690" s="7"/>
      <c r="AG690" s="8">
        <f t="shared" si="10"/>
        <v>43327</v>
      </c>
    </row>
    <row r="691" spans="1:33">
      <c r="A691" s="7" t="s">
        <v>3740</v>
      </c>
      <c r="B691" s="7" t="s">
        <v>3741</v>
      </c>
      <c r="C691" s="7" t="s">
        <v>3742</v>
      </c>
      <c r="D691" s="7" t="s">
        <v>3743</v>
      </c>
      <c r="E691" s="7" t="s">
        <v>33</v>
      </c>
      <c r="F691" s="7" t="s">
        <v>34</v>
      </c>
      <c r="G691" s="7" t="s">
        <v>946</v>
      </c>
      <c r="H691" s="7"/>
      <c r="I691" s="7"/>
      <c r="J691" s="7" t="s">
        <v>336</v>
      </c>
      <c r="K691" s="7" t="s">
        <v>3744</v>
      </c>
      <c r="L691" s="7" t="s">
        <v>3745</v>
      </c>
      <c r="M691" s="7" t="s">
        <v>3746</v>
      </c>
      <c r="N691" s="7" t="s">
        <v>459</v>
      </c>
      <c r="O691" s="7">
        <v>3</v>
      </c>
      <c r="P691" s="7"/>
      <c r="Q691" s="7"/>
      <c r="R691" s="7"/>
      <c r="S691" s="7"/>
      <c r="T691" s="7"/>
      <c r="U691" s="7"/>
      <c r="V691" s="7"/>
      <c r="W691" s="7"/>
      <c r="X691" s="7"/>
      <c r="Y691" s="7" t="s">
        <v>451</v>
      </c>
      <c r="Z691" s="7" t="s">
        <v>452</v>
      </c>
      <c r="AA691" s="7">
        <v>70808</v>
      </c>
      <c r="AB691" s="7" t="s">
        <v>43</v>
      </c>
      <c r="AC691" s="7"/>
      <c r="AD691" s="7"/>
      <c r="AE691" s="7"/>
      <c r="AF691" s="7"/>
      <c r="AG691" s="8">
        <f t="shared" si="10"/>
        <v>43327</v>
      </c>
    </row>
    <row r="692" spans="1:33">
      <c r="A692" s="7" t="s">
        <v>3747</v>
      </c>
      <c r="B692" s="7" t="s">
        <v>3748</v>
      </c>
      <c r="C692" s="7" t="s">
        <v>3749</v>
      </c>
      <c r="D692" s="7" t="s">
        <v>3750</v>
      </c>
      <c r="E692" s="7" t="s">
        <v>33</v>
      </c>
      <c r="F692" s="7" t="s">
        <v>34</v>
      </c>
      <c r="G692" s="7" t="s">
        <v>946</v>
      </c>
      <c r="H692" s="7"/>
      <c r="I692" s="7"/>
      <c r="J692" s="7" t="s">
        <v>336</v>
      </c>
      <c r="K692" s="7" t="s">
        <v>3751</v>
      </c>
      <c r="L692" s="7" t="s">
        <v>3752</v>
      </c>
      <c r="M692" s="7" t="s">
        <v>3753</v>
      </c>
      <c r="N692" s="7" t="s">
        <v>459</v>
      </c>
      <c r="O692" s="7">
        <v>3</v>
      </c>
      <c r="P692" s="7"/>
      <c r="Q692" s="7"/>
      <c r="R692" s="7"/>
      <c r="S692" s="7"/>
      <c r="T692" s="7"/>
      <c r="U692" s="7"/>
      <c r="V692" s="7"/>
      <c r="W692" s="7"/>
      <c r="X692" s="7"/>
      <c r="Y692" s="7" t="s">
        <v>451</v>
      </c>
      <c r="Z692" s="7" t="s">
        <v>452</v>
      </c>
      <c r="AA692" s="7">
        <v>70808</v>
      </c>
      <c r="AB692" s="7" t="s">
        <v>43</v>
      </c>
      <c r="AC692" s="7"/>
      <c r="AD692" s="7"/>
      <c r="AE692" s="7"/>
      <c r="AF692" s="7"/>
      <c r="AG692" s="8">
        <f t="shared" si="10"/>
        <v>43327</v>
      </c>
    </row>
    <row r="693" spans="1:33">
      <c r="A693" s="7" t="s">
        <v>3754</v>
      </c>
      <c r="B693" s="7" t="s">
        <v>3755</v>
      </c>
      <c r="C693" s="7" t="s">
        <v>3756</v>
      </c>
      <c r="D693" s="7" t="s">
        <v>3757</v>
      </c>
      <c r="E693" s="7" t="s">
        <v>33</v>
      </c>
      <c r="F693" s="7" t="s">
        <v>34</v>
      </c>
      <c r="G693" s="7" t="s">
        <v>946</v>
      </c>
      <c r="H693" s="7"/>
      <c r="I693" s="7"/>
      <c r="J693" s="7" t="s">
        <v>336</v>
      </c>
      <c r="K693" s="7" t="s">
        <v>3758</v>
      </c>
      <c r="L693" s="7" t="s">
        <v>3759</v>
      </c>
      <c r="M693" s="7" t="s">
        <v>3760</v>
      </c>
      <c r="N693" s="7" t="s">
        <v>459</v>
      </c>
      <c r="O693" s="7">
        <v>2</v>
      </c>
      <c r="P693" s="7"/>
      <c r="Q693" s="7"/>
      <c r="R693" s="7"/>
      <c r="S693" s="7"/>
      <c r="T693" s="7"/>
      <c r="U693" s="7"/>
      <c r="V693" s="7"/>
      <c r="W693" s="7"/>
      <c r="X693" s="7"/>
      <c r="Y693" s="7" t="s">
        <v>451</v>
      </c>
      <c r="Z693" s="7" t="s">
        <v>452</v>
      </c>
      <c r="AA693" s="7">
        <v>70808</v>
      </c>
      <c r="AB693" s="7" t="s">
        <v>43</v>
      </c>
      <c r="AC693" s="7"/>
      <c r="AD693" s="7"/>
      <c r="AE693" s="7"/>
      <c r="AF693" s="7"/>
      <c r="AG693" s="8">
        <f t="shared" si="10"/>
        <v>43327</v>
      </c>
    </row>
    <row r="694" spans="1:33">
      <c r="A694" s="7" t="s">
        <v>3761</v>
      </c>
      <c r="B694" s="7" t="s">
        <v>3762</v>
      </c>
      <c r="C694" s="7" t="s">
        <v>3763</v>
      </c>
      <c r="D694" s="7" t="s">
        <v>3764</v>
      </c>
      <c r="E694" s="7" t="s">
        <v>33</v>
      </c>
      <c r="F694" s="7" t="s">
        <v>34</v>
      </c>
      <c r="G694" s="7" t="s">
        <v>946</v>
      </c>
      <c r="H694" s="7"/>
      <c r="I694" s="7"/>
      <c r="J694" s="7" t="s">
        <v>336</v>
      </c>
      <c r="K694" s="7" t="s">
        <v>3758</v>
      </c>
      <c r="L694" s="7" t="s">
        <v>3765</v>
      </c>
      <c r="M694" s="7" t="s">
        <v>3766</v>
      </c>
      <c r="N694" s="7" t="s">
        <v>459</v>
      </c>
      <c r="O694" s="7">
        <v>2</v>
      </c>
      <c r="P694" s="7"/>
      <c r="Q694" s="7"/>
      <c r="R694" s="7"/>
      <c r="S694" s="7"/>
      <c r="T694" s="7"/>
      <c r="U694" s="7"/>
      <c r="V694" s="7"/>
      <c r="W694" s="7"/>
      <c r="X694" s="7"/>
      <c r="Y694" s="7" t="s">
        <v>451</v>
      </c>
      <c r="Z694" s="7" t="s">
        <v>452</v>
      </c>
      <c r="AA694" s="7">
        <v>70808</v>
      </c>
      <c r="AB694" s="7" t="s">
        <v>43</v>
      </c>
      <c r="AC694" s="7"/>
      <c r="AD694" s="7"/>
      <c r="AE694" s="7"/>
      <c r="AF694" s="7"/>
      <c r="AG694" s="8">
        <f t="shared" si="10"/>
        <v>43327</v>
      </c>
    </row>
    <row r="695" spans="1:33">
      <c r="A695" s="7" t="s">
        <v>3767</v>
      </c>
      <c r="B695" s="7" t="s">
        <v>3768</v>
      </c>
      <c r="C695" s="7" t="s">
        <v>3769</v>
      </c>
      <c r="D695" s="7" t="s">
        <v>3770</v>
      </c>
      <c r="E695" s="7" t="s">
        <v>33</v>
      </c>
      <c r="F695" s="7" t="s">
        <v>34</v>
      </c>
      <c r="G695" s="7" t="s">
        <v>946</v>
      </c>
      <c r="H695" s="7"/>
      <c r="I695" s="7"/>
      <c r="J695" s="7" t="s">
        <v>336</v>
      </c>
      <c r="K695" s="7" t="s">
        <v>3758</v>
      </c>
      <c r="L695" s="7" t="s">
        <v>3771</v>
      </c>
      <c r="M695" s="7" t="s">
        <v>3772</v>
      </c>
      <c r="N695" s="7" t="s">
        <v>459</v>
      </c>
      <c r="O695" s="7">
        <v>2</v>
      </c>
      <c r="P695" s="7"/>
      <c r="Q695" s="7"/>
      <c r="R695" s="7"/>
      <c r="S695" s="7"/>
      <c r="T695" s="7"/>
      <c r="U695" s="7"/>
      <c r="V695" s="7"/>
      <c r="W695" s="7"/>
      <c r="X695" s="7"/>
      <c r="Y695" s="7" t="s">
        <v>451</v>
      </c>
      <c r="Z695" s="7" t="s">
        <v>452</v>
      </c>
      <c r="AA695" s="7">
        <v>70808</v>
      </c>
      <c r="AB695" s="7" t="s">
        <v>43</v>
      </c>
      <c r="AC695" s="7"/>
      <c r="AD695" s="7"/>
      <c r="AE695" s="7"/>
      <c r="AF695" s="7"/>
      <c r="AG695" s="8">
        <f t="shared" si="10"/>
        <v>43327</v>
      </c>
    </row>
    <row r="696" spans="1:33">
      <c r="A696" s="7" t="s">
        <v>3773</v>
      </c>
      <c r="B696" s="7" t="s">
        <v>3774</v>
      </c>
      <c r="C696" s="7" t="s">
        <v>3775</v>
      </c>
      <c r="D696" s="7" t="s">
        <v>3776</v>
      </c>
      <c r="E696" s="7" t="s">
        <v>33</v>
      </c>
      <c r="F696" s="7" t="s">
        <v>34</v>
      </c>
      <c r="G696" s="7" t="s">
        <v>946</v>
      </c>
      <c r="H696" s="7"/>
      <c r="I696" s="7"/>
      <c r="J696" s="7" t="s">
        <v>336</v>
      </c>
      <c r="K696" s="7" t="s">
        <v>3777</v>
      </c>
      <c r="L696" s="7" t="s">
        <v>3778</v>
      </c>
      <c r="M696" s="7" t="s">
        <v>3779</v>
      </c>
      <c r="N696" s="7" t="s">
        <v>459</v>
      </c>
      <c r="O696" s="7">
        <v>1</v>
      </c>
      <c r="P696" s="7"/>
      <c r="Q696" s="7"/>
      <c r="R696" s="7"/>
      <c r="S696" s="7"/>
      <c r="T696" s="7"/>
      <c r="U696" s="7"/>
      <c r="V696" s="7"/>
      <c r="W696" s="7"/>
      <c r="X696" s="7"/>
      <c r="Y696" s="7" t="s">
        <v>451</v>
      </c>
      <c r="Z696" s="7" t="s">
        <v>452</v>
      </c>
      <c r="AA696" s="7">
        <v>70808</v>
      </c>
      <c r="AB696" s="7" t="s">
        <v>43</v>
      </c>
      <c r="AC696" s="7"/>
      <c r="AD696" s="7"/>
      <c r="AE696" s="7"/>
      <c r="AF696" s="7"/>
      <c r="AG696" s="8">
        <f t="shared" si="10"/>
        <v>43327</v>
      </c>
    </row>
    <row r="697" spans="1:33">
      <c r="A697" s="7" t="s">
        <v>3780</v>
      </c>
      <c r="B697" s="7" t="s">
        <v>3781</v>
      </c>
      <c r="C697" s="7" t="s">
        <v>3782</v>
      </c>
      <c r="D697" s="7" t="s">
        <v>3783</v>
      </c>
      <c r="E697" s="7" t="s">
        <v>33</v>
      </c>
      <c r="F697" s="7" t="s">
        <v>34</v>
      </c>
      <c r="G697" s="7" t="s">
        <v>946</v>
      </c>
      <c r="H697" s="7"/>
      <c r="I697" s="7"/>
      <c r="J697" s="7" t="s">
        <v>336</v>
      </c>
      <c r="K697" s="7" t="s">
        <v>3777</v>
      </c>
      <c r="L697" s="7" t="s">
        <v>3784</v>
      </c>
      <c r="M697" s="7" t="s">
        <v>3785</v>
      </c>
      <c r="N697" s="7" t="s">
        <v>459</v>
      </c>
      <c r="O697" s="7">
        <v>2</v>
      </c>
      <c r="P697" s="7"/>
      <c r="Q697" s="7"/>
      <c r="R697" s="7"/>
      <c r="S697" s="7"/>
      <c r="T697" s="7"/>
      <c r="U697" s="7"/>
      <c r="V697" s="7"/>
      <c r="W697" s="7"/>
      <c r="X697" s="7"/>
      <c r="Y697" s="7" t="s">
        <v>451</v>
      </c>
      <c r="Z697" s="7" t="s">
        <v>452</v>
      </c>
      <c r="AA697" s="7">
        <v>70808</v>
      </c>
      <c r="AB697" s="7" t="s">
        <v>43</v>
      </c>
      <c r="AC697" s="7"/>
      <c r="AD697" s="7"/>
      <c r="AE697" s="7"/>
      <c r="AF697" s="7"/>
      <c r="AG697" s="8">
        <f t="shared" si="10"/>
        <v>43327</v>
      </c>
    </row>
    <row r="698" spans="1:33">
      <c r="A698" s="7" t="s">
        <v>3786</v>
      </c>
      <c r="B698" s="7" t="s">
        <v>3787</v>
      </c>
      <c r="C698" s="7" t="s">
        <v>3788</v>
      </c>
      <c r="D698" s="7" t="s">
        <v>3789</v>
      </c>
      <c r="E698" s="7" t="s">
        <v>33</v>
      </c>
      <c r="F698" s="7" t="s">
        <v>34</v>
      </c>
      <c r="G698" s="7" t="s">
        <v>946</v>
      </c>
      <c r="H698" s="7"/>
      <c r="I698" s="7"/>
      <c r="J698" s="7" t="s">
        <v>336</v>
      </c>
      <c r="K698" s="7" t="s">
        <v>3777</v>
      </c>
      <c r="L698" s="7" t="s">
        <v>3790</v>
      </c>
      <c r="M698" s="7" t="s">
        <v>3791</v>
      </c>
      <c r="N698" s="7" t="s">
        <v>459</v>
      </c>
      <c r="O698" s="7">
        <v>4</v>
      </c>
      <c r="P698" s="7"/>
      <c r="Q698" s="7"/>
      <c r="R698" s="7"/>
      <c r="S698" s="7"/>
      <c r="T698" s="7"/>
      <c r="U698" s="7"/>
      <c r="V698" s="7"/>
      <c r="W698" s="7"/>
      <c r="X698" s="7"/>
      <c r="Y698" s="7" t="s">
        <v>451</v>
      </c>
      <c r="Z698" s="7" t="s">
        <v>452</v>
      </c>
      <c r="AA698" s="7">
        <v>70808</v>
      </c>
      <c r="AB698" s="7" t="s">
        <v>43</v>
      </c>
      <c r="AC698" s="7"/>
      <c r="AD698" s="7"/>
      <c r="AE698" s="7"/>
      <c r="AF698" s="7"/>
      <c r="AG698" s="8">
        <f t="shared" si="10"/>
        <v>43327</v>
      </c>
    </row>
    <row r="699" spans="1:33">
      <c r="A699" s="7" t="s">
        <v>3792</v>
      </c>
      <c r="B699" s="7" t="s">
        <v>3793</v>
      </c>
      <c r="C699" s="7" t="s">
        <v>3794</v>
      </c>
      <c r="D699" s="7" t="s">
        <v>3795</v>
      </c>
      <c r="E699" s="7" t="s">
        <v>33</v>
      </c>
      <c r="F699" s="7" t="s">
        <v>34</v>
      </c>
      <c r="G699" s="7" t="s">
        <v>946</v>
      </c>
      <c r="H699" s="7"/>
      <c r="I699" s="7"/>
      <c r="J699" s="7" t="s">
        <v>336</v>
      </c>
      <c r="K699" s="7" t="s">
        <v>3777</v>
      </c>
      <c r="L699" s="7" t="s">
        <v>3796</v>
      </c>
      <c r="M699" s="7" t="s">
        <v>3797</v>
      </c>
      <c r="N699" s="7" t="s">
        <v>459</v>
      </c>
      <c r="O699" s="7">
        <v>4</v>
      </c>
      <c r="P699" s="7"/>
      <c r="Q699" s="7"/>
      <c r="R699" s="7"/>
      <c r="S699" s="7"/>
      <c r="T699" s="7"/>
      <c r="U699" s="7"/>
      <c r="V699" s="7"/>
      <c r="W699" s="7"/>
      <c r="X699" s="7"/>
      <c r="Y699" s="7" t="s">
        <v>451</v>
      </c>
      <c r="Z699" s="7" t="s">
        <v>452</v>
      </c>
      <c r="AA699" s="7">
        <v>70808</v>
      </c>
      <c r="AB699" s="7" t="s">
        <v>43</v>
      </c>
      <c r="AC699" s="7"/>
      <c r="AD699" s="7"/>
      <c r="AE699" s="7"/>
      <c r="AF699" s="7"/>
      <c r="AG699" s="8">
        <f t="shared" si="10"/>
        <v>43327</v>
      </c>
    </row>
    <row r="700" spans="1:33">
      <c r="A700" s="7" t="s">
        <v>3798</v>
      </c>
      <c r="B700" s="7" t="s">
        <v>3799</v>
      </c>
      <c r="C700" s="7" t="s">
        <v>3800</v>
      </c>
      <c r="D700" s="7" t="s">
        <v>3801</v>
      </c>
      <c r="E700" s="7" t="s">
        <v>33</v>
      </c>
      <c r="F700" s="7" t="s">
        <v>34</v>
      </c>
      <c r="G700" s="7" t="s">
        <v>946</v>
      </c>
      <c r="H700" s="7"/>
      <c r="I700" s="7"/>
      <c r="J700" s="7" t="s">
        <v>336</v>
      </c>
      <c r="K700" s="7" t="s">
        <v>3802</v>
      </c>
      <c r="L700" s="7" t="s">
        <v>3803</v>
      </c>
      <c r="M700" s="7" t="s">
        <v>3804</v>
      </c>
      <c r="N700" s="7" t="s">
        <v>459</v>
      </c>
      <c r="O700" s="7">
        <v>5</v>
      </c>
      <c r="P700" s="7"/>
      <c r="Q700" s="7"/>
      <c r="R700" s="7"/>
      <c r="S700" s="7"/>
      <c r="T700" s="7"/>
      <c r="U700" s="7"/>
      <c r="V700" s="7"/>
      <c r="W700" s="7"/>
      <c r="X700" s="7"/>
      <c r="Y700" s="7" t="s">
        <v>451</v>
      </c>
      <c r="Z700" s="7" t="s">
        <v>452</v>
      </c>
      <c r="AA700" s="7">
        <v>70808</v>
      </c>
      <c r="AB700" s="7" t="s">
        <v>43</v>
      </c>
      <c r="AC700" s="7"/>
      <c r="AD700" s="7"/>
      <c r="AE700" s="7"/>
      <c r="AF700" s="7"/>
      <c r="AG700" s="8">
        <f t="shared" si="10"/>
        <v>43327</v>
      </c>
    </row>
    <row r="701" spans="1:33">
      <c r="A701" s="7" t="s">
        <v>3805</v>
      </c>
      <c r="B701" s="7" t="s">
        <v>3806</v>
      </c>
      <c r="C701" s="7" t="s">
        <v>3807</v>
      </c>
      <c r="D701" s="7" t="s">
        <v>3808</v>
      </c>
      <c r="E701" s="7" t="s">
        <v>33</v>
      </c>
      <c r="F701" s="7" t="s">
        <v>34</v>
      </c>
      <c r="G701" s="7" t="s">
        <v>946</v>
      </c>
      <c r="H701" s="7"/>
      <c r="I701" s="7"/>
      <c r="J701" s="7" t="s">
        <v>336</v>
      </c>
      <c r="K701" s="7" t="s">
        <v>3809</v>
      </c>
      <c r="L701" s="7" t="s">
        <v>3810</v>
      </c>
      <c r="M701" s="7" t="s">
        <v>3811</v>
      </c>
      <c r="N701" s="7" t="s">
        <v>459</v>
      </c>
      <c r="O701" s="7">
        <v>4</v>
      </c>
      <c r="P701" s="7"/>
      <c r="Q701" s="7"/>
      <c r="R701" s="7"/>
      <c r="S701" s="7"/>
      <c r="T701" s="7"/>
      <c r="U701" s="7"/>
      <c r="V701" s="7"/>
      <c r="W701" s="7"/>
      <c r="X701" s="7"/>
      <c r="Y701" s="7" t="s">
        <v>451</v>
      </c>
      <c r="Z701" s="7" t="s">
        <v>452</v>
      </c>
      <c r="AA701" s="7">
        <v>70808</v>
      </c>
      <c r="AB701" s="7" t="s">
        <v>43</v>
      </c>
      <c r="AC701" s="7"/>
      <c r="AD701" s="7"/>
      <c r="AE701" s="7"/>
      <c r="AF701" s="7"/>
      <c r="AG701" s="8">
        <f t="shared" si="10"/>
        <v>43327</v>
      </c>
    </row>
    <row r="702" spans="1:33">
      <c r="A702" s="7" t="s">
        <v>3812</v>
      </c>
      <c r="B702" s="7" t="s">
        <v>3813</v>
      </c>
      <c r="C702" s="7" t="s">
        <v>3814</v>
      </c>
      <c r="D702" s="7" t="s">
        <v>3815</v>
      </c>
      <c r="E702" s="7" t="s">
        <v>33</v>
      </c>
      <c r="F702" s="7" t="s">
        <v>34</v>
      </c>
      <c r="G702" s="7" t="s">
        <v>946</v>
      </c>
      <c r="H702" s="7"/>
      <c r="I702" s="7"/>
      <c r="J702" s="7" t="s">
        <v>336</v>
      </c>
      <c r="K702" s="7" t="s">
        <v>3816</v>
      </c>
      <c r="L702" s="7" t="s">
        <v>3817</v>
      </c>
      <c r="M702" s="7" t="s">
        <v>3818</v>
      </c>
      <c r="N702" s="7" t="s">
        <v>459</v>
      </c>
      <c r="O702" s="7">
        <v>3</v>
      </c>
      <c r="P702" s="7"/>
      <c r="Q702" s="7"/>
      <c r="R702" s="7"/>
      <c r="S702" s="7"/>
      <c r="T702" s="7"/>
      <c r="U702" s="7"/>
      <c r="V702" s="7"/>
      <c r="W702" s="7"/>
      <c r="X702" s="7"/>
      <c r="Y702" s="7" t="s">
        <v>451</v>
      </c>
      <c r="Z702" s="7" t="s">
        <v>452</v>
      </c>
      <c r="AA702" s="7">
        <v>70808</v>
      </c>
      <c r="AB702" s="7" t="s">
        <v>43</v>
      </c>
      <c r="AC702" s="7"/>
      <c r="AD702" s="7"/>
      <c r="AE702" s="7"/>
      <c r="AF702" s="7"/>
      <c r="AG702" s="8">
        <f t="shared" si="10"/>
        <v>43327</v>
      </c>
    </row>
    <row r="703" spans="1:33">
      <c r="A703" s="7" t="s">
        <v>3819</v>
      </c>
      <c r="B703" s="7" t="s">
        <v>3820</v>
      </c>
      <c r="C703" s="7" t="s">
        <v>3821</v>
      </c>
      <c r="D703" s="7" t="s">
        <v>3822</v>
      </c>
      <c r="E703" s="7" t="s">
        <v>33</v>
      </c>
      <c r="F703" s="7" t="s">
        <v>34</v>
      </c>
      <c r="G703" s="7" t="s">
        <v>946</v>
      </c>
      <c r="H703" s="7"/>
      <c r="I703" s="7"/>
      <c r="J703" s="7" t="s">
        <v>336</v>
      </c>
      <c r="K703" s="7" t="s">
        <v>3823</v>
      </c>
      <c r="L703" s="7" t="s">
        <v>3824</v>
      </c>
      <c r="M703" s="7" t="s">
        <v>3825</v>
      </c>
      <c r="N703" s="7" t="s">
        <v>459</v>
      </c>
      <c r="O703" s="7">
        <v>6</v>
      </c>
      <c r="P703" s="7"/>
      <c r="Q703" s="7"/>
      <c r="R703" s="7"/>
      <c r="S703" s="7"/>
      <c r="T703" s="7"/>
      <c r="U703" s="7"/>
      <c r="V703" s="7"/>
      <c r="W703" s="7"/>
      <c r="X703" s="7"/>
      <c r="Y703" s="7" t="s">
        <v>451</v>
      </c>
      <c r="Z703" s="7" t="s">
        <v>452</v>
      </c>
      <c r="AA703" s="7">
        <v>70808</v>
      </c>
      <c r="AB703" s="7" t="s">
        <v>43</v>
      </c>
      <c r="AC703" s="7"/>
      <c r="AD703" s="7"/>
      <c r="AE703" s="7"/>
      <c r="AF703" s="7"/>
      <c r="AG703" s="8">
        <f t="shared" si="10"/>
        <v>43327</v>
      </c>
    </row>
    <row r="704" spans="1:33">
      <c r="A704" s="7" t="s">
        <v>3826</v>
      </c>
      <c r="B704" s="7" t="s">
        <v>3827</v>
      </c>
      <c r="C704" s="7" t="s">
        <v>3828</v>
      </c>
      <c r="D704" s="7" t="s">
        <v>3829</v>
      </c>
      <c r="E704" s="7" t="s">
        <v>33</v>
      </c>
      <c r="F704" s="7" t="s">
        <v>34</v>
      </c>
      <c r="G704" s="7" t="s">
        <v>946</v>
      </c>
      <c r="H704" s="7"/>
      <c r="I704" s="7"/>
      <c r="J704" s="7" t="s">
        <v>336</v>
      </c>
      <c r="K704" s="7" t="s">
        <v>3830</v>
      </c>
      <c r="L704" s="7" t="s">
        <v>3831</v>
      </c>
      <c r="M704" s="7" t="s">
        <v>3832</v>
      </c>
      <c r="N704" s="7" t="s">
        <v>459</v>
      </c>
      <c r="O704" s="7">
        <v>1</v>
      </c>
      <c r="P704" s="7"/>
      <c r="Q704" s="7"/>
      <c r="R704" s="7"/>
      <c r="S704" s="7"/>
      <c r="T704" s="7"/>
      <c r="U704" s="7"/>
      <c r="V704" s="7"/>
      <c r="W704" s="7"/>
      <c r="X704" s="7"/>
      <c r="Y704" s="7" t="s">
        <v>451</v>
      </c>
      <c r="Z704" s="7" t="s">
        <v>452</v>
      </c>
      <c r="AA704" s="7">
        <v>70808</v>
      </c>
      <c r="AB704" s="7" t="s">
        <v>43</v>
      </c>
      <c r="AC704" s="7"/>
      <c r="AD704" s="7"/>
      <c r="AE704" s="7"/>
      <c r="AF704" s="7"/>
      <c r="AG704" s="8">
        <f t="shared" si="10"/>
        <v>43327</v>
      </c>
    </row>
    <row r="705" spans="1:33">
      <c r="A705" s="7" t="s">
        <v>3833</v>
      </c>
      <c r="B705" s="7" t="s">
        <v>3834</v>
      </c>
      <c r="C705" s="7" t="s">
        <v>3835</v>
      </c>
      <c r="D705" s="7" t="s">
        <v>3836</v>
      </c>
      <c r="E705" s="7" t="s">
        <v>33</v>
      </c>
      <c r="F705" s="7" t="s">
        <v>34</v>
      </c>
      <c r="G705" s="7" t="s">
        <v>946</v>
      </c>
      <c r="H705" s="7"/>
      <c r="I705" s="7"/>
      <c r="J705" s="7" t="s">
        <v>336</v>
      </c>
      <c r="K705" s="7" t="s">
        <v>3830</v>
      </c>
      <c r="L705" s="7" t="s">
        <v>3837</v>
      </c>
      <c r="M705" s="7" t="s">
        <v>3838</v>
      </c>
      <c r="N705" s="7" t="s">
        <v>459</v>
      </c>
      <c r="O705" s="7">
        <v>1</v>
      </c>
      <c r="P705" s="7"/>
      <c r="Q705" s="7"/>
      <c r="R705" s="7"/>
      <c r="S705" s="7"/>
      <c r="T705" s="7"/>
      <c r="U705" s="7"/>
      <c r="V705" s="7"/>
      <c r="W705" s="7"/>
      <c r="X705" s="7"/>
      <c r="Y705" s="7" t="s">
        <v>451</v>
      </c>
      <c r="Z705" s="7" t="s">
        <v>452</v>
      </c>
      <c r="AA705" s="7">
        <v>70808</v>
      </c>
      <c r="AB705" s="7" t="s">
        <v>43</v>
      </c>
      <c r="AC705" s="7"/>
      <c r="AD705" s="7"/>
      <c r="AE705" s="7"/>
      <c r="AF705" s="7"/>
      <c r="AG705" s="8">
        <f t="shared" si="10"/>
        <v>43327</v>
      </c>
    </row>
    <row r="706" spans="1:33">
      <c r="A706" s="7" t="s">
        <v>3839</v>
      </c>
      <c r="B706" s="7" t="s">
        <v>3840</v>
      </c>
      <c r="C706" s="7" t="s">
        <v>3841</v>
      </c>
      <c r="D706" s="7" t="s">
        <v>3842</v>
      </c>
      <c r="E706" s="7" t="s">
        <v>33</v>
      </c>
      <c r="F706" s="7" t="s">
        <v>34</v>
      </c>
      <c r="G706" s="7" t="s">
        <v>946</v>
      </c>
      <c r="H706" s="7"/>
      <c r="I706" s="7"/>
      <c r="J706" s="7" t="s">
        <v>336</v>
      </c>
      <c r="K706" s="7" t="s">
        <v>3830</v>
      </c>
      <c r="L706" s="7" t="s">
        <v>3843</v>
      </c>
      <c r="M706" s="7" t="s">
        <v>3844</v>
      </c>
      <c r="N706" s="7" t="s">
        <v>459</v>
      </c>
      <c r="O706" s="7">
        <v>2</v>
      </c>
      <c r="P706" s="7"/>
      <c r="Q706" s="7"/>
      <c r="R706" s="7"/>
      <c r="S706" s="7"/>
      <c r="T706" s="7"/>
      <c r="U706" s="7"/>
      <c r="V706" s="7"/>
      <c r="W706" s="7"/>
      <c r="X706" s="7"/>
      <c r="Y706" s="7" t="s">
        <v>451</v>
      </c>
      <c r="Z706" s="7" t="s">
        <v>452</v>
      </c>
      <c r="AA706" s="7">
        <v>70808</v>
      </c>
      <c r="AB706" s="7" t="s">
        <v>43</v>
      </c>
      <c r="AC706" s="7"/>
      <c r="AD706" s="7"/>
      <c r="AE706" s="7"/>
      <c r="AF706" s="7"/>
      <c r="AG706" s="8">
        <f t="shared" ref="AG706:AG769" si="11">DATEVALUE(LEFT(C706,10))</f>
        <v>43327</v>
      </c>
    </row>
    <row r="707" spans="1:33">
      <c r="A707" s="7" t="s">
        <v>3845</v>
      </c>
      <c r="B707" s="7" t="s">
        <v>3846</v>
      </c>
      <c r="C707" s="7" t="s">
        <v>3847</v>
      </c>
      <c r="D707" s="7" t="s">
        <v>3848</v>
      </c>
      <c r="E707" s="7" t="s">
        <v>33</v>
      </c>
      <c r="F707" s="7" t="s">
        <v>34</v>
      </c>
      <c r="G707" s="7" t="s">
        <v>946</v>
      </c>
      <c r="H707" s="7"/>
      <c r="I707" s="7"/>
      <c r="J707" s="7" t="s">
        <v>336</v>
      </c>
      <c r="K707" s="7" t="s">
        <v>3830</v>
      </c>
      <c r="L707" s="7" t="s">
        <v>3849</v>
      </c>
      <c r="M707" s="7" t="s">
        <v>3850</v>
      </c>
      <c r="N707" s="7" t="s">
        <v>459</v>
      </c>
      <c r="O707" s="7">
        <v>4</v>
      </c>
      <c r="P707" s="7"/>
      <c r="Q707" s="7"/>
      <c r="R707" s="7"/>
      <c r="S707" s="7"/>
      <c r="T707" s="7"/>
      <c r="U707" s="7"/>
      <c r="V707" s="7"/>
      <c r="W707" s="7"/>
      <c r="X707" s="7"/>
      <c r="Y707" s="7" t="s">
        <v>451</v>
      </c>
      <c r="Z707" s="7" t="s">
        <v>452</v>
      </c>
      <c r="AA707" s="7">
        <v>70808</v>
      </c>
      <c r="AB707" s="7" t="s">
        <v>43</v>
      </c>
      <c r="AC707" s="7"/>
      <c r="AD707" s="7"/>
      <c r="AE707" s="7"/>
      <c r="AF707" s="7"/>
      <c r="AG707" s="8">
        <f t="shared" si="11"/>
        <v>43327</v>
      </c>
    </row>
    <row r="708" spans="1:33">
      <c r="A708" s="7" t="s">
        <v>3851</v>
      </c>
      <c r="B708" s="7" t="s">
        <v>3852</v>
      </c>
      <c r="C708" s="7" t="s">
        <v>3853</v>
      </c>
      <c r="D708" s="7" t="s">
        <v>3854</v>
      </c>
      <c r="E708" s="7" t="s">
        <v>33</v>
      </c>
      <c r="F708" s="7" t="s">
        <v>34</v>
      </c>
      <c r="G708" s="7" t="s">
        <v>946</v>
      </c>
      <c r="H708" s="7"/>
      <c r="I708" s="7"/>
      <c r="J708" s="7" t="s">
        <v>336</v>
      </c>
      <c r="K708" s="7" t="s">
        <v>3830</v>
      </c>
      <c r="L708" s="7" t="s">
        <v>3855</v>
      </c>
      <c r="M708" s="7" t="s">
        <v>3856</v>
      </c>
      <c r="N708" s="7" t="s">
        <v>459</v>
      </c>
      <c r="O708" s="7">
        <v>4</v>
      </c>
      <c r="P708" s="7"/>
      <c r="Q708" s="7"/>
      <c r="R708" s="7"/>
      <c r="S708" s="7"/>
      <c r="T708" s="7"/>
      <c r="U708" s="7"/>
      <c r="V708" s="7"/>
      <c r="W708" s="7"/>
      <c r="X708" s="7"/>
      <c r="Y708" s="7" t="s">
        <v>451</v>
      </c>
      <c r="Z708" s="7" t="s">
        <v>452</v>
      </c>
      <c r="AA708" s="7">
        <v>70808</v>
      </c>
      <c r="AB708" s="7" t="s">
        <v>43</v>
      </c>
      <c r="AC708" s="7"/>
      <c r="AD708" s="7"/>
      <c r="AE708" s="7"/>
      <c r="AF708" s="7"/>
      <c r="AG708" s="8">
        <f t="shared" si="11"/>
        <v>43327</v>
      </c>
    </row>
    <row r="709" spans="1:33">
      <c r="A709" s="7" t="s">
        <v>3857</v>
      </c>
      <c r="B709" s="7" t="s">
        <v>3858</v>
      </c>
      <c r="C709" s="7" t="s">
        <v>3859</v>
      </c>
      <c r="D709" s="7" t="s">
        <v>3860</v>
      </c>
      <c r="E709" s="7" t="s">
        <v>33</v>
      </c>
      <c r="F709" s="7" t="s">
        <v>34</v>
      </c>
      <c r="G709" s="7" t="s">
        <v>946</v>
      </c>
      <c r="H709" s="7"/>
      <c r="I709" s="7"/>
      <c r="J709" s="7" t="s">
        <v>336</v>
      </c>
      <c r="K709" s="7" t="s">
        <v>3830</v>
      </c>
      <c r="L709" s="7" t="s">
        <v>3861</v>
      </c>
      <c r="M709" s="7" t="s">
        <v>3862</v>
      </c>
      <c r="N709" s="7" t="s">
        <v>459</v>
      </c>
      <c r="O709" s="7">
        <v>10</v>
      </c>
      <c r="P709" s="7"/>
      <c r="Q709" s="7"/>
      <c r="R709" s="7"/>
      <c r="S709" s="7"/>
      <c r="T709" s="7"/>
      <c r="U709" s="7"/>
      <c r="V709" s="7"/>
      <c r="W709" s="7"/>
      <c r="X709" s="7"/>
      <c r="Y709" s="7" t="s">
        <v>451</v>
      </c>
      <c r="Z709" s="7" t="s">
        <v>452</v>
      </c>
      <c r="AA709" s="7">
        <v>70808</v>
      </c>
      <c r="AB709" s="7" t="s">
        <v>43</v>
      </c>
      <c r="AC709" s="7"/>
      <c r="AD709" s="7"/>
      <c r="AE709" s="7"/>
      <c r="AF709" s="7"/>
      <c r="AG709" s="8">
        <f t="shared" si="11"/>
        <v>43327</v>
      </c>
    </row>
    <row r="710" spans="1:33">
      <c r="A710" s="7" t="s">
        <v>3863</v>
      </c>
      <c r="B710" s="7" t="s">
        <v>3864</v>
      </c>
      <c r="C710" s="7" t="s">
        <v>3865</v>
      </c>
      <c r="D710" s="7" t="s">
        <v>3866</v>
      </c>
      <c r="E710" s="7" t="s">
        <v>33</v>
      </c>
      <c r="F710" s="7" t="s">
        <v>34</v>
      </c>
      <c r="G710" s="7" t="s">
        <v>946</v>
      </c>
      <c r="H710" s="7"/>
      <c r="I710" s="7"/>
      <c r="J710" s="7" t="s">
        <v>336</v>
      </c>
      <c r="K710" s="7" t="s">
        <v>3867</v>
      </c>
      <c r="L710" s="7" t="s">
        <v>3868</v>
      </c>
      <c r="M710" s="7" t="s">
        <v>3869</v>
      </c>
      <c r="N710" s="7" t="s">
        <v>459</v>
      </c>
      <c r="O710" s="7">
        <v>1</v>
      </c>
      <c r="P710" s="7"/>
      <c r="Q710" s="7"/>
      <c r="R710" s="7"/>
      <c r="S710" s="7"/>
      <c r="T710" s="7"/>
      <c r="U710" s="7"/>
      <c r="V710" s="7"/>
      <c r="W710" s="7"/>
      <c r="X710" s="7"/>
      <c r="Y710" s="7" t="s">
        <v>451</v>
      </c>
      <c r="Z710" s="7" t="s">
        <v>452</v>
      </c>
      <c r="AA710" s="7">
        <v>70808</v>
      </c>
      <c r="AB710" s="7" t="s">
        <v>43</v>
      </c>
      <c r="AC710" s="7"/>
      <c r="AD710" s="7"/>
      <c r="AE710" s="7"/>
      <c r="AF710" s="7"/>
      <c r="AG710" s="8">
        <f t="shared" si="11"/>
        <v>43327</v>
      </c>
    </row>
    <row r="711" spans="1:33">
      <c r="A711" s="7" t="s">
        <v>3870</v>
      </c>
      <c r="B711" s="7" t="s">
        <v>3871</v>
      </c>
      <c r="C711" s="7" t="s">
        <v>3872</v>
      </c>
      <c r="D711" s="7" t="s">
        <v>3873</v>
      </c>
      <c r="E711" s="7" t="s">
        <v>33</v>
      </c>
      <c r="F711" s="7" t="s">
        <v>34</v>
      </c>
      <c r="G711" s="7" t="s">
        <v>946</v>
      </c>
      <c r="H711" s="7"/>
      <c r="I711" s="7"/>
      <c r="J711" s="7" t="s">
        <v>336</v>
      </c>
      <c r="K711" s="7" t="s">
        <v>3867</v>
      </c>
      <c r="L711" s="7" t="s">
        <v>3874</v>
      </c>
      <c r="M711" s="7" t="s">
        <v>3875</v>
      </c>
      <c r="N711" s="7" t="s">
        <v>459</v>
      </c>
      <c r="O711" s="7">
        <v>2</v>
      </c>
      <c r="P711" s="7"/>
      <c r="Q711" s="7"/>
      <c r="R711" s="7"/>
      <c r="S711" s="7"/>
      <c r="T711" s="7"/>
      <c r="U711" s="7"/>
      <c r="V711" s="7"/>
      <c r="W711" s="7"/>
      <c r="X711" s="7"/>
      <c r="Y711" s="7" t="s">
        <v>451</v>
      </c>
      <c r="Z711" s="7" t="s">
        <v>452</v>
      </c>
      <c r="AA711" s="7">
        <v>70808</v>
      </c>
      <c r="AB711" s="7" t="s">
        <v>43</v>
      </c>
      <c r="AC711" s="7"/>
      <c r="AD711" s="7"/>
      <c r="AE711" s="7"/>
      <c r="AF711" s="7"/>
      <c r="AG711" s="8">
        <f t="shared" si="11"/>
        <v>43327</v>
      </c>
    </row>
    <row r="712" spans="1:33">
      <c r="A712" s="7" t="s">
        <v>3876</v>
      </c>
      <c r="B712" s="7" t="s">
        <v>3877</v>
      </c>
      <c r="C712" s="7" t="s">
        <v>3878</v>
      </c>
      <c r="D712" s="7" t="s">
        <v>3879</v>
      </c>
      <c r="E712" s="7" t="s">
        <v>33</v>
      </c>
      <c r="F712" s="7" t="s">
        <v>34</v>
      </c>
      <c r="G712" s="7" t="s">
        <v>946</v>
      </c>
      <c r="H712" s="7"/>
      <c r="I712" s="7"/>
      <c r="J712" s="7" t="s">
        <v>336</v>
      </c>
      <c r="K712" s="7" t="s">
        <v>3867</v>
      </c>
      <c r="L712" s="7" t="s">
        <v>3880</v>
      </c>
      <c r="M712" s="7" t="s">
        <v>3881</v>
      </c>
      <c r="N712" s="7" t="s">
        <v>459</v>
      </c>
      <c r="O712" s="7">
        <v>3</v>
      </c>
      <c r="P712" s="7"/>
      <c r="Q712" s="7"/>
      <c r="R712" s="7"/>
      <c r="S712" s="7"/>
      <c r="T712" s="7"/>
      <c r="U712" s="7"/>
      <c r="V712" s="7"/>
      <c r="W712" s="7"/>
      <c r="X712" s="7"/>
      <c r="Y712" s="7" t="s">
        <v>451</v>
      </c>
      <c r="Z712" s="7" t="s">
        <v>452</v>
      </c>
      <c r="AA712" s="7">
        <v>70808</v>
      </c>
      <c r="AB712" s="7" t="s">
        <v>43</v>
      </c>
      <c r="AC712" s="7"/>
      <c r="AD712" s="7"/>
      <c r="AE712" s="7"/>
      <c r="AF712" s="7"/>
      <c r="AG712" s="8">
        <f t="shared" si="11"/>
        <v>43327</v>
      </c>
    </row>
    <row r="713" spans="1:33">
      <c r="A713" s="7" t="s">
        <v>3882</v>
      </c>
      <c r="B713" s="7" t="s">
        <v>3883</v>
      </c>
      <c r="C713" s="7" t="s">
        <v>3884</v>
      </c>
      <c r="D713" s="7" t="s">
        <v>3885</v>
      </c>
      <c r="E713" s="7" t="s">
        <v>33</v>
      </c>
      <c r="F713" s="7" t="s">
        <v>34</v>
      </c>
      <c r="G713" s="7" t="s">
        <v>946</v>
      </c>
      <c r="H713" s="7"/>
      <c r="I713" s="7"/>
      <c r="J713" s="7" t="s">
        <v>336</v>
      </c>
      <c r="K713" s="7" t="s">
        <v>3886</v>
      </c>
      <c r="L713" s="7" t="s">
        <v>3887</v>
      </c>
      <c r="M713" s="7" t="s">
        <v>3888</v>
      </c>
      <c r="N713" s="7" t="s">
        <v>459</v>
      </c>
      <c r="O713" s="7">
        <v>6</v>
      </c>
      <c r="P713" s="7"/>
      <c r="Q713" s="7"/>
      <c r="R713" s="7"/>
      <c r="S713" s="7"/>
      <c r="T713" s="7"/>
      <c r="U713" s="7"/>
      <c r="V713" s="7"/>
      <c r="W713" s="7"/>
      <c r="X713" s="7"/>
      <c r="Y713" s="7" t="s">
        <v>451</v>
      </c>
      <c r="Z713" s="7" t="s">
        <v>452</v>
      </c>
      <c r="AA713" s="7">
        <v>70808</v>
      </c>
      <c r="AB713" s="7" t="s">
        <v>43</v>
      </c>
      <c r="AC713" s="7"/>
      <c r="AD713" s="7"/>
      <c r="AE713" s="7"/>
      <c r="AF713" s="7"/>
      <c r="AG713" s="8">
        <f t="shared" si="11"/>
        <v>43327</v>
      </c>
    </row>
    <row r="714" spans="1:33">
      <c r="A714" s="7" t="s">
        <v>3889</v>
      </c>
      <c r="B714" s="7" t="s">
        <v>3890</v>
      </c>
      <c r="C714" s="7" t="s">
        <v>3891</v>
      </c>
      <c r="D714" s="7" t="s">
        <v>3892</v>
      </c>
      <c r="E714" s="7" t="s">
        <v>33</v>
      </c>
      <c r="F714" s="7" t="s">
        <v>34</v>
      </c>
      <c r="G714" s="7" t="s">
        <v>946</v>
      </c>
      <c r="H714" s="7"/>
      <c r="I714" s="7"/>
      <c r="J714" s="7" t="s">
        <v>336</v>
      </c>
      <c r="K714" s="7" t="s">
        <v>3893</v>
      </c>
      <c r="L714" s="7" t="s">
        <v>3894</v>
      </c>
      <c r="M714" s="7" t="s">
        <v>3895</v>
      </c>
      <c r="N714" s="7" t="s">
        <v>459</v>
      </c>
      <c r="O714" s="7">
        <v>2</v>
      </c>
      <c r="P714" s="7"/>
      <c r="Q714" s="7"/>
      <c r="R714" s="7"/>
      <c r="S714" s="7"/>
      <c r="T714" s="7"/>
      <c r="U714" s="7"/>
      <c r="V714" s="7"/>
      <c r="W714" s="7"/>
      <c r="X714" s="7"/>
      <c r="Y714" s="7" t="s">
        <v>451</v>
      </c>
      <c r="Z714" s="7" t="s">
        <v>452</v>
      </c>
      <c r="AA714" s="7">
        <v>70808</v>
      </c>
      <c r="AB714" s="7" t="s">
        <v>43</v>
      </c>
      <c r="AC714" s="7"/>
      <c r="AD714" s="7"/>
      <c r="AE714" s="7"/>
      <c r="AF714" s="7"/>
      <c r="AG714" s="8">
        <f t="shared" si="11"/>
        <v>43327</v>
      </c>
    </row>
    <row r="715" spans="1:33">
      <c r="A715" s="7" t="s">
        <v>3896</v>
      </c>
      <c r="B715" s="7" t="s">
        <v>3897</v>
      </c>
      <c r="C715" s="7" t="s">
        <v>3898</v>
      </c>
      <c r="D715" s="7" t="s">
        <v>3899</v>
      </c>
      <c r="E715" s="7" t="s">
        <v>33</v>
      </c>
      <c r="F715" s="7" t="s">
        <v>34</v>
      </c>
      <c r="G715" s="7" t="s">
        <v>946</v>
      </c>
      <c r="H715" s="7"/>
      <c r="I715" s="7"/>
      <c r="J715" s="7" t="s">
        <v>336</v>
      </c>
      <c r="K715" s="7" t="s">
        <v>3893</v>
      </c>
      <c r="L715" s="7" t="s">
        <v>3900</v>
      </c>
      <c r="M715" s="7" t="s">
        <v>3901</v>
      </c>
      <c r="N715" s="7" t="s">
        <v>459</v>
      </c>
      <c r="O715" s="7">
        <v>4</v>
      </c>
      <c r="P715" s="7"/>
      <c r="Q715" s="7"/>
      <c r="R715" s="7"/>
      <c r="S715" s="7"/>
      <c r="T715" s="7"/>
      <c r="U715" s="7"/>
      <c r="V715" s="7"/>
      <c r="W715" s="7"/>
      <c r="X715" s="7"/>
      <c r="Y715" s="7" t="s">
        <v>451</v>
      </c>
      <c r="Z715" s="7" t="s">
        <v>452</v>
      </c>
      <c r="AA715" s="7">
        <v>70808</v>
      </c>
      <c r="AB715" s="7" t="s">
        <v>43</v>
      </c>
      <c r="AC715" s="7"/>
      <c r="AD715" s="7"/>
      <c r="AE715" s="7"/>
      <c r="AF715" s="7"/>
      <c r="AG715" s="8">
        <f t="shared" si="11"/>
        <v>43327</v>
      </c>
    </row>
    <row r="716" spans="1:33">
      <c r="A716" s="7" t="s">
        <v>3902</v>
      </c>
      <c r="B716" s="7" t="s">
        <v>3903</v>
      </c>
      <c r="C716" s="7" t="s">
        <v>3904</v>
      </c>
      <c r="D716" s="7" t="s">
        <v>3905</v>
      </c>
      <c r="E716" s="7" t="s">
        <v>33</v>
      </c>
      <c r="F716" s="7" t="s">
        <v>34</v>
      </c>
      <c r="G716" s="7" t="s">
        <v>946</v>
      </c>
      <c r="H716" s="7"/>
      <c r="I716" s="7"/>
      <c r="J716" s="7" t="s">
        <v>336</v>
      </c>
      <c r="K716" s="7" t="s">
        <v>3893</v>
      </c>
      <c r="L716" s="7" t="s">
        <v>3906</v>
      </c>
      <c r="M716" s="7" t="s">
        <v>3907</v>
      </c>
      <c r="N716" s="7" t="s">
        <v>459</v>
      </c>
      <c r="O716" s="7">
        <v>9</v>
      </c>
      <c r="P716" s="7"/>
      <c r="Q716" s="7"/>
      <c r="R716" s="7"/>
      <c r="S716" s="7"/>
      <c r="T716" s="7"/>
      <c r="U716" s="7"/>
      <c r="V716" s="7"/>
      <c r="W716" s="7"/>
      <c r="X716" s="7"/>
      <c r="Y716" s="7" t="s">
        <v>451</v>
      </c>
      <c r="Z716" s="7" t="s">
        <v>452</v>
      </c>
      <c r="AA716" s="7">
        <v>70808</v>
      </c>
      <c r="AB716" s="7" t="s">
        <v>43</v>
      </c>
      <c r="AC716" s="7"/>
      <c r="AD716" s="7"/>
      <c r="AE716" s="7"/>
      <c r="AF716" s="7"/>
      <c r="AG716" s="8">
        <f t="shared" si="11"/>
        <v>43327</v>
      </c>
    </row>
    <row r="717" spans="1:33">
      <c r="A717" s="7" t="s">
        <v>3908</v>
      </c>
      <c r="B717" s="7" t="s">
        <v>3909</v>
      </c>
      <c r="C717" s="7" t="s">
        <v>3910</v>
      </c>
      <c r="D717" s="7" t="s">
        <v>3911</v>
      </c>
      <c r="E717" s="7" t="s">
        <v>33</v>
      </c>
      <c r="F717" s="7" t="s">
        <v>34</v>
      </c>
      <c r="G717" s="7" t="s">
        <v>946</v>
      </c>
      <c r="H717" s="7"/>
      <c r="I717" s="7"/>
      <c r="J717" s="7" t="s">
        <v>336</v>
      </c>
      <c r="K717" s="7" t="s">
        <v>3912</v>
      </c>
      <c r="L717" s="7" t="s">
        <v>3913</v>
      </c>
      <c r="M717" s="7" t="s">
        <v>3914</v>
      </c>
      <c r="N717" s="7" t="s">
        <v>459</v>
      </c>
      <c r="O717" s="7">
        <v>7</v>
      </c>
      <c r="P717" s="7"/>
      <c r="Q717" s="7"/>
      <c r="R717" s="7"/>
      <c r="S717" s="7"/>
      <c r="T717" s="7"/>
      <c r="U717" s="7"/>
      <c r="V717" s="7"/>
      <c r="W717" s="7"/>
      <c r="X717" s="7"/>
      <c r="Y717" s="7" t="s">
        <v>451</v>
      </c>
      <c r="Z717" s="7" t="s">
        <v>452</v>
      </c>
      <c r="AA717" s="7">
        <v>70808</v>
      </c>
      <c r="AB717" s="7" t="s">
        <v>43</v>
      </c>
      <c r="AC717" s="7"/>
      <c r="AD717" s="7"/>
      <c r="AE717" s="7"/>
      <c r="AF717" s="7"/>
      <c r="AG717" s="8">
        <f t="shared" si="11"/>
        <v>43327</v>
      </c>
    </row>
    <row r="718" spans="1:33">
      <c r="A718" s="7" t="s">
        <v>3915</v>
      </c>
      <c r="B718" s="7" t="s">
        <v>3916</v>
      </c>
      <c r="C718" s="7" t="s">
        <v>3917</v>
      </c>
      <c r="D718" s="7" t="s">
        <v>3918</v>
      </c>
      <c r="E718" s="7" t="s">
        <v>33</v>
      </c>
      <c r="F718" s="7" t="s">
        <v>34</v>
      </c>
      <c r="G718" s="7" t="s">
        <v>946</v>
      </c>
      <c r="H718" s="7"/>
      <c r="I718" s="7"/>
      <c r="J718" s="7" t="s">
        <v>336</v>
      </c>
      <c r="K718" s="7" t="s">
        <v>3912</v>
      </c>
      <c r="L718" s="7" t="s">
        <v>3919</v>
      </c>
      <c r="M718" s="7" t="s">
        <v>3920</v>
      </c>
      <c r="N718" s="7" t="s">
        <v>459</v>
      </c>
      <c r="O718" s="7">
        <v>12</v>
      </c>
      <c r="P718" s="7"/>
      <c r="Q718" s="7"/>
      <c r="R718" s="7"/>
      <c r="S718" s="7"/>
      <c r="T718" s="7"/>
      <c r="U718" s="7"/>
      <c r="V718" s="7"/>
      <c r="W718" s="7"/>
      <c r="X718" s="7"/>
      <c r="Y718" s="7" t="s">
        <v>451</v>
      </c>
      <c r="Z718" s="7" t="s">
        <v>452</v>
      </c>
      <c r="AA718" s="7">
        <v>70808</v>
      </c>
      <c r="AB718" s="7" t="s">
        <v>43</v>
      </c>
      <c r="AC718" s="7"/>
      <c r="AD718" s="7"/>
      <c r="AE718" s="7"/>
      <c r="AF718" s="7"/>
      <c r="AG718" s="8">
        <f t="shared" si="11"/>
        <v>43327</v>
      </c>
    </row>
    <row r="719" spans="1:33">
      <c r="A719" s="7" t="s">
        <v>3921</v>
      </c>
      <c r="B719" s="7" t="s">
        <v>3922</v>
      </c>
      <c r="C719" s="7" t="s">
        <v>3923</v>
      </c>
      <c r="D719" s="7" t="s">
        <v>3924</v>
      </c>
      <c r="E719" s="7" t="s">
        <v>33</v>
      </c>
      <c r="F719" s="7" t="s">
        <v>34</v>
      </c>
      <c r="G719" s="7" t="s">
        <v>946</v>
      </c>
      <c r="H719" s="7"/>
      <c r="I719" s="7"/>
      <c r="J719" s="7" t="s">
        <v>336</v>
      </c>
      <c r="K719" s="7" t="s">
        <v>3925</v>
      </c>
      <c r="L719" s="7" t="s">
        <v>3926</v>
      </c>
      <c r="M719" s="7" t="s">
        <v>3927</v>
      </c>
      <c r="N719" s="7" t="s">
        <v>459</v>
      </c>
      <c r="O719" s="7">
        <v>1</v>
      </c>
      <c r="P719" s="7"/>
      <c r="Q719" s="7"/>
      <c r="R719" s="7"/>
      <c r="S719" s="7"/>
      <c r="T719" s="7"/>
      <c r="U719" s="7"/>
      <c r="V719" s="7"/>
      <c r="W719" s="7"/>
      <c r="X719" s="7"/>
      <c r="Y719" s="7" t="s">
        <v>451</v>
      </c>
      <c r="Z719" s="7" t="s">
        <v>452</v>
      </c>
      <c r="AA719" s="7">
        <v>70808</v>
      </c>
      <c r="AB719" s="7" t="s">
        <v>43</v>
      </c>
      <c r="AC719" s="7"/>
      <c r="AD719" s="7"/>
      <c r="AE719" s="7"/>
      <c r="AF719" s="7"/>
      <c r="AG719" s="8">
        <f t="shared" si="11"/>
        <v>43327</v>
      </c>
    </row>
    <row r="720" spans="1:33">
      <c r="A720" s="7" t="s">
        <v>3928</v>
      </c>
      <c r="B720" s="7" t="s">
        <v>3929</v>
      </c>
      <c r="C720" s="7" t="s">
        <v>3930</v>
      </c>
      <c r="D720" s="7" t="s">
        <v>3931</v>
      </c>
      <c r="E720" s="7" t="s">
        <v>33</v>
      </c>
      <c r="F720" s="7" t="s">
        <v>34</v>
      </c>
      <c r="G720" s="7" t="s">
        <v>946</v>
      </c>
      <c r="H720" s="7"/>
      <c r="I720" s="7"/>
      <c r="J720" s="7" t="s">
        <v>336</v>
      </c>
      <c r="K720" s="7" t="s">
        <v>3925</v>
      </c>
      <c r="L720" s="7" t="s">
        <v>3932</v>
      </c>
      <c r="M720" s="7" t="s">
        <v>3933</v>
      </c>
      <c r="N720" s="7" t="s">
        <v>459</v>
      </c>
      <c r="O720" s="7">
        <v>2</v>
      </c>
      <c r="P720" s="7"/>
      <c r="Q720" s="7"/>
      <c r="R720" s="7"/>
      <c r="S720" s="7"/>
      <c r="T720" s="7"/>
      <c r="U720" s="7"/>
      <c r="V720" s="7"/>
      <c r="W720" s="7"/>
      <c r="X720" s="7"/>
      <c r="Y720" s="7" t="s">
        <v>451</v>
      </c>
      <c r="Z720" s="7" t="s">
        <v>452</v>
      </c>
      <c r="AA720" s="7">
        <v>70808</v>
      </c>
      <c r="AB720" s="7" t="s">
        <v>43</v>
      </c>
      <c r="AC720" s="7"/>
      <c r="AD720" s="7"/>
      <c r="AE720" s="7"/>
      <c r="AF720" s="7"/>
      <c r="AG720" s="8">
        <f t="shared" si="11"/>
        <v>43327</v>
      </c>
    </row>
    <row r="721" spans="1:33">
      <c r="A721" s="7" t="s">
        <v>3934</v>
      </c>
      <c r="B721" s="7" t="s">
        <v>3935</v>
      </c>
      <c r="C721" s="7" t="s">
        <v>3936</v>
      </c>
      <c r="D721" s="7" t="s">
        <v>3937</v>
      </c>
      <c r="E721" s="7" t="s">
        <v>33</v>
      </c>
      <c r="F721" s="7" t="s">
        <v>34</v>
      </c>
      <c r="G721" s="7" t="s">
        <v>946</v>
      </c>
      <c r="H721" s="7"/>
      <c r="I721" s="7"/>
      <c r="J721" s="7" t="s">
        <v>336</v>
      </c>
      <c r="K721" s="7" t="s">
        <v>3925</v>
      </c>
      <c r="L721" s="7" t="s">
        <v>3938</v>
      </c>
      <c r="M721" s="7" t="s">
        <v>3939</v>
      </c>
      <c r="N721" s="7" t="s">
        <v>459</v>
      </c>
      <c r="O721" s="7">
        <v>3</v>
      </c>
      <c r="P721" s="7"/>
      <c r="Q721" s="7"/>
      <c r="R721" s="7"/>
      <c r="S721" s="7"/>
      <c r="T721" s="7"/>
      <c r="U721" s="7"/>
      <c r="V721" s="7"/>
      <c r="W721" s="7"/>
      <c r="X721" s="7"/>
      <c r="Y721" s="7" t="s">
        <v>451</v>
      </c>
      <c r="Z721" s="7" t="s">
        <v>452</v>
      </c>
      <c r="AA721" s="7">
        <v>70808</v>
      </c>
      <c r="AB721" s="7" t="s">
        <v>43</v>
      </c>
      <c r="AC721" s="7"/>
      <c r="AD721" s="7"/>
      <c r="AE721" s="7"/>
      <c r="AF721" s="7"/>
      <c r="AG721" s="8">
        <f t="shared" si="11"/>
        <v>43327</v>
      </c>
    </row>
    <row r="722" spans="1:33">
      <c r="A722" s="7" t="s">
        <v>3940</v>
      </c>
      <c r="B722" s="7" t="s">
        <v>3941</v>
      </c>
      <c r="C722" s="7" t="s">
        <v>3942</v>
      </c>
      <c r="D722" s="7" t="s">
        <v>3943</v>
      </c>
      <c r="E722" s="7" t="s">
        <v>33</v>
      </c>
      <c r="F722" s="7" t="s">
        <v>34</v>
      </c>
      <c r="G722" s="7" t="s">
        <v>946</v>
      </c>
      <c r="H722" s="7"/>
      <c r="I722" s="7"/>
      <c r="J722" s="7" t="s">
        <v>336</v>
      </c>
      <c r="K722" s="7" t="s">
        <v>3944</v>
      </c>
      <c r="L722" s="7" t="s">
        <v>3945</v>
      </c>
      <c r="M722" s="7" t="s">
        <v>3946</v>
      </c>
      <c r="N722" s="7" t="s">
        <v>459</v>
      </c>
      <c r="O722" s="7">
        <v>4</v>
      </c>
      <c r="P722" s="7"/>
      <c r="Q722" s="7"/>
      <c r="R722" s="7"/>
      <c r="S722" s="7"/>
      <c r="T722" s="7"/>
      <c r="U722" s="7"/>
      <c r="V722" s="7"/>
      <c r="W722" s="7"/>
      <c r="X722" s="7"/>
      <c r="Y722" s="7" t="s">
        <v>451</v>
      </c>
      <c r="Z722" s="7" t="s">
        <v>452</v>
      </c>
      <c r="AA722" s="7">
        <v>70808</v>
      </c>
      <c r="AB722" s="7" t="s">
        <v>43</v>
      </c>
      <c r="AC722" s="7"/>
      <c r="AD722" s="7"/>
      <c r="AE722" s="7"/>
      <c r="AF722" s="7"/>
      <c r="AG722" s="8">
        <f t="shared" si="11"/>
        <v>43327</v>
      </c>
    </row>
    <row r="723" spans="1:33">
      <c r="A723" s="7" t="s">
        <v>3947</v>
      </c>
      <c r="B723" s="7" t="s">
        <v>3948</v>
      </c>
      <c r="C723" s="7" t="s">
        <v>3949</v>
      </c>
      <c r="D723" s="7" t="s">
        <v>3950</v>
      </c>
      <c r="E723" s="7" t="s">
        <v>33</v>
      </c>
      <c r="F723" s="7" t="s">
        <v>34</v>
      </c>
      <c r="G723" s="7" t="s">
        <v>946</v>
      </c>
      <c r="H723" s="7"/>
      <c r="I723" s="7"/>
      <c r="J723" s="7" t="s">
        <v>336</v>
      </c>
      <c r="K723" s="7" t="s">
        <v>3925</v>
      </c>
      <c r="L723" s="7" t="s">
        <v>3951</v>
      </c>
      <c r="M723" s="7" t="s">
        <v>3952</v>
      </c>
      <c r="N723" s="7" t="s">
        <v>459</v>
      </c>
      <c r="O723" s="7">
        <v>5</v>
      </c>
      <c r="P723" s="7"/>
      <c r="Q723" s="7"/>
      <c r="R723" s="7"/>
      <c r="S723" s="7"/>
      <c r="T723" s="7"/>
      <c r="U723" s="7"/>
      <c r="V723" s="7"/>
      <c r="W723" s="7"/>
      <c r="X723" s="7"/>
      <c r="Y723" s="7" t="s">
        <v>451</v>
      </c>
      <c r="Z723" s="7" t="s">
        <v>452</v>
      </c>
      <c r="AA723" s="7">
        <v>70808</v>
      </c>
      <c r="AB723" s="7" t="s">
        <v>43</v>
      </c>
      <c r="AC723" s="7"/>
      <c r="AD723" s="7"/>
      <c r="AE723" s="7"/>
      <c r="AF723" s="7"/>
      <c r="AG723" s="8">
        <f t="shared" si="11"/>
        <v>43327</v>
      </c>
    </row>
    <row r="724" spans="1:33">
      <c r="A724" s="7" t="s">
        <v>3953</v>
      </c>
      <c r="B724" s="7" t="s">
        <v>3954</v>
      </c>
      <c r="C724" s="7" t="s">
        <v>3955</v>
      </c>
      <c r="D724" s="7" t="s">
        <v>3956</v>
      </c>
      <c r="E724" s="7" t="s">
        <v>33</v>
      </c>
      <c r="F724" s="7" t="s">
        <v>34</v>
      </c>
      <c r="G724" s="7" t="s">
        <v>946</v>
      </c>
      <c r="H724" s="7"/>
      <c r="I724" s="7"/>
      <c r="J724" s="7" t="s">
        <v>336</v>
      </c>
      <c r="K724" s="7" t="s">
        <v>3957</v>
      </c>
      <c r="L724" s="7" t="s">
        <v>3958</v>
      </c>
      <c r="M724" s="7" t="s">
        <v>3959</v>
      </c>
      <c r="N724" s="7" t="s">
        <v>459</v>
      </c>
      <c r="O724" s="7">
        <v>4</v>
      </c>
      <c r="P724" s="7"/>
      <c r="Q724" s="7"/>
      <c r="R724" s="7"/>
      <c r="S724" s="7"/>
      <c r="T724" s="7"/>
      <c r="U724" s="7"/>
      <c r="V724" s="7"/>
      <c r="W724" s="7"/>
      <c r="X724" s="7"/>
      <c r="Y724" s="7" t="s">
        <v>451</v>
      </c>
      <c r="Z724" s="7" t="s">
        <v>452</v>
      </c>
      <c r="AA724" s="7">
        <v>70808</v>
      </c>
      <c r="AB724" s="7" t="s">
        <v>43</v>
      </c>
      <c r="AC724" s="7"/>
      <c r="AD724" s="7"/>
      <c r="AE724" s="7"/>
      <c r="AF724" s="7"/>
      <c r="AG724" s="8">
        <f t="shared" si="11"/>
        <v>43327</v>
      </c>
    </row>
    <row r="725" spans="1:33">
      <c r="A725" s="7" t="s">
        <v>3960</v>
      </c>
      <c r="B725" s="7" t="s">
        <v>3961</v>
      </c>
      <c r="C725" s="7" t="s">
        <v>3962</v>
      </c>
      <c r="D725" s="7" t="s">
        <v>3963</v>
      </c>
      <c r="E725" s="7" t="s">
        <v>33</v>
      </c>
      <c r="F725" s="7" t="s">
        <v>34</v>
      </c>
      <c r="G725" s="7" t="s">
        <v>946</v>
      </c>
      <c r="H725" s="7"/>
      <c r="I725" s="7"/>
      <c r="J725" s="7" t="s">
        <v>336</v>
      </c>
      <c r="K725" s="7" t="s">
        <v>3957</v>
      </c>
      <c r="L725" s="7" t="s">
        <v>3964</v>
      </c>
      <c r="M725" s="7" t="s">
        <v>3965</v>
      </c>
      <c r="N725" s="7" t="s">
        <v>459</v>
      </c>
      <c r="O725" s="7">
        <v>6</v>
      </c>
      <c r="P725" s="7"/>
      <c r="Q725" s="7"/>
      <c r="R725" s="7"/>
      <c r="S725" s="7"/>
      <c r="T725" s="7"/>
      <c r="U725" s="7"/>
      <c r="V725" s="7"/>
      <c r="W725" s="7"/>
      <c r="X725" s="7"/>
      <c r="Y725" s="7" t="s">
        <v>451</v>
      </c>
      <c r="Z725" s="7" t="s">
        <v>452</v>
      </c>
      <c r="AA725" s="7">
        <v>70808</v>
      </c>
      <c r="AB725" s="7" t="s">
        <v>43</v>
      </c>
      <c r="AC725" s="7"/>
      <c r="AD725" s="7"/>
      <c r="AE725" s="7"/>
      <c r="AF725" s="7"/>
      <c r="AG725" s="8">
        <f t="shared" si="11"/>
        <v>43327</v>
      </c>
    </row>
    <row r="726" spans="1:33">
      <c r="A726" s="7" t="s">
        <v>3966</v>
      </c>
      <c r="B726" s="7" t="s">
        <v>3967</v>
      </c>
      <c r="C726" s="7" t="s">
        <v>3968</v>
      </c>
      <c r="D726" s="7" t="s">
        <v>3969</v>
      </c>
      <c r="E726" s="7" t="s">
        <v>33</v>
      </c>
      <c r="F726" s="7" t="s">
        <v>34</v>
      </c>
      <c r="G726" s="7" t="s">
        <v>946</v>
      </c>
      <c r="H726" s="7"/>
      <c r="I726" s="7"/>
      <c r="J726" s="7" t="s">
        <v>336</v>
      </c>
      <c r="K726" s="7" t="s">
        <v>3957</v>
      </c>
      <c r="L726" s="7" t="s">
        <v>3970</v>
      </c>
      <c r="M726" s="7" t="s">
        <v>3971</v>
      </c>
      <c r="N726" s="7" t="s">
        <v>459</v>
      </c>
      <c r="O726" s="7">
        <v>6</v>
      </c>
      <c r="P726" s="7"/>
      <c r="Q726" s="7"/>
      <c r="R726" s="7"/>
      <c r="S726" s="7"/>
      <c r="T726" s="7"/>
      <c r="U726" s="7"/>
      <c r="V726" s="7"/>
      <c r="W726" s="7"/>
      <c r="X726" s="7"/>
      <c r="Y726" s="7" t="s">
        <v>451</v>
      </c>
      <c r="Z726" s="7" t="s">
        <v>452</v>
      </c>
      <c r="AA726" s="7">
        <v>70808</v>
      </c>
      <c r="AB726" s="7" t="s">
        <v>43</v>
      </c>
      <c r="AC726" s="7"/>
      <c r="AD726" s="7"/>
      <c r="AE726" s="7"/>
      <c r="AF726" s="7"/>
      <c r="AG726" s="8">
        <f t="shared" si="11"/>
        <v>43327</v>
      </c>
    </row>
    <row r="727" spans="1:33">
      <c r="A727" s="7" t="s">
        <v>3972</v>
      </c>
      <c r="B727" s="7" t="s">
        <v>3973</v>
      </c>
      <c r="C727" s="7" t="s">
        <v>3974</v>
      </c>
      <c r="D727" s="7" t="s">
        <v>3975</v>
      </c>
      <c r="E727" s="7" t="s">
        <v>33</v>
      </c>
      <c r="F727" s="7" t="s">
        <v>34</v>
      </c>
      <c r="G727" s="7" t="s">
        <v>946</v>
      </c>
      <c r="H727" s="7"/>
      <c r="I727" s="7"/>
      <c r="J727" s="7" t="s">
        <v>336</v>
      </c>
      <c r="K727" s="7" t="s">
        <v>3957</v>
      </c>
      <c r="L727" s="7" t="s">
        <v>3976</v>
      </c>
      <c r="M727" s="7" t="s">
        <v>3977</v>
      </c>
      <c r="N727" s="7" t="s">
        <v>459</v>
      </c>
      <c r="O727" s="7">
        <v>11</v>
      </c>
      <c r="P727" s="7"/>
      <c r="Q727" s="7"/>
      <c r="R727" s="7"/>
      <c r="S727" s="7"/>
      <c r="T727" s="7"/>
      <c r="U727" s="7"/>
      <c r="V727" s="7"/>
      <c r="W727" s="7"/>
      <c r="X727" s="7"/>
      <c r="Y727" s="7" t="s">
        <v>451</v>
      </c>
      <c r="Z727" s="7" t="s">
        <v>452</v>
      </c>
      <c r="AA727" s="7">
        <v>70808</v>
      </c>
      <c r="AB727" s="7" t="s">
        <v>43</v>
      </c>
      <c r="AC727" s="7"/>
      <c r="AD727" s="7"/>
      <c r="AE727" s="7"/>
      <c r="AF727" s="7"/>
      <c r="AG727" s="8">
        <f t="shared" si="11"/>
        <v>43327</v>
      </c>
    </row>
    <row r="728" spans="1:33">
      <c r="A728" s="7" t="s">
        <v>3978</v>
      </c>
      <c r="B728" s="7" t="s">
        <v>3979</v>
      </c>
      <c r="C728" s="7" t="s">
        <v>3980</v>
      </c>
      <c r="D728" s="7" t="s">
        <v>3981</v>
      </c>
      <c r="E728" s="7" t="s">
        <v>33</v>
      </c>
      <c r="F728" s="7" t="s">
        <v>34</v>
      </c>
      <c r="G728" s="7" t="s">
        <v>946</v>
      </c>
      <c r="H728" s="7"/>
      <c r="I728" s="7"/>
      <c r="J728" s="7" t="s">
        <v>336</v>
      </c>
      <c r="K728" s="7" t="s">
        <v>2353</v>
      </c>
      <c r="L728" s="7" t="s">
        <v>3982</v>
      </c>
      <c r="M728" s="7" t="s">
        <v>3983</v>
      </c>
      <c r="N728" s="7" t="s">
        <v>459</v>
      </c>
      <c r="O728" s="7">
        <v>5</v>
      </c>
      <c r="P728" s="7"/>
      <c r="Q728" s="7"/>
      <c r="R728" s="7"/>
      <c r="S728" s="7"/>
      <c r="T728" s="7"/>
      <c r="U728" s="7"/>
      <c r="V728" s="7"/>
      <c r="W728" s="7"/>
      <c r="X728" s="7"/>
      <c r="Y728" s="7" t="s">
        <v>451</v>
      </c>
      <c r="Z728" s="7" t="s">
        <v>452</v>
      </c>
      <c r="AA728" s="7">
        <v>70808</v>
      </c>
      <c r="AB728" s="7" t="s">
        <v>43</v>
      </c>
      <c r="AC728" s="7"/>
      <c r="AD728" s="7"/>
      <c r="AE728" s="7"/>
      <c r="AF728" s="7"/>
      <c r="AG728" s="8">
        <f t="shared" si="11"/>
        <v>43327</v>
      </c>
    </row>
    <row r="729" spans="1:33">
      <c r="A729" s="7" t="s">
        <v>3984</v>
      </c>
      <c r="B729" s="7" t="s">
        <v>3985</v>
      </c>
      <c r="C729" s="7" t="s">
        <v>3986</v>
      </c>
      <c r="D729" s="7" t="s">
        <v>3987</v>
      </c>
      <c r="E729" s="7" t="s">
        <v>33</v>
      </c>
      <c r="F729" s="7" t="s">
        <v>34</v>
      </c>
      <c r="G729" s="7" t="s">
        <v>946</v>
      </c>
      <c r="H729" s="7"/>
      <c r="I729" s="7"/>
      <c r="J729" s="7" t="s">
        <v>336</v>
      </c>
      <c r="K729" s="7" t="s">
        <v>2353</v>
      </c>
      <c r="L729" s="7" t="s">
        <v>2354</v>
      </c>
      <c r="M729" s="7" t="s">
        <v>2355</v>
      </c>
      <c r="N729" s="7" t="s">
        <v>459</v>
      </c>
      <c r="O729" s="7">
        <v>16</v>
      </c>
      <c r="P729" s="7"/>
      <c r="Q729" s="7"/>
      <c r="R729" s="7"/>
      <c r="S729" s="7"/>
      <c r="T729" s="7"/>
      <c r="U729" s="7"/>
      <c r="V729" s="7"/>
      <c r="W729" s="7"/>
      <c r="X729" s="7"/>
      <c r="Y729" s="7" t="s">
        <v>451</v>
      </c>
      <c r="Z729" s="7" t="s">
        <v>452</v>
      </c>
      <c r="AA729" s="7">
        <v>70808</v>
      </c>
      <c r="AB729" s="7" t="s">
        <v>43</v>
      </c>
      <c r="AC729" s="7"/>
      <c r="AD729" s="7"/>
      <c r="AE729" s="7"/>
      <c r="AF729" s="7"/>
      <c r="AG729" s="8">
        <f t="shared" si="11"/>
        <v>43327</v>
      </c>
    </row>
    <row r="730" spans="1:33">
      <c r="A730" s="7" t="s">
        <v>3988</v>
      </c>
      <c r="B730" s="7" t="s">
        <v>3989</v>
      </c>
      <c r="C730" s="7" t="s">
        <v>3990</v>
      </c>
      <c r="D730" s="7" t="s">
        <v>3991</v>
      </c>
      <c r="E730" s="7" t="s">
        <v>33</v>
      </c>
      <c r="F730" s="7" t="s">
        <v>34</v>
      </c>
      <c r="G730" s="7" t="s">
        <v>946</v>
      </c>
      <c r="H730" s="7"/>
      <c r="I730" s="7"/>
      <c r="J730" s="7" t="s">
        <v>336</v>
      </c>
      <c r="K730" s="7" t="s">
        <v>2353</v>
      </c>
      <c r="L730" s="7" t="s">
        <v>3992</v>
      </c>
      <c r="M730" s="7" t="s">
        <v>3993</v>
      </c>
      <c r="N730" s="7" t="s">
        <v>459</v>
      </c>
      <c r="O730" s="7">
        <v>18</v>
      </c>
      <c r="P730" s="7"/>
      <c r="Q730" s="7"/>
      <c r="R730" s="7"/>
      <c r="S730" s="7"/>
      <c r="T730" s="7"/>
      <c r="U730" s="7"/>
      <c r="V730" s="7"/>
      <c r="W730" s="7"/>
      <c r="X730" s="7"/>
      <c r="Y730" s="7" t="s">
        <v>451</v>
      </c>
      <c r="Z730" s="7" t="s">
        <v>452</v>
      </c>
      <c r="AA730" s="7">
        <v>70808</v>
      </c>
      <c r="AB730" s="7" t="s">
        <v>43</v>
      </c>
      <c r="AC730" s="7"/>
      <c r="AD730" s="7"/>
      <c r="AE730" s="7"/>
      <c r="AF730" s="7"/>
      <c r="AG730" s="8">
        <f t="shared" si="11"/>
        <v>43327</v>
      </c>
    </row>
    <row r="731" spans="1:33">
      <c r="A731" s="7" t="s">
        <v>3994</v>
      </c>
      <c r="B731" s="7" t="s">
        <v>3995</v>
      </c>
      <c r="C731" s="7" t="s">
        <v>3996</v>
      </c>
      <c r="D731" s="7" t="s">
        <v>3997</v>
      </c>
      <c r="E731" s="7" t="s">
        <v>33</v>
      </c>
      <c r="F731" s="7" t="s">
        <v>34</v>
      </c>
      <c r="G731" s="7" t="s">
        <v>946</v>
      </c>
      <c r="H731" s="7"/>
      <c r="I731" s="7"/>
      <c r="J731" s="7" t="s">
        <v>336</v>
      </c>
      <c r="K731" s="7" t="s">
        <v>3998</v>
      </c>
      <c r="L731" s="7" t="s">
        <v>3999</v>
      </c>
      <c r="M731" s="7" t="s">
        <v>4000</v>
      </c>
      <c r="N731" s="7" t="s">
        <v>459</v>
      </c>
      <c r="O731" s="7">
        <v>1</v>
      </c>
      <c r="P731" s="7"/>
      <c r="Q731" s="7"/>
      <c r="R731" s="7"/>
      <c r="S731" s="7"/>
      <c r="T731" s="7"/>
      <c r="U731" s="7"/>
      <c r="V731" s="7"/>
      <c r="W731" s="7"/>
      <c r="X731" s="7"/>
      <c r="Y731" s="7" t="s">
        <v>451</v>
      </c>
      <c r="Z731" s="7" t="s">
        <v>452</v>
      </c>
      <c r="AA731" s="7">
        <v>70808</v>
      </c>
      <c r="AB731" s="7" t="s">
        <v>43</v>
      </c>
      <c r="AC731" s="7"/>
      <c r="AD731" s="7"/>
      <c r="AE731" s="7"/>
      <c r="AF731" s="7"/>
      <c r="AG731" s="8">
        <f t="shared" si="11"/>
        <v>43327</v>
      </c>
    </row>
    <row r="732" spans="1:33">
      <c r="A732" s="7" t="s">
        <v>4001</v>
      </c>
      <c r="B732" s="7" t="s">
        <v>4002</v>
      </c>
      <c r="C732" s="7" t="s">
        <v>4003</v>
      </c>
      <c r="D732" s="7" t="s">
        <v>4004</v>
      </c>
      <c r="E732" s="7" t="s">
        <v>33</v>
      </c>
      <c r="F732" s="7" t="s">
        <v>34</v>
      </c>
      <c r="G732" s="7" t="s">
        <v>946</v>
      </c>
      <c r="H732" s="7"/>
      <c r="I732" s="7"/>
      <c r="J732" s="7" t="s">
        <v>336</v>
      </c>
      <c r="K732" s="7" t="s">
        <v>3998</v>
      </c>
      <c r="L732" s="7" t="s">
        <v>4005</v>
      </c>
      <c r="M732" s="7" t="s">
        <v>4006</v>
      </c>
      <c r="N732" s="7" t="s">
        <v>459</v>
      </c>
      <c r="O732" s="7">
        <v>5</v>
      </c>
      <c r="P732" s="7"/>
      <c r="Q732" s="7"/>
      <c r="R732" s="7"/>
      <c r="S732" s="7"/>
      <c r="T732" s="7"/>
      <c r="U732" s="7"/>
      <c r="V732" s="7"/>
      <c r="W732" s="7"/>
      <c r="X732" s="7"/>
      <c r="Y732" s="7" t="s">
        <v>451</v>
      </c>
      <c r="Z732" s="7" t="s">
        <v>452</v>
      </c>
      <c r="AA732" s="7">
        <v>70808</v>
      </c>
      <c r="AB732" s="7" t="s">
        <v>43</v>
      </c>
      <c r="AC732" s="7"/>
      <c r="AD732" s="7"/>
      <c r="AE732" s="7"/>
      <c r="AF732" s="7"/>
      <c r="AG732" s="8">
        <f t="shared" si="11"/>
        <v>43327</v>
      </c>
    </row>
    <row r="733" spans="1:33">
      <c r="A733" s="7" t="s">
        <v>4007</v>
      </c>
      <c r="B733" s="7" t="s">
        <v>4008</v>
      </c>
      <c r="C733" s="7" t="s">
        <v>4009</v>
      </c>
      <c r="D733" s="7" t="s">
        <v>4010</v>
      </c>
      <c r="E733" s="7" t="s">
        <v>33</v>
      </c>
      <c r="F733" s="7" t="s">
        <v>34</v>
      </c>
      <c r="G733" s="7" t="s">
        <v>946</v>
      </c>
      <c r="H733" s="7"/>
      <c r="I733" s="7"/>
      <c r="J733" s="7" t="s">
        <v>336</v>
      </c>
      <c r="K733" s="7" t="s">
        <v>3998</v>
      </c>
      <c r="L733" s="7" t="s">
        <v>4011</v>
      </c>
      <c r="M733" s="7" t="s">
        <v>4012</v>
      </c>
      <c r="N733" s="7" t="s">
        <v>459</v>
      </c>
      <c r="O733" s="7">
        <v>3</v>
      </c>
      <c r="P733" s="7"/>
      <c r="Q733" s="7"/>
      <c r="R733" s="7"/>
      <c r="S733" s="7"/>
      <c r="T733" s="7"/>
      <c r="U733" s="7"/>
      <c r="V733" s="7"/>
      <c r="W733" s="7"/>
      <c r="X733" s="7"/>
      <c r="Y733" s="7" t="s">
        <v>451</v>
      </c>
      <c r="Z733" s="7" t="s">
        <v>452</v>
      </c>
      <c r="AA733" s="7">
        <v>70808</v>
      </c>
      <c r="AB733" s="7" t="s">
        <v>43</v>
      </c>
      <c r="AC733" s="7"/>
      <c r="AD733" s="7"/>
      <c r="AE733" s="7"/>
      <c r="AF733" s="7"/>
      <c r="AG733" s="8">
        <f t="shared" si="11"/>
        <v>43327</v>
      </c>
    </row>
    <row r="734" spans="1:33">
      <c r="A734" s="7" t="s">
        <v>4013</v>
      </c>
      <c r="B734" s="7" t="s">
        <v>4014</v>
      </c>
      <c r="C734" s="7" t="s">
        <v>4015</v>
      </c>
      <c r="D734" s="7" t="s">
        <v>4016</v>
      </c>
      <c r="E734" s="7" t="s">
        <v>33</v>
      </c>
      <c r="F734" s="7" t="s">
        <v>34</v>
      </c>
      <c r="G734" s="7" t="s">
        <v>946</v>
      </c>
      <c r="H734" s="7"/>
      <c r="I734" s="7"/>
      <c r="J734" s="7" t="s">
        <v>336</v>
      </c>
      <c r="K734" s="7" t="s">
        <v>3998</v>
      </c>
      <c r="L734" s="7" t="s">
        <v>4017</v>
      </c>
      <c r="M734" s="7" t="s">
        <v>4018</v>
      </c>
      <c r="N734" s="7" t="s">
        <v>459</v>
      </c>
      <c r="O734" s="7">
        <v>3</v>
      </c>
      <c r="P734" s="7"/>
      <c r="Q734" s="7"/>
      <c r="R734" s="7"/>
      <c r="S734" s="7"/>
      <c r="T734" s="7"/>
      <c r="U734" s="7"/>
      <c r="V734" s="7"/>
      <c r="W734" s="7"/>
      <c r="X734" s="7"/>
      <c r="Y734" s="7" t="s">
        <v>451</v>
      </c>
      <c r="Z734" s="7" t="s">
        <v>452</v>
      </c>
      <c r="AA734" s="7">
        <v>70808</v>
      </c>
      <c r="AB734" s="7" t="s">
        <v>43</v>
      </c>
      <c r="AC734" s="7"/>
      <c r="AD734" s="7"/>
      <c r="AE734" s="7"/>
      <c r="AF734" s="7"/>
      <c r="AG734" s="8">
        <f t="shared" si="11"/>
        <v>43327</v>
      </c>
    </row>
    <row r="735" spans="1:33">
      <c r="A735" s="7" t="s">
        <v>4019</v>
      </c>
      <c r="B735" s="7" t="s">
        <v>4020</v>
      </c>
      <c r="C735" s="7" t="s">
        <v>4021</v>
      </c>
      <c r="D735" s="7" t="s">
        <v>4022</v>
      </c>
      <c r="E735" s="7" t="s">
        <v>33</v>
      </c>
      <c r="F735" s="7" t="s">
        <v>34</v>
      </c>
      <c r="G735" s="7" t="s">
        <v>946</v>
      </c>
      <c r="H735" s="7"/>
      <c r="I735" s="7"/>
      <c r="J735" s="7" t="s">
        <v>336</v>
      </c>
      <c r="K735" s="7" t="s">
        <v>4023</v>
      </c>
      <c r="L735" s="7" t="s">
        <v>4024</v>
      </c>
      <c r="M735" s="7" t="s">
        <v>4025</v>
      </c>
      <c r="N735" s="7" t="s">
        <v>459</v>
      </c>
      <c r="O735" s="7">
        <v>4</v>
      </c>
      <c r="P735" s="7"/>
      <c r="Q735" s="7"/>
      <c r="R735" s="7"/>
      <c r="S735" s="7"/>
      <c r="T735" s="7"/>
      <c r="U735" s="7"/>
      <c r="V735" s="7"/>
      <c r="W735" s="7"/>
      <c r="X735" s="7"/>
      <c r="Y735" s="7" t="s">
        <v>451</v>
      </c>
      <c r="Z735" s="7" t="s">
        <v>452</v>
      </c>
      <c r="AA735" s="7">
        <v>70808</v>
      </c>
      <c r="AB735" s="7" t="s">
        <v>43</v>
      </c>
      <c r="AC735" s="7"/>
      <c r="AD735" s="7"/>
      <c r="AE735" s="7"/>
      <c r="AF735" s="7"/>
      <c r="AG735" s="8">
        <f t="shared" si="11"/>
        <v>43327</v>
      </c>
    </row>
    <row r="736" spans="1:33">
      <c r="A736" s="7" t="s">
        <v>4026</v>
      </c>
      <c r="B736" s="7" t="s">
        <v>4027</v>
      </c>
      <c r="C736" s="7" t="s">
        <v>4028</v>
      </c>
      <c r="D736" s="7" t="s">
        <v>4029</v>
      </c>
      <c r="E736" s="7" t="s">
        <v>33</v>
      </c>
      <c r="F736" s="7" t="s">
        <v>34</v>
      </c>
      <c r="G736" s="7" t="s">
        <v>946</v>
      </c>
      <c r="H736" s="7"/>
      <c r="I736" s="7"/>
      <c r="J736" s="7" t="s">
        <v>336</v>
      </c>
      <c r="K736" s="7" t="s">
        <v>4030</v>
      </c>
      <c r="L736" s="7" t="s">
        <v>4031</v>
      </c>
      <c r="M736" s="7" t="s">
        <v>4032</v>
      </c>
      <c r="N736" s="7" t="s">
        <v>459</v>
      </c>
      <c r="O736" s="7">
        <v>5</v>
      </c>
      <c r="P736" s="7"/>
      <c r="Q736" s="7"/>
      <c r="R736" s="7"/>
      <c r="S736" s="7"/>
      <c r="T736" s="7"/>
      <c r="U736" s="7"/>
      <c r="V736" s="7"/>
      <c r="W736" s="7"/>
      <c r="X736" s="7"/>
      <c r="Y736" s="7" t="s">
        <v>451</v>
      </c>
      <c r="Z736" s="7" t="s">
        <v>452</v>
      </c>
      <c r="AA736" s="7">
        <v>70808</v>
      </c>
      <c r="AB736" s="7" t="s">
        <v>43</v>
      </c>
      <c r="AC736" s="7"/>
      <c r="AD736" s="7"/>
      <c r="AE736" s="7"/>
      <c r="AF736" s="7"/>
      <c r="AG736" s="8">
        <f t="shared" si="11"/>
        <v>43327</v>
      </c>
    </row>
    <row r="737" spans="1:33">
      <c r="A737" s="7" t="s">
        <v>4033</v>
      </c>
      <c r="B737" s="7" t="s">
        <v>4034</v>
      </c>
      <c r="C737" s="7" t="s">
        <v>4035</v>
      </c>
      <c r="D737" s="7" t="s">
        <v>4036</v>
      </c>
      <c r="E737" s="7" t="s">
        <v>33</v>
      </c>
      <c r="F737" s="7" t="s">
        <v>34</v>
      </c>
      <c r="G737" s="7" t="s">
        <v>946</v>
      </c>
      <c r="H737" s="7"/>
      <c r="I737" s="7"/>
      <c r="J737" s="7" t="s">
        <v>336</v>
      </c>
      <c r="K737" s="7" t="s">
        <v>4037</v>
      </c>
      <c r="L737" s="7" t="s">
        <v>4038</v>
      </c>
      <c r="M737" s="7" t="s">
        <v>4039</v>
      </c>
      <c r="N737" s="7" t="s">
        <v>459</v>
      </c>
      <c r="O737" s="7">
        <v>10</v>
      </c>
      <c r="P737" s="7"/>
      <c r="Q737" s="7"/>
      <c r="R737" s="7"/>
      <c r="S737" s="7"/>
      <c r="T737" s="7"/>
      <c r="U737" s="7"/>
      <c r="V737" s="7"/>
      <c r="W737" s="7"/>
      <c r="X737" s="7"/>
      <c r="Y737" s="7" t="s">
        <v>451</v>
      </c>
      <c r="Z737" s="7" t="s">
        <v>452</v>
      </c>
      <c r="AA737" s="7">
        <v>70808</v>
      </c>
      <c r="AB737" s="7" t="s">
        <v>43</v>
      </c>
      <c r="AC737" s="7"/>
      <c r="AD737" s="7"/>
      <c r="AE737" s="7"/>
      <c r="AF737" s="7"/>
      <c r="AG737" s="8">
        <f t="shared" si="11"/>
        <v>43327</v>
      </c>
    </row>
    <row r="738" spans="1:33">
      <c r="A738" s="7" t="s">
        <v>4040</v>
      </c>
      <c r="B738" s="7" t="s">
        <v>4041</v>
      </c>
      <c r="C738" s="7" t="s">
        <v>4042</v>
      </c>
      <c r="D738" s="7" t="s">
        <v>4043</v>
      </c>
      <c r="E738" s="7" t="s">
        <v>33</v>
      </c>
      <c r="F738" s="7" t="s">
        <v>34</v>
      </c>
      <c r="G738" s="7" t="s">
        <v>946</v>
      </c>
      <c r="H738" s="7"/>
      <c r="I738" s="7"/>
      <c r="J738" s="7" t="s">
        <v>336</v>
      </c>
      <c r="K738" s="7" t="s">
        <v>4030</v>
      </c>
      <c r="L738" s="7" t="s">
        <v>4044</v>
      </c>
      <c r="M738" s="7" t="s">
        <v>4045</v>
      </c>
      <c r="N738" s="7" t="s">
        <v>459</v>
      </c>
      <c r="O738" s="7">
        <v>2</v>
      </c>
      <c r="P738" s="7"/>
      <c r="Q738" s="7"/>
      <c r="R738" s="7"/>
      <c r="S738" s="7"/>
      <c r="T738" s="7"/>
      <c r="U738" s="7"/>
      <c r="V738" s="7"/>
      <c r="W738" s="7"/>
      <c r="X738" s="7"/>
      <c r="Y738" s="7" t="s">
        <v>451</v>
      </c>
      <c r="Z738" s="7" t="s">
        <v>452</v>
      </c>
      <c r="AA738" s="7">
        <v>70808</v>
      </c>
      <c r="AB738" s="7" t="s">
        <v>43</v>
      </c>
      <c r="AC738" s="7"/>
      <c r="AD738" s="7"/>
      <c r="AE738" s="7"/>
      <c r="AF738" s="7"/>
      <c r="AG738" s="8">
        <f t="shared" si="11"/>
        <v>43327</v>
      </c>
    </row>
    <row r="739" spans="1:33">
      <c r="A739" s="7" t="s">
        <v>4046</v>
      </c>
      <c r="B739" s="7" t="s">
        <v>4047</v>
      </c>
      <c r="C739" s="7" t="s">
        <v>4048</v>
      </c>
      <c r="D739" s="7" t="s">
        <v>4049</v>
      </c>
      <c r="E739" s="7" t="s">
        <v>33</v>
      </c>
      <c r="F739" s="7" t="s">
        <v>34</v>
      </c>
      <c r="G739" s="7" t="s">
        <v>946</v>
      </c>
      <c r="H739" s="7"/>
      <c r="I739" s="7"/>
      <c r="J739" s="7" t="s">
        <v>336</v>
      </c>
      <c r="K739" s="7" t="s">
        <v>4030</v>
      </c>
      <c r="L739" s="7" t="s">
        <v>4050</v>
      </c>
      <c r="M739" s="7" t="s">
        <v>4051</v>
      </c>
      <c r="N739" s="7" t="s">
        <v>459</v>
      </c>
      <c r="O739" s="7">
        <v>10</v>
      </c>
      <c r="P739" s="7"/>
      <c r="Q739" s="7"/>
      <c r="R739" s="7"/>
      <c r="S739" s="7"/>
      <c r="T739" s="7"/>
      <c r="U739" s="7"/>
      <c r="V739" s="7"/>
      <c r="W739" s="7"/>
      <c r="X739" s="7"/>
      <c r="Y739" s="7" t="s">
        <v>451</v>
      </c>
      <c r="Z739" s="7" t="s">
        <v>452</v>
      </c>
      <c r="AA739" s="7">
        <v>70808</v>
      </c>
      <c r="AB739" s="7" t="s">
        <v>43</v>
      </c>
      <c r="AC739" s="7"/>
      <c r="AD739" s="7"/>
      <c r="AE739" s="7"/>
      <c r="AF739" s="7"/>
      <c r="AG739" s="8">
        <f t="shared" si="11"/>
        <v>43327</v>
      </c>
    </row>
    <row r="740" spans="1:33">
      <c r="A740" s="7" t="s">
        <v>4052</v>
      </c>
      <c r="B740" s="7" t="s">
        <v>4053</v>
      </c>
      <c r="C740" s="7" t="s">
        <v>4054</v>
      </c>
      <c r="D740" s="7" t="s">
        <v>4055</v>
      </c>
      <c r="E740" s="7" t="s">
        <v>33</v>
      </c>
      <c r="F740" s="7" t="s">
        <v>34</v>
      </c>
      <c r="G740" s="7" t="s">
        <v>946</v>
      </c>
      <c r="H740" s="7"/>
      <c r="I740" s="7"/>
      <c r="J740" s="7" t="s">
        <v>336</v>
      </c>
      <c r="K740" s="7" t="s">
        <v>4030</v>
      </c>
      <c r="L740" s="7" t="s">
        <v>4056</v>
      </c>
      <c r="M740" s="7" t="s">
        <v>4057</v>
      </c>
      <c r="N740" s="7" t="s">
        <v>459</v>
      </c>
      <c r="O740" s="7">
        <v>3</v>
      </c>
      <c r="P740" s="7"/>
      <c r="Q740" s="7"/>
      <c r="R740" s="7"/>
      <c r="S740" s="7"/>
      <c r="T740" s="7"/>
      <c r="U740" s="7"/>
      <c r="V740" s="7"/>
      <c r="W740" s="7"/>
      <c r="X740" s="7"/>
      <c r="Y740" s="7" t="s">
        <v>451</v>
      </c>
      <c r="Z740" s="7" t="s">
        <v>452</v>
      </c>
      <c r="AA740" s="7">
        <v>70808</v>
      </c>
      <c r="AB740" s="7" t="s">
        <v>43</v>
      </c>
      <c r="AC740" s="7"/>
      <c r="AD740" s="7"/>
      <c r="AE740" s="7"/>
      <c r="AF740" s="7"/>
      <c r="AG740" s="8">
        <f t="shared" si="11"/>
        <v>43327</v>
      </c>
    </row>
    <row r="741" spans="1:33">
      <c r="A741" s="7" t="s">
        <v>4058</v>
      </c>
      <c r="B741" s="7" t="s">
        <v>4059</v>
      </c>
      <c r="C741" s="7" t="s">
        <v>4060</v>
      </c>
      <c r="D741" s="7" t="s">
        <v>4061</v>
      </c>
      <c r="E741" s="7" t="s">
        <v>33</v>
      </c>
      <c r="F741" s="7" t="s">
        <v>34</v>
      </c>
      <c r="G741" s="7" t="s">
        <v>946</v>
      </c>
      <c r="H741" s="7"/>
      <c r="I741" s="7"/>
      <c r="J741" s="7" t="s">
        <v>336</v>
      </c>
      <c r="K741" s="7" t="s">
        <v>4030</v>
      </c>
      <c r="L741" s="7" t="s">
        <v>4062</v>
      </c>
      <c r="M741" s="7" t="s">
        <v>4063</v>
      </c>
      <c r="N741" s="7" t="s">
        <v>459</v>
      </c>
      <c r="O741" s="7">
        <v>6</v>
      </c>
      <c r="P741" s="7"/>
      <c r="Q741" s="7"/>
      <c r="R741" s="7"/>
      <c r="S741" s="7"/>
      <c r="T741" s="7"/>
      <c r="U741" s="7"/>
      <c r="V741" s="7"/>
      <c r="W741" s="7"/>
      <c r="X741" s="7"/>
      <c r="Y741" s="7" t="s">
        <v>451</v>
      </c>
      <c r="Z741" s="7" t="s">
        <v>452</v>
      </c>
      <c r="AA741" s="7">
        <v>70808</v>
      </c>
      <c r="AB741" s="7" t="s">
        <v>43</v>
      </c>
      <c r="AC741" s="7"/>
      <c r="AD741" s="7"/>
      <c r="AE741" s="7"/>
      <c r="AF741" s="7"/>
      <c r="AG741" s="8">
        <f t="shared" si="11"/>
        <v>43327</v>
      </c>
    </row>
    <row r="742" spans="1:33">
      <c r="A742" s="7" t="s">
        <v>4064</v>
      </c>
      <c r="B742" s="7" t="s">
        <v>4065</v>
      </c>
      <c r="C742" s="7" t="s">
        <v>4066</v>
      </c>
      <c r="D742" s="7" t="s">
        <v>4067</v>
      </c>
      <c r="E742" s="7" t="s">
        <v>33</v>
      </c>
      <c r="F742" s="7" t="s">
        <v>34</v>
      </c>
      <c r="G742" s="7" t="s">
        <v>946</v>
      </c>
      <c r="H742" s="7"/>
      <c r="I742" s="7"/>
      <c r="J742" s="7" t="s">
        <v>336</v>
      </c>
      <c r="K742" s="7" t="s">
        <v>4030</v>
      </c>
      <c r="L742" s="7" t="s">
        <v>4068</v>
      </c>
      <c r="M742" s="7" t="s">
        <v>4069</v>
      </c>
      <c r="N742" s="7" t="s">
        <v>459</v>
      </c>
      <c r="O742" s="7">
        <v>9</v>
      </c>
      <c r="P742" s="7"/>
      <c r="Q742" s="7"/>
      <c r="R742" s="7"/>
      <c r="S742" s="7"/>
      <c r="T742" s="7"/>
      <c r="U742" s="7"/>
      <c r="V742" s="7"/>
      <c r="W742" s="7"/>
      <c r="X742" s="7"/>
      <c r="Y742" s="7" t="s">
        <v>451</v>
      </c>
      <c r="Z742" s="7" t="s">
        <v>452</v>
      </c>
      <c r="AA742" s="7">
        <v>70808</v>
      </c>
      <c r="AB742" s="7" t="s">
        <v>43</v>
      </c>
      <c r="AC742" s="7"/>
      <c r="AD742" s="7"/>
      <c r="AE742" s="7"/>
      <c r="AF742" s="7"/>
      <c r="AG742" s="8">
        <f t="shared" si="11"/>
        <v>43327</v>
      </c>
    </row>
    <row r="743" spans="1:33">
      <c r="A743" s="7" t="s">
        <v>4070</v>
      </c>
      <c r="B743" s="7" t="s">
        <v>4071</v>
      </c>
      <c r="C743" s="7" t="s">
        <v>4072</v>
      </c>
      <c r="D743" s="7" t="s">
        <v>4073</v>
      </c>
      <c r="E743" s="7" t="s">
        <v>33</v>
      </c>
      <c r="F743" s="7" t="s">
        <v>34</v>
      </c>
      <c r="G743" s="7" t="s">
        <v>946</v>
      </c>
      <c r="H743" s="7"/>
      <c r="I743" s="7"/>
      <c r="J743" s="7" t="s">
        <v>336</v>
      </c>
      <c r="K743" s="7" t="s">
        <v>4074</v>
      </c>
      <c r="L743" s="7" t="s">
        <v>4075</v>
      </c>
      <c r="M743" s="7" t="s">
        <v>4076</v>
      </c>
      <c r="N743" s="7" t="s">
        <v>459</v>
      </c>
      <c r="O743" s="7">
        <v>3</v>
      </c>
      <c r="P743" s="7"/>
      <c r="Q743" s="7"/>
      <c r="R743" s="7"/>
      <c r="S743" s="7"/>
      <c r="T743" s="7"/>
      <c r="U743" s="7"/>
      <c r="V743" s="7"/>
      <c r="W743" s="7"/>
      <c r="X743" s="7"/>
      <c r="Y743" s="7" t="s">
        <v>451</v>
      </c>
      <c r="Z743" s="7" t="s">
        <v>452</v>
      </c>
      <c r="AA743" s="7">
        <v>70808</v>
      </c>
      <c r="AB743" s="7" t="s">
        <v>43</v>
      </c>
      <c r="AC743" s="7"/>
      <c r="AD743" s="7"/>
      <c r="AE743" s="7"/>
      <c r="AF743" s="7"/>
      <c r="AG743" s="8">
        <f t="shared" si="11"/>
        <v>43327</v>
      </c>
    </row>
    <row r="744" spans="1:33">
      <c r="A744" s="7" t="s">
        <v>4077</v>
      </c>
      <c r="B744" s="7" t="s">
        <v>4078</v>
      </c>
      <c r="C744" s="7" t="s">
        <v>4079</v>
      </c>
      <c r="D744" s="7" t="s">
        <v>4080</v>
      </c>
      <c r="E744" s="7" t="s">
        <v>33</v>
      </c>
      <c r="F744" s="7" t="s">
        <v>34</v>
      </c>
      <c r="G744" s="7" t="s">
        <v>946</v>
      </c>
      <c r="H744" s="7"/>
      <c r="I744" s="7"/>
      <c r="J744" s="7" t="s">
        <v>336</v>
      </c>
      <c r="K744" s="7" t="s">
        <v>4081</v>
      </c>
      <c r="L744" s="7" t="s">
        <v>4082</v>
      </c>
      <c r="M744" s="7" t="s">
        <v>4083</v>
      </c>
      <c r="N744" s="7" t="s">
        <v>459</v>
      </c>
      <c r="O744" s="7">
        <v>3</v>
      </c>
      <c r="P744" s="7"/>
      <c r="Q744" s="7"/>
      <c r="R744" s="7"/>
      <c r="S744" s="7"/>
      <c r="T744" s="7"/>
      <c r="U744" s="7"/>
      <c r="V744" s="7"/>
      <c r="W744" s="7"/>
      <c r="X744" s="7"/>
      <c r="Y744" s="7" t="s">
        <v>451</v>
      </c>
      <c r="Z744" s="7" t="s">
        <v>452</v>
      </c>
      <c r="AA744" s="7">
        <v>70808</v>
      </c>
      <c r="AB744" s="7" t="s">
        <v>43</v>
      </c>
      <c r="AC744" s="7"/>
      <c r="AD744" s="7"/>
      <c r="AE744" s="7"/>
      <c r="AF744" s="7"/>
      <c r="AG744" s="8">
        <f t="shared" si="11"/>
        <v>43327</v>
      </c>
    </row>
    <row r="745" spans="1:33">
      <c r="A745" s="7" t="s">
        <v>4084</v>
      </c>
      <c r="B745" s="7" t="s">
        <v>4085</v>
      </c>
      <c r="C745" s="7" t="s">
        <v>4086</v>
      </c>
      <c r="D745" s="7" t="s">
        <v>4087</v>
      </c>
      <c r="E745" s="7" t="s">
        <v>33</v>
      </c>
      <c r="F745" s="7" t="s">
        <v>34</v>
      </c>
      <c r="G745" s="7" t="s">
        <v>946</v>
      </c>
      <c r="H745" s="7"/>
      <c r="I745" s="7"/>
      <c r="J745" s="7" t="s">
        <v>336</v>
      </c>
      <c r="K745" s="7" t="s">
        <v>4088</v>
      </c>
      <c r="L745" s="7" t="s">
        <v>4089</v>
      </c>
      <c r="M745" s="7" t="s">
        <v>4090</v>
      </c>
      <c r="N745" s="7" t="s">
        <v>459</v>
      </c>
      <c r="O745" s="7">
        <v>1</v>
      </c>
      <c r="P745" s="7"/>
      <c r="Q745" s="7"/>
      <c r="R745" s="7"/>
      <c r="S745" s="7"/>
      <c r="T745" s="7"/>
      <c r="U745" s="7"/>
      <c r="V745" s="7"/>
      <c r="W745" s="7"/>
      <c r="X745" s="7"/>
      <c r="Y745" s="7" t="s">
        <v>451</v>
      </c>
      <c r="Z745" s="7" t="s">
        <v>452</v>
      </c>
      <c r="AA745" s="7">
        <v>70808</v>
      </c>
      <c r="AB745" s="7" t="s">
        <v>43</v>
      </c>
      <c r="AC745" s="7"/>
      <c r="AD745" s="7"/>
      <c r="AE745" s="7"/>
      <c r="AF745" s="7"/>
      <c r="AG745" s="8">
        <f t="shared" si="11"/>
        <v>43327</v>
      </c>
    </row>
    <row r="746" spans="1:33">
      <c r="A746" s="7" t="s">
        <v>4091</v>
      </c>
      <c r="B746" s="7" t="s">
        <v>4092</v>
      </c>
      <c r="C746" s="7" t="s">
        <v>4093</v>
      </c>
      <c r="D746" s="7" t="s">
        <v>4094</v>
      </c>
      <c r="E746" s="7" t="s">
        <v>33</v>
      </c>
      <c r="F746" s="7" t="s">
        <v>34</v>
      </c>
      <c r="G746" s="7" t="s">
        <v>946</v>
      </c>
      <c r="H746" s="7"/>
      <c r="I746" s="7"/>
      <c r="J746" s="7" t="s">
        <v>336</v>
      </c>
      <c r="K746" s="7" t="s">
        <v>472</v>
      </c>
      <c r="L746" s="7" t="s">
        <v>4095</v>
      </c>
      <c r="M746" s="7" t="s">
        <v>4096</v>
      </c>
      <c r="N746" s="7" t="s">
        <v>459</v>
      </c>
      <c r="O746" s="7">
        <v>30</v>
      </c>
      <c r="P746" s="7"/>
      <c r="Q746" s="7"/>
      <c r="R746" s="7"/>
      <c r="S746" s="7"/>
      <c r="T746" s="7"/>
      <c r="U746" s="7"/>
      <c r="V746" s="7"/>
      <c r="W746" s="7"/>
      <c r="X746" s="7"/>
      <c r="Y746" s="7" t="s">
        <v>451</v>
      </c>
      <c r="Z746" s="7" t="s">
        <v>452</v>
      </c>
      <c r="AA746" s="7">
        <v>70808</v>
      </c>
      <c r="AB746" s="7" t="s">
        <v>43</v>
      </c>
      <c r="AC746" s="7"/>
      <c r="AD746" s="7"/>
      <c r="AE746" s="7"/>
      <c r="AF746" s="7"/>
      <c r="AG746" s="8">
        <f t="shared" si="11"/>
        <v>43327</v>
      </c>
    </row>
    <row r="747" spans="1:33">
      <c r="A747" s="7" t="s">
        <v>4097</v>
      </c>
      <c r="B747" s="7" t="s">
        <v>4098</v>
      </c>
      <c r="C747" s="7" t="s">
        <v>4099</v>
      </c>
      <c r="D747" s="7" t="s">
        <v>4100</v>
      </c>
      <c r="E747" s="7" t="s">
        <v>33</v>
      </c>
      <c r="F747" s="7" t="s">
        <v>34</v>
      </c>
      <c r="G747" s="7" t="s">
        <v>946</v>
      </c>
      <c r="H747" s="7"/>
      <c r="I747" s="7"/>
      <c r="J747" s="7" t="s">
        <v>336</v>
      </c>
      <c r="K747" s="7" t="s">
        <v>4101</v>
      </c>
      <c r="L747" s="7" t="s">
        <v>4102</v>
      </c>
      <c r="M747" s="7" t="s">
        <v>4103</v>
      </c>
      <c r="N747" s="7" t="s">
        <v>459</v>
      </c>
      <c r="O747" s="7">
        <v>2</v>
      </c>
      <c r="P747" s="7"/>
      <c r="Q747" s="7"/>
      <c r="R747" s="7"/>
      <c r="S747" s="7"/>
      <c r="T747" s="7"/>
      <c r="U747" s="7"/>
      <c r="V747" s="7"/>
      <c r="W747" s="7"/>
      <c r="X747" s="7"/>
      <c r="Y747" s="7" t="s">
        <v>451</v>
      </c>
      <c r="Z747" s="7" t="s">
        <v>452</v>
      </c>
      <c r="AA747" s="7">
        <v>70808</v>
      </c>
      <c r="AB747" s="7" t="s">
        <v>43</v>
      </c>
      <c r="AC747" s="7"/>
      <c r="AD747" s="7"/>
      <c r="AE747" s="7"/>
      <c r="AF747" s="7"/>
      <c r="AG747" s="8">
        <f t="shared" si="11"/>
        <v>43327</v>
      </c>
    </row>
    <row r="748" spans="1:33">
      <c r="A748" s="7" t="s">
        <v>4104</v>
      </c>
      <c r="B748" s="7" t="s">
        <v>4105</v>
      </c>
      <c r="C748" s="7" t="s">
        <v>4106</v>
      </c>
      <c r="D748" s="7" t="s">
        <v>4107</v>
      </c>
      <c r="E748" s="7" t="s">
        <v>33</v>
      </c>
      <c r="F748" s="7" t="s">
        <v>34</v>
      </c>
      <c r="G748" s="7" t="s">
        <v>946</v>
      </c>
      <c r="H748" s="7"/>
      <c r="I748" s="7"/>
      <c r="J748" s="7" t="s">
        <v>336</v>
      </c>
      <c r="K748" s="7" t="s">
        <v>4108</v>
      </c>
      <c r="L748" s="7" t="s">
        <v>4109</v>
      </c>
      <c r="M748" s="7" t="s">
        <v>4110</v>
      </c>
      <c r="N748" s="7" t="s">
        <v>459</v>
      </c>
      <c r="O748" s="7">
        <v>3</v>
      </c>
      <c r="P748" s="7"/>
      <c r="Q748" s="7"/>
      <c r="R748" s="7"/>
      <c r="S748" s="7"/>
      <c r="T748" s="7"/>
      <c r="U748" s="7"/>
      <c r="V748" s="7"/>
      <c r="W748" s="7"/>
      <c r="X748" s="7"/>
      <c r="Y748" s="7" t="s">
        <v>451</v>
      </c>
      <c r="Z748" s="7" t="s">
        <v>452</v>
      </c>
      <c r="AA748" s="7">
        <v>70808</v>
      </c>
      <c r="AB748" s="7" t="s">
        <v>43</v>
      </c>
      <c r="AC748" s="7"/>
      <c r="AD748" s="7"/>
      <c r="AE748" s="7"/>
      <c r="AF748" s="7"/>
      <c r="AG748" s="8">
        <f t="shared" si="11"/>
        <v>43327</v>
      </c>
    </row>
    <row r="749" spans="1:33">
      <c r="A749" s="7" t="s">
        <v>4111</v>
      </c>
      <c r="B749" s="7" t="s">
        <v>4112</v>
      </c>
      <c r="C749" s="7" t="s">
        <v>4113</v>
      </c>
      <c r="D749" s="7" t="s">
        <v>4114</v>
      </c>
      <c r="E749" s="7" t="s">
        <v>33</v>
      </c>
      <c r="F749" s="7" t="s">
        <v>34</v>
      </c>
      <c r="G749" s="7" t="s">
        <v>946</v>
      </c>
      <c r="H749" s="7"/>
      <c r="I749" s="7"/>
      <c r="J749" s="7" t="s">
        <v>336</v>
      </c>
      <c r="K749" s="7" t="s">
        <v>4115</v>
      </c>
      <c r="L749" s="7" t="s">
        <v>4116</v>
      </c>
      <c r="M749" s="7" t="s">
        <v>4117</v>
      </c>
      <c r="N749" s="7" t="s">
        <v>459</v>
      </c>
      <c r="O749" s="7">
        <v>5</v>
      </c>
      <c r="P749" s="7"/>
      <c r="Q749" s="7"/>
      <c r="R749" s="7"/>
      <c r="S749" s="7"/>
      <c r="T749" s="7"/>
      <c r="U749" s="7"/>
      <c r="V749" s="7"/>
      <c r="W749" s="7"/>
      <c r="X749" s="7"/>
      <c r="Y749" s="7" t="s">
        <v>451</v>
      </c>
      <c r="Z749" s="7" t="s">
        <v>452</v>
      </c>
      <c r="AA749" s="7">
        <v>70808</v>
      </c>
      <c r="AB749" s="7" t="s">
        <v>43</v>
      </c>
      <c r="AC749" s="7"/>
      <c r="AD749" s="7"/>
      <c r="AE749" s="7"/>
      <c r="AF749" s="7"/>
      <c r="AG749" s="8">
        <f t="shared" si="11"/>
        <v>43327</v>
      </c>
    </row>
    <row r="750" spans="1:33">
      <c r="A750" s="7" t="s">
        <v>4118</v>
      </c>
      <c r="B750" s="7" t="s">
        <v>4119</v>
      </c>
      <c r="C750" s="7" t="s">
        <v>4120</v>
      </c>
      <c r="D750" s="7" t="s">
        <v>4121</v>
      </c>
      <c r="E750" s="7" t="s">
        <v>33</v>
      </c>
      <c r="F750" s="7" t="s">
        <v>34</v>
      </c>
      <c r="G750" s="7" t="s">
        <v>946</v>
      </c>
      <c r="H750" s="7"/>
      <c r="I750" s="7"/>
      <c r="J750" s="7" t="s">
        <v>336</v>
      </c>
      <c r="K750" s="7" t="s">
        <v>4122</v>
      </c>
      <c r="L750" s="7" t="s">
        <v>4123</v>
      </c>
      <c r="M750" s="7" t="s">
        <v>4124</v>
      </c>
      <c r="N750" s="7" t="s">
        <v>459</v>
      </c>
      <c r="O750" s="7">
        <v>2</v>
      </c>
      <c r="P750" s="7"/>
      <c r="Q750" s="7"/>
      <c r="R750" s="7"/>
      <c r="S750" s="7"/>
      <c r="T750" s="7"/>
      <c r="U750" s="7"/>
      <c r="V750" s="7"/>
      <c r="W750" s="7"/>
      <c r="X750" s="7"/>
      <c r="Y750" s="7" t="s">
        <v>451</v>
      </c>
      <c r="Z750" s="7" t="s">
        <v>452</v>
      </c>
      <c r="AA750" s="7">
        <v>70808</v>
      </c>
      <c r="AB750" s="7" t="s">
        <v>43</v>
      </c>
      <c r="AC750" s="7"/>
      <c r="AD750" s="7"/>
      <c r="AE750" s="7"/>
      <c r="AF750" s="7"/>
      <c r="AG750" s="8">
        <f t="shared" si="11"/>
        <v>43327</v>
      </c>
    </row>
    <row r="751" spans="1:33">
      <c r="A751" s="7" t="s">
        <v>4125</v>
      </c>
      <c r="B751" s="7" t="s">
        <v>4126</v>
      </c>
      <c r="C751" s="7" t="s">
        <v>4127</v>
      </c>
      <c r="D751" s="7" t="s">
        <v>4128</v>
      </c>
      <c r="E751" s="7" t="s">
        <v>33</v>
      </c>
      <c r="F751" s="7" t="s">
        <v>34</v>
      </c>
      <c r="G751" s="7" t="s">
        <v>946</v>
      </c>
      <c r="H751" s="7"/>
      <c r="I751" s="7"/>
      <c r="J751" s="7" t="s">
        <v>336</v>
      </c>
      <c r="K751" s="7" t="s">
        <v>4129</v>
      </c>
      <c r="L751" s="7" t="s">
        <v>4130</v>
      </c>
      <c r="M751" s="7" t="s">
        <v>4131</v>
      </c>
      <c r="N751" s="7" t="s">
        <v>459</v>
      </c>
      <c r="O751" s="7">
        <v>1</v>
      </c>
      <c r="P751" s="7"/>
      <c r="Q751" s="7"/>
      <c r="R751" s="7"/>
      <c r="S751" s="7"/>
      <c r="T751" s="7"/>
      <c r="U751" s="7"/>
      <c r="V751" s="7"/>
      <c r="W751" s="7"/>
      <c r="X751" s="7"/>
      <c r="Y751" s="7" t="s">
        <v>451</v>
      </c>
      <c r="Z751" s="7" t="s">
        <v>452</v>
      </c>
      <c r="AA751" s="7">
        <v>70808</v>
      </c>
      <c r="AB751" s="7" t="s">
        <v>43</v>
      </c>
      <c r="AC751" s="7"/>
      <c r="AD751" s="7"/>
      <c r="AE751" s="7"/>
      <c r="AF751" s="7"/>
      <c r="AG751" s="8">
        <f t="shared" si="11"/>
        <v>43327</v>
      </c>
    </row>
    <row r="752" spans="1:33">
      <c r="A752" s="7" t="s">
        <v>4132</v>
      </c>
      <c r="B752" s="7" t="s">
        <v>4133</v>
      </c>
      <c r="C752" s="7" t="s">
        <v>4134</v>
      </c>
      <c r="D752" s="7" t="s">
        <v>4135</v>
      </c>
      <c r="E752" s="7" t="s">
        <v>33</v>
      </c>
      <c r="F752" s="7" t="s">
        <v>34</v>
      </c>
      <c r="G752" s="7" t="s">
        <v>946</v>
      </c>
      <c r="H752" s="7"/>
      <c r="I752" s="7"/>
      <c r="J752" s="7" t="s">
        <v>336</v>
      </c>
      <c r="K752" s="7" t="s">
        <v>4136</v>
      </c>
      <c r="L752" s="7" t="s">
        <v>4137</v>
      </c>
      <c r="M752" s="7" t="s">
        <v>4138</v>
      </c>
      <c r="N752" s="7" t="s">
        <v>459</v>
      </c>
      <c r="O752" s="7">
        <v>4</v>
      </c>
      <c r="P752" s="7"/>
      <c r="Q752" s="7"/>
      <c r="R752" s="7"/>
      <c r="S752" s="7"/>
      <c r="T752" s="7"/>
      <c r="U752" s="7"/>
      <c r="V752" s="7"/>
      <c r="W752" s="7"/>
      <c r="X752" s="7"/>
      <c r="Y752" s="7" t="s">
        <v>451</v>
      </c>
      <c r="Z752" s="7" t="s">
        <v>452</v>
      </c>
      <c r="AA752" s="7">
        <v>70808</v>
      </c>
      <c r="AB752" s="7" t="s">
        <v>43</v>
      </c>
      <c r="AC752" s="7"/>
      <c r="AD752" s="7"/>
      <c r="AE752" s="7"/>
      <c r="AF752" s="7"/>
      <c r="AG752" s="8">
        <f t="shared" si="11"/>
        <v>43327</v>
      </c>
    </row>
    <row r="753" spans="1:33">
      <c r="A753" s="7" t="s">
        <v>4139</v>
      </c>
      <c r="B753" s="7" t="s">
        <v>4140</v>
      </c>
      <c r="C753" s="7" t="s">
        <v>4141</v>
      </c>
      <c r="D753" s="7" t="s">
        <v>4142</v>
      </c>
      <c r="E753" s="7" t="s">
        <v>33</v>
      </c>
      <c r="F753" s="7" t="s">
        <v>34</v>
      </c>
      <c r="G753" s="7" t="s">
        <v>946</v>
      </c>
      <c r="H753" s="7"/>
      <c r="I753" s="7"/>
      <c r="J753" s="7" t="s">
        <v>336</v>
      </c>
      <c r="K753" s="7" t="s">
        <v>4143</v>
      </c>
      <c r="L753" s="7" t="s">
        <v>4144</v>
      </c>
      <c r="M753" s="7" t="s">
        <v>4145</v>
      </c>
      <c r="N753" s="7" t="s">
        <v>459</v>
      </c>
      <c r="O753" s="7">
        <v>5</v>
      </c>
      <c r="P753" s="7"/>
      <c r="Q753" s="7"/>
      <c r="R753" s="7"/>
      <c r="S753" s="7"/>
      <c r="T753" s="7"/>
      <c r="U753" s="7"/>
      <c r="V753" s="7"/>
      <c r="W753" s="7"/>
      <c r="X753" s="7"/>
      <c r="Y753" s="7" t="s">
        <v>451</v>
      </c>
      <c r="Z753" s="7" t="s">
        <v>452</v>
      </c>
      <c r="AA753" s="7">
        <v>70808</v>
      </c>
      <c r="AB753" s="7" t="s">
        <v>43</v>
      </c>
      <c r="AC753" s="7"/>
      <c r="AD753" s="7"/>
      <c r="AE753" s="7"/>
      <c r="AF753" s="7"/>
      <c r="AG753" s="8">
        <f t="shared" si="11"/>
        <v>43327</v>
      </c>
    </row>
    <row r="754" spans="1:33">
      <c r="A754" s="7" t="s">
        <v>4146</v>
      </c>
      <c r="B754" s="7" t="s">
        <v>4147</v>
      </c>
      <c r="C754" s="7" t="s">
        <v>4148</v>
      </c>
      <c r="D754" s="7" t="s">
        <v>4149</v>
      </c>
      <c r="E754" s="7" t="s">
        <v>33</v>
      </c>
      <c r="F754" s="7" t="s">
        <v>34</v>
      </c>
      <c r="G754" s="7" t="s">
        <v>946</v>
      </c>
      <c r="H754" s="7"/>
      <c r="I754" s="7"/>
      <c r="J754" s="7" t="s">
        <v>336</v>
      </c>
      <c r="K754" s="7" t="s">
        <v>472</v>
      </c>
      <c r="L754" s="7" t="s">
        <v>609</v>
      </c>
      <c r="M754" s="7" t="s">
        <v>610</v>
      </c>
      <c r="N754" s="7" t="s">
        <v>459</v>
      </c>
      <c r="O754" s="7">
        <v>5</v>
      </c>
      <c r="P754" s="7"/>
      <c r="Q754" s="7"/>
      <c r="R754" s="7"/>
      <c r="S754" s="7"/>
      <c r="T754" s="7"/>
      <c r="U754" s="7"/>
      <c r="V754" s="7"/>
      <c r="W754" s="7"/>
      <c r="X754" s="7"/>
      <c r="Y754" s="7" t="s">
        <v>451</v>
      </c>
      <c r="Z754" s="7" t="s">
        <v>452</v>
      </c>
      <c r="AA754" s="7">
        <v>70808</v>
      </c>
      <c r="AB754" s="7" t="s">
        <v>43</v>
      </c>
      <c r="AC754" s="7"/>
      <c r="AD754" s="7"/>
      <c r="AE754" s="7"/>
      <c r="AF754" s="7"/>
      <c r="AG754" s="8">
        <f t="shared" si="11"/>
        <v>43327</v>
      </c>
    </row>
    <row r="755" spans="1:33">
      <c r="A755" s="7" t="s">
        <v>4150</v>
      </c>
      <c r="B755" s="7" t="s">
        <v>4151</v>
      </c>
      <c r="C755" s="7" t="s">
        <v>4152</v>
      </c>
      <c r="D755" s="7" t="s">
        <v>4153</v>
      </c>
      <c r="E755" s="7" t="s">
        <v>33</v>
      </c>
      <c r="F755" s="7" t="s">
        <v>34</v>
      </c>
      <c r="G755" s="7" t="s">
        <v>946</v>
      </c>
      <c r="H755" s="7"/>
      <c r="I755" s="7"/>
      <c r="J755" s="7" t="s">
        <v>336</v>
      </c>
      <c r="K755" s="7" t="s">
        <v>55</v>
      </c>
      <c r="L755" s="7" t="s">
        <v>56</v>
      </c>
      <c r="M755" s="7" t="s">
        <v>57</v>
      </c>
      <c r="N755" s="7" t="s">
        <v>459</v>
      </c>
      <c r="O755" s="7">
        <v>35</v>
      </c>
      <c r="P755" s="7"/>
      <c r="Q755" s="7"/>
      <c r="R755" s="7"/>
      <c r="S755" s="7"/>
      <c r="T755" s="7"/>
      <c r="U755" s="7"/>
      <c r="V755" s="7"/>
      <c r="W755" s="7"/>
      <c r="X755" s="7"/>
      <c r="Y755" s="7" t="s">
        <v>451</v>
      </c>
      <c r="Z755" s="7" t="s">
        <v>452</v>
      </c>
      <c r="AA755" s="7">
        <v>70808</v>
      </c>
      <c r="AB755" s="7" t="s">
        <v>43</v>
      </c>
      <c r="AC755" s="7"/>
      <c r="AD755" s="7"/>
      <c r="AE755" s="7"/>
      <c r="AF755" s="7"/>
      <c r="AG755" s="8">
        <f t="shared" si="11"/>
        <v>43327</v>
      </c>
    </row>
    <row r="756" spans="1:33">
      <c r="A756" s="7" t="s">
        <v>4154</v>
      </c>
      <c r="B756" s="7" t="s">
        <v>4155</v>
      </c>
      <c r="C756" s="7" t="s">
        <v>4156</v>
      </c>
      <c r="D756" s="7" t="s">
        <v>4157</v>
      </c>
      <c r="E756" s="7" t="s">
        <v>99</v>
      </c>
      <c r="F756" s="7" t="s">
        <v>34</v>
      </c>
      <c r="G756" s="7" t="s">
        <v>946</v>
      </c>
      <c r="H756" s="7"/>
      <c r="I756" s="7"/>
      <c r="J756" s="7" t="s">
        <v>336</v>
      </c>
      <c r="K756" s="7" t="s">
        <v>472</v>
      </c>
      <c r="L756" s="7" t="s">
        <v>4095</v>
      </c>
      <c r="M756" s="7" t="s">
        <v>4096</v>
      </c>
      <c r="N756" s="7" t="s">
        <v>459</v>
      </c>
      <c r="O756" s="7">
        <v>2</v>
      </c>
      <c r="P756" s="7"/>
      <c r="Q756" s="7"/>
      <c r="R756" s="7"/>
      <c r="S756" s="7"/>
      <c r="T756" s="7"/>
      <c r="U756" s="7"/>
      <c r="V756" s="7"/>
      <c r="W756" s="7"/>
      <c r="X756" s="7"/>
      <c r="Y756" s="7" t="s">
        <v>451</v>
      </c>
      <c r="Z756" s="7" t="s">
        <v>452</v>
      </c>
      <c r="AA756" s="7">
        <v>70808</v>
      </c>
      <c r="AB756" s="7" t="s">
        <v>43</v>
      </c>
      <c r="AC756" s="7"/>
      <c r="AD756" s="7"/>
      <c r="AE756" s="7"/>
      <c r="AF756" s="7"/>
      <c r="AG756" s="8">
        <f t="shared" si="11"/>
        <v>43327</v>
      </c>
    </row>
    <row r="757" spans="1:33">
      <c r="A757" s="7" t="s">
        <v>4158</v>
      </c>
      <c r="B757" s="7" t="s">
        <v>4159</v>
      </c>
      <c r="C757" s="7" t="s">
        <v>4160</v>
      </c>
      <c r="D757" s="7" t="s">
        <v>4161</v>
      </c>
      <c r="E757" s="7" t="s">
        <v>33</v>
      </c>
      <c r="F757" s="7" t="s">
        <v>34</v>
      </c>
      <c r="G757" s="7" t="s">
        <v>946</v>
      </c>
      <c r="H757" s="7"/>
      <c r="I757" s="7"/>
      <c r="J757" s="7" t="s">
        <v>336</v>
      </c>
      <c r="K757" s="7" t="s">
        <v>4162</v>
      </c>
      <c r="L757" s="7" t="s">
        <v>4163</v>
      </c>
      <c r="M757" s="7" t="s">
        <v>4164</v>
      </c>
      <c r="N757" s="7" t="s">
        <v>459</v>
      </c>
      <c r="O757" s="7">
        <v>1</v>
      </c>
      <c r="P757" s="7"/>
      <c r="Q757" s="7"/>
      <c r="R757" s="7"/>
      <c r="S757" s="7"/>
      <c r="T757" s="7"/>
      <c r="U757" s="7"/>
      <c r="V757" s="7"/>
      <c r="W757" s="7"/>
      <c r="X757" s="7"/>
      <c r="Y757" s="7" t="s">
        <v>451</v>
      </c>
      <c r="Z757" s="7" t="s">
        <v>452</v>
      </c>
      <c r="AA757" s="7">
        <v>70808</v>
      </c>
      <c r="AB757" s="7" t="s">
        <v>43</v>
      </c>
      <c r="AC757" s="7"/>
      <c r="AD757" s="7"/>
      <c r="AE757" s="7"/>
      <c r="AF757" s="7"/>
      <c r="AG757" s="8">
        <f t="shared" si="11"/>
        <v>43327</v>
      </c>
    </row>
    <row r="758" spans="1:33">
      <c r="A758" s="7" t="s">
        <v>4165</v>
      </c>
      <c r="B758" s="7" t="s">
        <v>4166</v>
      </c>
      <c r="C758" s="7" t="s">
        <v>4167</v>
      </c>
      <c r="D758" s="7" t="s">
        <v>4168</v>
      </c>
      <c r="E758" s="7" t="s">
        <v>33</v>
      </c>
      <c r="F758" s="7" t="s">
        <v>34</v>
      </c>
      <c r="G758" s="7" t="s">
        <v>946</v>
      </c>
      <c r="H758" s="7"/>
      <c r="I758" s="7"/>
      <c r="J758" s="7" t="s">
        <v>336</v>
      </c>
      <c r="K758" s="7" t="s">
        <v>4162</v>
      </c>
      <c r="L758" s="7" t="s">
        <v>4169</v>
      </c>
      <c r="M758" s="7" t="s">
        <v>4170</v>
      </c>
      <c r="N758" s="7" t="s">
        <v>459</v>
      </c>
      <c r="O758" s="7">
        <v>1</v>
      </c>
      <c r="P758" s="7"/>
      <c r="Q758" s="7"/>
      <c r="R758" s="7"/>
      <c r="S758" s="7"/>
      <c r="T758" s="7"/>
      <c r="U758" s="7"/>
      <c r="V758" s="7"/>
      <c r="W758" s="7"/>
      <c r="X758" s="7"/>
      <c r="Y758" s="7" t="s">
        <v>451</v>
      </c>
      <c r="Z758" s="7" t="s">
        <v>452</v>
      </c>
      <c r="AA758" s="7">
        <v>70808</v>
      </c>
      <c r="AB758" s="7" t="s">
        <v>43</v>
      </c>
      <c r="AC758" s="7"/>
      <c r="AD758" s="7"/>
      <c r="AE758" s="7"/>
      <c r="AF758" s="7"/>
      <c r="AG758" s="8">
        <f t="shared" si="11"/>
        <v>43327</v>
      </c>
    </row>
    <row r="759" spans="1:33">
      <c r="A759" s="7" t="s">
        <v>4171</v>
      </c>
      <c r="B759" s="7" t="s">
        <v>4172</v>
      </c>
      <c r="C759" s="7" t="s">
        <v>4173</v>
      </c>
      <c r="D759" s="7" t="s">
        <v>4174</v>
      </c>
      <c r="E759" s="7" t="s">
        <v>33</v>
      </c>
      <c r="F759" s="7" t="s">
        <v>34</v>
      </c>
      <c r="G759" s="7" t="s">
        <v>946</v>
      </c>
      <c r="H759" s="7"/>
      <c r="I759" s="7"/>
      <c r="J759" s="7" t="s">
        <v>336</v>
      </c>
      <c r="K759" s="7" t="s">
        <v>4175</v>
      </c>
      <c r="L759" s="7" t="s">
        <v>4176</v>
      </c>
      <c r="M759" s="7" t="s">
        <v>4177</v>
      </c>
      <c r="N759" s="7" t="s">
        <v>459</v>
      </c>
      <c r="O759" s="7">
        <v>3</v>
      </c>
      <c r="P759" s="7"/>
      <c r="Q759" s="7"/>
      <c r="R759" s="7"/>
      <c r="S759" s="7"/>
      <c r="T759" s="7"/>
      <c r="U759" s="7"/>
      <c r="V759" s="7"/>
      <c r="W759" s="7"/>
      <c r="X759" s="7"/>
      <c r="Y759" s="7" t="s">
        <v>451</v>
      </c>
      <c r="Z759" s="7" t="s">
        <v>452</v>
      </c>
      <c r="AA759" s="7">
        <v>70808</v>
      </c>
      <c r="AB759" s="7" t="s">
        <v>43</v>
      </c>
      <c r="AC759" s="7"/>
      <c r="AD759" s="7"/>
      <c r="AE759" s="7"/>
      <c r="AF759" s="7"/>
      <c r="AG759" s="8">
        <f t="shared" si="11"/>
        <v>43327</v>
      </c>
    </row>
    <row r="760" spans="1:33">
      <c r="A760" s="7" t="s">
        <v>4178</v>
      </c>
      <c r="B760" s="7" t="s">
        <v>4179</v>
      </c>
      <c r="C760" s="7" t="s">
        <v>4180</v>
      </c>
      <c r="D760" s="7" t="s">
        <v>4181</v>
      </c>
      <c r="E760" s="7" t="s">
        <v>33</v>
      </c>
      <c r="F760" s="7" t="s">
        <v>34</v>
      </c>
      <c r="G760" s="7" t="s">
        <v>946</v>
      </c>
      <c r="H760" s="7"/>
      <c r="I760" s="7"/>
      <c r="J760" s="7" t="s">
        <v>336</v>
      </c>
      <c r="K760" s="7" t="s">
        <v>4162</v>
      </c>
      <c r="L760" s="7" t="s">
        <v>4182</v>
      </c>
      <c r="M760" s="7" t="s">
        <v>4183</v>
      </c>
      <c r="N760" s="7" t="s">
        <v>459</v>
      </c>
      <c r="O760" s="7">
        <v>4</v>
      </c>
      <c r="P760" s="7"/>
      <c r="Q760" s="7"/>
      <c r="R760" s="7"/>
      <c r="S760" s="7"/>
      <c r="T760" s="7"/>
      <c r="U760" s="7"/>
      <c r="V760" s="7"/>
      <c r="W760" s="7"/>
      <c r="X760" s="7"/>
      <c r="Y760" s="7" t="s">
        <v>451</v>
      </c>
      <c r="Z760" s="7" t="s">
        <v>452</v>
      </c>
      <c r="AA760" s="7">
        <v>70808</v>
      </c>
      <c r="AB760" s="7" t="s">
        <v>43</v>
      </c>
      <c r="AC760" s="7"/>
      <c r="AD760" s="7"/>
      <c r="AE760" s="7"/>
      <c r="AF760" s="7"/>
      <c r="AG760" s="8">
        <f t="shared" si="11"/>
        <v>43327</v>
      </c>
    </row>
    <row r="761" spans="1:33">
      <c r="A761" s="7" t="s">
        <v>4184</v>
      </c>
      <c r="B761" s="7" t="s">
        <v>4185</v>
      </c>
      <c r="C761" s="7" t="s">
        <v>4186</v>
      </c>
      <c r="D761" s="7" t="s">
        <v>4187</v>
      </c>
      <c r="E761" s="7" t="s">
        <v>33</v>
      </c>
      <c r="F761" s="7" t="s">
        <v>34</v>
      </c>
      <c r="G761" s="7" t="s">
        <v>946</v>
      </c>
      <c r="H761" s="7"/>
      <c r="I761" s="7"/>
      <c r="J761" s="7" t="s">
        <v>336</v>
      </c>
      <c r="K761" s="7" t="s">
        <v>4162</v>
      </c>
      <c r="L761" s="7" t="s">
        <v>4188</v>
      </c>
      <c r="M761" s="7" t="s">
        <v>4189</v>
      </c>
      <c r="N761" s="7" t="s">
        <v>459</v>
      </c>
      <c r="O761" s="7">
        <v>3</v>
      </c>
      <c r="P761" s="7"/>
      <c r="Q761" s="7"/>
      <c r="R761" s="7"/>
      <c r="S761" s="7"/>
      <c r="T761" s="7"/>
      <c r="U761" s="7"/>
      <c r="V761" s="7"/>
      <c r="W761" s="7"/>
      <c r="X761" s="7"/>
      <c r="Y761" s="7" t="s">
        <v>451</v>
      </c>
      <c r="Z761" s="7" t="s">
        <v>452</v>
      </c>
      <c r="AA761" s="7">
        <v>70808</v>
      </c>
      <c r="AB761" s="7" t="s">
        <v>43</v>
      </c>
      <c r="AC761" s="7"/>
      <c r="AD761" s="7"/>
      <c r="AE761" s="7"/>
      <c r="AF761" s="7"/>
      <c r="AG761" s="8">
        <f t="shared" si="11"/>
        <v>43327</v>
      </c>
    </row>
    <row r="762" spans="1:33">
      <c r="A762" s="7" t="s">
        <v>4190</v>
      </c>
      <c r="B762" s="7" t="s">
        <v>4191</v>
      </c>
      <c r="C762" s="7" t="s">
        <v>4192</v>
      </c>
      <c r="D762" s="7" t="s">
        <v>4193</v>
      </c>
      <c r="E762" s="7" t="s">
        <v>33</v>
      </c>
      <c r="F762" s="7" t="s">
        <v>34</v>
      </c>
      <c r="G762" s="7" t="s">
        <v>946</v>
      </c>
      <c r="H762" s="7"/>
      <c r="I762" s="7"/>
      <c r="J762" s="7" t="s">
        <v>336</v>
      </c>
      <c r="K762" s="7" t="s">
        <v>4162</v>
      </c>
      <c r="L762" s="7" t="s">
        <v>4194</v>
      </c>
      <c r="M762" s="7" t="s">
        <v>4195</v>
      </c>
      <c r="N762" s="7" t="s">
        <v>459</v>
      </c>
      <c r="O762" s="7">
        <v>1</v>
      </c>
      <c r="P762" s="7"/>
      <c r="Q762" s="7"/>
      <c r="R762" s="7"/>
      <c r="S762" s="7"/>
      <c r="T762" s="7"/>
      <c r="U762" s="7"/>
      <c r="V762" s="7"/>
      <c r="W762" s="7"/>
      <c r="X762" s="7"/>
      <c r="Y762" s="7" t="s">
        <v>451</v>
      </c>
      <c r="Z762" s="7" t="s">
        <v>452</v>
      </c>
      <c r="AA762" s="7">
        <v>70808</v>
      </c>
      <c r="AB762" s="7" t="s">
        <v>43</v>
      </c>
      <c r="AC762" s="7"/>
      <c r="AD762" s="7"/>
      <c r="AE762" s="7"/>
      <c r="AF762" s="7"/>
      <c r="AG762" s="8">
        <f t="shared" si="11"/>
        <v>43327</v>
      </c>
    </row>
    <row r="763" spans="1:33">
      <c r="A763" s="7" t="s">
        <v>4196</v>
      </c>
      <c r="B763" s="7" t="s">
        <v>4197</v>
      </c>
      <c r="C763" s="7" t="s">
        <v>4198</v>
      </c>
      <c r="D763" s="7" t="s">
        <v>4199</v>
      </c>
      <c r="E763" s="7" t="s">
        <v>33</v>
      </c>
      <c r="F763" s="7" t="s">
        <v>34</v>
      </c>
      <c r="G763" s="7" t="s">
        <v>946</v>
      </c>
      <c r="H763" s="7"/>
      <c r="I763" s="7"/>
      <c r="J763" s="7" t="s">
        <v>336</v>
      </c>
      <c r="K763" s="7" t="s">
        <v>4162</v>
      </c>
      <c r="L763" s="7" t="s">
        <v>4200</v>
      </c>
      <c r="M763" s="7" t="s">
        <v>4201</v>
      </c>
      <c r="N763" s="7" t="s">
        <v>459</v>
      </c>
      <c r="O763" s="7">
        <v>2</v>
      </c>
      <c r="P763" s="7"/>
      <c r="Q763" s="7"/>
      <c r="R763" s="7"/>
      <c r="S763" s="7"/>
      <c r="T763" s="7"/>
      <c r="U763" s="7"/>
      <c r="V763" s="7"/>
      <c r="W763" s="7"/>
      <c r="X763" s="7"/>
      <c r="Y763" s="7" t="s">
        <v>451</v>
      </c>
      <c r="Z763" s="7" t="s">
        <v>452</v>
      </c>
      <c r="AA763" s="7">
        <v>70808</v>
      </c>
      <c r="AB763" s="7" t="s">
        <v>43</v>
      </c>
      <c r="AC763" s="7"/>
      <c r="AD763" s="7"/>
      <c r="AE763" s="7"/>
      <c r="AF763" s="7"/>
      <c r="AG763" s="8">
        <f t="shared" si="11"/>
        <v>43327</v>
      </c>
    </row>
    <row r="764" spans="1:33">
      <c r="A764" s="7" t="s">
        <v>4202</v>
      </c>
      <c r="B764" s="7" t="s">
        <v>4203</v>
      </c>
      <c r="C764" s="7" t="s">
        <v>4204</v>
      </c>
      <c r="D764" s="7" t="s">
        <v>4205</v>
      </c>
      <c r="E764" s="7" t="s">
        <v>33</v>
      </c>
      <c r="F764" s="7" t="s">
        <v>34</v>
      </c>
      <c r="G764" s="7" t="s">
        <v>946</v>
      </c>
      <c r="H764" s="7"/>
      <c r="I764" s="7"/>
      <c r="J764" s="7" t="s">
        <v>336</v>
      </c>
      <c r="K764" s="7" t="s">
        <v>4162</v>
      </c>
      <c r="L764" s="7" t="s">
        <v>4206</v>
      </c>
      <c r="M764" s="7" t="s">
        <v>4207</v>
      </c>
      <c r="N764" s="7" t="s">
        <v>459</v>
      </c>
      <c r="O764" s="7">
        <v>1</v>
      </c>
      <c r="P764" s="7"/>
      <c r="Q764" s="7"/>
      <c r="R764" s="7"/>
      <c r="S764" s="7"/>
      <c r="T764" s="7"/>
      <c r="U764" s="7"/>
      <c r="V764" s="7"/>
      <c r="W764" s="7"/>
      <c r="X764" s="7"/>
      <c r="Y764" s="7" t="s">
        <v>451</v>
      </c>
      <c r="Z764" s="7" t="s">
        <v>452</v>
      </c>
      <c r="AA764" s="7">
        <v>70808</v>
      </c>
      <c r="AB764" s="7" t="s">
        <v>43</v>
      </c>
      <c r="AC764" s="7"/>
      <c r="AD764" s="7"/>
      <c r="AE764" s="7"/>
      <c r="AF764" s="7"/>
      <c r="AG764" s="8">
        <f t="shared" si="11"/>
        <v>43327</v>
      </c>
    </row>
    <row r="765" spans="1:33">
      <c r="A765" s="7" t="s">
        <v>4208</v>
      </c>
      <c r="B765" s="7" t="s">
        <v>4209</v>
      </c>
      <c r="C765" s="7" t="s">
        <v>4210</v>
      </c>
      <c r="D765" s="7" t="s">
        <v>4211</v>
      </c>
      <c r="E765" s="7" t="s">
        <v>33</v>
      </c>
      <c r="F765" s="7" t="s">
        <v>34</v>
      </c>
      <c r="G765" s="7" t="s">
        <v>946</v>
      </c>
      <c r="H765" s="7"/>
      <c r="I765" s="7"/>
      <c r="J765" s="7" t="s">
        <v>336</v>
      </c>
      <c r="K765" s="7" t="s">
        <v>4162</v>
      </c>
      <c r="L765" s="7" t="s">
        <v>4212</v>
      </c>
      <c r="M765" s="7" t="s">
        <v>4213</v>
      </c>
      <c r="N765" s="7" t="s">
        <v>459</v>
      </c>
      <c r="O765" s="7">
        <v>3</v>
      </c>
      <c r="P765" s="7"/>
      <c r="Q765" s="7"/>
      <c r="R765" s="7"/>
      <c r="S765" s="7"/>
      <c r="T765" s="7"/>
      <c r="U765" s="7"/>
      <c r="V765" s="7"/>
      <c r="W765" s="7"/>
      <c r="X765" s="7"/>
      <c r="Y765" s="7" t="s">
        <v>451</v>
      </c>
      <c r="Z765" s="7" t="s">
        <v>452</v>
      </c>
      <c r="AA765" s="7">
        <v>70808</v>
      </c>
      <c r="AB765" s="7" t="s">
        <v>43</v>
      </c>
      <c r="AC765" s="7"/>
      <c r="AD765" s="7"/>
      <c r="AE765" s="7"/>
      <c r="AF765" s="7"/>
      <c r="AG765" s="8">
        <f t="shared" si="11"/>
        <v>43327</v>
      </c>
    </row>
    <row r="766" spans="1:33">
      <c r="A766" s="7" t="s">
        <v>4214</v>
      </c>
      <c r="B766" s="7" t="s">
        <v>4215</v>
      </c>
      <c r="C766" s="7" t="s">
        <v>4216</v>
      </c>
      <c r="D766" s="7" t="s">
        <v>4217</v>
      </c>
      <c r="E766" s="7" t="s">
        <v>33</v>
      </c>
      <c r="F766" s="7" t="s">
        <v>34</v>
      </c>
      <c r="G766" s="7" t="s">
        <v>946</v>
      </c>
      <c r="H766" s="7"/>
      <c r="I766" s="7"/>
      <c r="J766" s="7" t="s">
        <v>336</v>
      </c>
      <c r="K766" s="7" t="s">
        <v>4162</v>
      </c>
      <c r="L766" s="7" t="s">
        <v>4218</v>
      </c>
      <c r="M766" s="7" t="s">
        <v>4219</v>
      </c>
      <c r="N766" s="7" t="s">
        <v>459</v>
      </c>
      <c r="O766" s="7">
        <v>3</v>
      </c>
      <c r="P766" s="7"/>
      <c r="Q766" s="7"/>
      <c r="R766" s="7"/>
      <c r="S766" s="7"/>
      <c r="T766" s="7"/>
      <c r="U766" s="7"/>
      <c r="V766" s="7"/>
      <c r="W766" s="7"/>
      <c r="X766" s="7"/>
      <c r="Y766" s="7" t="s">
        <v>451</v>
      </c>
      <c r="Z766" s="7" t="s">
        <v>452</v>
      </c>
      <c r="AA766" s="7">
        <v>70808</v>
      </c>
      <c r="AB766" s="7" t="s">
        <v>43</v>
      </c>
      <c r="AC766" s="7"/>
      <c r="AD766" s="7"/>
      <c r="AE766" s="7"/>
      <c r="AF766" s="7"/>
      <c r="AG766" s="8">
        <f t="shared" si="11"/>
        <v>43327</v>
      </c>
    </row>
    <row r="767" spans="1:33">
      <c r="A767" s="7" t="s">
        <v>4220</v>
      </c>
      <c r="B767" s="7" t="s">
        <v>4221</v>
      </c>
      <c r="C767" s="7" t="s">
        <v>4222</v>
      </c>
      <c r="D767" s="7" t="s">
        <v>4223</v>
      </c>
      <c r="E767" s="7" t="s">
        <v>33</v>
      </c>
      <c r="F767" s="7" t="s">
        <v>34</v>
      </c>
      <c r="G767" s="7" t="s">
        <v>946</v>
      </c>
      <c r="H767" s="7"/>
      <c r="I767" s="7"/>
      <c r="J767" s="7" t="s">
        <v>336</v>
      </c>
      <c r="K767" s="7" t="s">
        <v>4162</v>
      </c>
      <c r="L767" s="7" t="s">
        <v>4224</v>
      </c>
      <c r="M767" s="7" t="s">
        <v>4225</v>
      </c>
      <c r="N767" s="7" t="s">
        <v>459</v>
      </c>
      <c r="O767" s="7">
        <v>1</v>
      </c>
      <c r="P767" s="7"/>
      <c r="Q767" s="7"/>
      <c r="R767" s="7"/>
      <c r="S767" s="7"/>
      <c r="T767" s="7"/>
      <c r="U767" s="7"/>
      <c r="V767" s="7"/>
      <c r="W767" s="7"/>
      <c r="X767" s="7"/>
      <c r="Y767" s="7" t="s">
        <v>451</v>
      </c>
      <c r="Z767" s="7" t="s">
        <v>452</v>
      </c>
      <c r="AA767" s="7">
        <v>70808</v>
      </c>
      <c r="AB767" s="7" t="s">
        <v>43</v>
      </c>
      <c r="AC767" s="7"/>
      <c r="AD767" s="7"/>
      <c r="AE767" s="7"/>
      <c r="AF767" s="7"/>
      <c r="AG767" s="8">
        <f t="shared" si="11"/>
        <v>43327</v>
      </c>
    </row>
    <row r="768" spans="1:33">
      <c r="A768" s="7" t="s">
        <v>4226</v>
      </c>
      <c r="B768" s="7" t="s">
        <v>4227</v>
      </c>
      <c r="C768" s="7" t="s">
        <v>4228</v>
      </c>
      <c r="D768" s="7" t="s">
        <v>4229</v>
      </c>
      <c r="E768" s="7" t="s">
        <v>33</v>
      </c>
      <c r="F768" s="7" t="s">
        <v>34</v>
      </c>
      <c r="G768" s="7" t="s">
        <v>946</v>
      </c>
      <c r="H768" s="7"/>
      <c r="I768" s="7"/>
      <c r="J768" s="7" t="s">
        <v>336</v>
      </c>
      <c r="K768" s="7" t="s">
        <v>4162</v>
      </c>
      <c r="L768" s="7" t="s">
        <v>4230</v>
      </c>
      <c r="M768" s="7" t="s">
        <v>4231</v>
      </c>
      <c r="N768" s="7" t="s">
        <v>459</v>
      </c>
      <c r="O768" s="7">
        <v>2</v>
      </c>
      <c r="P768" s="7"/>
      <c r="Q768" s="7"/>
      <c r="R768" s="7"/>
      <c r="S768" s="7"/>
      <c r="T768" s="7"/>
      <c r="U768" s="7"/>
      <c r="V768" s="7"/>
      <c r="W768" s="7"/>
      <c r="X768" s="7"/>
      <c r="Y768" s="7" t="s">
        <v>451</v>
      </c>
      <c r="Z768" s="7" t="s">
        <v>452</v>
      </c>
      <c r="AA768" s="7">
        <v>70808</v>
      </c>
      <c r="AB768" s="7" t="s">
        <v>43</v>
      </c>
      <c r="AC768" s="7"/>
      <c r="AD768" s="7"/>
      <c r="AE768" s="7"/>
      <c r="AF768" s="7"/>
      <c r="AG768" s="8">
        <f t="shared" si="11"/>
        <v>43327</v>
      </c>
    </row>
    <row r="769" spans="1:33">
      <c r="A769" s="7" t="s">
        <v>4232</v>
      </c>
      <c r="B769" s="7" t="s">
        <v>4233</v>
      </c>
      <c r="C769" s="7" t="s">
        <v>4234</v>
      </c>
      <c r="D769" s="7" t="s">
        <v>4235</v>
      </c>
      <c r="E769" s="7" t="s">
        <v>33</v>
      </c>
      <c r="F769" s="7" t="s">
        <v>34</v>
      </c>
      <c r="G769" s="7" t="s">
        <v>946</v>
      </c>
      <c r="H769" s="7"/>
      <c r="I769" s="7"/>
      <c r="J769" s="7" t="s">
        <v>336</v>
      </c>
      <c r="K769" s="7" t="s">
        <v>4162</v>
      </c>
      <c r="L769" s="7" t="s">
        <v>4236</v>
      </c>
      <c r="M769" s="7" t="s">
        <v>4237</v>
      </c>
      <c r="N769" s="7" t="s">
        <v>459</v>
      </c>
      <c r="O769" s="7">
        <v>3</v>
      </c>
      <c r="P769" s="7"/>
      <c r="Q769" s="7"/>
      <c r="R769" s="7"/>
      <c r="S769" s="7"/>
      <c r="T769" s="7"/>
      <c r="U769" s="7"/>
      <c r="V769" s="7"/>
      <c r="W769" s="7"/>
      <c r="X769" s="7"/>
      <c r="Y769" s="7" t="s">
        <v>451</v>
      </c>
      <c r="Z769" s="7" t="s">
        <v>452</v>
      </c>
      <c r="AA769" s="7">
        <v>70808</v>
      </c>
      <c r="AB769" s="7" t="s">
        <v>43</v>
      </c>
      <c r="AC769" s="7"/>
      <c r="AD769" s="7"/>
      <c r="AE769" s="7"/>
      <c r="AF769" s="7"/>
      <c r="AG769" s="8">
        <f t="shared" si="11"/>
        <v>43327</v>
      </c>
    </row>
    <row r="770" spans="1:33">
      <c r="A770" s="7" t="s">
        <v>4238</v>
      </c>
      <c r="B770" s="7" t="s">
        <v>4239</v>
      </c>
      <c r="C770" s="7" t="s">
        <v>4240</v>
      </c>
      <c r="D770" s="7" t="s">
        <v>4241</v>
      </c>
      <c r="E770" s="7" t="s">
        <v>33</v>
      </c>
      <c r="F770" s="7" t="s">
        <v>34</v>
      </c>
      <c r="G770" s="7" t="s">
        <v>946</v>
      </c>
      <c r="H770" s="7"/>
      <c r="I770" s="7"/>
      <c r="J770" s="7" t="s">
        <v>336</v>
      </c>
      <c r="K770" s="7" t="s">
        <v>4162</v>
      </c>
      <c r="L770" s="7" t="s">
        <v>4242</v>
      </c>
      <c r="M770" s="7" t="s">
        <v>4243</v>
      </c>
      <c r="N770" s="7" t="s">
        <v>459</v>
      </c>
      <c r="O770" s="7">
        <v>2</v>
      </c>
      <c r="P770" s="7"/>
      <c r="Q770" s="7"/>
      <c r="R770" s="7"/>
      <c r="S770" s="7"/>
      <c r="T770" s="7"/>
      <c r="U770" s="7"/>
      <c r="V770" s="7"/>
      <c r="W770" s="7"/>
      <c r="X770" s="7"/>
      <c r="Y770" s="7" t="s">
        <v>451</v>
      </c>
      <c r="Z770" s="7" t="s">
        <v>452</v>
      </c>
      <c r="AA770" s="7">
        <v>70808</v>
      </c>
      <c r="AB770" s="7" t="s">
        <v>43</v>
      </c>
      <c r="AC770" s="7"/>
      <c r="AD770" s="7"/>
      <c r="AE770" s="7"/>
      <c r="AF770" s="7"/>
      <c r="AG770" s="8">
        <f t="shared" ref="AG770:AG833" si="12">DATEVALUE(LEFT(C770,10))</f>
        <v>43327</v>
      </c>
    </row>
    <row r="771" spans="1:33">
      <c r="A771" s="7" t="s">
        <v>4244</v>
      </c>
      <c r="B771" s="7" t="s">
        <v>4245</v>
      </c>
      <c r="C771" s="7" t="s">
        <v>4246</v>
      </c>
      <c r="D771" s="7" t="s">
        <v>4247</v>
      </c>
      <c r="E771" s="7" t="s">
        <v>33</v>
      </c>
      <c r="F771" s="7" t="s">
        <v>34</v>
      </c>
      <c r="G771" s="7" t="s">
        <v>946</v>
      </c>
      <c r="H771" s="7"/>
      <c r="I771" s="7"/>
      <c r="J771" s="7" t="s">
        <v>336</v>
      </c>
      <c r="K771" s="7" t="s">
        <v>4162</v>
      </c>
      <c r="L771" s="7" t="s">
        <v>4248</v>
      </c>
      <c r="M771" s="7" t="s">
        <v>4249</v>
      </c>
      <c r="N771" s="7" t="s">
        <v>459</v>
      </c>
      <c r="O771" s="7">
        <v>3</v>
      </c>
      <c r="P771" s="7"/>
      <c r="Q771" s="7"/>
      <c r="R771" s="7"/>
      <c r="S771" s="7"/>
      <c r="T771" s="7"/>
      <c r="U771" s="7"/>
      <c r="V771" s="7"/>
      <c r="W771" s="7"/>
      <c r="X771" s="7"/>
      <c r="Y771" s="7" t="s">
        <v>451</v>
      </c>
      <c r="Z771" s="7" t="s">
        <v>452</v>
      </c>
      <c r="AA771" s="7">
        <v>70808</v>
      </c>
      <c r="AB771" s="7" t="s">
        <v>43</v>
      </c>
      <c r="AC771" s="7"/>
      <c r="AD771" s="7"/>
      <c r="AE771" s="7"/>
      <c r="AF771" s="7"/>
      <c r="AG771" s="8">
        <f t="shared" si="12"/>
        <v>43327</v>
      </c>
    </row>
    <row r="772" spans="1:33">
      <c r="A772" s="7" t="s">
        <v>4250</v>
      </c>
      <c r="B772" s="7" t="s">
        <v>4251</v>
      </c>
      <c r="C772" s="7" t="s">
        <v>4252</v>
      </c>
      <c r="D772" s="7" t="s">
        <v>4253</v>
      </c>
      <c r="E772" s="7" t="s">
        <v>33</v>
      </c>
      <c r="F772" s="7" t="s">
        <v>34</v>
      </c>
      <c r="G772" s="7" t="s">
        <v>946</v>
      </c>
      <c r="H772" s="7"/>
      <c r="I772" s="7"/>
      <c r="J772" s="7" t="s">
        <v>336</v>
      </c>
      <c r="K772" s="7" t="s">
        <v>4162</v>
      </c>
      <c r="L772" s="7" t="s">
        <v>4254</v>
      </c>
      <c r="M772" s="7" t="s">
        <v>4255</v>
      </c>
      <c r="N772" s="7" t="s">
        <v>459</v>
      </c>
      <c r="O772" s="7">
        <v>4</v>
      </c>
      <c r="P772" s="7"/>
      <c r="Q772" s="7"/>
      <c r="R772" s="7"/>
      <c r="S772" s="7"/>
      <c r="T772" s="7"/>
      <c r="U772" s="7"/>
      <c r="V772" s="7"/>
      <c r="W772" s="7"/>
      <c r="X772" s="7"/>
      <c r="Y772" s="7" t="s">
        <v>451</v>
      </c>
      <c r="Z772" s="7" t="s">
        <v>452</v>
      </c>
      <c r="AA772" s="7">
        <v>70808</v>
      </c>
      <c r="AB772" s="7" t="s">
        <v>43</v>
      </c>
      <c r="AC772" s="7"/>
      <c r="AD772" s="7"/>
      <c r="AE772" s="7"/>
      <c r="AF772" s="7"/>
      <c r="AG772" s="8">
        <f t="shared" si="12"/>
        <v>43327</v>
      </c>
    </row>
    <row r="773" spans="1:33">
      <c r="A773" s="7" t="s">
        <v>4256</v>
      </c>
      <c r="B773" s="7" t="s">
        <v>4257</v>
      </c>
      <c r="C773" s="7" t="s">
        <v>4258</v>
      </c>
      <c r="D773" s="7" t="s">
        <v>4259</v>
      </c>
      <c r="E773" s="7" t="s">
        <v>33</v>
      </c>
      <c r="F773" s="7" t="s">
        <v>34</v>
      </c>
      <c r="G773" s="7" t="s">
        <v>946</v>
      </c>
      <c r="H773" s="7"/>
      <c r="I773" s="7"/>
      <c r="J773" s="7" t="s">
        <v>336</v>
      </c>
      <c r="K773" s="7" t="s">
        <v>4162</v>
      </c>
      <c r="L773" s="7" t="s">
        <v>4260</v>
      </c>
      <c r="M773" s="7" t="s">
        <v>4261</v>
      </c>
      <c r="N773" s="7" t="s">
        <v>459</v>
      </c>
      <c r="O773" s="7">
        <v>4</v>
      </c>
      <c r="P773" s="7"/>
      <c r="Q773" s="7"/>
      <c r="R773" s="7"/>
      <c r="S773" s="7"/>
      <c r="T773" s="7"/>
      <c r="U773" s="7"/>
      <c r="V773" s="7"/>
      <c r="W773" s="7"/>
      <c r="X773" s="7"/>
      <c r="Y773" s="7" t="s">
        <v>451</v>
      </c>
      <c r="Z773" s="7" t="s">
        <v>452</v>
      </c>
      <c r="AA773" s="7">
        <v>70808</v>
      </c>
      <c r="AB773" s="7" t="s">
        <v>43</v>
      </c>
      <c r="AC773" s="7"/>
      <c r="AD773" s="7"/>
      <c r="AE773" s="7"/>
      <c r="AF773" s="7"/>
      <c r="AG773" s="8">
        <f t="shared" si="12"/>
        <v>43327</v>
      </c>
    </row>
    <row r="774" spans="1:33">
      <c r="A774" s="7" t="s">
        <v>4262</v>
      </c>
      <c r="B774" s="7" t="s">
        <v>4263</v>
      </c>
      <c r="C774" s="7" t="s">
        <v>4264</v>
      </c>
      <c r="D774" s="7" t="s">
        <v>4265</v>
      </c>
      <c r="E774" s="7" t="s">
        <v>4266</v>
      </c>
      <c r="F774" s="7" t="s">
        <v>34</v>
      </c>
      <c r="G774" s="7" t="s">
        <v>946</v>
      </c>
      <c r="H774" s="7"/>
      <c r="I774" s="7"/>
      <c r="J774" s="7" t="s">
        <v>336</v>
      </c>
      <c r="K774" s="7" t="s">
        <v>4267</v>
      </c>
      <c r="L774" s="7" t="s">
        <v>4268</v>
      </c>
      <c r="M774" s="7" t="s">
        <v>4269</v>
      </c>
      <c r="N774" s="7" t="s">
        <v>459</v>
      </c>
      <c r="O774" s="7">
        <v>2</v>
      </c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8">
        <f t="shared" si="12"/>
        <v>43327</v>
      </c>
    </row>
    <row r="775" spans="1:33">
      <c r="A775" s="7" t="s">
        <v>4270</v>
      </c>
      <c r="B775" s="7" t="s">
        <v>4271</v>
      </c>
      <c r="C775" s="7" t="s">
        <v>4272</v>
      </c>
      <c r="D775" s="7" t="s">
        <v>4273</v>
      </c>
      <c r="E775" s="7" t="s">
        <v>33</v>
      </c>
      <c r="F775" s="7" t="s">
        <v>34</v>
      </c>
      <c r="G775" s="7" t="s">
        <v>946</v>
      </c>
      <c r="H775" s="7"/>
      <c r="I775" s="7"/>
      <c r="J775" s="7" t="s">
        <v>336</v>
      </c>
      <c r="K775" s="7" t="s">
        <v>4274</v>
      </c>
      <c r="L775" s="7" t="s">
        <v>4275</v>
      </c>
      <c r="M775" s="7" t="s">
        <v>4276</v>
      </c>
      <c r="N775" s="7" t="s">
        <v>459</v>
      </c>
      <c r="O775" s="7">
        <v>3</v>
      </c>
      <c r="P775" s="7"/>
      <c r="Q775" s="7"/>
      <c r="R775" s="7"/>
      <c r="S775" s="7"/>
      <c r="T775" s="7"/>
      <c r="U775" s="7"/>
      <c r="V775" s="7"/>
      <c r="W775" s="7"/>
      <c r="X775" s="7"/>
      <c r="Y775" s="7" t="s">
        <v>451</v>
      </c>
      <c r="Z775" s="7" t="s">
        <v>452</v>
      </c>
      <c r="AA775" s="7">
        <v>70808</v>
      </c>
      <c r="AB775" s="7" t="s">
        <v>43</v>
      </c>
      <c r="AC775" s="7"/>
      <c r="AD775" s="7"/>
      <c r="AE775" s="7"/>
      <c r="AF775" s="7"/>
      <c r="AG775" s="8">
        <f t="shared" si="12"/>
        <v>43327</v>
      </c>
    </row>
    <row r="776" spans="1:33">
      <c r="A776" s="7" t="s">
        <v>4277</v>
      </c>
      <c r="B776" s="7" t="s">
        <v>4278</v>
      </c>
      <c r="C776" s="7" t="s">
        <v>4279</v>
      </c>
      <c r="D776" s="7" t="s">
        <v>4280</v>
      </c>
      <c r="E776" s="7" t="s">
        <v>33</v>
      </c>
      <c r="F776" s="7" t="s">
        <v>34</v>
      </c>
      <c r="G776" s="7" t="s">
        <v>946</v>
      </c>
      <c r="H776" s="7"/>
      <c r="I776" s="7"/>
      <c r="J776" s="7" t="s">
        <v>336</v>
      </c>
      <c r="K776" s="7" t="s">
        <v>4281</v>
      </c>
      <c r="L776" s="7" t="s">
        <v>4282</v>
      </c>
      <c r="M776" s="7" t="s">
        <v>4283</v>
      </c>
      <c r="N776" s="7" t="s">
        <v>459</v>
      </c>
      <c r="O776" s="7">
        <v>2</v>
      </c>
      <c r="P776" s="7"/>
      <c r="Q776" s="7"/>
      <c r="R776" s="7"/>
      <c r="S776" s="7"/>
      <c r="T776" s="7"/>
      <c r="U776" s="7"/>
      <c r="V776" s="7"/>
      <c r="W776" s="7"/>
      <c r="X776" s="7"/>
      <c r="Y776" s="7" t="s">
        <v>451</v>
      </c>
      <c r="Z776" s="7" t="s">
        <v>452</v>
      </c>
      <c r="AA776" s="7">
        <v>70808</v>
      </c>
      <c r="AB776" s="7" t="s">
        <v>43</v>
      </c>
      <c r="AC776" s="7"/>
      <c r="AD776" s="7"/>
      <c r="AE776" s="7"/>
      <c r="AF776" s="7"/>
      <c r="AG776" s="8">
        <f t="shared" si="12"/>
        <v>43327</v>
      </c>
    </row>
    <row r="777" spans="1:33">
      <c r="A777" s="7" t="s">
        <v>4284</v>
      </c>
      <c r="B777" s="7" t="s">
        <v>4285</v>
      </c>
      <c r="C777" s="7" t="s">
        <v>4286</v>
      </c>
      <c r="D777" s="7" t="s">
        <v>4287</v>
      </c>
      <c r="E777" s="7" t="s">
        <v>33</v>
      </c>
      <c r="F777" s="7" t="s">
        <v>34</v>
      </c>
      <c r="G777" s="7" t="s">
        <v>946</v>
      </c>
      <c r="H777" s="7"/>
      <c r="I777" s="7"/>
      <c r="J777" s="7" t="s">
        <v>336</v>
      </c>
      <c r="K777" s="7" t="s">
        <v>4288</v>
      </c>
      <c r="L777" s="7" t="s">
        <v>4289</v>
      </c>
      <c r="M777" s="7" t="s">
        <v>4290</v>
      </c>
      <c r="N777" s="7" t="s">
        <v>459</v>
      </c>
      <c r="O777" s="7">
        <v>3</v>
      </c>
      <c r="P777" s="7"/>
      <c r="Q777" s="7"/>
      <c r="R777" s="7"/>
      <c r="S777" s="7"/>
      <c r="T777" s="7"/>
      <c r="U777" s="7"/>
      <c r="V777" s="7"/>
      <c r="W777" s="7"/>
      <c r="X777" s="7"/>
      <c r="Y777" s="7" t="s">
        <v>451</v>
      </c>
      <c r="Z777" s="7" t="s">
        <v>452</v>
      </c>
      <c r="AA777" s="7">
        <v>70808</v>
      </c>
      <c r="AB777" s="7" t="s">
        <v>43</v>
      </c>
      <c r="AC777" s="7"/>
      <c r="AD777" s="7"/>
      <c r="AE777" s="7"/>
      <c r="AF777" s="7"/>
      <c r="AG777" s="8">
        <f t="shared" si="12"/>
        <v>43327</v>
      </c>
    </row>
    <row r="778" spans="1:33">
      <c r="A778" s="7" t="s">
        <v>4291</v>
      </c>
      <c r="B778" s="7" t="s">
        <v>4292</v>
      </c>
      <c r="C778" s="7" t="s">
        <v>4293</v>
      </c>
      <c r="D778" s="7" t="s">
        <v>4294</v>
      </c>
      <c r="E778" s="7" t="s">
        <v>33</v>
      </c>
      <c r="F778" s="7" t="s">
        <v>34</v>
      </c>
      <c r="G778" s="7" t="s">
        <v>946</v>
      </c>
      <c r="H778" s="7"/>
      <c r="I778" s="7"/>
      <c r="J778" s="7" t="s">
        <v>336</v>
      </c>
      <c r="K778" s="7" t="s">
        <v>4295</v>
      </c>
      <c r="L778" s="7" t="s">
        <v>4296</v>
      </c>
      <c r="M778" s="7" t="s">
        <v>4297</v>
      </c>
      <c r="N778" s="7" t="s">
        <v>459</v>
      </c>
      <c r="O778" s="7">
        <v>3</v>
      </c>
      <c r="P778" s="7"/>
      <c r="Q778" s="7"/>
      <c r="R778" s="7"/>
      <c r="S778" s="7"/>
      <c r="T778" s="7"/>
      <c r="U778" s="7"/>
      <c r="V778" s="7"/>
      <c r="W778" s="7"/>
      <c r="X778" s="7"/>
      <c r="Y778" s="7" t="s">
        <v>451</v>
      </c>
      <c r="Z778" s="7" t="s">
        <v>452</v>
      </c>
      <c r="AA778" s="7">
        <v>70808</v>
      </c>
      <c r="AB778" s="7" t="s">
        <v>43</v>
      </c>
      <c r="AC778" s="7"/>
      <c r="AD778" s="7"/>
      <c r="AE778" s="7"/>
      <c r="AF778" s="7"/>
      <c r="AG778" s="8">
        <f t="shared" si="12"/>
        <v>43327</v>
      </c>
    </row>
    <row r="779" spans="1:33">
      <c r="A779" s="7" t="s">
        <v>4298</v>
      </c>
      <c r="B779" s="7" t="s">
        <v>4299</v>
      </c>
      <c r="C779" s="7" t="s">
        <v>4300</v>
      </c>
      <c r="D779" s="7" t="s">
        <v>4301</v>
      </c>
      <c r="E779" s="7" t="s">
        <v>33</v>
      </c>
      <c r="F779" s="7" t="s">
        <v>34</v>
      </c>
      <c r="G779" s="7" t="s">
        <v>946</v>
      </c>
      <c r="H779" s="7"/>
      <c r="I779" s="7"/>
      <c r="J779" s="7" t="s">
        <v>336</v>
      </c>
      <c r="K779" s="7" t="s">
        <v>4302</v>
      </c>
      <c r="L779" s="7" t="s">
        <v>4303</v>
      </c>
      <c r="M779" s="7" t="s">
        <v>4304</v>
      </c>
      <c r="N779" s="7" t="s">
        <v>459</v>
      </c>
      <c r="O779" s="7">
        <v>5</v>
      </c>
      <c r="P779" s="7"/>
      <c r="Q779" s="7"/>
      <c r="R779" s="7"/>
      <c r="S779" s="7"/>
      <c r="T779" s="7"/>
      <c r="U779" s="7"/>
      <c r="V779" s="7"/>
      <c r="W779" s="7"/>
      <c r="X779" s="7"/>
      <c r="Y779" s="7" t="s">
        <v>451</v>
      </c>
      <c r="Z779" s="7" t="s">
        <v>452</v>
      </c>
      <c r="AA779" s="7">
        <v>70808</v>
      </c>
      <c r="AB779" s="7" t="s">
        <v>43</v>
      </c>
      <c r="AC779" s="7"/>
      <c r="AD779" s="7"/>
      <c r="AE779" s="7"/>
      <c r="AF779" s="7"/>
      <c r="AG779" s="8">
        <f t="shared" si="12"/>
        <v>43327</v>
      </c>
    </row>
    <row r="780" spans="1:33">
      <c r="A780" s="7" t="s">
        <v>4305</v>
      </c>
      <c r="B780" s="7" t="s">
        <v>4306</v>
      </c>
      <c r="C780" s="7" t="s">
        <v>4307</v>
      </c>
      <c r="D780" s="7" t="s">
        <v>4308</v>
      </c>
      <c r="E780" s="7" t="s">
        <v>33</v>
      </c>
      <c r="F780" s="7" t="s">
        <v>34</v>
      </c>
      <c r="G780" s="7" t="s">
        <v>946</v>
      </c>
      <c r="H780" s="7"/>
      <c r="I780" s="7"/>
      <c r="J780" s="7" t="s">
        <v>336</v>
      </c>
      <c r="K780" s="7" t="s">
        <v>4309</v>
      </c>
      <c r="L780" s="7" t="s">
        <v>4310</v>
      </c>
      <c r="M780" s="7" t="s">
        <v>4311</v>
      </c>
      <c r="N780" s="7" t="s">
        <v>459</v>
      </c>
      <c r="O780" s="7">
        <v>2</v>
      </c>
      <c r="P780" s="7"/>
      <c r="Q780" s="7"/>
      <c r="R780" s="7"/>
      <c r="S780" s="7"/>
      <c r="T780" s="7"/>
      <c r="U780" s="7"/>
      <c r="V780" s="7"/>
      <c r="W780" s="7"/>
      <c r="X780" s="7"/>
      <c r="Y780" s="7" t="s">
        <v>451</v>
      </c>
      <c r="Z780" s="7" t="s">
        <v>452</v>
      </c>
      <c r="AA780" s="7">
        <v>70808</v>
      </c>
      <c r="AB780" s="7" t="s">
        <v>43</v>
      </c>
      <c r="AC780" s="7"/>
      <c r="AD780" s="7"/>
      <c r="AE780" s="7"/>
      <c r="AF780" s="7"/>
      <c r="AG780" s="8">
        <f t="shared" si="12"/>
        <v>43327</v>
      </c>
    </row>
    <row r="781" spans="1:33">
      <c r="A781" s="7" t="s">
        <v>4312</v>
      </c>
      <c r="B781" s="7" t="s">
        <v>4313</v>
      </c>
      <c r="C781" s="7" t="s">
        <v>4314</v>
      </c>
      <c r="D781" s="7" t="s">
        <v>4315</v>
      </c>
      <c r="E781" s="7" t="s">
        <v>33</v>
      </c>
      <c r="F781" s="7" t="s">
        <v>34</v>
      </c>
      <c r="G781" s="7" t="s">
        <v>946</v>
      </c>
      <c r="H781" s="7"/>
      <c r="I781" s="7"/>
      <c r="J781" s="7" t="s">
        <v>336</v>
      </c>
      <c r="K781" s="7" t="s">
        <v>4316</v>
      </c>
      <c r="L781" s="7" t="s">
        <v>4317</v>
      </c>
      <c r="M781" s="7" t="s">
        <v>4318</v>
      </c>
      <c r="N781" s="7" t="s">
        <v>459</v>
      </c>
      <c r="O781" s="7">
        <v>1</v>
      </c>
      <c r="P781" s="7"/>
      <c r="Q781" s="7"/>
      <c r="R781" s="7"/>
      <c r="S781" s="7"/>
      <c r="T781" s="7"/>
      <c r="U781" s="7"/>
      <c r="V781" s="7"/>
      <c r="W781" s="7"/>
      <c r="X781" s="7"/>
      <c r="Y781" s="7" t="s">
        <v>451</v>
      </c>
      <c r="Z781" s="7" t="s">
        <v>452</v>
      </c>
      <c r="AA781" s="7">
        <v>70808</v>
      </c>
      <c r="AB781" s="7" t="s">
        <v>43</v>
      </c>
      <c r="AC781" s="7"/>
      <c r="AD781" s="7"/>
      <c r="AE781" s="7"/>
      <c r="AF781" s="7"/>
      <c r="AG781" s="8">
        <f t="shared" si="12"/>
        <v>43327</v>
      </c>
    </row>
    <row r="782" spans="1:33">
      <c r="A782" s="7" t="s">
        <v>4319</v>
      </c>
      <c r="B782" s="7" t="s">
        <v>4320</v>
      </c>
      <c r="C782" s="7" t="s">
        <v>4321</v>
      </c>
      <c r="D782" s="7" t="s">
        <v>4322</v>
      </c>
      <c r="E782" s="7" t="s">
        <v>33</v>
      </c>
      <c r="F782" s="7" t="s">
        <v>34</v>
      </c>
      <c r="G782" s="7" t="s">
        <v>946</v>
      </c>
      <c r="H782" s="7"/>
      <c r="I782" s="7"/>
      <c r="J782" s="7" t="s">
        <v>336</v>
      </c>
      <c r="K782" s="7" t="s">
        <v>4323</v>
      </c>
      <c r="L782" s="7" t="s">
        <v>4324</v>
      </c>
      <c r="M782" s="7" t="s">
        <v>4325</v>
      </c>
      <c r="N782" s="7" t="s">
        <v>459</v>
      </c>
      <c r="O782" s="7">
        <v>4</v>
      </c>
      <c r="P782" s="7"/>
      <c r="Q782" s="7"/>
      <c r="R782" s="7"/>
      <c r="S782" s="7"/>
      <c r="T782" s="7"/>
      <c r="U782" s="7"/>
      <c r="V782" s="7"/>
      <c r="W782" s="7"/>
      <c r="X782" s="7"/>
      <c r="Y782" s="7" t="s">
        <v>451</v>
      </c>
      <c r="Z782" s="7" t="s">
        <v>452</v>
      </c>
      <c r="AA782" s="7">
        <v>70808</v>
      </c>
      <c r="AB782" s="7" t="s">
        <v>43</v>
      </c>
      <c r="AC782" s="7"/>
      <c r="AD782" s="7"/>
      <c r="AE782" s="7"/>
      <c r="AF782" s="7"/>
      <c r="AG782" s="8">
        <f t="shared" si="12"/>
        <v>43327</v>
      </c>
    </row>
    <row r="783" spans="1:33">
      <c r="A783" s="7" t="s">
        <v>4326</v>
      </c>
      <c r="B783" s="7" t="s">
        <v>4326</v>
      </c>
      <c r="C783" s="7" t="s">
        <v>4327</v>
      </c>
      <c r="D783" s="7" t="s">
        <v>4328</v>
      </c>
      <c r="E783" s="7" t="s">
        <v>33</v>
      </c>
      <c r="F783" s="7" t="s">
        <v>34</v>
      </c>
      <c r="G783" s="7" t="s">
        <v>35</v>
      </c>
      <c r="H783" s="7"/>
      <c r="I783" s="7"/>
      <c r="J783" s="7" t="s">
        <v>36</v>
      </c>
      <c r="K783" s="7" t="s">
        <v>456</v>
      </c>
      <c r="L783" s="7" t="s">
        <v>1248</v>
      </c>
      <c r="M783" s="7" t="s">
        <v>1249</v>
      </c>
      <c r="N783" s="7" t="s">
        <v>33</v>
      </c>
      <c r="O783" s="7">
        <v>1</v>
      </c>
      <c r="P783" s="7" t="s">
        <v>40</v>
      </c>
      <c r="Q783" s="7">
        <v>12.99</v>
      </c>
      <c r="R783" s="7"/>
      <c r="S783" s="7"/>
      <c r="T783" s="7"/>
      <c r="U783" s="7"/>
      <c r="V783" s="7"/>
      <c r="W783" s="7"/>
      <c r="X783" s="7"/>
      <c r="Y783" s="7" t="s">
        <v>4329</v>
      </c>
      <c r="Z783" s="7" t="s">
        <v>1194</v>
      </c>
      <c r="AA783" s="7" t="s">
        <v>4330</v>
      </c>
      <c r="AB783" s="7" t="s">
        <v>43</v>
      </c>
      <c r="AC783" s="7"/>
      <c r="AD783" s="7"/>
      <c r="AE783" s="7"/>
      <c r="AF783" s="7"/>
      <c r="AG783" s="8">
        <f t="shared" si="12"/>
        <v>43327</v>
      </c>
    </row>
    <row r="784" spans="1:33">
      <c r="A784" s="7" t="s">
        <v>4326</v>
      </c>
      <c r="B784" s="7" t="s">
        <v>4326</v>
      </c>
      <c r="C784" s="7" t="s">
        <v>4327</v>
      </c>
      <c r="D784" s="7" t="s">
        <v>4328</v>
      </c>
      <c r="E784" s="7" t="s">
        <v>33</v>
      </c>
      <c r="F784" s="7" t="s">
        <v>34</v>
      </c>
      <c r="G784" s="7" t="s">
        <v>35</v>
      </c>
      <c r="H784" s="7"/>
      <c r="I784" s="7"/>
      <c r="J784" s="7" t="s">
        <v>36</v>
      </c>
      <c r="K784" s="7" t="s">
        <v>90</v>
      </c>
      <c r="L784" s="7" t="s">
        <v>540</v>
      </c>
      <c r="M784" s="7" t="s">
        <v>541</v>
      </c>
      <c r="N784" s="7" t="s">
        <v>33</v>
      </c>
      <c r="O784" s="7">
        <v>1</v>
      </c>
      <c r="P784" s="7" t="s">
        <v>40</v>
      </c>
      <c r="Q784" s="7">
        <v>12.99</v>
      </c>
      <c r="R784" s="7"/>
      <c r="S784" s="7"/>
      <c r="T784" s="7"/>
      <c r="U784" s="7"/>
      <c r="V784" s="7"/>
      <c r="W784" s="7"/>
      <c r="X784" s="7"/>
      <c r="Y784" s="7" t="s">
        <v>4329</v>
      </c>
      <c r="Z784" s="7" t="s">
        <v>1194</v>
      </c>
      <c r="AA784" s="7" t="s">
        <v>4330</v>
      </c>
      <c r="AB784" s="7" t="s">
        <v>43</v>
      </c>
      <c r="AC784" s="7"/>
      <c r="AD784" s="7"/>
      <c r="AE784" s="7"/>
      <c r="AF784" s="7"/>
      <c r="AG784" s="8">
        <f t="shared" si="12"/>
        <v>43327</v>
      </c>
    </row>
    <row r="785" spans="1:33">
      <c r="A785" s="7" t="s">
        <v>4331</v>
      </c>
      <c r="B785" s="7" t="s">
        <v>4331</v>
      </c>
      <c r="C785" s="7" t="s">
        <v>4332</v>
      </c>
      <c r="D785" s="7" t="s">
        <v>4333</v>
      </c>
      <c r="E785" s="7" t="s">
        <v>33</v>
      </c>
      <c r="F785" s="7" t="s">
        <v>34</v>
      </c>
      <c r="G785" s="7" t="s">
        <v>35</v>
      </c>
      <c r="H785" s="7"/>
      <c r="I785" s="7"/>
      <c r="J785" s="7" t="s">
        <v>64</v>
      </c>
      <c r="K785" s="7" t="s">
        <v>37</v>
      </c>
      <c r="L785" s="7" t="s">
        <v>82</v>
      </c>
      <c r="M785" s="7" t="s">
        <v>83</v>
      </c>
      <c r="N785" s="7" t="s">
        <v>33</v>
      </c>
      <c r="O785" s="7">
        <v>1</v>
      </c>
      <c r="P785" s="7" t="s">
        <v>40</v>
      </c>
      <c r="Q785" s="7">
        <v>19.99</v>
      </c>
      <c r="R785" s="7"/>
      <c r="S785" s="7">
        <v>3.99</v>
      </c>
      <c r="T785" s="7"/>
      <c r="U785" s="7"/>
      <c r="V785" s="7"/>
      <c r="W785" s="7"/>
      <c r="X785" s="7"/>
      <c r="Y785" s="7" t="s">
        <v>4334</v>
      </c>
      <c r="Z785" s="7" t="s">
        <v>69</v>
      </c>
      <c r="AA785" s="7" t="s">
        <v>4335</v>
      </c>
      <c r="AB785" s="7" t="s">
        <v>43</v>
      </c>
      <c r="AC785" s="7"/>
      <c r="AD785" s="7"/>
      <c r="AE785" s="7"/>
      <c r="AF785" s="7"/>
      <c r="AG785" s="8">
        <f t="shared" si="12"/>
        <v>43327</v>
      </c>
    </row>
    <row r="786" spans="1:33">
      <c r="A786" s="7" t="s">
        <v>4331</v>
      </c>
      <c r="B786" s="7" t="s">
        <v>4331</v>
      </c>
      <c r="C786" s="7" t="s">
        <v>4332</v>
      </c>
      <c r="D786" s="7" t="s">
        <v>4333</v>
      </c>
      <c r="E786" s="7" t="s">
        <v>33</v>
      </c>
      <c r="F786" s="7" t="s">
        <v>34</v>
      </c>
      <c r="G786" s="7" t="s">
        <v>35</v>
      </c>
      <c r="H786" s="7"/>
      <c r="I786" s="7"/>
      <c r="J786" s="7" t="s">
        <v>64</v>
      </c>
      <c r="K786" s="7" t="s">
        <v>155</v>
      </c>
      <c r="L786" s="7" t="s">
        <v>2103</v>
      </c>
      <c r="M786" s="7" t="s">
        <v>2104</v>
      </c>
      <c r="N786" s="7" t="s">
        <v>33</v>
      </c>
      <c r="O786" s="7">
        <v>1</v>
      </c>
      <c r="P786" s="7" t="s">
        <v>40</v>
      </c>
      <c r="Q786" s="7">
        <v>19.99</v>
      </c>
      <c r="R786" s="7"/>
      <c r="S786" s="7">
        <v>3.99</v>
      </c>
      <c r="T786" s="7"/>
      <c r="U786" s="7"/>
      <c r="V786" s="7"/>
      <c r="W786" s="7"/>
      <c r="X786" s="7"/>
      <c r="Y786" s="7" t="s">
        <v>4334</v>
      </c>
      <c r="Z786" s="7" t="s">
        <v>69</v>
      </c>
      <c r="AA786" s="7" t="s">
        <v>4335</v>
      </c>
      <c r="AB786" s="7" t="s">
        <v>43</v>
      </c>
      <c r="AC786" s="7"/>
      <c r="AD786" s="7"/>
      <c r="AE786" s="7"/>
      <c r="AF786" s="7"/>
      <c r="AG786" s="8">
        <f t="shared" si="12"/>
        <v>43327</v>
      </c>
    </row>
    <row r="787" spans="1:33">
      <c r="A787" s="7" t="s">
        <v>4336</v>
      </c>
      <c r="B787" s="7" t="s">
        <v>4336</v>
      </c>
      <c r="C787" s="7" t="s">
        <v>4337</v>
      </c>
      <c r="D787" s="7" t="s">
        <v>4338</v>
      </c>
      <c r="E787" s="7" t="s">
        <v>33</v>
      </c>
      <c r="F787" s="7" t="s">
        <v>34</v>
      </c>
      <c r="G787" s="7" t="s">
        <v>35</v>
      </c>
      <c r="H787" s="7"/>
      <c r="I787" s="7"/>
      <c r="J787" s="7" t="s">
        <v>36</v>
      </c>
      <c r="K787" s="7" t="s">
        <v>497</v>
      </c>
      <c r="L787" s="7" t="s">
        <v>1741</v>
      </c>
      <c r="M787" s="7" t="s">
        <v>1742</v>
      </c>
      <c r="N787" s="7" t="s">
        <v>33</v>
      </c>
      <c r="O787" s="7">
        <v>1</v>
      </c>
      <c r="P787" s="7" t="s">
        <v>40</v>
      </c>
      <c r="Q787" s="7">
        <v>19.99</v>
      </c>
      <c r="R787" s="7"/>
      <c r="S787" s="7"/>
      <c r="T787" s="7"/>
      <c r="U787" s="7"/>
      <c r="V787" s="7"/>
      <c r="W787" s="7"/>
      <c r="X787" s="7"/>
      <c r="Y787" s="7" t="s">
        <v>302</v>
      </c>
      <c r="Z787" s="7" t="s">
        <v>59</v>
      </c>
      <c r="AA787" s="7" t="s">
        <v>4339</v>
      </c>
      <c r="AB787" s="7" t="s">
        <v>43</v>
      </c>
      <c r="AC787" s="7"/>
      <c r="AD787" s="7"/>
      <c r="AE787" s="7"/>
      <c r="AF787" s="7"/>
      <c r="AG787" s="8">
        <f t="shared" si="12"/>
        <v>43327</v>
      </c>
    </row>
    <row r="788" spans="1:33">
      <c r="A788" s="7" t="s">
        <v>4340</v>
      </c>
      <c r="B788" s="7" t="s">
        <v>4340</v>
      </c>
      <c r="C788" s="7" t="s">
        <v>4341</v>
      </c>
      <c r="D788" s="7" t="s">
        <v>4342</v>
      </c>
      <c r="E788" s="7" t="s">
        <v>33</v>
      </c>
      <c r="F788" s="7" t="s">
        <v>34</v>
      </c>
      <c r="G788" s="7" t="s">
        <v>35</v>
      </c>
      <c r="H788" s="7"/>
      <c r="I788" s="7"/>
      <c r="J788" s="7" t="s">
        <v>336</v>
      </c>
      <c r="K788" s="7" t="s">
        <v>90</v>
      </c>
      <c r="L788" s="7" t="s">
        <v>540</v>
      </c>
      <c r="M788" s="7" t="s">
        <v>541</v>
      </c>
      <c r="N788" s="7" t="s">
        <v>33</v>
      </c>
      <c r="O788" s="7">
        <v>1</v>
      </c>
      <c r="P788" s="7" t="s">
        <v>40</v>
      </c>
      <c r="Q788" s="7">
        <v>12.99</v>
      </c>
      <c r="R788" s="7"/>
      <c r="S788" s="7">
        <v>5.99</v>
      </c>
      <c r="T788" s="7"/>
      <c r="U788" s="7"/>
      <c r="V788" s="7"/>
      <c r="W788" s="7"/>
      <c r="X788" s="7"/>
      <c r="Y788" s="7" t="s">
        <v>4343</v>
      </c>
      <c r="Z788" s="7" t="s">
        <v>345</v>
      </c>
      <c r="AA788" s="7" t="s">
        <v>4344</v>
      </c>
      <c r="AB788" s="7" t="s">
        <v>43</v>
      </c>
      <c r="AC788" s="7"/>
      <c r="AD788" s="7"/>
      <c r="AE788" s="7"/>
      <c r="AF788" s="7"/>
      <c r="AG788" s="8">
        <f t="shared" si="12"/>
        <v>43327</v>
      </c>
    </row>
    <row r="789" spans="1:33">
      <c r="A789" s="7" t="s">
        <v>4345</v>
      </c>
      <c r="B789" s="7" t="s">
        <v>4345</v>
      </c>
      <c r="C789" s="7" t="s">
        <v>4346</v>
      </c>
      <c r="D789" s="7" t="s">
        <v>4347</v>
      </c>
      <c r="E789" s="7" t="s">
        <v>33</v>
      </c>
      <c r="F789" s="7" t="s">
        <v>34</v>
      </c>
      <c r="G789" s="7" t="s">
        <v>35</v>
      </c>
      <c r="H789" s="7"/>
      <c r="I789" s="7"/>
      <c r="J789" s="7" t="s">
        <v>36</v>
      </c>
      <c r="K789" s="7" t="s">
        <v>90</v>
      </c>
      <c r="L789" s="7" t="s">
        <v>140</v>
      </c>
      <c r="M789" s="7" t="s">
        <v>141</v>
      </c>
      <c r="N789" s="7" t="s">
        <v>33</v>
      </c>
      <c r="O789" s="7">
        <v>1</v>
      </c>
      <c r="P789" s="7" t="s">
        <v>40</v>
      </c>
      <c r="Q789" s="7">
        <v>12.99</v>
      </c>
      <c r="R789" s="7"/>
      <c r="S789" s="7"/>
      <c r="T789" s="7"/>
      <c r="U789" s="7"/>
      <c r="V789" s="7"/>
      <c r="W789" s="7"/>
      <c r="X789" s="7"/>
      <c r="Y789" s="7" t="s">
        <v>4348</v>
      </c>
      <c r="Z789" s="7" t="s">
        <v>135</v>
      </c>
      <c r="AA789" s="7" t="s">
        <v>4349</v>
      </c>
      <c r="AB789" s="7" t="s">
        <v>43</v>
      </c>
      <c r="AC789" s="7"/>
      <c r="AD789" s="7"/>
      <c r="AE789" s="7"/>
      <c r="AF789" s="7"/>
      <c r="AG789" s="8">
        <f t="shared" si="12"/>
        <v>43327</v>
      </c>
    </row>
    <row r="790" spans="1:33">
      <c r="A790" s="7" t="s">
        <v>4350</v>
      </c>
      <c r="B790" s="7" t="s">
        <v>4350</v>
      </c>
      <c r="C790" s="7" t="s">
        <v>4351</v>
      </c>
      <c r="D790" s="7" t="s">
        <v>4352</v>
      </c>
      <c r="E790" s="7" t="s">
        <v>33</v>
      </c>
      <c r="F790" s="7" t="s">
        <v>34</v>
      </c>
      <c r="G790" s="7" t="s">
        <v>35</v>
      </c>
      <c r="H790" s="7"/>
      <c r="I790" s="7"/>
      <c r="J790" s="7" t="s">
        <v>36</v>
      </c>
      <c r="K790" s="7" t="s">
        <v>472</v>
      </c>
      <c r="L790" s="7" t="s">
        <v>4353</v>
      </c>
      <c r="M790" s="7" t="s">
        <v>4354</v>
      </c>
      <c r="N790" s="7" t="s">
        <v>33</v>
      </c>
      <c r="O790" s="7">
        <v>1</v>
      </c>
      <c r="P790" s="7" t="s">
        <v>40</v>
      </c>
      <c r="Q790" s="7">
        <v>16.99</v>
      </c>
      <c r="R790" s="7"/>
      <c r="S790" s="7"/>
      <c r="T790" s="7"/>
      <c r="U790" s="7"/>
      <c r="V790" s="7"/>
      <c r="W790" s="7"/>
      <c r="X790" s="7"/>
      <c r="Y790" s="7" t="s">
        <v>4355</v>
      </c>
      <c r="Z790" s="7" t="s">
        <v>4356</v>
      </c>
      <c r="AA790" s="7" t="s">
        <v>4357</v>
      </c>
      <c r="AB790" s="7" t="s">
        <v>43</v>
      </c>
      <c r="AC790" s="7"/>
      <c r="AD790" s="7"/>
      <c r="AE790" s="7"/>
      <c r="AF790" s="7"/>
      <c r="AG790" s="8">
        <f t="shared" si="12"/>
        <v>43327</v>
      </c>
    </row>
    <row r="791" spans="1:33">
      <c r="A791" s="7" t="s">
        <v>4358</v>
      </c>
      <c r="B791" s="7" t="s">
        <v>4358</v>
      </c>
      <c r="C791" s="7" t="s">
        <v>4359</v>
      </c>
      <c r="D791" s="7" t="s">
        <v>4360</v>
      </c>
      <c r="E791" s="7" t="s">
        <v>33</v>
      </c>
      <c r="F791" s="7" t="s">
        <v>34</v>
      </c>
      <c r="G791" s="7" t="s">
        <v>35</v>
      </c>
      <c r="H791" s="7"/>
      <c r="I791" s="7"/>
      <c r="J791" s="7" t="s">
        <v>36</v>
      </c>
      <c r="K791" s="7" t="s">
        <v>125</v>
      </c>
      <c r="L791" s="7" t="s">
        <v>126</v>
      </c>
      <c r="M791" s="7" t="s">
        <v>127</v>
      </c>
      <c r="N791" s="7" t="s">
        <v>33</v>
      </c>
      <c r="O791" s="7">
        <v>1</v>
      </c>
      <c r="P791" s="7" t="s">
        <v>40</v>
      </c>
      <c r="Q791" s="7">
        <v>18.99</v>
      </c>
      <c r="R791" s="7"/>
      <c r="S791" s="7"/>
      <c r="T791" s="7"/>
      <c r="U791" s="7"/>
      <c r="V791" s="7"/>
      <c r="W791" s="7"/>
      <c r="X791" s="7"/>
      <c r="Y791" s="7" t="s">
        <v>4361</v>
      </c>
      <c r="Z791" s="7" t="s">
        <v>345</v>
      </c>
      <c r="AA791" s="7">
        <v>1460</v>
      </c>
      <c r="AB791" s="7" t="s">
        <v>43</v>
      </c>
      <c r="AC791" s="7"/>
      <c r="AD791" s="7"/>
      <c r="AE791" s="7"/>
      <c r="AF791" s="7"/>
      <c r="AG791" s="8">
        <f t="shared" si="12"/>
        <v>43327</v>
      </c>
    </row>
    <row r="792" spans="1:33">
      <c r="A792" s="7" t="s">
        <v>4362</v>
      </c>
      <c r="B792" s="7" t="s">
        <v>4362</v>
      </c>
      <c r="C792" s="7" t="s">
        <v>4363</v>
      </c>
      <c r="D792" s="7" t="s">
        <v>4364</v>
      </c>
      <c r="E792" s="7" t="s">
        <v>33</v>
      </c>
      <c r="F792" s="7" t="s">
        <v>34</v>
      </c>
      <c r="G792" s="7" t="s">
        <v>35</v>
      </c>
      <c r="H792" s="7"/>
      <c r="I792" s="7"/>
      <c r="J792" s="7" t="s">
        <v>36</v>
      </c>
      <c r="K792" s="7" t="s">
        <v>125</v>
      </c>
      <c r="L792" s="7" t="s">
        <v>126</v>
      </c>
      <c r="M792" s="7" t="s">
        <v>127</v>
      </c>
      <c r="N792" s="7" t="s">
        <v>33</v>
      </c>
      <c r="O792" s="7">
        <v>1</v>
      </c>
      <c r="P792" s="7" t="s">
        <v>40</v>
      </c>
      <c r="Q792" s="7">
        <v>18.99</v>
      </c>
      <c r="R792" s="7"/>
      <c r="S792" s="7"/>
      <c r="T792" s="7"/>
      <c r="U792" s="7"/>
      <c r="V792" s="7"/>
      <c r="W792" s="7"/>
      <c r="X792" s="7"/>
      <c r="Y792" s="7" t="s">
        <v>4365</v>
      </c>
      <c r="Z792" s="7" t="s">
        <v>51</v>
      </c>
      <c r="AA792" s="7" t="s">
        <v>4366</v>
      </c>
      <c r="AB792" s="7" t="s">
        <v>43</v>
      </c>
      <c r="AC792" s="7"/>
      <c r="AD792" s="7"/>
      <c r="AE792" s="7"/>
      <c r="AF792" s="7"/>
      <c r="AG792" s="8">
        <f t="shared" si="12"/>
        <v>43327</v>
      </c>
    </row>
    <row r="793" spans="1:33">
      <c r="A793" s="7" t="s">
        <v>4367</v>
      </c>
      <c r="B793" s="7" t="s">
        <v>4367</v>
      </c>
      <c r="C793" s="7" t="s">
        <v>4368</v>
      </c>
      <c r="D793" s="7" t="s">
        <v>4369</v>
      </c>
      <c r="E793" s="7" t="s">
        <v>33</v>
      </c>
      <c r="F793" s="7" t="s">
        <v>34</v>
      </c>
      <c r="G793" s="7" t="s">
        <v>35</v>
      </c>
      <c r="H793" s="7"/>
      <c r="I793" s="7"/>
      <c r="J793" s="7" t="s">
        <v>36</v>
      </c>
      <c r="K793" s="7" t="s">
        <v>617</v>
      </c>
      <c r="L793" s="7" t="s">
        <v>618</v>
      </c>
      <c r="M793" s="7" t="s">
        <v>619</v>
      </c>
      <c r="N793" s="7" t="s">
        <v>33</v>
      </c>
      <c r="O793" s="7">
        <v>1</v>
      </c>
      <c r="P793" s="7" t="s">
        <v>40</v>
      </c>
      <c r="Q793" s="7">
        <v>18.99</v>
      </c>
      <c r="R793" s="7"/>
      <c r="S793" s="7"/>
      <c r="T793" s="7"/>
      <c r="U793" s="7"/>
      <c r="V793" s="7"/>
      <c r="W793" s="7"/>
      <c r="X793" s="7"/>
      <c r="Y793" s="7" t="s">
        <v>4370</v>
      </c>
      <c r="Z793" s="7" t="s">
        <v>94</v>
      </c>
      <c r="AA793" s="7" t="s">
        <v>4371</v>
      </c>
      <c r="AB793" s="7" t="s">
        <v>43</v>
      </c>
      <c r="AC793" s="7"/>
      <c r="AD793" s="7"/>
      <c r="AE793" s="7"/>
      <c r="AF793" s="7"/>
      <c r="AG793" s="8">
        <f t="shared" si="12"/>
        <v>43327</v>
      </c>
    </row>
    <row r="794" spans="1:33">
      <c r="A794" s="7" t="s">
        <v>4372</v>
      </c>
      <c r="B794" s="7" t="s">
        <v>4372</v>
      </c>
      <c r="C794" s="7" t="s">
        <v>4373</v>
      </c>
      <c r="D794" s="7" t="s">
        <v>4374</v>
      </c>
      <c r="E794" s="7" t="s">
        <v>33</v>
      </c>
      <c r="F794" s="7" t="s">
        <v>34</v>
      </c>
      <c r="G794" s="7" t="s">
        <v>35</v>
      </c>
      <c r="H794" s="7"/>
      <c r="I794" s="7"/>
      <c r="J794" s="7" t="s">
        <v>36</v>
      </c>
      <c r="K794" s="7" t="s">
        <v>2328</v>
      </c>
      <c r="L794" s="7" t="s">
        <v>2329</v>
      </c>
      <c r="M794" s="7" t="s">
        <v>2330</v>
      </c>
      <c r="N794" s="7" t="s">
        <v>33</v>
      </c>
      <c r="O794" s="7">
        <v>1</v>
      </c>
      <c r="P794" s="7" t="s">
        <v>40</v>
      </c>
      <c r="Q794" s="7">
        <v>17.99</v>
      </c>
      <c r="R794" s="7"/>
      <c r="S794" s="7"/>
      <c r="T794" s="7"/>
      <c r="U794" s="7"/>
      <c r="V794" s="7"/>
      <c r="W794" s="7"/>
      <c r="X794" s="7"/>
      <c r="Y794" s="7" t="s">
        <v>4375</v>
      </c>
      <c r="Z794" s="7" t="s">
        <v>194</v>
      </c>
      <c r="AA794" s="7" t="s">
        <v>4376</v>
      </c>
      <c r="AB794" s="7" t="s">
        <v>43</v>
      </c>
      <c r="AC794" s="7"/>
      <c r="AD794" s="7"/>
      <c r="AE794" s="7"/>
      <c r="AF794" s="7"/>
      <c r="AG794" s="8">
        <f t="shared" si="12"/>
        <v>43327</v>
      </c>
    </row>
    <row r="795" spans="1:33">
      <c r="A795" s="7" t="s">
        <v>4377</v>
      </c>
      <c r="B795" s="7" t="s">
        <v>4377</v>
      </c>
      <c r="C795" s="7" t="s">
        <v>4378</v>
      </c>
      <c r="D795" s="7" t="s">
        <v>4379</v>
      </c>
      <c r="E795" s="7" t="s">
        <v>33</v>
      </c>
      <c r="F795" s="7" t="s">
        <v>34</v>
      </c>
      <c r="G795" s="7" t="s">
        <v>35</v>
      </c>
      <c r="H795" s="7"/>
      <c r="I795" s="7"/>
      <c r="J795" s="7" t="s">
        <v>36</v>
      </c>
      <c r="K795" s="7" t="s">
        <v>255</v>
      </c>
      <c r="L795" s="7" t="s">
        <v>277</v>
      </c>
      <c r="M795" s="7" t="s">
        <v>278</v>
      </c>
      <c r="N795" s="7" t="s">
        <v>33</v>
      </c>
      <c r="O795" s="7">
        <v>1</v>
      </c>
      <c r="P795" s="7" t="s">
        <v>40</v>
      </c>
      <c r="Q795" s="7">
        <v>19.99</v>
      </c>
      <c r="R795" s="7"/>
      <c r="S795" s="7"/>
      <c r="T795" s="7"/>
      <c r="U795" s="7"/>
      <c r="V795" s="7"/>
      <c r="W795" s="7"/>
      <c r="X795" s="7"/>
      <c r="Y795" s="7" t="s">
        <v>2381</v>
      </c>
      <c r="Z795" s="7" t="s">
        <v>165</v>
      </c>
      <c r="AA795" s="7" t="s">
        <v>4380</v>
      </c>
      <c r="AB795" s="7" t="s">
        <v>43</v>
      </c>
      <c r="AC795" s="7"/>
      <c r="AD795" s="7"/>
      <c r="AE795" s="7"/>
      <c r="AF795" s="7"/>
      <c r="AG795" s="8">
        <f t="shared" si="12"/>
        <v>43327</v>
      </c>
    </row>
    <row r="796" spans="1:33">
      <c r="A796" s="7" t="s">
        <v>4381</v>
      </c>
      <c r="B796" s="7" t="s">
        <v>4381</v>
      </c>
      <c r="C796" s="7" t="s">
        <v>4382</v>
      </c>
      <c r="D796" s="7" t="s">
        <v>4383</v>
      </c>
      <c r="E796" s="7" t="s">
        <v>33</v>
      </c>
      <c r="F796" s="7" t="s">
        <v>34</v>
      </c>
      <c r="G796" s="7" t="s">
        <v>35</v>
      </c>
      <c r="H796" s="7"/>
      <c r="I796" s="7"/>
      <c r="J796" s="7" t="s">
        <v>36</v>
      </c>
      <c r="K796" s="7" t="s">
        <v>255</v>
      </c>
      <c r="L796" s="7" t="s">
        <v>256</v>
      </c>
      <c r="M796" s="7" t="s">
        <v>257</v>
      </c>
      <c r="N796" s="7" t="s">
        <v>33</v>
      </c>
      <c r="O796" s="7">
        <v>1</v>
      </c>
      <c r="P796" s="7" t="s">
        <v>40</v>
      </c>
      <c r="Q796" s="7">
        <v>19.99</v>
      </c>
      <c r="R796" s="7"/>
      <c r="S796" s="7"/>
      <c r="T796" s="7"/>
      <c r="U796" s="7"/>
      <c r="V796" s="7"/>
      <c r="W796" s="7"/>
      <c r="X796" s="7"/>
      <c r="Y796" s="7" t="s">
        <v>4384</v>
      </c>
      <c r="Z796" s="7" t="s">
        <v>4385</v>
      </c>
      <c r="AA796" s="7" t="s">
        <v>4386</v>
      </c>
      <c r="AB796" s="7" t="s">
        <v>43</v>
      </c>
      <c r="AC796" s="7"/>
      <c r="AD796" s="7"/>
      <c r="AE796" s="7"/>
      <c r="AF796" s="7"/>
      <c r="AG796" s="8">
        <f t="shared" si="12"/>
        <v>43327</v>
      </c>
    </row>
    <row r="797" spans="1:33">
      <c r="A797" s="7" t="s">
        <v>4387</v>
      </c>
      <c r="B797" s="7" t="s">
        <v>4387</v>
      </c>
      <c r="C797" s="7" t="s">
        <v>4388</v>
      </c>
      <c r="D797" s="7" t="s">
        <v>4389</v>
      </c>
      <c r="E797" s="7" t="s">
        <v>33</v>
      </c>
      <c r="F797" s="7" t="s">
        <v>34</v>
      </c>
      <c r="G797" s="7" t="s">
        <v>35</v>
      </c>
      <c r="H797" s="7"/>
      <c r="I797" s="7"/>
      <c r="J797" s="7" t="s">
        <v>36</v>
      </c>
      <c r="K797" s="7" t="s">
        <v>456</v>
      </c>
      <c r="L797" s="7" t="s">
        <v>1481</v>
      </c>
      <c r="M797" s="7" t="s">
        <v>1482</v>
      </c>
      <c r="N797" s="7" t="s">
        <v>33</v>
      </c>
      <c r="O797" s="7">
        <v>1</v>
      </c>
      <c r="P797" s="7" t="s">
        <v>40</v>
      </c>
      <c r="Q797" s="7">
        <v>12.99</v>
      </c>
      <c r="R797" s="7"/>
      <c r="S797" s="7"/>
      <c r="T797" s="7"/>
      <c r="U797" s="7"/>
      <c r="V797" s="7"/>
      <c r="W797" s="7"/>
      <c r="X797" s="7"/>
      <c r="Y797" s="7" t="s">
        <v>4390</v>
      </c>
      <c r="Z797" s="7" t="s">
        <v>135</v>
      </c>
      <c r="AA797" s="7" t="s">
        <v>4391</v>
      </c>
      <c r="AB797" s="7" t="s">
        <v>43</v>
      </c>
      <c r="AC797" s="7"/>
      <c r="AD797" s="7"/>
      <c r="AE797" s="7"/>
      <c r="AF797" s="7"/>
      <c r="AG797" s="8">
        <f t="shared" si="12"/>
        <v>43327</v>
      </c>
    </row>
    <row r="798" spans="1:33">
      <c r="A798" s="7" t="s">
        <v>4392</v>
      </c>
      <c r="B798" s="7" t="s">
        <v>4392</v>
      </c>
      <c r="C798" s="7" t="s">
        <v>4393</v>
      </c>
      <c r="D798" s="7" t="s">
        <v>4394</v>
      </c>
      <c r="E798" s="7" t="s">
        <v>33</v>
      </c>
      <c r="F798" s="7" t="s">
        <v>34</v>
      </c>
      <c r="G798" s="7" t="s">
        <v>35</v>
      </c>
      <c r="H798" s="7"/>
      <c r="I798" s="7"/>
      <c r="J798" s="7" t="s">
        <v>36</v>
      </c>
      <c r="K798" s="7" t="s">
        <v>232</v>
      </c>
      <c r="L798" s="7" t="s">
        <v>233</v>
      </c>
      <c r="M798" s="7" t="s">
        <v>234</v>
      </c>
      <c r="N798" s="7" t="s">
        <v>33</v>
      </c>
      <c r="O798" s="7">
        <v>1</v>
      </c>
      <c r="P798" s="7" t="s">
        <v>40</v>
      </c>
      <c r="Q798" s="7">
        <v>21.99</v>
      </c>
      <c r="R798" s="7">
        <v>1.32</v>
      </c>
      <c r="S798" s="7"/>
      <c r="T798" s="7"/>
      <c r="U798" s="7"/>
      <c r="V798" s="7"/>
      <c r="W798" s="7"/>
      <c r="X798" s="7"/>
      <c r="Y798" s="7" t="s">
        <v>4395</v>
      </c>
      <c r="Z798" s="7" t="s">
        <v>42</v>
      </c>
      <c r="AA798" s="7">
        <v>19057</v>
      </c>
      <c r="AB798" s="7" t="s">
        <v>43</v>
      </c>
      <c r="AC798" s="7"/>
      <c r="AD798" s="7"/>
      <c r="AE798" s="7"/>
      <c r="AF798" s="7"/>
      <c r="AG798" s="8">
        <f t="shared" si="12"/>
        <v>43327</v>
      </c>
    </row>
    <row r="799" spans="1:33">
      <c r="A799" s="7" t="s">
        <v>4396</v>
      </c>
      <c r="B799" s="7" t="s">
        <v>4396</v>
      </c>
      <c r="C799" s="7" t="s">
        <v>4397</v>
      </c>
      <c r="D799" s="7" t="s">
        <v>4398</v>
      </c>
      <c r="E799" s="7" t="s">
        <v>33</v>
      </c>
      <c r="F799" s="7" t="s">
        <v>34</v>
      </c>
      <c r="G799" s="7" t="s">
        <v>35</v>
      </c>
      <c r="H799" s="7"/>
      <c r="I799" s="7"/>
      <c r="J799" s="7" t="s">
        <v>36</v>
      </c>
      <c r="K799" s="7" t="s">
        <v>388</v>
      </c>
      <c r="L799" s="7" t="s">
        <v>1488</v>
      </c>
      <c r="M799" s="7" t="s">
        <v>1489</v>
      </c>
      <c r="N799" s="7" t="s">
        <v>33</v>
      </c>
      <c r="O799" s="7">
        <v>1</v>
      </c>
      <c r="P799" s="7" t="s">
        <v>40</v>
      </c>
      <c r="Q799" s="7">
        <v>19.38</v>
      </c>
      <c r="R799" s="7"/>
      <c r="S799" s="7"/>
      <c r="T799" s="7"/>
      <c r="U799" s="7"/>
      <c r="V799" s="7"/>
      <c r="W799" s="7"/>
      <c r="X799" s="7"/>
      <c r="Y799" s="7" t="s">
        <v>1658</v>
      </c>
      <c r="Z799" s="7" t="s">
        <v>135</v>
      </c>
      <c r="AA799" s="7" t="s">
        <v>4399</v>
      </c>
      <c r="AB799" s="7" t="s">
        <v>43</v>
      </c>
      <c r="AC799" s="7"/>
      <c r="AD799" s="7"/>
      <c r="AE799" s="7"/>
      <c r="AF799" s="7"/>
      <c r="AG799" s="8">
        <f t="shared" si="12"/>
        <v>43327</v>
      </c>
    </row>
    <row r="800" spans="1:33">
      <c r="A800" s="7" t="s">
        <v>4396</v>
      </c>
      <c r="B800" s="7" t="s">
        <v>4396</v>
      </c>
      <c r="C800" s="7" t="s">
        <v>4397</v>
      </c>
      <c r="D800" s="7" t="s">
        <v>4398</v>
      </c>
      <c r="E800" s="7" t="s">
        <v>33</v>
      </c>
      <c r="F800" s="7" t="s">
        <v>34</v>
      </c>
      <c r="G800" s="7" t="s">
        <v>35</v>
      </c>
      <c r="H800" s="7"/>
      <c r="I800" s="7"/>
      <c r="J800" s="7" t="s">
        <v>36</v>
      </c>
      <c r="K800" s="7" t="s">
        <v>388</v>
      </c>
      <c r="L800" s="7" t="s">
        <v>389</v>
      </c>
      <c r="M800" s="7" t="s">
        <v>390</v>
      </c>
      <c r="N800" s="7" t="s">
        <v>33</v>
      </c>
      <c r="O800" s="7">
        <v>1</v>
      </c>
      <c r="P800" s="7" t="s">
        <v>40</v>
      </c>
      <c r="Q800" s="7">
        <v>19.38</v>
      </c>
      <c r="R800" s="7"/>
      <c r="S800" s="7"/>
      <c r="T800" s="7"/>
      <c r="U800" s="7"/>
      <c r="V800" s="7"/>
      <c r="W800" s="7"/>
      <c r="X800" s="7"/>
      <c r="Y800" s="7" t="s">
        <v>1658</v>
      </c>
      <c r="Z800" s="7" t="s">
        <v>135</v>
      </c>
      <c r="AA800" s="7" t="s">
        <v>4399</v>
      </c>
      <c r="AB800" s="7" t="s">
        <v>43</v>
      </c>
      <c r="AC800" s="7"/>
      <c r="AD800" s="7"/>
      <c r="AE800" s="7"/>
      <c r="AF800" s="7"/>
      <c r="AG800" s="8">
        <f t="shared" si="12"/>
        <v>43327</v>
      </c>
    </row>
    <row r="801" spans="1:33">
      <c r="A801" s="7" t="s">
        <v>4400</v>
      </c>
      <c r="B801" s="7" t="s">
        <v>4400</v>
      </c>
      <c r="C801" s="7" t="s">
        <v>4401</v>
      </c>
      <c r="D801" s="7" t="s">
        <v>4402</v>
      </c>
      <c r="E801" s="7" t="s">
        <v>33</v>
      </c>
      <c r="F801" s="7" t="s">
        <v>34</v>
      </c>
      <c r="G801" s="7" t="s">
        <v>35</v>
      </c>
      <c r="H801" s="7"/>
      <c r="I801" s="7"/>
      <c r="J801" s="7" t="s">
        <v>36</v>
      </c>
      <c r="K801" s="7" t="s">
        <v>2653</v>
      </c>
      <c r="L801" s="7" t="s">
        <v>2654</v>
      </c>
      <c r="M801" s="7" t="s">
        <v>2655</v>
      </c>
      <c r="N801" s="7" t="s">
        <v>33</v>
      </c>
      <c r="O801" s="7">
        <v>1</v>
      </c>
      <c r="P801" s="7" t="s">
        <v>40</v>
      </c>
      <c r="Q801" s="7">
        <v>17.99</v>
      </c>
      <c r="R801" s="7"/>
      <c r="S801" s="7"/>
      <c r="T801" s="7"/>
      <c r="U801" s="7"/>
      <c r="V801" s="7"/>
      <c r="W801" s="7"/>
      <c r="X801" s="7"/>
      <c r="Y801" s="7" t="s">
        <v>4403</v>
      </c>
      <c r="Z801" s="7" t="s">
        <v>287</v>
      </c>
      <c r="AA801" s="7" t="s">
        <v>4404</v>
      </c>
      <c r="AB801" s="7" t="s">
        <v>43</v>
      </c>
      <c r="AC801" s="7"/>
      <c r="AD801" s="7"/>
      <c r="AE801" s="7"/>
      <c r="AF801" s="7"/>
      <c r="AG801" s="8">
        <f t="shared" si="12"/>
        <v>43327</v>
      </c>
    </row>
    <row r="802" spans="1:33">
      <c r="A802" s="7" t="s">
        <v>4405</v>
      </c>
      <c r="B802" s="7" t="s">
        <v>4405</v>
      </c>
      <c r="C802" s="7" t="s">
        <v>4406</v>
      </c>
      <c r="D802" s="7" t="s">
        <v>4407</v>
      </c>
      <c r="E802" s="7" t="s">
        <v>33</v>
      </c>
      <c r="F802" s="7" t="s">
        <v>34</v>
      </c>
      <c r="G802" s="7" t="s">
        <v>35</v>
      </c>
      <c r="H802" s="7"/>
      <c r="I802" s="7"/>
      <c r="J802" s="7" t="s">
        <v>36</v>
      </c>
      <c r="K802" s="7" t="s">
        <v>170</v>
      </c>
      <c r="L802" s="7" t="s">
        <v>315</v>
      </c>
      <c r="M802" s="7" t="s">
        <v>316</v>
      </c>
      <c r="N802" s="7" t="s">
        <v>33</v>
      </c>
      <c r="O802" s="7">
        <v>1</v>
      </c>
      <c r="P802" s="7" t="s">
        <v>40</v>
      </c>
      <c r="Q802" s="7">
        <v>19.38</v>
      </c>
      <c r="R802" s="7"/>
      <c r="S802" s="7"/>
      <c r="T802" s="7"/>
      <c r="U802" s="7"/>
      <c r="V802" s="7"/>
      <c r="W802" s="7"/>
      <c r="X802" s="7"/>
      <c r="Y802" s="7" t="s">
        <v>4408</v>
      </c>
      <c r="Z802" s="7" t="s">
        <v>69</v>
      </c>
      <c r="AA802" s="7" t="s">
        <v>4409</v>
      </c>
      <c r="AB802" s="7" t="s">
        <v>43</v>
      </c>
      <c r="AC802" s="7"/>
      <c r="AD802" s="7"/>
      <c r="AE802" s="7"/>
      <c r="AF802" s="7"/>
      <c r="AG802" s="8">
        <f t="shared" si="12"/>
        <v>43327</v>
      </c>
    </row>
    <row r="803" spans="1:33">
      <c r="A803" s="7" t="s">
        <v>4410</v>
      </c>
      <c r="B803" s="7" t="s">
        <v>4410</v>
      </c>
      <c r="C803" s="7" t="s">
        <v>4411</v>
      </c>
      <c r="D803" s="7" t="s">
        <v>4412</v>
      </c>
      <c r="E803" s="7" t="s">
        <v>33</v>
      </c>
      <c r="F803" s="7" t="s">
        <v>34</v>
      </c>
      <c r="G803" s="7" t="s">
        <v>35</v>
      </c>
      <c r="H803" s="7"/>
      <c r="I803" s="7"/>
      <c r="J803" s="7" t="s">
        <v>36</v>
      </c>
      <c r="K803" s="7" t="s">
        <v>247</v>
      </c>
      <c r="L803" s="7" t="s">
        <v>248</v>
      </c>
      <c r="M803" s="7" t="s">
        <v>249</v>
      </c>
      <c r="N803" s="7" t="s">
        <v>33</v>
      </c>
      <c r="O803" s="7">
        <v>1</v>
      </c>
      <c r="P803" s="7" t="s">
        <v>40</v>
      </c>
      <c r="Q803" s="7">
        <v>18.99</v>
      </c>
      <c r="R803" s="7">
        <v>1.14</v>
      </c>
      <c r="S803" s="7"/>
      <c r="T803" s="7"/>
      <c r="U803" s="7"/>
      <c r="V803" s="7"/>
      <c r="W803" s="7"/>
      <c r="X803" s="7"/>
      <c r="Y803" s="7" t="s">
        <v>4413</v>
      </c>
      <c r="Z803" s="7" t="s">
        <v>42</v>
      </c>
      <c r="AA803" s="7" t="s">
        <v>4414</v>
      </c>
      <c r="AB803" s="7" t="s">
        <v>43</v>
      </c>
      <c r="AC803" s="7"/>
      <c r="AD803" s="7"/>
      <c r="AE803" s="7"/>
      <c r="AF803" s="7"/>
      <c r="AG803" s="8">
        <f t="shared" si="12"/>
        <v>43327</v>
      </c>
    </row>
    <row r="804" spans="1:33">
      <c r="A804" s="7" t="s">
        <v>4415</v>
      </c>
      <c r="B804" s="7" t="s">
        <v>4415</v>
      </c>
      <c r="C804" s="7" t="s">
        <v>4416</v>
      </c>
      <c r="D804" s="7" t="s">
        <v>4417</v>
      </c>
      <c r="E804" s="7" t="s">
        <v>33</v>
      </c>
      <c r="F804" s="7" t="s">
        <v>34</v>
      </c>
      <c r="G804" s="7" t="s">
        <v>35</v>
      </c>
      <c r="H804" s="7"/>
      <c r="I804" s="7"/>
      <c r="J804" s="7" t="s">
        <v>36</v>
      </c>
      <c r="K804" s="7" t="s">
        <v>131</v>
      </c>
      <c r="L804" s="7" t="s">
        <v>132</v>
      </c>
      <c r="M804" s="7" t="s">
        <v>133</v>
      </c>
      <c r="N804" s="7" t="s">
        <v>33</v>
      </c>
      <c r="O804" s="7">
        <v>1</v>
      </c>
      <c r="P804" s="7" t="s">
        <v>40</v>
      </c>
      <c r="Q804" s="7">
        <v>18.99</v>
      </c>
      <c r="R804" s="7"/>
      <c r="S804" s="7"/>
      <c r="T804" s="7"/>
      <c r="U804" s="7"/>
      <c r="V804" s="7"/>
      <c r="W804" s="7"/>
      <c r="X804" s="7"/>
      <c r="Y804" s="7" t="s">
        <v>4418</v>
      </c>
      <c r="Z804" s="7" t="s">
        <v>69</v>
      </c>
      <c r="AA804" s="7">
        <v>23168</v>
      </c>
      <c r="AB804" s="7" t="s">
        <v>43</v>
      </c>
      <c r="AC804" s="7"/>
      <c r="AD804" s="7"/>
      <c r="AE804" s="7"/>
      <c r="AF804" s="7"/>
      <c r="AG804" s="8">
        <f t="shared" si="12"/>
        <v>43327</v>
      </c>
    </row>
    <row r="805" spans="1:33">
      <c r="A805" s="7" t="s">
        <v>4419</v>
      </c>
      <c r="B805" s="7" t="s">
        <v>4419</v>
      </c>
      <c r="C805" s="7" t="s">
        <v>4420</v>
      </c>
      <c r="D805" s="7" t="s">
        <v>4421</v>
      </c>
      <c r="E805" s="7" t="s">
        <v>33</v>
      </c>
      <c r="F805" s="7" t="s">
        <v>34</v>
      </c>
      <c r="G805" s="7" t="s">
        <v>35</v>
      </c>
      <c r="H805" s="7"/>
      <c r="I805" s="7"/>
      <c r="J805" s="7" t="s">
        <v>36</v>
      </c>
      <c r="K805" s="7" t="s">
        <v>170</v>
      </c>
      <c r="L805" s="7" t="s">
        <v>4422</v>
      </c>
      <c r="M805" s="7" t="s">
        <v>4423</v>
      </c>
      <c r="N805" s="7" t="s">
        <v>33</v>
      </c>
      <c r="O805" s="7">
        <v>1</v>
      </c>
      <c r="P805" s="7" t="s">
        <v>40</v>
      </c>
      <c r="Q805" s="7">
        <v>19.38</v>
      </c>
      <c r="R805" s="7"/>
      <c r="S805" s="7"/>
      <c r="T805" s="7"/>
      <c r="U805" s="7"/>
      <c r="V805" s="7"/>
      <c r="W805" s="7"/>
      <c r="X805" s="7"/>
      <c r="Y805" s="7" t="s">
        <v>4424</v>
      </c>
      <c r="Z805" s="7" t="s">
        <v>357</v>
      </c>
      <c r="AA805" s="7">
        <v>44425</v>
      </c>
      <c r="AB805" s="7" t="s">
        <v>43</v>
      </c>
      <c r="AC805" s="7"/>
      <c r="AD805" s="7"/>
      <c r="AE805" s="7"/>
      <c r="AF805" s="7"/>
      <c r="AG805" s="8">
        <f t="shared" si="12"/>
        <v>43327</v>
      </c>
    </row>
    <row r="806" spans="1:33">
      <c r="A806" s="7" t="s">
        <v>4425</v>
      </c>
      <c r="B806" s="7" t="s">
        <v>4425</v>
      </c>
      <c r="C806" s="7" t="s">
        <v>4426</v>
      </c>
      <c r="D806" s="7" t="s">
        <v>4427</v>
      </c>
      <c r="E806" s="7" t="s">
        <v>33</v>
      </c>
      <c r="F806" s="7" t="s">
        <v>34</v>
      </c>
      <c r="G806" s="7" t="s">
        <v>35</v>
      </c>
      <c r="H806" s="7"/>
      <c r="I806" s="7"/>
      <c r="J806" s="7" t="s">
        <v>36</v>
      </c>
      <c r="K806" s="7" t="s">
        <v>456</v>
      </c>
      <c r="L806" s="7" t="s">
        <v>959</v>
      </c>
      <c r="M806" s="7" t="s">
        <v>960</v>
      </c>
      <c r="N806" s="7" t="s">
        <v>33</v>
      </c>
      <c r="O806" s="7">
        <v>1</v>
      </c>
      <c r="P806" s="7" t="s">
        <v>40</v>
      </c>
      <c r="Q806" s="7">
        <v>12.99</v>
      </c>
      <c r="R806" s="7"/>
      <c r="S806" s="7"/>
      <c r="T806" s="7"/>
      <c r="U806" s="7"/>
      <c r="V806" s="7"/>
      <c r="W806" s="7"/>
      <c r="X806" s="7"/>
      <c r="Y806" s="7" t="s">
        <v>488</v>
      </c>
      <c r="Z806" s="7" t="s">
        <v>227</v>
      </c>
      <c r="AA806" s="7" t="s">
        <v>4428</v>
      </c>
      <c r="AB806" s="7" t="s">
        <v>43</v>
      </c>
      <c r="AC806" s="7"/>
      <c r="AD806" s="7"/>
      <c r="AE806" s="7"/>
      <c r="AF806" s="7"/>
      <c r="AG806" s="8">
        <f t="shared" si="12"/>
        <v>43327</v>
      </c>
    </row>
    <row r="807" spans="1:33">
      <c r="A807" s="7" t="s">
        <v>4429</v>
      </c>
      <c r="B807" s="7" t="s">
        <v>4429</v>
      </c>
      <c r="C807" s="7" t="s">
        <v>4430</v>
      </c>
      <c r="D807" s="7" t="s">
        <v>4431</v>
      </c>
      <c r="E807" s="7" t="s">
        <v>33</v>
      </c>
      <c r="F807" s="7" t="s">
        <v>34</v>
      </c>
      <c r="G807" s="7" t="s">
        <v>35</v>
      </c>
      <c r="H807" s="7"/>
      <c r="I807" s="7"/>
      <c r="J807" s="7" t="s">
        <v>36</v>
      </c>
      <c r="K807" s="7" t="s">
        <v>255</v>
      </c>
      <c r="L807" s="7" t="s">
        <v>1236</v>
      </c>
      <c r="M807" s="7" t="s">
        <v>1237</v>
      </c>
      <c r="N807" s="7" t="s">
        <v>33</v>
      </c>
      <c r="O807" s="7">
        <v>1</v>
      </c>
      <c r="P807" s="7" t="s">
        <v>40</v>
      </c>
      <c r="Q807" s="7">
        <v>19.99</v>
      </c>
      <c r="R807" s="7"/>
      <c r="S807" s="7"/>
      <c r="T807" s="7"/>
      <c r="U807" s="7"/>
      <c r="V807" s="7"/>
      <c r="W807" s="7"/>
      <c r="X807" s="7"/>
      <c r="Y807" s="7" t="s">
        <v>4432</v>
      </c>
      <c r="Z807" s="7" t="s">
        <v>77</v>
      </c>
      <c r="AA807" s="7" t="s">
        <v>4433</v>
      </c>
      <c r="AB807" s="7" t="s">
        <v>43</v>
      </c>
      <c r="AC807" s="7"/>
      <c r="AD807" s="7"/>
      <c r="AE807" s="7"/>
      <c r="AF807" s="7"/>
      <c r="AG807" s="8">
        <f t="shared" si="12"/>
        <v>43327</v>
      </c>
    </row>
    <row r="808" spans="1:33">
      <c r="A808" s="7" t="s">
        <v>4434</v>
      </c>
      <c r="B808" s="7" t="s">
        <v>4434</v>
      </c>
      <c r="C808" s="7" t="s">
        <v>4435</v>
      </c>
      <c r="D808" s="7" t="s">
        <v>4436</v>
      </c>
      <c r="E808" s="7" t="s">
        <v>33</v>
      </c>
      <c r="F808" s="7" t="s">
        <v>34</v>
      </c>
      <c r="G808" s="7" t="s">
        <v>35</v>
      </c>
      <c r="H808" s="7"/>
      <c r="I808" s="7"/>
      <c r="J808" s="7" t="s">
        <v>36</v>
      </c>
      <c r="K808" s="7" t="s">
        <v>255</v>
      </c>
      <c r="L808" s="7" t="s">
        <v>1647</v>
      </c>
      <c r="M808" s="7" t="s">
        <v>1648</v>
      </c>
      <c r="N808" s="7" t="s">
        <v>33</v>
      </c>
      <c r="O808" s="7">
        <v>1</v>
      </c>
      <c r="P808" s="7" t="s">
        <v>40</v>
      </c>
      <c r="Q808" s="7">
        <v>19.99</v>
      </c>
      <c r="R808" s="7"/>
      <c r="S808" s="7"/>
      <c r="T808" s="7"/>
      <c r="U808" s="7"/>
      <c r="V808" s="7"/>
      <c r="W808" s="7"/>
      <c r="X808" s="7"/>
      <c r="Y808" s="7" t="s">
        <v>4437</v>
      </c>
      <c r="Z808" s="7" t="s">
        <v>85</v>
      </c>
      <c r="AA808" s="7" t="s">
        <v>4438</v>
      </c>
      <c r="AB808" s="7" t="s">
        <v>43</v>
      </c>
      <c r="AC808" s="7"/>
      <c r="AD808" s="7"/>
      <c r="AE808" s="7"/>
      <c r="AF808" s="7"/>
      <c r="AG808" s="8">
        <f t="shared" si="12"/>
        <v>43327</v>
      </c>
    </row>
    <row r="809" spans="1:33">
      <c r="A809" s="7" t="s">
        <v>4439</v>
      </c>
      <c r="B809" s="7" t="s">
        <v>4439</v>
      </c>
      <c r="C809" s="7" t="s">
        <v>4440</v>
      </c>
      <c r="D809" s="7" t="s">
        <v>4441</v>
      </c>
      <c r="E809" s="7" t="s">
        <v>33</v>
      </c>
      <c r="F809" s="7" t="s">
        <v>34</v>
      </c>
      <c r="G809" s="7" t="s">
        <v>35</v>
      </c>
      <c r="H809" s="7"/>
      <c r="I809" s="7"/>
      <c r="J809" s="7" t="s">
        <v>36</v>
      </c>
      <c r="K809" s="7" t="s">
        <v>388</v>
      </c>
      <c r="L809" s="7" t="s">
        <v>389</v>
      </c>
      <c r="M809" s="7" t="s">
        <v>390</v>
      </c>
      <c r="N809" s="7" t="s">
        <v>33</v>
      </c>
      <c r="O809" s="7">
        <v>1</v>
      </c>
      <c r="P809" s="7" t="s">
        <v>40</v>
      </c>
      <c r="Q809" s="7">
        <v>19.38</v>
      </c>
      <c r="R809" s="7"/>
      <c r="S809" s="7"/>
      <c r="T809" s="7"/>
      <c r="U809" s="7"/>
      <c r="V809" s="7"/>
      <c r="W809" s="7"/>
      <c r="X809" s="7"/>
      <c r="Y809" s="7" t="s">
        <v>187</v>
      </c>
      <c r="Z809" s="7" t="s">
        <v>59</v>
      </c>
      <c r="AA809" s="7">
        <v>95138</v>
      </c>
      <c r="AB809" s="7" t="s">
        <v>43</v>
      </c>
      <c r="AC809" s="7"/>
      <c r="AD809" s="7"/>
      <c r="AE809" s="7"/>
      <c r="AF809" s="7"/>
      <c r="AG809" s="8">
        <f t="shared" si="12"/>
        <v>43327</v>
      </c>
    </row>
    <row r="810" spans="1:33">
      <c r="A810" s="7" t="s">
        <v>4442</v>
      </c>
      <c r="B810" s="7" t="s">
        <v>4442</v>
      </c>
      <c r="C810" s="7" t="s">
        <v>4443</v>
      </c>
      <c r="D810" s="7" t="s">
        <v>4444</v>
      </c>
      <c r="E810" s="7" t="s">
        <v>33</v>
      </c>
      <c r="F810" s="7" t="s">
        <v>34</v>
      </c>
      <c r="G810" s="7" t="s">
        <v>35</v>
      </c>
      <c r="H810" s="7"/>
      <c r="I810" s="7"/>
      <c r="J810" s="7" t="s">
        <v>36</v>
      </c>
      <c r="K810" s="7" t="s">
        <v>255</v>
      </c>
      <c r="L810" s="7" t="s">
        <v>1236</v>
      </c>
      <c r="M810" s="7" t="s">
        <v>1237</v>
      </c>
      <c r="N810" s="7" t="s">
        <v>33</v>
      </c>
      <c r="O810" s="7">
        <v>1</v>
      </c>
      <c r="P810" s="7" t="s">
        <v>40</v>
      </c>
      <c r="Q810" s="7">
        <v>19.99</v>
      </c>
      <c r="R810" s="7"/>
      <c r="S810" s="7"/>
      <c r="T810" s="7"/>
      <c r="U810" s="7"/>
      <c r="V810" s="7"/>
      <c r="W810" s="7"/>
      <c r="X810" s="7"/>
      <c r="Y810" s="7" t="s">
        <v>4445</v>
      </c>
      <c r="Z810" s="7" t="s">
        <v>85</v>
      </c>
      <c r="AA810" s="7" t="s">
        <v>4446</v>
      </c>
      <c r="AB810" s="7" t="s">
        <v>43</v>
      </c>
      <c r="AC810" s="7"/>
      <c r="AD810" s="7"/>
      <c r="AE810" s="7"/>
      <c r="AF810" s="7"/>
      <c r="AG810" s="8">
        <f t="shared" si="12"/>
        <v>43327</v>
      </c>
    </row>
    <row r="811" spans="1:33">
      <c r="A811" s="7" t="s">
        <v>4447</v>
      </c>
      <c r="B811" s="7" t="s">
        <v>4447</v>
      </c>
      <c r="C811" s="7" t="s">
        <v>4448</v>
      </c>
      <c r="D811" s="7" t="s">
        <v>4449</v>
      </c>
      <c r="E811" s="7" t="s">
        <v>33</v>
      </c>
      <c r="F811" s="7" t="s">
        <v>34</v>
      </c>
      <c r="G811" s="7" t="s">
        <v>35</v>
      </c>
      <c r="H811" s="7"/>
      <c r="I811" s="7"/>
      <c r="J811" s="7" t="s">
        <v>36</v>
      </c>
      <c r="K811" s="7" t="s">
        <v>4450</v>
      </c>
      <c r="L811" s="7" t="s">
        <v>4451</v>
      </c>
      <c r="M811" s="7" t="s">
        <v>4452</v>
      </c>
      <c r="N811" s="7" t="s">
        <v>33</v>
      </c>
      <c r="O811" s="7">
        <v>1</v>
      </c>
      <c r="P811" s="7" t="s">
        <v>40</v>
      </c>
      <c r="Q811" s="7">
        <v>19.99</v>
      </c>
      <c r="R811" s="7"/>
      <c r="S811" s="7"/>
      <c r="T811" s="7"/>
      <c r="U811" s="7"/>
      <c r="V811" s="7"/>
      <c r="W811" s="7"/>
      <c r="X811" s="7"/>
      <c r="Y811" s="7" t="s">
        <v>383</v>
      </c>
      <c r="Z811" s="7" t="s">
        <v>227</v>
      </c>
      <c r="AA811" s="7">
        <v>10031</v>
      </c>
      <c r="AB811" s="7" t="s">
        <v>43</v>
      </c>
      <c r="AC811" s="7"/>
      <c r="AD811" s="7"/>
      <c r="AE811" s="7"/>
      <c r="AF811" s="7"/>
      <c r="AG811" s="8">
        <f t="shared" si="12"/>
        <v>43327</v>
      </c>
    </row>
    <row r="812" spans="1:33">
      <c r="A812" s="7" t="s">
        <v>4453</v>
      </c>
      <c r="B812" s="7" t="s">
        <v>4453</v>
      </c>
      <c r="C812" s="7" t="s">
        <v>4454</v>
      </c>
      <c r="D812" s="7" t="s">
        <v>4455</v>
      </c>
      <c r="E812" s="7" t="s">
        <v>33</v>
      </c>
      <c r="F812" s="7" t="s">
        <v>34</v>
      </c>
      <c r="G812" s="7" t="s">
        <v>35</v>
      </c>
      <c r="H812" s="7"/>
      <c r="I812" s="7"/>
      <c r="J812" s="7" t="s">
        <v>36</v>
      </c>
      <c r="K812" s="7" t="s">
        <v>456</v>
      </c>
      <c r="L812" s="7" t="s">
        <v>1280</v>
      </c>
      <c r="M812" s="7" t="s">
        <v>1281</v>
      </c>
      <c r="N812" s="7" t="s">
        <v>33</v>
      </c>
      <c r="O812" s="7">
        <v>1</v>
      </c>
      <c r="P812" s="7" t="s">
        <v>40</v>
      </c>
      <c r="Q812" s="7">
        <v>12.99</v>
      </c>
      <c r="R812" s="7"/>
      <c r="S812" s="7"/>
      <c r="T812" s="7"/>
      <c r="U812" s="7"/>
      <c r="V812" s="7"/>
      <c r="W812" s="7"/>
      <c r="X812" s="7"/>
      <c r="Y812" s="7" t="s">
        <v>4456</v>
      </c>
      <c r="Z812" s="7" t="s">
        <v>570</v>
      </c>
      <c r="AA812" s="7" t="s">
        <v>4457</v>
      </c>
      <c r="AB812" s="7" t="s">
        <v>43</v>
      </c>
      <c r="AC812" s="7"/>
      <c r="AD812" s="7"/>
      <c r="AE812" s="7"/>
      <c r="AF812" s="7"/>
      <c r="AG812" s="8">
        <f t="shared" si="12"/>
        <v>43327</v>
      </c>
    </row>
    <row r="813" spans="1:33">
      <c r="A813" s="7" t="s">
        <v>4458</v>
      </c>
      <c r="B813" s="7" t="s">
        <v>4458</v>
      </c>
      <c r="C813" s="7" t="s">
        <v>4459</v>
      </c>
      <c r="D813" s="7" t="s">
        <v>4460</v>
      </c>
      <c r="E813" s="7" t="s">
        <v>33</v>
      </c>
      <c r="F813" s="7" t="s">
        <v>34</v>
      </c>
      <c r="G813" s="7" t="s">
        <v>35</v>
      </c>
      <c r="H813" s="7"/>
      <c r="I813" s="7"/>
      <c r="J813" s="7" t="s">
        <v>36</v>
      </c>
      <c r="K813" s="7" t="s">
        <v>37</v>
      </c>
      <c r="L813" s="7" t="s">
        <v>162</v>
      </c>
      <c r="M813" s="7" t="s">
        <v>163</v>
      </c>
      <c r="N813" s="7" t="s">
        <v>33</v>
      </c>
      <c r="O813" s="7">
        <v>1</v>
      </c>
      <c r="P813" s="7" t="s">
        <v>40</v>
      </c>
      <c r="Q813" s="7">
        <v>19.99</v>
      </c>
      <c r="R813" s="7"/>
      <c r="S813" s="7"/>
      <c r="T813" s="7"/>
      <c r="U813" s="7"/>
      <c r="V813" s="7"/>
      <c r="W813" s="7"/>
      <c r="X813" s="7"/>
      <c r="Y813" s="7" t="s">
        <v>4461</v>
      </c>
      <c r="Z813" s="7" t="s">
        <v>452</v>
      </c>
      <c r="AA813" s="7" t="s">
        <v>4462</v>
      </c>
      <c r="AB813" s="7" t="s">
        <v>43</v>
      </c>
      <c r="AC813" s="7"/>
      <c r="AD813" s="7"/>
      <c r="AE813" s="7"/>
      <c r="AF813" s="7"/>
      <c r="AG813" s="8">
        <f t="shared" si="12"/>
        <v>43327</v>
      </c>
    </row>
    <row r="814" spans="1:33">
      <c r="A814" s="7" t="s">
        <v>4458</v>
      </c>
      <c r="B814" s="7" t="s">
        <v>4458</v>
      </c>
      <c r="C814" s="7" t="s">
        <v>4459</v>
      </c>
      <c r="D814" s="7" t="s">
        <v>4460</v>
      </c>
      <c r="E814" s="7" t="s">
        <v>33</v>
      </c>
      <c r="F814" s="7" t="s">
        <v>34</v>
      </c>
      <c r="G814" s="7" t="s">
        <v>35</v>
      </c>
      <c r="H814" s="7"/>
      <c r="I814" s="7"/>
      <c r="J814" s="7" t="s">
        <v>36</v>
      </c>
      <c r="K814" s="7" t="s">
        <v>1287</v>
      </c>
      <c r="L814" s="7" t="s">
        <v>1288</v>
      </c>
      <c r="M814" s="7" t="s">
        <v>1289</v>
      </c>
      <c r="N814" s="7" t="s">
        <v>33</v>
      </c>
      <c r="O814" s="7">
        <v>1</v>
      </c>
      <c r="P814" s="7" t="s">
        <v>40</v>
      </c>
      <c r="Q814" s="7">
        <v>19.99</v>
      </c>
      <c r="R814" s="7"/>
      <c r="S814" s="7"/>
      <c r="T814" s="7"/>
      <c r="U814" s="7"/>
      <c r="V814" s="7"/>
      <c r="W814" s="7"/>
      <c r="X814" s="7"/>
      <c r="Y814" s="7" t="s">
        <v>4461</v>
      </c>
      <c r="Z814" s="7" t="s">
        <v>452</v>
      </c>
      <c r="AA814" s="7" t="s">
        <v>4462</v>
      </c>
      <c r="AB814" s="7" t="s">
        <v>43</v>
      </c>
      <c r="AC814" s="7"/>
      <c r="AD814" s="7"/>
      <c r="AE814" s="7"/>
      <c r="AF814" s="7"/>
      <c r="AG814" s="8">
        <f t="shared" si="12"/>
        <v>43327</v>
      </c>
    </row>
    <row r="815" spans="1:33">
      <c r="A815" s="7" t="s">
        <v>4463</v>
      </c>
      <c r="B815" s="7" t="s">
        <v>4463</v>
      </c>
      <c r="C815" s="7" t="s">
        <v>4464</v>
      </c>
      <c r="D815" s="7" t="s">
        <v>4465</v>
      </c>
      <c r="E815" s="7" t="s">
        <v>33</v>
      </c>
      <c r="F815" s="7" t="s">
        <v>34</v>
      </c>
      <c r="G815" s="7" t="s">
        <v>35</v>
      </c>
      <c r="H815" s="7"/>
      <c r="I815" s="7"/>
      <c r="J815" s="7" t="s">
        <v>64</v>
      </c>
      <c r="K815" s="7" t="s">
        <v>215</v>
      </c>
      <c r="L815" s="7" t="s">
        <v>216</v>
      </c>
      <c r="M815" s="7" t="s">
        <v>217</v>
      </c>
      <c r="N815" s="7" t="s">
        <v>33</v>
      </c>
      <c r="O815" s="7">
        <v>1</v>
      </c>
      <c r="P815" s="7" t="s">
        <v>40</v>
      </c>
      <c r="Q815" s="7">
        <v>18.99</v>
      </c>
      <c r="R815" s="7">
        <v>1.56</v>
      </c>
      <c r="S815" s="7">
        <v>3.99</v>
      </c>
      <c r="T815" s="7">
        <v>0.33</v>
      </c>
      <c r="U815" s="7"/>
      <c r="V815" s="7"/>
      <c r="W815" s="7"/>
      <c r="X815" s="7"/>
      <c r="Y815" s="7" t="s">
        <v>4466</v>
      </c>
      <c r="Z815" s="7" t="s">
        <v>882</v>
      </c>
      <c r="AA815" s="7" t="s">
        <v>4467</v>
      </c>
      <c r="AB815" s="7" t="s">
        <v>43</v>
      </c>
      <c r="AC815" s="7"/>
      <c r="AD815" s="7"/>
      <c r="AE815" s="7"/>
      <c r="AF815" s="7"/>
      <c r="AG815" s="8">
        <f t="shared" si="12"/>
        <v>43327</v>
      </c>
    </row>
    <row r="816" spans="1:33">
      <c r="A816" s="7" t="s">
        <v>4468</v>
      </c>
      <c r="B816" s="7" t="s">
        <v>4468</v>
      </c>
      <c r="C816" s="7" t="s">
        <v>4469</v>
      </c>
      <c r="D816" s="7" t="s">
        <v>4470</v>
      </c>
      <c r="E816" s="7" t="s">
        <v>33</v>
      </c>
      <c r="F816" s="7" t="s">
        <v>34</v>
      </c>
      <c r="G816" s="7" t="s">
        <v>35</v>
      </c>
      <c r="H816" s="7"/>
      <c r="I816" s="7"/>
      <c r="J816" s="7" t="s">
        <v>36</v>
      </c>
      <c r="K816" s="7" t="s">
        <v>199</v>
      </c>
      <c r="L816" s="7" t="s">
        <v>200</v>
      </c>
      <c r="M816" s="7" t="s">
        <v>201</v>
      </c>
      <c r="N816" s="7" t="s">
        <v>33</v>
      </c>
      <c r="O816" s="7">
        <v>1</v>
      </c>
      <c r="P816" s="7" t="s">
        <v>40</v>
      </c>
      <c r="Q816" s="7">
        <v>18.99</v>
      </c>
      <c r="R816" s="7"/>
      <c r="S816" s="7"/>
      <c r="T816" s="7"/>
      <c r="U816" s="7"/>
      <c r="V816" s="7"/>
      <c r="W816" s="7"/>
      <c r="X816" s="7"/>
      <c r="Y816" s="7" t="s">
        <v>488</v>
      </c>
      <c r="Z816" s="7" t="s">
        <v>227</v>
      </c>
      <c r="AA816" s="7" t="s">
        <v>4471</v>
      </c>
      <c r="AB816" s="7" t="s">
        <v>43</v>
      </c>
      <c r="AC816" s="7"/>
      <c r="AD816" s="7"/>
      <c r="AE816" s="7"/>
      <c r="AF816" s="7"/>
      <c r="AG816" s="8">
        <f t="shared" si="12"/>
        <v>43327</v>
      </c>
    </row>
    <row r="817" spans="1:33">
      <c r="A817" s="7" t="s">
        <v>4472</v>
      </c>
      <c r="B817" s="7" t="s">
        <v>4472</v>
      </c>
      <c r="C817" s="7" t="s">
        <v>4473</v>
      </c>
      <c r="D817" s="7" t="s">
        <v>4474</v>
      </c>
      <c r="E817" s="7" t="s">
        <v>33</v>
      </c>
      <c r="F817" s="7" t="s">
        <v>34</v>
      </c>
      <c r="G817" s="7" t="s">
        <v>35</v>
      </c>
      <c r="H817" s="7"/>
      <c r="I817" s="7"/>
      <c r="J817" s="7" t="s">
        <v>36</v>
      </c>
      <c r="K817" s="7" t="s">
        <v>255</v>
      </c>
      <c r="L817" s="7" t="s">
        <v>256</v>
      </c>
      <c r="M817" s="7" t="s">
        <v>257</v>
      </c>
      <c r="N817" s="7" t="s">
        <v>33</v>
      </c>
      <c r="O817" s="7">
        <v>1</v>
      </c>
      <c r="P817" s="7" t="s">
        <v>40</v>
      </c>
      <c r="Q817" s="7">
        <v>19.99</v>
      </c>
      <c r="R817" s="7"/>
      <c r="S817" s="7"/>
      <c r="T817" s="7"/>
      <c r="U817" s="7"/>
      <c r="V817" s="7"/>
      <c r="W817" s="7"/>
      <c r="X817" s="7"/>
      <c r="Y817" s="7" t="s">
        <v>4475</v>
      </c>
      <c r="Z817" s="7" t="s">
        <v>174</v>
      </c>
      <c r="AA817" s="7" t="s">
        <v>4476</v>
      </c>
      <c r="AB817" s="7" t="s">
        <v>43</v>
      </c>
      <c r="AC817" s="7"/>
      <c r="AD817" s="7"/>
      <c r="AE817" s="7"/>
      <c r="AF817" s="7"/>
      <c r="AG817" s="8">
        <f t="shared" si="12"/>
        <v>43327</v>
      </c>
    </row>
    <row r="818" spans="1:33">
      <c r="A818" s="7" t="s">
        <v>4477</v>
      </c>
      <c r="B818" s="7" t="s">
        <v>4477</v>
      </c>
      <c r="C818" s="7" t="s">
        <v>4478</v>
      </c>
      <c r="D818" s="7" t="s">
        <v>4479</v>
      </c>
      <c r="E818" s="7" t="s">
        <v>33</v>
      </c>
      <c r="F818" s="7" t="s">
        <v>34</v>
      </c>
      <c r="G818" s="7" t="s">
        <v>35</v>
      </c>
      <c r="H818" s="7"/>
      <c r="I818" s="7"/>
      <c r="J818" s="7" t="s">
        <v>36</v>
      </c>
      <c r="K818" s="7" t="s">
        <v>90</v>
      </c>
      <c r="L818" s="7" t="s">
        <v>91</v>
      </c>
      <c r="M818" s="7" t="s">
        <v>92</v>
      </c>
      <c r="N818" s="7" t="s">
        <v>33</v>
      </c>
      <c r="O818" s="7">
        <v>1</v>
      </c>
      <c r="P818" s="7" t="s">
        <v>40</v>
      </c>
      <c r="Q818" s="7">
        <v>12.99</v>
      </c>
      <c r="R818" s="7"/>
      <c r="S818" s="7"/>
      <c r="T818" s="7"/>
      <c r="U818" s="7"/>
      <c r="V818" s="7"/>
      <c r="W818" s="7"/>
      <c r="X818" s="7"/>
      <c r="Y818" s="7" t="s">
        <v>4480</v>
      </c>
      <c r="Z818" s="7" t="s">
        <v>345</v>
      </c>
      <c r="AA818" s="7" t="s">
        <v>4481</v>
      </c>
      <c r="AB818" s="7" t="s">
        <v>43</v>
      </c>
      <c r="AC818" s="7"/>
      <c r="AD818" s="7"/>
      <c r="AE818" s="7"/>
      <c r="AF818" s="7"/>
      <c r="AG818" s="8">
        <f t="shared" si="12"/>
        <v>43327</v>
      </c>
    </row>
    <row r="819" spans="1:33">
      <c r="A819" s="7" t="s">
        <v>4482</v>
      </c>
      <c r="B819" s="7" t="s">
        <v>4482</v>
      </c>
      <c r="C819" s="7" t="s">
        <v>4483</v>
      </c>
      <c r="D819" s="7" t="s">
        <v>4484</v>
      </c>
      <c r="E819" s="7" t="s">
        <v>33</v>
      </c>
      <c r="F819" s="7" t="s">
        <v>34</v>
      </c>
      <c r="G819" s="7" t="s">
        <v>35</v>
      </c>
      <c r="H819" s="7"/>
      <c r="I819" s="7"/>
      <c r="J819" s="7" t="s">
        <v>36</v>
      </c>
      <c r="K819" s="7" t="s">
        <v>125</v>
      </c>
      <c r="L819" s="7" t="s">
        <v>126</v>
      </c>
      <c r="M819" s="7" t="s">
        <v>127</v>
      </c>
      <c r="N819" s="7" t="s">
        <v>33</v>
      </c>
      <c r="O819" s="7">
        <v>1</v>
      </c>
      <c r="P819" s="7" t="s">
        <v>40</v>
      </c>
      <c r="Q819" s="7">
        <v>18.99</v>
      </c>
      <c r="R819" s="7"/>
      <c r="S819" s="7"/>
      <c r="T819" s="7"/>
      <c r="U819" s="7"/>
      <c r="V819" s="7"/>
      <c r="W819" s="7"/>
      <c r="X819" s="7"/>
      <c r="Y819" s="7" t="s">
        <v>4485</v>
      </c>
      <c r="Z819" s="7" t="s">
        <v>1114</v>
      </c>
      <c r="AA819" s="7" t="s">
        <v>4486</v>
      </c>
      <c r="AB819" s="7" t="s">
        <v>43</v>
      </c>
      <c r="AC819" s="7"/>
      <c r="AD819" s="7"/>
      <c r="AE819" s="7"/>
      <c r="AF819" s="7"/>
      <c r="AG819" s="8">
        <f t="shared" si="12"/>
        <v>43328</v>
      </c>
    </row>
    <row r="820" spans="1:33">
      <c r="A820" s="7" t="s">
        <v>4487</v>
      </c>
      <c r="B820" s="7" t="s">
        <v>4487</v>
      </c>
      <c r="C820" s="7" t="s">
        <v>4488</v>
      </c>
      <c r="D820" s="7" t="s">
        <v>4489</v>
      </c>
      <c r="E820" s="7" t="s">
        <v>33</v>
      </c>
      <c r="F820" s="7" t="s">
        <v>34</v>
      </c>
      <c r="G820" s="7" t="s">
        <v>35</v>
      </c>
      <c r="H820" s="7"/>
      <c r="I820" s="7"/>
      <c r="J820" s="7" t="s">
        <v>36</v>
      </c>
      <c r="K820" s="7" t="s">
        <v>131</v>
      </c>
      <c r="L820" s="7" t="s">
        <v>132</v>
      </c>
      <c r="M820" s="7" t="s">
        <v>133</v>
      </c>
      <c r="N820" s="7" t="s">
        <v>33</v>
      </c>
      <c r="O820" s="7">
        <v>1</v>
      </c>
      <c r="P820" s="7" t="s">
        <v>40</v>
      </c>
      <c r="Q820" s="7">
        <v>18.99</v>
      </c>
      <c r="R820" s="7"/>
      <c r="S820" s="7"/>
      <c r="T820" s="7"/>
      <c r="U820" s="7"/>
      <c r="V820" s="7"/>
      <c r="W820" s="7"/>
      <c r="X820" s="7"/>
      <c r="Y820" s="7" t="s">
        <v>2381</v>
      </c>
      <c r="Z820" s="7" t="s">
        <v>165</v>
      </c>
      <c r="AA820" s="7" t="s">
        <v>4490</v>
      </c>
      <c r="AB820" s="7" t="s">
        <v>43</v>
      </c>
      <c r="AC820" s="7"/>
      <c r="AD820" s="7"/>
      <c r="AE820" s="7"/>
      <c r="AF820" s="7"/>
      <c r="AG820" s="8">
        <f t="shared" si="12"/>
        <v>43328</v>
      </c>
    </row>
    <row r="821" spans="1:33">
      <c r="A821" s="7" t="s">
        <v>4491</v>
      </c>
      <c r="B821" s="7" t="s">
        <v>4491</v>
      </c>
      <c r="C821" s="7" t="s">
        <v>4492</v>
      </c>
      <c r="D821" s="7" t="s">
        <v>4493</v>
      </c>
      <c r="E821" s="7" t="s">
        <v>33</v>
      </c>
      <c r="F821" s="7" t="s">
        <v>34</v>
      </c>
      <c r="G821" s="7" t="s">
        <v>35</v>
      </c>
      <c r="H821" s="7"/>
      <c r="I821" s="7"/>
      <c r="J821" s="7" t="s">
        <v>36</v>
      </c>
      <c r="K821" s="7" t="s">
        <v>456</v>
      </c>
      <c r="L821" s="7" t="s">
        <v>457</v>
      </c>
      <c r="M821" s="7" t="s">
        <v>458</v>
      </c>
      <c r="N821" s="7" t="s">
        <v>33</v>
      </c>
      <c r="O821" s="7">
        <v>1</v>
      </c>
      <c r="P821" s="7" t="s">
        <v>40</v>
      </c>
      <c r="Q821" s="7">
        <v>12.99</v>
      </c>
      <c r="R821" s="7"/>
      <c r="S821" s="7"/>
      <c r="T821" s="7"/>
      <c r="U821" s="7"/>
      <c r="V821" s="7"/>
      <c r="W821" s="7"/>
      <c r="X821" s="7"/>
      <c r="Y821" s="7" t="s">
        <v>4494</v>
      </c>
      <c r="Z821" s="7" t="s">
        <v>59</v>
      </c>
      <c r="AA821" s="7" t="s">
        <v>4495</v>
      </c>
      <c r="AB821" s="7" t="s">
        <v>43</v>
      </c>
      <c r="AC821" s="7"/>
      <c r="AD821" s="7"/>
      <c r="AE821" s="7"/>
      <c r="AF821" s="7"/>
      <c r="AG821" s="8">
        <f t="shared" si="12"/>
        <v>43328</v>
      </c>
    </row>
    <row r="822" spans="1:33">
      <c r="A822" s="7" t="s">
        <v>4496</v>
      </c>
      <c r="B822" s="7" t="s">
        <v>4496</v>
      </c>
      <c r="C822" s="7" t="s">
        <v>4497</v>
      </c>
      <c r="D822" s="7" t="s">
        <v>4498</v>
      </c>
      <c r="E822" s="7" t="s">
        <v>33</v>
      </c>
      <c r="F822" s="7" t="s">
        <v>34</v>
      </c>
      <c r="G822" s="7" t="s">
        <v>35</v>
      </c>
      <c r="H822" s="7"/>
      <c r="I822" s="7"/>
      <c r="J822" s="7" t="s">
        <v>336</v>
      </c>
      <c r="K822" s="7" t="s">
        <v>47</v>
      </c>
      <c r="L822" s="7" t="s">
        <v>1206</v>
      </c>
      <c r="M822" s="7" t="s">
        <v>1207</v>
      </c>
      <c r="N822" s="7" t="s">
        <v>33</v>
      </c>
      <c r="O822" s="7">
        <v>1</v>
      </c>
      <c r="P822" s="7" t="s">
        <v>40</v>
      </c>
      <c r="Q822" s="7">
        <v>16.99</v>
      </c>
      <c r="R822" s="7"/>
      <c r="S822" s="7"/>
      <c r="T822" s="7"/>
      <c r="U822" s="7"/>
      <c r="V822" s="7"/>
      <c r="W822" s="7"/>
      <c r="X822" s="7"/>
      <c r="Y822" s="7" t="s">
        <v>4499</v>
      </c>
      <c r="Z822" s="7" t="s">
        <v>4500</v>
      </c>
      <c r="AA822" s="7" t="s">
        <v>4501</v>
      </c>
      <c r="AB822" s="7" t="s">
        <v>43</v>
      </c>
      <c r="AC822" s="7"/>
      <c r="AD822" s="7"/>
      <c r="AE822" s="7"/>
      <c r="AF822" s="7"/>
      <c r="AG822" s="8">
        <f t="shared" si="12"/>
        <v>43328</v>
      </c>
    </row>
    <row r="823" spans="1:33">
      <c r="A823" s="7" t="s">
        <v>4502</v>
      </c>
      <c r="B823" s="7" t="s">
        <v>4502</v>
      </c>
      <c r="C823" s="7" t="s">
        <v>4503</v>
      </c>
      <c r="D823" s="7" t="s">
        <v>4504</v>
      </c>
      <c r="E823" s="7" t="s">
        <v>33</v>
      </c>
      <c r="F823" s="7" t="s">
        <v>34</v>
      </c>
      <c r="G823" s="7" t="s">
        <v>35</v>
      </c>
      <c r="H823" s="7"/>
      <c r="I823" s="7"/>
      <c r="J823" s="7" t="s">
        <v>336</v>
      </c>
      <c r="K823" s="7" t="s">
        <v>255</v>
      </c>
      <c r="L823" s="7" t="s">
        <v>300</v>
      </c>
      <c r="M823" s="7" t="s">
        <v>301</v>
      </c>
      <c r="N823" s="7" t="s">
        <v>33</v>
      </c>
      <c r="O823" s="7">
        <v>1</v>
      </c>
      <c r="P823" s="7" t="s">
        <v>40</v>
      </c>
      <c r="Q823" s="7">
        <v>19.99</v>
      </c>
      <c r="R823" s="7"/>
      <c r="S823" s="7">
        <v>1.37</v>
      </c>
      <c r="T823" s="7"/>
      <c r="U823" s="7"/>
      <c r="V823" s="7"/>
      <c r="W823" s="7"/>
      <c r="X823" s="7"/>
      <c r="Y823" s="7" t="s">
        <v>2386</v>
      </c>
      <c r="Z823" s="7" t="s">
        <v>135</v>
      </c>
      <c r="AA823" s="7" t="s">
        <v>4505</v>
      </c>
      <c r="AB823" s="7" t="s">
        <v>43</v>
      </c>
      <c r="AC823" s="7"/>
      <c r="AD823" s="7"/>
      <c r="AE823" s="7"/>
      <c r="AF823" s="7"/>
      <c r="AG823" s="8">
        <f t="shared" si="12"/>
        <v>43328</v>
      </c>
    </row>
    <row r="824" spans="1:33">
      <c r="A824" s="7" t="s">
        <v>4506</v>
      </c>
      <c r="B824" s="7" t="s">
        <v>4506</v>
      </c>
      <c r="C824" s="7" t="s">
        <v>4507</v>
      </c>
      <c r="D824" s="7" t="s">
        <v>4508</v>
      </c>
      <c r="E824" s="7" t="s">
        <v>33</v>
      </c>
      <c r="F824" s="7" t="s">
        <v>34</v>
      </c>
      <c r="G824" s="7" t="s">
        <v>35</v>
      </c>
      <c r="H824" s="7"/>
      <c r="I824" s="7"/>
      <c r="J824" s="7" t="s">
        <v>36</v>
      </c>
      <c r="K824" s="7" t="s">
        <v>617</v>
      </c>
      <c r="L824" s="7" t="s">
        <v>618</v>
      </c>
      <c r="M824" s="7" t="s">
        <v>619</v>
      </c>
      <c r="N824" s="7" t="s">
        <v>33</v>
      </c>
      <c r="O824" s="7">
        <v>1</v>
      </c>
      <c r="P824" s="7" t="s">
        <v>40</v>
      </c>
      <c r="Q824" s="7">
        <v>18.99</v>
      </c>
      <c r="R824" s="7"/>
      <c r="S824" s="7"/>
      <c r="T824" s="7"/>
      <c r="U824" s="7"/>
      <c r="V824" s="7"/>
      <c r="W824" s="7"/>
      <c r="X824" s="7"/>
      <c r="Y824" s="7" t="s">
        <v>4445</v>
      </c>
      <c r="Z824" s="7" t="s">
        <v>85</v>
      </c>
      <c r="AA824" s="7" t="s">
        <v>4509</v>
      </c>
      <c r="AB824" s="7" t="s">
        <v>43</v>
      </c>
      <c r="AC824" s="7"/>
      <c r="AD824" s="7"/>
      <c r="AE824" s="7"/>
      <c r="AF824" s="7"/>
      <c r="AG824" s="8">
        <f t="shared" si="12"/>
        <v>43328</v>
      </c>
    </row>
    <row r="825" spans="1:33">
      <c r="A825" s="7" t="s">
        <v>4510</v>
      </c>
      <c r="B825" s="7" t="s">
        <v>4510</v>
      </c>
      <c r="C825" s="7" t="s">
        <v>4511</v>
      </c>
      <c r="D825" s="7" t="s">
        <v>4512</v>
      </c>
      <c r="E825" s="7" t="s">
        <v>33</v>
      </c>
      <c r="F825" s="7" t="s">
        <v>34</v>
      </c>
      <c r="G825" s="7" t="s">
        <v>35</v>
      </c>
      <c r="H825" s="7"/>
      <c r="I825" s="7"/>
      <c r="J825" s="7" t="s">
        <v>36</v>
      </c>
      <c r="K825" s="7" t="s">
        <v>1198</v>
      </c>
      <c r="L825" s="7" t="s">
        <v>1199</v>
      </c>
      <c r="M825" s="7" t="s">
        <v>1200</v>
      </c>
      <c r="N825" s="7" t="s">
        <v>33</v>
      </c>
      <c r="O825" s="7">
        <v>1</v>
      </c>
      <c r="P825" s="7" t="s">
        <v>40</v>
      </c>
      <c r="Q825" s="7">
        <v>18.99</v>
      </c>
      <c r="R825" s="7"/>
      <c r="S825" s="7"/>
      <c r="T825" s="7"/>
      <c r="U825" s="7"/>
      <c r="V825" s="7"/>
      <c r="W825" s="7"/>
      <c r="X825" s="7"/>
      <c r="Y825" s="7" t="s">
        <v>242</v>
      </c>
      <c r="Z825" s="7" t="s">
        <v>227</v>
      </c>
      <c r="AA825" s="7" t="s">
        <v>4513</v>
      </c>
      <c r="AB825" s="7" t="s">
        <v>43</v>
      </c>
      <c r="AC825" s="7"/>
      <c r="AD825" s="7"/>
      <c r="AE825" s="7"/>
      <c r="AF825" s="7"/>
      <c r="AG825" s="8">
        <f t="shared" si="12"/>
        <v>43328</v>
      </c>
    </row>
    <row r="826" spans="1:33">
      <c r="A826" s="7" t="s">
        <v>4514</v>
      </c>
      <c r="B826" s="7" t="s">
        <v>4514</v>
      </c>
      <c r="C826" s="7" t="s">
        <v>4515</v>
      </c>
      <c r="D826" s="7" t="s">
        <v>4516</v>
      </c>
      <c r="E826" s="7" t="s">
        <v>33</v>
      </c>
      <c r="F826" s="7" t="s">
        <v>34</v>
      </c>
      <c r="G826" s="7" t="s">
        <v>35</v>
      </c>
      <c r="H826" s="7"/>
      <c r="I826" s="7"/>
      <c r="J826" s="7" t="s">
        <v>36</v>
      </c>
      <c r="K826" s="7" t="s">
        <v>255</v>
      </c>
      <c r="L826" s="7" t="s">
        <v>256</v>
      </c>
      <c r="M826" s="7" t="s">
        <v>257</v>
      </c>
      <c r="N826" s="7" t="s">
        <v>33</v>
      </c>
      <c r="O826" s="7">
        <v>1</v>
      </c>
      <c r="P826" s="7" t="s">
        <v>40</v>
      </c>
      <c r="Q826" s="7">
        <v>19.99</v>
      </c>
      <c r="R826" s="7"/>
      <c r="S826" s="7"/>
      <c r="T826" s="7"/>
      <c r="U826" s="7"/>
      <c r="V826" s="7"/>
      <c r="W826" s="7"/>
      <c r="X826" s="7"/>
      <c r="Y826" s="7" t="s">
        <v>4517</v>
      </c>
      <c r="Z826" s="7" t="s">
        <v>59</v>
      </c>
      <c r="AA826" s="7" t="s">
        <v>4518</v>
      </c>
      <c r="AB826" s="7" t="s">
        <v>43</v>
      </c>
      <c r="AC826" s="7"/>
      <c r="AD826" s="7"/>
      <c r="AE826" s="7"/>
      <c r="AF826" s="7"/>
      <c r="AG826" s="8">
        <f t="shared" si="12"/>
        <v>43328</v>
      </c>
    </row>
    <row r="827" spans="1:33">
      <c r="A827" s="7" t="s">
        <v>4519</v>
      </c>
      <c r="B827" s="7" t="s">
        <v>4519</v>
      </c>
      <c r="C827" s="7" t="s">
        <v>4520</v>
      </c>
      <c r="D827" s="7" t="s">
        <v>4521</v>
      </c>
      <c r="E827" s="7" t="s">
        <v>33</v>
      </c>
      <c r="F827" s="7" t="s">
        <v>34</v>
      </c>
      <c r="G827" s="7" t="s">
        <v>35</v>
      </c>
      <c r="H827" s="7"/>
      <c r="I827" s="7"/>
      <c r="J827" s="7" t="s">
        <v>36</v>
      </c>
      <c r="K827" s="7" t="s">
        <v>456</v>
      </c>
      <c r="L827" s="7" t="s">
        <v>1280</v>
      </c>
      <c r="M827" s="7" t="s">
        <v>1281</v>
      </c>
      <c r="N827" s="7" t="s">
        <v>33</v>
      </c>
      <c r="O827" s="7">
        <v>1</v>
      </c>
      <c r="P827" s="7" t="s">
        <v>40</v>
      </c>
      <c r="Q827" s="7">
        <v>12.99</v>
      </c>
      <c r="R827" s="7"/>
      <c r="S827" s="7"/>
      <c r="T827" s="7"/>
      <c r="U827" s="7"/>
      <c r="V827" s="7"/>
      <c r="W827" s="7"/>
      <c r="X827" s="7"/>
      <c r="Y827" s="7" t="s">
        <v>4522</v>
      </c>
      <c r="Z827" s="7" t="s">
        <v>345</v>
      </c>
      <c r="AA827" s="7" t="s">
        <v>4523</v>
      </c>
      <c r="AB827" s="7" t="s">
        <v>43</v>
      </c>
      <c r="AC827" s="7"/>
      <c r="AD827" s="7"/>
      <c r="AE827" s="7"/>
      <c r="AF827" s="7"/>
      <c r="AG827" s="8">
        <f t="shared" si="12"/>
        <v>43328</v>
      </c>
    </row>
    <row r="828" spans="1:33">
      <c r="A828" s="7" t="s">
        <v>4524</v>
      </c>
      <c r="B828" s="7" t="s">
        <v>4524</v>
      </c>
      <c r="C828" s="7" t="s">
        <v>4525</v>
      </c>
      <c r="D828" s="7" t="s">
        <v>4526</v>
      </c>
      <c r="E828" s="7" t="s">
        <v>33</v>
      </c>
      <c r="F828" s="7" t="s">
        <v>34</v>
      </c>
      <c r="G828" s="7" t="s">
        <v>35</v>
      </c>
      <c r="H828" s="7"/>
      <c r="I828" s="7"/>
      <c r="J828" s="7" t="s">
        <v>36</v>
      </c>
      <c r="K828" s="7" t="s">
        <v>255</v>
      </c>
      <c r="L828" s="7" t="s">
        <v>256</v>
      </c>
      <c r="M828" s="7" t="s">
        <v>257</v>
      </c>
      <c r="N828" s="7" t="s">
        <v>33</v>
      </c>
      <c r="O828" s="7">
        <v>1</v>
      </c>
      <c r="P828" s="7" t="s">
        <v>40</v>
      </c>
      <c r="Q828" s="7">
        <v>19.99</v>
      </c>
      <c r="R828" s="7"/>
      <c r="S828" s="7"/>
      <c r="T828" s="7"/>
      <c r="U828" s="7"/>
      <c r="V828" s="7"/>
      <c r="W828" s="7"/>
      <c r="X828" s="7"/>
      <c r="Y828" s="7" t="s">
        <v>4527</v>
      </c>
      <c r="Z828" s="7" t="s">
        <v>227</v>
      </c>
      <c r="AA828" s="7" t="s">
        <v>4528</v>
      </c>
      <c r="AB828" s="7" t="s">
        <v>43</v>
      </c>
      <c r="AC828" s="7"/>
      <c r="AD828" s="7"/>
      <c r="AE828" s="7"/>
      <c r="AF828" s="7"/>
      <c r="AG828" s="8">
        <f t="shared" si="12"/>
        <v>43328</v>
      </c>
    </row>
    <row r="829" spans="1:33">
      <c r="A829" s="7" t="s">
        <v>4529</v>
      </c>
      <c r="B829" s="7" t="s">
        <v>4529</v>
      </c>
      <c r="C829" s="7" t="s">
        <v>4530</v>
      </c>
      <c r="D829" s="7" t="s">
        <v>4531</v>
      </c>
      <c r="E829" s="7" t="s">
        <v>33</v>
      </c>
      <c r="F829" s="7" t="s">
        <v>34</v>
      </c>
      <c r="G829" s="7" t="s">
        <v>35</v>
      </c>
      <c r="H829" s="7"/>
      <c r="I829" s="7"/>
      <c r="J829" s="7" t="s">
        <v>36</v>
      </c>
      <c r="K829" s="7" t="s">
        <v>255</v>
      </c>
      <c r="L829" s="7" t="s">
        <v>256</v>
      </c>
      <c r="M829" s="7" t="s">
        <v>257</v>
      </c>
      <c r="N829" s="7" t="s">
        <v>33</v>
      </c>
      <c r="O829" s="7">
        <v>1</v>
      </c>
      <c r="P829" s="7" t="s">
        <v>40</v>
      </c>
      <c r="Q829" s="7">
        <v>19.99</v>
      </c>
      <c r="R829" s="7"/>
      <c r="S829" s="7"/>
      <c r="T829" s="7"/>
      <c r="U829" s="7"/>
      <c r="V829" s="7"/>
      <c r="W829" s="7"/>
      <c r="X829" s="7"/>
      <c r="Y829" s="7" t="s">
        <v>4532</v>
      </c>
      <c r="Z829" s="7" t="s">
        <v>59</v>
      </c>
      <c r="AA829" s="7" t="s">
        <v>4533</v>
      </c>
      <c r="AB829" s="7" t="s">
        <v>43</v>
      </c>
      <c r="AC829" s="7"/>
      <c r="AD829" s="7"/>
      <c r="AE829" s="7"/>
      <c r="AF829" s="7"/>
      <c r="AG829" s="8">
        <f t="shared" si="12"/>
        <v>43328</v>
      </c>
    </row>
    <row r="830" spans="1:33">
      <c r="A830" s="7" t="s">
        <v>4534</v>
      </c>
      <c r="B830" s="7" t="s">
        <v>4534</v>
      </c>
      <c r="C830" s="7" t="s">
        <v>4535</v>
      </c>
      <c r="D830" s="7" t="s">
        <v>4536</v>
      </c>
      <c r="E830" s="7" t="s">
        <v>33</v>
      </c>
      <c r="F830" s="7" t="s">
        <v>34</v>
      </c>
      <c r="G830" s="7" t="s">
        <v>35</v>
      </c>
      <c r="H830" s="7"/>
      <c r="I830" s="7"/>
      <c r="J830" s="7" t="s">
        <v>36</v>
      </c>
      <c r="K830" s="7" t="s">
        <v>37</v>
      </c>
      <c r="L830" s="7" t="s">
        <v>602</v>
      </c>
      <c r="M830" s="7" t="s">
        <v>603</v>
      </c>
      <c r="N830" s="7" t="s">
        <v>33</v>
      </c>
      <c r="O830" s="7">
        <v>1</v>
      </c>
      <c r="P830" s="7" t="s">
        <v>40</v>
      </c>
      <c r="Q830" s="7">
        <v>19.99</v>
      </c>
      <c r="R830" s="7"/>
      <c r="S830" s="7"/>
      <c r="T830" s="7"/>
      <c r="U830" s="7"/>
      <c r="V830" s="7"/>
      <c r="W830" s="7"/>
      <c r="X830" s="7"/>
      <c r="Y830" s="7" t="s">
        <v>4537</v>
      </c>
      <c r="Z830" s="7" t="s">
        <v>59</v>
      </c>
      <c r="AA830" s="7" t="s">
        <v>4538</v>
      </c>
      <c r="AB830" s="7" t="s">
        <v>43</v>
      </c>
      <c r="AC830" s="7"/>
      <c r="AD830" s="7"/>
      <c r="AE830" s="7"/>
      <c r="AF830" s="7"/>
      <c r="AG830" s="8">
        <f t="shared" si="12"/>
        <v>43328</v>
      </c>
    </row>
    <row r="831" spans="1:33">
      <c r="A831" s="7" t="s">
        <v>4539</v>
      </c>
      <c r="B831" s="7" t="s">
        <v>4539</v>
      </c>
      <c r="C831" s="7" t="s">
        <v>4540</v>
      </c>
      <c r="D831" s="7" t="s">
        <v>4541</v>
      </c>
      <c r="E831" s="7" t="s">
        <v>33</v>
      </c>
      <c r="F831" s="7" t="s">
        <v>34</v>
      </c>
      <c r="G831" s="7" t="s">
        <v>35</v>
      </c>
      <c r="H831" s="7"/>
      <c r="I831" s="7"/>
      <c r="J831" s="7" t="s">
        <v>36</v>
      </c>
      <c r="K831" s="7" t="s">
        <v>90</v>
      </c>
      <c r="L831" s="7" t="s">
        <v>284</v>
      </c>
      <c r="M831" s="7" t="s">
        <v>285</v>
      </c>
      <c r="N831" s="7" t="s">
        <v>33</v>
      </c>
      <c r="O831" s="7">
        <v>1</v>
      </c>
      <c r="P831" s="7" t="s">
        <v>40</v>
      </c>
      <c r="Q831" s="7">
        <v>12.99</v>
      </c>
      <c r="R831" s="7"/>
      <c r="S831" s="7"/>
      <c r="T831" s="7"/>
      <c r="U831" s="7"/>
      <c r="V831" s="7"/>
      <c r="W831" s="7"/>
      <c r="X831" s="7"/>
      <c r="Y831" s="7" t="s">
        <v>2356</v>
      </c>
      <c r="Z831" s="7" t="s">
        <v>135</v>
      </c>
      <c r="AA831" s="7" t="s">
        <v>4542</v>
      </c>
      <c r="AB831" s="7" t="s">
        <v>43</v>
      </c>
      <c r="AC831" s="7"/>
      <c r="AD831" s="7"/>
      <c r="AE831" s="7"/>
      <c r="AF831" s="7"/>
      <c r="AG831" s="8">
        <f t="shared" si="12"/>
        <v>43328</v>
      </c>
    </row>
    <row r="832" spans="1:33">
      <c r="A832" s="7" t="s">
        <v>4543</v>
      </c>
      <c r="B832" s="7" t="s">
        <v>4543</v>
      </c>
      <c r="C832" s="7" t="s">
        <v>4544</v>
      </c>
      <c r="D832" s="7" t="s">
        <v>4545</v>
      </c>
      <c r="E832" s="7" t="s">
        <v>33</v>
      </c>
      <c r="F832" s="7" t="s">
        <v>34</v>
      </c>
      <c r="G832" s="7" t="s">
        <v>35</v>
      </c>
      <c r="H832" s="7"/>
      <c r="I832" s="7"/>
      <c r="J832" s="7" t="s">
        <v>36</v>
      </c>
      <c r="K832" s="7" t="s">
        <v>90</v>
      </c>
      <c r="L832" s="7" t="s">
        <v>91</v>
      </c>
      <c r="M832" s="7" t="s">
        <v>92</v>
      </c>
      <c r="N832" s="7" t="s">
        <v>33</v>
      </c>
      <c r="O832" s="7">
        <v>1</v>
      </c>
      <c r="P832" s="7" t="s">
        <v>40</v>
      </c>
      <c r="Q832" s="7">
        <v>12.99</v>
      </c>
      <c r="R832" s="7"/>
      <c r="S832" s="7"/>
      <c r="T832" s="7"/>
      <c r="U832" s="7"/>
      <c r="V832" s="7"/>
      <c r="W832" s="7"/>
      <c r="X832" s="7"/>
      <c r="Y832" s="7" t="s">
        <v>4546</v>
      </c>
      <c r="Z832" s="7" t="s">
        <v>646</v>
      </c>
      <c r="AA832" s="7" t="s">
        <v>4547</v>
      </c>
      <c r="AB832" s="7" t="s">
        <v>43</v>
      </c>
      <c r="AC832" s="7"/>
      <c r="AD832" s="7"/>
      <c r="AE832" s="7"/>
      <c r="AF832" s="7"/>
      <c r="AG832" s="8">
        <f t="shared" si="12"/>
        <v>43328</v>
      </c>
    </row>
    <row r="833" spans="1:33">
      <c r="A833" s="7" t="s">
        <v>4548</v>
      </c>
      <c r="B833" s="7" t="s">
        <v>4548</v>
      </c>
      <c r="C833" s="7" t="s">
        <v>4549</v>
      </c>
      <c r="D833" s="7" t="s">
        <v>4550</v>
      </c>
      <c r="E833" s="7" t="s">
        <v>33</v>
      </c>
      <c r="F833" s="7" t="s">
        <v>34</v>
      </c>
      <c r="G833" s="7" t="s">
        <v>35</v>
      </c>
      <c r="H833" s="7"/>
      <c r="I833" s="7"/>
      <c r="J833" s="7" t="s">
        <v>336</v>
      </c>
      <c r="K833" s="7" t="s">
        <v>247</v>
      </c>
      <c r="L833" s="7" t="s">
        <v>248</v>
      </c>
      <c r="M833" s="7" t="s">
        <v>249</v>
      </c>
      <c r="N833" s="7" t="s">
        <v>33</v>
      </c>
      <c r="O833" s="7">
        <v>1</v>
      </c>
      <c r="P833" s="7" t="s">
        <v>40</v>
      </c>
      <c r="Q833" s="7">
        <v>18.99</v>
      </c>
      <c r="R833" s="7">
        <v>0.85</v>
      </c>
      <c r="S833" s="7"/>
      <c r="T833" s="7"/>
      <c r="U833" s="7"/>
      <c r="V833" s="7"/>
      <c r="W833" s="7"/>
      <c r="X833" s="7"/>
      <c r="Y833" s="7" t="s">
        <v>4551</v>
      </c>
      <c r="Z833" s="7" t="s">
        <v>842</v>
      </c>
      <c r="AA833" s="7" t="s">
        <v>4552</v>
      </c>
      <c r="AB833" s="7" t="s">
        <v>43</v>
      </c>
      <c r="AC833" s="7"/>
      <c r="AD833" s="7"/>
      <c r="AE833" s="7"/>
      <c r="AF833" s="7"/>
      <c r="AG833" s="8">
        <f t="shared" si="12"/>
        <v>43328</v>
      </c>
    </row>
    <row r="834" spans="1:33">
      <c r="A834" s="7" t="s">
        <v>4553</v>
      </c>
      <c r="B834" s="7" t="s">
        <v>4553</v>
      </c>
      <c r="C834" s="7" t="s">
        <v>4554</v>
      </c>
      <c r="D834" s="7" t="s">
        <v>4555</v>
      </c>
      <c r="E834" s="7" t="s">
        <v>33</v>
      </c>
      <c r="F834" s="7" t="s">
        <v>34</v>
      </c>
      <c r="G834" s="7" t="s">
        <v>35</v>
      </c>
      <c r="H834" s="7"/>
      <c r="I834" s="7"/>
      <c r="J834" s="7" t="s">
        <v>36</v>
      </c>
      <c r="K834" s="7" t="s">
        <v>456</v>
      </c>
      <c r="L834" s="7" t="s">
        <v>1280</v>
      </c>
      <c r="M834" s="7" t="s">
        <v>1281</v>
      </c>
      <c r="N834" s="7" t="s">
        <v>33</v>
      </c>
      <c r="O834" s="7">
        <v>1</v>
      </c>
      <c r="P834" s="7" t="s">
        <v>40</v>
      </c>
      <c r="Q834" s="7">
        <v>12.99</v>
      </c>
      <c r="R834" s="7"/>
      <c r="S834" s="7"/>
      <c r="T834" s="7"/>
      <c r="U834" s="7"/>
      <c r="V834" s="7"/>
      <c r="W834" s="7"/>
      <c r="X834" s="7"/>
      <c r="Y834" s="7" t="s">
        <v>1601</v>
      </c>
      <c r="Z834" s="7" t="s">
        <v>85</v>
      </c>
      <c r="AA834" s="7" t="s">
        <v>4556</v>
      </c>
      <c r="AB834" s="7" t="s">
        <v>43</v>
      </c>
      <c r="AC834" s="7"/>
      <c r="AD834" s="7"/>
      <c r="AE834" s="7"/>
      <c r="AF834" s="7"/>
      <c r="AG834" s="8">
        <f t="shared" ref="AG834:AG897" si="13">DATEVALUE(LEFT(C834,10))</f>
        <v>43328</v>
      </c>
    </row>
    <row r="835" spans="1:33">
      <c r="A835" s="7" t="s">
        <v>4557</v>
      </c>
      <c r="B835" s="7" t="s">
        <v>4557</v>
      </c>
      <c r="C835" s="7" t="s">
        <v>4558</v>
      </c>
      <c r="D835" s="7" t="s">
        <v>4559</v>
      </c>
      <c r="E835" s="7" t="s">
        <v>33</v>
      </c>
      <c r="F835" s="7" t="s">
        <v>34</v>
      </c>
      <c r="G835" s="7" t="s">
        <v>35</v>
      </c>
      <c r="H835" s="7"/>
      <c r="I835" s="7"/>
      <c r="J835" s="7" t="s">
        <v>36</v>
      </c>
      <c r="K835" s="7" t="s">
        <v>47</v>
      </c>
      <c r="L835" s="7" t="s">
        <v>1206</v>
      </c>
      <c r="M835" s="7" t="s">
        <v>1207</v>
      </c>
      <c r="N835" s="7" t="s">
        <v>33</v>
      </c>
      <c r="O835" s="7">
        <v>1</v>
      </c>
      <c r="P835" s="7" t="s">
        <v>40</v>
      </c>
      <c r="Q835" s="7">
        <v>16.99</v>
      </c>
      <c r="R835" s="7"/>
      <c r="S835" s="7"/>
      <c r="T835" s="7"/>
      <c r="U835" s="7"/>
      <c r="V835" s="7"/>
      <c r="W835" s="7"/>
      <c r="X835" s="7"/>
      <c r="Y835" s="7" t="s">
        <v>4560</v>
      </c>
      <c r="Z835" s="7" t="s">
        <v>2526</v>
      </c>
      <c r="AA835" s="7" t="s">
        <v>4561</v>
      </c>
      <c r="AB835" s="7" t="s">
        <v>43</v>
      </c>
      <c r="AC835" s="7"/>
      <c r="AD835" s="7"/>
      <c r="AE835" s="7"/>
      <c r="AF835" s="7"/>
      <c r="AG835" s="8">
        <f t="shared" si="13"/>
        <v>43328</v>
      </c>
    </row>
    <row r="836" spans="1:33">
      <c r="A836" s="7" t="s">
        <v>4562</v>
      </c>
      <c r="B836" s="7" t="s">
        <v>4562</v>
      </c>
      <c r="C836" s="7" t="s">
        <v>4563</v>
      </c>
      <c r="D836" s="7" t="s">
        <v>4564</v>
      </c>
      <c r="E836" s="7" t="s">
        <v>33</v>
      </c>
      <c r="F836" s="7" t="s">
        <v>34</v>
      </c>
      <c r="G836" s="7" t="s">
        <v>35</v>
      </c>
      <c r="H836" s="7"/>
      <c r="I836" s="7"/>
      <c r="J836" s="7" t="s">
        <v>64</v>
      </c>
      <c r="K836" s="7" t="s">
        <v>90</v>
      </c>
      <c r="L836" s="7" t="s">
        <v>540</v>
      </c>
      <c r="M836" s="7" t="s">
        <v>541</v>
      </c>
      <c r="N836" s="7" t="s">
        <v>33</v>
      </c>
      <c r="O836" s="7">
        <v>1</v>
      </c>
      <c r="P836" s="7" t="s">
        <v>40</v>
      </c>
      <c r="Q836" s="7">
        <v>12.99</v>
      </c>
      <c r="R836" s="7"/>
      <c r="S836" s="7">
        <v>9.65</v>
      </c>
      <c r="T836" s="7"/>
      <c r="U836" s="7"/>
      <c r="V836" s="7"/>
      <c r="W836" s="7"/>
      <c r="X836" s="7"/>
      <c r="Y836" s="7" t="s">
        <v>801</v>
      </c>
      <c r="Z836" s="7" t="s">
        <v>135</v>
      </c>
      <c r="AA836" s="7" t="s">
        <v>4565</v>
      </c>
      <c r="AB836" s="7" t="s">
        <v>43</v>
      </c>
      <c r="AC836" s="7"/>
      <c r="AD836" s="7"/>
      <c r="AE836" s="7"/>
      <c r="AF836" s="7"/>
      <c r="AG836" s="8">
        <f t="shared" si="13"/>
        <v>43328</v>
      </c>
    </row>
    <row r="837" spans="1:33">
      <c r="A837" s="7" t="s">
        <v>4566</v>
      </c>
      <c r="B837" s="7" t="s">
        <v>4566</v>
      </c>
      <c r="C837" s="7" t="s">
        <v>4567</v>
      </c>
      <c r="D837" s="7" t="s">
        <v>4568</v>
      </c>
      <c r="E837" s="7" t="s">
        <v>33</v>
      </c>
      <c r="F837" s="7" t="s">
        <v>34</v>
      </c>
      <c r="G837" s="7" t="s">
        <v>35</v>
      </c>
      <c r="H837" s="7"/>
      <c r="I837" s="7"/>
      <c r="J837" s="7" t="s">
        <v>36</v>
      </c>
      <c r="K837" s="7" t="s">
        <v>497</v>
      </c>
      <c r="L837" s="7" t="s">
        <v>1741</v>
      </c>
      <c r="M837" s="7" t="s">
        <v>1742</v>
      </c>
      <c r="N837" s="7" t="s">
        <v>33</v>
      </c>
      <c r="O837" s="7">
        <v>1</v>
      </c>
      <c r="P837" s="7" t="s">
        <v>40</v>
      </c>
      <c r="Q837" s="7">
        <v>19.99</v>
      </c>
      <c r="R837" s="7">
        <v>1.72</v>
      </c>
      <c r="S837" s="7"/>
      <c r="T837" s="7"/>
      <c r="U837" s="7"/>
      <c r="V837" s="7"/>
      <c r="W837" s="7"/>
      <c r="X837" s="7"/>
      <c r="Y837" s="7" t="s">
        <v>1556</v>
      </c>
      <c r="Z837" s="7" t="s">
        <v>882</v>
      </c>
      <c r="AA837" s="7" t="s">
        <v>4569</v>
      </c>
      <c r="AB837" s="7" t="s">
        <v>43</v>
      </c>
      <c r="AC837" s="7"/>
      <c r="AD837" s="7"/>
      <c r="AE837" s="7"/>
      <c r="AF837" s="7"/>
      <c r="AG837" s="8">
        <f t="shared" si="13"/>
        <v>43328</v>
      </c>
    </row>
    <row r="838" spans="1:33">
      <c r="A838" s="7" t="s">
        <v>4566</v>
      </c>
      <c r="B838" s="7" t="s">
        <v>4566</v>
      </c>
      <c r="C838" s="7" t="s">
        <v>4567</v>
      </c>
      <c r="D838" s="7" t="s">
        <v>4568</v>
      </c>
      <c r="E838" s="7" t="s">
        <v>33</v>
      </c>
      <c r="F838" s="7" t="s">
        <v>34</v>
      </c>
      <c r="G838" s="7" t="s">
        <v>35</v>
      </c>
      <c r="H838" s="7"/>
      <c r="I838" s="7"/>
      <c r="J838" s="7" t="s">
        <v>36</v>
      </c>
      <c r="K838" s="7" t="s">
        <v>255</v>
      </c>
      <c r="L838" s="7" t="s">
        <v>256</v>
      </c>
      <c r="M838" s="7" t="s">
        <v>257</v>
      </c>
      <c r="N838" s="7" t="s">
        <v>33</v>
      </c>
      <c r="O838" s="7">
        <v>1</v>
      </c>
      <c r="P838" s="7" t="s">
        <v>40</v>
      </c>
      <c r="Q838" s="7">
        <v>19.99</v>
      </c>
      <c r="R838" s="7">
        <v>1.72</v>
      </c>
      <c r="S838" s="7"/>
      <c r="T838" s="7"/>
      <c r="U838" s="7"/>
      <c r="V838" s="7"/>
      <c r="W838" s="7"/>
      <c r="X838" s="7"/>
      <c r="Y838" s="7" t="s">
        <v>1556</v>
      </c>
      <c r="Z838" s="7" t="s">
        <v>882</v>
      </c>
      <c r="AA838" s="7" t="s">
        <v>4569</v>
      </c>
      <c r="AB838" s="7" t="s">
        <v>43</v>
      </c>
      <c r="AC838" s="7"/>
      <c r="AD838" s="7"/>
      <c r="AE838" s="7"/>
      <c r="AF838" s="7"/>
      <c r="AG838" s="8">
        <f t="shared" si="13"/>
        <v>43328</v>
      </c>
    </row>
    <row r="839" spans="1:33">
      <c r="A839" s="7" t="s">
        <v>4570</v>
      </c>
      <c r="B839" s="7" t="s">
        <v>4570</v>
      </c>
      <c r="C839" s="7" t="s">
        <v>4571</v>
      </c>
      <c r="D839" s="7" t="s">
        <v>4572</v>
      </c>
      <c r="E839" s="7" t="s">
        <v>33</v>
      </c>
      <c r="F839" s="7" t="s">
        <v>34</v>
      </c>
      <c r="G839" s="7" t="s">
        <v>35</v>
      </c>
      <c r="H839" s="7"/>
      <c r="I839" s="7"/>
      <c r="J839" s="7" t="s">
        <v>36</v>
      </c>
      <c r="K839" s="7" t="s">
        <v>47</v>
      </c>
      <c r="L839" s="7" t="s">
        <v>4573</v>
      </c>
      <c r="M839" s="7" t="s">
        <v>4574</v>
      </c>
      <c r="N839" s="7" t="s">
        <v>33</v>
      </c>
      <c r="O839" s="7">
        <v>1</v>
      </c>
      <c r="P839" s="7" t="s">
        <v>40</v>
      </c>
      <c r="Q839" s="7">
        <v>16.99</v>
      </c>
      <c r="R839" s="7"/>
      <c r="S839" s="7"/>
      <c r="T839" s="7"/>
      <c r="U839" s="7"/>
      <c r="V839" s="7"/>
      <c r="W839" s="7"/>
      <c r="X839" s="7"/>
      <c r="Y839" s="7" t="s">
        <v>4575</v>
      </c>
      <c r="Z839" s="7" t="s">
        <v>829</v>
      </c>
      <c r="AA839" s="7" t="s">
        <v>4576</v>
      </c>
      <c r="AB839" s="7" t="s">
        <v>43</v>
      </c>
      <c r="AC839" s="7"/>
      <c r="AD839" s="7"/>
      <c r="AE839" s="7"/>
      <c r="AF839" s="7"/>
      <c r="AG839" s="8">
        <f t="shared" si="13"/>
        <v>43328</v>
      </c>
    </row>
    <row r="840" spans="1:33">
      <c r="A840" s="7" t="s">
        <v>4577</v>
      </c>
      <c r="B840" s="7" t="s">
        <v>4577</v>
      </c>
      <c r="C840" s="7" t="s">
        <v>4578</v>
      </c>
      <c r="D840" s="7" t="s">
        <v>4579</v>
      </c>
      <c r="E840" s="7" t="s">
        <v>99</v>
      </c>
      <c r="F840" s="7" t="s">
        <v>34</v>
      </c>
      <c r="G840" s="7" t="s">
        <v>35</v>
      </c>
      <c r="H840" s="7"/>
      <c r="I840" s="7"/>
      <c r="J840" s="7" t="s">
        <v>36</v>
      </c>
      <c r="K840" s="7" t="s">
        <v>255</v>
      </c>
      <c r="L840" s="7" t="s">
        <v>256</v>
      </c>
      <c r="M840" s="7" t="s">
        <v>257</v>
      </c>
      <c r="N840" s="7" t="s">
        <v>99</v>
      </c>
      <c r="O840" s="7">
        <v>0</v>
      </c>
      <c r="P840" s="7"/>
      <c r="Q840" s="7"/>
      <c r="R840" s="7"/>
      <c r="S840" s="7"/>
      <c r="T840" s="7"/>
      <c r="U840" s="7"/>
      <c r="V840" s="7"/>
      <c r="W840" s="7"/>
      <c r="X840" s="7"/>
      <c r="Y840" s="7" t="s">
        <v>791</v>
      </c>
      <c r="Z840" s="7" t="s">
        <v>59</v>
      </c>
      <c r="AA840" s="7" t="s">
        <v>3713</v>
      </c>
      <c r="AB840" s="7" t="s">
        <v>43</v>
      </c>
      <c r="AC840" s="7"/>
      <c r="AD840" s="7"/>
      <c r="AE840" s="7"/>
      <c r="AF840" s="7"/>
      <c r="AG840" s="8">
        <f t="shared" si="13"/>
        <v>43328</v>
      </c>
    </row>
    <row r="841" spans="1:33">
      <c r="A841" s="7" t="s">
        <v>4580</v>
      </c>
      <c r="B841" s="7" t="s">
        <v>4580</v>
      </c>
      <c r="C841" s="7" t="s">
        <v>4581</v>
      </c>
      <c r="D841" s="7" t="s">
        <v>4582</v>
      </c>
      <c r="E841" s="7" t="s">
        <v>33</v>
      </c>
      <c r="F841" s="7" t="s">
        <v>34</v>
      </c>
      <c r="G841" s="7" t="s">
        <v>35</v>
      </c>
      <c r="H841" s="7"/>
      <c r="I841" s="7"/>
      <c r="J841" s="7" t="s">
        <v>36</v>
      </c>
      <c r="K841" s="7" t="s">
        <v>456</v>
      </c>
      <c r="L841" s="7" t="s">
        <v>1280</v>
      </c>
      <c r="M841" s="7" t="s">
        <v>1281</v>
      </c>
      <c r="N841" s="7" t="s">
        <v>33</v>
      </c>
      <c r="O841" s="7">
        <v>1</v>
      </c>
      <c r="P841" s="7" t="s">
        <v>40</v>
      </c>
      <c r="Q841" s="7">
        <v>12.99</v>
      </c>
      <c r="R841" s="7"/>
      <c r="S841" s="7"/>
      <c r="T841" s="7"/>
      <c r="U841" s="7"/>
      <c r="V841" s="7"/>
      <c r="W841" s="7"/>
      <c r="X841" s="7"/>
      <c r="Y841" s="7" t="s">
        <v>2782</v>
      </c>
      <c r="Z841" s="7" t="s">
        <v>174</v>
      </c>
      <c r="AA841" s="7" t="s">
        <v>2783</v>
      </c>
      <c r="AB841" s="7" t="s">
        <v>43</v>
      </c>
      <c r="AC841" s="7"/>
      <c r="AD841" s="7"/>
      <c r="AE841" s="7"/>
      <c r="AF841" s="7"/>
      <c r="AG841" s="8">
        <f t="shared" si="13"/>
        <v>43328</v>
      </c>
    </row>
    <row r="842" spans="1:33">
      <c r="A842" s="7" t="s">
        <v>4583</v>
      </c>
      <c r="B842" s="7" t="s">
        <v>4583</v>
      </c>
      <c r="C842" s="7" t="s">
        <v>4584</v>
      </c>
      <c r="D842" s="7" t="s">
        <v>4585</v>
      </c>
      <c r="E842" s="7" t="s">
        <v>33</v>
      </c>
      <c r="F842" s="7" t="s">
        <v>34</v>
      </c>
      <c r="G842" s="7" t="s">
        <v>35</v>
      </c>
      <c r="H842" s="7"/>
      <c r="I842" s="7"/>
      <c r="J842" s="7" t="s">
        <v>36</v>
      </c>
      <c r="K842" s="7" t="s">
        <v>47</v>
      </c>
      <c r="L842" s="7" t="s">
        <v>4586</v>
      </c>
      <c r="M842" s="7" t="s">
        <v>4587</v>
      </c>
      <c r="N842" s="7" t="s">
        <v>33</v>
      </c>
      <c r="O842" s="7">
        <v>1</v>
      </c>
      <c r="P842" s="7" t="s">
        <v>40</v>
      </c>
      <c r="Q842" s="7">
        <v>16.99</v>
      </c>
      <c r="R842" s="7"/>
      <c r="S842" s="7"/>
      <c r="T842" s="7"/>
      <c r="U842" s="7"/>
      <c r="V842" s="7"/>
      <c r="W842" s="7"/>
      <c r="X842" s="7"/>
      <c r="Y842" s="7" t="s">
        <v>4588</v>
      </c>
      <c r="Z842" s="7" t="s">
        <v>447</v>
      </c>
      <c r="AA842" s="7" t="s">
        <v>4589</v>
      </c>
      <c r="AB842" s="7" t="s">
        <v>43</v>
      </c>
      <c r="AC842" s="7"/>
      <c r="AD842" s="7"/>
      <c r="AE842" s="7"/>
      <c r="AF842" s="7"/>
      <c r="AG842" s="8">
        <f t="shared" si="13"/>
        <v>43328</v>
      </c>
    </row>
    <row r="843" spans="1:33">
      <c r="A843" s="7" t="s">
        <v>4583</v>
      </c>
      <c r="B843" s="7" t="s">
        <v>4583</v>
      </c>
      <c r="C843" s="7" t="s">
        <v>4584</v>
      </c>
      <c r="D843" s="7" t="s">
        <v>4585</v>
      </c>
      <c r="E843" s="7" t="s">
        <v>33</v>
      </c>
      <c r="F843" s="7" t="s">
        <v>34</v>
      </c>
      <c r="G843" s="7" t="s">
        <v>35</v>
      </c>
      <c r="H843" s="7"/>
      <c r="I843" s="7"/>
      <c r="J843" s="7" t="s">
        <v>36</v>
      </c>
      <c r="K843" s="7" t="s">
        <v>47</v>
      </c>
      <c r="L843" s="7" t="s">
        <v>1206</v>
      </c>
      <c r="M843" s="7" t="s">
        <v>1207</v>
      </c>
      <c r="N843" s="7" t="s">
        <v>33</v>
      </c>
      <c r="O843" s="7">
        <v>1</v>
      </c>
      <c r="P843" s="7" t="s">
        <v>40</v>
      </c>
      <c r="Q843" s="7">
        <v>16.99</v>
      </c>
      <c r="R843" s="7"/>
      <c r="S843" s="7"/>
      <c r="T843" s="7"/>
      <c r="U843" s="7"/>
      <c r="V843" s="7"/>
      <c r="W843" s="7"/>
      <c r="X843" s="7"/>
      <c r="Y843" s="7" t="s">
        <v>4588</v>
      </c>
      <c r="Z843" s="7" t="s">
        <v>447</v>
      </c>
      <c r="AA843" s="7" t="s">
        <v>4589</v>
      </c>
      <c r="AB843" s="7" t="s">
        <v>43</v>
      </c>
      <c r="AC843" s="7"/>
      <c r="AD843" s="7"/>
      <c r="AE843" s="7"/>
      <c r="AF843" s="7"/>
      <c r="AG843" s="8">
        <f t="shared" si="13"/>
        <v>43328</v>
      </c>
    </row>
    <row r="844" spans="1:33">
      <c r="A844" s="7" t="s">
        <v>4590</v>
      </c>
      <c r="B844" s="7" t="s">
        <v>4590</v>
      </c>
      <c r="C844" s="7" t="s">
        <v>4591</v>
      </c>
      <c r="D844" s="7" t="s">
        <v>4592</v>
      </c>
      <c r="E844" s="7" t="s">
        <v>33</v>
      </c>
      <c r="F844" s="7" t="s">
        <v>34</v>
      </c>
      <c r="G844" s="7" t="s">
        <v>35</v>
      </c>
      <c r="H844" s="7"/>
      <c r="I844" s="7"/>
      <c r="J844" s="7" t="s">
        <v>36</v>
      </c>
      <c r="K844" s="7" t="s">
        <v>90</v>
      </c>
      <c r="L844" s="7" t="s">
        <v>140</v>
      </c>
      <c r="M844" s="7" t="s">
        <v>141</v>
      </c>
      <c r="N844" s="7" t="s">
        <v>33</v>
      </c>
      <c r="O844" s="7">
        <v>1</v>
      </c>
      <c r="P844" s="7" t="s">
        <v>40</v>
      </c>
      <c r="Q844" s="7">
        <v>12.99</v>
      </c>
      <c r="R844" s="7"/>
      <c r="S844" s="7"/>
      <c r="T844" s="7"/>
      <c r="U844" s="7"/>
      <c r="V844" s="7"/>
      <c r="W844" s="7"/>
      <c r="X844" s="7"/>
      <c r="Y844" s="7" t="s">
        <v>4593</v>
      </c>
      <c r="Z844" s="7" t="s">
        <v>115</v>
      </c>
      <c r="AA844" s="7" t="s">
        <v>4594</v>
      </c>
      <c r="AB844" s="7" t="s">
        <v>43</v>
      </c>
      <c r="AC844" s="7"/>
      <c r="AD844" s="7"/>
      <c r="AE844" s="7"/>
      <c r="AF844" s="7"/>
      <c r="AG844" s="8">
        <f t="shared" si="13"/>
        <v>43328</v>
      </c>
    </row>
    <row r="845" spans="1:33">
      <c r="A845" s="7" t="s">
        <v>4595</v>
      </c>
      <c r="B845" s="7" t="s">
        <v>4596</v>
      </c>
      <c r="C845" s="7" t="s">
        <v>4597</v>
      </c>
      <c r="D845" s="7" t="s">
        <v>4598</v>
      </c>
      <c r="E845" s="7" t="s">
        <v>33</v>
      </c>
      <c r="F845" s="7" t="s">
        <v>34</v>
      </c>
      <c r="G845" s="7" t="s">
        <v>946</v>
      </c>
      <c r="H845" s="7"/>
      <c r="I845" s="7"/>
      <c r="J845" s="7" t="s">
        <v>336</v>
      </c>
      <c r="K845" s="7" t="s">
        <v>947</v>
      </c>
      <c r="L845" s="7" t="s">
        <v>948</v>
      </c>
      <c r="M845" s="7" t="s">
        <v>949</v>
      </c>
      <c r="N845" s="7" t="s">
        <v>459</v>
      </c>
      <c r="O845" s="7">
        <v>1</v>
      </c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8">
        <f t="shared" si="13"/>
        <v>43329</v>
      </c>
    </row>
    <row r="846" spans="1:33">
      <c r="A846" s="7" t="s">
        <v>4599</v>
      </c>
      <c r="B846" s="7" t="s">
        <v>4599</v>
      </c>
      <c r="C846" s="7" t="s">
        <v>4600</v>
      </c>
      <c r="D846" s="7" t="s">
        <v>4601</v>
      </c>
      <c r="E846" s="7" t="s">
        <v>33</v>
      </c>
      <c r="F846" s="7" t="s">
        <v>34</v>
      </c>
      <c r="G846" s="7" t="s">
        <v>35</v>
      </c>
      <c r="H846" s="7"/>
      <c r="I846" s="7"/>
      <c r="J846" s="7" t="s">
        <v>36</v>
      </c>
      <c r="K846" s="7" t="s">
        <v>90</v>
      </c>
      <c r="L846" s="7" t="s">
        <v>284</v>
      </c>
      <c r="M846" s="7" t="s">
        <v>285</v>
      </c>
      <c r="N846" s="7" t="s">
        <v>33</v>
      </c>
      <c r="O846" s="7">
        <v>1</v>
      </c>
      <c r="P846" s="7" t="s">
        <v>40</v>
      </c>
      <c r="Q846" s="7">
        <v>12.99</v>
      </c>
      <c r="R846" s="7"/>
      <c r="S846" s="7"/>
      <c r="T846" s="7"/>
      <c r="U846" s="7"/>
      <c r="V846" s="7"/>
      <c r="W846" s="7"/>
      <c r="X846" s="7"/>
      <c r="Y846" s="7" t="s">
        <v>4602</v>
      </c>
      <c r="Z846" s="7" t="s">
        <v>165</v>
      </c>
      <c r="AA846" s="7" t="s">
        <v>4603</v>
      </c>
      <c r="AB846" s="7" t="s">
        <v>43</v>
      </c>
      <c r="AC846" s="7"/>
      <c r="AD846" s="7"/>
      <c r="AE846" s="7"/>
      <c r="AF846" s="7"/>
      <c r="AG846" s="8">
        <f t="shared" si="13"/>
        <v>43329</v>
      </c>
    </row>
    <row r="847" spans="1:33">
      <c r="A847" s="7" t="s">
        <v>4604</v>
      </c>
      <c r="B847" s="7" t="s">
        <v>4604</v>
      </c>
      <c r="C847" s="7" t="s">
        <v>4605</v>
      </c>
      <c r="D847" s="7" t="s">
        <v>4606</v>
      </c>
      <c r="E847" s="7" t="s">
        <v>33</v>
      </c>
      <c r="F847" s="7" t="s">
        <v>34</v>
      </c>
      <c r="G847" s="7" t="s">
        <v>35</v>
      </c>
      <c r="H847" s="7"/>
      <c r="I847" s="7"/>
      <c r="J847" s="7" t="s">
        <v>36</v>
      </c>
      <c r="K847" s="7" t="s">
        <v>90</v>
      </c>
      <c r="L847" s="7" t="s">
        <v>540</v>
      </c>
      <c r="M847" s="7" t="s">
        <v>541</v>
      </c>
      <c r="N847" s="7" t="s">
        <v>33</v>
      </c>
      <c r="O847" s="7">
        <v>1</v>
      </c>
      <c r="P847" s="7" t="s">
        <v>40</v>
      </c>
      <c r="Q847" s="7">
        <v>12.99</v>
      </c>
      <c r="R847" s="7"/>
      <c r="S847" s="7"/>
      <c r="T847" s="7"/>
      <c r="U847" s="7"/>
      <c r="V847" s="7"/>
      <c r="W847" s="7"/>
      <c r="X847" s="7"/>
      <c r="Y847" s="7" t="s">
        <v>1848</v>
      </c>
      <c r="Z847" s="7" t="s">
        <v>266</v>
      </c>
      <c r="AA847" s="7" t="s">
        <v>4607</v>
      </c>
      <c r="AB847" s="7" t="s">
        <v>43</v>
      </c>
      <c r="AC847" s="7"/>
      <c r="AD847" s="7"/>
      <c r="AE847" s="7"/>
      <c r="AF847" s="7"/>
      <c r="AG847" s="8">
        <f t="shared" si="13"/>
        <v>43329</v>
      </c>
    </row>
    <row r="848" spans="1:33">
      <c r="A848" s="7" t="s">
        <v>4608</v>
      </c>
      <c r="B848" s="7" t="s">
        <v>4608</v>
      </c>
      <c r="C848" s="7" t="s">
        <v>4609</v>
      </c>
      <c r="D848" s="7" t="s">
        <v>4610</v>
      </c>
      <c r="E848" s="7" t="s">
        <v>33</v>
      </c>
      <c r="F848" s="7" t="s">
        <v>34</v>
      </c>
      <c r="G848" s="7" t="s">
        <v>35</v>
      </c>
      <c r="H848" s="7"/>
      <c r="I848" s="7"/>
      <c r="J848" s="7" t="s">
        <v>36</v>
      </c>
      <c r="K848" s="7" t="s">
        <v>90</v>
      </c>
      <c r="L848" s="7" t="s">
        <v>91</v>
      </c>
      <c r="M848" s="7" t="s">
        <v>92</v>
      </c>
      <c r="N848" s="7" t="s">
        <v>33</v>
      </c>
      <c r="O848" s="7">
        <v>1</v>
      </c>
      <c r="P848" s="7" t="s">
        <v>40</v>
      </c>
      <c r="Q848" s="7">
        <v>12.99</v>
      </c>
      <c r="R848" s="7"/>
      <c r="S848" s="7"/>
      <c r="T848" s="7"/>
      <c r="U848" s="7"/>
      <c r="V848" s="7"/>
      <c r="W848" s="7"/>
      <c r="X848" s="7"/>
      <c r="Y848" s="7" t="s">
        <v>4611</v>
      </c>
      <c r="Z848" s="7" t="s">
        <v>94</v>
      </c>
      <c r="AA848" s="7" t="s">
        <v>4612</v>
      </c>
      <c r="AB848" s="7" t="s">
        <v>43</v>
      </c>
      <c r="AC848" s="7"/>
      <c r="AD848" s="7"/>
      <c r="AE848" s="7"/>
      <c r="AF848" s="7"/>
      <c r="AG848" s="8">
        <f t="shared" si="13"/>
        <v>43329</v>
      </c>
    </row>
    <row r="849" spans="1:33">
      <c r="A849" s="7" t="s">
        <v>4613</v>
      </c>
      <c r="B849" s="7" t="s">
        <v>4613</v>
      </c>
      <c r="C849" s="7" t="s">
        <v>4614</v>
      </c>
      <c r="D849" s="7" t="s">
        <v>4615</v>
      </c>
      <c r="E849" s="7" t="s">
        <v>33</v>
      </c>
      <c r="F849" s="7" t="s">
        <v>34</v>
      </c>
      <c r="G849" s="7" t="s">
        <v>35</v>
      </c>
      <c r="H849" s="7"/>
      <c r="I849" s="7"/>
      <c r="J849" s="7" t="s">
        <v>36</v>
      </c>
      <c r="K849" s="7" t="s">
        <v>247</v>
      </c>
      <c r="L849" s="7" t="s">
        <v>248</v>
      </c>
      <c r="M849" s="7" t="s">
        <v>249</v>
      </c>
      <c r="N849" s="7" t="s">
        <v>33</v>
      </c>
      <c r="O849" s="7">
        <v>1</v>
      </c>
      <c r="P849" s="7" t="s">
        <v>40</v>
      </c>
      <c r="Q849" s="7">
        <v>18.99</v>
      </c>
      <c r="R849" s="7"/>
      <c r="S849" s="7"/>
      <c r="T849" s="7"/>
      <c r="U849" s="7"/>
      <c r="V849" s="7"/>
      <c r="W849" s="7"/>
      <c r="X849" s="7"/>
      <c r="Y849" s="7" t="s">
        <v>4616</v>
      </c>
      <c r="Z849" s="7" t="s">
        <v>174</v>
      </c>
      <c r="AA849" s="7" t="s">
        <v>4617</v>
      </c>
      <c r="AB849" s="7" t="s">
        <v>43</v>
      </c>
      <c r="AC849" s="7"/>
      <c r="AD849" s="7"/>
      <c r="AE849" s="7"/>
      <c r="AF849" s="7"/>
      <c r="AG849" s="8">
        <f t="shared" si="13"/>
        <v>43329</v>
      </c>
    </row>
    <row r="850" spans="1:33">
      <c r="A850" s="7" t="s">
        <v>4618</v>
      </c>
      <c r="B850" s="7" t="s">
        <v>4618</v>
      </c>
      <c r="C850" s="7" t="s">
        <v>4619</v>
      </c>
      <c r="D850" s="7" t="s">
        <v>4620</v>
      </c>
      <c r="E850" s="7" t="s">
        <v>33</v>
      </c>
      <c r="F850" s="7" t="s">
        <v>34</v>
      </c>
      <c r="G850" s="7" t="s">
        <v>35</v>
      </c>
      <c r="H850" s="7"/>
      <c r="I850" s="7"/>
      <c r="J850" s="7" t="s">
        <v>36</v>
      </c>
      <c r="K850" s="7" t="s">
        <v>255</v>
      </c>
      <c r="L850" s="7" t="s">
        <v>1170</v>
      </c>
      <c r="M850" s="7" t="s">
        <v>1171</v>
      </c>
      <c r="N850" s="7" t="s">
        <v>33</v>
      </c>
      <c r="O850" s="7">
        <v>1</v>
      </c>
      <c r="P850" s="7" t="s">
        <v>40</v>
      </c>
      <c r="Q850" s="7">
        <v>19.99</v>
      </c>
      <c r="R850" s="7"/>
      <c r="S850" s="7"/>
      <c r="T850" s="7"/>
      <c r="U850" s="7"/>
      <c r="V850" s="7"/>
      <c r="W850" s="7"/>
      <c r="X850" s="7"/>
      <c r="Y850" s="7" t="s">
        <v>488</v>
      </c>
      <c r="Z850" s="7" t="s">
        <v>227</v>
      </c>
      <c r="AA850" s="7" t="s">
        <v>4621</v>
      </c>
      <c r="AB850" s="7" t="s">
        <v>43</v>
      </c>
      <c r="AC850" s="7"/>
      <c r="AD850" s="7"/>
      <c r="AE850" s="7"/>
      <c r="AF850" s="7"/>
      <c r="AG850" s="8">
        <f t="shared" si="13"/>
        <v>43329</v>
      </c>
    </row>
    <row r="851" spans="1:33">
      <c r="A851" s="7" t="s">
        <v>4618</v>
      </c>
      <c r="B851" s="7" t="s">
        <v>4618</v>
      </c>
      <c r="C851" s="7" t="s">
        <v>4619</v>
      </c>
      <c r="D851" s="7" t="s">
        <v>4620</v>
      </c>
      <c r="E851" s="7" t="s">
        <v>33</v>
      </c>
      <c r="F851" s="7" t="s">
        <v>34</v>
      </c>
      <c r="G851" s="7" t="s">
        <v>35</v>
      </c>
      <c r="H851" s="7"/>
      <c r="I851" s="7"/>
      <c r="J851" s="7" t="s">
        <v>36</v>
      </c>
      <c r="K851" s="7" t="s">
        <v>255</v>
      </c>
      <c r="L851" s="7" t="s">
        <v>256</v>
      </c>
      <c r="M851" s="7" t="s">
        <v>257</v>
      </c>
      <c r="N851" s="7" t="s">
        <v>33</v>
      </c>
      <c r="O851" s="7">
        <v>1</v>
      </c>
      <c r="P851" s="7" t="s">
        <v>40</v>
      </c>
      <c r="Q851" s="7">
        <v>19.99</v>
      </c>
      <c r="R851" s="7"/>
      <c r="S851" s="7"/>
      <c r="T851" s="7"/>
      <c r="U851" s="7"/>
      <c r="V851" s="7"/>
      <c r="W851" s="7"/>
      <c r="X851" s="7"/>
      <c r="Y851" s="7" t="s">
        <v>488</v>
      </c>
      <c r="Z851" s="7" t="s">
        <v>227</v>
      </c>
      <c r="AA851" s="7" t="s">
        <v>4621</v>
      </c>
      <c r="AB851" s="7" t="s">
        <v>43</v>
      </c>
      <c r="AC851" s="7"/>
      <c r="AD851" s="7"/>
      <c r="AE851" s="7"/>
      <c r="AF851" s="7"/>
      <c r="AG851" s="8">
        <f t="shared" si="13"/>
        <v>43329</v>
      </c>
    </row>
    <row r="852" spans="1:33">
      <c r="A852" s="7" t="s">
        <v>4622</v>
      </c>
      <c r="B852" s="7" t="s">
        <v>4622</v>
      </c>
      <c r="C852" s="7" t="s">
        <v>4623</v>
      </c>
      <c r="D852" s="7" t="s">
        <v>4624</v>
      </c>
      <c r="E852" s="7" t="s">
        <v>33</v>
      </c>
      <c r="F852" s="7" t="s">
        <v>34</v>
      </c>
      <c r="G852" s="7" t="s">
        <v>35</v>
      </c>
      <c r="H852" s="7"/>
      <c r="I852" s="7"/>
      <c r="J852" s="7" t="s">
        <v>36</v>
      </c>
      <c r="K852" s="7" t="s">
        <v>90</v>
      </c>
      <c r="L852" s="7" t="s">
        <v>91</v>
      </c>
      <c r="M852" s="7" t="s">
        <v>92</v>
      </c>
      <c r="N852" s="7" t="s">
        <v>33</v>
      </c>
      <c r="O852" s="7">
        <v>1</v>
      </c>
      <c r="P852" s="7" t="s">
        <v>40</v>
      </c>
      <c r="Q852" s="7">
        <v>12.99</v>
      </c>
      <c r="R852" s="7"/>
      <c r="S852" s="7"/>
      <c r="T852" s="7"/>
      <c r="U852" s="7"/>
      <c r="V852" s="7"/>
      <c r="W852" s="7"/>
      <c r="X852" s="7"/>
      <c r="Y852" s="7" t="s">
        <v>4625</v>
      </c>
      <c r="Z852" s="7" t="s">
        <v>165</v>
      </c>
      <c r="AA852" s="7" t="s">
        <v>4626</v>
      </c>
      <c r="AB852" s="7" t="s">
        <v>43</v>
      </c>
      <c r="AC852" s="7"/>
      <c r="AD852" s="7"/>
      <c r="AE852" s="7"/>
      <c r="AF852" s="7"/>
      <c r="AG852" s="8">
        <f t="shared" si="13"/>
        <v>43329</v>
      </c>
    </row>
    <row r="853" spans="1:33">
      <c r="A853" s="7" t="s">
        <v>4627</v>
      </c>
      <c r="B853" s="7" t="s">
        <v>4627</v>
      </c>
      <c r="C853" s="7" t="s">
        <v>4628</v>
      </c>
      <c r="D853" s="7" t="s">
        <v>4629</v>
      </c>
      <c r="E853" s="7" t="s">
        <v>33</v>
      </c>
      <c r="F853" s="7" t="s">
        <v>34</v>
      </c>
      <c r="G853" s="7" t="s">
        <v>35</v>
      </c>
      <c r="H853" s="7"/>
      <c r="I853" s="7"/>
      <c r="J853" s="7" t="s">
        <v>36</v>
      </c>
      <c r="K853" s="7" t="s">
        <v>4630</v>
      </c>
      <c r="L853" s="7" t="s">
        <v>4631</v>
      </c>
      <c r="M853" s="7" t="s">
        <v>4632</v>
      </c>
      <c r="N853" s="7" t="s">
        <v>33</v>
      </c>
      <c r="O853" s="7">
        <v>1</v>
      </c>
      <c r="P853" s="7" t="s">
        <v>40</v>
      </c>
      <c r="Q853" s="7">
        <v>16.99</v>
      </c>
      <c r="R853" s="7"/>
      <c r="S853" s="7"/>
      <c r="T853" s="7"/>
      <c r="U853" s="7"/>
      <c r="V853" s="7"/>
      <c r="W853" s="7"/>
      <c r="X853" s="7"/>
      <c r="Y853" s="7" t="s">
        <v>4633</v>
      </c>
      <c r="Z853" s="7" t="s">
        <v>59</v>
      </c>
      <c r="AA853" s="7" t="s">
        <v>4634</v>
      </c>
      <c r="AB853" s="7" t="s">
        <v>43</v>
      </c>
      <c r="AC853" s="7"/>
      <c r="AD853" s="7"/>
      <c r="AE853" s="7"/>
      <c r="AF853" s="7"/>
      <c r="AG853" s="8">
        <f t="shared" si="13"/>
        <v>43329</v>
      </c>
    </row>
    <row r="854" spans="1:33">
      <c r="A854" s="7" t="s">
        <v>4635</v>
      </c>
      <c r="B854" s="7" t="s">
        <v>4635</v>
      </c>
      <c r="C854" s="7" t="s">
        <v>4636</v>
      </c>
      <c r="D854" s="7" t="s">
        <v>4637</v>
      </c>
      <c r="E854" s="7" t="s">
        <v>33</v>
      </c>
      <c r="F854" s="7" t="s">
        <v>34</v>
      </c>
      <c r="G854" s="7" t="s">
        <v>35</v>
      </c>
      <c r="H854" s="7"/>
      <c r="I854" s="7"/>
      <c r="J854" s="7" t="s">
        <v>36</v>
      </c>
      <c r="K854" s="7" t="s">
        <v>90</v>
      </c>
      <c r="L854" s="7" t="s">
        <v>140</v>
      </c>
      <c r="M854" s="7" t="s">
        <v>141</v>
      </c>
      <c r="N854" s="7" t="s">
        <v>33</v>
      </c>
      <c r="O854" s="7">
        <v>1</v>
      </c>
      <c r="P854" s="7" t="s">
        <v>40</v>
      </c>
      <c r="Q854" s="7">
        <v>12.99</v>
      </c>
      <c r="R854" s="7">
        <v>1.08</v>
      </c>
      <c r="S854" s="7"/>
      <c r="T854" s="7"/>
      <c r="U854" s="7"/>
      <c r="V854" s="7"/>
      <c r="W854" s="7"/>
      <c r="X854" s="7"/>
      <c r="Y854" s="7" t="s">
        <v>4638</v>
      </c>
      <c r="Z854" s="7" t="s">
        <v>882</v>
      </c>
      <c r="AA854" s="7" t="s">
        <v>4639</v>
      </c>
      <c r="AB854" s="7" t="s">
        <v>43</v>
      </c>
      <c r="AC854" s="7"/>
      <c r="AD854" s="7"/>
      <c r="AE854" s="7"/>
      <c r="AF854" s="7"/>
      <c r="AG854" s="8">
        <f t="shared" si="13"/>
        <v>43329</v>
      </c>
    </row>
    <row r="855" spans="1:33">
      <c r="A855" s="7" t="s">
        <v>4640</v>
      </c>
      <c r="B855" s="7" t="s">
        <v>4640</v>
      </c>
      <c r="C855" s="7" t="s">
        <v>4641</v>
      </c>
      <c r="D855" s="7" t="s">
        <v>4642</v>
      </c>
      <c r="E855" s="7" t="s">
        <v>33</v>
      </c>
      <c r="F855" s="7" t="s">
        <v>34</v>
      </c>
      <c r="G855" s="7" t="s">
        <v>35</v>
      </c>
      <c r="H855" s="7"/>
      <c r="I855" s="7"/>
      <c r="J855" s="7" t="s">
        <v>36</v>
      </c>
      <c r="K855" s="7" t="s">
        <v>120</v>
      </c>
      <c r="L855" s="7" t="s">
        <v>293</v>
      </c>
      <c r="M855" s="7" t="s">
        <v>294</v>
      </c>
      <c r="N855" s="7" t="s">
        <v>33</v>
      </c>
      <c r="O855" s="7">
        <v>1</v>
      </c>
      <c r="P855" s="7" t="s">
        <v>40</v>
      </c>
      <c r="Q855" s="7">
        <v>18.99</v>
      </c>
      <c r="R855" s="7"/>
      <c r="S855" s="7"/>
      <c r="T855" s="7"/>
      <c r="U855" s="7"/>
      <c r="V855" s="7"/>
      <c r="W855" s="7"/>
      <c r="X855" s="7"/>
      <c r="Y855" s="7" t="s">
        <v>4643</v>
      </c>
      <c r="Z855" s="7" t="s">
        <v>1413</v>
      </c>
      <c r="AA855" s="7" t="s">
        <v>4644</v>
      </c>
      <c r="AB855" s="7" t="s">
        <v>43</v>
      </c>
      <c r="AC855" s="7"/>
      <c r="AD855" s="7"/>
      <c r="AE855" s="7"/>
      <c r="AF855" s="7"/>
      <c r="AG855" s="8">
        <f t="shared" si="13"/>
        <v>43329</v>
      </c>
    </row>
    <row r="856" spans="1:33">
      <c r="A856" s="7" t="s">
        <v>4645</v>
      </c>
      <c r="B856" s="7" t="s">
        <v>4645</v>
      </c>
      <c r="C856" s="7" t="s">
        <v>4646</v>
      </c>
      <c r="D856" s="7" t="s">
        <v>4647</v>
      </c>
      <c r="E856" s="7" t="s">
        <v>33</v>
      </c>
      <c r="F856" s="7" t="s">
        <v>34</v>
      </c>
      <c r="G856" s="7" t="s">
        <v>35</v>
      </c>
      <c r="H856" s="7"/>
      <c r="I856" s="7"/>
      <c r="J856" s="7" t="s">
        <v>36</v>
      </c>
      <c r="K856" s="7" t="s">
        <v>90</v>
      </c>
      <c r="L856" s="7" t="s">
        <v>140</v>
      </c>
      <c r="M856" s="7" t="s">
        <v>141</v>
      </c>
      <c r="N856" s="7" t="s">
        <v>33</v>
      </c>
      <c r="O856" s="7">
        <v>1</v>
      </c>
      <c r="P856" s="7" t="s">
        <v>40</v>
      </c>
      <c r="Q856" s="7">
        <v>12.99</v>
      </c>
      <c r="R856" s="7"/>
      <c r="S856" s="7"/>
      <c r="T856" s="7"/>
      <c r="U856" s="7"/>
      <c r="V856" s="7"/>
      <c r="W856" s="7"/>
      <c r="X856" s="7"/>
      <c r="Y856" s="7" t="s">
        <v>3679</v>
      </c>
      <c r="Z856" s="7" t="s">
        <v>2362</v>
      </c>
      <c r="AA856" s="7" t="s">
        <v>4648</v>
      </c>
      <c r="AB856" s="7" t="s">
        <v>43</v>
      </c>
      <c r="AC856" s="7"/>
      <c r="AD856" s="7"/>
      <c r="AE856" s="7"/>
      <c r="AF856" s="7"/>
      <c r="AG856" s="8">
        <f t="shared" si="13"/>
        <v>43329</v>
      </c>
    </row>
    <row r="857" spans="1:33">
      <c r="A857" s="7" t="s">
        <v>4649</v>
      </c>
      <c r="B857" s="7" t="s">
        <v>4649</v>
      </c>
      <c r="C857" s="7" t="s">
        <v>4650</v>
      </c>
      <c r="D857" s="7" t="s">
        <v>4651</v>
      </c>
      <c r="E857" s="7" t="s">
        <v>33</v>
      </c>
      <c r="F857" s="7" t="s">
        <v>34</v>
      </c>
      <c r="G857" s="7" t="s">
        <v>35</v>
      </c>
      <c r="H857" s="7"/>
      <c r="I857" s="7"/>
      <c r="J857" s="7" t="s">
        <v>36</v>
      </c>
      <c r="K857" s="7" t="s">
        <v>1139</v>
      </c>
      <c r="L857" s="7" t="s">
        <v>4652</v>
      </c>
      <c r="M857" s="7" t="s">
        <v>4653</v>
      </c>
      <c r="N857" s="7" t="s">
        <v>33</v>
      </c>
      <c r="O857" s="7">
        <v>1</v>
      </c>
      <c r="P857" s="7" t="s">
        <v>40</v>
      </c>
      <c r="Q857" s="7">
        <v>19.99</v>
      </c>
      <c r="R857" s="7"/>
      <c r="S857" s="7"/>
      <c r="T857" s="7"/>
      <c r="U857" s="7"/>
      <c r="V857" s="7"/>
      <c r="W857" s="7"/>
      <c r="X857" s="7"/>
      <c r="Y857" s="7" t="s">
        <v>4654</v>
      </c>
      <c r="Z857" s="7" t="s">
        <v>94</v>
      </c>
      <c r="AA857" s="7" t="s">
        <v>4655</v>
      </c>
      <c r="AB857" s="7" t="s">
        <v>43</v>
      </c>
      <c r="AC857" s="7"/>
      <c r="AD857" s="7"/>
      <c r="AE857" s="7"/>
      <c r="AF857" s="7"/>
      <c r="AG857" s="8">
        <f t="shared" si="13"/>
        <v>43329</v>
      </c>
    </row>
    <row r="858" spans="1:33">
      <c r="A858" s="7" t="s">
        <v>4656</v>
      </c>
      <c r="B858" s="7" t="s">
        <v>4656</v>
      </c>
      <c r="C858" s="7" t="s">
        <v>4657</v>
      </c>
      <c r="D858" s="7" t="s">
        <v>4658</v>
      </c>
      <c r="E858" s="7" t="s">
        <v>33</v>
      </c>
      <c r="F858" s="7" t="s">
        <v>34</v>
      </c>
      <c r="G858" s="7" t="s">
        <v>35</v>
      </c>
      <c r="H858" s="7"/>
      <c r="I858" s="7"/>
      <c r="J858" s="7" t="s">
        <v>36</v>
      </c>
      <c r="K858" s="7" t="s">
        <v>90</v>
      </c>
      <c r="L858" s="7" t="s">
        <v>284</v>
      </c>
      <c r="M858" s="7" t="s">
        <v>285</v>
      </c>
      <c r="N858" s="7" t="s">
        <v>33</v>
      </c>
      <c r="O858" s="7">
        <v>1</v>
      </c>
      <c r="P858" s="7" t="s">
        <v>40</v>
      </c>
      <c r="Q858" s="7">
        <v>12.99</v>
      </c>
      <c r="R858" s="7"/>
      <c r="S858" s="7"/>
      <c r="T858" s="7"/>
      <c r="U858" s="7"/>
      <c r="V858" s="7"/>
      <c r="W858" s="7"/>
      <c r="X858" s="7"/>
      <c r="Y858" s="7" t="s">
        <v>4659</v>
      </c>
      <c r="Z858" s="7" t="s">
        <v>4660</v>
      </c>
      <c r="AA858" s="7">
        <v>60478</v>
      </c>
      <c r="AB858" s="7" t="s">
        <v>43</v>
      </c>
      <c r="AC858" s="7"/>
      <c r="AD858" s="7"/>
      <c r="AE858" s="7"/>
      <c r="AF858" s="7"/>
      <c r="AG858" s="8">
        <f t="shared" si="13"/>
        <v>43329</v>
      </c>
    </row>
    <row r="859" spans="1:33">
      <c r="A859" s="7" t="s">
        <v>4661</v>
      </c>
      <c r="B859" s="7" t="s">
        <v>4661</v>
      </c>
      <c r="C859" s="7" t="s">
        <v>4662</v>
      </c>
      <c r="D859" s="7" t="s">
        <v>4663</v>
      </c>
      <c r="E859" s="7" t="s">
        <v>33</v>
      </c>
      <c r="F859" s="7" t="s">
        <v>34</v>
      </c>
      <c r="G859" s="7" t="s">
        <v>35</v>
      </c>
      <c r="H859" s="7"/>
      <c r="I859" s="7"/>
      <c r="J859" s="7" t="s">
        <v>36</v>
      </c>
      <c r="K859" s="7" t="s">
        <v>4664</v>
      </c>
      <c r="L859" s="7" t="s">
        <v>4665</v>
      </c>
      <c r="M859" s="7" t="s">
        <v>4666</v>
      </c>
      <c r="N859" s="7" t="s">
        <v>33</v>
      </c>
      <c r="O859" s="7">
        <v>1</v>
      </c>
      <c r="P859" s="7" t="s">
        <v>40</v>
      </c>
      <c r="Q859" s="7">
        <v>19.99</v>
      </c>
      <c r="R859" s="7"/>
      <c r="S859" s="7"/>
      <c r="T859" s="7"/>
      <c r="U859" s="7"/>
      <c r="V859" s="7"/>
      <c r="W859" s="7"/>
      <c r="X859" s="7"/>
      <c r="Y859" s="7" t="s">
        <v>4667</v>
      </c>
      <c r="Z859" s="7" t="s">
        <v>77</v>
      </c>
      <c r="AA859" s="7" t="s">
        <v>4668</v>
      </c>
      <c r="AB859" s="7" t="s">
        <v>43</v>
      </c>
      <c r="AC859" s="7"/>
      <c r="AD859" s="7"/>
      <c r="AE859" s="7"/>
      <c r="AF859" s="7"/>
      <c r="AG859" s="8">
        <f t="shared" si="13"/>
        <v>43329</v>
      </c>
    </row>
    <row r="860" spans="1:33">
      <c r="A860" s="7" t="s">
        <v>4669</v>
      </c>
      <c r="B860" s="7" t="s">
        <v>4669</v>
      </c>
      <c r="C860" s="7" t="s">
        <v>4670</v>
      </c>
      <c r="D860" s="7" t="s">
        <v>4671</v>
      </c>
      <c r="E860" s="7" t="s">
        <v>33</v>
      </c>
      <c r="F860" s="7" t="s">
        <v>34</v>
      </c>
      <c r="G860" s="7" t="s">
        <v>35</v>
      </c>
      <c r="H860" s="7"/>
      <c r="I860" s="7"/>
      <c r="J860" s="7" t="s">
        <v>36</v>
      </c>
      <c r="K860" s="7" t="s">
        <v>255</v>
      </c>
      <c r="L860" s="7" t="s">
        <v>1788</v>
      </c>
      <c r="M860" s="7" t="s">
        <v>1789</v>
      </c>
      <c r="N860" s="7" t="s">
        <v>33</v>
      </c>
      <c r="O860" s="7">
        <v>1</v>
      </c>
      <c r="P860" s="7" t="s">
        <v>40</v>
      </c>
      <c r="Q860" s="7">
        <v>19.99</v>
      </c>
      <c r="R860" s="7"/>
      <c r="S860" s="7"/>
      <c r="T860" s="7"/>
      <c r="U860" s="7"/>
      <c r="V860" s="7"/>
      <c r="W860" s="7"/>
      <c r="X860" s="7"/>
      <c r="Y860" s="7" t="s">
        <v>4672</v>
      </c>
      <c r="Z860" s="7" t="s">
        <v>69</v>
      </c>
      <c r="AA860" s="7" t="s">
        <v>4673</v>
      </c>
      <c r="AB860" s="7" t="s">
        <v>43</v>
      </c>
      <c r="AC860" s="7"/>
      <c r="AD860" s="7"/>
      <c r="AE860" s="7"/>
      <c r="AF860" s="7"/>
      <c r="AG860" s="8">
        <f t="shared" si="13"/>
        <v>43329</v>
      </c>
    </row>
    <row r="861" spans="1:33">
      <c r="A861" s="7" t="s">
        <v>4674</v>
      </c>
      <c r="B861" s="7" t="s">
        <v>4674</v>
      </c>
      <c r="C861" s="7" t="s">
        <v>4675</v>
      </c>
      <c r="D861" s="7" t="s">
        <v>4676</v>
      </c>
      <c r="E861" s="7" t="s">
        <v>33</v>
      </c>
      <c r="F861" s="7" t="s">
        <v>34</v>
      </c>
      <c r="G861" s="7" t="s">
        <v>35</v>
      </c>
      <c r="H861" s="7"/>
      <c r="I861" s="7"/>
      <c r="J861" s="7" t="s">
        <v>36</v>
      </c>
      <c r="K861" s="7" t="s">
        <v>176</v>
      </c>
      <c r="L861" s="7" t="s">
        <v>2214</v>
      </c>
      <c r="M861" s="7" t="s">
        <v>2215</v>
      </c>
      <c r="N861" s="7" t="s">
        <v>33</v>
      </c>
      <c r="O861" s="7">
        <v>1</v>
      </c>
      <c r="P861" s="7" t="s">
        <v>40</v>
      </c>
      <c r="Q861" s="7">
        <v>19.38</v>
      </c>
      <c r="R861" s="7"/>
      <c r="S861" s="7"/>
      <c r="T861" s="7"/>
      <c r="U861" s="7"/>
      <c r="V861" s="7"/>
      <c r="W861" s="7"/>
      <c r="X861" s="7"/>
      <c r="Y861" s="7" t="s">
        <v>4677</v>
      </c>
      <c r="Z861" s="7" t="s">
        <v>4678</v>
      </c>
      <c r="AA861" s="7">
        <v>86003</v>
      </c>
      <c r="AB861" s="7" t="s">
        <v>43</v>
      </c>
      <c r="AC861" s="7"/>
      <c r="AD861" s="7"/>
      <c r="AE861" s="7"/>
      <c r="AF861" s="7"/>
      <c r="AG861" s="8">
        <f t="shared" si="13"/>
        <v>43329</v>
      </c>
    </row>
    <row r="862" spans="1:33">
      <c r="A862" s="7" t="s">
        <v>4679</v>
      </c>
      <c r="B862" s="7" t="s">
        <v>4679</v>
      </c>
      <c r="C862" s="7" t="s">
        <v>4680</v>
      </c>
      <c r="D862" s="7" t="s">
        <v>4681</v>
      </c>
      <c r="E862" s="7" t="s">
        <v>33</v>
      </c>
      <c r="F862" s="7" t="s">
        <v>34</v>
      </c>
      <c r="G862" s="7" t="s">
        <v>35</v>
      </c>
      <c r="H862" s="7"/>
      <c r="I862" s="7"/>
      <c r="J862" s="7" t="s">
        <v>36</v>
      </c>
      <c r="K862" s="7" t="s">
        <v>37</v>
      </c>
      <c r="L862" s="7" t="s">
        <v>82</v>
      </c>
      <c r="M862" s="7" t="s">
        <v>83</v>
      </c>
      <c r="N862" s="7" t="s">
        <v>33</v>
      </c>
      <c r="O862" s="7">
        <v>1</v>
      </c>
      <c r="P862" s="7" t="s">
        <v>40</v>
      </c>
      <c r="Q862" s="7">
        <v>19.99</v>
      </c>
      <c r="R862" s="7">
        <v>1.2</v>
      </c>
      <c r="S862" s="7"/>
      <c r="T862" s="7"/>
      <c r="U862" s="7"/>
      <c r="V862" s="7"/>
      <c r="W862" s="7"/>
      <c r="X862" s="7"/>
      <c r="Y862" s="7" t="s">
        <v>4682</v>
      </c>
      <c r="Z862" s="7" t="s">
        <v>42</v>
      </c>
      <c r="AA862" s="7">
        <v>15748</v>
      </c>
      <c r="AB862" s="7" t="s">
        <v>43</v>
      </c>
      <c r="AC862" s="7"/>
      <c r="AD862" s="7"/>
      <c r="AE862" s="7"/>
      <c r="AF862" s="7"/>
      <c r="AG862" s="8">
        <f t="shared" si="13"/>
        <v>43329</v>
      </c>
    </row>
    <row r="863" spans="1:33">
      <c r="A863" s="7" t="s">
        <v>4683</v>
      </c>
      <c r="B863" s="7" t="s">
        <v>4683</v>
      </c>
      <c r="C863" s="7" t="s">
        <v>4684</v>
      </c>
      <c r="D863" s="7" t="s">
        <v>4685</v>
      </c>
      <c r="E863" s="7" t="s">
        <v>33</v>
      </c>
      <c r="F863" s="7" t="s">
        <v>34</v>
      </c>
      <c r="G863" s="7" t="s">
        <v>35</v>
      </c>
      <c r="H863" s="7"/>
      <c r="I863" s="7"/>
      <c r="J863" s="7" t="s">
        <v>36</v>
      </c>
      <c r="K863" s="7" t="s">
        <v>90</v>
      </c>
      <c r="L863" s="7" t="s">
        <v>284</v>
      </c>
      <c r="M863" s="7" t="s">
        <v>285</v>
      </c>
      <c r="N863" s="7" t="s">
        <v>33</v>
      </c>
      <c r="O863" s="7">
        <v>1</v>
      </c>
      <c r="P863" s="7" t="s">
        <v>40</v>
      </c>
      <c r="Q863" s="7">
        <v>12.99</v>
      </c>
      <c r="R863" s="7"/>
      <c r="S863" s="7"/>
      <c r="T863" s="7"/>
      <c r="U863" s="7"/>
      <c r="V863" s="7"/>
      <c r="W863" s="7"/>
      <c r="X863" s="7"/>
      <c r="Y863" s="7" t="s">
        <v>4686</v>
      </c>
      <c r="Z863" s="7" t="s">
        <v>227</v>
      </c>
      <c r="AA863" s="7" t="s">
        <v>4687</v>
      </c>
      <c r="AB863" s="7" t="s">
        <v>43</v>
      </c>
      <c r="AC863" s="7"/>
      <c r="AD863" s="7"/>
      <c r="AE863" s="7"/>
      <c r="AF863" s="7"/>
      <c r="AG863" s="8">
        <f t="shared" si="13"/>
        <v>43329</v>
      </c>
    </row>
    <row r="864" spans="1:33">
      <c r="A864" s="7" t="s">
        <v>4688</v>
      </c>
      <c r="B864" s="7" t="s">
        <v>4688</v>
      </c>
      <c r="C864" s="7" t="s">
        <v>4689</v>
      </c>
      <c r="D864" s="7" t="s">
        <v>4690</v>
      </c>
      <c r="E864" s="7" t="s">
        <v>33</v>
      </c>
      <c r="F864" s="7" t="s">
        <v>34</v>
      </c>
      <c r="G864" s="7" t="s">
        <v>35</v>
      </c>
      <c r="H864" s="7"/>
      <c r="I864" s="7"/>
      <c r="J864" s="7" t="s">
        <v>36</v>
      </c>
      <c r="K864" s="7" t="s">
        <v>2207</v>
      </c>
      <c r="L864" s="7" t="s">
        <v>4691</v>
      </c>
      <c r="M864" s="7" t="s">
        <v>4692</v>
      </c>
      <c r="N864" s="7" t="s">
        <v>33</v>
      </c>
      <c r="O864" s="7">
        <v>1</v>
      </c>
      <c r="P864" s="7" t="s">
        <v>40</v>
      </c>
      <c r="Q864" s="7">
        <v>16.99</v>
      </c>
      <c r="R864" s="7">
        <v>1.02</v>
      </c>
      <c r="S864" s="7"/>
      <c r="T864" s="7"/>
      <c r="U864" s="7"/>
      <c r="V864" s="7"/>
      <c r="W864" s="7"/>
      <c r="X864" s="7"/>
      <c r="Y864" s="7" t="s">
        <v>4693</v>
      </c>
      <c r="Z864" s="7" t="s">
        <v>42</v>
      </c>
      <c r="AA864" s="7" t="s">
        <v>4694</v>
      </c>
      <c r="AB864" s="7" t="s">
        <v>43</v>
      </c>
      <c r="AC864" s="7"/>
      <c r="AD864" s="7"/>
      <c r="AE864" s="7"/>
      <c r="AF864" s="7"/>
      <c r="AG864" s="8">
        <f t="shared" si="13"/>
        <v>43329</v>
      </c>
    </row>
    <row r="865" spans="1:33">
      <c r="A865" s="7" t="s">
        <v>4695</v>
      </c>
      <c r="B865" s="7" t="s">
        <v>4695</v>
      </c>
      <c r="C865" s="7" t="s">
        <v>4696</v>
      </c>
      <c r="D865" s="7" t="s">
        <v>4697</v>
      </c>
      <c r="E865" s="7" t="s">
        <v>33</v>
      </c>
      <c r="F865" s="7" t="s">
        <v>34</v>
      </c>
      <c r="G865" s="7" t="s">
        <v>35</v>
      </c>
      <c r="H865" s="7"/>
      <c r="I865" s="7"/>
      <c r="J865" s="7" t="s">
        <v>36</v>
      </c>
      <c r="K865" s="7" t="s">
        <v>131</v>
      </c>
      <c r="L865" s="7" t="s">
        <v>132</v>
      </c>
      <c r="M865" s="7" t="s">
        <v>133</v>
      </c>
      <c r="N865" s="7" t="s">
        <v>33</v>
      </c>
      <c r="O865" s="7">
        <v>1</v>
      </c>
      <c r="P865" s="7" t="s">
        <v>40</v>
      </c>
      <c r="Q865" s="7">
        <v>18.99</v>
      </c>
      <c r="R865" s="7"/>
      <c r="S865" s="7"/>
      <c r="T865" s="7"/>
      <c r="U865" s="7"/>
      <c r="V865" s="7"/>
      <c r="W865" s="7"/>
      <c r="X865" s="7"/>
      <c r="Y865" s="7" t="s">
        <v>547</v>
      </c>
      <c r="Z865" s="7" t="s">
        <v>227</v>
      </c>
      <c r="AA865" s="7" t="s">
        <v>548</v>
      </c>
      <c r="AB865" s="7" t="s">
        <v>43</v>
      </c>
      <c r="AC865" s="7"/>
      <c r="AD865" s="7"/>
      <c r="AE865" s="7"/>
      <c r="AF865" s="7"/>
      <c r="AG865" s="8">
        <f t="shared" si="13"/>
        <v>43329</v>
      </c>
    </row>
    <row r="866" spans="1:33">
      <c r="A866" s="7" t="s">
        <v>4698</v>
      </c>
      <c r="B866" s="7" t="s">
        <v>4698</v>
      </c>
      <c r="C866" s="7" t="s">
        <v>4699</v>
      </c>
      <c r="D866" s="7" t="s">
        <v>4700</v>
      </c>
      <c r="E866" s="7" t="s">
        <v>33</v>
      </c>
      <c r="F866" s="7" t="s">
        <v>34</v>
      </c>
      <c r="G866" s="7" t="s">
        <v>35</v>
      </c>
      <c r="H866" s="7"/>
      <c r="I866" s="7"/>
      <c r="J866" s="7" t="s">
        <v>36</v>
      </c>
      <c r="K866" s="7" t="s">
        <v>90</v>
      </c>
      <c r="L866" s="7" t="s">
        <v>91</v>
      </c>
      <c r="M866" s="7" t="s">
        <v>92</v>
      </c>
      <c r="N866" s="7" t="s">
        <v>33</v>
      </c>
      <c r="O866" s="7">
        <v>1</v>
      </c>
      <c r="P866" s="7" t="s">
        <v>40</v>
      </c>
      <c r="Q866" s="7">
        <v>12.99</v>
      </c>
      <c r="R866" s="7"/>
      <c r="S866" s="7"/>
      <c r="T866" s="7"/>
      <c r="U866" s="7"/>
      <c r="V866" s="7"/>
      <c r="W866" s="7"/>
      <c r="X866" s="7"/>
      <c r="Y866" s="7" t="s">
        <v>4701</v>
      </c>
      <c r="Z866" s="7" t="s">
        <v>761</v>
      </c>
      <c r="AA866" s="7" t="s">
        <v>4702</v>
      </c>
      <c r="AB866" s="7" t="s">
        <v>43</v>
      </c>
      <c r="AC866" s="7"/>
      <c r="AD866" s="7"/>
      <c r="AE866" s="7"/>
      <c r="AF866" s="7"/>
      <c r="AG866" s="8">
        <f t="shared" si="13"/>
        <v>43329</v>
      </c>
    </row>
    <row r="867" spans="1:33">
      <c r="A867" s="7" t="s">
        <v>4703</v>
      </c>
      <c r="B867" s="7" t="s">
        <v>4703</v>
      </c>
      <c r="C867" s="7" t="s">
        <v>4704</v>
      </c>
      <c r="D867" s="7" t="s">
        <v>4705</v>
      </c>
      <c r="E867" s="7" t="s">
        <v>33</v>
      </c>
      <c r="F867" s="7" t="s">
        <v>34</v>
      </c>
      <c r="G867" s="7" t="s">
        <v>35</v>
      </c>
      <c r="H867" s="7"/>
      <c r="I867" s="7"/>
      <c r="J867" s="7" t="s">
        <v>292</v>
      </c>
      <c r="K867" s="7" t="s">
        <v>255</v>
      </c>
      <c r="L867" s="7" t="s">
        <v>300</v>
      </c>
      <c r="M867" s="7" t="s">
        <v>301</v>
      </c>
      <c r="N867" s="7" t="s">
        <v>33</v>
      </c>
      <c r="O867" s="7">
        <v>1</v>
      </c>
      <c r="P867" s="7" t="s">
        <v>40</v>
      </c>
      <c r="Q867" s="7">
        <v>19.99</v>
      </c>
      <c r="R867" s="7"/>
      <c r="S867" s="7">
        <v>8.99</v>
      </c>
      <c r="T867" s="7"/>
      <c r="U867" s="7"/>
      <c r="V867" s="7"/>
      <c r="W867" s="7"/>
      <c r="X867" s="7"/>
      <c r="Y867" s="7" t="s">
        <v>738</v>
      </c>
      <c r="Z867" s="7" t="s">
        <v>135</v>
      </c>
      <c r="AA867" s="7" t="s">
        <v>4706</v>
      </c>
      <c r="AB867" s="7" t="s">
        <v>43</v>
      </c>
      <c r="AC867" s="7"/>
      <c r="AD867" s="7"/>
      <c r="AE867" s="7"/>
      <c r="AF867" s="7"/>
      <c r="AG867" s="8">
        <f t="shared" si="13"/>
        <v>43329</v>
      </c>
    </row>
    <row r="868" spans="1:33">
      <c r="A868" s="7" t="s">
        <v>4707</v>
      </c>
      <c r="B868" s="7" t="s">
        <v>4707</v>
      </c>
      <c r="C868" s="7" t="s">
        <v>4708</v>
      </c>
      <c r="D868" s="7" t="s">
        <v>4709</v>
      </c>
      <c r="E868" s="7" t="s">
        <v>33</v>
      </c>
      <c r="F868" s="7" t="s">
        <v>34</v>
      </c>
      <c r="G868" s="7" t="s">
        <v>35</v>
      </c>
      <c r="H868" s="7"/>
      <c r="I868" s="7"/>
      <c r="J868" s="7" t="s">
        <v>36</v>
      </c>
      <c r="K868" s="7" t="s">
        <v>37</v>
      </c>
      <c r="L868" s="7" t="s">
        <v>82</v>
      </c>
      <c r="M868" s="7" t="s">
        <v>83</v>
      </c>
      <c r="N868" s="7" t="s">
        <v>33</v>
      </c>
      <c r="O868" s="7">
        <v>1</v>
      </c>
      <c r="P868" s="7" t="s">
        <v>40</v>
      </c>
      <c r="Q868" s="7">
        <v>19.99</v>
      </c>
      <c r="R868" s="7"/>
      <c r="S868" s="7"/>
      <c r="T868" s="7"/>
      <c r="U868" s="7"/>
      <c r="V868" s="7"/>
      <c r="W868" s="7"/>
      <c r="X868" s="7"/>
      <c r="Y868" s="7" t="s">
        <v>4710</v>
      </c>
      <c r="Z868" s="7" t="s">
        <v>266</v>
      </c>
      <c r="AA868" s="7" t="s">
        <v>4711</v>
      </c>
      <c r="AB868" s="7" t="s">
        <v>43</v>
      </c>
      <c r="AC868" s="7"/>
      <c r="AD868" s="7"/>
      <c r="AE868" s="7"/>
      <c r="AF868" s="7"/>
      <c r="AG868" s="8">
        <f t="shared" si="13"/>
        <v>43330</v>
      </c>
    </row>
    <row r="869" spans="1:33">
      <c r="A869" s="7" t="s">
        <v>4712</v>
      </c>
      <c r="B869" s="7" t="s">
        <v>4712</v>
      </c>
      <c r="C869" s="7" t="s">
        <v>4713</v>
      </c>
      <c r="D869" s="7" t="s">
        <v>4714</v>
      </c>
      <c r="E869" s="7" t="s">
        <v>33</v>
      </c>
      <c r="F869" s="7" t="s">
        <v>34</v>
      </c>
      <c r="G869" s="7" t="s">
        <v>35</v>
      </c>
      <c r="H869" s="7"/>
      <c r="I869" s="7"/>
      <c r="J869" s="7" t="s">
        <v>36</v>
      </c>
      <c r="K869" s="7" t="s">
        <v>90</v>
      </c>
      <c r="L869" s="7" t="s">
        <v>284</v>
      </c>
      <c r="M869" s="7" t="s">
        <v>285</v>
      </c>
      <c r="N869" s="7" t="s">
        <v>33</v>
      </c>
      <c r="O869" s="7">
        <v>1</v>
      </c>
      <c r="P869" s="7" t="s">
        <v>40</v>
      </c>
      <c r="Q869" s="7">
        <v>12.99</v>
      </c>
      <c r="R869" s="7"/>
      <c r="S869" s="7"/>
      <c r="T869" s="7"/>
      <c r="U869" s="7"/>
      <c r="V869" s="7"/>
      <c r="W869" s="7"/>
      <c r="X869" s="7"/>
      <c r="Y869" s="7" t="s">
        <v>4715</v>
      </c>
      <c r="Z869" s="7" t="s">
        <v>85</v>
      </c>
      <c r="AA869" s="7" t="s">
        <v>4716</v>
      </c>
      <c r="AB869" s="7" t="s">
        <v>43</v>
      </c>
      <c r="AC869" s="7"/>
      <c r="AD869" s="7"/>
      <c r="AE869" s="7"/>
      <c r="AF869" s="7"/>
      <c r="AG869" s="8">
        <f t="shared" si="13"/>
        <v>43330</v>
      </c>
    </row>
    <row r="870" spans="1:33">
      <c r="A870" s="7" t="s">
        <v>4717</v>
      </c>
      <c r="B870" s="7" t="s">
        <v>4717</v>
      </c>
      <c r="C870" s="7" t="s">
        <v>4718</v>
      </c>
      <c r="D870" s="7" t="s">
        <v>4719</v>
      </c>
      <c r="E870" s="7" t="s">
        <v>33</v>
      </c>
      <c r="F870" s="7" t="s">
        <v>34</v>
      </c>
      <c r="G870" s="7" t="s">
        <v>35</v>
      </c>
      <c r="H870" s="7"/>
      <c r="I870" s="7"/>
      <c r="J870" s="7" t="s">
        <v>36</v>
      </c>
      <c r="K870" s="7" t="s">
        <v>247</v>
      </c>
      <c r="L870" s="7" t="s">
        <v>248</v>
      </c>
      <c r="M870" s="7" t="s">
        <v>249</v>
      </c>
      <c r="N870" s="7" t="s">
        <v>33</v>
      </c>
      <c r="O870" s="7">
        <v>1</v>
      </c>
      <c r="P870" s="7" t="s">
        <v>40</v>
      </c>
      <c r="Q870" s="7">
        <v>18.99</v>
      </c>
      <c r="R870" s="7"/>
      <c r="S870" s="7"/>
      <c r="T870" s="7"/>
      <c r="U870" s="7"/>
      <c r="V870" s="7"/>
      <c r="W870" s="7"/>
      <c r="X870" s="7"/>
      <c r="Y870" s="7" t="s">
        <v>488</v>
      </c>
      <c r="Z870" s="7" t="s">
        <v>227</v>
      </c>
      <c r="AA870" s="7" t="s">
        <v>4720</v>
      </c>
      <c r="AB870" s="7" t="s">
        <v>43</v>
      </c>
      <c r="AC870" s="7"/>
      <c r="AD870" s="7"/>
      <c r="AE870" s="7"/>
      <c r="AF870" s="7"/>
      <c r="AG870" s="8">
        <f t="shared" si="13"/>
        <v>43330</v>
      </c>
    </row>
    <row r="871" spans="1:33">
      <c r="A871" s="7" t="s">
        <v>4721</v>
      </c>
      <c r="B871" s="7" t="s">
        <v>4721</v>
      </c>
      <c r="C871" s="7" t="s">
        <v>4722</v>
      </c>
      <c r="D871" s="7" t="s">
        <v>4723</v>
      </c>
      <c r="E871" s="7" t="s">
        <v>33</v>
      </c>
      <c r="F871" s="7" t="s">
        <v>34</v>
      </c>
      <c r="G871" s="7" t="s">
        <v>35</v>
      </c>
      <c r="H871" s="7"/>
      <c r="I871" s="7"/>
      <c r="J871" s="7" t="s">
        <v>36</v>
      </c>
      <c r="K871" s="7" t="s">
        <v>328</v>
      </c>
      <c r="L871" s="7" t="s">
        <v>1614</v>
      </c>
      <c r="M871" s="7" t="s">
        <v>1615</v>
      </c>
      <c r="N871" s="7" t="s">
        <v>33</v>
      </c>
      <c r="O871" s="7">
        <v>1</v>
      </c>
      <c r="P871" s="7" t="s">
        <v>40</v>
      </c>
      <c r="Q871" s="7">
        <v>19.38</v>
      </c>
      <c r="R871" s="7"/>
      <c r="S871" s="7"/>
      <c r="T871" s="7"/>
      <c r="U871" s="7"/>
      <c r="V871" s="7"/>
      <c r="W871" s="7"/>
      <c r="X871" s="7"/>
      <c r="Y871" s="7" t="s">
        <v>4724</v>
      </c>
      <c r="Z871" s="7" t="s">
        <v>59</v>
      </c>
      <c r="AA871" s="7" t="s">
        <v>4725</v>
      </c>
      <c r="AB871" s="7" t="s">
        <v>43</v>
      </c>
      <c r="AC871" s="7"/>
      <c r="AD871" s="7"/>
      <c r="AE871" s="7"/>
      <c r="AF871" s="7"/>
      <c r="AG871" s="8">
        <f t="shared" si="13"/>
        <v>43330</v>
      </c>
    </row>
    <row r="872" spans="1:33">
      <c r="A872" s="7" t="s">
        <v>4726</v>
      </c>
      <c r="B872" s="7" t="s">
        <v>4726</v>
      </c>
      <c r="C872" s="7" t="s">
        <v>4727</v>
      </c>
      <c r="D872" s="7" t="s">
        <v>4728</v>
      </c>
      <c r="E872" s="7" t="s">
        <v>33</v>
      </c>
      <c r="F872" s="7" t="s">
        <v>34</v>
      </c>
      <c r="G872" s="7" t="s">
        <v>35</v>
      </c>
      <c r="H872" s="7"/>
      <c r="I872" s="7"/>
      <c r="J872" s="7" t="s">
        <v>36</v>
      </c>
      <c r="K872" s="7" t="s">
        <v>4729</v>
      </c>
      <c r="L872" s="7" t="s">
        <v>4730</v>
      </c>
      <c r="M872" s="7" t="s">
        <v>4731</v>
      </c>
      <c r="N872" s="7" t="s">
        <v>33</v>
      </c>
      <c r="O872" s="7">
        <v>1</v>
      </c>
      <c r="P872" s="7" t="s">
        <v>40</v>
      </c>
      <c r="Q872" s="7">
        <v>19.99</v>
      </c>
      <c r="R872" s="7"/>
      <c r="S872" s="7"/>
      <c r="T872" s="7"/>
      <c r="U872" s="7"/>
      <c r="V872" s="7"/>
      <c r="W872" s="7"/>
      <c r="X872" s="7"/>
      <c r="Y872" s="7" t="s">
        <v>2501</v>
      </c>
      <c r="Z872" s="7" t="s">
        <v>357</v>
      </c>
      <c r="AA872" s="7" t="s">
        <v>2502</v>
      </c>
      <c r="AB872" s="7" t="s">
        <v>43</v>
      </c>
      <c r="AC872" s="7"/>
      <c r="AD872" s="7"/>
      <c r="AE872" s="7"/>
      <c r="AF872" s="7"/>
      <c r="AG872" s="8">
        <f t="shared" si="13"/>
        <v>43330</v>
      </c>
    </row>
    <row r="873" spans="1:33">
      <c r="A873" s="7" t="s">
        <v>4732</v>
      </c>
      <c r="B873" s="7" t="s">
        <v>4732</v>
      </c>
      <c r="C873" s="7" t="s">
        <v>4733</v>
      </c>
      <c r="D873" s="7" t="s">
        <v>4734</v>
      </c>
      <c r="E873" s="7" t="s">
        <v>33</v>
      </c>
      <c r="F873" s="7" t="s">
        <v>34</v>
      </c>
      <c r="G873" s="7" t="s">
        <v>35</v>
      </c>
      <c r="H873" s="7"/>
      <c r="I873" s="7"/>
      <c r="J873" s="7" t="s">
        <v>36</v>
      </c>
      <c r="K873" s="7" t="s">
        <v>328</v>
      </c>
      <c r="L873" s="7" t="s">
        <v>4735</v>
      </c>
      <c r="M873" s="7" t="s">
        <v>4736</v>
      </c>
      <c r="N873" s="7" t="s">
        <v>33</v>
      </c>
      <c r="O873" s="7">
        <v>1</v>
      </c>
      <c r="P873" s="7" t="s">
        <v>40</v>
      </c>
      <c r="Q873" s="7">
        <v>19.38</v>
      </c>
      <c r="R873" s="7"/>
      <c r="S873" s="7"/>
      <c r="T873" s="7"/>
      <c r="U873" s="7"/>
      <c r="V873" s="7"/>
      <c r="W873" s="7"/>
      <c r="X873" s="7"/>
      <c r="Y873" s="7" t="s">
        <v>4724</v>
      </c>
      <c r="Z873" s="7" t="s">
        <v>59</v>
      </c>
      <c r="AA873" s="7" t="s">
        <v>4725</v>
      </c>
      <c r="AB873" s="7" t="s">
        <v>43</v>
      </c>
      <c r="AC873" s="7"/>
      <c r="AD873" s="7"/>
      <c r="AE873" s="7"/>
      <c r="AF873" s="7"/>
      <c r="AG873" s="8">
        <f t="shared" si="13"/>
        <v>43330</v>
      </c>
    </row>
    <row r="874" spans="1:33">
      <c r="A874" s="7" t="s">
        <v>4737</v>
      </c>
      <c r="B874" s="7" t="s">
        <v>4737</v>
      </c>
      <c r="C874" s="7" t="s">
        <v>4738</v>
      </c>
      <c r="D874" s="7" t="s">
        <v>4739</v>
      </c>
      <c r="E874" s="7" t="s">
        <v>33</v>
      </c>
      <c r="F874" s="7" t="s">
        <v>34</v>
      </c>
      <c r="G874" s="7" t="s">
        <v>35</v>
      </c>
      <c r="H874" s="7"/>
      <c r="I874" s="7"/>
      <c r="J874" s="7" t="s">
        <v>36</v>
      </c>
      <c r="K874" s="7" t="s">
        <v>120</v>
      </c>
      <c r="L874" s="7" t="s">
        <v>293</v>
      </c>
      <c r="M874" s="7" t="s">
        <v>294</v>
      </c>
      <c r="N874" s="7" t="s">
        <v>33</v>
      </c>
      <c r="O874" s="7">
        <v>1</v>
      </c>
      <c r="P874" s="7" t="s">
        <v>40</v>
      </c>
      <c r="Q874" s="7">
        <v>18.99</v>
      </c>
      <c r="R874" s="7"/>
      <c r="S874" s="7"/>
      <c r="T874" s="7"/>
      <c r="U874" s="7"/>
      <c r="V874" s="7"/>
      <c r="W874" s="7"/>
      <c r="X874" s="7"/>
      <c r="Y874" s="7" t="s">
        <v>1879</v>
      </c>
      <c r="Z874" s="7" t="s">
        <v>570</v>
      </c>
      <c r="AA874" s="7" t="s">
        <v>4740</v>
      </c>
      <c r="AB874" s="7" t="s">
        <v>43</v>
      </c>
      <c r="AC874" s="7"/>
      <c r="AD874" s="7"/>
      <c r="AE874" s="7"/>
      <c r="AF874" s="7"/>
      <c r="AG874" s="8">
        <f t="shared" si="13"/>
        <v>43330</v>
      </c>
    </row>
    <row r="875" spans="1:33">
      <c r="A875" s="7" t="s">
        <v>4741</v>
      </c>
      <c r="B875" s="7" t="s">
        <v>4741</v>
      </c>
      <c r="C875" s="7" t="s">
        <v>4742</v>
      </c>
      <c r="D875" s="7" t="s">
        <v>4743</v>
      </c>
      <c r="E875" s="7" t="s">
        <v>33</v>
      </c>
      <c r="F875" s="7" t="s">
        <v>34</v>
      </c>
      <c r="G875" s="7" t="s">
        <v>35</v>
      </c>
      <c r="H875" s="7"/>
      <c r="I875" s="7"/>
      <c r="J875" s="7" t="s">
        <v>36</v>
      </c>
      <c r="K875" s="7" t="s">
        <v>456</v>
      </c>
      <c r="L875" s="7" t="s">
        <v>1280</v>
      </c>
      <c r="M875" s="7" t="s">
        <v>1281</v>
      </c>
      <c r="N875" s="7" t="s">
        <v>33</v>
      </c>
      <c r="O875" s="7">
        <v>1</v>
      </c>
      <c r="P875" s="7" t="s">
        <v>40</v>
      </c>
      <c r="Q875" s="7">
        <v>12.99</v>
      </c>
      <c r="R875" s="7"/>
      <c r="S875" s="7"/>
      <c r="T875" s="7"/>
      <c r="U875" s="7"/>
      <c r="V875" s="7"/>
      <c r="W875" s="7"/>
      <c r="X875" s="7"/>
      <c r="Y875" s="7" t="s">
        <v>801</v>
      </c>
      <c r="Z875" s="7" t="s">
        <v>135</v>
      </c>
      <c r="AA875" s="7" t="s">
        <v>4744</v>
      </c>
      <c r="AB875" s="7" t="s">
        <v>43</v>
      </c>
      <c r="AC875" s="7"/>
      <c r="AD875" s="7"/>
      <c r="AE875" s="7"/>
      <c r="AF875" s="7"/>
      <c r="AG875" s="8">
        <f t="shared" si="13"/>
        <v>43330</v>
      </c>
    </row>
    <row r="876" spans="1:33">
      <c r="A876" s="7" t="s">
        <v>4745</v>
      </c>
      <c r="B876" s="7" t="s">
        <v>4745</v>
      </c>
      <c r="C876" s="7" t="s">
        <v>4746</v>
      </c>
      <c r="D876" s="7" t="s">
        <v>4747</v>
      </c>
      <c r="E876" s="7" t="s">
        <v>33</v>
      </c>
      <c r="F876" s="7" t="s">
        <v>34</v>
      </c>
      <c r="G876" s="7" t="s">
        <v>35</v>
      </c>
      <c r="H876" s="7"/>
      <c r="I876" s="7"/>
      <c r="J876" s="7" t="s">
        <v>336</v>
      </c>
      <c r="K876" s="7" t="s">
        <v>47</v>
      </c>
      <c r="L876" s="7" t="s">
        <v>1206</v>
      </c>
      <c r="M876" s="7" t="s">
        <v>1207</v>
      </c>
      <c r="N876" s="7" t="s">
        <v>33</v>
      </c>
      <c r="O876" s="7">
        <v>1</v>
      </c>
      <c r="P876" s="7" t="s">
        <v>40</v>
      </c>
      <c r="Q876" s="7">
        <v>16.99</v>
      </c>
      <c r="R876" s="7"/>
      <c r="S876" s="7"/>
      <c r="T876" s="7"/>
      <c r="U876" s="7"/>
      <c r="V876" s="7"/>
      <c r="W876" s="7"/>
      <c r="X876" s="7"/>
      <c r="Y876" s="7" t="s">
        <v>4499</v>
      </c>
      <c r="Z876" s="7" t="s">
        <v>4500</v>
      </c>
      <c r="AA876" s="7" t="s">
        <v>4501</v>
      </c>
      <c r="AB876" s="7" t="s">
        <v>43</v>
      </c>
      <c r="AC876" s="7"/>
      <c r="AD876" s="7"/>
      <c r="AE876" s="7"/>
      <c r="AF876" s="7"/>
      <c r="AG876" s="8">
        <f t="shared" si="13"/>
        <v>43330</v>
      </c>
    </row>
    <row r="877" spans="1:33">
      <c r="A877" s="7" t="s">
        <v>4748</v>
      </c>
      <c r="B877" s="7" t="s">
        <v>4748</v>
      </c>
      <c r="C877" s="7" t="s">
        <v>4749</v>
      </c>
      <c r="D877" s="7" t="s">
        <v>4750</v>
      </c>
      <c r="E877" s="7" t="s">
        <v>33</v>
      </c>
      <c r="F877" s="7" t="s">
        <v>34</v>
      </c>
      <c r="G877" s="7" t="s">
        <v>35</v>
      </c>
      <c r="H877" s="7"/>
      <c r="I877" s="7"/>
      <c r="J877" s="7" t="s">
        <v>36</v>
      </c>
      <c r="K877" s="7" t="s">
        <v>170</v>
      </c>
      <c r="L877" s="7" t="s">
        <v>505</v>
      </c>
      <c r="M877" s="7" t="s">
        <v>506</v>
      </c>
      <c r="N877" s="7" t="s">
        <v>33</v>
      </c>
      <c r="O877" s="7">
        <v>1</v>
      </c>
      <c r="P877" s="7" t="s">
        <v>40</v>
      </c>
      <c r="Q877" s="7">
        <v>19.38</v>
      </c>
      <c r="R877" s="7"/>
      <c r="S877" s="7"/>
      <c r="T877" s="7"/>
      <c r="U877" s="7"/>
      <c r="V877" s="7"/>
      <c r="W877" s="7"/>
      <c r="X877" s="7"/>
      <c r="Y877" s="7" t="s">
        <v>4751</v>
      </c>
      <c r="Z877" s="7" t="s">
        <v>59</v>
      </c>
      <c r="AA877" s="7" t="s">
        <v>4752</v>
      </c>
      <c r="AB877" s="7" t="s">
        <v>43</v>
      </c>
      <c r="AC877" s="7"/>
      <c r="AD877" s="7"/>
      <c r="AE877" s="7"/>
      <c r="AF877" s="7"/>
      <c r="AG877" s="8">
        <f t="shared" si="13"/>
        <v>43330</v>
      </c>
    </row>
    <row r="878" spans="1:33">
      <c r="A878" s="7" t="s">
        <v>4753</v>
      </c>
      <c r="B878" s="7" t="s">
        <v>4753</v>
      </c>
      <c r="C878" s="7" t="s">
        <v>4754</v>
      </c>
      <c r="D878" s="7" t="s">
        <v>4755</v>
      </c>
      <c r="E878" s="7" t="s">
        <v>33</v>
      </c>
      <c r="F878" s="7" t="s">
        <v>34</v>
      </c>
      <c r="G878" s="7" t="s">
        <v>35</v>
      </c>
      <c r="H878" s="7"/>
      <c r="I878" s="7"/>
      <c r="J878" s="7" t="s">
        <v>36</v>
      </c>
      <c r="K878" s="7" t="s">
        <v>255</v>
      </c>
      <c r="L878" s="7" t="s">
        <v>256</v>
      </c>
      <c r="M878" s="7" t="s">
        <v>257</v>
      </c>
      <c r="N878" s="7" t="s">
        <v>33</v>
      </c>
      <c r="O878" s="7">
        <v>1</v>
      </c>
      <c r="P878" s="7" t="s">
        <v>40</v>
      </c>
      <c r="Q878" s="7">
        <v>19.99</v>
      </c>
      <c r="R878" s="7"/>
      <c r="S878" s="7"/>
      <c r="T878" s="7"/>
      <c r="U878" s="7"/>
      <c r="V878" s="7"/>
      <c r="W878" s="7"/>
      <c r="X878" s="7"/>
      <c r="Y878" s="7" t="s">
        <v>1939</v>
      </c>
      <c r="Z878" s="7" t="s">
        <v>1940</v>
      </c>
      <c r="AA878" s="7" t="s">
        <v>4756</v>
      </c>
      <c r="AB878" s="7" t="s">
        <v>43</v>
      </c>
      <c r="AC878" s="7"/>
      <c r="AD878" s="7"/>
      <c r="AE878" s="7"/>
      <c r="AF878" s="7"/>
      <c r="AG878" s="8">
        <f t="shared" si="13"/>
        <v>43330</v>
      </c>
    </row>
    <row r="879" spans="1:33">
      <c r="A879" s="7" t="s">
        <v>4757</v>
      </c>
      <c r="B879" s="7" t="s">
        <v>4757</v>
      </c>
      <c r="C879" s="7" t="s">
        <v>4758</v>
      </c>
      <c r="D879" s="7" t="s">
        <v>4759</v>
      </c>
      <c r="E879" s="7" t="s">
        <v>33</v>
      </c>
      <c r="F879" s="7" t="s">
        <v>34</v>
      </c>
      <c r="G879" s="7" t="s">
        <v>35</v>
      </c>
      <c r="H879" s="7"/>
      <c r="I879" s="7"/>
      <c r="J879" s="7" t="s">
        <v>336</v>
      </c>
      <c r="K879" s="7" t="s">
        <v>232</v>
      </c>
      <c r="L879" s="7" t="s">
        <v>233</v>
      </c>
      <c r="M879" s="7" t="s">
        <v>234</v>
      </c>
      <c r="N879" s="7" t="s">
        <v>33</v>
      </c>
      <c r="O879" s="7">
        <v>1</v>
      </c>
      <c r="P879" s="7" t="s">
        <v>40</v>
      </c>
      <c r="Q879" s="7">
        <v>21.99</v>
      </c>
      <c r="R879" s="7"/>
      <c r="S879" s="7">
        <v>3.71</v>
      </c>
      <c r="T879" s="7"/>
      <c r="U879" s="7"/>
      <c r="V879" s="7"/>
      <c r="W879" s="7"/>
      <c r="X879" s="7">
        <v>3.71</v>
      </c>
      <c r="Y879" s="7" t="s">
        <v>4760</v>
      </c>
      <c r="Z879" s="7" t="s">
        <v>646</v>
      </c>
      <c r="AA879" s="7" t="s">
        <v>4761</v>
      </c>
      <c r="AB879" s="7" t="s">
        <v>43</v>
      </c>
      <c r="AC879" s="7" t="s">
        <v>514</v>
      </c>
      <c r="AD879" s="7"/>
      <c r="AE879" s="7"/>
      <c r="AF879" s="7"/>
      <c r="AG879" s="8">
        <f t="shared" si="13"/>
        <v>43330</v>
      </c>
    </row>
    <row r="880" spans="1:33">
      <c r="A880" s="7" t="s">
        <v>4762</v>
      </c>
      <c r="B880" s="7" t="s">
        <v>4762</v>
      </c>
      <c r="C880" s="7" t="s">
        <v>4763</v>
      </c>
      <c r="D880" s="7" t="s">
        <v>4764</v>
      </c>
      <c r="E880" s="7" t="s">
        <v>33</v>
      </c>
      <c r="F880" s="7" t="s">
        <v>34</v>
      </c>
      <c r="G880" s="7" t="s">
        <v>35</v>
      </c>
      <c r="H880" s="7"/>
      <c r="I880" s="7"/>
      <c r="J880" s="7" t="s">
        <v>36</v>
      </c>
      <c r="K880" s="7" t="s">
        <v>199</v>
      </c>
      <c r="L880" s="7" t="s">
        <v>200</v>
      </c>
      <c r="M880" s="7" t="s">
        <v>201</v>
      </c>
      <c r="N880" s="7" t="s">
        <v>33</v>
      </c>
      <c r="O880" s="7">
        <v>1</v>
      </c>
      <c r="P880" s="7" t="s">
        <v>40</v>
      </c>
      <c r="Q880" s="7">
        <v>18.99</v>
      </c>
      <c r="R880" s="7"/>
      <c r="S880" s="7"/>
      <c r="T880" s="7"/>
      <c r="U880" s="7"/>
      <c r="V880" s="7"/>
      <c r="W880" s="7"/>
      <c r="X880" s="7"/>
      <c r="Y880" s="7" t="s">
        <v>1939</v>
      </c>
      <c r="Z880" s="7" t="s">
        <v>1940</v>
      </c>
      <c r="AA880" s="7" t="s">
        <v>4765</v>
      </c>
      <c r="AB880" s="7" t="s">
        <v>43</v>
      </c>
      <c r="AC880" s="7"/>
      <c r="AD880" s="7"/>
      <c r="AE880" s="7"/>
      <c r="AF880" s="7"/>
      <c r="AG880" s="8">
        <f t="shared" si="13"/>
        <v>43330</v>
      </c>
    </row>
    <row r="881" spans="1:33">
      <c r="A881" s="7" t="s">
        <v>4766</v>
      </c>
      <c r="B881" s="7" t="s">
        <v>4766</v>
      </c>
      <c r="C881" s="7" t="s">
        <v>4767</v>
      </c>
      <c r="D881" s="7" t="s">
        <v>4768</v>
      </c>
      <c r="E881" s="7" t="s">
        <v>33</v>
      </c>
      <c r="F881" s="7" t="s">
        <v>34</v>
      </c>
      <c r="G881" s="7" t="s">
        <v>35</v>
      </c>
      <c r="H881" s="7"/>
      <c r="I881" s="7"/>
      <c r="J881" s="7" t="s">
        <v>292</v>
      </c>
      <c r="K881" s="7" t="s">
        <v>90</v>
      </c>
      <c r="L881" s="7" t="s">
        <v>284</v>
      </c>
      <c r="M881" s="7" t="s">
        <v>285</v>
      </c>
      <c r="N881" s="7" t="s">
        <v>33</v>
      </c>
      <c r="O881" s="7">
        <v>1</v>
      </c>
      <c r="P881" s="7" t="s">
        <v>40</v>
      </c>
      <c r="Q881" s="7">
        <v>12.99</v>
      </c>
      <c r="R881" s="7"/>
      <c r="S881" s="7">
        <v>0.46</v>
      </c>
      <c r="T881" s="7"/>
      <c r="U881" s="7"/>
      <c r="V881" s="7"/>
      <c r="W881" s="7"/>
      <c r="X881" s="7">
        <v>0.46</v>
      </c>
      <c r="Y881" s="7" t="s">
        <v>4769</v>
      </c>
      <c r="Z881" s="7" t="s">
        <v>94</v>
      </c>
      <c r="AA881" s="7" t="s">
        <v>4770</v>
      </c>
      <c r="AB881" s="7" t="s">
        <v>43</v>
      </c>
      <c r="AC881" s="7"/>
      <c r="AD881" s="7"/>
      <c r="AE881" s="7"/>
      <c r="AF881" s="7"/>
      <c r="AG881" s="8">
        <f t="shared" si="13"/>
        <v>43330</v>
      </c>
    </row>
    <row r="882" spans="1:33">
      <c r="A882" s="7" t="s">
        <v>4766</v>
      </c>
      <c r="B882" s="7" t="s">
        <v>4766</v>
      </c>
      <c r="C882" s="7" t="s">
        <v>4767</v>
      </c>
      <c r="D882" s="7" t="s">
        <v>4768</v>
      </c>
      <c r="E882" s="7" t="s">
        <v>33</v>
      </c>
      <c r="F882" s="7" t="s">
        <v>34</v>
      </c>
      <c r="G882" s="7" t="s">
        <v>35</v>
      </c>
      <c r="H882" s="7"/>
      <c r="I882" s="7"/>
      <c r="J882" s="7" t="s">
        <v>292</v>
      </c>
      <c r="K882" s="7" t="s">
        <v>90</v>
      </c>
      <c r="L882" s="7" t="s">
        <v>140</v>
      </c>
      <c r="M882" s="7" t="s">
        <v>141</v>
      </c>
      <c r="N882" s="7" t="s">
        <v>33</v>
      </c>
      <c r="O882" s="7">
        <v>1</v>
      </c>
      <c r="P882" s="7" t="s">
        <v>40</v>
      </c>
      <c r="Q882" s="7">
        <v>12.99</v>
      </c>
      <c r="R882" s="7"/>
      <c r="S882" s="7">
        <v>0.46</v>
      </c>
      <c r="T882" s="7"/>
      <c r="U882" s="7"/>
      <c r="V882" s="7"/>
      <c r="W882" s="7"/>
      <c r="X882" s="7">
        <v>0.46</v>
      </c>
      <c r="Y882" s="7" t="s">
        <v>4769</v>
      </c>
      <c r="Z882" s="7" t="s">
        <v>94</v>
      </c>
      <c r="AA882" s="7" t="s">
        <v>4770</v>
      </c>
      <c r="AB882" s="7" t="s">
        <v>43</v>
      </c>
      <c r="AC882" s="7"/>
      <c r="AD882" s="7"/>
      <c r="AE882" s="7"/>
      <c r="AF882" s="7"/>
      <c r="AG882" s="8">
        <f t="shared" si="13"/>
        <v>43330</v>
      </c>
    </row>
    <row r="883" spans="1:33">
      <c r="A883" s="7" t="s">
        <v>4771</v>
      </c>
      <c r="B883" s="7" t="s">
        <v>4771</v>
      </c>
      <c r="C883" s="7" t="s">
        <v>4767</v>
      </c>
      <c r="D883" s="7" t="s">
        <v>4772</v>
      </c>
      <c r="E883" s="7" t="s">
        <v>33</v>
      </c>
      <c r="F883" s="7" t="s">
        <v>34</v>
      </c>
      <c r="G883" s="7" t="s">
        <v>35</v>
      </c>
      <c r="H883" s="7"/>
      <c r="I883" s="7"/>
      <c r="J883" s="7" t="s">
        <v>36</v>
      </c>
      <c r="K883" s="7" t="s">
        <v>90</v>
      </c>
      <c r="L883" s="7" t="s">
        <v>91</v>
      </c>
      <c r="M883" s="7" t="s">
        <v>92</v>
      </c>
      <c r="N883" s="7" t="s">
        <v>33</v>
      </c>
      <c r="O883" s="7">
        <v>1</v>
      </c>
      <c r="P883" s="7" t="s">
        <v>40</v>
      </c>
      <c r="Q883" s="7">
        <v>12.99</v>
      </c>
      <c r="R883" s="7"/>
      <c r="S883" s="7"/>
      <c r="T883" s="7"/>
      <c r="U883" s="7"/>
      <c r="V883" s="7"/>
      <c r="W883" s="7"/>
      <c r="X883" s="7"/>
      <c r="Y883" s="7" t="s">
        <v>4769</v>
      </c>
      <c r="Z883" s="7" t="s">
        <v>94</v>
      </c>
      <c r="AA883" s="7" t="s">
        <v>4770</v>
      </c>
      <c r="AB883" s="7" t="s">
        <v>43</v>
      </c>
      <c r="AC883" s="7"/>
      <c r="AD883" s="7"/>
      <c r="AE883" s="7"/>
      <c r="AF883" s="7"/>
      <c r="AG883" s="8">
        <f t="shared" si="13"/>
        <v>43330</v>
      </c>
    </row>
    <row r="884" spans="1:33">
      <c r="A884" s="7" t="s">
        <v>4773</v>
      </c>
      <c r="B884" s="7" t="s">
        <v>4773</v>
      </c>
      <c r="C884" s="7" t="s">
        <v>4774</v>
      </c>
      <c r="D884" s="7" t="s">
        <v>4775</v>
      </c>
      <c r="E884" s="7" t="s">
        <v>33</v>
      </c>
      <c r="F884" s="7" t="s">
        <v>34</v>
      </c>
      <c r="G884" s="7" t="s">
        <v>35</v>
      </c>
      <c r="H884" s="7"/>
      <c r="I884" s="7"/>
      <c r="J884" s="7" t="s">
        <v>36</v>
      </c>
      <c r="K884" s="7" t="s">
        <v>4776</v>
      </c>
      <c r="L884" s="7" t="s">
        <v>4777</v>
      </c>
      <c r="M884" s="7" t="s">
        <v>4778</v>
      </c>
      <c r="N884" s="7" t="s">
        <v>33</v>
      </c>
      <c r="O884" s="7">
        <v>1</v>
      </c>
      <c r="P884" s="7" t="s">
        <v>40</v>
      </c>
      <c r="Q884" s="7">
        <v>16.99</v>
      </c>
      <c r="R884" s="7"/>
      <c r="S884" s="7"/>
      <c r="T884" s="7"/>
      <c r="U884" s="7"/>
      <c r="V884" s="7"/>
      <c r="W884" s="7"/>
      <c r="X884" s="7"/>
      <c r="Y884" s="7" t="s">
        <v>4588</v>
      </c>
      <c r="Z884" s="7" t="s">
        <v>447</v>
      </c>
      <c r="AA884" s="7" t="s">
        <v>4779</v>
      </c>
      <c r="AB884" s="7" t="s">
        <v>43</v>
      </c>
      <c r="AC884" s="7"/>
      <c r="AD884" s="7"/>
      <c r="AE884" s="7"/>
      <c r="AF884" s="7"/>
      <c r="AG884" s="8">
        <f t="shared" si="13"/>
        <v>43330</v>
      </c>
    </row>
    <row r="885" spans="1:33">
      <c r="A885" s="7" t="s">
        <v>4780</v>
      </c>
      <c r="B885" s="7" t="s">
        <v>4780</v>
      </c>
      <c r="C885" s="7" t="s">
        <v>4781</v>
      </c>
      <c r="D885" s="7" t="s">
        <v>4782</v>
      </c>
      <c r="E885" s="7" t="s">
        <v>33</v>
      </c>
      <c r="F885" s="7" t="s">
        <v>34</v>
      </c>
      <c r="G885" s="7" t="s">
        <v>35</v>
      </c>
      <c r="H885" s="7"/>
      <c r="I885" s="7"/>
      <c r="J885" s="7" t="s">
        <v>36</v>
      </c>
      <c r="K885" s="7" t="s">
        <v>456</v>
      </c>
      <c r="L885" s="7" t="s">
        <v>1280</v>
      </c>
      <c r="M885" s="7" t="s">
        <v>1281</v>
      </c>
      <c r="N885" s="7" t="s">
        <v>33</v>
      </c>
      <c r="O885" s="7">
        <v>1</v>
      </c>
      <c r="P885" s="7" t="s">
        <v>40</v>
      </c>
      <c r="Q885" s="7">
        <v>12.99</v>
      </c>
      <c r="R885" s="7"/>
      <c r="S885" s="7"/>
      <c r="T885" s="7"/>
      <c r="U885" s="7"/>
      <c r="V885" s="7"/>
      <c r="W885" s="7"/>
      <c r="X885" s="7"/>
      <c r="Y885" s="7" t="s">
        <v>1853</v>
      </c>
      <c r="Z885" s="7" t="s">
        <v>1126</v>
      </c>
      <c r="AA885" s="7" t="s">
        <v>1854</v>
      </c>
      <c r="AB885" s="7" t="s">
        <v>43</v>
      </c>
      <c r="AC885" s="7"/>
      <c r="AD885" s="7"/>
      <c r="AE885" s="7"/>
      <c r="AF885" s="7"/>
      <c r="AG885" s="8">
        <f t="shared" si="13"/>
        <v>43330</v>
      </c>
    </row>
    <row r="886" spans="1:33">
      <c r="A886" s="7" t="s">
        <v>4783</v>
      </c>
      <c r="B886" s="7" t="s">
        <v>4783</v>
      </c>
      <c r="C886" s="7" t="s">
        <v>4784</v>
      </c>
      <c r="D886" s="7" t="s">
        <v>4785</v>
      </c>
      <c r="E886" s="7" t="s">
        <v>33</v>
      </c>
      <c r="F886" s="7" t="s">
        <v>34</v>
      </c>
      <c r="G886" s="7" t="s">
        <v>35</v>
      </c>
      <c r="H886" s="7"/>
      <c r="I886" s="7"/>
      <c r="J886" s="7" t="s">
        <v>36</v>
      </c>
      <c r="K886" s="7" t="s">
        <v>90</v>
      </c>
      <c r="L886" s="7" t="s">
        <v>91</v>
      </c>
      <c r="M886" s="7" t="s">
        <v>92</v>
      </c>
      <c r="N886" s="7" t="s">
        <v>33</v>
      </c>
      <c r="O886" s="7">
        <v>1</v>
      </c>
      <c r="P886" s="7" t="s">
        <v>40</v>
      </c>
      <c r="Q886" s="7">
        <v>12.99</v>
      </c>
      <c r="R886" s="7"/>
      <c r="S886" s="7"/>
      <c r="T886" s="7"/>
      <c r="U886" s="7"/>
      <c r="V886" s="7"/>
      <c r="W886" s="7"/>
      <c r="X886" s="7"/>
      <c r="Y886" s="7" t="s">
        <v>4786</v>
      </c>
      <c r="Z886" s="7" t="s">
        <v>51</v>
      </c>
      <c r="AA886" s="7" t="s">
        <v>4787</v>
      </c>
      <c r="AB886" s="7" t="s">
        <v>43</v>
      </c>
      <c r="AC886" s="7"/>
      <c r="AD886" s="7"/>
      <c r="AE886" s="7"/>
      <c r="AF886" s="7"/>
      <c r="AG886" s="8">
        <f t="shared" si="13"/>
        <v>43330</v>
      </c>
    </row>
    <row r="887" spans="1:33">
      <c r="A887" s="7" t="s">
        <v>4788</v>
      </c>
      <c r="B887" s="7" t="s">
        <v>4788</v>
      </c>
      <c r="C887" s="7" t="s">
        <v>4789</v>
      </c>
      <c r="D887" s="7" t="s">
        <v>4790</v>
      </c>
      <c r="E887" s="7" t="s">
        <v>33</v>
      </c>
      <c r="F887" s="7" t="s">
        <v>34</v>
      </c>
      <c r="G887" s="7" t="s">
        <v>35</v>
      </c>
      <c r="H887" s="7"/>
      <c r="I887" s="7"/>
      <c r="J887" s="7" t="s">
        <v>36</v>
      </c>
      <c r="K887" s="7" t="s">
        <v>90</v>
      </c>
      <c r="L887" s="7" t="s">
        <v>540</v>
      </c>
      <c r="M887" s="7" t="s">
        <v>541</v>
      </c>
      <c r="N887" s="7" t="s">
        <v>33</v>
      </c>
      <c r="O887" s="7">
        <v>1</v>
      </c>
      <c r="P887" s="7" t="s">
        <v>40</v>
      </c>
      <c r="Q887" s="7">
        <v>12.99</v>
      </c>
      <c r="R887" s="7"/>
      <c r="S887" s="7"/>
      <c r="T887" s="7"/>
      <c r="U887" s="7"/>
      <c r="V887" s="7"/>
      <c r="W887" s="7"/>
      <c r="X887" s="7"/>
      <c r="Y887" s="7" t="s">
        <v>4791</v>
      </c>
      <c r="Z887" s="7" t="s">
        <v>174</v>
      </c>
      <c r="AA887" s="7" t="s">
        <v>4792</v>
      </c>
      <c r="AB887" s="7" t="s">
        <v>43</v>
      </c>
      <c r="AC887" s="7"/>
      <c r="AD887" s="7"/>
      <c r="AE887" s="7"/>
      <c r="AF887" s="7"/>
      <c r="AG887" s="8">
        <f t="shared" si="13"/>
        <v>43330</v>
      </c>
    </row>
    <row r="888" spans="1:33">
      <c r="A888" s="7" t="s">
        <v>4793</v>
      </c>
      <c r="B888" s="7" t="s">
        <v>4793</v>
      </c>
      <c r="C888" s="7" t="s">
        <v>4794</v>
      </c>
      <c r="D888" s="7" t="s">
        <v>4795</v>
      </c>
      <c r="E888" s="7" t="s">
        <v>33</v>
      </c>
      <c r="F888" s="7" t="s">
        <v>34</v>
      </c>
      <c r="G888" s="7" t="s">
        <v>35</v>
      </c>
      <c r="H888" s="7"/>
      <c r="I888" s="7"/>
      <c r="J888" s="7" t="s">
        <v>36</v>
      </c>
      <c r="K888" s="7" t="s">
        <v>155</v>
      </c>
      <c r="L888" s="7" t="s">
        <v>156</v>
      </c>
      <c r="M888" s="7" t="s">
        <v>157</v>
      </c>
      <c r="N888" s="7" t="s">
        <v>33</v>
      </c>
      <c r="O888" s="7">
        <v>1</v>
      </c>
      <c r="P888" s="7" t="s">
        <v>40</v>
      </c>
      <c r="Q888" s="7">
        <v>19.99</v>
      </c>
      <c r="R888" s="7"/>
      <c r="S888" s="7"/>
      <c r="T888" s="7"/>
      <c r="U888" s="7"/>
      <c r="V888" s="7"/>
      <c r="W888" s="7"/>
      <c r="X888" s="7"/>
      <c r="Y888" s="7" t="s">
        <v>4796</v>
      </c>
      <c r="Z888" s="7" t="s">
        <v>345</v>
      </c>
      <c r="AA888" s="7">
        <v>1701</v>
      </c>
      <c r="AB888" s="7" t="s">
        <v>43</v>
      </c>
      <c r="AC888" s="7"/>
      <c r="AD888" s="7"/>
      <c r="AE888" s="7"/>
      <c r="AF888" s="7"/>
      <c r="AG888" s="8">
        <f t="shared" si="13"/>
        <v>43330</v>
      </c>
    </row>
    <row r="889" spans="1:33">
      <c r="A889" s="7" t="s">
        <v>4797</v>
      </c>
      <c r="B889" s="7" t="s">
        <v>4797</v>
      </c>
      <c r="C889" s="7" t="s">
        <v>4798</v>
      </c>
      <c r="D889" s="7" t="s">
        <v>4799</v>
      </c>
      <c r="E889" s="7" t="s">
        <v>33</v>
      </c>
      <c r="F889" s="7" t="s">
        <v>34</v>
      </c>
      <c r="G889" s="7" t="s">
        <v>35</v>
      </c>
      <c r="H889" s="7"/>
      <c r="I889" s="7"/>
      <c r="J889" s="7" t="s">
        <v>36</v>
      </c>
      <c r="K889" s="7" t="s">
        <v>456</v>
      </c>
      <c r="L889" s="7" t="s">
        <v>1280</v>
      </c>
      <c r="M889" s="7" t="s">
        <v>1281</v>
      </c>
      <c r="N889" s="7" t="s">
        <v>33</v>
      </c>
      <c r="O889" s="7">
        <v>1</v>
      </c>
      <c r="P889" s="7" t="s">
        <v>40</v>
      </c>
      <c r="Q889" s="7">
        <v>12.99</v>
      </c>
      <c r="R889" s="7"/>
      <c r="S889" s="7"/>
      <c r="T889" s="7"/>
      <c r="U889" s="7"/>
      <c r="V889" s="7"/>
      <c r="W889" s="7"/>
      <c r="X889" s="7"/>
      <c r="Y889" s="7" t="s">
        <v>4800</v>
      </c>
      <c r="Z889" s="7" t="s">
        <v>143</v>
      </c>
      <c r="AA889" s="7" t="s">
        <v>4801</v>
      </c>
      <c r="AB889" s="7" t="s">
        <v>43</v>
      </c>
      <c r="AC889" s="7"/>
      <c r="AD889" s="7"/>
      <c r="AE889" s="7"/>
      <c r="AF889" s="7"/>
      <c r="AG889" s="8">
        <f t="shared" si="13"/>
        <v>43330</v>
      </c>
    </row>
    <row r="890" spans="1:33">
      <c r="A890" s="7" t="s">
        <v>4802</v>
      </c>
      <c r="B890" s="7" t="s">
        <v>4802</v>
      </c>
      <c r="C890" s="7" t="s">
        <v>4803</v>
      </c>
      <c r="D890" s="7" t="s">
        <v>4804</v>
      </c>
      <c r="E890" s="7" t="s">
        <v>33</v>
      </c>
      <c r="F890" s="7" t="s">
        <v>34</v>
      </c>
      <c r="G890" s="7" t="s">
        <v>35</v>
      </c>
      <c r="H890" s="7"/>
      <c r="I890" s="7"/>
      <c r="J890" s="7" t="s">
        <v>36</v>
      </c>
      <c r="K890" s="7" t="s">
        <v>37</v>
      </c>
      <c r="L890" s="7" t="s">
        <v>224</v>
      </c>
      <c r="M890" s="7" t="s">
        <v>225</v>
      </c>
      <c r="N890" s="7" t="s">
        <v>33</v>
      </c>
      <c r="O890" s="7">
        <v>1</v>
      </c>
      <c r="P890" s="7" t="s">
        <v>40</v>
      </c>
      <c r="Q890" s="7">
        <v>19.99</v>
      </c>
      <c r="R890" s="7"/>
      <c r="S890" s="7"/>
      <c r="T890" s="7"/>
      <c r="U890" s="7"/>
      <c r="V890" s="7"/>
      <c r="W890" s="7"/>
      <c r="X890" s="7"/>
      <c r="Y890" s="7" t="s">
        <v>4805</v>
      </c>
      <c r="Z890" s="7" t="s">
        <v>219</v>
      </c>
      <c r="AA890" s="7" t="s">
        <v>4806</v>
      </c>
      <c r="AB890" s="7" t="s">
        <v>43</v>
      </c>
      <c r="AC890" s="7"/>
      <c r="AD890" s="7"/>
      <c r="AE890" s="7"/>
      <c r="AF890" s="7"/>
      <c r="AG890" s="8">
        <f t="shared" si="13"/>
        <v>43330</v>
      </c>
    </row>
    <row r="891" spans="1:33">
      <c r="A891" s="7" t="s">
        <v>4807</v>
      </c>
      <c r="B891" s="7" t="s">
        <v>4807</v>
      </c>
      <c r="C891" s="7" t="s">
        <v>4808</v>
      </c>
      <c r="D891" s="7" t="s">
        <v>4809</v>
      </c>
      <c r="E891" s="7" t="s">
        <v>33</v>
      </c>
      <c r="F891" s="7" t="s">
        <v>34</v>
      </c>
      <c r="G891" s="7" t="s">
        <v>35</v>
      </c>
      <c r="H891" s="7"/>
      <c r="I891" s="7"/>
      <c r="J891" s="7" t="s">
        <v>36</v>
      </c>
      <c r="K891" s="7" t="s">
        <v>456</v>
      </c>
      <c r="L891" s="7" t="s">
        <v>1248</v>
      </c>
      <c r="M891" s="7" t="s">
        <v>1249</v>
      </c>
      <c r="N891" s="7" t="s">
        <v>33</v>
      </c>
      <c r="O891" s="7">
        <v>1</v>
      </c>
      <c r="P891" s="7" t="s">
        <v>40</v>
      </c>
      <c r="Q891" s="7">
        <v>12.99</v>
      </c>
      <c r="R891" s="7">
        <v>1.12</v>
      </c>
      <c r="S891" s="7"/>
      <c r="T891" s="7"/>
      <c r="U891" s="7"/>
      <c r="V891" s="7"/>
      <c r="W891" s="7"/>
      <c r="X891" s="7"/>
      <c r="Y891" s="7" t="s">
        <v>1633</v>
      </c>
      <c r="Z891" s="7" t="s">
        <v>842</v>
      </c>
      <c r="AA891" s="7" t="s">
        <v>4810</v>
      </c>
      <c r="AB891" s="7" t="s">
        <v>43</v>
      </c>
      <c r="AC891" s="7"/>
      <c r="AD891" s="7"/>
      <c r="AE891" s="7"/>
      <c r="AF891" s="7"/>
      <c r="AG891" s="8">
        <f t="shared" si="13"/>
        <v>43330</v>
      </c>
    </row>
    <row r="892" spans="1:33">
      <c r="A892" s="7" t="s">
        <v>4811</v>
      </c>
      <c r="B892" s="7" t="s">
        <v>4811</v>
      </c>
      <c r="C892" s="7" t="s">
        <v>4812</v>
      </c>
      <c r="D892" s="7" t="s">
        <v>4813</v>
      </c>
      <c r="E892" s="7" t="s">
        <v>33</v>
      </c>
      <c r="F892" s="7" t="s">
        <v>34</v>
      </c>
      <c r="G892" s="7" t="s">
        <v>35</v>
      </c>
      <c r="H892" s="7"/>
      <c r="I892" s="7"/>
      <c r="J892" s="7" t="s">
        <v>36</v>
      </c>
      <c r="K892" s="7" t="s">
        <v>37</v>
      </c>
      <c r="L892" s="7" t="s">
        <v>1092</v>
      </c>
      <c r="M892" s="7" t="s">
        <v>1093</v>
      </c>
      <c r="N892" s="7" t="s">
        <v>33</v>
      </c>
      <c r="O892" s="7">
        <v>1</v>
      </c>
      <c r="P892" s="7" t="s">
        <v>40</v>
      </c>
      <c r="Q892" s="7">
        <v>19.99</v>
      </c>
      <c r="R892" s="7"/>
      <c r="S892" s="7"/>
      <c r="T892" s="7"/>
      <c r="U892" s="7"/>
      <c r="V892" s="7"/>
      <c r="W892" s="7"/>
      <c r="X892" s="7"/>
      <c r="Y892" s="7" t="s">
        <v>2134</v>
      </c>
      <c r="Z892" s="7" t="s">
        <v>94</v>
      </c>
      <c r="AA892" s="7" t="s">
        <v>4814</v>
      </c>
      <c r="AB892" s="7" t="s">
        <v>43</v>
      </c>
      <c r="AC892" s="7"/>
      <c r="AD892" s="7"/>
      <c r="AE892" s="7"/>
      <c r="AF892" s="7"/>
      <c r="AG892" s="8">
        <f t="shared" si="13"/>
        <v>43330</v>
      </c>
    </row>
    <row r="893" spans="1:33">
      <c r="A893" s="7" t="s">
        <v>4815</v>
      </c>
      <c r="B893" s="7" t="s">
        <v>4815</v>
      </c>
      <c r="C893" s="7" t="s">
        <v>4816</v>
      </c>
      <c r="D893" s="7" t="s">
        <v>4817</v>
      </c>
      <c r="E893" s="7" t="s">
        <v>33</v>
      </c>
      <c r="F893" s="7" t="s">
        <v>34</v>
      </c>
      <c r="G893" s="7" t="s">
        <v>35</v>
      </c>
      <c r="H893" s="7"/>
      <c r="I893" s="7"/>
      <c r="J893" s="7" t="s">
        <v>36</v>
      </c>
      <c r="K893" s="7" t="s">
        <v>125</v>
      </c>
      <c r="L893" s="7" t="s">
        <v>126</v>
      </c>
      <c r="M893" s="7" t="s">
        <v>127</v>
      </c>
      <c r="N893" s="7" t="s">
        <v>33</v>
      </c>
      <c r="O893" s="7">
        <v>1</v>
      </c>
      <c r="P893" s="7" t="s">
        <v>40</v>
      </c>
      <c r="Q893" s="7">
        <v>18.99</v>
      </c>
      <c r="R893" s="7">
        <v>1.64</v>
      </c>
      <c r="S893" s="7"/>
      <c r="T893" s="7"/>
      <c r="U893" s="7"/>
      <c r="V893" s="7"/>
      <c r="W893" s="7"/>
      <c r="X893" s="7"/>
      <c r="Y893" s="7" t="s">
        <v>1633</v>
      </c>
      <c r="Z893" s="7" t="s">
        <v>842</v>
      </c>
      <c r="AA893" s="7" t="s">
        <v>4818</v>
      </c>
      <c r="AB893" s="7" t="s">
        <v>43</v>
      </c>
      <c r="AC893" s="7"/>
      <c r="AD893" s="7"/>
      <c r="AE893" s="7"/>
      <c r="AF893" s="7"/>
      <c r="AG893" s="8">
        <f t="shared" si="13"/>
        <v>43330</v>
      </c>
    </row>
    <row r="894" spans="1:33">
      <c r="A894" s="7" t="s">
        <v>4819</v>
      </c>
      <c r="B894" s="7" t="s">
        <v>4819</v>
      </c>
      <c r="C894" s="7" t="s">
        <v>4820</v>
      </c>
      <c r="D894" s="7" t="s">
        <v>4821</v>
      </c>
      <c r="E894" s="7" t="s">
        <v>33</v>
      </c>
      <c r="F894" s="7" t="s">
        <v>34</v>
      </c>
      <c r="G894" s="7" t="s">
        <v>35</v>
      </c>
      <c r="H894" s="7"/>
      <c r="I894" s="7"/>
      <c r="J894" s="7" t="s">
        <v>36</v>
      </c>
      <c r="K894" s="7" t="s">
        <v>90</v>
      </c>
      <c r="L894" s="7" t="s">
        <v>284</v>
      </c>
      <c r="M894" s="7" t="s">
        <v>285</v>
      </c>
      <c r="N894" s="7" t="s">
        <v>33</v>
      </c>
      <c r="O894" s="7">
        <v>1</v>
      </c>
      <c r="P894" s="7" t="s">
        <v>40</v>
      </c>
      <c r="Q894" s="7">
        <v>12.99</v>
      </c>
      <c r="R894" s="7"/>
      <c r="S894" s="7"/>
      <c r="T894" s="7"/>
      <c r="U894" s="7"/>
      <c r="V894" s="7"/>
      <c r="W894" s="7"/>
      <c r="X894" s="7"/>
      <c r="Y894" s="7" t="s">
        <v>4822</v>
      </c>
      <c r="Z894" s="7" t="s">
        <v>194</v>
      </c>
      <c r="AA894" s="7" t="s">
        <v>4823</v>
      </c>
      <c r="AB894" s="7" t="s">
        <v>43</v>
      </c>
      <c r="AC894" s="7"/>
      <c r="AD894" s="7"/>
      <c r="AE894" s="7"/>
      <c r="AF894" s="7"/>
      <c r="AG894" s="8">
        <f t="shared" si="13"/>
        <v>43330</v>
      </c>
    </row>
    <row r="895" spans="1:33">
      <c r="A895" s="7" t="s">
        <v>4824</v>
      </c>
      <c r="B895" s="7" t="s">
        <v>4824</v>
      </c>
      <c r="C895" s="7" t="s">
        <v>4825</v>
      </c>
      <c r="D895" s="7" t="s">
        <v>4826</v>
      </c>
      <c r="E895" s="7" t="s">
        <v>33</v>
      </c>
      <c r="F895" s="7" t="s">
        <v>34</v>
      </c>
      <c r="G895" s="7" t="s">
        <v>35</v>
      </c>
      <c r="H895" s="7"/>
      <c r="I895" s="7"/>
      <c r="J895" s="7" t="s">
        <v>36</v>
      </c>
      <c r="K895" s="7" t="s">
        <v>90</v>
      </c>
      <c r="L895" s="7" t="s">
        <v>284</v>
      </c>
      <c r="M895" s="7" t="s">
        <v>285</v>
      </c>
      <c r="N895" s="7" t="s">
        <v>33</v>
      </c>
      <c r="O895" s="7">
        <v>1</v>
      </c>
      <c r="P895" s="7" t="s">
        <v>40</v>
      </c>
      <c r="Q895" s="7">
        <v>12.99</v>
      </c>
      <c r="R895" s="7"/>
      <c r="S895" s="7"/>
      <c r="T895" s="7"/>
      <c r="U895" s="7"/>
      <c r="V895" s="7"/>
      <c r="W895" s="7"/>
      <c r="X895" s="7"/>
      <c r="Y895" s="7" t="s">
        <v>4827</v>
      </c>
      <c r="Z895" s="7" t="s">
        <v>2362</v>
      </c>
      <c r="AA895" s="7" t="s">
        <v>4828</v>
      </c>
      <c r="AB895" s="7" t="s">
        <v>43</v>
      </c>
      <c r="AC895" s="7"/>
      <c r="AD895" s="7"/>
      <c r="AE895" s="7"/>
      <c r="AF895" s="7"/>
      <c r="AG895" s="8">
        <f t="shared" si="13"/>
        <v>43330</v>
      </c>
    </row>
    <row r="896" spans="1:33">
      <c r="A896" s="7" t="s">
        <v>4829</v>
      </c>
      <c r="B896" s="7" t="s">
        <v>4829</v>
      </c>
      <c r="C896" s="7" t="s">
        <v>4830</v>
      </c>
      <c r="D896" s="7" t="s">
        <v>4831</v>
      </c>
      <c r="E896" s="7" t="s">
        <v>33</v>
      </c>
      <c r="F896" s="7" t="s">
        <v>34</v>
      </c>
      <c r="G896" s="7" t="s">
        <v>35</v>
      </c>
      <c r="H896" s="7"/>
      <c r="I896" s="7"/>
      <c r="J896" s="7" t="s">
        <v>36</v>
      </c>
      <c r="K896" s="7" t="s">
        <v>125</v>
      </c>
      <c r="L896" s="7" t="s">
        <v>126</v>
      </c>
      <c r="M896" s="7" t="s">
        <v>127</v>
      </c>
      <c r="N896" s="7" t="s">
        <v>33</v>
      </c>
      <c r="O896" s="7">
        <v>1</v>
      </c>
      <c r="P896" s="7" t="s">
        <v>40</v>
      </c>
      <c r="Q896" s="7">
        <v>18.99</v>
      </c>
      <c r="R896" s="7"/>
      <c r="S896" s="7"/>
      <c r="T896" s="7"/>
      <c r="U896" s="7"/>
      <c r="V896" s="7"/>
      <c r="W896" s="7"/>
      <c r="X896" s="7"/>
      <c r="Y896" s="7" t="s">
        <v>2435</v>
      </c>
      <c r="Z896" s="7" t="s">
        <v>174</v>
      </c>
      <c r="AA896" s="7" t="s">
        <v>4832</v>
      </c>
      <c r="AB896" s="7" t="s">
        <v>43</v>
      </c>
      <c r="AC896" s="7"/>
      <c r="AD896" s="7"/>
      <c r="AE896" s="7"/>
      <c r="AF896" s="7"/>
      <c r="AG896" s="8">
        <f t="shared" si="13"/>
        <v>43330</v>
      </c>
    </row>
    <row r="897" spans="1:33">
      <c r="A897" s="7" t="s">
        <v>4829</v>
      </c>
      <c r="B897" s="7" t="s">
        <v>4829</v>
      </c>
      <c r="C897" s="7" t="s">
        <v>4830</v>
      </c>
      <c r="D897" s="7" t="s">
        <v>4831</v>
      </c>
      <c r="E897" s="7" t="s">
        <v>33</v>
      </c>
      <c r="F897" s="7" t="s">
        <v>34</v>
      </c>
      <c r="G897" s="7" t="s">
        <v>35</v>
      </c>
      <c r="H897" s="7"/>
      <c r="I897" s="7"/>
      <c r="J897" s="7" t="s">
        <v>36</v>
      </c>
      <c r="K897" s="7" t="s">
        <v>247</v>
      </c>
      <c r="L897" s="7" t="s">
        <v>248</v>
      </c>
      <c r="M897" s="7" t="s">
        <v>249</v>
      </c>
      <c r="N897" s="7" t="s">
        <v>33</v>
      </c>
      <c r="O897" s="7">
        <v>1</v>
      </c>
      <c r="P897" s="7" t="s">
        <v>40</v>
      </c>
      <c r="Q897" s="7">
        <v>18.99</v>
      </c>
      <c r="R897" s="7"/>
      <c r="S897" s="7"/>
      <c r="T897" s="7"/>
      <c r="U897" s="7"/>
      <c r="V897" s="7"/>
      <c r="W897" s="7"/>
      <c r="X897" s="7"/>
      <c r="Y897" s="7" t="s">
        <v>2435</v>
      </c>
      <c r="Z897" s="7" t="s">
        <v>174</v>
      </c>
      <c r="AA897" s="7" t="s">
        <v>4832</v>
      </c>
      <c r="AB897" s="7" t="s">
        <v>43</v>
      </c>
      <c r="AC897" s="7"/>
      <c r="AD897" s="7"/>
      <c r="AE897" s="7"/>
      <c r="AF897" s="7"/>
      <c r="AG897" s="8">
        <f t="shared" si="13"/>
        <v>43330</v>
      </c>
    </row>
    <row r="898" spans="1:33">
      <c r="A898" s="7" t="s">
        <v>4833</v>
      </c>
      <c r="B898" s="7" t="s">
        <v>4833</v>
      </c>
      <c r="C898" s="7" t="s">
        <v>4834</v>
      </c>
      <c r="D898" s="7" t="s">
        <v>4835</v>
      </c>
      <c r="E898" s="7" t="s">
        <v>33</v>
      </c>
      <c r="F898" s="7" t="s">
        <v>34</v>
      </c>
      <c r="G898" s="7" t="s">
        <v>35</v>
      </c>
      <c r="H898" s="7"/>
      <c r="I898" s="7"/>
      <c r="J898" s="7" t="s">
        <v>36</v>
      </c>
      <c r="K898" s="7" t="s">
        <v>90</v>
      </c>
      <c r="L898" s="7" t="s">
        <v>284</v>
      </c>
      <c r="M898" s="7" t="s">
        <v>285</v>
      </c>
      <c r="N898" s="7" t="s">
        <v>33</v>
      </c>
      <c r="O898" s="7">
        <v>1</v>
      </c>
      <c r="P898" s="7" t="s">
        <v>40</v>
      </c>
      <c r="Q898" s="7">
        <v>12.99</v>
      </c>
      <c r="R898" s="7"/>
      <c r="S898" s="7"/>
      <c r="T898" s="7"/>
      <c r="U898" s="7"/>
      <c r="V898" s="7"/>
      <c r="W898" s="7"/>
      <c r="X898" s="7"/>
      <c r="Y898" s="7" t="s">
        <v>377</v>
      </c>
      <c r="Z898" s="7" t="s">
        <v>143</v>
      </c>
      <c r="AA898" s="7" t="s">
        <v>4836</v>
      </c>
      <c r="AB898" s="7" t="s">
        <v>43</v>
      </c>
      <c r="AC898" s="7"/>
      <c r="AD898" s="7"/>
      <c r="AE898" s="7"/>
      <c r="AF898" s="7"/>
      <c r="AG898" s="8">
        <f t="shared" ref="AG898:AG961" si="14">DATEVALUE(LEFT(C898,10))</f>
        <v>43330</v>
      </c>
    </row>
    <row r="899" spans="1:33">
      <c r="A899" s="7" t="s">
        <v>4837</v>
      </c>
      <c r="B899" s="7" t="s">
        <v>4837</v>
      </c>
      <c r="C899" s="7" t="s">
        <v>4838</v>
      </c>
      <c r="D899" s="7" t="s">
        <v>4839</v>
      </c>
      <c r="E899" s="7" t="s">
        <v>33</v>
      </c>
      <c r="F899" s="7" t="s">
        <v>34</v>
      </c>
      <c r="G899" s="7" t="s">
        <v>35</v>
      </c>
      <c r="H899" s="7"/>
      <c r="I899" s="7"/>
      <c r="J899" s="7" t="s">
        <v>36</v>
      </c>
      <c r="K899" s="7" t="s">
        <v>255</v>
      </c>
      <c r="L899" s="7" t="s">
        <v>256</v>
      </c>
      <c r="M899" s="7" t="s">
        <v>257</v>
      </c>
      <c r="N899" s="7" t="s">
        <v>33</v>
      </c>
      <c r="O899" s="7">
        <v>1</v>
      </c>
      <c r="P899" s="7" t="s">
        <v>40</v>
      </c>
      <c r="Q899" s="7">
        <v>19.99</v>
      </c>
      <c r="R899" s="7"/>
      <c r="S899" s="7"/>
      <c r="T899" s="7"/>
      <c r="U899" s="7"/>
      <c r="V899" s="7"/>
      <c r="W899" s="7"/>
      <c r="X899" s="7"/>
      <c r="Y899" s="7" t="s">
        <v>4840</v>
      </c>
      <c r="Z899" s="7" t="s">
        <v>4841</v>
      </c>
      <c r="AA899" s="7">
        <v>44221</v>
      </c>
      <c r="AB899" s="7" t="s">
        <v>43</v>
      </c>
      <c r="AC899" s="7"/>
      <c r="AD899" s="7"/>
      <c r="AE899" s="7"/>
      <c r="AF899" s="7"/>
      <c r="AG899" s="8">
        <f t="shared" si="14"/>
        <v>43331</v>
      </c>
    </row>
    <row r="900" spans="1:33">
      <c r="A900" s="7" t="s">
        <v>4842</v>
      </c>
      <c r="B900" s="7" t="s">
        <v>4842</v>
      </c>
      <c r="C900" s="7" t="s">
        <v>4843</v>
      </c>
      <c r="D900" s="7" t="s">
        <v>4844</v>
      </c>
      <c r="E900" s="7" t="s">
        <v>33</v>
      </c>
      <c r="F900" s="7" t="s">
        <v>34</v>
      </c>
      <c r="G900" s="7" t="s">
        <v>35</v>
      </c>
      <c r="H900" s="7"/>
      <c r="I900" s="7"/>
      <c r="J900" s="7" t="s">
        <v>36</v>
      </c>
      <c r="K900" s="7" t="s">
        <v>90</v>
      </c>
      <c r="L900" s="7" t="s">
        <v>284</v>
      </c>
      <c r="M900" s="7" t="s">
        <v>285</v>
      </c>
      <c r="N900" s="7" t="s">
        <v>33</v>
      </c>
      <c r="O900" s="7">
        <v>1</v>
      </c>
      <c r="P900" s="7" t="s">
        <v>40</v>
      </c>
      <c r="Q900" s="7">
        <v>12.99</v>
      </c>
      <c r="R900" s="7"/>
      <c r="S900" s="7"/>
      <c r="T900" s="7"/>
      <c r="U900" s="7"/>
      <c r="V900" s="7"/>
      <c r="W900" s="7"/>
      <c r="X900" s="7"/>
      <c r="Y900" s="7" t="s">
        <v>362</v>
      </c>
      <c r="Z900" s="7" t="s">
        <v>227</v>
      </c>
      <c r="AA900" s="7" t="s">
        <v>4845</v>
      </c>
      <c r="AB900" s="7" t="s">
        <v>43</v>
      </c>
      <c r="AC900" s="7"/>
      <c r="AD900" s="7"/>
      <c r="AE900" s="7"/>
      <c r="AF900" s="7"/>
      <c r="AG900" s="8">
        <f t="shared" si="14"/>
        <v>43331</v>
      </c>
    </row>
    <row r="901" spans="1:33">
      <c r="A901" s="7" t="s">
        <v>4846</v>
      </c>
      <c r="B901" s="7" t="s">
        <v>4846</v>
      </c>
      <c r="C901" s="7" t="s">
        <v>4847</v>
      </c>
      <c r="D901" s="7" t="s">
        <v>4848</v>
      </c>
      <c r="E901" s="7" t="s">
        <v>33</v>
      </c>
      <c r="F901" s="7" t="s">
        <v>34</v>
      </c>
      <c r="G901" s="7" t="s">
        <v>35</v>
      </c>
      <c r="H901" s="7"/>
      <c r="I901" s="7"/>
      <c r="J901" s="7" t="s">
        <v>36</v>
      </c>
      <c r="K901" s="7" t="s">
        <v>255</v>
      </c>
      <c r="L901" s="7" t="s">
        <v>1788</v>
      </c>
      <c r="M901" s="7" t="s">
        <v>1789</v>
      </c>
      <c r="N901" s="7" t="s">
        <v>33</v>
      </c>
      <c r="O901" s="7">
        <v>1</v>
      </c>
      <c r="P901" s="7" t="s">
        <v>40</v>
      </c>
      <c r="Q901" s="7">
        <v>19.99</v>
      </c>
      <c r="R901" s="7"/>
      <c r="S901" s="7"/>
      <c r="T901" s="7"/>
      <c r="U901" s="7"/>
      <c r="V901" s="7"/>
      <c r="W901" s="7"/>
      <c r="X901" s="7"/>
      <c r="Y901" s="7" t="s">
        <v>4849</v>
      </c>
      <c r="Z901" s="7" t="s">
        <v>646</v>
      </c>
      <c r="AA901" s="7" t="s">
        <v>4850</v>
      </c>
      <c r="AB901" s="7" t="s">
        <v>43</v>
      </c>
      <c r="AC901" s="7"/>
      <c r="AD901" s="7"/>
      <c r="AE901" s="7"/>
      <c r="AF901" s="7"/>
      <c r="AG901" s="8">
        <f t="shared" si="14"/>
        <v>43331</v>
      </c>
    </row>
    <row r="902" spans="1:33">
      <c r="A902" s="7" t="s">
        <v>4851</v>
      </c>
      <c r="B902" s="7" t="s">
        <v>4851</v>
      </c>
      <c r="C902" s="7" t="s">
        <v>4852</v>
      </c>
      <c r="D902" s="7" t="s">
        <v>4853</v>
      </c>
      <c r="E902" s="7" t="s">
        <v>33</v>
      </c>
      <c r="F902" s="7" t="s">
        <v>34</v>
      </c>
      <c r="G902" s="7" t="s">
        <v>35</v>
      </c>
      <c r="H902" s="7"/>
      <c r="I902" s="7"/>
      <c r="J902" s="7" t="s">
        <v>36</v>
      </c>
      <c r="K902" s="7" t="s">
        <v>255</v>
      </c>
      <c r="L902" s="7" t="s">
        <v>427</v>
      </c>
      <c r="M902" s="7" t="s">
        <v>428</v>
      </c>
      <c r="N902" s="7" t="s">
        <v>33</v>
      </c>
      <c r="O902" s="7">
        <v>1</v>
      </c>
      <c r="P902" s="7" t="s">
        <v>40</v>
      </c>
      <c r="Q902" s="7">
        <v>19.99</v>
      </c>
      <c r="R902" s="7"/>
      <c r="S902" s="7"/>
      <c r="T902" s="7"/>
      <c r="U902" s="7"/>
      <c r="V902" s="7"/>
      <c r="W902" s="7"/>
      <c r="X902" s="7"/>
      <c r="Y902" s="7" t="s">
        <v>4854</v>
      </c>
      <c r="Z902" s="7" t="s">
        <v>94</v>
      </c>
      <c r="AA902" s="7" t="s">
        <v>4855</v>
      </c>
      <c r="AB902" s="7" t="s">
        <v>43</v>
      </c>
      <c r="AC902" s="7"/>
      <c r="AD902" s="7"/>
      <c r="AE902" s="7"/>
      <c r="AF902" s="7"/>
      <c r="AG902" s="8">
        <f t="shared" si="14"/>
        <v>43331</v>
      </c>
    </row>
    <row r="903" spans="1:33">
      <c r="A903" s="7" t="s">
        <v>4856</v>
      </c>
      <c r="B903" s="7" t="s">
        <v>4856</v>
      </c>
      <c r="C903" s="7" t="s">
        <v>4857</v>
      </c>
      <c r="D903" s="7" t="s">
        <v>4858</v>
      </c>
      <c r="E903" s="7" t="s">
        <v>33</v>
      </c>
      <c r="F903" s="7" t="s">
        <v>34</v>
      </c>
      <c r="G903" s="7" t="s">
        <v>35</v>
      </c>
      <c r="H903" s="7"/>
      <c r="I903" s="7"/>
      <c r="J903" s="7" t="s">
        <v>36</v>
      </c>
      <c r="K903" s="7" t="s">
        <v>4859</v>
      </c>
      <c r="L903" s="7" t="s">
        <v>4860</v>
      </c>
      <c r="M903" s="7" t="s">
        <v>4861</v>
      </c>
      <c r="N903" s="7" t="s">
        <v>33</v>
      </c>
      <c r="O903" s="7">
        <v>1</v>
      </c>
      <c r="P903" s="7" t="s">
        <v>40</v>
      </c>
      <c r="Q903" s="7">
        <v>29.99</v>
      </c>
      <c r="R903" s="7"/>
      <c r="S903" s="7"/>
      <c r="T903" s="7"/>
      <c r="U903" s="7"/>
      <c r="V903" s="7"/>
      <c r="W903" s="7"/>
      <c r="X903" s="7"/>
      <c r="Y903" s="7" t="s">
        <v>4862</v>
      </c>
      <c r="Z903" s="7" t="s">
        <v>4863</v>
      </c>
      <c r="AA903" s="7">
        <v>70706</v>
      </c>
      <c r="AB903" s="7" t="s">
        <v>43</v>
      </c>
      <c r="AC903" s="7"/>
      <c r="AD903" s="7"/>
      <c r="AE903" s="7"/>
      <c r="AF903" s="7"/>
      <c r="AG903" s="8">
        <f t="shared" si="14"/>
        <v>43331</v>
      </c>
    </row>
    <row r="904" spans="1:33">
      <c r="A904" s="7" t="s">
        <v>4864</v>
      </c>
      <c r="B904" s="7" t="s">
        <v>4864</v>
      </c>
      <c r="C904" s="7" t="s">
        <v>4865</v>
      </c>
      <c r="D904" s="7" t="s">
        <v>4866</v>
      </c>
      <c r="E904" s="7" t="s">
        <v>33</v>
      </c>
      <c r="F904" s="7" t="s">
        <v>34</v>
      </c>
      <c r="G904" s="7" t="s">
        <v>35</v>
      </c>
      <c r="H904" s="7"/>
      <c r="I904" s="7"/>
      <c r="J904" s="7" t="s">
        <v>36</v>
      </c>
      <c r="K904" s="7" t="s">
        <v>90</v>
      </c>
      <c r="L904" s="7" t="s">
        <v>284</v>
      </c>
      <c r="M904" s="7" t="s">
        <v>285</v>
      </c>
      <c r="N904" s="7" t="s">
        <v>33</v>
      </c>
      <c r="O904" s="7">
        <v>1</v>
      </c>
      <c r="P904" s="7" t="s">
        <v>40</v>
      </c>
      <c r="Q904" s="7">
        <v>12.99</v>
      </c>
      <c r="R904" s="7"/>
      <c r="S904" s="7"/>
      <c r="T904" s="7"/>
      <c r="U904" s="7"/>
      <c r="V904" s="7"/>
      <c r="W904" s="7"/>
      <c r="X904" s="7"/>
      <c r="Y904" s="7" t="s">
        <v>2381</v>
      </c>
      <c r="Z904" s="7" t="s">
        <v>165</v>
      </c>
      <c r="AA904" s="7" t="s">
        <v>4867</v>
      </c>
      <c r="AB904" s="7" t="s">
        <v>43</v>
      </c>
      <c r="AC904" s="7"/>
      <c r="AD904" s="7"/>
      <c r="AE904" s="7"/>
      <c r="AF904" s="7"/>
      <c r="AG904" s="8">
        <f t="shared" si="14"/>
        <v>43331</v>
      </c>
    </row>
    <row r="905" spans="1:33">
      <c r="A905" s="7" t="s">
        <v>4868</v>
      </c>
      <c r="B905" s="7" t="s">
        <v>4868</v>
      </c>
      <c r="C905" s="7" t="s">
        <v>4869</v>
      </c>
      <c r="D905" s="7" t="s">
        <v>4870</v>
      </c>
      <c r="E905" s="7" t="s">
        <v>33</v>
      </c>
      <c r="F905" s="7" t="s">
        <v>34</v>
      </c>
      <c r="G905" s="7" t="s">
        <v>35</v>
      </c>
      <c r="H905" s="7"/>
      <c r="I905" s="7"/>
      <c r="J905" s="7" t="s">
        <v>36</v>
      </c>
      <c r="K905" s="7" t="s">
        <v>255</v>
      </c>
      <c r="L905" s="7" t="s">
        <v>300</v>
      </c>
      <c r="M905" s="7" t="s">
        <v>301</v>
      </c>
      <c r="N905" s="7" t="s">
        <v>33</v>
      </c>
      <c r="O905" s="7">
        <v>1</v>
      </c>
      <c r="P905" s="7" t="s">
        <v>40</v>
      </c>
      <c r="Q905" s="7">
        <v>19.99</v>
      </c>
      <c r="R905" s="7"/>
      <c r="S905" s="7"/>
      <c r="T905" s="7"/>
      <c r="U905" s="7"/>
      <c r="V905" s="7"/>
      <c r="W905" s="7"/>
      <c r="X905" s="7"/>
      <c r="Y905" s="7" t="s">
        <v>4871</v>
      </c>
      <c r="Z905" s="7" t="s">
        <v>59</v>
      </c>
      <c r="AA905" s="7" t="s">
        <v>4872</v>
      </c>
      <c r="AB905" s="7" t="s">
        <v>43</v>
      </c>
      <c r="AC905" s="7"/>
      <c r="AD905" s="7"/>
      <c r="AE905" s="7"/>
      <c r="AF905" s="7"/>
      <c r="AG905" s="8">
        <f t="shared" si="14"/>
        <v>43331</v>
      </c>
    </row>
    <row r="906" spans="1:33">
      <c r="A906" s="7" t="s">
        <v>4873</v>
      </c>
      <c r="B906" s="7" t="s">
        <v>4873</v>
      </c>
      <c r="C906" s="7" t="s">
        <v>4874</v>
      </c>
      <c r="D906" s="7" t="s">
        <v>4875</v>
      </c>
      <c r="E906" s="7" t="s">
        <v>33</v>
      </c>
      <c r="F906" s="7" t="s">
        <v>34</v>
      </c>
      <c r="G906" s="7" t="s">
        <v>35</v>
      </c>
      <c r="H906" s="7"/>
      <c r="I906" s="7"/>
      <c r="J906" s="7" t="s">
        <v>36</v>
      </c>
      <c r="K906" s="7" t="s">
        <v>90</v>
      </c>
      <c r="L906" s="7" t="s">
        <v>284</v>
      </c>
      <c r="M906" s="7" t="s">
        <v>285</v>
      </c>
      <c r="N906" s="7" t="s">
        <v>33</v>
      </c>
      <c r="O906" s="7">
        <v>1</v>
      </c>
      <c r="P906" s="7" t="s">
        <v>40</v>
      </c>
      <c r="Q906" s="7">
        <v>12.99</v>
      </c>
      <c r="R906" s="7"/>
      <c r="S906" s="7"/>
      <c r="T906" s="7"/>
      <c r="U906" s="7"/>
      <c r="V906" s="7"/>
      <c r="W906" s="7"/>
      <c r="X906" s="7"/>
      <c r="Y906" s="7" t="s">
        <v>4876</v>
      </c>
      <c r="Z906" s="7" t="s">
        <v>227</v>
      </c>
      <c r="AA906" s="7" t="s">
        <v>4877</v>
      </c>
      <c r="AB906" s="7" t="s">
        <v>43</v>
      </c>
      <c r="AC906" s="7"/>
      <c r="AD906" s="7"/>
      <c r="AE906" s="7"/>
      <c r="AF906" s="7"/>
      <c r="AG906" s="8">
        <f t="shared" si="14"/>
        <v>43331</v>
      </c>
    </row>
    <row r="907" spans="1:33">
      <c r="A907" s="7" t="s">
        <v>4873</v>
      </c>
      <c r="B907" s="7" t="s">
        <v>4873</v>
      </c>
      <c r="C907" s="7" t="s">
        <v>4874</v>
      </c>
      <c r="D907" s="7" t="s">
        <v>4875</v>
      </c>
      <c r="E907" s="7" t="s">
        <v>33</v>
      </c>
      <c r="F907" s="7" t="s">
        <v>34</v>
      </c>
      <c r="G907" s="7" t="s">
        <v>35</v>
      </c>
      <c r="H907" s="7"/>
      <c r="I907" s="7"/>
      <c r="J907" s="7" t="s">
        <v>36</v>
      </c>
      <c r="K907" s="7" t="s">
        <v>456</v>
      </c>
      <c r="L907" s="7" t="s">
        <v>1280</v>
      </c>
      <c r="M907" s="7" t="s">
        <v>1281</v>
      </c>
      <c r="N907" s="7" t="s">
        <v>33</v>
      </c>
      <c r="O907" s="7">
        <v>1</v>
      </c>
      <c r="P907" s="7" t="s">
        <v>40</v>
      </c>
      <c r="Q907" s="7">
        <v>12.99</v>
      </c>
      <c r="R907" s="7"/>
      <c r="S907" s="7"/>
      <c r="T907" s="7"/>
      <c r="U907" s="7"/>
      <c r="V907" s="7"/>
      <c r="W907" s="7"/>
      <c r="X907" s="7"/>
      <c r="Y907" s="7" t="s">
        <v>4876</v>
      </c>
      <c r="Z907" s="7" t="s">
        <v>227</v>
      </c>
      <c r="AA907" s="7" t="s">
        <v>4877</v>
      </c>
      <c r="AB907" s="7" t="s">
        <v>43</v>
      </c>
      <c r="AC907" s="7"/>
      <c r="AD907" s="7"/>
      <c r="AE907" s="7"/>
      <c r="AF907" s="7"/>
      <c r="AG907" s="8">
        <f t="shared" si="14"/>
        <v>43331</v>
      </c>
    </row>
    <row r="908" spans="1:33">
      <c r="A908" s="7" t="s">
        <v>4878</v>
      </c>
      <c r="B908" s="7" t="s">
        <v>4878</v>
      </c>
      <c r="C908" s="7" t="s">
        <v>4879</v>
      </c>
      <c r="D908" s="7" t="s">
        <v>4880</v>
      </c>
      <c r="E908" s="7" t="s">
        <v>33</v>
      </c>
      <c r="F908" s="7" t="s">
        <v>34</v>
      </c>
      <c r="G908" s="7" t="s">
        <v>35</v>
      </c>
      <c r="H908" s="7"/>
      <c r="I908" s="7"/>
      <c r="J908" s="7" t="s">
        <v>36</v>
      </c>
      <c r="K908" s="7" t="s">
        <v>255</v>
      </c>
      <c r="L908" s="7" t="s">
        <v>256</v>
      </c>
      <c r="M908" s="7" t="s">
        <v>257</v>
      </c>
      <c r="N908" s="7" t="s">
        <v>33</v>
      </c>
      <c r="O908" s="7">
        <v>1</v>
      </c>
      <c r="P908" s="7" t="s">
        <v>40</v>
      </c>
      <c r="Q908" s="7">
        <v>19.99</v>
      </c>
      <c r="R908" s="7"/>
      <c r="S908" s="7"/>
      <c r="T908" s="7"/>
      <c r="U908" s="7"/>
      <c r="V908" s="7"/>
      <c r="W908" s="7"/>
      <c r="X908" s="7"/>
      <c r="Y908" s="7" t="s">
        <v>4881</v>
      </c>
      <c r="Z908" s="7" t="s">
        <v>59</v>
      </c>
      <c r="AA908" s="7" t="s">
        <v>4882</v>
      </c>
      <c r="AB908" s="7" t="s">
        <v>43</v>
      </c>
      <c r="AC908" s="7"/>
      <c r="AD908" s="7"/>
      <c r="AE908" s="7"/>
      <c r="AF908" s="7"/>
      <c r="AG908" s="8">
        <f t="shared" si="14"/>
        <v>43331</v>
      </c>
    </row>
    <row r="909" spans="1:33">
      <c r="A909" s="7" t="s">
        <v>4883</v>
      </c>
      <c r="B909" s="7" t="s">
        <v>4883</v>
      </c>
      <c r="C909" s="7" t="s">
        <v>4884</v>
      </c>
      <c r="D909" s="7" t="s">
        <v>4885</v>
      </c>
      <c r="E909" s="7" t="s">
        <v>33</v>
      </c>
      <c r="F909" s="7" t="s">
        <v>34</v>
      </c>
      <c r="G909" s="7" t="s">
        <v>35</v>
      </c>
      <c r="H909" s="7"/>
      <c r="I909" s="7"/>
      <c r="J909" s="7" t="s">
        <v>36</v>
      </c>
      <c r="K909" s="7" t="s">
        <v>456</v>
      </c>
      <c r="L909" s="7" t="s">
        <v>1280</v>
      </c>
      <c r="M909" s="7" t="s">
        <v>1281</v>
      </c>
      <c r="N909" s="7" t="s">
        <v>33</v>
      </c>
      <c r="O909" s="7">
        <v>1</v>
      </c>
      <c r="P909" s="7" t="s">
        <v>40</v>
      </c>
      <c r="Q909" s="7">
        <v>12.99</v>
      </c>
      <c r="R909" s="7"/>
      <c r="S909" s="7"/>
      <c r="T909" s="7"/>
      <c r="U909" s="7"/>
      <c r="V909" s="7"/>
      <c r="W909" s="7"/>
      <c r="X909" s="7"/>
      <c r="Y909" s="7" t="s">
        <v>1418</v>
      </c>
      <c r="Z909" s="7" t="s">
        <v>85</v>
      </c>
      <c r="AA909" s="7" t="s">
        <v>4886</v>
      </c>
      <c r="AB909" s="7" t="s">
        <v>43</v>
      </c>
      <c r="AC909" s="7"/>
      <c r="AD909" s="7"/>
      <c r="AE909" s="7"/>
      <c r="AF909" s="7"/>
      <c r="AG909" s="8">
        <f t="shared" si="14"/>
        <v>43331</v>
      </c>
    </row>
    <row r="910" spans="1:33">
      <c r="A910" s="7" t="s">
        <v>4887</v>
      </c>
      <c r="B910" s="7" t="s">
        <v>4887</v>
      </c>
      <c r="C910" s="7" t="s">
        <v>4888</v>
      </c>
      <c r="D910" s="7" t="s">
        <v>4889</v>
      </c>
      <c r="E910" s="7" t="s">
        <v>33</v>
      </c>
      <c r="F910" s="7" t="s">
        <v>34</v>
      </c>
      <c r="G910" s="7" t="s">
        <v>35</v>
      </c>
      <c r="H910" s="7"/>
      <c r="I910" s="7"/>
      <c r="J910" s="7" t="s">
        <v>36</v>
      </c>
      <c r="K910" s="7" t="s">
        <v>456</v>
      </c>
      <c r="L910" s="7" t="s">
        <v>1248</v>
      </c>
      <c r="M910" s="7" t="s">
        <v>1249</v>
      </c>
      <c r="N910" s="7" t="s">
        <v>33</v>
      </c>
      <c r="O910" s="7">
        <v>1</v>
      </c>
      <c r="P910" s="7" t="s">
        <v>40</v>
      </c>
      <c r="Q910" s="7">
        <v>12.99</v>
      </c>
      <c r="R910" s="7"/>
      <c r="S910" s="7"/>
      <c r="T910" s="7"/>
      <c r="U910" s="7"/>
      <c r="V910" s="7"/>
      <c r="W910" s="7"/>
      <c r="X910" s="7"/>
      <c r="Y910" s="7" t="s">
        <v>4890</v>
      </c>
      <c r="Z910" s="7" t="s">
        <v>866</v>
      </c>
      <c r="AA910" s="7" t="s">
        <v>4891</v>
      </c>
      <c r="AB910" s="7" t="s">
        <v>43</v>
      </c>
      <c r="AC910" s="7"/>
      <c r="AD910" s="7"/>
      <c r="AE910" s="7"/>
      <c r="AF910" s="7"/>
      <c r="AG910" s="8">
        <f t="shared" si="14"/>
        <v>43331</v>
      </c>
    </row>
    <row r="911" spans="1:33">
      <c r="A911" s="7" t="s">
        <v>4892</v>
      </c>
      <c r="B911" s="7" t="s">
        <v>4892</v>
      </c>
      <c r="C911" s="7" t="s">
        <v>4893</v>
      </c>
      <c r="D911" s="7" t="s">
        <v>4894</v>
      </c>
      <c r="E911" s="7" t="s">
        <v>33</v>
      </c>
      <c r="F911" s="7" t="s">
        <v>34</v>
      </c>
      <c r="G911" s="7" t="s">
        <v>35</v>
      </c>
      <c r="H911" s="7"/>
      <c r="I911" s="7"/>
      <c r="J911" s="7" t="s">
        <v>36</v>
      </c>
      <c r="K911" s="7" t="s">
        <v>125</v>
      </c>
      <c r="L911" s="7" t="s">
        <v>126</v>
      </c>
      <c r="M911" s="7" t="s">
        <v>127</v>
      </c>
      <c r="N911" s="7" t="s">
        <v>33</v>
      </c>
      <c r="O911" s="7">
        <v>1</v>
      </c>
      <c r="P911" s="7" t="s">
        <v>40</v>
      </c>
      <c r="Q911" s="7">
        <v>18.99</v>
      </c>
      <c r="R911" s="7">
        <v>1.14</v>
      </c>
      <c r="S911" s="7"/>
      <c r="T911" s="7"/>
      <c r="U911" s="7"/>
      <c r="V911" s="7"/>
      <c r="W911" s="7"/>
      <c r="X911" s="7"/>
      <c r="Y911" s="7" t="s">
        <v>4895</v>
      </c>
      <c r="Z911" s="7" t="s">
        <v>42</v>
      </c>
      <c r="AA911" s="7" t="s">
        <v>4896</v>
      </c>
      <c r="AB911" s="7" t="s">
        <v>43</v>
      </c>
      <c r="AC911" s="7"/>
      <c r="AD911" s="7"/>
      <c r="AE911" s="7"/>
      <c r="AF911" s="7"/>
      <c r="AG911" s="8">
        <f t="shared" si="14"/>
        <v>43331</v>
      </c>
    </row>
    <row r="912" spans="1:33">
      <c r="A912" s="7" t="s">
        <v>4897</v>
      </c>
      <c r="B912" s="7" t="s">
        <v>4897</v>
      </c>
      <c r="C912" s="7" t="s">
        <v>4898</v>
      </c>
      <c r="D912" s="7" t="s">
        <v>4899</v>
      </c>
      <c r="E912" s="7" t="s">
        <v>33</v>
      </c>
      <c r="F912" s="7" t="s">
        <v>34</v>
      </c>
      <c r="G912" s="7" t="s">
        <v>35</v>
      </c>
      <c r="H912" s="7"/>
      <c r="I912" s="7"/>
      <c r="J912" s="7" t="s">
        <v>336</v>
      </c>
      <c r="K912" s="7" t="s">
        <v>255</v>
      </c>
      <c r="L912" s="7" t="s">
        <v>1236</v>
      </c>
      <c r="M912" s="7" t="s">
        <v>1237</v>
      </c>
      <c r="N912" s="7" t="s">
        <v>33</v>
      </c>
      <c r="O912" s="7">
        <v>1</v>
      </c>
      <c r="P912" s="7" t="s">
        <v>40</v>
      </c>
      <c r="Q912" s="7">
        <v>19.99</v>
      </c>
      <c r="R912" s="7"/>
      <c r="S912" s="7">
        <v>2.39</v>
      </c>
      <c r="T912" s="7"/>
      <c r="U912" s="7"/>
      <c r="V912" s="7"/>
      <c r="W912" s="7"/>
      <c r="X912" s="7">
        <v>2.39</v>
      </c>
      <c r="Y912" s="7" t="s">
        <v>4900</v>
      </c>
      <c r="Z912" s="7" t="s">
        <v>69</v>
      </c>
      <c r="AA912" s="7" t="s">
        <v>4901</v>
      </c>
      <c r="AB912" s="7" t="s">
        <v>43</v>
      </c>
      <c r="AC912" s="7" t="s">
        <v>514</v>
      </c>
      <c r="AD912" s="7"/>
      <c r="AE912" s="7"/>
      <c r="AF912" s="7"/>
      <c r="AG912" s="8">
        <f t="shared" si="14"/>
        <v>43331</v>
      </c>
    </row>
    <row r="913" spans="1:33">
      <c r="A913" s="7" t="s">
        <v>4902</v>
      </c>
      <c r="B913" s="7" t="s">
        <v>4902</v>
      </c>
      <c r="C913" s="7" t="s">
        <v>4903</v>
      </c>
      <c r="D913" s="7" t="s">
        <v>4904</v>
      </c>
      <c r="E913" s="7" t="s">
        <v>33</v>
      </c>
      <c r="F913" s="7" t="s">
        <v>34</v>
      </c>
      <c r="G913" s="7" t="s">
        <v>35</v>
      </c>
      <c r="H913" s="7"/>
      <c r="I913" s="7"/>
      <c r="J913" s="7" t="s">
        <v>36</v>
      </c>
      <c r="K913" s="7" t="s">
        <v>255</v>
      </c>
      <c r="L913" s="7" t="s">
        <v>1647</v>
      </c>
      <c r="M913" s="7" t="s">
        <v>1648</v>
      </c>
      <c r="N913" s="7" t="s">
        <v>33</v>
      </c>
      <c r="O913" s="7">
        <v>1</v>
      </c>
      <c r="P913" s="7" t="s">
        <v>40</v>
      </c>
      <c r="Q913" s="7">
        <v>19.99</v>
      </c>
      <c r="R913" s="7"/>
      <c r="S913" s="7"/>
      <c r="T913" s="7"/>
      <c r="U913" s="7"/>
      <c r="V913" s="7"/>
      <c r="W913" s="7"/>
      <c r="X913" s="7"/>
      <c r="Y913" s="7" t="s">
        <v>4905</v>
      </c>
      <c r="Z913" s="7" t="s">
        <v>174</v>
      </c>
      <c r="AA913" s="7">
        <v>20785</v>
      </c>
      <c r="AB913" s="7" t="s">
        <v>43</v>
      </c>
      <c r="AC913" s="7"/>
      <c r="AD913" s="7"/>
      <c r="AE913" s="7"/>
      <c r="AF913" s="7"/>
      <c r="AG913" s="8">
        <f t="shared" si="14"/>
        <v>43332</v>
      </c>
    </row>
    <row r="914" spans="1:33">
      <c r="A914" s="7" t="s">
        <v>4906</v>
      </c>
      <c r="B914" s="7" t="s">
        <v>4906</v>
      </c>
      <c r="C914" s="7" t="s">
        <v>4907</v>
      </c>
      <c r="D914" s="7" t="s">
        <v>4908</v>
      </c>
      <c r="E914" s="7" t="s">
        <v>33</v>
      </c>
      <c r="F914" s="7" t="s">
        <v>34</v>
      </c>
      <c r="G914" s="7" t="s">
        <v>35</v>
      </c>
      <c r="H914" s="7"/>
      <c r="I914" s="7"/>
      <c r="J914" s="7" t="s">
        <v>36</v>
      </c>
      <c r="K914" s="7" t="s">
        <v>247</v>
      </c>
      <c r="L914" s="7" t="s">
        <v>248</v>
      </c>
      <c r="M914" s="7" t="s">
        <v>249</v>
      </c>
      <c r="N914" s="7" t="s">
        <v>33</v>
      </c>
      <c r="O914" s="7">
        <v>1</v>
      </c>
      <c r="P914" s="7" t="s">
        <v>40</v>
      </c>
      <c r="Q914" s="7">
        <v>18.99</v>
      </c>
      <c r="R914" s="7">
        <v>1.14</v>
      </c>
      <c r="S914" s="7"/>
      <c r="T914" s="7"/>
      <c r="U914" s="7"/>
      <c r="V914" s="7"/>
      <c r="W914" s="7"/>
      <c r="X914" s="7"/>
      <c r="Y914" s="7" t="s">
        <v>852</v>
      </c>
      <c r="Z914" s="7" t="s">
        <v>42</v>
      </c>
      <c r="AA914" s="7" t="s">
        <v>4909</v>
      </c>
      <c r="AB914" s="7" t="s">
        <v>43</v>
      </c>
      <c r="AC914" s="7"/>
      <c r="AD914" s="7"/>
      <c r="AE914" s="7"/>
      <c r="AF914" s="7"/>
      <c r="AG914" s="8">
        <f t="shared" si="14"/>
        <v>43332</v>
      </c>
    </row>
    <row r="915" spans="1:33">
      <c r="A915" s="7" t="s">
        <v>4910</v>
      </c>
      <c r="B915" s="7" t="s">
        <v>4910</v>
      </c>
      <c r="C915" s="7" t="s">
        <v>4911</v>
      </c>
      <c r="D915" s="7" t="s">
        <v>4912</v>
      </c>
      <c r="E915" s="7" t="s">
        <v>33</v>
      </c>
      <c r="F915" s="7" t="s">
        <v>34</v>
      </c>
      <c r="G915" s="7" t="s">
        <v>35</v>
      </c>
      <c r="H915" s="7"/>
      <c r="I915" s="7"/>
      <c r="J915" s="7" t="s">
        <v>36</v>
      </c>
      <c r="K915" s="7" t="s">
        <v>4913</v>
      </c>
      <c r="L915" s="7" t="s">
        <v>4914</v>
      </c>
      <c r="M915" s="7" t="s">
        <v>4915</v>
      </c>
      <c r="N915" s="7" t="s">
        <v>33</v>
      </c>
      <c r="O915" s="7">
        <v>1</v>
      </c>
      <c r="P915" s="7" t="s">
        <v>40</v>
      </c>
      <c r="Q915" s="7">
        <v>18.99</v>
      </c>
      <c r="R915" s="7"/>
      <c r="S915" s="7"/>
      <c r="T915" s="7"/>
      <c r="U915" s="7"/>
      <c r="V915" s="7"/>
      <c r="W915" s="7"/>
      <c r="X915" s="7"/>
      <c r="Y915" s="7" t="s">
        <v>4916</v>
      </c>
      <c r="Z915" s="7" t="s">
        <v>4917</v>
      </c>
      <c r="AA915" s="7" t="s">
        <v>4918</v>
      </c>
      <c r="AB915" s="7" t="s">
        <v>43</v>
      </c>
      <c r="AC915" s="7"/>
      <c r="AD915" s="7"/>
      <c r="AE915" s="7"/>
      <c r="AF915" s="7"/>
      <c r="AG915" s="8">
        <f t="shared" si="14"/>
        <v>43332</v>
      </c>
    </row>
    <row r="916" spans="1:33">
      <c r="A916" s="7" t="s">
        <v>4919</v>
      </c>
      <c r="B916" s="7" t="s">
        <v>4919</v>
      </c>
      <c r="C916" s="7" t="s">
        <v>4920</v>
      </c>
      <c r="D916" s="7" t="s">
        <v>4921</v>
      </c>
      <c r="E916" s="7" t="s">
        <v>33</v>
      </c>
      <c r="F916" s="7" t="s">
        <v>34</v>
      </c>
      <c r="G916" s="7" t="s">
        <v>35</v>
      </c>
      <c r="H916" s="7"/>
      <c r="I916" s="7"/>
      <c r="J916" s="7" t="s">
        <v>36</v>
      </c>
      <c r="K916" s="7" t="s">
        <v>90</v>
      </c>
      <c r="L916" s="7" t="s">
        <v>140</v>
      </c>
      <c r="M916" s="7" t="s">
        <v>141</v>
      </c>
      <c r="N916" s="7" t="s">
        <v>33</v>
      </c>
      <c r="O916" s="7">
        <v>1</v>
      </c>
      <c r="P916" s="7" t="s">
        <v>40</v>
      </c>
      <c r="Q916" s="7">
        <v>12.99</v>
      </c>
      <c r="R916" s="7"/>
      <c r="S916" s="7"/>
      <c r="T916" s="7"/>
      <c r="U916" s="7"/>
      <c r="V916" s="7"/>
      <c r="W916" s="7"/>
      <c r="X916" s="7"/>
      <c r="Y916" s="7" t="s">
        <v>4922</v>
      </c>
      <c r="Z916" s="7" t="s">
        <v>94</v>
      </c>
      <c r="AA916" s="7">
        <v>8330</v>
      </c>
      <c r="AB916" s="7" t="s">
        <v>43</v>
      </c>
      <c r="AC916" s="7"/>
      <c r="AD916" s="7"/>
      <c r="AE916" s="7"/>
      <c r="AF916" s="7"/>
      <c r="AG916" s="8">
        <f t="shared" si="14"/>
        <v>43332</v>
      </c>
    </row>
    <row r="917" spans="1:33">
      <c r="A917" s="7" t="s">
        <v>4923</v>
      </c>
      <c r="B917" s="7" t="s">
        <v>4923</v>
      </c>
      <c r="C917" s="7" t="s">
        <v>4924</v>
      </c>
      <c r="D917" s="7" t="s">
        <v>4925</v>
      </c>
      <c r="E917" s="7" t="s">
        <v>33</v>
      </c>
      <c r="F917" s="7" t="s">
        <v>34</v>
      </c>
      <c r="G917" s="7" t="s">
        <v>35</v>
      </c>
      <c r="H917" s="7"/>
      <c r="I917" s="7"/>
      <c r="J917" s="7" t="s">
        <v>36</v>
      </c>
      <c r="K917" s="7" t="s">
        <v>247</v>
      </c>
      <c r="L917" s="7" t="s">
        <v>248</v>
      </c>
      <c r="M917" s="7" t="s">
        <v>249</v>
      </c>
      <c r="N917" s="7" t="s">
        <v>33</v>
      </c>
      <c r="O917" s="7">
        <v>1</v>
      </c>
      <c r="P917" s="7" t="s">
        <v>40</v>
      </c>
      <c r="Q917" s="7">
        <v>18.99</v>
      </c>
      <c r="R917" s="7"/>
      <c r="S917" s="7"/>
      <c r="T917" s="7"/>
      <c r="U917" s="7"/>
      <c r="V917" s="7"/>
      <c r="W917" s="7"/>
      <c r="X917" s="7"/>
      <c r="Y917" s="7" t="s">
        <v>1407</v>
      </c>
      <c r="Z917" s="7" t="s">
        <v>345</v>
      </c>
      <c r="AA917" s="7" t="s">
        <v>4926</v>
      </c>
      <c r="AB917" s="7" t="s">
        <v>43</v>
      </c>
      <c r="AC917" s="7"/>
      <c r="AD917" s="7"/>
      <c r="AE917" s="7"/>
      <c r="AF917" s="7"/>
      <c r="AG917" s="8">
        <f t="shared" si="14"/>
        <v>43332</v>
      </c>
    </row>
    <row r="918" spans="1:33">
      <c r="A918" s="7" t="s">
        <v>4927</v>
      </c>
      <c r="B918" s="7" t="s">
        <v>4927</v>
      </c>
      <c r="C918" s="7" t="s">
        <v>4928</v>
      </c>
      <c r="D918" s="7" t="s">
        <v>4929</v>
      </c>
      <c r="E918" s="7" t="s">
        <v>33</v>
      </c>
      <c r="F918" s="7" t="s">
        <v>34</v>
      </c>
      <c r="G918" s="7" t="s">
        <v>35</v>
      </c>
      <c r="H918" s="7"/>
      <c r="I918" s="7"/>
      <c r="J918" s="7" t="s">
        <v>36</v>
      </c>
      <c r="K918" s="7" t="s">
        <v>247</v>
      </c>
      <c r="L918" s="7" t="s">
        <v>248</v>
      </c>
      <c r="M918" s="7" t="s">
        <v>249</v>
      </c>
      <c r="N918" s="7" t="s">
        <v>33</v>
      </c>
      <c r="O918" s="7">
        <v>1</v>
      </c>
      <c r="P918" s="7" t="s">
        <v>40</v>
      </c>
      <c r="Q918" s="7">
        <v>18.99</v>
      </c>
      <c r="R918" s="7"/>
      <c r="S918" s="7"/>
      <c r="T918" s="7"/>
      <c r="U918" s="7"/>
      <c r="V918" s="7"/>
      <c r="W918" s="7"/>
      <c r="X918" s="7"/>
      <c r="Y918" s="7" t="s">
        <v>4930</v>
      </c>
      <c r="Z918" s="7" t="s">
        <v>59</v>
      </c>
      <c r="AA918" s="7" t="s">
        <v>4931</v>
      </c>
      <c r="AB918" s="7" t="s">
        <v>43</v>
      </c>
      <c r="AC918" s="7"/>
      <c r="AD918" s="7"/>
      <c r="AE918" s="7"/>
      <c r="AF918" s="7"/>
      <c r="AG918" s="8">
        <f t="shared" si="14"/>
        <v>43332</v>
      </c>
    </row>
    <row r="919" spans="1:33">
      <c r="A919" s="7" t="s">
        <v>4932</v>
      </c>
      <c r="B919" s="7" t="s">
        <v>4932</v>
      </c>
      <c r="C919" s="7" t="s">
        <v>4933</v>
      </c>
      <c r="D919" s="7" t="s">
        <v>4934</v>
      </c>
      <c r="E919" s="7" t="s">
        <v>33</v>
      </c>
      <c r="F919" s="7" t="s">
        <v>34</v>
      </c>
      <c r="G919" s="7" t="s">
        <v>35</v>
      </c>
      <c r="H919" s="7"/>
      <c r="I919" s="7"/>
      <c r="J919" s="7" t="s">
        <v>36</v>
      </c>
      <c r="K919" s="7" t="s">
        <v>125</v>
      </c>
      <c r="L919" s="7" t="s">
        <v>126</v>
      </c>
      <c r="M919" s="7" t="s">
        <v>127</v>
      </c>
      <c r="N919" s="7" t="s">
        <v>33</v>
      </c>
      <c r="O919" s="7">
        <v>1</v>
      </c>
      <c r="P919" s="7" t="s">
        <v>40</v>
      </c>
      <c r="Q919" s="7">
        <v>18.99</v>
      </c>
      <c r="R919" s="7"/>
      <c r="S919" s="7"/>
      <c r="T919" s="7"/>
      <c r="U919" s="7"/>
      <c r="V919" s="7"/>
      <c r="W919" s="7"/>
      <c r="X919" s="7"/>
      <c r="Y919" s="7" t="s">
        <v>4935</v>
      </c>
      <c r="Z919" s="7" t="s">
        <v>829</v>
      </c>
      <c r="AA919" s="7" t="s">
        <v>4936</v>
      </c>
      <c r="AB919" s="7" t="s">
        <v>43</v>
      </c>
      <c r="AC919" s="7"/>
      <c r="AD919" s="7"/>
      <c r="AE919" s="7"/>
      <c r="AF919" s="7"/>
      <c r="AG919" s="8">
        <f t="shared" si="14"/>
        <v>43332</v>
      </c>
    </row>
    <row r="920" spans="1:33">
      <c r="A920" s="7" t="s">
        <v>4937</v>
      </c>
      <c r="B920" s="7" t="s">
        <v>4937</v>
      </c>
      <c r="C920" s="7" t="s">
        <v>4938</v>
      </c>
      <c r="D920" s="7" t="s">
        <v>4939</v>
      </c>
      <c r="E920" s="7" t="s">
        <v>33</v>
      </c>
      <c r="F920" s="7" t="s">
        <v>34</v>
      </c>
      <c r="G920" s="7" t="s">
        <v>35</v>
      </c>
      <c r="H920" s="7"/>
      <c r="I920" s="7"/>
      <c r="J920" s="7" t="s">
        <v>36</v>
      </c>
      <c r="K920" s="7" t="s">
        <v>456</v>
      </c>
      <c r="L920" s="7" t="s">
        <v>959</v>
      </c>
      <c r="M920" s="7" t="s">
        <v>960</v>
      </c>
      <c r="N920" s="7" t="s">
        <v>33</v>
      </c>
      <c r="O920" s="7">
        <v>1</v>
      </c>
      <c r="P920" s="7" t="s">
        <v>40</v>
      </c>
      <c r="Q920" s="7">
        <v>12.99</v>
      </c>
      <c r="R920" s="7"/>
      <c r="S920" s="7"/>
      <c r="T920" s="7"/>
      <c r="U920" s="7"/>
      <c r="V920" s="7"/>
      <c r="W920" s="7"/>
      <c r="X920" s="7"/>
      <c r="Y920" s="7" t="s">
        <v>467</v>
      </c>
      <c r="Z920" s="7" t="s">
        <v>85</v>
      </c>
      <c r="AA920" s="7" t="s">
        <v>4940</v>
      </c>
      <c r="AB920" s="7" t="s">
        <v>43</v>
      </c>
      <c r="AC920" s="7"/>
      <c r="AD920" s="7"/>
      <c r="AE920" s="7"/>
      <c r="AF920" s="7"/>
      <c r="AG920" s="8">
        <f t="shared" si="14"/>
        <v>43332</v>
      </c>
    </row>
    <row r="921" spans="1:33">
      <c r="A921" s="7" t="s">
        <v>4941</v>
      </c>
      <c r="B921" s="7" t="s">
        <v>4941</v>
      </c>
      <c r="C921" s="7" t="s">
        <v>4942</v>
      </c>
      <c r="D921" s="7" t="s">
        <v>4943</v>
      </c>
      <c r="E921" s="7" t="s">
        <v>33</v>
      </c>
      <c r="F921" s="7" t="s">
        <v>34</v>
      </c>
      <c r="G921" s="7" t="s">
        <v>35</v>
      </c>
      <c r="H921" s="7"/>
      <c r="I921" s="7"/>
      <c r="J921" s="7" t="s">
        <v>36</v>
      </c>
      <c r="K921" s="7" t="s">
        <v>4944</v>
      </c>
      <c r="L921" s="7" t="s">
        <v>4945</v>
      </c>
      <c r="M921" s="7" t="s">
        <v>4946</v>
      </c>
      <c r="N921" s="7" t="s">
        <v>33</v>
      </c>
      <c r="O921" s="7">
        <v>1</v>
      </c>
      <c r="P921" s="7" t="s">
        <v>40</v>
      </c>
      <c r="Q921" s="7">
        <v>17.99</v>
      </c>
      <c r="R921" s="7"/>
      <c r="S921" s="7"/>
      <c r="T921" s="7"/>
      <c r="U921" s="7"/>
      <c r="V921" s="7"/>
      <c r="W921" s="7"/>
      <c r="X921" s="7"/>
      <c r="Y921" s="7" t="s">
        <v>4947</v>
      </c>
      <c r="Z921" s="7" t="s">
        <v>69</v>
      </c>
      <c r="AA921" s="7" t="s">
        <v>4948</v>
      </c>
      <c r="AB921" s="7" t="s">
        <v>43</v>
      </c>
      <c r="AC921" s="7"/>
      <c r="AD921" s="7"/>
      <c r="AE921" s="7"/>
      <c r="AF921" s="7"/>
      <c r="AG921" s="8">
        <f t="shared" si="14"/>
        <v>43332</v>
      </c>
    </row>
    <row r="922" spans="1:33">
      <c r="A922" s="7" t="s">
        <v>4949</v>
      </c>
      <c r="B922" s="7" t="s">
        <v>4949</v>
      </c>
      <c r="C922" s="7" t="s">
        <v>4950</v>
      </c>
      <c r="D922" s="7" t="s">
        <v>4951</v>
      </c>
      <c r="E922" s="7" t="s">
        <v>33</v>
      </c>
      <c r="F922" s="7" t="s">
        <v>34</v>
      </c>
      <c r="G922" s="7" t="s">
        <v>35</v>
      </c>
      <c r="H922" s="7"/>
      <c r="I922" s="7"/>
      <c r="J922" s="7" t="s">
        <v>36</v>
      </c>
      <c r="K922" s="7" t="s">
        <v>255</v>
      </c>
      <c r="L922" s="7" t="s">
        <v>300</v>
      </c>
      <c r="M922" s="7" t="s">
        <v>301</v>
      </c>
      <c r="N922" s="7" t="s">
        <v>33</v>
      </c>
      <c r="O922" s="7">
        <v>1</v>
      </c>
      <c r="P922" s="7" t="s">
        <v>40</v>
      </c>
      <c r="Q922" s="7">
        <v>19.99</v>
      </c>
      <c r="R922" s="7"/>
      <c r="S922" s="7"/>
      <c r="T922" s="7"/>
      <c r="U922" s="7"/>
      <c r="V922" s="7"/>
      <c r="W922" s="7"/>
      <c r="X922" s="7"/>
      <c r="Y922" s="7" t="s">
        <v>1108</v>
      </c>
      <c r="Z922" s="7" t="s">
        <v>1413</v>
      </c>
      <c r="AA922" s="7" t="s">
        <v>4952</v>
      </c>
      <c r="AB922" s="7" t="s">
        <v>43</v>
      </c>
      <c r="AC922" s="7"/>
      <c r="AD922" s="7"/>
      <c r="AE922" s="7"/>
      <c r="AF922" s="7"/>
      <c r="AG922" s="8">
        <f t="shared" si="14"/>
        <v>43332</v>
      </c>
    </row>
    <row r="923" spans="1:33">
      <c r="A923" s="7" t="s">
        <v>4953</v>
      </c>
      <c r="B923" s="7" t="s">
        <v>4953</v>
      </c>
      <c r="C923" s="7" t="s">
        <v>4954</v>
      </c>
      <c r="D923" s="7" t="s">
        <v>4955</v>
      </c>
      <c r="E923" s="7" t="s">
        <v>33</v>
      </c>
      <c r="F923" s="7" t="s">
        <v>34</v>
      </c>
      <c r="G923" s="7" t="s">
        <v>35</v>
      </c>
      <c r="H923" s="7"/>
      <c r="I923" s="7"/>
      <c r="J923" s="7" t="s">
        <v>336</v>
      </c>
      <c r="K923" s="7" t="s">
        <v>170</v>
      </c>
      <c r="L923" s="7" t="s">
        <v>315</v>
      </c>
      <c r="M923" s="7" t="s">
        <v>316</v>
      </c>
      <c r="N923" s="7" t="s">
        <v>33</v>
      </c>
      <c r="O923" s="7">
        <v>1</v>
      </c>
      <c r="P923" s="7" t="s">
        <v>40</v>
      </c>
      <c r="Q923" s="7">
        <v>19.38</v>
      </c>
      <c r="R923" s="7"/>
      <c r="S923" s="7">
        <v>10.18</v>
      </c>
      <c r="T923" s="7"/>
      <c r="U923" s="7"/>
      <c r="V923" s="7"/>
      <c r="W923" s="7"/>
      <c r="X923" s="7"/>
      <c r="Y923" s="7" t="s">
        <v>4956</v>
      </c>
      <c r="Z923" s="7"/>
      <c r="AA923" s="7">
        <v>3657000</v>
      </c>
      <c r="AB923" s="7" t="s">
        <v>165</v>
      </c>
      <c r="AC923" s="7"/>
      <c r="AD923" s="7"/>
      <c r="AE923" s="7"/>
      <c r="AF923" s="7"/>
      <c r="AG923" s="8">
        <f t="shared" si="14"/>
        <v>43332</v>
      </c>
    </row>
    <row r="924" spans="1:33">
      <c r="A924" s="7" t="s">
        <v>4957</v>
      </c>
      <c r="B924" s="7" t="s">
        <v>4957</v>
      </c>
      <c r="C924" s="7" t="s">
        <v>4958</v>
      </c>
      <c r="D924" s="7" t="s">
        <v>4959</v>
      </c>
      <c r="E924" s="7" t="s">
        <v>33</v>
      </c>
      <c r="F924" s="7" t="s">
        <v>34</v>
      </c>
      <c r="G924" s="7" t="s">
        <v>35</v>
      </c>
      <c r="H924" s="7"/>
      <c r="I924" s="7"/>
      <c r="J924" s="7" t="s">
        <v>36</v>
      </c>
      <c r="K924" s="7" t="s">
        <v>255</v>
      </c>
      <c r="L924" s="7" t="s">
        <v>256</v>
      </c>
      <c r="M924" s="7" t="s">
        <v>257</v>
      </c>
      <c r="N924" s="7" t="s">
        <v>33</v>
      </c>
      <c r="O924" s="7">
        <v>1</v>
      </c>
      <c r="P924" s="7" t="s">
        <v>40</v>
      </c>
      <c r="Q924" s="7">
        <v>19.99</v>
      </c>
      <c r="R924" s="7"/>
      <c r="S924" s="7"/>
      <c r="T924" s="7"/>
      <c r="U924" s="7"/>
      <c r="V924" s="7"/>
      <c r="W924" s="7"/>
      <c r="X924" s="7"/>
      <c r="Y924" s="7" t="s">
        <v>1264</v>
      </c>
      <c r="Z924" s="7" t="s">
        <v>77</v>
      </c>
      <c r="AA924" s="7" t="s">
        <v>4960</v>
      </c>
      <c r="AB924" s="7" t="s">
        <v>43</v>
      </c>
      <c r="AC924" s="7"/>
      <c r="AD924" s="7"/>
      <c r="AE924" s="7"/>
      <c r="AF924" s="7"/>
      <c r="AG924" s="8">
        <f t="shared" si="14"/>
        <v>43332</v>
      </c>
    </row>
    <row r="925" spans="1:33">
      <c r="A925" s="7" t="s">
        <v>4961</v>
      </c>
      <c r="B925" s="7" t="s">
        <v>4961</v>
      </c>
      <c r="C925" s="7" t="s">
        <v>4962</v>
      </c>
      <c r="D925" s="7" t="s">
        <v>4963</v>
      </c>
      <c r="E925" s="7" t="s">
        <v>33</v>
      </c>
      <c r="F925" s="7" t="s">
        <v>34</v>
      </c>
      <c r="G925" s="7" t="s">
        <v>35</v>
      </c>
      <c r="H925" s="7"/>
      <c r="I925" s="7"/>
      <c r="J925" s="7" t="s">
        <v>36</v>
      </c>
      <c r="K925" s="7" t="s">
        <v>90</v>
      </c>
      <c r="L925" s="7" t="s">
        <v>191</v>
      </c>
      <c r="M925" s="7" t="s">
        <v>192</v>
      </c>
      <c r="N925" s="7" t="s">
        <v>33</v>
      </c>
      <c r="O925" s="7">
        <v>1</v>
      </c>
      <c r="P925" s="7" t="s">
        <v>40</v>
      </c>
      <c r="Q925" s="7">
        <v>12.99</v>
      </c>
      <c r="R925" s="7"/>
      <c r="S925" s="7"/>
      <c r="T925" s="7"/>
      <c r="U925" s="7"/>
      <c r="V925" s="7"/>
      <c r="W925" s="7"/>
      <c r="X925" s="7"/>
      <c r="Y925" s="7" t="s">
        <v>4964</v>
      </c>
      <c r="Z925" s="7" t="s">
        <v>378</v>
      </c>
      <c r="AA925" s="7" t="s">
        <v>4965</v>
      </c>
      <c r="AB925" s="7" t="s">
        <v>43</v>
      </c>
      <c r="AC925" s="7"/>
      <c r="AD925" s="7"/>
      <c r="AE925" s="7"/>
      <c r="AF925" s="7"/>
      <c r="AG925" s="8">
        <f t="shared" si="14"/>
        <v>43332</v>
      </c>
    </row>
    <row r="926" spans="1:33">
      <c r="A926" s="7" t="s">
        <v>4966</v>
      </c>
      <c r="B926" s="7" t="s">
        <v>4966</v>
      </c>
      <c r="C926" s="7" t="s">
        <v>4967</v>
      </c>
      <c r="D926" s="7" t="s">
        <v>4968</v>
      </c>
      <c r="E926" s="7" t="s">
        <v>33</v>
      </c>
      <c r="F926" s="7" t="s">
        <v>34</v>
      </c>
      <c r="G926" s="7" t="s">
        <v>35</v>
      </c>
      <c r="H926" s="7"/>
      <c r="I926" s="7"/>
      <c r="J926" s="7" t="s">
        <v>36</v>
      </c>
      <c r="K926" s="7" t="s">
        <v>232</v>
      </c>
      <c r="L926" s="7" t="s">
        <v>233</v>
      </c>
      <c r="M926" s="7" t="s">
        <v>234</v>
      </c>
      <c r="N926" s="7" t="s">
        <v>33</v>
      </c>
      <c r="O926" s="7">
        <v>1</v>
      </c>
      <c r="P926" s="7" t="s">
        <v>40</v>
      </c>
      <c r="Q926" s="7">
        <v>21.99</v>
      </c>
      <c r="R926" s="7"/>
      <c r="S926" s="7"/>
      <c r="T926" s="7"/>
      <c r="U926" s="7"/>
      <c r="V926" s="7"/>
      <c r="W926" s="7"/>
      <c r="X926" s="7"/>
      <c r="Y926" s="7" t="s">
        <v>1418</v>
      </c>
      <c r="Z926" s="7" t="s">
        <v>4969</v>
      </c>
      <c r="AA926" s="7" t="s">
        <v>4970</v>
      </c>
      <c r="AB926" s="7" t="s">
        <v>43</v>
      </c>
      <c r="AC926" s="7"/>
      <c r="AD926" s="7"/>
      <c r="AE926" s="7"/>
      <c r="AF926" s="7"/>
      <c r="AG926" s="8">
        <f t="shared" si="14"/>
        <v>43332</v>
      </c>
    </row>
    <row r="927" spans="1:33">
      <c r="A927" s="7" t="s">
        <v>4971</v>
      </c>
      <c r="B927" s="7" t="s">
        <v>4971</v>
      </c>
      <c r="C927" s="7" t="s">
        <v>4972</v>
      </c>
      <c r="D927" s="7" t="s">
        <v>4973</v>
      </c>
      <c r="E927" s="7" t="s">
        <v>33</v>
      </c>
      <c r="F927" s="7" t="s">
        <v>34</v>
      </c>
      <c r="G927" s="7" t="s">
        <v>35</v>
      </c>
      <c r="H927" s="7"/>
      <c r="I927" s="7"/>
      <c r="J927" s="7" t="s">
        <v>36</v>
      </c>
      <c r="K927" s="7" t="s">
        <v>247</v>
      </c>
      <c r="L927" s="7" t="s">
        <v>248</v>
      </c>
      <c r="M927" s="7" t="s">
        <v>249</v>
      </c>
      <c r="N927" s="7" t="s">
        <v>33</v>
      </c>
      <c r="O927" s="7">
        <v>1</v>
      </c>
      <c r="P927" s="7" t="s">
        <v>40</v>
      </c>
      <c r="Q927" s="7">
        <v>18.99</v>
      </c>
      <c r="R927" s="7"/>
      <c r="S927" s="7"/>
      <c r="T927" s="7"/>
      <c r="U927" s="7"/>
      <c r="V927" s="7"/>
      <c r="W927" s="7"/>
      <c r="X927" s="7"/>
      <c r="Y927" s="7" t="s">
        <v>4974</v>
      </c>
      <c r="Z927" s="7" t="s">
        <v>227</v>
      </c>
      <c r="AA927" s="7" t="s">
        <v>4975</v>
      </c>
      <c r="AB927" s="7" t="s">
        <v>43</v>
      </c>
      <c r="AC927" s="7"/>
      <c r="AD927" s="7"/>
      <c r="AE927" s="7"/>
      <c r="AF927" s="7"/>
      <c r="AG927" s="8">
        <f t="shared" si="14"/>
        <v>43332</v>
      </c>
    </row>
    <row r="928" spans="1:33">
      <c r="A928" s="7" t="s">
        <v>4976</v>
      </c>
      <c r="B928" s="7" t="s">
        <v>4976</v>
      </c>
      <c r="C928" s="7" t="s">
        <v>4977</v>
      </c>
      <c r="D928" s="7" t="s">
        <v>4978</v>
      </c>
      <c r="E928" s="7" t="s">
        <v>33</v>
      </c>
      <c r="F928" s="7" t="s">
        <v>34</v>
      </c>
      <c r="G928" s="7" t="s">
        <v>35</v>
      </c>
      <c r="H928" s="7"/>
      <c r="I928" s="7"/>
      <c r="J928" s="7" t="s">
        <v>36</v>
      </c>
      <c r="K928" s="7" t="s">
        <v>90</v>
      </c>
      <c r="L928" s="7" t="s">
        <v>540</v>
      </c>
      <c r="M928" s="7" t="s">
        <v>541</v>
      </c>
      <c r="N928" s="7" t="s">
        <v>33</v>
      </c>
      <c r="O928" s="7">
        <v>1</v>
      </c>
      <c r="P928" s="7" t="s">
        <v>40</v>
      </c>
      <c r="Q928" s="7">
        <v>12.99</v>
      </c>
      <c r="R928" s="7"/>
      <c r="S928" s="7"/>
      <c r="T928" s="7"/>
      <c r="U928" s="7"/>
      <c r="V928" s="7"/>
      <c r="W928" s="7"/>
      <c r="X928" s="7"/>
      <c r="Y928" s="7" t="s">
        <v>4979</v>
      </c>
      <c r="Z928" s="7" t="s">
        <v>227</v>
      </c>
      <c r="AA928" s="7">
        <v>11704</v>
      </c>
      <c r="AB928" s="7" t="s">
        <v>43</v>
      </c>
      <c r="AC928" s="7"/>
      <c r="AD928" s="7"/>
      <c r="AE928" s="7"/>
      <c r="AF928" s="7"/>
      <c r="AG928" s="8">
        <f t="shared" si="14"/>
        <v>43332</v>
      </c>
    </row>
    <row r="929" spans="1:33">
      <c r="A929" s="7" t="s">
        <v>4976</v>
      </c>
      <c r="B929" s="7" t="s">
        <v>4976</v>
      </c>
      <c r="C929" s="7" t="s">
        <v>4977</v>
      </c>
      <c r="D929" s="7" t="s">
        <v>4978</v>
      </c>
      <c r="E929" s="7" t="s">
        <v>33</v>
      </c>
      <c r="F929" s="7" t="s">
        <v>34</v>
      </c>
      <c r="G929" s="7" t="s">
        <v>35</v>
      </c>
      <c r="H929" s="7"/>
      <c r="I929" s="7"/>
      <c r="J929" s="7" t="s">
        <v>36</v>
      </c>
      <c r="K929" s="7" t="s">
        <v>90</v>
      </c>
      <c r="L929" s="7" t="s">
        <v>191</v>
      </c>
      <c r="M929" s="7" t="s">
        <v>192</v>
      </c>
      <c r="N929" s="7" t="s">
        <v>33</v>
      </c>
      <c r="O929" s="7">
        <v>1</v>
      </c>
      <c r="P929" s="7" t="s">
        <v>40</v>
      </c>
      <c r="Q929" s="7">
        <v>12.99</v>
      </c>
      <c r="R929" s="7"/>
      <c r="S929" s="7"/>
      <c r="T929" s="7"/>
      <c r="U929" s="7"/>
      <c r="V929" s="7"/>
      <c r="W929" s="7"/>
      <c r="X929" s="7"/>
      <c r="Y929" s="7" t="s">
        <v>4979</v>
      </c>
      <c r="Z929" s="7" t="s">
        <v>227</v>
      </c>
      <c r="AA929" s="7">
        <v>11704</v>
      </c>
      <c r="AB929" s="7" t="s">
        <v>43</v>
      </c>
      <c r="AC929" s="7"/>
      <c r="AD929" s="7"/>
      <c r="AE929" s="7"/>
      <c r="AF929" s="7"/>
      <c r="AG929" s="8">
        <f t="shared" si="14"/>
        <v>43332</v>
      </c>
    </row>
    <row r="930" spans="1:33">
      <c r="A930" s="7" t="s">
        <v>4980</v>
      </c>
      <c r="B930" s="7" t="s">
        <v>4980</v>
      </c>
      <c r="C930" s="7" t="s">
        <v>4981</v>
      </c>
      <c r="D930" s="7" t="s">
        <v>4982</v>
      </c>
      <c r="E930" s="7" t="s">
        <v>33</v>
      </c>
      <c r="F930" s="7" t="s">
        <v>34</v>
      </c>
      <c r="G930" s="7" t="s">
        <v>35</v>
      </c>
      <c r="H930" s="7"/>
      <c r="I930" s="7"/>
      <c r="J930" s="7" t="s">
        <v>36</v>
      </c>
      <c r="K930" s="7" t="s">
        <v>125</v>
      </c>
      <c r="L930" s="7" t="s">
        <v>126</v>
      </c>
      <c r="M930" s="7" t="s">
        <v>127</v>
      </c>
      <c r="N930" s="7" t="s">
        <v>33</v>
      </c>
      <c r="O930" s="7">
        <v>1</v>
      </c>
      <c r="P930" s="7" t="s">
        <v>40</v>
      </c>
      <c r="Q930" s="7">
        <v>18.99</v>
      </c>
      <c r="R930" s="7"/>
      <c r="S930" s="7"/>
      <c r="T930" s="7"/>
      <c r="U930" s="7"/>
      <c r="V930" s="7"/>
      <c r="W930" s="7"/>
      <c r="X930" s="7"/>
      <c r="Y930" s="7" t="s">
        <v>1931</v>
      </c>
      <c r="Z930" s="7" t="s">
        <v>135</v>
      </c>
      <c r="AA930" s="7" t="s">
        <v>4983</v>
      </c>
      <c r="AB930" s="7" t="s">
        <v>43</v>
      </c>
      <c r="AC930" s="7"/>
      <c r="AD930" s="7"/>
      <c r="AE930" s="7"/>
      <c r="AF930" s="7"/>
      <c r="AG930" s="8">
        <f t="shared" si="14"/>
        <v>43332</v>
      </c>
    </row>
    <row r="931" spans="1:33">
      <c r="A931" s="7" t="s">
        <v>4984</v>
      </c>
      <c r="B931" s="7" t="s">
        <v>4984</v>
      </c>
      <c r="C931" s="7" t="s">
        <v>4985</v>
      </c>
      <c r="D931" s="7" t="s">
        <v>4986</v>
      </c>
      <c r="E931" s="7" t="s">
        <v>99</v>
      </c>
      <c r="F931" s="7" t="s">
        <v>34</v>
      </c>
      <c r="G931" s="7" t="s">
        <v>35</v>
      </c>
      <c r="H931" s="7"/>
      <c r="I931" s="7"/>
      <c r="J931" s="7" t="s">
        <v>36</v>
      </c>
      <c r="K931" s="7" t="s">
        <v>2207</v>
      </c>
      <c r="L931" s="7" t="s">
        <v>4691</v>
      </c>
      <c r="M931" s="7" t="s">
        <v>4692</v>
      </c>
      <c r="N931" s="7" t="s">
        <v>99</v>
      </c>
      <c r="O931" s="7">
        <v>0</v>
      </c>
      <c r="P931" s="7"/>
      <c r="Q931" s="7"/>
      <c r="R931" s="7"/>
      <c r="S931" s="7"/>
      <c r="T931" s="7"/>
      <c r="U931" s="7"/>
      <c r="V931" s="7"/>
      <c r="W931" s="7"/>
      <c r="X931" s="7"/>
      <c r="Y931" s="7" t="s">
        <v>4987</v>
      </c>
      <c r="Z931" s="7" t="s">
        <v>174</v>
      </c>
      <c r="AA931" s="7" t="s">
        <v>4988</v>
      </c>
      <c r="AB931" s="7" t="s">
        <v>43</v>
      </c>
      <c r="AC931" s="7"/>
      <c r="AD931" s="7"/>
      <c r="AE931" s="7"/>
      <c r="AF931" s="7"/>
      <c r="AG931" s="8">
        <f t="shared" si="14"/>
        <v>43332</v>
      </c>
    </row>
    <row r="932" spans="1:33">
      <c r="A932" s="7" t="s">
        <v>4989</v>
      </c>
      <c r="B932" s="7" t="s">
        <v>4989</v>
      </c>
      <c r="C932" s="7" t="s">
        <v>4990</v>
      </c>
      <c r="D932" s="7" t="s">
        <v>4991</v>
      </c>
      <c r="E932" s="7" t="s">
        <v>33</v>
      </c>
      <c r="F932" s="7" t="s">
        <v>34</v>
      </c>
      <c r="G932" s="7" t="s">
        <v>35</v>
      </c>
      <c r="H932" s="7"/>
      <c r="I932" s="7"/>
      <c r="J932" s="7" t="s">
        <v>36</v>
      </c>
      <c r="K932" s="7" t="s">
        <v>90</v>
      </c>
      <c r="L932" s="7" t="s">
        <v>540</v>
      </c>
      <c r="M932" s="7" t="s">
        <v>541</v>
      </c>
      <c r="N932" s="7" t="s">
        <v>33</v>
      </c>
      <c r="O932" s="7">
        <v>1</v>
      </c>
      <c r="P932" s="7" t="s">
        <v>40</v>
      </c>
      <c r="Q932" s="7">
        <v>12.99</v>
      </c>
      <c r="R932" s="7"/>
      <c r="S932" s="7"/>
      <c r="T932" s="7"/>
      <c r="U932" s="7"/>
      <c r="V932" s="7"/>
      <c r="W932" s="7"/>
      <c r="X932" s="7"/>
      <c r="Y932" s="7" t="s">
        <v>4992</v>
      </c>
      <c r="Z932" s="7" t="s">
        <v>59</v>
      </c>
      <c r="AA932" s="7">
        <v>91321</v>
      </c>
      <c r="AB932" s="7" t="s">
        <v>43</v>
      </c>
      <c r="AC932" s="7"/>
      <c r="AD932" s="7"/>
      <c r="AE932" s="7"/>
      <c r="AF932" s="7"/>
      <c r="AG932" s="8">
        <f t="shared" si="14"/>
        <v>43332</v>
      </c>
    </row>
    <row r="933" spans="1:33">
      <c r="A933" s="7" t="s">
        <v>4993</v>
      </c>
      <c r="B933" s="7" t="s">
        <v>4993</v>
      </c>
      <c r="C933" s="7" t="s">
        <v>4994</v>
      </c>
      <c r="D933" s="7" t="s">
        <v>4995</v>
      </c>
      <c r="E933" s="7" t="s">
        <v>33</v>
      </c>
      <c r="F933" s="7" t="s">
        <v>34</v>
      </c>
      <c r="G933" s="7" t="s">
        <v>35</v>
      </c>
      <c r="H933" s="7"/>
      <c r="I933" s="7"/>
      <c r="J933" s="7" t="s">
        <v>36</v>
      </c>
      <c r="K933" s="7" t="s">
        <v>4996</v>
      </c>
      <c r="L933" s="7" t="s">
        <v>4997</v>
      </c>
      <c r="M933" s="7" t="s">
        <v>4998</v>
      </c>
      <c r="N933" s="7" t="s">
        <v>33</v>
      </c>
      <c r="O933" s="7">
        <v>1</v>
      </c>
      <c r="P933" s="7" t="s">
        <v>40</v>
      </c>
      <c r="Q933" s="7">
        <v>18.96</v>
      </c>
      <c r="R933" s="7"/>
      <c r="S933" s="7"/>
      <c r="T933" s="7"/>
      <c r="U933" s="7"/>
      <c r="V933" s="7"/>
      <c r="W933" s="7"/>
      <c r="X933" s="7"/>
      <c r="Y933" s="7" t="s">
        <v>4999</v>
      </c>
      <c r="Z933" s="7" t="s">
        <v>59</v>
      </c>
      <c r="AA933" s="7">
        <v>94134</v>
      </c>
      <c r="AB933" s="7" t="s">
        <v>43</v>
      </c>
      <c r="AC933" s="7"/>
      <c r="AD933" s="7"/>
      <c r="AE933" s="7"/>
      <c r="AF933" s="7"/>
      <c r="AG933" s="8">
        <f t="shared" si="14"/>
        <v>43332</v>
      </c>
    </row>
    <row r="934" spans="1:33">
      <c r="A934" s="7" t="s">
        <v>5000</v>
      </c>
      <c r="B934" s="7" t="s">
        <v>5000</v>
      </c>
      <c r="C934" s="7" t="s">
        <v>5001</v>
      </c>
      <c r="D934" s="7" t="s">
        <v>5002</v>
      </c>
      <c r="E934" s="7" t="s">
        <v>33</v>
      </c>
      <c r="F934" s="7" t="s">
        <v>34</v>
      </c>
      <c r="G934" s="7" t="s">
        <v>35</v>
      </c>
      <c r="H934" s="7"/>
      <c r="I934" s="7"/>
      <c r="J934" s="7" t="s">
        <v>336</v>
      </c>
      <c r="K934" s="7" t="s">
        <v>255</v>
      </c>
      <c r="L934" s="7" t="s">
        <v>256</v>
      </c>
      <c r="M934" s="7" t="s">
        <v>257</v>
      </c>
      <c r="N934" s="7" t="s">
        <v>33</v>
      </c>
      <c r="O934" s="7">
        <v>1</v>
      </c>
      <c r="P934" s="7" t="s">
        <v>40</v>
      </c>
      <c r="Q934" s="7">
        <v>19.99</v>
      </c>
      <c r="R934" s="7"/>
      <c r="S934" s="7">
        <v>5.99</v>
      </c>
      <c r="T934" s="7"/>
      <c r="U934" s="7"/>
      <c r="V934" s="7"/>
      <c r="W934" s="7"/>
      <c r="X934" s="7"/>
      <c r="Y934" s="7" t="s">
        <v>4827</v>
      </c>
      <c r="Z934" s="7" t="s">
        <v>2362</v>
      </c>
      <c r="AA934" s="7" t="s">
        <v>5003</v>
      </c>
      <c r="AB934" s="7" t="s">
        <v>43</v>
      </c>
      <c r="AC934" s="7"/>
      <c r="AD934" s="7"/>
      <c r="AE934" s="7"/>
      <c r="AF934" s="7"/>
      <c r="AG934" s="8">
        <f t="shared" si="14"/>
        <v>43332</v>
      </c>
    </row>
    <row r="935" spans="1:33">
      <c r="A935" s="7" t="s">
        <v>5004</v>
      </c>
      <c r="B935" s="7" t="s">
        <v>5004</v>
      </c>
      <c r="C935" s="7" t="s">
        <v>5005</v>
      </c>
      <c r="D935" s="7" t="s">
        <v>5006</v>
      </c>
      <c r="E935" s="7" t="s">
        <v>33</v>
      </c>
      <c r="F935" s="7" t="s">
        <v>34</v>
      </c>
      <c r="G935" s="7" t="s">
        <v>35</v>
      </c>
      <c r="H935" s="7"/>
      <c r="I935" s="7"/>
      <c r="J935" s="7" t="s">
        <v>36</v>
      </c>
      <c r="K935" s="7" t="s">
        <v>1373</v>
      </c>
      <c r="L935" s="7" t="s">
        <v>1374</v>
      </c>
      <c r="M935" s="7" t="s">
        <v>1375</v>
      </c>
      <c r="N935" s="7" t="s">
        <v>33</v>
      </c>
      <c r="O935" s="7">
        <v>1</v>
      </c>
      <c r="P935" s="7" t="s">
        <v>40</v>
      </c>
      <c r="Q935" s="7">
        <v>18.99</v>
      </c>
      <c r="R935" s="7"/>
      <c r="S935" s="7"/>
      <c r="T935" s="7"/>
      <c r="U935" s="7"/>
      <c r="V935" s="7"/>
      <c r="W935" s="7"/>
      <c r="X935" s="7"/>
      <c r="Y935" s="7" t="s">
        <v>5007</v>
      </c>
      <c r="Z935" s="7" t="s">
        <v>59</v>
      </c>
      <c r="AA935" s="7" t="s">
        <v>5008</v>
      </c>
      <c r="AB935" s="7" t="s">
        <v>43</v>
      </c>
      <c r="AC935" s="7"/>
      <c r="AD935" s="7"/>
      <c r="AE935" s="7"/>
      <c r="AF935" s="7"/>
      <c r="AG935" s="8">
        <f t="shared" si="14"/>
        <v>43332</v>
      </c>
    </row>
    <row r="936" spans="1:33">
      <c r="A936" s="7" t="s">
        <v>5009</v>
      </c>
      <c r="B936" s="7" t="s">
        <v>5009</v>
      </c>
      <c r="C936" s="7" t="s">
        <v>5010</v>
      </c>
      <c r="D936" s="7" t="s">
        <v>5011</v>
      </c>
      <c r="E936" s="7" t="s">
        <v>33</v>
      </c>
      <c r="F936" s="7" t="s">
        <v>34</v>
      </c>
      <c r="G936" s="7" t="s">
        <v>35</v>
      </c>
      <c r="H936" s="7"/>
      <c r="I936" s="7"/>
      <c r="J936" s="7" t="s">
        <v>36</v>
      </c>
      <c r="K936" s="7" t="s">
        <v>255</v>
      </c>
      <c r="L936" s="7" t="s">
        <v>256</v>
      </c>
      <c r="M936" s="7" t="s">
        <v>257</v>
      </c>
      <c r="N936" s="7" t="s">
        <v>33</v>
      </c>
      <c r="O936" s="7">
        <v>1</v>
      </c>
      <c r="P936" s="7" t="s">
        <v>40</v>
      </c>
      <c r="Q936" s="7">
        <v>19.99</v>
      </c>
      <c r="R936" s="7">
        <v>1.2</v>
      </c>
      <c r="S936" s="7"/>
      <c r="T936" s="7"/>
      <c r="U936" s="7"/>
      <c r="V936" s="7"/>
      <c r="W936" s="7"/>
      <c r="X936" s="7"/>
      <c r="Y936" s="7" t="s">
        <v>604</v>
      </c>
      <c r="Z936" s="7" t="s">
        <v>42</v>
      </c>
      <c r="AA936" s="7" t="s">
        <v>5012</v>
      </c>
      <c r="AB936" s="7" t="s">
        <v>43</v>
      </c>
      <c r="AC936" s="7"/>
      <c r="AD936" s="7"/>
      <c r="AE936" s="7"/>
      <c r="AF936" s="7"/>
      <c r="AG936" s="8">
        <f t="shared" si="14"/>
        <v>43332</v>
      </c>
    </row>
    <row r="937" spans="1:33">
      <c r="A937" s="7" t="s">
        <v>5013</v>
      </c>
      <c r="B937" s="7" t="s">
        <v>5013</v>
      </c>
      <c r="C937" s="7" t="s">
        <v>5014</v>
      </c>
      <c r="D937" s="7" t="s">
        <v>5015</v>
      </c>
      <c r="E937" s="7" t="s">
        <v>33</v>
      </c>
      <c r="F937" s="7" t="s">
        <v>34</v>
      </c>
      <c r="G937" s="7" t="s">
        <v>35</v>
      </c>
      <c r="H937" s="7"/>
      <c r="I937" s="7"/>
      <c r="J937" s="7" t="s">
        <v>36</v>
      </c>
      <c r="K937" s="7" t="s">
        <v>255</v>
      </c>
      <c r="L937" s="7" t="s">
        <v>277</v>
      </c>
      <c r="M937" s="7" t="s">
        <v>278</v>
      </c>
      <c r="N937" s="7" t="s">
        <v>33</v>
      </c>
      <c r="O937" s="7">
        <v>1</v>
      </c>
      <c r="P937" s="7" t="s">
        <v>40</v>
      </c>
      <c r="Q937" s="7">
        <v>19.99</v>
      </c>
      <c r="R937" s="7"/>
      <c r="S937" s="7"/>
      <c r="T937" s="7"/>
      <c r="U937" s="7"/>
      <c r="V937" s="7"/>
      <c r="W937" s="7"/>
      <c r="X937" s="7"/>
      <c r="Y937" s="7" t="s">
        <v>5016</v>
      </c>
      <c r="Z937" s="7" t="s">
        <v>59</v>
      </c>
      <c r="AA937" s="7" t="s">
        <v>5017</v>
      </c>
      <c r="AB937" s="7" t="s">
        <v>43</v>
      </c>
      <c r="AC937" s="7"/>
      <c r="AD937" s="7"/>
      <c r="AE937" s="7"/>
      <c r="AF937" s="7"/>
      <c r="AG937" s="8">
        <f t="shared" si="14"/>
        <v>43332</v>
      </c>
    </row>
    <row r="938" spans="1:33">
      <c r="A938" s="7" t="s">
        <v>5018</v>
      </c>
      <c r="B938" s="7" t="s">
        <v>5018</v>
      </c>
      <c r="C938" s="7" t="s">
        <v>5019</v>
      </c>
      <c r="D938" s="7" t="s">
        <v>5020</v>
      </c>
      <c r="E938" s="7" t="s">
        <v>33</v>
      </c>
      <c r="F938" s="7" t="s">
        <v>34</v>
      </c>
      <c r="G938" s="7" t="s">
        <v>35</v>
      </c>
      <c r="H938" s="7"/>
      <c r="I938" s="7"/>
      <c r="J938" s="7" t="s">
        <v>336</v>
      </c>
      <c r="K938" s="7" t="s">
        <v>1139</v>
      </c>
      <c r="L938" s="7" t="s">
        <v>5021</v>
      </c>
      <c r="M938" s="7" t="s">
        <v>5022</v>
      </c>
      <c r="N938" s="7" t="s">
        <v>33</v>
      </c>
      <c r="O938" s="7">
        <v>1</v>
      </c>
      <c r="P938" s="7" t="s">
        <v>40</v>
      </c>
      <c r="Q938" s="7">
        <v>20.99</v>
      </c>
      <c r="R938" s="7"/>
      <c r="S938" s="7"/>
      <c r="T938" s="7"/>
      <c r="U938" s="7"/>
      <c r="V938" s="7"/>
      <c r="W938" s="7"/>
      <c r="X938" s="7"/>
      <c r="Y938" s="7" t="s">
        <v>5023</v>
      </c>
      <c r="Z938" s="7" t="s">
        <v>1209</v>
      </c>
      <c r="AA938" s="7" t="s">
        <v>5024</v>
      </c>
      <c r="AB938" s="7" t="s">
        <v>43</v>
      </c>
      <c r="AC938" s="7"/>
      <c r="AD938" s="7"/>
      <c r="AE938" s="7"/>
      <c r="AF938" s="7"/>
      <c r="AG938" s="8">
        <f t="shared" si="14"/>
        <v>43332</v>
      </c>
    </row>
    <row r="939" spans="1:33">
      <c r="A939" s="7" t="s">
        <v>5025</v>
      </c>
      <c r="B939" s="7" t="s">
        <v>5025</v>
      </c>
      <c r="C939" s="7" t="s">
        <v>5026</v>
      </c>
      <c r="D939" s="7" t="s">
        <v>5027</v>
      </c>
      <c r="E939" s="7" t="s">
        <v>33</v>
      </c>
      <c r="F939" s="7" t="s">
        <v>34</v>
      </c>
      <c r="G939" s="7" t="s">
        <v>35</v>
      </c>
      <c r="H939" s="7"/>
      <c r="I939" s="7"/>
      <c r="J939" s="7" t="s">
        <v>36</v>
      </c>
      <c r="K939" s="7" t="s">
        <v>90</v>
      </c>
      <c r="L939" s="7" t="s">
        <v>140</v>
      </c>
      <c r="M939" s="7" t="s">
        <v>141</v>
      </c>
      <c r="N939" s="7" t="s">
        <v>33</v>
      </c>
      <c r="O939" s="7">
        <v>1</v>
      </c>
      <c r="P939" s="7" t="s">
        <v>40</v>
      </c>
      <c r="Q939" s="7">
        <v>12.99</v>
      </c>
      <c r="R939" s="7"/>
      <c r="S939" s="7"/>
      <c r="T939" s="7"/>
      <c r="U939" s="7"/>
      <c r="V939" s="7"/>
      <c r="W939" s="7"/>
      <c r="X939" s="7"/>
      <c r="Y939" s="7" t="s">
        <v>2356</v>
      </c>
      <c r="Z939" s="7" t="s">
        <v>135</v>
      </c>
      <c r="AA939" s="7" t="s">
        <v>5028</v>
      </c>
      <c r="AB939" s="7" t="s">
        <v>43</v>
      </c>
      <c r="AC939" s="7"/>
      <c r="AD939" s="7"/>
      <c r="AE939" s="7"/>
      <c r="AF939" s="7"/>
      <c r="AG939" s="8">
        <f t="shared" si="14"/>
        <v>43332</v>
      </c>
    </row>
    <row r="940" spans="1:33">
      <c r="A940" s="7" t="s">
        <v>5029</v>
      </c>
      <c r="B940" s="7" t="s">
        <v>5029</v>
      </c>
      <c r="C940" s="7" t="s">
        <v>5030</v>
      </c>
      <c r="D940" s="7" t="s">
        <v>5031</v>
      </c>
      <c r="E940" s="7" t="s">
        <v>33</v>
      </c>
      <c r="F940" s="7" t="s">
        <v>34</v>
      </c>
      <c r="G940" s="7" t="s">
        <v>35</v>
      </c>
      <c r="H940" s="7"/>
      <c r="I940" s="7"/>
      <c r="J940" s="7" t="s">
        <v>336</v>
      </c>
      <c r="K940" s="7" t="s">
        <v>247</v>
      </c>
      <c r="L940" s="7" t="s">
        <v>248</v>
      </c>
      <c r="M940" s="7" t="s">
        <v>249</v>
      </c>
      <c r="N940" s="7" t="s">
        <v>33</v>
      </c>
      <c r="O940" s="7">
        <v>1</v>
      </c>
      <c r="P940" s="7" t="s">
        <v>40</v>
      </c>
      <c r="Q940" s="7">
        <v>18.99</v>
      </c>
      <c r="R940" s="7"/>
      <c r="S940" s="7">
        <v>3.71</v>
      </c>
      <c r="T940" s="7"/>
      <c r="U940" s="7"/>
      <c r="V940" s="7"/>
      <c r="W940" s="7"/>
      <c r="X940" s="7">
        <v>3.71</v>
      </c>
      <c r="Y940" s="7" t="s">
        <v>5032</v>
      </c>
      <c r="Z940" s="7" t="s">
        <v>236</v>
      </c>
      <c r="AA940" s="7">
        <v>92663</v>
      </c>
      <c r="AB940" s="7" t="s">
        <v>43</v>
      </c>
      <c r="AC940" s="7" t="s">
        <v>514</v>
      </c>
      <c r="AD940" s="7"/>
      <c r="AE940" s="7"/>
      <c r="AF940" s="7"/>
      <c r="AG940" s="8">
        <f t="shared" si="14"/>
        <v>43333</v>
      </c>
    </row>
    <row r="941" spans="1:33">
      <c r="A941" s="7" t="s">
        <v>5033</v>
      </c>
      <c r="B941" s="7" t="s">
        <v>5033</v>
      </c>
      <c r="C941" s="7" t="s">
        <v>5034</v>
      </c>
      <c r="D941" s="7" t="s">
        <v>5035</v>
      </c>
      <c r="E941" s="7" t="s">
        <v>33</v>
      </c>
      <c r="F941" s="7" t="s">
        <v>34</v>
      </c>
      <c r="G941" s="7" t="s">
        <v>35</v>
      </c>
      <c r="H941" s="7"/>
      <c r="I941" s="7"/>
      <c r="J941" s="7" t="s">
        <v>36</v>
      </c>
      <c r="K941" s="7" t="s">
        <v>5036</v>
      </c>
      <c r="L941" s="7" t="s">
        <v>5037</v>
      </c>
      <c r="M941" s="7" t="s">
        <v>5038</v>
      </c>
      <c r="N941" s="7" t="s">
        <v>33</v>
      </c>
      <c r="O941" s="7">
        <v>1</v>
      </c>
      <c r="P941" s="7" t="s">
        <v>40</v>
      </c>
      <c r="Q941" s="7">
        <v>15.86</v>
      </c>
      <c r="R941" s="7"/>
      <c r="S941" s="7"/>
      <c r="T941" s="7"/>
      <c r="U941" s="7"/>
      <c r="V941" s="7"/>
      <c r="W941" s="7"/>
      <c r="X941" s="7"/>
      <c r="Y941" s="7" t="s">
        <v>429</v>
      </c>
      <c r="Z941" s="7" t="s">
        <v>59</v>
      </c>
      <c r="AA941" s="7" t="s">
        <v>5039</v>
      </c>
      <c r="AB941" s="7" t="s">
        <v>43</v>
      </c>
      <c r="AC941" s="7"/>
      <c r="AD941" s="7"/>
      <c r="AE941" s="7"/>
      <c r="AF941" s="7"/>
      <c r="AG941" s="8">
        <f t="shared" si="14"/>
        <v>43333</v>
      </c>
    </row>
    <row r="942" spans="1:33">
      <c r="A942" s="7" t="s">
        <v>5040</v>
      </c>
      <c r="B942" s="7" t="s">
        <v>5040</v>
      </c>
      <c r="C942" s="7" t="s">
        <v>5041</v>
      </c>
      <c r="D942" s="7" t="s">
        <v>5042</v>
      </c>
      <c r="E942" s="7" t="s">
        <v>33</v>
      </c>
      <c r="F942" s="7" t="s">
        <v>34</v>
      </c>
      <c r="G942" s="7" t="s">
        <v>35</v>
      </c>
      <c r="H942" s="7"/>
      <c r="I942" s="7"/>
      <c r="J942" s="7" t="s">
        <v>36</v>
      </c>
      <c r="K942" s="7" t="s">
        <v>255</v>
      </c>
      <c r="L942" s="7" t="s">
        <v>256</v>
      </c>
      <c r="M942" s="7" t="s">
        <v>257</v>
      </c>
      <c r="N942" s="7" t="s">
        <v>33</v>
      </c>
      <c r="O942" s="7">
        <v>1</v>
      </c>
      <c r="P942" s="7" t="s">
        <v>40</v>
      </c>
      <c r="Q942" s="7">
        <v>19.99</v>
      </c>
      <c r="R942" s="7"/>
      <c r="S942" s="7"/>
      <c r="T942" s="7"/>
      <c r="U942" s="7"/>
      <c r="V942" s="7"/>
      <c r="W942" s="7"/>
      <c r="X942" s="7"/>
      <c r="Y942" s="7" t="s">
        <v>801</v>
      </c>
      <c r="Z942" s="7" t="s">
        <v>135</v>
      </c>
      <c r="AA942" s="7" t="s">
        <v>5043</v>
      </c>
      <c r="AB942" s="7" t="s">
        <v>43</v>
      </c>
      <c r="AC942" s="7"/>
      <c r="AD942" s="7"/>
      <c r="AE942" s="7"/>
      <c r="AF942" s="7"/>
      <c r="AG942" s="8">
        <f t="shared" si="14"/>
        <v>43333</v>
      </c>
    </row>
    <row r="943" spans="1:33">
      <c r="A943" s="7" t="s">
        <v>5044</v>
      </c>
      <c r="B943" s="7" t="s">
        <v>5044</v>
      </c>
      <c r="C943" s="7" t="s">
        <v>5045</v>
      </c>
      <c r="D943" s="7" t="s">
        <v>5046</v>
      </c>
      <c r="E943" s="7" t="s">
        <v>33</v>
      </c>
      <c r="F943" s="7" t="s">
        <v>34</v>
      </c>
      <c r="G943" s="7" t="s">
        <v>35</v>
      </c>
      <c r="H943" s="7"/>
      <c r="I943" s="7"/>
      <c r="J943" s="7" t="s">
        <v>36</v>
      </c>
      <c r="K943" s="7" t="s">
        <v>255</v>
      </c>
      <c r="L943" s="7" t="s">
        <v>256</v>
      </c>
      <c r="M943" s="7" t="s">
        <v>257</v>
      </c>
      <c r="N943" s="7" t="s">
        <v>33</v>
      </c>
      <c r="O943" s="7">
        <v>1</v>
      </c>
      <c r="P943" s="7" t="s">
        <v>40</v>
      </c>
      <c r="Q943" s="7">
        <v>19.99</v>
      </c>
      <c r="R943" s="7"/>
      <c r="S943" s="7"/>
      <c r="T943" s="7"/>
      <c r="U943" s="7"/>
      <c r="V943" s="7"/>
      <c r="W943" s="7"/>
      <c r="X943" s="7"/>
      <c r="Y943" s="7" t="s">
        <v>5047</v>
      </c>
      <c r="Z943" s="7" t="s">
        <v>59</v>
      </c>
      <c r="AA943" s="7">
        <v>95209</v>
      </c>
      <c r="AB943" s="7" t="s">
        <v>43</v>
      </c>
      <c r="AC943" s="7"/>
      <c r="AD943" s="7"/>
      <c r="AE943" s="7"/>
      <c r="AF943" s="7"/>
      <c r="AG943" s="8">
        <f t="shared" si="14"/>
        <v>43333</v>
      </c>
    </row>
    <row r="944" spans="1:33">
      <c r="A944" s="7" t="s">
        <v>5048</v>
      </c>
      <c r="B944" s="7" t="s">
        <v>5048</v>
      </c>
      <c r="C944" s="7" t="s">
        <v>5049</v>
      </c>
      <c r="D944" s="7" t="s">
        <v>5050</v>
      </c>
      <c r="E944" s="7" t="s">
        <v>33</v>
      </c>
      <c r="F944" s="7" t="s">
        <v>34</v>
      </c>
      <c r="G944" s="7" t="s">
        <v>35</v>
      </c>
      <c r="H944" s="7"/>
      <c r="I944" s="7"/>
      <c r="J944" s="7" t="s">
        <v>36</v>
      </c>
      <c r="K944" s="7" t="s">
        <v>4944</v>
      </c>
      <c r="L944" s="7" t="s">
        <v>5051</v>
      </c>
      <c r="M944" s="7" t="s">
        <v>5052</v>
      </c>
      <c r="N944" s="7" t="s">
        <v>33</v>
      </c>
      <c r="O944" s="7">
        <v>1</v>
      </c>
      <c r="P944" s="7" t="s">
        <v>40</v>
      </c>
      <c r="Q944" s="7">
        <v>17.99</v>
      </c>
      <c r="R944" s="7"/>
      <c r="S944" s="7"/>
      <c r="T944" s="7"/>
      <c r="U944" s="7"/>
      <c r="V944" s="7"/>
      <c r="W944" s="7"/>
      <c r="X944" s="7"/>
      <c r="Y944" s="7" t="s">
        <v>5053</v>
      </c>
      <c r="Z944" s="7" t="s">
        <v>59</v>
      </c>
      <c r="AA944" s="7" t="s">
        <v>5054</v>
      </c>
      <c r="AB944" s="7" t="s">
        <v>43</v>
      </c>
      <c r="AC944" s="7"/>
      <c r="AD944" s="7"/>
      <c r="AE944" s="7"/>
      <c r="AF944" s="7"/>
      <c r="AG944" s="8">
        <f t="shared" si="14"/>
        <v>43333</v>
      </c>
    </row>
    <row r="945" spans="1:33">
      <c r="A945" s="7" t="s">
        <v>5055</v>
      </c>
      <c r="B945" s="7" t="s">
        <v>5055</v>
      </c>
      <c r="C945" s="7" t="s">
        <v>5056</v>
      </c>
      <c r="D945" s="7" t="s">
        <v>5057</v>
      </c>
      <c r="E945" s="7" t="s">
        <v>99</v>
      </c>
      <c r="F945" s="7" t="s">
        <v>34</v>
      </c>
      <c r="G945" s="7" t="s">
        <v>35</v>
      </c>
      <c r="H945" s="7"/>
      <c r="I945" s="7"/>
      <c r="J945" s="7" t="s">
        <v>36</v>
      </c>
      <c r="K945" s="7" t="s">
        <v>90</v>
      </c>
      <c r="L945" s="7" t="s">
        <v>91</v>
      </c>
      <c r="M945" s="7" t="s">
        <v>92</v>
      </c>
      <c r="N945" s="7" t="s">
        <v>99</v>
      </c>
      <c r="O945" s="7">
        <v>0</v>
      </c>
      <c r="P945" s="7"/>
      <c r="Q945" s="7"/>
      <c r="R945" s="7"/>
      <c r="S945" s="7"/>
      <c r="T945" s="7"/>
      <c r="U945" s="7"/>
      <c r="V945" s="7"/>
      <c r="W945" s="7"/>
      <c r="X945" s="7"/>
      <c r="Y945" s="7" t="s">
        <v>791</v>
      </c>
      <c r="Z945" s="7" t="s">
        <v>59</v>
      </c>
      <c r="AA945" s="7" t="s">
        <v>5058</v>
      </c>
      <c r="AB945" s="7" t="s">
        <v>43</v>
      </c>
      <c r="AC945" s="7"/>
      <c r="AD945" s="7"/>
      <c r="AE945" s="7"/>
      <c r="AF945" s="7"/>
      <c r="AG945" s="8">
        <f t="shared" si="14"/>
        <v>43333</v>
      </c>
    </row>
    <row r="946" spans="1:33">
      <c r="A946" s="7" t="s">
        <v>5059</v>
      </c>
      <c r="B946" s="7" t="s">
        <v>5059</v>
      </c>
      <c r="C946" s="7" t="s">
        <v>5060</v>
      </c>
      <c r="D946" s="7" t="s">
        <v>5061</v>
      </c>
      <c r="E946" s="7" t="s">
        <v>99</v>
      </c>
      <c r="F946" s="7" t="s">
        <v>34</v>
      </c>
      <c r="G946" s="7" t="s">
        <v>35</v>
      </c>
      <c r="H946" s="7"/>
      <c r="I946" s="7"/>
      <c r="J946" s="7" t="s">
        <v>64</v>
      </c>
      <c r="K946" s="7" t="s">
        <v>456</v>
      </c>
      <c r="L946" s="7" t="s">
        <v>457</v>
      </c>
      <c r="M946" s="7" t="s">
        <v>458</v>
      </c>
      <c r="N946" s="7" t="s">
        <v>99</v>
      </c>
      <c r="O946" s="7">
        <v>0</v>
      </c>
      <c r="P946" s="7"/>
      <c r="Q946" s="7"/>
      <c r="R946" s="7"/>
      <c r="S946" s="7"/>
      <c r="T946" s="7"/>
      <c r="U946" s="7"/>
      <c r="V946" s="7"/>
      <c r="W946" s="7"/>
      <c r="X946" s="7"/>
      <c r="Y946" s="7" t="s">
        <v>715</v>
      </c>
      <c r="Z946" s="7" t="s">
        <v>59</v>
      </c>
      <c r="AA946" s="7" t="s">
        <v>5062</v>
      </c>
      <c r="AB946" s="7" t="s">
        <v>43</v>
      </c>
      <c r="AC946" s="7"/>
      <c r="AD946" s="7"/>
      <c r="AE946" s="7"/>
      <c r="AF946" s="7"/>
      <c r="AG946" s="8">
        <f t="shared" si="14"/>
        <v>43333</v>
      </c>
    </row>
    <row r="947" spans="1:33">
      <c r="A947" s="7" t="s">
        <v>5063</v>
      </c>
      <c r="B947" s="7" t="s">
        <v>5063</v>
      </c>
      <c r="C947" s="7" t="s">
        <v>5064</v>
      </c>
      <c r="D947" s="7" t="s">
        <v>5065</v>
      </c>
      <c r="E947" s="7" t="s">
        <v>33</v>
      </c>
      <c r="F947" s="7" t="s">
        <v>34</v>
      </c>
      <c r="G947" s="7" t="s">
        <v>35</v>
      </c>
      <c r="H947" s="7"/>
      <c r="I947" s="7"/>
      <c r="J947" s="7" t="s">
        <v>36</v>
      </c>
      <c r="K947" s="7" t="s">
        <v>247</v>
      </c>
      <c r="L947" s="7" t="s">
        <v>248</v>
      </c>
      <c r="M947" s="7" t="s">
        <v>249</v>
      </c>
      <c r="N947" s="7" t="s">
        <v>33</v>
      </c>
      <c r="O947" s="7">
        <v>1</v>
      </c>
      <c r="P947" s="7" t="s">
        <v>40</v>
      </c>
      <c r="Q947" s="7">
        <v>18.99</v>
      </c>
      <c r="R947" s="7"/>
      <c r="S947" s="7"/>
      <c r="T947" s="7"/>
      <c r="U947" s="7"/>
      <c r="V947" s="7"/>
      <c r="W947" s="7"/>
      <c r="X947" s="7"/>
      <c r="Y947" s="7" t="s">
        <v>5066</v>
      </c>
      <c r="Z947" s="7" t="s">
        <v>59</v>
      </c>
      <c r="AA947" s="7" t="s">
        <v>5067</v>
      </c>
      <c r="AB947" s="7" t="s">
        <v>43</v>
      </c>
      <c r="AC947" s="7"/>
      <c r="AD947" s="7"/>
      <c r="AE947" s="7"/>
      <c r="AF947" s="7"/>
      <c r="AG947" s="8">
        <f t="shared" si="14"/>
        <v>43333</v>
      </c>
    </row>
    <row r="948" spans="1:33">
      <c r="A948" s="7" t="s">
        <v>5068</v>
      </c>
      <c r="B948" s="7" t="s">
        <v>5068</v>
      </c>
      <c r="C948" s="7" t="s">
        <v>5069</v>
      </c>
      <c r="D948" s="7" t="s">
        <v>5070</v>
      </c>
      <c r="E948" s="7" t="s">
        <v>33</v>
      </c>
      <c r="F948" s="7" t="s">
        <v>34</v>
      </c>
      <c r="G948" s="7" t="s">
        <v>35</v>
      </c>
      <c r="H948" s="7"/>
      <c r="I948" s="7"/>
      <c r="J948" s="7" t="s">
        <v>36</v>
      </c>
      <c r="K948" s="7" t="s">
        <v>125</v>
      </c>
      <c r="L948" s="7" t="s">
        <v>126</v>
      </c>
      <c r="M948" s="7" t="s">
        <v>127</v>
      </c>
      <c r="N948" s="7" t="s">
        <v>33</v>
      </c>
      <c r="O948" s="7">
        <v>1</v>
      </c>
      <c r="P948" s="7" t="s">
        <v>40</v>
      </c>
      <c r="Q948" s="7">
        <v>18.99</v>
      </c>
      <c r="R948" s="7"/>
      <c r="S948" s="7"/>
      <c r="T948" s="7"/>
      <c r="U948" s="7"/>
      <c r="V948" s="7"/>
      <c r="W948" s="7"/>
      <c r="X948" s="7"/>
      <c r="Y948" s="7" t="s">
        <v>5071</v>
      </c>
      <c r="Z948" s="7" t="s">
        <v>1387</v>
      </c>
      <c r="AA948" s="7">
        <v>33412</v>
      </c>
      <c r="AB948" s="7" t="s">
        <v>43</v>
      </c>
      <c r="AC948" s="7"/>
      <c r="AD948" s="7"/>
      <c r="AE948" s="7"/>
      <c r="AF948" s="7"/>
      <c r="AG948" s="8">
        <f t="shared" si="14"/>
        <v>43333</v>
      </c>
    </row>
    <row r="949" spans="1:33">
      <c r="A949" s="7" t="s">
        <v>5072</v>
      </c>
      <c r="B949" s="7" t="s">
        <v>5072</v>
      </c>
      <c r="C949" s="7" t="s">
        <v>5073</v>
      </c>
      <c r="D949" s="7" t="s">
        <v>5074</v>
      </c>
      <c r="E949" s="7" t="s">
        <v>33</v>
      </c>
      <c r="F949" s="7" t="s">
        <v>34</v>
      </c>
      <c r="G949" s="7" t="s">
        <v>35</v>
      </c>
      <c r="H949" s="7"/>
      <c r="I949" s="7"/>
      <c r="J949" s="7" t="s">
        <v>36</v>
      </c>
      <c r="K949" s="7" t="s">
        <v>37</v>
      </c>
      <c r="L949" s="7" t="s">
        <v>1092</v>
      </c>
      <c r="M949" s="7" t="s">
        <v>1093</v>
      </c>
      <c r="N949" s="7" t="s">
        <v>33</v>
      </c>
      <c r="O949" s="7">
        <v>1</v>
      </c>
      <c r="P949" s="7" t="s">
        <v>40</v>
      </c>
      <c r="Q949" s="7">
        <v>19.99</v>
      </c>
      <c r="R949" s="7"/>
      <c r="S949" s="7"/>
      <c r="T949" s="7"/>
      <c r="U949" s="7"/>
      <c r="V949" s="7"/>
      <c r="W949" s="7"/>
      <c r="X949" s="7"/>
      <c r="Y949" s="7" t="s">
        <v>1108</v>
      </c>
      <c r="Z949" s="7" t="s">
        <v>2049</v>
      </c>
      <c r="AA949" s="7" t="s">
        <v>5075</v>
      </c>
      <c r="AB949" s="7" t="s">
        <v>43</v>
      </c>
      <c r="AC949" s="7"/>
      <c r="AD949" s="7"/>
      <c r="AE949" s="7"/>
      <c r="AF949" s="7"/>
      <c r="AG949" s="8">
        <f t="shared" si="14"/>
        <v>43333</v>
      </c>
    </row>
    <row r="950" spans="1:33">
      <c r="A950" s="7" t="s">
        <v>5076</v>
      </c>
      <c r="B950" s="7" t="s">
        <v>5076</v>
      </c>
      <c r="C950" s="7" t="s">
        <v>5077</v>
      </c>
      <c r="D950" s="7" t="s">
        <v>5078</v>
      </c>
      <c r="E950" s="7" t="s">
        <v>33</v>
      </c>
      <c r="F950" s="7" t="s">
        <v>34</v>
      </c>
      <c r="G950" s="7" t="s">
        <v>35</v>
      </c>
      <c r="H950" s="7"/>
      <c r="I950" s="7"/>
      <c r="J950" s="7" t="s">
        <v>64</v>
      </c>
      <c r="K950" s="7" t="s">
        <v>255</v>
      </c>
      <c r="L950" s="7" t="s">
        <v>1236</v>
      </c>
      <c r="M950" s="7" t="s">
        <v>1237</v>
      </c>
      <c r="N950" s="7" t="s">
        <v>33</v>
      </c>
      <c r="O950" s="7">
        <v>1</v>
      </c>
      <c r="P950" s="7" t="s">
        <v>40</v>
      </c>
      <c r="Q950" s="7">
        <v>19.99</v>
      </c>
      <c r="R950" s="7"/>
      <c r="S950" s="7">
        <v>9.87</v>
      </c>
      <c r="T950" s="7"/>
      <c r="U950" s="7"/>
      <c r="V950" s="7"/>
      <c r="W950" s="7"/>
      <c r="X950" s="7"/>
      <c r="Y950" s="7" t="s">
        <v>5079</v>
      </c>
      <c r="Z950" s="7" t="s">
        <v>5080</v>
      </c>
      <c r="AA950" s="7">
        <v>2557</v>
      </c>
      <c r="AB950" s="7" t="s">
        <v>43</v>
      </c>
      <c r="AC950" s="7"/>
      <c r="AD950" s="7"/>
      <c r="AE950" s="7"/>
      <c r="AF950" s="7"/>
      <c r="AG950" s="8">
        <f t="shared" si="14"/>
        <v>43333</v>
      </c>
    </row>
    <row r="951" spans="1:33">
      <c r="A951" s="7" t="s">
        <v>5081</v>
      </c>
      <c r="B951" s="7" t="s">
        <v>5081</v>
      </c>
      <c r="C951" s="7" t="s">
        <v>5082</v>
      </c>
      <c r="D951" s="7" t="s">
        <v>5083</v>
      </c>
      <c r="E951" s="7" t="s">
        <v>33</v>
      </c>
      <c r="F951" s="7" t="s">
        <v>34</v>
      </c>
      <c r="G951" s="7" t="s">
        <v>35</v>
      </c>
      <c r="H951" s="7"/>
      <c r="I951" s="7"/>
      <c r="J951" s="7" t="s">
        <v>36</v>
      </c>
      <c r="K951" s="7" t="s">
        <v>388</v>
      </c>
      <c r="L951" s="7" t="s">
        <v>389</v>
      </c>
      <c r="M951" s="7" t="s">
        <v>390</v>
      </c>
      <c r="N951" s="7" t="s">
        <v>33</v>
      </c>
      <c r="O951" s="7">
        <v>1</v>
      </c>
      <c r="P951" s="7" t="s">
        <v>40</v>
      </c>
      <c r="Q951" s="7">
        <v>19.38</v>
      </c>
      <c r="R951" s="7"/>
      <c r="S951" s="7"/>
      <c r="T951" s="7"/>
      <c r="U951" s="7"/>
      <c r="V951" s="7"/>
      <c r="W951" s="7"/>
      <c r="X951" s="7"/>
      <c r="Y951" s="7" t="s">
        <v>187</v>
      </c>
      <c r="Z951" s="7" t="s">
        <v>59</v>
      </c>
      <c r="AA951" s="7">
        <v>95138</v>
      </c>
      <c r="AB951" s="7" t="s">
        <v>43</v>
      </c>
      <c r="AC951" s="7"/>
      <c r="AD951" s="7"/>
      <c r="AE951" s="7"/>
      <c r="AF951" s="7"/>
      <c r="AG951" s="8">
        <f t="shared" si="14"/>
        <v>43333</v>
      </c>
    </row>
    <row r="952" spans="1:33">
      <c r="A952" s="7" t="s">
        <v>5084</v>
      </c>
      <c r="B952" s="7" t="s">
        <v>5084</v>
      </c>
      <c r="C952" s="7" t="s">
        <v>5085</v>
      </c>
      <c r="D952" s="7" t="s">
        <v>5086</v>
      </c>
      <c r="E952" s="7" t="s">
        <v>33</v>
      </c>
      <c r="F952" s="7" t="s">
        <v>34</v>
      </c>
      <c r="G952" s="7" t="s">
        <v>35</v>
      </c>
      <c r="H952" s="7"/>
      <c r="I952" s="7"/>
      <c r="J952" s="7" t="s">
        <v>36</v>
      </c>
      <c r="K952" s="7" t="s">
        <v>456</v>
      </c>
      <c r="L952" s="7" t="s">
        <v>1248</v>
      </c>
      <c r="M952" s="7" t="s">
        <v>1249</v>
      </c>
      <c r="N952" s="7" t="s">
        <v>33</v>
      </c>
      <c r="O952" s="7">
        <v>1</v>
      </c>
      <c r="P952" s="7" t="s">
        <v>40</v>
      </c>
      <c r="Q952" s="7">
        <v>12.99</v>
      </c>
      <c r="R952" s="7"/>
      <c r="S952" s="7"/>
      <c r="T952" s="7"/>
      <c r="U952" s="7"/>
      <c r="V952" s="7"/>
      <c r="W952" s="7"/>
      <c r="X952" s="7"/>
      <c r="Y952" s="7" t="s">
        <v>362</v>
      </c>
      <c r="Z952" s="7" t="s">
        <v>227</v>
      </c>
      <c r="AA952" s="7" t="s">
        <v>5087</v>
      </c>
      <c r="AB952" s="7" t="s">
        <v>43</v>
      </c>
      <c r="AC952" s="7"/>
      <c r="AD952" s="7"/>
      <c r="AE952" s="7"/>
      <c r="AF952" s="7"/>
      <c r="AG952" s="8">
        <f t="shared" si="14"/>
        <v>43333</v>
      </c>
    </row>
    <row r="953" spans="1:33">
      <c r="A953" s="7" t="s">
        <v>5088</v>
      </c>
      <c r="B953" s="7" t="s">
        <v>5088</v>
      </c>
      <c r="C953" s="7" t="s">
        <v>5089</v>
      </c>
      <c r="D953" s="7" t="s">
        <v>5090</v>
      </c>
      <c r="E953" s="7" t="s">
        <v>33</v>
      </c>
      <c r="F953" s="7" t="s">
        <v>34</v>
      </c>
      <c r="G953" s="7" t="s">
        <v>35</v>
      </c>
      <c r="H953" s="7"/>
      <c r="I953" s="7"/>
      <c r="J953" s="7" t="s">
        <v>36</v>
      </c>
      <c r="K953" s="7" t="s">
        <v>47</v>
      </c>
      <c r="L953" s="7" t="s">
        <v>1206</v>
      </c>
      <c r="M953" s="7" t="s">
        <v>1207</v>
      </c>
      <c r="N953" s="7" t="s">
        <v>33</v>
      </c>
      <c r="O953" s="7">
        <v>1</v>
      </c>
      <c r="P953" s="7" t="s">
        <v>40</v>
      </c>
      <c r="Q953" s="7">
        <v>16.99</v>
      </c>
      <c r="R953" s="7"/>
      <c r="S953" s="7"/>
      <c r="T953" s="7"/>
      <c r="U953" s="7"/>
      <c r="V953" s="7"/>
      <c r="W953" s="7"/>
      <c r="X953" s="7"/>
      <c r="Y953" s="7" t="s">
        <v>5091</v>
      </c>
      <c r="Z953" s="7" t="s">
        <v>165</v>
      </c>
      <c r="AA953" s="7" t="s">
        <v>5092</v>
      </c>
      <c r="AB953" s="7" t="s">
        <v>43</v>
      </c>
      <c r="AC953" s="7"/>
      <c r="AD953" s="7"/>
      <c r="AE953" s="7"/>
      <c r="AF953" s="7"/>
      <c r="AG953" s="8">
        <f t="shared" si="14"/>
        <v>43333</v>
      </c>
    </row>
    <row r="954" spans="1:33">
      <c r="A954" s="7" t="s">
        <v>5093</v>
      </c>
      <c r="B954" s="7" t="s">
        <v>5093</v>
      </c>
      <c r="C954" s="7" t="s">
        <v>5094</v>
      </c>
      <c r="D954" s="7" t="s">
        <v>5095</v>
      </c>
      <c r="E954" s="7" t="s">
        <v>33</v>
      </c>
      <c r="F954" s="7" t="s">
        <v>34</v>
      </c>
      <c r="G954" s="7" t="s">
        <v>35</v>
      </c>
      <c r="H954" s="7"/>
      <c r="I954" s="7"/>
      <c r="J954" s="7" t="s">
        <v>336</v>
      </c>
      <c r="K954" s="7" t="s">
        <v>176</v>
      </c>
      <c r="L954" s="7" t="s">
        <v>5096</v>
      </c>
      <c r="M954" s="7" t="s">
        <v>5097</v>
      </c>
      <c r="N954" s="7" t="s">
        <v>33</v>
      </c>
      <c r="O954" s="7">
        <v>1</v>
      </c>
      <c r="P954" s="7" t="s">
        <v>40</v>
      </c>
      <c r="Q954" s="7">
        <v>19.38</v>
      </c>
      <c r="R954" s="7"/>
      <c r="S954" s="7">
        <v>3.49</v>
      </c>
      <c r="T954" s="7"/>
      <c r="U954" s="7"/>
      <c r="V954" s="7"/>
      <c r="W954" s="7"/>
      <c r="X954" s="7">
        <v>3.49</v>
      </c>
      <c r="Y954" s="7" t="s">
        <v>5098</v>
      </c>
      <c r="Z954" s="7" t="s">
        <v>287</v>
      </c>
      <c r="AA954" s="7" t="s">
        <v>5099</v>
      </c>
      <c r="AB954" s="7" t="s">
        <v>43</v>
      </c>
      <c r="AC954" s="7" t="s">
        <v>514</v>
      </c>
      <c r="AD954" s="7"/>
      <c r="AE954" s="7"/>
      <c r="AF954" s="7"/>
      <c r="AG954" s="8">
        <f t="shared" si="14"/>
        <v>43333</v>
      </c>
    </row>
    <row r="955" spans="1:33">
      <c r="A955" s="7" t="s">
        <v>5100</v>
      </c>
      <c r="B955" s="7" t="s">
        <v>5100</v>
      </c>
      <c r="C955" s="7" t="s">
        <v>5101</v>
      </c>
      <c r="D955" s="7" t="s">
        <v>5102</v>
      </c>
      <c r="E955" s="7" t="s">
        <v>33</v>
      </c>
      <c r="F955" s="7" t="s">
        <v>34</v>
      </c>
      <c r="G955" s="7" t="s">
        <v>35</v>
      </c>
      <c r="H955" s="7"/>
      <c r="I955" s="7"/>
      <c r="J955" s="7" t="s">
        <v>36</v>
      </c>
      <c r="K955" s="7" t="s">
        <v>5103</v>
      </c>
      <c r="L955" s="7" t="s">
        <v>5104</v>
      </c>
      <c r="M955" s="7" t="s">
        <v>5105</v>
      </c>
      <c r="N955" s="7" t="s">
        <v>33</v>
      </c>
      <c r="O955" s="7">
        <v>1</v>
      </c>
      <c r="P955" s="7" t="s">
        <v>40</v>
      </c>
      <c r="Q955" s="7">
        <v>14.99</v>
      </c>
      <c r="R955" s="7"/>
      <c r="S955" s="7"/>
      <c r="T955" s="7"/>
      <c r="U955" s="7"/>
      <c r="V955" s="7"/>
      <c r="W955" s="7"/>
      <c r="X955" s="7"/>
      <c r="Y955" s="7" t="s">
        <v>5106</v>
      </c>
      <c r="Z955" s="7" t="s">
        <v>1209</v>
      </c>
      <c r="AA955" s="7" t="s">
        <v>5107</v>
      </c>
      <c r="AB955" s="7" t="s">
        <v>43</v>
      </c>
      <c r="AC955" s="7"/>
      <c r="AD955" s="7"/>
      <c r="AE955" s="7"/>
      <c r="AF955" s="7"/>
      <c r="AG955" s="8">
        <f t="shared" si="14"/>
        <v>43333</v>
      </c>
    </row>
    <row r="956" spans="1:33">
      <c r="A956" s="7" t="s">
        <v>5108</v>
      </c>
      <c r="B956" s="7" t="s">
        <v>5108</v>
      </c>
      <c r="C956" s="7" t="s">
        <v>5109</v>
      </c>
      <c r="D956" s="7" t="s">
        <v>5110</v>
      </c>
      <c r="E956" s="7" t="s">
        <v>33</v>
      </c>
      <c r="F956" s="7" t="s">
        <v>34</v>
      </c>
      <c r="G956" s="7" t="s">
        <v>35</v>
      </c>
      <c r="H956" s="7"/>
      <c r="I956" s="7"/>
      <c r="J956" s="7" t="s">
        <v>36</v>
      </c>
      <c r="K956" s="7" t="s">
        <v>456</v>
      </c>
      <c r="L956" s="7" t="s">
        <v>1248</v>
      </c>
      <c r="M956" s="7" t="s">
        <v>1249</v>
      </c>
      <c r="N956" s="7" t="s">
        <v>33</v>
      </c>
      <c r="O956" s="7">
        <v>1</v>
      </c>
      <c r="P956" s="7" t="s">
        <v>40</v>
      </c>
      <c r="Q956" s="7">
        <v>12.99</v>
      </c>
      <c r="R956" s="7"/>
      <c r="S956" s="7"/>
      <c r="T956" s="7"/>
      <c r="U956" s="7"/>
      <c r="V956" s="7"/>
      <c r="W956" s="7"/>
      <c r="X956" s="7"/>
      <c r="Y956" s="7" t="s">
        <v>1863</v>
      </c>
      <c r="Z956" s="7" t="s">
        <v>85</v>
      </c>
      <c r="AA956" s="7" t="s">
        <v>5111</v>
      </c>
      <c r="AB956" s="7" t="s">
        <v>43</v>
      </c>
      <c r="AC956" s="7"/>
      <c r="AD956" s="7"/>
      <c r="AE956" s="7"/>
      <c r="AF956" s="7"/>
      <c r="AG956" s="8">
        <f t="shared" si="14"/>
        <v>43333</v>
      </c>
    </row>
    <row r="957" spans="1:33">
      <c r="A957" s="7" t="s">
        <v>5112</v>
      </c>
      <c r="B957" s="7" t="s">
        <v>5112</v>
      </c>
      <c r="C957" s="7" t="s">
        <v>5113</v>
      </c>
      <c r="D957" s="7" t="s">
        <v>5114</v>
      </c>
      <c r="E957" s="7" t="s">
        <v>33</v>
      </c>
      <c r="F957" s="7" t="s">
        <v>34</v>
      </c>
      <c r="G957" s="7" t="s">
        <v>35</v>
      </c>
      <c r="H957" s="7"/>
      <c r="I957" s="7"/>
      <c r="J957" s="7" t="s">
        <v>36</v>
      </c>
      <c r="K957" s="7" t="s">
        <v>2717</v>
      </c>
      <c r="L957" s="7" t="s">
        <v>2718</v>
      </c>
      <c r="M957" s="7" t="s">
        <v>2719</v>
      </c>
      <c r="N957" s="7" t="s">
        <v>33</v>
      </c>
      <c r="O957" s="7">
        <v>1</v>
      </c>
      <c r="P957" s="7" t="s">
        <v>40</v>
      </c>
      <c r="Q957" s="7">
        <v>16.99</v>
      </c>
      <c r="R957" s="7"/>
      <c r="S957" s="7"/>
      <c r="T957" s="7"/>
      <c r="U957" s="7"/>
      <c r="V957" s="7"/>
      <c r="W957" s="7"/>
      <c r="X957" s="7"/>
      <c r="Y957" s="7" t="s">
        <v>5115</v>
      </c>
      <c r="Z957" s="7" t="s">
        <v>59</v>
      </c>
      <c r="AA957" s="7" t="s">
        <v>5116</v>
      </c>
      <c r="AB957" s="7" t="s">
        <v>43</v>
      </c>
      <c r="AC957" s="7"/>
      <c r="AD957" s="7"/>
      <c r="AE957" s="7"/>
      <c r="AF957" s="7"/>
      <c r="AG957" s="8">
        <f t="shared" si="14"/>
        <v>43333</v>
      </c>
    </row>
    <row r="958" spans="1:33">
      <c r="A958" s="7" t="s">
        <v>5117</v>
      </c>
      <c r="B958" s="7" t="s">
        <v>5117</v>
      </c>
      <c r="C958" s="7" t="s">
        <v>5118</v>
      </c>
      <c r="D958" s="7" t="s">
        <v>5119</v>
      </c>
      <c r="E958" s="7" t="s">
        <v>33</v>
      </c>
      <c r="F958" s="7" t="s">
        <v>34</v>
      </c>
      <c r="G958" s="7" t="s">
        <v>35</v>
      </c>
      <c r="H958" s="7"/>
      <c r="I958" s="7"/>
      <c r="J958" s="7" t="s">
        <v>64</v>
      </c>
      <c r="K958" s="7" t="s">
        <v>47</v>
      </c>
      <c r="L958" s="7" t="s">
        <v>725</v>
      </c>
      <c r="M958" s="7" t="s">
        <v>726</v>
      </c>
      <c r="N958" s="7" t="s">
        <v>33</v>
      </c>
      <c r="O958" s="7">
        <v>1</v>
      </c>
      <c r="P958" s="7" t="s">
        <v>40</v>
      </c>
      <c r="Q958" s="7">
        <v>15.99</v>
      </c>
      <c r="R958" s="7"/>
      <c r="S958" s="7">
        <v>3.99</v>
      </c>
      <c r="T958" s="7"/>
      <c r="U958" s="7"/>
      <c r="V958" s="7"/>
      <c r="W958" s="7"/>
      <c r="X958" s="7"/>
      <c r="Y958" s="7" t="s">
        <v>2750</v>
      </c>
      <c r="Z958" s="7" t="s">
        <v>42</v>
      </c>
      <c r="AA958" s="7" t="s">
        <v>2751</v>
      </c>
      <c r="AB958" s="7" t="s">
        <v>43</v>
      </c>
      <c r="AC958" s="7"/>
      <c r="AD958" s="7"/>
      <c r="AE958" s="7"/>
      <c r="AF958" s="7"/>
      <c r="AG958" s="8">
        <f t="shared" si="14"/>
        <v>43333</v>
      </c>
    </row>
    <row r="959" spans="1:33">
      <c r="A959" s="7" t="s">
        <v>5120</v>
      </c>
      <c r="B959" s="7" t="s">
        <v>5120</v>
      </c>
      <c r="C959" s="7" t="s">
        <v>5121</v>
      </c>
      <c r="D959" s="7" t="s">
        <v>5122</v>
      </c>
      <c r="E959" s="7" t="s">
        <v>33</v>
      </c>
      <c r="F959" s="7" t="s">
        <v>34</v>
      </c>
      <c r="G959" s="7" t="s">
        <v>35</v>
      </c>
      <c r="H959" s="7"/>
      <c r="I959" s="7"/>
      <c r="J959" s="7" t="s">
        <v>36</v>
      </c>
      <c r="K959" s="7" t="s">
        <v>125</v>
      </c>
      <c r="L959" s="7" t="s">
        <v>126</v>
      </c>
      <c r="M959" s="7" t="s">
        <v>127</v>
      </c>
      <c r="N959" s="7" t="s">
        <v>33</v>
      </c>
      <c r="O959" s="7">
        <v>1</v>
      </c>
      <c r="P959" s="7" t="s">
        <v>40</v>
      </c>
      <c r="Q959" s="7">
        <v>18.99</v>
      </c>
      <c r="R959" s="7"/>
      <c r="S959" s="7"/>
      <c r="T959" s="7"/>
      <c r="U959" s="7"/>
      <c r="V959" s="7"/>
      <c r="W959" s="7"/>
      <c r="X959" s="7"/>
      <c r="Y959" s="7" t="s">
        <v>5123</v>
      </c>
      <c r="Z959" s="7" t="s">
        <v>135</v>
      </c>
      <c r="AA959" s="7" t="s">
        <v>5124</v>
      </c>
      <c r="AB959" s="7" t="s">
        <v>43</v>
      </c>
      <c r="AC959" s="7"/>
      <c r="AD959" s="7"/>
      <c r="AE959" s="7"/>
      <c r="AF959" s="7"/>
      <c r="AG959" s="8">
        <f t="shared" si="14"/>
        <v>43333</v>
      </c>
    </row>
    <row r="960" spans="1:33">
      <c r="A960" s="7" t="s">
        <v>5125</v>
      </c>
      <c r="B960" s="7" t="s">
        <v>5125</v>
      </c>
      <c r="C960" s="7" t="s">
        <v>5126</v>
      </c>
      <c r="D960" s="7" t="s">
        <v>5127</v>
      </c>
      <c r="E960" s="7" t="s">
        <v>33</v>
      </c>
      <c r="F960" s="7" t="s">
        <v>34</v>
      </c>
      <c r="G960" s="7" t="s">
        <v>35</v>
      </c>
      <c r="H960" s="7"/>
      <c r="I960" s="7"/>
      <c r="J960" s="7" t="s">
        <v>36</v>
      </c>
      <c r="K960" s="7" t="s">
        <v>90</v>
      </c>
      <c r="L960" s="7" t="s">
        <v>284</v>
      </c>
      <c r="M960" s="7" t="s">
        <v>285</v>
      </c>
      <c r="N960" s="7" t="s">
        <v>33</v>
      </c>
      <c r="O960" s="7">
        <v>1</v>
      </c>
      <c r="P960" s="7" t="s">
        <v>40</v>
      </c>
      <c r="Q960" s="7">
        <v>12.99</v>
      </c>
      <c r="R960" s="7">
        <v>1.03</v>
      </c>
      <c r="S960" s="7"/>
      <c r="T960" s="7"/>
      <c r="U960" s="7"/>
      <c r="V960" s="7"/>
      <c r="W960" s="7"/>
      <c r="X960" s="7"/>
      <c r="Y960" s="7" t="s">
        <v>5128</v>
      </c>
      <c r="Z960" s="7" t="s">
        <v>882</v>
      </c>
      <c r="AA960" s="7" t="s">
        <v>5129</v>
      </c>
      <c r="AB960" s="7" t="s">
        <v>43</v>
      </c>
      <c r="AC960" s="7"/>
      <c r="AD960" s="7"/>
      <c r="AE960" s="7"/>
      <c r="AF960" s="7"/>
      <c r="AG960" s="8">
        <f t="shared" si="14"/>
        <v>43333</v>
      </c>
    </row>
    <row r="961" spans="1:33">
      <c r="A961" s="7" t="s">
        <v>5130</v>
      </c>
      <c r="B961" s="7" t="s">
        <v>5130</v>
      </c>
      <c r="C961" s="7" t="s">
        <v>5131</v>
      </c>
      <c r="D961" s="7" t="s">
        <v>5132</v>
      </c>
      <c r="E961" s="7" t="s">
        <v>33</v>
      </c>
      <c r="F961" s="7" t="s">
        <v>34</v>
      </c>
      <c r="G961" s="7" t="s">
        <v>35</v>
      </c>
      <c r="H961" s="7"/>
      <c r="I961" s="7"/>
      <c r="J961" s="7" t="s">
        <v>36</v>
      </c>
      <c r="K961" s="7" t="s">
        <v>131</v>
      </c>
      <c r="L961" s="7" t="s">
        <v>132</v>
      </c>
      <c r="M961" s="7" t="s">
        <v>133</v>
      </c>
      <c r="N961" s="7" t="s">
        <v>33</v>
      </c>
      <c r="O961" s="7">
        <v>1</v>
      </c>
      <c r="P961" s="7" t="s">
        <v>40</v>
      </c>
      <c r="Q961" s="7">
        <v>18.99</v>
      </c>
      <c r="R961" s="7"/>
      <c r="S961" s="7"/>
      <c r="T961" s="7"/>
      <c r="U961" s="7"/>
      <c r="V961" s="7"/>
      <c r="W961" s="7"/>
      <c r="X961" s="7"/>
      <c r="Y961" s="7" t="s">
        <v>5133</v>
      </c>
      <c r="Z961" s="7" t="s">
        <v>345</v>
      </c>
      <c r="AA961" s="7" t="s">
        <v>5134</v>
      </c>
      <c r="AB961" s="7" t="s">
        <v>43</v>
      </c>
      <c r="AC961" s="7"/>
      <c r="AD961" s="7"/>
      <c r="AE961" s="7"/>
      <c r="AF961" s="7"/>
      <c r="AG961" s="8">
        <f t="shared" si="14"/>
        <v>43333</v>
      </c>
    </row>
    <row r="962" spans="1:33">
      <c r="A962" s="7" t="s">
        <v>5135</v>
      </c>
      <c r="B962" s="7" t="s">
        <v>5135</v>
      </c>
      <c r="C962" s="7" t="s">
        <v>5136</v>
      </c>
      <c r="D962" s="7" t="s">
        <v>5137</v>
      </c>
      <c r="E962" s="7" t="s">
        <v>33</v>
      </c>
      <c r="F962" s="7" t="s">
        <v>34</v>
      </c>
      <c r="G962" s="7" t="s">
        <v>35</v>
      </c>
      <c r="H962" s="7"/>
      <c r="I962" s="7"/>
      <c r="J962" s="7" t="s">
        <v>36</v>
      </c>
      <c r="K962" s="7" t="s">
        <v>90</v>
      </c>
      <c r="L962" s="7" t="s">
        <v>284</v>
      </c>
      <c r="M962" s="7" t="s">
        <v>285</v>
      </c>
      <c r="N962" s="7" t="s">
        <v>33</v>
      </c>
      <c r="O962" s="7">
        <v>1</v>
      </c>
      <c r="P962" s="7" t="s">
        <v>40</v>
      </c>
      <c r="Q962" s="7">
        <v>12.99</v>
      </c>
      <c r="R962" s="7"/>
      <c r="S962" s="7"/>
      <c r="T962" s="7"/>
      <c r="U962" s="7"/>
      <c r="V962" s="7"/>
      <c r="W962" s="7"/>
      <c r="X962" s="7"/>
      <c r="Y962" s="7" t="s">
        <v>5138</v>
      </c>
      <c r="Z962" s="7" t="s">
        <v>59</v>
      </c>
      <c r="AA962" s="7" t="s">
        <v>5139</v>
      </c>
      <c r="AB962" s="7" t="s">
        <v>43</v>
      </c>
      <c r="AC962" s="7"/>
      <c r="AD962" s="7"/>
      <c r="AE962" s="7"/>
      <c r="AF962" s="7"/>
      <c r="AG962" s="8">
        <f t="shared" ref="AG962:AG1025" si="15">DATEVALUE(LEFT(C962,10))</f>
        <v>43333</v>
      </c>
    </row>
    <row r="963" spans="1:33">
      <c r="A963" s="7" t="s">
        <v>5140</v>
      </c>
      <c r="B963" s="7" t="s">
        <v>5140</v>
      </c>
      <c r="C963" s="7" t="s">
        <v>5141</v>
      </c>
      <c r="D963" s="7" t="s">
        <v>5142</v>
      </c>
      <c r="E963" s="7" t="s">
        <v>33</v>
      </c>
      <c r="F963" s="7" t="s">
        <v>34</v>
      </c>
      <c r="G963" s="7" t="s">
        <v>35</v>
      </c>
      <c r="H963" s="7"/>
      <c r="I963" s="7"/>
      <c r="J963" s="7" t="s">
        <v>36</v>
      </c>
      <c r="K963" s="7" t="s">
        <v>1432</v>
      </c>
      <c r="L963" s="7" t="s">
        <v>1433</v>
      </c>
      <c r="M963" s="7" t="s">
        <v>1434</v>
      </c>
      <c r="N963" s="7" t="s">
        <v>33</v>
      </c>
      <c r="O963" s="7">
        <v>1</v>
      </c>
      <c r="P963" s="7" t="s">
        <v>40</v>
      </c>
      <c r="Q963" s="7">
        <v>11.99</v>
      </c>
      <c r="R963" s="7"/>
      <c r="S963" s="7"/>
      <c r="T963" s="7"/>
      <c r="U963" s="7"/>
      <c r="V963" s="7"/>
      <c r="W963" s="7"/>
      <c r="X963" s="7"/>
      <c r="Y963" s="7" t="s">
        <v>5143</v>
      </c>
      <c r="Z963" s="7" t="s">
        <v>135</v>
      </c>
      <c r="AA963" s="7" t="s">
        <v>5144</v>
      </c>
      <c r="AB963" s="7" t="s">
        <v>43</v>
      </c>
      <c r="AC963" s="7"/>
      <c r="AD963" s="7"/>
      <c r="AE963" s="7"/>
      <c r="AF963" s="7"/>
      <c r="AG963" s="8">
        <f t="shared" si="15"/>
        <v>43333</v>
      </c>
    </row>
    <row r="964" spans="1:33">
      <c r="A964" s="7" t="s">
        <v>5145</v>
      </c>
      <c r="B964" s="7" t="s">
        <v>5145</v>
      </c>
      <c r="C964" s="7" t="s">
        <v>5146</v>
      </c>
      <c r="D964" s="7" t="s">
        <v>5147</v>
      </c>
      <c r="E964" s="7" t="s">
        <v>33</v>
      </c>
      <c r="F964" s="7" t="s">
        <v>34</v>
      </c>
      <c r="G964" s="7" t="s">
        <v>35</v>
      </c>
      <c r="H964" s="7"/>
      <c r="I964" s="7"/>
      <c r="J964" s="7" t="s">
        <v>36</v>
      </c>
      <c r="K964" s="7" t="s">
        <v>131</v>
      </c>
      <c r="L964" s="7" t="s">
        <v>132</v>
      </c>
      <c r="M964" s="7" t="s">
        <v>133</v>
      </c>
      <c r="N964" s="7" t="s">
        <v>33</v>
      </c>
      <c r="O964" s="7">
        <v>1</v>
      </c>
      <c r="P964" s="7" t="s">
        <v>40</v>
      </c>
      <c r="Q964" s="7">
        <v>18.99</v>
      </c>
      <c r="R964" s="7"/>
      <c r="S964" s="7"/>
      <c r="T964" s="7"/>
      <c r="U964" s="7"/>
      <c r="V964" s="7"/>
      <c r="W964" s="7"/>
      <c r="X964" s="7"/>
      <c r="Y964" s="7" t="s">
        <v>5148</v>
      </c>
      <c r="Z964" s="7" t="s">
        <v>94</v>
      </c>
      <c r="AA964" s="7" t="s">
        <v>5149</v>
      </c>
      <c r="AB964" s="7" t="s">
        <v>43</v>
      </c>
      <c r="AC964" s="7"/>
      <c r="AD964" s="7"/>
      <c r="AE964" s="7"/>
      <c r="AF964" s="7"/>
      <c r="AG964" s="8">
        <f t="shared" si="15"/>
        <v>43333</v>
      </c>
    </row>
    <row r="965" spans="1:33">
      <c r="A965" s="7" t="s">
        <v>5150</v>
      </c>
      <c r="B965" s="7" t="s">
        <v>5150</v>
      </c>
      <c r="C965" s="7" t="s">
        <v>5151</v>
      </c>
      <c r="D965" s="7" t="s">
        <v>5152</v>
      </c>
      <c r="E965" s="7" t="s">
        <v>33</v>
      </c>
      <c r="F965" s="7" t="s">
        <v>34</v>
      </c>
      <c r="G965" s="7" t="s">
        <v>35</v>
      </c>
      <c r="H965" s="7"/>
      <c r="I965" s="7"/>
      <c r="J965" s="7" t="s">
        <v>36</v>
      </c>
      <c r="K965" s="7" t="s">
        <v>90</v>
      </c>
      <c r="L965" s="7" t="s">
        <v>91</v>
      </c>
      <c r="M965" s="7" t="s">
        <v>92</v>
      </c>
      <c r="N965" s="7" t="s">
        <v>33</v>
      </c>
      <c r="O965" s="7">
        <v>1</v>
      </c>
      <c r="P965" s="7" t="s">
        <v>40</v>
      </c>
      <c r="Q965" s="7">
        <v>12.99</v>
      </c>
      <c r="R965" s="7"/>
      <c r="S965" s="7"/>
      <c r="T965" s="7"/>
      <c r="U965" s="7"/>
      <c r="V965" s="7"/>
      <c r="W965" s="7"/>
      <c r="X965" s="7"/>
      <c r="Y965" s="7" t="s">
        <v>5153</v>
      </c>
      <c r="Z965" s="7" t="s">
        <v>392</v>
      </c>
      <c r="AA965" s="7" t="s">
        <v>5154</v>
      </c>
      <c r="AB965" s="7" t="s">
        <v>43</v>
      </c>
      <c r="AC965" s="7"/>
      <c r="AD965" s="7"/>
      <c r="AE965" s="7"/>
      <c r="AF965" s="7"/>
      <c r="AG965" s="8">
        <f t="shared" si="15"/>
        <v>43333</v>
      </c>
    </row>
    <row r="966" spans="1:33">
      <c r="A966" s="7" t="s">
        <v>5155</v>
      </c>
      <c r="B966" s="7" t="s">
        <v>5155</v>
      </c>
      <c r="C966" s="7" t="s">
        <v>5156</v>
      </c>
      <c r="D966" s="7" t="s">
        <v>5157</v>
      </c>
      <c r="E966" s="7" t="s">
        <v>33</v>
      </c>
      <c r="F966" s="7" t="s">
        <v>34</v>
      </c>
      <c r="G966" s="7" t="s">
        <v>35</v>
      </c>
      <c r="H966" s="7"/>
      <c r="I966" s="7"/>
      <c r="J966" s="7" t="s">
        <v>36</v>
      </c>
      <c r="K966" s="7" t="s">
        <v>120</v>
      </c>
      <c r="L966" s="7" t="s">
        <v>121</v>
      </c>
      <c r="M966" s="7" t="s">
        <v>122</v>
      </c>
      <c r="N966" s="7" t="s">
        <v>33</v>
      </c>
      <c r="O966" s="7">
        <v>1</v>
      </c>
      <c r="P966" s="7" t="s">
        <v>40</v>
      </c>
      <c r="Q966" s="7">
        <v>18.99</v>
      </c>
      <c r="R966" s="7"/>
      <c r="S966" s="7"/>
      <c r="T966" s="7"/>
      <c r="U966" s="7"/>
      <c r="V966" s="7"/>
      <c r="W966" s="7"/>
      <c r="X966" s="7"/>
      <c r="Y966" s="7" t="s">
        <v>5158</v>
      </c>
      <c r="Z966" s="7" t="s">
        <v>77</v>
      </c>
      <c r="AA966" s="7" t="s">
        <v>5159</v>
      </c>
      <c r="AB966" s="7" t="s">
        <v>43</v>
      </c>
      <c r="AC966" s="7"/>
      <c r="AD966" s="7"/>
      <c r="AE966" s="7"/>
      <c r="AF966" s="7"/>
      <c r="AG966" s="8">
        <f t="shared" si="15"/>
        <v>43333</v>
      </c>
    </row>
    <row r="967" spans="1:33">
      <c r="A967" s="7" t="s">
        <v>5160</v>
      </c>
      <c r="B967" s="7" t="s">
        <v>5160</v>
      </c>
      <c r="C967" s="7" t="s">
        <v>5161</v>
      </c>
      <c r="D967" s="7" t="s">
        <v>5162</v>
      </c>
      <c r="E967" s="7" t="s">
        <v>33</v>
      </c>
      <c r="F967" s="7" t="s">
        <v>34</v>
      </c>
      <c r="G967" s="7" t="s">
        <v>35</v>
      </c>
      <c r="H967" s="7"/>
      <c r="I967" s="7"/>
      <c r="J967" s="7" t="s">
        <v>36</v>
      </c>
      <c r="K967" s="7" t="s">
        <v>37</v>
      </c>
      <c r="L967" s="7" t="s">
        <v>224</v>
      </c>
      <c r="M967" s="7" t="s">
        <v>225</v>
      </c>
      <c r="N967" s="7" t="s">
        <v>33</v>
      </c>
      <c r="O967" s="7">
        <v>1</v>
      </c>
      <c r="P967" s="7" t="s">
        <v>40</v>
      </c>
      <c r="Q967" s="7">
        <v>19.99</v>
      </c>
      <c r="R967" s="7"/>
      <c r="S967" s="7"/>
      <c r="T967" s="7"/>
      <c r="U967" s="7"/>
      <c r="V967" s="7"/>
      <c r="W967" s="7"/>
      <c r="X967" s="7"/>
      <c r="Y967" s="7" t="s">
        <v>5163</v>
      </c>
      <c r="Z967" s="7" t="s">
        <v>848</v>
      </c>
      <c r="AA967" s="7" t="s">
        <v>5164</v>
      </c>
      <c r="AB967" s="7" t="s">
        <v>43</v>
      </c>
      <c r="AC967" s="7"/>
      <c r="AD967" s="7"/>
      <c r="AE967" s="7"/>
      <c r="AF967" s="7"/>
      <c r="AG967" s="8">
        <f t="shared" si="15"/>
        <v>43334</v>
      </c>
    </row>
    <row r="968" spans="1:33">
      <c r="A968" s="7" t="s">
        <v>5165</v>
      </c>
      <c r="B968" s="7" t="s">
        <v>5165</v>
      </c>
      <c r="C968" s="7" t="s">
        <v>5166</v>
      </c>
      <c r="D968" s="7" t="s">
        <v>5167</v>
      </c>
      <c r="E968" s="7" t="s">
        <v>33</v>
      </c>
      <c r="F968" s="7" t="s">
        <v>34</v>
      </c>
      <c r="G968" s="7" t="s">
        <v>35</v>
      </c>
      <c r="H968" s="7"/>
      <c r="I968" s="7"/>
      <c r="J968" s="7" t="s">
        <v>36</v>
      </c>
      <c r="K968" s="7" t="s">
        <v>4776</v>
      </c>
      <c r="L968" s="7" t="s">
        <v>5168</v>
      </c>
      <c r="M968" s="7" t="s">
        <v>5169</v>
      </c>
      <c r="N968" s="7" t="s">
        <v>33</v>
      </c>
      <c r="O968" s="7">
        <v>1</v>
      </c>
      <c r="P968" s="7" t="s">
        <v>40</v>
      </c>
      <c r="Q968" s="7">
        <v>17.99</v>
      </c>
      <c r="R968" s="7"/>
      <c r="S968" s="7"/>
      <c r="T968" s="7"/>
      <c r="U968" s="7"/>
      <c r="V968" s="7"/>
      <c r="W968" s="7"/>
      <c r="X968" s="7"/>
      <c r="Y968" s="7" t="s">
        <v>4588</v>
      </c>
      <c r="Z968" s="7" t="s">
        <v>447</v>
      </c>
      <c r="AA968" s="7" t="s">
        <v>4779</v>
      </c>
      <c r="AB968" s="7" t="s">
        <v>43</v>
      </c>
      <c r="AC968" s="7"/>
      <c r="AD968" s="7"/>
      <c r="AE968" s="7"/>
      <c r="AF968" s="7"/>
      <c r="AG968" s="8">
        <f t="shared" si="15"/>
        <v>43334</v>
      </c>
    </row>
    <row r="969" spans="1:33">
      <c r="A969" s="7" t="s">
        <v>5170</v>
      </c>
      <c r="B969" s="7" t="s">
        <v>5170</v>
      </c>
      <c r="C969" s="7" t="s">
        <v>5171</v>
      </c>
      <c r="D969" s="7" t="s">
        <v>5172</v>
      </c>
      <c r="E969" s="7" t="s">
        <v>33</v>
      </c>
      <c r="F969" s="7" t="s">
        <v>34</v>
      </c>
      <c r="G969" s="7" t="s">
        <v>35</v>
      </c>
      <c r="H969" s="7"/>
      <c r="I969" s="7"/>
      <c r="J969" s="7" t="s">
        <v>36</v>
      </c>
      <c r="K969" s="7" t="s">
        <v>1295</v>
      </c>
      <c r="L969" s="7" t="s">
        <v>5173</v>
      </c>
      <c r="M969" s="7" t="s">
        <v>5174</v>
      </c>
      <c r="N969" s="7" t="s">
        <v>33</v>
      </c>
      <c r="O969" s="7">
        <v>1</v>
      </c>
      <c r="P969" s="7" t="s">
        <v>40</v>
      </c>
      <c r="Q969" s="7">
        <v>18.99</v>
      </c>
      <c r="R969" s="7"/>
      <c r="S969" s="7"/>
      <c r="T969" s="7"/>
      <c r="U969" s="7"/>
      <c r="V969" s="7"/>
      <c r="W969" s="7"/>
      <c r="X969" s="7"/>
      <c r="Y969" s="7" t="s">
        <v>1596</v>
      </c>
      <c r="Z969" s="7" t="s">
        <v>219</v>
      </c>
      <c r="AA969" s="7" t="s">
        <v>5175</v>
      </c>
      <c r="AB969" s="7" t="s">
        <v>43</v>
      </c>
      <c r="AC969" s="7"/>
      <c r="AD969" s="7"/>
      <c r="AE969" s="7"/>
      <c r="AF969" s="7"/>
      <c r="AG969" s="8">
        <f t="shared" si="15"/>
        <v>43334</v>
      </c>
    </row>
    <row r="970" spans="1:33">
      <c r="A970" s="7" t="s">
        <v>5176</v>
      </c>
      <c r="B970" s="7" t="s">
        <v>5176</v>
      </c>
      <c r="C970" s="7" t="s">
        <v>5177</v>
      </c>
      <c r="D970" s="7" t="s">
        <v>5178</v>
      </c>
      <c r="E970" s="7" t="s">
        <v>33</v>
      </c>
      <c r="F970" s="7" t="s">
        <v>34</v>
      </c>
      <c r="G970" s="7" t="s">
        <v>35</v>
      </c>
      <c r="H970" s="7"/>
      <c r="I970" s="7"/>
      <c r="J970" s="7" t="s">
        <v>36</v>
      </c>
      <c r="K970" s="7" t="s">
        <v>388</v>
      </c>
      <c r="L970" s="7" t="s">
        <v>389</v>
      </c>
      <c r="M970" s="7" t="s">
        <v>390</v>
      </c>
      <c r="N970" s="7" t="s">
        <v>33</v>
      </c>
      <c r="O970" s="7">
        <v>1</v>
      </c>
      <c r="P970" s="7" t="s">
        <v>40</v>
      </c>
      <c r="Q970" s="7">
        <v>19.38</v>
      </c>
      <c r="R970" s="7"/>
      <c r="S970" s="7"/>
      <c r="T970" s="7"/>
      <c r="U970" s="7"/>
      <c r="V970" s="7"/>
      <c r="W970" s="7"/>
      <c r="X970" s="7"/>
      <c r="Y970" s="7" t="s">
        <v>5179</v>
      </c>
      <c r="Z970" s="7" t="s">
        <v>4969</v>
      </c>
      <c r="AA970" s="7" t="s">
        <v>5180</v>
      </c>
      <c r="AB970" s="7" t="s">
        <v>43</v>
      </c>
      <c r="AC970" s="7"/>
      <c r="AD970" s="7"/>
      <c r="AE970" s="7"/>
      <c r="AF970" s="7"/>
      <c r="AG970" s="8">
        <f t="shared" si="15"/>
        <v>43334</v>
      </c>
    </row>
    <row r="971" spans="1:33">
      <c r="A971" s="7" t="s">
        <v>5181</v>
      </c>
      <c r="B971" s="7" t="s">
        <v>5181</v>
      </c>
      <c r="C971" s="7" t="s">
        <v>5182</v>
      </c>
      <c r="D971" s="7" t="s">
        <v>5183</v>
      </c>
      <c r="E971" s="7" t="s">
        <v>33</v>
      </c>
      <c r="F971" s="7" t="s">
        <v>34</v>
      </c>
      <c r="G971" s="7" t="s">
        <v>35</v>
      </c>
      <c r="H971" s="7"/>
      <c r="I971" s="7"/>
      <c r="J971" s="7" t="s">
        <v>36</v>
      </c>
      <c r="K971" s="7" t="s">
        <v>65</v>
      </c>
      <c r="L971" s="7" t="s">
        <v>66</v>
      </c>
      <c r="M971" s="7" t="s">
        <v>67</v>
      </c>
      <c r="N971" s="7" t="s">
        <v>33</v>
      </c>
      <c r="O971" s="7">
        <v>1</v>
      </c>
      <c r="P971" s="7" t="s">
        <v>40</v>
      </c>
      <c r="Q971" s="7">
        <v>21.99</v>
      </c>
      <c r="R971" s="7"/>
      <c r="S971" s="7"/>
      <c r="T971" s="7"/>
      <c r="U971" s="7"/>
      <c r="V971" s="7"/>
      <c r="W971" s="7"/>
      <c r="X971" s="7"/>
      <c r="Y971" s="7" t="s">
        <v>5184</v>
      </c>
      <c r="Z971" s="7" t="s">
        <v>227</v>
      </c>
      <c r="AA971" s="7">
        <v>11229</v>
      </c>
      <c r="AB971" s="7" t="s">
        <v>43</v>
      </c>
      <c r="AC971" s="7"/>
      <c r="AD971" s="7"/>
      <c r="AE971" s="7"/>
      <c r="AF971" s="7"/>
      <c r="AG971" s="8">
        <f t="shared" si="15"/>
        <v>43334</v>
      </c>
    </row>
    <row r="972" spans="1:33">
      <c r="A972" s="7" t="s">
        <v>5185</v>
      </c>
      <c r="B972" s="7" t="s">
        <v>5185</v>
      </c>
      <c r="C972" s="7" t="s">
        <v>5186</v>
      </c>
      <c r="D972" s="7" t="s">
        <v>5187</v>
      </c>
      <c r="E972" s="7" t="s">
        <v>33</v>
      </c>
      <c r="F972" s="7" t="s">
        <v>34</v>
      </c>
      <c r="G972" s="7" t="s">
        <v>35</v>
      </c>
      <c r="H972" s="7"/>
      <c r="I972" s="7"/>
      <c r="J972" s="7" t="s">
        <v>36</v>
      </c>
      <c r="K972" s="7" t="s">
        <v>255</v>
      </c>
      <c r="L972" s="7" t="s">
        <v>256</v>
      </c>
      <c r="M972" s="7" t="s">
        <v>257</v>
      </c>
      <c r="N972" s="7" t="s">
        <v>33</v>
      </c>
      <c r="O972" s="7">
        <v>1</v>
      </c>
      <c r="P972" s="7" t="s">
        <v>40</v>
      </c>
      <c r="Q972" s="7">
        <v>19.99</v>
      </c>
      <c r="R972" s="7"/>
      <c r="S972" s="7"/>
      <c r="T972" s="7"/>
      <c r="U972" s="7"/>
      <c r="V972" s="7"/>
      <c r="W972" s="7"/>
      <c r="X972" s="7"/>
      <c r="Y972" s="7" t="s">
        <v>1151</v>
      </c>
      <c r="Z972" s="7" t="s">
        <v>227</v>
      </c>
      <c r="AA972" s="7">
        <v>11212</v>
      </c>
      <c r="AB972" s="7" t="s">
        <v>43</v>
      </c>
      <c r="AC972" s="7"/>
      <c r="AD972" s="7"/>
      <c r="AE972" s="7"/>
      <c r="AF972" s="7"/>
      <c r="AG972" s="8">
        <f t="shared" si="15"/>
        <v>43334</v>
      </c>
    </row>
    <row r="973" spans="1:33">
      <c r="A973" s="7" t="s">
        <v>5188</v>
      </c>
      <c r="B973" s="7" t="s">
        <v>5188</v>
      </c>
      <c r="C973" s="7" t="s">
        <v>5189</v>
      </c>
      <c r="D973" s="7" t="s">
        <v>5190</v>
      </c>
      <c r="E973" s="7" t="s">
        <v>33</v>
      </c>
      <c r="F973" s="7" t="s">
        <v>34</v>
      </c>
      <c r="G973" s="7" t="s">
        <v>35</v>
      </c>
      <c r="H973" s="7"/>
      <c r="I973" s="7"/>
      <c r="J973" s="7" t="s">
        <v>64</v>
      </c>
      <c r="K973" s="7" t="s">
        <v>255</v>
      </c>
      <c r="L973" s="7" t="s">
        <v>256</v>
      </c>
      <c r="M973" s="7" t="s">
        <v>257</v>
      </c>
      <c r="N973" s="7" t="s">
        <v>33</v>
      </c>
      <c r="O973" s="7">
        <v>1</v>
      </c>
      <c r="P973" s="7" t="s">
        <v>40</v>
      </c>
      <c r="Q973" s="7">
        <v>19.99</v>
      </c>
      <c r="R973" s="7"/>
      <c r="S973" s="7">
        <v>3.99</v>
      </c>
      <c r="T973" s="7"/>
      <c r="U973" s="7"/>
      <c r="V973" s="7"/>
      <c r="W973" s="7"/>
      <c r="X973" s="7"/>
      <c r="Y973" s="7" t="s">
        <v>5191</v>
      </c>
      <c r="Z973" s="7" t="s">
        <v>135</v>
      </c>
      <c r="AA973" s="7" t="s">
        <v>5192</v>
      </c>
      <c r="AB973" s="7" t="s">
        <v>43</v>
      </c>
      <c r="AC973" s="7"/>
      <c r="AD973" s="7"/>
      <c r="AE973" s="7"/>
      <c r="AF973" s="7"/>
      <c r="AG973" s="8">
        <f t="shared" si="15"/>
        <v>43334</v>
      </c>
    </row>
    <row r="974" spans="1:33">
      <c r="A974" s="7" t="s">
        <v>5193</v>
      </c>
      <c r="B974" s="7" t="s">
        <v>5193</v>
      </c>
      <c r="C974" s="7" t="s">
        <v>5194</v>
      </c>
      <c r="D974" s="7" t="s">
        <v>5195</v>
      </c>
      <c r="E974" s="7" t="s">
        <v>33</v>
      </c>
      <c r="F974" s="7" t="s">
        <v>34</v>
      </c>
      <c r="G974" s="7" t="s">
        <v>35</v>
      </c>
      <c r="H974" s="7"/>
      <c r="I974" s="7"/>
      <c r="J974" s="7" t="s">
        <v>36</v>
      </c>
      <c r="K974" s="7" t="s">
        <v>90</v>
      </c>
      <c r="L974" s="7" t="s">
        <v>191</v>
      </c>
      <c r="M974" s="7" t="s">
        <v>192</v>
      </c>
      <c r="N974" s="7" t="s">
        <v>33</v>
      </c>
      <c r="O974" s="7">
        <v>1</v>
      </c>
      <c r="P974" s="7" t="s">
        <v>40</v>
      </c>
      <c r="Q974" s="7">
        <v>12.99</v>
      </c>
      <c r="R974" s="7"/>
      <c r="S974" s="7"/>
      <c r="T974" s="7"/>
      <c r="U974" s="7"/>
      <c r="V974" s="7"/>
      <c r="W974" s="7"/>
      <c r="X974" s="7"/>
      <c r="Y974" s="7" t="s">
        <v>5196</v>
      </c>
      <c r="Z974" s="7" t="s">
        <v>69</v>
      </c>
      <c r="AA974" s="7" t="s">
        <v>5197</v>
      </c>
      <c r="AB974" s="7" t="s">
        <v>43</v>
      </c>
      <c r="AC974" s="7"/>
      <c r="AD974" s="7"/>
      <c r="AE974" s="7"/>
      <c r="AF974" s="7"/>
      <c r="AG974" s="8">
        <f t="shared" si="15"/>
        <v>43334</v>
      </c>
    </row>
    <row r="975" spans="1:33">
      <c r="A975" s="7" t="s">
        <v>5198</v>
      </c>
      <c r="B975" s="7" t="s">
        <v>5198</v>
      </c>
      <c r="C975" s="7" t="s">
        <v>5199</v>
      </c>
      <c r="D975" s="7" t="s">
        <v>5200</v>
      </c>
      <c r="E975" s="7" t="s">
        <v>33</v>
      </c>
      <c r="F975" s="7" t="s">
        <v>34</v>
      </c>
      <c r="G975" s="7" t="s">
        <v>35</v>
      </c>
      <c r="H975" s="7"/>
      <c r="I975" s="7"/>
      <c r="J975" s="7" t="s">
        <v>36</v>
      </c>
      <c r="K975" s="7" t="s">
        <v>90</v>
      </c>
      <c r="L975" s="7" t="s">
        <v>191</v>
      </c>
      <c r="M975" s="7" t="s">
        <v>192</v>
      </c>
      <c r="N975" s="7" t="s">
        <v>33</v>
      </c>
      <c r="O975" s="7">
        <v>1</v>
      </c>
      <c r="P975" s="7" t="s">
        <v>40</v>
      </c>
      <c r="Q975" s="7">
        <v>12.99</v>
      </c>
      <c r="R975" s="7"/>
      <c r="S975" s="7"/>
      <c r="T975" s="7"/>
      <c r="U975" s="7"/>
      <c r="V975" s="7"/>
      <c r="W975" s="7"/>
      <c r="X975" s="7"/>
      <c r="Y975" s="7" t="s">
        <v>286</v>
      </c>
      <c r="Z975" s="7" t="s">
        <v>287</v>
      </c>
      <c r="AA975" s="7" t="s">
        <v>5201</v>
      </c>
      <c r="AB975" s="7" t="s">
        <v>43</v>
      </c>
      <c r="AC975" s="7"/>
      <c r="AD975" s="7"/>
      <c r="AE975" s="7"/>
      <c r="AF975" s="7"/>
      <c r="AG975" s="8">
        <f t="shared" si="15"/>
        <v>43334</v>
      </c>
    </row>
    <row r="976" spans="1:33">
      <c r="A976" s="7" t="s">
        <v>5202</v>
      </c>
      <c r="B976" s="7" t="s">
        <v>5202</v>
      </c>
      <c r="C976" s="7" t="s">
        <v>5203</v>
      </c>
      <c r="D976" s="7" t="s">
        <v>5204</v>
      </c>
      <c r="E976" s="7" t="s">
        <v>99</v>
      </c>
      <c r="F976" s="7" t="s">
        <v>34</v>
      </c>
      <c r="G976" s="7" t="s">
        <v>35</v>
      </c>
      <c r="H976" s="7"/>
      <c r="I976" s="7"/>
      <c r="J976" s="7" t="s">
        <v>36</v>
      </c>
      <c r="K976" s="7" t="s">
        <v>90</v>
      </c>
      <c r="L976" s="7" t="s">
        <v>91</v>
      </c>
      <c r="M976" s="7" t="s">
        <v>92</v>
      </c>
      <c r="N976" s="7" t="s">
        <v>99</v>
      </c>
      <c r="O976" s="7">
        <v>0</v>
      </c>
      <c r="P976" s="7"/>
      <c r="Q976" s="7"/>
      <c r="R976" s="7"/>
      <c r="S976" s="7"/>
      <c r="T976" s="7"/>
      <c r="U976" s="7"/>
      <c r="V976" s="7"/>
      <c r="W976" s="7"/>
      <c r="X976" s="7"/>
      <c r="Y976" s="7" t="s">
        <v>5205</v>
      </c>
      <c r="Z976" s="7" t="s">
        <v>77</v>
      </c>
      <c r="AA976" s="7">
        <v>81435</v>
      </c>
      <c r="AB976" s="7" t="s">
        <v>43</v>
      </c>
      <c r="AC976" s="7"/>
      <c r="AD976" s="7"/>
      <c r="AE976" s="7"/>
      <c r="AF976" s="7"/>
      <c r="AG976" s="8">
        <f t="shared" si="15"/>
        <v>43334</v>
      </c>
    </row>
    <row r="977" spans="1:33">
      <c r="A977" s="7" t="s">
        <v>5206</v>
      </c>
      <c r="B977" s="7" t="s">
        <v>5206</v>
      </c>
      <c r="C977" s="7" t="s">
        <v>5207</v>
      </c>
      <c r="D977" s="7" t="s">
        <v>5208</v>
      </c>
      <c r="E977" s="7" t="s">
        <v>33</v>
      </c>
      <c r="F977" s="7" t="s">
        <v>34</v>
      </c>
      <c r="G977" s="7" t="s">
        <v>35</v>
      </c>
      <c r="H977" s="7"/>
      <c r="I977" s="7"/>
      <c r="J977" s="7" t="s">
        <v>36</v>
      </c>
      <c r="K977" s="7" t="s">
        <v>247</v>
      </c>
      <c r="L977" s="7" t="s">
        <v>248</v>
      </c>
      <c r="M977" s="7" t="s">
        <v>249</v>
      </c>
      <c r="N977" s="7" t="s">
        <v>33</v>
      </c>
      <c r="O977" s="7">
        <v>1</v>
      </c>
      <c r="P977" s="7" t="s">
        <v>40</v>
      </c>
      <c r="Q977" s="7">
        <v>18.99</v>
      </c>
      <c r="R977" s="7"/>
      <c r="S977" s="7"/>
      <c r="T977" s="7"/>
      <c r="U977" s="7"/>
      <c r="V977" s="7"/>
      <c r="W977" s="7"/>
      <c r="X977" s="7"/>
      <c r="Y977" s="7" t="s">
        <v>5209</v>
      </c>
      <c r="Z977" s="7" t="s">
        <v>69</v>
      </c>
      <c r="AA977" s="7" t="s">
        <v>5210</v>
      </c>
      <c r="AB977" s="7" t="s">
        <v>43</v>
      </c>
      <c r="AC977" s="7"/>
      <c r="AD977" s="7"/>
      <c r="AE977" s="7"/>
      <c r="AF977" s="7"/>
      <c r="AG977" s="8">
        <f t="shared" si="15"/>
        <v>43334</v>
      </c>
    </row>
    <row r="978" spans="1:33">
      <c r="A978" s="7" t="s">
        <v>5211</v>
      </c>
      <c r="B978" s="7" t="s">
        <v>5211</v>
      </c>
      <c r="C978" s="7" t="s">
        <v>5212</v>
      </c>
      <c r="D978" s="7" t="s">
        <v>5213</v>
      </c>
      <c r="E978" s="7" t="s">
        <v>33</v>
      </c>
      <c r="F978" s="7" t="s">
        <v>34</v>
      </c>
      <c r="G978" s="7" t="s">
        <v>35</v>
      </c>
      <c r="H978" s="7"/>
      <c r="I978" s="7"/>
      <c r="J978" s="7" t="s">
        <v>36</v>
      </c>
      <c r="K978" s="7" t="s">
        <v>90</v>
      </c>
      <c r="L978" s="7" t="s">
        <v>191</v>
      </c>
      <c r="M978" s="7" t="s">
        <v>192</v>
      </c>
      <c r="N978" s="7" t="s">
        <v>33</v>
      </c>
      <c r="O978" s="7">
        <v>1</v>
      </c>
      <c r="P978" s="7" t="s">
        <v>40</v>
      </c>
      <c r="Q978" s="7">
        <v>12.99</v>
      </c>
      <c r="R978" s="7"/>
      <c r="S978" s="7"/>
      <c r="T978" s="7"/>
      <c r="U978" s="7"/>
      <c r="V978" s="7"/>
      <c r="W978" s="7"/>
      <c r="X978" s="7"/>
      <c r="Y978" s="7" t="s">
        <v>1369</v>
      </c>
      <c r="Z978" s="7" t="s">
        <v>1095</v>
      </c>
      <c r="AA978" s="7">
        <v>92054</v>
      </c>
      <c r="AB978" s="7" t="s">
        <v>43</v>
      </c>
      <c r="AC978" s="7"/>
      <c r="AD978" s="7"/>
      <c r="AE978" s="7"/>
      <c r="AF978" s="7"/>
      <c r="AG978" s="8">
        <f t="shared" si="15"/>
        <v>43334</v>
      </c>
    </row>
    <row r="979" spans="1:33">
      <c r="A979" s="7" t="s">
        <v>5214</v>
      </c>
      <c r="B979" s="7" t="s">
        <v>5214</v>
      </c>
      <c r="C979" s="7" t="s">
        <v>5215</v>
      </c>
      <c r="D979" s="7" t="s">
        <v>5216</v>
      </c>
      <c r="E979" s="7" t="s">
        <v>33</v>
      </c>
      <c r="F979" s="7" t="s">
        <v>34</v>
      </c>
      <c r="G979" s="7" t="s">
        <v>35</v>
      </c>
      <c r="H979" s="7"/>
      <c r="I979" s="7"/>
      <c r="J979" s="7" t="s">
        <v>336</v>
      </c>
      <c r="K979" s="7" t="s">
        <v>456</v>
      </c>
      <c r="L979" s="7" t="s">
        <v>1248</v>
      </c>
      <c r="M979" s="7" t="s">
        <v>1249</v>
      </c>
      <c r="N979" s="7" t="s">
        <v>33</v>
      </c>
      <c r="O979" s="7">
        <v>1</v>
      </c>
      <c r="P979" s="7" t="s">
        <v>40</v>
      </c>
      <c r="Q979" s="7">
        <v>12.99</v>
      </c>
      <c r="R979" s="7"/>
      <c r="S979" s="7">
        <v>2.16</v>
      </c>
      <c r="T979" s="7"/>
      <c r="U979" s="7"/>
      <c r="V979" s="7"/>
      <c r="W979" s="7"/>
      <c r="X979" s="7">
        <v>2.16</v>
      </c>
      <c r="Y979" s="7" t="s">
        <v>2445</v>
      </c>
      <c r="Z979" s="7" t="s">
        <v>135</v>
      </c>
      <c r="AA979" s="7" t="s">
        <v>5217</v>
      </c>
      <c r="AB979" s="7" t="s">
        <v>43</v>
      </c>
      <c r="AC979" s="7" t="s">
        <v>514</v>
      </c>
      <c r="AD979" s="7"/>
      <c r="AE979" s="7"/>
      <c r="AF979" s="7"/>
      <c r="AG979" s="8">
        <f t="shared" si="15"/>
        <v>43334</v>
      </c>
    </row>
    <row r="980" spans="1:33">
      <c r="A980" s="7" t="s">
        <v>5218</v>
      </c>
      <c r="B980" s="7" t="s">
        <v>5218</v>
      </c>
      <c r="C980" s="7" t="s">
        <v>5219</v>
      </c>
      <c r="D980" s="7" t="s">
        <v>5220</v>
      </c>
      <c r="E980" s="7" t="s">
        <v>33</v>
      </c>
      <c r="F980" s="7" t="s">
        <v>34</v>
      </c>
      <c r="G980" s="7" t="s">
        <v>35</v>
      </c>
      <c r="H980" s="7"/>
      <c r="I980" s="7"/>
      <c r="J980" s="7" t="s">
        <v>36</v>
      </c>
      <c r="K980" s="7" t="s">
        <v>199</v>
      </c>
      <c r="L980" s="7" t="s">
        <v>200</v>
      </c>
      <c r="M980" s="7" t="s">
        <v>201</v>
      </c>
      <c r="N980" s="7" t="s">
        <v>33</v>
      </c>
      <c r="O980" s="7">
        <v>1</v>
      </c>
      <c r="P980" s="7" t="s">
        <v>40</v>
      </c>
      <c r="Q980" s="7">
        <v>18.99</v>
      </c>
      <c r="R980" s="7"/>
      <c r="S980" s="7"/>
      <c r="T980" s="7"/>
      <c r="U980" s="7"/>
      <c r="V980" s="7"/>
      <c r="W980" s="7"/>
      <c r="X980" s="7"/>
      <c r="Y980" s="7" t="s">
        <v>5221</v>
      </c>
      <c r="Z980" s="7" t="s">
        <v>227</v>
      </c>
      <c r="AA980" s="7">
        <v>11930</v>
      </c>
      <c r="AB980" s="7" t="s">
        <v>43</v>
      </c>
      <c r="AC980" s="7"/>
      <c r="AD980" s="7"/>
      <c r="AE980" s="7"/>
      <c r="AF980" s="7"/>
      <c r="AG980" s="8">
        <f t="shared" si="15"/>
        <v>43334</v>
      </c>
    </row>
    <row r="981" spans="1:33">
      <c r="A981" s="7" t="s">
        <v>5222</v>
      </c>
      <c r="B981" s="7" t="s">
        <v>5222</v>
      </c>
      <c r="C981" s="7" t="s">
        <v>5223</v>
      </c>
      <c r="D981" s="7" t="s">
        <v>5224</v>
      </c>
      <c r="E981" s="7" t="s">
        <v>33</v>
      </c>
      <c r="F981" s="7" t="s">
        <v>34</v>
      </c>
      <c r="G981" s="7" t="s">
        <v>35</v>
      </c>
      <c r="H981" s="7"/>
      <c r="I981" s="7"/>
      <c r="J981" s="7" t="s">
        <v>36</v>
      </c>
      <c r="K981" s="7" t="s">
        <v>255</v>
      </c>
      <c r="L981" s="7" t="s">
        <v>256</v>
      </c>
      <c r="M981" s="7" t="s">
        <v>257</v>
      </c>
      <c r="N981" s="7" t="s">
        <v>33</v>
      </c>
      <c r="O981" s="7">
        <v>1</v>
      </c>
      <c r="P981" s="7" t="s">
        <v>40</v>
      </c>
      <c r="Q981" s="7">
        <v>19.99</v>
      </c>
      <c r="R981" s="7"/>
      <c r="S981" s="7"/>
      <c r="T981" s="7"/>
      <c r="U981" s="7"/>
      <c r="V981" s="7"/>
      <c r="W981" s="7"/>
      <c r="X981" s="7"/>
      <c r="Y981" s="7" t="s">
        <v>5225</v>
      </c>
      <c r="Z981" s="7" t="s">
        <v>135</v>
      </c>
      <c r="AA981" s="7" t="s">
        <v>5226</v>
      </c>
      <c r="AB981" s="7" t="s">
        <v>43</v>
      </c>
      <c r="AC981" s="7"/>
      <c r="AD981" s="7"/>
      <c r="AE981" s="7"/>
      <c r="AF981" s="7"/>
      <c r="AG981" s="8">
        <f t="shared" si="15"/>
        <v>43334</v>
      </c>
    </row>
    <row r="982" spans="1:33">
      <c r="A982" s="7" t="s">
        <v>5227</v>
      </c>
      <c r="B982" s="7" t="s">
        <v>5227</v>
      </c>
      <c r="C982" s="7" t="s">
        <v>5228</v>
      </c>
      <c r="D982" s="7" t="s">
        <v>5229</v>
      </c>
      <c r="E982" s="7" t="s">
        <v>99</v>
      </c>
      <c r="F982" s="7" t="s">
        <v>34</v>
      </c>
      <c r="G982" s="7" t="s">
        <v>35</v>
      </c>
      <c r="H982" s="7"/>
      <c r="I982" s="7"/>
      <c r="J982" s="7" t="s">
        <v>36</v>
      </c>
      <c r="K982" s="7" t="s">
        <v>199</v>
      </c>
      <c r="L982" s="7" t="s">
        <v>200</v>
      </c>
      <c r="M982" s="7" t="s">
        <v>201</v>
      </c>
      <c r="N982" s="7" t="s">
        <v>99</v>
      </c>
      <c r="O982" s="7">
        <v>0</v>
      </c>
      <c r="P982" s="7"/>
      <c r="Q982" s="7"/>
      <c r="R982" s="7"/>
      <c r="S982" s="7"/>
      <c r="T982" s="7"/>
      <c r="U982" s="7"/>
      <c r="V982" s="7"/>
      <c r="W982" s="7"/>
      <c r="X982" s="7"/>
      <c r="Y982" s="7" t="s">
        <v>5221</v>
      </c>
      <c r="Z982" s="7" t="s">
        <v>227</v>
      </c>
      <c r="AA982" s="7">
        <v>11930</v>
      </c>
      <c r="AB982" s="7" t="s">
        <v>43</v>
      </c>
      <c r="AC982" s="7"/>
      <c r="AD982" s="7"/>
      <c r="AE982" s="7"/>
      <c r="AF982" s="7"/>
      <c r="AG982" s="8">
        <f t="shared" si="15"/>
        <v>43334</v>
      </c>
    </row>
    <row r="983" spans="1:33">
      <c r="A983" s="7" t="s">
        <v>5230</v>
      </c>
      <c r="B983" s="7" t="s">
        <v>5230</v>
      </c>
      <c r="C983" s="7" t="s">
        <v>5231</v>
      </c>
      <c r="D983" s="7" t="s">
        <v>5232</v>
      </c>
      <c r="E983" s="7" t="s">
        <v>33</v>
      </c>
      <c r="F983" s="7" t="s">
        <v>34</v>
      </c>
      <c r="G983" s="7" t="s">
        <v>35</v>
      </c>
      <c r="H983" s="7"/>
      <c r="I983" s="7"/>
      <c r="J983" s="7" t="s">
        <v>36</v>
      </c>
      <c r="K983" s="7" t="s">
        <v>255</v>
      </c>
      <c r="L983" s="7" t="s">
        <v>256</v>
      </c>
      <c r="M983" s="7" t="s">
        <v>257</v>
      </c>
      <c r="N983" s="7" t="s">
        <v>33</v>
      </c>
      <c r="O983" s="7">
        <v>1</v>
      </c>
      <c r="P983" s="7" t="s">
        <v>40</v>
      </c>
      <c r="Q983" s="7">
        <v>19.99</v>
      </c>
      <c r="R983" s="7"/>
      <c r="S983" s="7"/>
      <c r="T983" s="7"/>
      <c r="U983" s="7"/>
      <c r="V983" s="7"/>
      <c r="W983" s="7"/>
      <c r="X983" s="7"/>
      <c r="Y983" s="7" t="s">
        <v>372</v>
      </c>
      <c r="Z983" s="7" t="s">
        <v>59</v>
      </c>
      <c r="AA983" s="7" t="s">
        <v>2759</v>
      </c>
      <c r="AB983" s="7" t="s">
        <v>43</v>
      </c>
      <c r="AC983" s="7"/>
      <c r="AD983" s="7"/>
      <c r="AE983" s="7"/>
      <c r="AF983" s="7"/>
      <c r="AG983" s="8">
        <f t="shared" si="15"/>
        <v>43334</v>
      </c>
    </row>
    <row r="984" spans="1:33">
      <c r="A984" s="7" t="s">
        <v>5233</v>
      </c>
      <c r="B984" s="7" t="s">
        <v>5233</v>
      </c>
      <c r="C984" s="7" t="s">
        <v>5234</v>
      </c>
      <c r="D984" s="7" t="s">
        <v>5235</v>
      </c>
      <c r="E984" s="7" t="s">
        <v>33</v>
      </c>
      <c r="F984" s="7" t="s">
        <v>34</v>
      </c>
      <c r="G984" s="7" t="s">
        <v>35</v>
      </c>
      <c r="H984" s="7"/>
      <c r="I984" s="7"/>
      <c r="J984" s="7" t="s">
        <v>36</v>
      </c>
      <c r="K984" s="7" t="s">
        <v>90</v>
      </c>
      <c r="L984" s="7" t="s">
        <v>91</v>
      </c>
      <c r="M984" s="7" t="s">
        <v>92</v>
      </c>
      <c r="N984" s="7" t="s">
        <v>33</v>
      </c>
      <c r="O984" s="7">
        <v>1</v>
      </c>
      <c r="P984" s="7" t="s">
        <v>40</v>
      </c>
      <c r="Q984" s="7">
        <v>12.99</v>
      </c>
      <c r="R984" s="7"/>
      <c r="S984" s="7"/>
      <c r="T984" s="7"/>
      <c r="U984" s="7"/>
      <c r="V984" s="7"/>
      <c r="W984" s="7"/>
      <c r="X984" s="7"/>
      <c r="Y984" s="7" t="s">
        <v>5236</v>
      </c>
      <c r="Z984" s="7" t="s">
        <v>5237</v>
      </c>
      <c r="AA984" s="7" t="s">
        <v>5238</v>
      </c>
      <c r="AB984" s="7" t="s">
        <v>43</v>
      </c>
      <c r="AC984" s="7"/>
      <c r="AD984" s="7"/>
      <c r="AE984" s="7"/>
      <c r="AF984" s="7"/>
      <c r="AG984" s="8">
        <f t="shared" si="15"/>
        <v>43334</v>
      </c>
    </row>
    <row r="985" spans="1:33">
      <c r="A985" s="7" t="s">
        <v>5239</v>
      </c>
      <c r="B985" s="7" t="s">
        <v>5239</v>
      </c>
      <c r="C985" s="7" t="s">
        <v>5240</v>
      </c>
      <c r="D985" s="7" t="s">
        <v>5241</v>
      </c>
      <c r="E985" s="7" t="s">
        <v>33</v>
      </c>
      <c r="F985" s="7" t="s">
        <v>34</v>
      </c>
      <c r="G985" s="7" t="s">
        <v>35</v>
      </c>
      <c r="H985" s="7"/>
      <c r="I985" s="7"/>
      <c r="J985" s="7" t="s">
        <v>36</v>
      </c>
      <c r="K985" s="7" t="s">
        <v>456</v>
      </c>
      <c r="L985" s="7" t="s">
        <v>1248</v>
      </c>
      <c r="M985" s="7" t="s">
        <v>1249</v>
      </c>
      <c r="N985" s="7" t="s">
        <v>33</v>
      </c>
      <c r="O985" s="7">
        <v>1</v>
      </c>
      <c r="P985" s="7" t="s">
        <v>40</v>
      </c>
      <c r="Q985" s="7">
        <v>12.99</v>
      </c>
      <c r="R985" s="7"/>
      <c r="S985" s="7"/>
      <c r="T985" s="7"/>
      <c r="U985" s="7"/>
      <c r="V985" s="7"/>
      <c r="W985" s="7"/>
      <c r="X985" s="7"/>
      <c r="Y985" s="7" t="s">
        <v>5242</v>
      </c>
      <c r="Z985" s="7" t="s">
        <v>59</v>
      </c>
      <c r="AA985" s="7" t="s">
        <v>5243</v>
      </c>
      <c r="AB985" s="7" t="s">
        <v>43</v>
      </c>
      <c r="AC985" s="7"/>
      <c r="AD985" s="7"/>
      <c r="AE985" s="7"/>
      <c r="AF985" s="7"/>
      <c r="AG985" s="8">
        <f t="shared" si="15"/>
        <v>43334</v>
      </c>
    </row>
    <row r="986" spans="1:33">
      <c r="A986" s="7" t="s">
        <v>5244</v>
      </c>
      <c r="B986" s="7" t="s">
        <v>5244</v>
      </c>
      <c r="C986" s="7" t="s">
        <v>5245</v>
      </c>
      <c r="D986" s="7" t="s">
        <v>5246</v>
      </c>
      <c r="E986" s="7" t="s">
        <v>99</v>
      </c>
      <c r="F986" s="7" t="s">
        <v>34</v>
      </c>
      <c r="G986" s="7" t="s">
        <v>35</v>
      </c>
      <c r="H986" s="7"/>
      <c r="I986" s="7"/>
      <c r="J986" s="7" t="s">
        <v>36</v>
      </c>
      <c r="K986" s="7" t="s">
        <v>456</v>
      </c>
      <c r="L986" s="7" t="s">
        <v>1248</v>
      </c>
      <c r="M986" s="7" t="s">
        <v>1249</v>
      </c>
      <c r="N986" s="7" t="s">
        <v>459</v>
      </c>
      <c r="O986" s="7">
        <v>1</v>
      </c>
      <c r="P986" s="7" t="s">
        <v>40</v>
      </c>
      <c r="Q986" s="7">
        <v>12.99</v>
      </c>
      <c r="R986" s="7"/>
      <c r="S986" s="7"/>
      <c r="T986" s="7"/>
      <c r="U986" s="7"/>
      <c r="V986" s="7"/>
      <c r="W986" s="7"/>
      <c r="X986" s="7"/>
      <c r="Y986" s="7" t="s">
        <v>584</v>
      </c>
      <c r="Z986" s="7" t="s">
        <v>227</v>
      </c>
      <c r="AA986" s="7" t="s">
        <v>5247</v>
      </c>
      <c r="AB986" s="7" t="s">
        <v>43</v>
      </c>
      <c r="AC986" s="7"/>
      <c r="AD986" s="7"/>
      <c r="AE986" s="7"/>
      <c r="AF986" s="7"/>
      <c r="AG986" s="8">
        <f t="shared" si="15"/>
        <v>43334</v>
      </c>
    </row>
    <row r="987" spans="1:33">
      <c r="A987" s="7" t="s">
        <v>5248</v>
      </c>
      <c r="B987" s="7" t="s">
        <v>5248</v>
      </c>
      <c r="C987" s="7" t="s">
        <v>5249</v>
      </c>
      <c r="D987" s="7" t="s">
        <v>5250</v>
      </c>
      <c r="E987" s="7" t="s">
        <v>33</v>
      </c>
      <c r="F987" s="7" t="s">
        <v>34</v>
      </c>
      <c r="G987" s="7" t="s">
        <v>35</v>
      </c>
      <c r="H987" s="7"/>
      <c r="I987" s="7"/>
      <c r="J987" s="7" t="s">
        <v>36</v>
      </c>
      <c r="K987" s="7" t="s">
        <v>617</v>
      </c>
      <c r="L987" s="7" t="s">
        <v>618</v>
      </c>
      <c r="M987" s="7" t="s">
        <v>619</v>
      </c>
      <c r="N987" s="7" t="s">
        <v>33</v>
      </c>
      <c r="O987" s="7">
        <v>1</v>
      </c>
      <c r="P987" s="7" t="s">
        <v>40</v>
      </c>
      <c r="Q987" s="7">
        <v>18.99</v>
      </c>
      <c r="R987" s="7"/>
      <c r="S987" s="7"/>
      <c r="T987" s="7"/>
      <c r="U987" s="7"/>
      <c r="V987" s="7"/>
      <c r="W987" s="7"/>
      <c r="X987" s="7"/>
      <c r="Y987" s="7" t="s">
        <v>2087</v>
      </c>
      <c r="Z987" s="7" t="s">
        <v>848</v>
      </c>
      <c r="AA987" s="7" t="s">
        <v>5251</v>
      </c>
      <c r="AB987" s="7" t="s">
        <v>43</v>
      </c>
      <c r="AC987" s="7"/>
      <c r="AD987" s="7"/>
      <c r="AE987" s="7"/>
      <c r="AF987" s="7"/>
      <c r="AG987" s="8">
        <f t="shared" si="15"/>
        <v>43334</v>
      </c>
    </row>
    <row r="988" spans="1:33">
      <c r="A988" s="7" t="s">
        <v>5252</v>
      </c>
      <c r="B988" s="7" t="s">
        <v>5252</v>
      </c>
      <c r="C988" s="7" t="s">
        <v>5253</v>
      </c>
      <c r="D988" s="7" t="s">
        <v>5254</v>
      </c>
      <c r="E988" s="7" t="s">
        <v>33</v>
      </c>
      <c r="F988" s="7" t="s">
        <v>34</v>
      </c>
      <c r="G988" s="7" t="s">
        <v>35</v>
      </c>
      <c r="H988" s="7"/>
      <c r="I988" s="7"/>
      <c r="J988" s="7" t="s">
        <v>36</v>
      </c>
      <c r="K988" s="7" t="s">
        <v>456</v>
      </c>
      <c r="L988" s="7" t="s">
        <v>959</v>
      </c>
      <c r="M988" s="7" t="s">
        <v>960</v>
      </c>
      <c r="N988" s="7" t="s">
        <v>33</v>
      </c>
      <c r="O988" s="7">
        <v>1</v>
      </c>
      <c r="P988" s="7" t="s">
        <v>40</v>
      </c>
      <c r="Q988" s="7">
        <v>12.99</v>
      </c>
      <c r="R988" s="7">
        <v>0.78</v>
      </c>
      <c r="S988" s="7"/>
      <c r="T988" s="7"/>
      <c r="U988" s="7"/>
      <c r="V988" s="7"/>
      <c r="W988" s="7"/>
      <c r="X988" s="7"/>
      <c r="Y988" s="7" t="s">
        <v>5255</v>
      </c>
      <c r="Z988" s="7" t="s">
        <v>42</v>
      </c>
      <c r="AA988" s="7">
        <v>19150</v>
      </c>
      <c r="AB988" s="7" t="s">
        <v>43</v>
      </c>
      <c r="AC988" s="7"/>
      <c r="AD988" s="7"/>
      <c r="AE988" s="7"/>
      <c r="AF988" s="7"/>
      <c r="AG988" s="8">
        <f t="shared" si="15"/>
        <v>43334</v>
      </c>
    </row>
    <row r="989" spans="1:33">
      <c r="A989" s="7" t="s">
        <v>5256</v>
      </c>
      <c r="B989" s="7" t="s">
        <v>5256</v>
      </c>
      <c r="C989" s="7" t="s">
        <v>5257</v>
      </c>
      <c r="D989" s="7" t="s">
        <v>5258</v>
      </c>
      <c r="E989" s="7" t="s">
        <v>33</v>
      </c>
      <c r="F989" s="7" t="s">
        <v>34</v>
      </c>
      <c r="G989" s="7" t="s">
        <v>35</v>
      </c>
      <c r="H989" s="7"/>
      <c r="I989" s="7"/>
      <c r="J989" s="7" t="s">
        <v>64</v>
      </c>
      <c r="K989" s="7" t="s">
        <v>255</v>
      </c>
      <c r="L989" s="7" t="s">
        <v>300</v>
      </c>
      <c r="M989" s="7" t="s">
        <v>301</v>
      </c>
      <c r="N989" s="7" t="s">
        <v>33</v>
      </c>
      <c r="O989" s="7">
        <v>1</v>
      </c>
      <c r="P989" s="7" t="s">
        <v>40</v>
      </c>
      <c r="Q989" s="7">
        <v>19.99</v>
      </c>
      <c r="R989" s="7"/>
      <c r="S989" s="7">
        <v>3.99</v>
      </c>
      <c r="T989" s="7"/>
      <c r="U989" s="7"/>
      <c r="V989" s="7"/>
      <c r="W989" s="7"/>
      <c r="X989" s="7"/>
      <c r="Y989" s="7" t="s">
        <v>5259</v>
      </c>
      <c r="Z989" s="7" t="s">
        <v>59</v>
      </c>
      <c r="AA989" s="7" t="s">
        <v>5260</v>
      </c>
      <c r="AB989" s="7" t="s">
        <v>43</v>
      </c>
      <c r="AC989" s="7"/>
      <c r="AD989" s="7"/>
      <c r="AE989" s="7"/>
      <c r="AF989" s="7"/>
      <c r="AG989" s="8">
        <f t="shared" si="15"/>
        <v>43334</v>
      </c>
    </row>
    <row r="990" spans="1:33">
      <c r="A990" s="7" t="s">
        <v>5261</v>
      </c>
      <c r="B990" s="7" t="s">
        <v>5261</v>
      </c>
      <c r="C990" s="7" t="s">
        <v>5262</v>
      </c>
      <c r="D990" s="7" t="s">
        <v>5263</v>
      </c>
      <c r="E990" s="7" t="s">
        <v>33</v>
      </c>
      <c r="F990" s="7" t="s">
        <v>34</v>
      </c>
      <c r="G990" s="7" t="s">
        <v>35</v>
      </c>
      <c r="H990" s="7"/>
      <c r="I990" s="7"/>
      <c r="J990" s="7" t="s">
        <v>36</v>
      </c>
      <c r="K990" s="7" t="s">
        <v>456</v>
      </c>
      <c r="L990" s="7" t="s">
        <v>1248</v>
      </c>
      <c r="M990" s="7" t="s">
        <v>1249</v>
      </c>
      <c r="N990" s="7" t="s">
        <v>33</v>
      </c>
      <c r="O990" s="7">
        <v>1</v>
      </c>
      <c r="P990" s="7" t="s">
        <v>40</v>
      </c>
      <c r="Q990" s="7">
        <v>12.99</v>
      </c>
      <c r="R990" s="7">
        <v>1.31</v>
      </c>
      <c r="S990" s="7"/>
      <c r="T990" s="7"/>
      <c r="U990" s="7"/>
      <c r="V990" s="7"/>
      <c r="W990" s="7"/>
      <c r="X990" s="7"/>
      <c r="Y990" s="7" t="s">
        <v>5264</v>
      </c>
      <c r="Z990" s="7" t="s">
        <v>882</v>
      </c>
      <c r="AA990" s="7" t="s">
        <v>5265</v>
      </c>
      <c r="AB990" s="7" t="s">
        <v>43</v>
      </c>
      <c r="AC990" s="7"/>
      <c r="AD990" s="7"/>
      <c r="AE990" s="7"/>
      <c r="AF990" s="7"/>
      <c r="AG990" s="8">
        <f t="shared" si="15"/>
        <v>43334</v>
      </c>
    </row>
    <row r="991" spans="1:33">
      <c r="A991" s="7" t="s">
        <v>5266</v>
      </c>
      <c r="B991" s="7" t="s">
        <v>5266</v>
      </c>
      <c r="C991" s="7" t="s">
        <v>5267</v>
      </c>
      <c r="D991" s="7" t="s">
        <v>5268</v>
      </c>
      <c r="E991" s="7" t="s">
        <v>33</v>
      </c>
      <c r="F991" s="7" t="s">
        <v>34</v>
      </c>
      <c r="G991" s="7" t="s">
        <v>35</v>
      </c>
      <c r="H991" s="7"/>
      <c r="I991" s="7"/>
      <c r="J991" s="7" t="s">
        <v>36</v>
      </c>
      <c r="K991" s="7" t="s">
        <v>90</v>
      </c>
      <c r="L991" s="7" t="s">
        <v>284</v>
      </c>
      <c r="M991" s="7" t="s">
        <v>285</v>
      </c>
      <c r="N991" s="7" t="s">
        <v>33</v>
      </c>
      <c r="O991" s="7">
        <v>1</v>
      </c>
      <c r="P991" s="7" t="s">
        <v>40</v>
      </c>
      <c r="Q991" s="7">
        <v>12.99</v>
      </c>
      <c r="R991" s="7"/>
      <c r="S991" s="7"/>
      <c r="T991" s="7"/>
      <c r="U991" s="7"/>
      <c r="V991" s="7"/>
      <c r="W991" s="7"/>
      <c r="X991" s="7"/>
      <c r="Y991" s="7" t="s">
        <v>5269</v>
      </c>
      <c r="Z991" s="7" t="s">
        <v>59</v>
      </c>
      <c r="AA991" s="7" t="s">
        <v>5270</v>
      </c>
      <c r="AB991" s="7" t="s">
        <v>43</v>
      </c>
      <c r="AC991" s="7"/>
      <c r="AD991" s="7"/>
      <c r="AE991" s="7"/>
      <c r="AF991" s="7"/>
      <c r="AG991" s="8">
        <f t="shared" si="15"/>
        <v>43334</v>
      </c>
    </row>
    <row r="992" spans="1:33">
      <c r="A992" s="7" t="s">
        <v>5266</v>
      </c>
      <c r="B992" s="7" t="s">
        <v>5266</v>
      </c>
      <c r="C992" s="7" t="s">
        <v>5267</v>
      </c>
      <c r="D992" s="7" t="s">
        <v>5268</v>
      </c>
      <c r="E992" s="7" t="s">
        <v>33</v>
      </c>
      <c r="F992" s="7" t="s">
        <v>34</v>
      </c>
      <c r="G992" s="7" t="s">
        <v>35</v>
      </c>
      <c r="H992" s="7"/>
      <c r="I992" s="7"/>
      <c r="J992" s="7" t="s">
        <v>36</v>
      </c>
      <c r="K992" s="7" t="s">
        <v>90</v>
      </c>
      <c r="L992" s="7" t="s">
        <v>91</v>
      </c>
      <c r="M992" s="7" t="s">
        <v>92</v>
      </c>
      <c r="N992" s="7" t="s">
        <v>33</v>
      </c>
      <c r="O992" s="7">
        <v>1</v>
      </c>
      <c r="P992" s="7" t="s">
        <v>40</v>
      </c>
      <c r="Q992" s="7">
        <v>12.99</v>
      </c>
      <c r="R992" s="7"/>
      <c r="S992" s="7"/>
      <c r="T992" s="7"/>
      <c r="U992" s="7"/>
      <c r="V992" s="7"/>
      <c r="W992" s="7"/>
      <c r="X992" s="7"/>
      <c r="Y992" s="7" t="s">
        <v>5269</v>
      </c>
      <c r="Z992" s="7" t="s">
        <v>59</v>
      </c>
      <c r="AA992" s="7" t="s">
        <v>5270</v>
      </c>
      <c r="AB992" s="7" t="s">
        <v>43</v>
      </c>
      <c r="AC992" s="7"/>
      <c r="AD992" s="7"/>
      <c r="AE992" s="7"/>
      <c r="AF992" s="7"/>
      <c r="AG992" s="8">
        <f t="shared" si="15"/>
        <v>43334</v>
      </c>
    </row>
    <row r="993" spans="1:33">
      <c r="A993" s="7" t="s">
        <v>5271</v>
      </c>
      <c r="B993" s="7" t="s">
        <v>5271</v>
      </c>
      <c r="C993" s="7" t="s">
        <v>5272</v>
      </c>
      <c r="D993" s="7" t="s">
        <v>5273</v>
      </c>
      <c r="E993" s="7" t="s">
        <v>33</v>
      </c>
      <c r="F993" s="7" t="s">
        <v>34</v>
      </c>
      <c r="G993" s="7" t="s">
        <v>35</v>
      </c>
      <c r="H993" s="7"/>
      <c r="I993" s="7"/>
      <c r="J993" s="7" t="s">
        <v>64</v>
      </c>
      <c r="K993" s="7" t="s">
        <v>1029</v>
      </c>
      <c r="L993" s="7" t="s">
        <v>1367</v>
      </c>
      <c r="M993" s="7" t="s">
        <v>1368</v>
      </c>
      <c r="N993" s="7" t="s">
        <v>33</v>
      </c>
      <c r="O993" s="7">
        <v>1</v>
      </c>
      <c r="P993" s="7" t="s">
        <v>40</v>
      </c>
      <c r="Q993" s="7">
        <v>18.99</v>
      </c>
      <c r="R993" s="7"/>
      <c r="S993" s="7">
        <v>3.99</v>
      </c>
      <c r="T993" s="7"/>
      <c r="U993" s="7"/>
      <c r="V993" s="7"/>
      <c r="W993" s="7"/>
      <c r="X993" s="7"/>
      <c r="Y993" s="7" t="s">
        <v>372</v>
      </c>
      <c r="Z993" s="7" t="s">
        <v>59</v>
      </c>
      <c r="AA993" s="7" t="s">
        <v>5274</v>
      </c>
      <c r="AB993" s="7" t="s">
        <v>43</v>
      </c>
      <c r="AC993" s="7"/>
      <c r="AD993" s="7"/>
      <c r="AE993" s="7"/>
      <c r="AF993" s="7"/>
      <c r="AG993" s="8">
        <f t="shared" si="15"/>
        <v>43334</v>
      </c>
    </row>
    <row r="994" spans="1:33">
      <c r="A994" s="7" t="s">
        <v>5275</v>
      </c>
      <c r="B994" s="7" t="s">
        <v>5275</v>
      </c>
      <c r="C994" s="7" t="s">
        <v>5276</v>
      </c>
      <c r="D994" s="7" t="s">
        <v>5277</v>
      </c>
      <c r="E994" s="7" t="s">
        <v>33</v>
      </c>
      <c r="F994" s="7" t="s">
        <v>34</v>
      </c>
      <c r="G994" s="7" t="s">
        <v>35</v>
      </c>
      <c r="H994" s="7"/>
      <c r="I994" s="7"/>
      <c r="J994" s="7" t="s">
        <v>36</v>
      </c>
      <c r="K994" s="7" t="s">
        <v>388</v>
      </c>
      <c r="L994" s="7" t="s">
        <v>389</v>
      </c>
      <c r="M994" s="7" t="s">
        <v>390</v>
      </c>
      <c r="N994" s="7" t="s">
        <v>33</v>
      </c>
      <c r="O994" s="7">
        <v>1</v>
      </c>
      <c r="P994" s="7" t="s">
        <v>40</v>
      </c>
      <c r="Q994" s="7">
        <v>19.38</v>
      </c>
      <c r="R994" s="7"/>
      <c r="S994" s="7"/>
      <c r="T994" s="7"/>
      <c r="U994" s="7"/>
      <c r="V994" s="7"/>
      <c r="W994" s="7"/>
      <c r="X994" s="7"/>
      <c r="Y994" s="7" t="s">
        <v>5278</v>
      </c>
      <c r="Z994" s="7" t="s">
        <v>94</v>
      </c>
      <c r="AA994" s="7" t="s">
        <v>5279</v>
      </c>
      <c r="AB994" s="7" t="s">
        <v>43</v>
      </c>
      <c r="AC994" s="7"/>
      <c r="AD994" s="7"/>
      <c r="AE994" s="7"/>
      <c r="AF994" s="7"/>
      <c r="AG994" s="8">
        <f t="shared" si="15"/>
        <v>43334</v>
      </c>
    </row>
    <row r="995" spans="1:33">
      <c r="A995" s="7" t="s">
        <v>5280</v>
      </c>
      <c r="B995" s="7" t="s">
        <v>5280</v>
      </c>
      <c r="C995" s="7" t="s">
        <v>5281</v>
      </c>
      <c r="D995" s="7" t="s">
        <v>5282</v>
      </c>
      <c r="E995" s="7" t="s">
        <v>33</v>
      </c>
      <c r="F995" s="7" t="s">
        <v>34</v>
      </c>
      <c r="G995" s="7" t="s">
        <v>35</v>
      </c>
      <c r="H995" s="7"/>
      <c r="I995" s="7"/>
      <c r="J995" s="7" t="s">
        <v>36</v>
      </c>
      <c r="K995" s="7" t="s">
        <v>90</v>
      </c>
      <c r="L995" s="7" t="s">
        <v>284</v>
      </c>
      <c r="M995" s="7" t="s">
        <v>285</v>
      </c>
      <c r="N995" s="7" t="s">
        <v>33</v>
      </c>
      <c r="O995" s="7">
        <v>1</v>
      </c>
      <c r="P995" s="7" t="s">
        <v>40</v>
      </c>
      <c r="Q995" s="7">
        <v>12.99</v>
      </c>
      <c r="R995" s="7"/>
      <c r="S995" s="7"/>
      <c r="T995" s="7"/>
      <c r="U995" s="7"/>
      <c r="V995" s="7"/>
      <c r="W995" s="7"/>
      <c r="X995" s="7"/>
      <c r="Y995" s="7" t="s">
        <v>895</v>
      </c>
      <c r="Z995" s="7" t="s">
        <v>85</v>
      </c>
      <c r="AA995" s="7">
        <v>78702</v>
      </c>
      <c r="AB995" s="7" t="s">
        <v>43</v>
      </c>
      <c r="AC995" s="7"/>
      <c r="AD995" s="7"/>
      <c r="AE995" s="7"/>
      <c r="AF995" s="7"/>
      <c r="AG995" s="8">
        <f t="shared" si="15"/>
        <v>43334</v>
      </c>
    </row>
    <row r="996" spans="1:33">
      <c r="A996" s="7" t="s">
        <v>5283</v>
      </c>
      <c r="B996" s="7" t="s">
        <v>5283</v>
      </c>
      <c r="C996" s="7" t="s">
        <v>5284</v>
      </c>
      <c r="D996" s="7" t="s">
        <v>5285</v>
      </c>
      <c r="E996" s="7" t="s">
        <v>33</v>
      </c>
      <c r="F996" s="7" t="s">
        <v>34</v>
      </c>
      <c r="G996" s="7" t="s">
        <v>35</v>
      </c>
      <c r="H996" s="7"/>
      <c r="I996" s="7"/>
      <c r="J996" s="7" t="s">
        <v>36</v>
      </c>
      <c r="K996" s="7" t="s">
        <v>5286</v>
      </c>
      <c r="L996" s="7" t="s">
        <v>5287</v>
      </c>
      <c r="M996" s="7" t="s">
        <v>5288</v>
      </c>
      <c r="N996" s="7" t="s">
        <v>33</v>
      </c>
      <c r="O996" s="7">
        <v>1</v>
      </c>
      <c r="P996" s="7" t="s">
        <v>40</v>
      </c>
      <c r="Q996" s="7">
        <v>17.99</v>
      </c>
      <c r="R996" s="7"/>
      <c r="S996" s="7"/>
      <c r="T996" s="7"/>
      <c r="U996" s="7"/>
      <c r="V996" s="7"/>
      <c r="W996" s="7"/>
      <c r="X996" s="7"/>
      <c r="Y996" s="7" t="s">
        <v>5289</v>
      </c>
      <c r="Z996" s="7" t="s">
        <v>227</v>
      </c>
      <c r="AA996" s="7" t="s">
        <v>5290</v>
      </c>
      <c r="AB996" s="7" t="s">
        <v>43</v>
      </c>
      <c r="AC996" s="7"/>
      <c r="AD996" s="7"/>
      <c r="AE996" s="7"/>
      <c r="AF996" s="7"/>
      <c r="AG996" s="8">
        <f t="shared" si="15"/>
        <v>43334</v>
      </c>
    </row>
    <row r="997" spans="1:33">
      <c r="A997" s="7" t="s">
        <v>5291</v>
      </c>
      <c r="B997" s="7" t="s">
        <v>5291</v>
      </c>
      <c r="C997" s="7" t="s">
        <v>5292</v>
      </c>
      <c r="D997" s="7" t="s">
        <v>5293</v>
      </c>
      <c r="E997" s="7" t="s">
        <v>33</v>
      </c>
      <c r="F997" s="7" t="s">
        <v>34</v>
      </c>
      <c r="G997" s="7" t="s">
        <v>35</v>
      </c>
      <c r="H997" s="7"/>
      <c r="I997" s="7"/>
      <c r="J997" s="7" t="s">
        <v>36</v>
      </c>
      <c r="K997" s="7" t="s">
        <v>90</v>
      </c>
      <c r="L997" s="7" t="s">
        <v>91</v>
      </c>
      <c r="M997" s="7" t="s">
        <v>92</v>
      </c>
      <c r="N997" s="7" t="s">
        <v>33</v>
      </c>
      <c r="O997" s="7">
        <v>1</v>
      </c>
      <c r="P997" s="7" t="s">
        <v>40</v>
      </c>
      <c r="Q997" s="7">
        <v>12.99</v>
      </c>
      <c r="R997" s="7">
        <v>1.3</v>
      </c>
      <c r="S997" s="7"/>
      <c r="T997" s="7"/>
      <c r="U997" s="7"/>
      <c r="V997" s="7"/>
      <c r="W997" s="7"/>
      <c r="X997" s="7"/>
      <c r="Y997" s="7" t="s">
        <v>5294</v>
      </c>
      <c r="Z997" s="7" t="s">
        <v>882</v>
      </c>
      <c r="AA997" s="7" t="s">
        <v>5295</v>
      </c>
      <c r="AB997" s="7" t="s">
        <v>43</v>
      </c>
      <c r="AC997" s="7"/>
      <c r="AD997" s="7"/>
      <c r="AE997" s="7"/>
      <c r="AF997" s="7"/>
      <c r="AG997" s="8">
        <f t="shared" si="15"/>
        <v>43335</v>
      </c>
    </row>
    <row r="998" spans="1:33">
      <c r="A998" s="7" t="s">
        <v>5296</v>
      </c>
      <c r="B998" s="7" t="s">
        <v>5296</v>
      </c>
      <c r="C998" s="7" t="s">
        <v>5297</v>
      </c>
      <c r="D998" s="7" t="s">
        <v>5298</v>
      </c>
      <c r="E998" s="7" t="s">
        <v>33</v>
      </c>
      <c r="F998" s="7" t="s">
        <v>34</v>
      </c>
      <c r="G998" s="7" t="s">
        <v>35</v>
      </c>
      <c r="H998" s="7"/>
      <c r="I998" s="7"/>
      <c r="J998" s="7" t="s">
        <v>36</v>
      </c>
      <c r="K998" s="7" t="s">
        <v>90</v>
      </c>
      <c r="L998" s="7" t="s">
        <v>284</v>
      </c>
      <c r="M998" s="7" t="s">
        <v>285</v>
      </c>
      <c r="N998" s="7" t="s">
        <v>33</v>
      </c>
      <c r="O998" s="7">
        <v>1</v>
      </c>
      <c r="P998" s="7" t="s">
        <v>40</v>
      </c>
      <c r="Q998" s="7">
        <v>12.99</v>
      </c>
      <c r="R998" s="7"/>
      <c r="S998" s="7"/>
      <c r="T998" s="7"/>
      <c r="U998" s="7"/>
      <c r="V998" s="7"/>
      <c r="W998" s="7"/>
      <c r="X998" s="7"/>
      <c r="Y998" s="7" t="s">
        <v>5299</v>
      </c>
      <c r="Z998" s="7" t="s">
        <v>174</v>
      </c>
      <c r="AA998" s="7" t="s">
        <v>5300</v>
      </c>
      <c r="AB998" s="7" t="s">
        <v>43</v>
      </c>
      <c r="AC998" s="7"/>
      <c r="AD998" s="7"/>
      <c r="AE998" s="7"/>
      <c r="AF998" s="7"/>
      <c r="AG998" s="8">
        <f t="shared" si="15"/>
        <v>43335</v>
      </c>
    </row>
    <row r="999" spans="1:33">
      <c r="A999" s="7" t="s">
        <v>5301</v>
      </c>
      <c r="B999" s="7" t="s">
        <v>5301</v>
      </c>
      <c r="C999" s="7" t="s">
        <v>5302</v>
      </c>
      <c r="D999" s="7" t="s">
        <v>5303</v>
      </c>
      <c r="E999" s="7" t="s">
        <v>33</v>
      </c>
      <c r="F999" s="7" t="s">
        <v>34</v>
      </c>
      <c r="G999" s="7" t="s">
        <v>35</v>
      </c>
      <c r="H999" s="7"/>
      <c r="I999" s="7"/>
      <c r="J999" s="7" t="s">
        <v>36</v>
      </c>
      <c r="K999" s="7" t="s">
        <v>90</v>
      </c>
      <c r="L999" s="7" t="s">
        <v>140</v>
      </c>
      <c r="M999" s="7" t="s">
        <v>141</v>
      </c>
      <c r="N999" s="7" t="s">
        <v>33</v>
      </c>
      <c r="O999" s="7">
        <v>1</v>
      </c>
      <c r="P999" s="7" t="s">
        <v>40</v>
      </c>
      <c r="Q999" s="7">
        <v>12.99</v>
      </c>
      <c r="R999" s="7"/>
      <c r="S999" s="7"/>
      <c r="T999" s="7"/>
      <c r="U999" s="7"/>
      <c r="V999" s="7"/>
      <c r="W999" s="7"/>
      <c r="X999" s="7"/>
      <c r="Y999" s="7" t="s">
        <v>5304</v>
      </c>
      <c r="Z999" s="7" t="s">
        <v>447</v>
      </c>
      <c r="AA999" s="7">
        <v>37086</v>
      </c>
      <c r="AB999" s="7" t="s">
        <v>43</v>
      </c>
      <c r="AC999" s="7"/>
      <c r="AD999" s="7"/>
      <c r="AE999" s="7"/>
      <c r="AF999" s="7"/>
      <c r="AG999" s="8">
        <f t="shared" si="15"/>
        <v>43335</v>
      </c>
    </row>
    <row r="1000" spans="1:33">
      <c r="A1000" s="7" t="s">
        <v>5305</v>
      </c>
      <c r="B1000" s="7" t="s">
        <v>5305</v>
      </c>
      <c r="C1000" s="7" t="s">
        <v>5306</v>
      </c>
      <c r="D1000" s="7" t="s">
        <v>5307</v>
      </c>
      <c r="E1000" s="7" t="s">
        <v>33</v>
      </c>
      <c r="F1000" s="7" t="s">
        <v>34</v>
      </c>
      <c r="G1000" s="7" t="s">
        <v>35</v>
      </c>
      <c r="H1000" s="7"/>
      <c r="I1000" s="7"/>
      <c r="J1000" s="7" t="s">
        <v>36</v>
      </c>
      <c r="K1000" s="7" t="s">
        <v>456</v>
      </c>
      <c r="L1000" s="7" t="s">
        <v>959</v>
      </c>
      <c r="M1000" s="7" t="s">
        <v>960</v>
      </c>
      <c r="N1000" s="7" t="s">
        <v>33</v>
      </c>
      <c r="O1000" s="7">
        <v>1</v>
      </c>
      <c r="P1000" s="7" t="s">
        <v>40</v>
      </c>
      <c r="Q1000" s="7">
        <v>12.99</v>
      </c>
      <c r="R1000" s="7"/>
      <c r="S1000" s="7"/>
      <c r="T1000" s="7"/>
      <c r="U1000" s="7"/>
      <c r="V1000" s="7"/>
      <c r="W1000" s="7"/>
      <c r="X1000" s="7"/>
      <c r="Y1000" s="7" t="s">
        <v>5308</v>
      </c>
      <c r="Z1000" s="7" t="s">
        <v>5309</v>
      </c>
      <c r="AA1000" s="7">
        <v>5452</v>
      </c>
      <c r="AB1000" s="7" t="s">
        <v>43</v>
      </c>
      <c r="AC1000" s="7"/>
      <c r="AD1000" s="7"/>
      <c r="AE1000" s="7"/>
      <c r="AF1000" s="7"/>
      <c r="AG1000" s="8">
        <f t="shared" si="15"/>
        <v>43335</v>
      </c>
    </row>
    <row r="1001" spans="1:33">
      <c r="A1001" s="7" t="s">
        <v>5310</v>
      </c>
      <c r="B1001" s="7" t="s">
        <v>5310</v>
      </c>
      <c r="C1001" s="7" t="s">
        <v>5311</v>
      </c>
      <c r="D1001" s="7" t="s">
        <v>5312</v>
      </c>
      <c r="E1001" s="7" t="s">
        <v>99</v>
      </c>
      <c r="F1001" s="7" t="s">
        <v>34</v>
      </c>
      <c r="G1001" s="7" t="s">
        <v>35</v>
      </c>
      <c r="H1001" s="7"/>
      <c r="I1001" s="7"/>
      <c r="J1001" s="7" t="s">
        <v>36</v>
      </c>
      <c r="K1001" s="7" t="s">
        <v>456</v>
      </c>
      <c r="L1001" s="7" t="s">
        <v>959</v>
      </c>
      <c r="M1001" s="7" t="s">
        <v>960</v>
      </c>
      <c r="N1001" s="7" t="s">
        <v>99</v>
      </c>
      <c r="O1001" s="7">
        <v>0</v>
      </c>
      <c r="P1001" s="7"/>
      <c r="Q1001" s="7"/>
      <c r="R1001" s="7"/>
      <c r="S1001" s="7"/>
      <c r="T1001" s="7"/>
      <c r="U1001" s="7"/>
      <c r="V1001" s="7"/>
      <c r="W1001" s="7"/>
      <c r="X1001" s="7"/>
      <c r="Y1001" s="7" t="s">
        <v>5308</v>
      </c>
      <c r="Z1001" s="7" t="s">
        <v>5309</v>
      </c>
      <c r="AA1001" s="7">
        <v>5452</v>
      </c>
      <c r="AB1001" s="7" t="s">
        <v>43</v>
      </c>
      <c r="AC1001" s="7"/>
      <c r="AD1001" s="7"/>
      <c r="AE1001" s="7"/>
      <c r="AF1001" s="7"/>
      <c r="AG1001" s="8">
        <f t="shared" si="15"/>
        <v>43335</v>
      </c>
    </row>
    <row r="1002" spans="1:33">
      <c r="A1002" s="7" t="s">
        <v>5313</v>
      </c>
      <c r="B1002" s="7" t="s">
        <v>5313</v>
      </c>
      <c r="C1002" s="7" t="s">
        <v>5314</v>
      </c>
      <c r="D1002" s="7" t="s">
        <v>5315</v>
      </c>
      <c r="E1002" s="7" t="s">
        <v>33</v>
      </c>
      <c r="F1002" s="7" t="s">
        <v>34</v>
      </c>
      <c r="G1002" s="7" t="s">
        <v>35</v>
      </c>
      <c r="H1002" s="7"/>
      <c r="I1002" s="7"/>
      <c r="J1002" s="7" t="s">
        <v>36</v>
      </c>
      <c r="K1002" s="7" t="s">
        <v>37</v>
      </c>
      <c r="L1002" s="7" t="s">
        <v>1092</v>
      </c>
      <c r="M1002" s="7" t="s">
        <v>1093</v>
      </c>
      <c r="N1002" s="7" t="s">
        <v>33</v>
      </c>
      <c r="O1002" s="7">
        <v>1</v>
      </c>
      <c r="P1002" s="7" t="s">
        <v>40</v>
      </c>
      <c r="Q1002" s="7">
        <v>19.99</v>
      </c>
      <c r="R1002" s="7"/>
      <c r="S1002" s="7"/>
      <c r="T1002" s="7"/>
      <c r="U1002" s="7"/>
      <c r="V1002" s="7"/>
      <c r="W1002" s="7"/>
      <c r="X1002" s="7"/>
      <c r="Y1002" s="7" t="s">
        <v>5316</v>
      </c>
      <c r="Z1002" s="7" t="s">
        <v>69</v>
      </c>
      <c r="AA1002" s="7" t="s">
        <v>5317</v>
      </c>
      <c r="AB1002" s="7" t="s">
        <v>43</v>
      </c>
      <c r="AC1002" s="7"/>
      <c r="AD1002" s="7"/>
      <c r="AE1002" s="7"/>
      <c r="AF1002" s="7"/>
      <c r="AG1002" s="8">
        <f t="shared" si="15"/>
        <v>43335</v>
      </c>
    </row>
    <row r="1003" spans="1:33">
      <c r="A1003" s="7" t="s">
        <v>5318</v>
      </c>
      <c r="B1003" s="7" t="s">
        <v>5318</v>
      </c>
      <c r="C1003" s="7" t="s">
        <v>5319</v>
      </c>
      <c r="D1003" s="7" t="s">
        <v>5320</v>
      </c>
      <c r="E1003" s="7" t="s">
        <v>33</v>
      </c>
      <c r="F1003" s="7" t="s">
        <v>34</v>
      </c>
      <c r="G1003" s="7" t="s">
        <v>35</v>
      </c>
      <c r="H1003" s="7"/>
      <c r="I1003" s="7"/>
      <c r="J1003" s="7" t="s">
        <v>64</v>
      </c>
      <c r="K1003" s="7" t="s">
        <v>247</v>
      </c>
      <c r="L1003" s="7" t="s">
        <v>248</v>
      </c>
      <c r="M1003" s="7" t="s">
        <v>249</v>
      </c>
      <c r="N1003" s="7" t="s">
        <v>33</v>
      </c>
      <c r="O1003" s="7">
        <v>1</v>
      </c>
      <c r="P1003" s="7" t="s">
        <v>40</v>
      </c>
      <c r="Q1003" s="7">
        <v>18.99</v>
      </c>
      <c r="R1003" s="7"/>
      <c r="S1003" s="7">
        <v>3.99</v>
      </c>
      <c r="T1003" s="7"/>
      <c r="U1003" s="7"/>
      <c r="V1003" s="7"/>
      <c r="W1003" s="7"/>
      <c r="X1003" s="7"/>
      <c r="Y1003" s="7" t="s">
        <v>1155</v>
      </c>
      <c r="Z1003" s="7" t="s">
        <v>165</v>
      </c>
      <c r="AA1003" s="7">
        <v>60610</v>
      </c>
      <c r="AB1003" s="7" t="s">
        <v>43</v>
      </c>
      <c r="AC1003" s="7"/>
      <c r="AD1003" s="7"/>
      <c r="AE1003" s="7"/>
      <c r="AF1003" s="7"/>
      <c r="AG1003" s="8">
        <f t="shared" si="15"/>
        <v>43335</v>
      </c>
    </row>
    <row r="1004" spans="1:33">
      <c r="A1004" s="7" t="s">
        <v>5321</v>
      </c>
      <c r="B1004" s="7" t="s">
        <v>5321</v>
      </c>
      <c r="C1004" s="7" t="s">
        <v>5322</v>
      </c>
      <c r="D1004" s="7" t="s">
        <v>5323</v>
      </c>
      <c r="E1004" s="7" t="s">
        <v>33</v>
      </c>
      <c r="F1004" s="7" t="s">
        <v>34</v>
      </c>
      <c r="G1004" s="7" t="s">
        <v>35</v>
      </c>
      <c r="H1004" s="7"/>
      <c r="I1004" s="7"/>
      <c r="J1004" s="7" t="s">
        <v>336</v>
      </c>
      <c r="K1004" s="7" t="s">
        <v>456</v>
      </c>
      <c r="L1004" s="7" t="s">
        <v>457</v>
      </c>
      <c r="M1004" s="7" t="s">
        <v>458</v>
      </c>
      <c r="N1004" s="7" t="s">
        <v>33</v>
      </c>
      <c r="O1004" s="7">
        <v>1</v>
      </c>
      <c r="P1004" s="7" t="s">
        <v>40</v>
      </c>
      <c r="Q1004" s="7">
        <v>12.99</v>
      </c>
      <c r="R1004" s="7"/>
      <c r="S1004" s="7">
        <v>1.16</v>
      </c>
      <c r="T1004" s="7"/>
      <c r="U1004" s="7"/>
      <c r="V1004" s="7"/>
      <c r="W1004" s="7"/>
      <c r="X1004" s="7"/>
      <c r="Y1004" s="7" t="s">
        <v>801</v>
      </c>
      <c r="Z1004" s="7" t="s">
        <v>1194</v>
      </c>
      <c r="AA1004" s="7">
        <v>33126</v>
      </c>
      <c r="AB1004" s="7" t="s">
        <v>43</v>
      </c>
      <c r="AC1004" s="7"/>
      <c r="AD1004" s="7"/>
      <c r="AE1004" s="7"/>
      <c r="AF1004" s="7"/>
      <c r="AG1004" s="8">
        <f t="shared" si="15"/>
        <v>43335</v>
      </c>
    </row>
    <row r="1005" spans="1:33">
      <c r="A1005" s="7" t="s">
        <v>5324</v>
      </c>
      <c r="B1005" s="7" t="s">
        <v>5324</v>
      </c>
      <c r="C1005" s="7" t="s">
        <v>5325</v>
      </c>
      <c r="D1005" s="7" t="s">
        <v>5326</v>
      </c>
      <c r="E1005" s="7" t="s">
        <v>33</v>
      </c>
      <c r="F1005" s="7" t="s">
        <v>34</v>
      </c>
      <c r="G1005" s="7" t="s">
        <v>35</v>
      </c>
      <c r="H1005" s="7"/>
      <c r="I1005" s="7"/>
      <c r="J1005" s="7" t="s">
        <v>64</v>
      </c>
      <c r="K1005" s="7" t="s">
        <v>232</v>
      </c>
      <c r="L1005" s="7" t="s">
        <v>233</v>
      </c>
      <c r="M1005" s="7" t="s">
        <v>234</v>
      </c>
      <c r="N1005" s="7" t="s">
        <v>33</v>
      </c>
      <c r="O1005" s="7">
        <v>1</v>
      </c>
      <c r="P1005" s="7" t="s">
        <v>40</v>
      </c>
      <c r="Q1005" s="7">
        <v>21.99</v>
      </c>
      <c r="R1005" s="7"/>
      <c r="S1005" s="7">
        <v>3.99</v>
      </c>
      <c r="T1005" s="7"/>
      <c r="U1005" s="7"/>
      <c r="V1005" s="7"/>
      <c r="W1005" s="7"/>
      <c r="X1005" s="7"/>
      <c r="Y1005" s="7" t="s">
        <v>210</v>
      </c>
      <c r="Z1005" s="7" t="s">
        <v>135</v>
      </c>
      <c r="AA1005" s="7" t="s">
        <v>5327</v>
      </c>
      <c r="AB1005" s="7" t="s">
        <v>43</v>
      </c>
      <c r="AC1005" s="7"/>
      <c r="AD1005" s="7"/>
      <c r="AE1005" s="7"/>
      <c r="AF1005" s="7"/>
      <c r="AG1005" s="8">
        <f t="shared" si="15"/>
        <v>43335</v>
      </c>
    </row>
    <row r="1006" spans="1:33">
      <c r="A1006" s="7" t="s">
        <v>5328</v>
      </c>
      <c r="B1006" s="7" t="s">
        <v>5328</v>
      </c>
      <c r="C1006" s="7" t="s">
        <v>5329</v>
      </c>
      <c r="D1006" s="7" t="s">
        <v>5330</v>
      </c>
      <c r="E1006" s="7" t="s">
        <v>33</v>
      </c>
      <c r="F1006" s="7" t="s">
        <v>34</v>
      </c>
      <c r="G1006" s="7" t="s">
        <v>35</v>
      </c>
      <c r="H1006" s="7"/>
      <c r="I1006" s="7"/>
      <c r="J1006" s="7" t="s">
        <v>36</v>
      </c>
      <c r="K1006" s="7" t="s">
        <v>131</v>
      </c>
      <c r="L1006" s="7" t="s">
        <v>132</v>
      </c>
      <c r="M1006" s="7" t="s">
        <v>133</v>
      </c>
      <c r="N1006" s="7" t="s">
        <v>33</v>
      </c>
      <c r="O1006" s="7">
        <v>1</v>
      </c>
      <c r="P1006" s="7" t="s">
        <v>40</v>
      </c>
      <c r="Q1006" s="7">
        <v>18.99</v>
      </c>
      <c r="R1006" s="7"/>
      <c r="S1006" s="7"/>
      <c r="T1006" s="7"/>
      <c r="U1006" s="7"/>
      <c r="V1006" s="7"/>
      <c r="W1006" s="7"/>
      <c r="X1006" s="7"/>
      <c r="Y1006" s="7" t="s">
        <v>5331</v>
      </c>
      <c r="Z1006" s="7" t="s">
        <v>323</v>
      </c>
      <c r="AA1006" s="7" t="s">
        <v>5332</v>
      </c>
      <c r="AB1006" s="7" t="s">
        <v>43</v>
      </c>
      <c r="AC1006" s="7"/>
      <c r="AD1006" s="7"/>
      <c r="AE1006" s="7"/>
      <c r="AF1006" s="7"/>
      <c r="AG1006" s="8">
        <f t="shared" si="15"/>
        <v>43335</v>
      </c>
    </row>
    <row r="1007" spans="1:33">
      <c r="A1007" s="7" t="s">
        <v>5333</v>
      </c>
      <c r="B1007" s="7" t="s">
        <v>5333</v>
      </c>
      <c r="C1007" s="7" t="s">
        <v>5334</v>
      </c>
      <c r="D1007" s="7" t="s">
        <v>5335</v>
      </c>
      <c r="E1007" s="7" t="s">
        <v>33</v>
      </c>
      <c r="F1007" s="7" t="s">
        <v>34</v>
      </c>
      <c r="G1007" s="7" t="s">
        <v>35</v>
      </c>
      <c r="H1007" s="7"/>
      <c r="I1007" s="7"/>
      <c r="J1007" s="7" t="s">
        <v>36</v>
      </c>
      <c r="K1007" s="7" t="s">
        <v>456</v>
      </c>
      <c r="L1007" s="7" t="s">
        <v>959</v>
      </c>
      <c r="M1007" s="7" t="s">
        <v>960</v>
      </c>
      <c r="N1007" s="7" t="s">
        <v>33</v>
      </c>
      <c r="O1007" s="7">
        <v>1</v>
      </c>
      <c r="P1007" s="7" t="s">
        <v>40</v>
      </c>
      <c r="Q1007" s="7">
        <v>12.99</v>
      </c>
      <c r="R1007" s="7"/>
      <c r="S1007" s="7"/>
      <c r="T1007" s="7"/>
      <c r="U1007" s="7"/>
      <c r="V1007" s="7"/>
      <c r="W1007" s="7"/>
      <c r="X1007" s="7"/>
      <c r="Y1007" s="7" t="s">
        <v>5225</v>
      </c>
      <c r="Z1007" s="7" t="s">
        <v>135</v>
      </c>
      <c r="AA1007" s="7" t="s">
        <v>5336</v>
      </c>
      <c r="AB1007" s="7" t="s">
        <v>43</v>
      </c>
      <c r="AC1007" s="7"/>
      <c r="AD1007" s="7"/>
      <c r="AE1007" s="7"/>
      <c r="AF1007" s="7"/>
      <c r="AG1007" s="8">
        <f t="shared" si="15"/>
        <v>43335</v>
      </c>
    </row>
    <row r="1008" spans="1:33">
      <c r="A1008" s="7" t="s">
        <v>5337</v>
      </c>
      <c r="B1008" s="7" t="s">
        <v>5337</v>
      </c>
      <c r="C1008" s="7" t="s">
        <v>5338</v>
      </c>
      <c r="D1008" s="7" t="s">
        <v>5339</v>
      </c>
      <c r="E1008" s="7" t="s">
        <v>33</v>
      </c>
      <c r="F1008" s="7" t="s">
        <v>34</v>
      </c>
      <c r="G1008" s="7" t="s">
        <v>35</v>
      </c>
      <c r="H1008" s="7"/>
      <c r="I1008" s="7"/>
      <c r="J1008" s="7" t="s">
        <v>36</v>
      </c>
      <c r="K1008" s="7" t="s">
        <v>247</v>
      </c>
      <c r="L1008" s="7" t="s">
        <v>248</v>
      </c>
      <c r="M1008" s="7" t="s">
        <v>249</v>
      </c>
      <c r="N1008" s="7" t="s">
        <v>33</v>
      </c>
      <c r="O1008" s="7">
        <v>1</v>
      </c>
      <c r="P1008" s="7" t="s">
        <v>40</v>
      </c>
      <c r="Q1008" s="7">
        <v>18.99</v>
      </c>
      <c r="R1008" s="7"/>
      <c r="S1008" s="7"/>
      <c r="T1008" s="7"/>
      <c r="U1008" s="7"/>
      <c r="V1008" s="7"/>
      <c r="W1008" s="7"/>
      <c r="X1008" s="7"/>
      <c r="Y1008" s="7" t="s">
        <v>4701</v>
      </c>
      <c r="Z1008" s="7" t="s">
        <v>357</v>
      </c>
      <c r="AA1008" s="7" t="s">
        <v>5340</v>
      </c>
      <c r="AB1008" s="7" t="s">
        <v>43</v>
      </c>
      <c r="AC1008" s="7"/>
      <c r="AD1008" s="7"/>
      <c r="AE1008" s="7"/>
      <c r="AF1008" s="7"/>
      <c r="AG1008" s="8">
        <f t="shared" si="15"/>
        <v>43335</v>
      </c>
    </row>
    <row r="1009" spans="1:33">
      <c r="A1009" s="7" t="s">
        <v>5341</v>
      </c>
      <c r="B1009" s="7" t="s">
        <v>5341</v>
      </c>
      <c r="C1009" s="7" t="s">
        <v>5342</v>
      </c>
      <c r="D1009" s="7" t="s">
        <v>5343</v>
      </c>
      <c r="E1009" s="7" t="s">
        <v>33</v>
      </c>
      <c r="F1009" s="7" t="s">
        <v>34</v>
      </c>
      <c r="G1009" s="7" t="s">
        <v>35</v>
      </c>
      <c r="H1009" s="7"/>
      <c r="I1009" s="7"/>
      <c r="J1009" s="7" t="s">
        <v>36</v>
      </c>
      <c r="K1009" s="7" t="s">
        <v>255</v>
      </c>
      <c r="L1009" s="7" t="s">
        <v>1788</v>
      </c>
      <c r="M1009" s="7" t="s">
        <v>1789</v>
      </c>
      <c r="N1009" s="7" t="s">
        <v>33</v>
      </c>
      <c r="O1009" s="7">
        <v>1</v>
      </c>
      <c r="P1009" s="7" t="s">
        <v>40</v>
      </c>
      <c r="Q1009" s="7">
        <v>19.99</v>
      </c>
      <c r="R1009" s="7"/>
      <c r="S1009" s="7"/>
      <c r="T1009" s="7"/>
      <c r="U1009" s="7"/>
      <c r="V1009" s="7"/>
      <c r="W1009" s="7"/>
      <c r="X1009" s="7"/>
      <c r="Y1009" s="7" t="s">
        <v>5344</v>
      </c>
      <c r="Z1009" s="7" t="s">
        <v>219</v>
      </c>
      <c r="AA1009" s="7" t="s">
        <v>5345</v>
      </c>
      <c r="AB1009" s="7" t="s">
        <v>43</v>
      </c>
      <c r="AC1009" s="7"/>
      <c r="AD1009" s="7"/>
      <c r="AE1009" s="7"/>
      <c r="AF1009" s="7"/>
      <c r="AG1009" s="8">
        <f t="shared" si="15"/>
        <v>43335</v>
      </c>
    </row>
    <row r="1010" spans="1:33">
      <c r="A1010" s="7" t="s">
        <v>5346</v>
      </c>
      <c r="B1010" s="7" t="s">
        <v>5346</v>
      </c>
      <c r="C1010" s="7" t="s">
        <v>5347</v>
      </c>
      <c r="D1010" s="7" t="s">
        <v>5348</v>
      </c>
      <c r="E1010" s="7" t="s">
        <v>33</v>
      </c>
      <c r="F1010" s="7" t="s">
        <v>34</v>
      </c>
      <c r="G1010" s="7" t="s">
        <v>35</v>
      </c>
      <c r="H1010" s="7"/>
      <c r="I1010" s="7"/>
      <c r="J1010" s="7" t="s">
        <v>36</v>
      </c>
      <c r="K1010" s="7" t="s">
        <v>90</v>
      </c>
      <c r="L1010" s="7" t="s">
        <v>140</v>
      </c>
      <c r="M1010" s="7" t="s">
        <v>141</v>
      </c>
      <c r="N1010" s="7" t="s">
        <v>33</v>
      </c>
      <c r="O1010" s="7">
        <v>1</v>
      </c>
      <c r="P1010" s="7" t="s">
        <v>40</v>
      </c>
      <c r="Q1010" s="7">
        <v>12.99</v>
      </c>
      <c r="R1010" s="7"/>
      <c r="S1010" s="7"/>
      <c r="T1010" s="7"/>
      <c r="U1010" s="7"/>
      <c r="V1010" s="7"/>
      <c r="W1010" s="7"/>
      <c r="X1010" s="7"/>
      <c r="Y1010" s="7" t="s">
        <v>1988</v>
      </c>
      <c r="Z1010" s="7" t="s">
        <v>227</v>
      </c>
      <c r="AA1010" s="7" t="s">
        <v>5349</v>
      </c>
      <c r="AB1010" s="7" t="s">
        <v>43</v>
      </c>
      <c r="AC1010" s="7"/>
      <c r="AD1010" s="7"/>
      <c r="AE1010" s="7"/>
      <c r="AF1010" s="7"/>
      <c r="AG1010" s="8">
        <f t="shared" si="15"/>
        <v>43335</v>
      </c>
    </row>
    <row r="1011" spans="1:33">
      <c r="A1011" s="7" t="s">
        <v>5350</v>
      </c>
      <c r="B1011" s="7" t="s">
        <v>5350</v>
      </c>
      <c r="C1011" s="7" t="s">
        <v>5351</v>
      </c>
      <c r="D1011" s="7" t="s">
        <v>5352</v>
      </c>
      <c r="E1011" s="7" t="s">
        <v>33</v>
      </c>
      <c r="F1011" s="7" t="s">
        <v>34</v>
      </c>
      <c r="G1011" s="7" t="s">
        <v>35</v>
      </c>
      <c r="H1011" s="7"/>
      <c r="I1011" s="7"/>
      <c r="J1011" s="7" t="s">
        <v>336</v>
      </c>
      <c r="K1011" s="7" t="s">
        <v>232</v>
      </c>
      <c r="L1011" s="7" t="s">
        <v>233</v>
      </c>
      <c r="M1011" s="7" t="s">
        <v>234</v>
      </c>
      <c r="N1011" s="7" t="s">
        <v>33</v>
      </c>
      <c r="O1011" s="7">
        <v>1</v>
      </c>
      <c r="P1011" s="7" t="s">
        <v>40</v>
      </c>
      <c r="Q1011" s="7">
        <v>21.99</v>
      </c>
      <c r="R1011" s="7"/>
      <c r="S1011" s="7">
        <v>5.99</v>
      </c>
      <c r="T1011" s="7"/>
      <c r="U1011" s="7"/>
      <c r="V1011" s="7"/>
      <c r="W1011" s="7"/>
      <c r="X1011" s="7"/>
      <c r="Y1011" s="7" t="s">
        <v>5353</v>
      </c>
      <c r="Z1011" s="7" t="s">
        <v>1194</v>
      </c>
      <c r="AA1011" s="7" t="s">
        <v>5354</v>
      </c>
      <c r="AB1011" s="7" t="s">
        <v>43</v>
      </c>
      <c r="AC1011" s="7"/>
      <c r="AD1011" s="7"/>
      <c r="AE1011" s="7"/>
      <c r="AF1011" s="7"/>
      <c r="AG1011" s="8">
        <f t="shared" si="15"/>
        <v>43335</v>
      </c>
    </row>
    <row r="1012" spans="1:33">
      <c r="A1012" s="7" t="s">
        <v>5355</v>
      </c>
      <c r="B1012" s="7" t="s">
        <v>5355</v>
      </c>
      <c r="C1012" s="7" t="s">
        <v>5356</v>
      </c>
      <c r="D1012" s="7" t="s">
        <v>5357</v>
      </c>
      <c r="E1012" s="7" t="s">
        <v>33</v>
      </c>
      <c r="F1012" s="7" t="s">
        <v>34</v>
      </c>
      <c r="G1012" s="7" t="s">
        <v>35</v>
      </c>
      <c r="H1012" s="7"/>
      <c r="I1012" s="7"/>
      <c r="J1012" s="7" t="s">
        <v>36</v>
      </c>
      <c r="K1012" s="7" t="s">
        <v>456</v>
      </c>
      <c r="L1012" s="7" t="s">
        <v>1280</v>
      </c>
      <c r="M1012" s="7" t="s">
        <v>1281</v>
      </c>
      <c r="N1012" s="7" t="s">
        <v>33</v>
      </c>
      <c r="O1012" s="7">
        <v>1</v>
      </c>
      <c r="P1012" s="7" t="s">
        <v>40</v>
      </c>
      <c r="Q1012" s="7">
        <v>12.99</v>
      </c>
      <c r="R1012" s="7"/>
      <c r="S1012" s="7"/>
      <c r="T1012" s="7"/>
      <c r="U1012" s="7"/>
      <c r="V1012" s="7"/>
      <c r="W1012" s="7"/>
      <c r="X1012" s="7"/>
      <c r="Y1012" s="7" t="s">
        <v>5358</v>
      </c>
      <c r="Z1012" s="7" t="s">
        <v>165</v>
      </c>
      <c r="AA1012" s="7">
        <v>60103</v>
      </c>
      <c r="AB1012" s="7" t="s">
        <v>43</v>
      </c>
      <c r="AC1012" s="7"/>
      <c r="AD1012" s="7"/>
      <c r="AE1012" s="7"/>
      <c r="AF1012" s="7"/>
      <c r="AG1012" s="8">
        <f t="shared" si="15"/>
        <v>43335</v>
      </c>
    </row>
    <row r="1013" spans="1:33">
      <c r="A1013" s="7" t="s">
        <v>5359</v>
      </c>
      <c r="B1013" s="7" t="s">
        <v>5359</v>
      </c>
      <c r="C1013" s="7" t="s">
        <v>5360</v>
      </c>
      <c r="D1013" s="7" t="s">
        <v>5361</v>
      </c>
      <c r="E1013" s="7" t="s">
        <v>33</v>
      </c>
      <c r="F1013" s="7" t="s">
        <v>34</v>
      </c>
      <c r="G1013" s="7" t="s">
        <v>35</v>
      </c>
      <c r="H1013" s="7"/>
      <c r="I1013" s="7"/>
      <c r="J1013" s="7" t="s">
        <v>36</v>
      </c>
      <c r="K1013" s="7" t="s">
        <v>456</v>
      </c>
      <c r="L1013" s="7" t="s">
        <v>959</v>
      </c>
      <c r="M1013" s="7" t="s">
        <v>960</v>
      </c>
      <c r="N1013" s="7" t="s">
        <v>33</v>
      </c>
      <c r="O1013" s="7">
        <v>1</v>
      </c>
      <c r="P1013" s="7" t="s">
        <v>40</v>
      </c>
      <c r="Q1013" s="7">
        <v>12.99</v>
      </c>
      <c r="R1013" s="7"/>
      <c r="S1013" s="7"/>
      <c r="T1013" s="7"/>
      <c r="U1013" s="7"/>
      <c r="V1013" s="7"/>
      <c r="W1013" s="7"/>
      <c r="X1013" s="7"/>
      <c r="Y1013" s="7" t="s">
        <v>1290</v>
      </c>
      <c r="Z1013" s="7" t="s">
        <v>69</v>
      </c>
      <c r="AA1013" s="7" t="s">
        <v>5362</v>
      </c>
      <c r="AB1013" s="7" t="s">
        <v>43</v>
      </c>
      <c r="AC1013" s="7"/>
      <c r="AD1013" s="7"/>
      <c r="AE1013" s="7"/>
      <c r="AF1013" s="7"/>
      <c r="AG1013" s="8">
        <f t="shared" si="15"/>
        <v>43335</v>
      </c>
    </row>
    <row r="1014" spans="1:33">
      <c r="A1014" s="7" t="s">
        <v>5363</v>
      </c>
      <c r="B1014" s="7" t="s">
        <v>5363</v>
      </c>
      <c r="C1014" s="7" t="s">
        <v>5364</v>
      </c>
      <c r="D1014" s="7" t="s">
        <v>5365</v>
      </c>
      <c r="E1014" s="7" t="s">
        <v>33</v>
      </c>
      <c r="F1014" s="7" t="s">
        <v>34</v>
      </c>
      <c r="G1014" s="7" t="s">
        <v>35</v>
      </c>
      <c r="H1014" s="7"/>
      <c r="I1014" s="7"/>
      <c r="J1014" s="7" t="s">
        <v>36</v>
      </c>
      <c r="K1014" s="7" t="s">
        <v>90</v>
      </c>
      <c r="L1014" s="7" t="s">
        <v>91</v>
      </c>
      <c r="M1014" s="7" t="s">
        <v>92</v>
      </c>
      <c r="N1014" s="7" t="s">
        <v>33</v>
      </c>
      <c r="O1014" s="7">
        <v>1</v>
      </c>
      <c r="P1014" s="7" t="s">
        <v>40</v>
      </c>
      <c r="Q1014" s="7">
        <v>12.99</v>
      </c>
      <c r="R1014" s="7"/>
      <c r="S1014" s="7"/>
      <c r="T1014" s="7"/>
      <c r="U1014" s="7"/>
      <c r="V1014" s="7"/>
      <c r="W1014" s="7"/>
      <c r="X1014" s="7"/>
      <c r="Y1014" s="7" t="s">
        <v>5366</v>
      </c>
      <c r="Z1014" s="7" t="s">
        <v>135</v>
      </c>
      <c r="AA1014" s="7" t="s">
        <v>5367</v>
      </c>
      <c r="AB1014" s="7" t="s">
        <v>43</v>
      </c>
      <c r="AC1014" s="7"/>
      <c r="AD1014" s="7"/>
      <c r="AE1014" s="7"/>
      <c r="AF1014" s="7"/>
      <c r="AG1014" s="8">
        <f t="shared" si="15"/>
        <v>43335</v>
      </c>
    </row>
    <row r="1015" spans="1:33">
      <c r="A1015" s="7" t="s">
        <v>5368</v>
      </c>
      <c r="B1015" s="7" t="s">
        <v>5368</v>
      </c>
      <c r="C1015" s="7" t="s">
        <v>5369</v>
      </c>
      <c r="D1015" s="7" t="s">
        <v>5370</v>
      </c>
      <c r="E1015" s="7" t="s">
        <v>33</v>
      </c>
      <c r="F1015" s="7" t="s">
        <v>34</v>
      </c>
      <c r="G1015" s="7" t="s">
        <v>35</v>
      </c>
      <c r="H1015" s="7"/>
      <c r="I1015" s="7"/>
      <c r="J1015" s="7" t="s">
        <v>36</v>
      </c>
      <c r="K1015" s="7" t="s">
        <v>617</v>
      </c>
      <c r="L1015" s="7" t="s">
        <v>618</v>
      </c>
      <c r="M1015" s="7" t="s">
        <v>619</v>
      </c>
      <c r="N1015" s="7" t="s">
        <v>33</v>
      </c>
      <c r="O1015" s="7">
        <v>1</v>
      </c>
      <c r="P1015" s="7" t="s">
        <v>40</v>
      </c>
      <c r="Q1015" s="7">
        <v>18.99</v>
      </c>
      <c r="R1015" s="7"/>
      <c r="S1015" s="7"/>
      <c r="T1015" s="7"/>
      <c r="U1015" s="7"/>
      <c r="V1015" s="7"/>
      <c r="W1015" s="7"/>
      <c r="X1015" s="7"/>
      <c r="Y1015" s="7" t="s">
        <v>5371</v>
      </c>
      <c r="Z1015" s="7" t="s">
        <v>5372</v>
      </c>
      <c r="AA1015" s="7" t="s">
        <v>5373</v>
      </c>
      <c r="AB1015" s="7" t="s">
        <v>43</v>
      </c>
      <c r="AC1015" s="7"/>
      <c r="AD1015" s="7"/>
      <c r="AE1015" s="7"/>
      <c r="AF1015" s="7"/>
      <c r="AG1015" s="8">
        <f t="shared" si="15"/>
        <v>43335</v>
      </c>
    </row>
    <row r="1016" spans="1:33">
      <c r="A1016" s="7" t="s">
        <v>5374</v>
      </c>
      <c r="B1016" s="7" t="s">
        <v>5374</v>
      </c>
      <c r="C1016" s="7" t="s">
        <v>5375</v>
      </c>
      <c r="D1016" s="7" t="s">
        <v>5376</v>
      </c>
      <c r="E1016" s="7" t="s">
        <v>33</v>
      </c>
      <c r="F1016" s="7" t="s">
        <v>34</v>
      </c>
      <c r="G1016" s="7" t="s">
        <v>35</v>
      </c>
      <c r="H1016" s="7"/>
      <c r="I1016" s="7"/>
      <c r="J1016" s="7" t="s">
        <v>36</v>
      </c>
      <c r="K1016" s="7" t="s">
        <v>199</v>
      </c>
      <c r="L1016" s="7" t="s">
        <v>200</v>
      </c>
      <c r="M1016" s="7" t="s">
        <v>201</v>
      </c>
      <c r="N1016" s="7" t="s">
        <v>33</v>
      </c>
      <c r="O1016" s="7">
        <v>1</v>
      </c>
      <c r="P1016" s="7" t="s">
        <v>40</v>
      </c>
      <c r="Q1016" s="7">
        <v>18.99</v>
      </c>
      <c r="R1016" s="7"/>
      <c r="S1016" s="7"/>
      <c r="T1016" s="7"/>
      <c r="U1016" s="7"/>
      <c r="V1016" s="7"/>
      <c r="W1016" s="7"/>
      <c r="X1016" s="7"/>
      <c r="Y1016" s="7" t="s">
        <v>5148</v>
      </c>
      <c r="Z1016" s="7" t="s">
        <v>94</v>
      </c>
      <c r="AA1016" s="7" t="s">
        <v>5377</v>
      </c>
      <c r="AB1016" s="7" t="s">
        <v>43</v>
      </c>
      <c r="AC1016" s="7"/>
      <c r="AD1016" s="7"/>
      <c r="AE1016" s="7"/>
      <c r="AF1016" s="7"/>
      <c r="AG1016" s="8">
        <f t="shared" si="15"/>
        <v>43335</v>
      </c>
    </row>
    <row r="1017" spans="1:33">
      <c r="A1017" s="7" t="s">
        <v>5378</v>
      </c>
      <c r="B1017" s="7" t="s">
        <v>5378</v>
      </c>
      <c r="C1017" s="7" t="s">
        <v>5379</v>
      </c>
      <c r="D1017" s="7" t="s">
        <v>5380</v>
      </c>
      <c r="E1017" s="7" t="s">
        <v>33</v>
      </c>
      <c r="F1017" s="7" t="s">
        <v>34</v>
      </c>
      <c r="G1017" s="7" t="s">
        <v>35</v>
      </c>
      <c r="H1017" s="7"/>
      <c r="I1017" s="7"/>
      <c r="J1017" s="7" t="s">
        <v>36</v>
      </c>
      <c r="K1017" s="7" t="s">
        <v>456</v>
      </c>
      <c r="L1017" s="7" t="s">
        <v>457</v>
      </c>
      <c r="M1017" s="7" t="s">
        <v>458</v>
      </c>
      <c r="N1017" s="7" t="s">
        <v>33</v>
      </c>
      <c r="O1017" s="7">
        <v>1</v>
      </c>
      <c r="P1017" s="7" t="s">
        <v>40</v>
      </c>
      <c r="Q1017" s="7">
        <v>12.99</v>
      </c>
      <c r="R1017" s="7"/>
      <c r="S1017" s="7"/>
      <c r="T1017" s="7"/>
      <c r="U1017" s="7"/>
      <c r="V1017" s="7"/>
      <c r="W1017" s="7"/>
      <c r="X1017" s="7"/>
      <c r="Y1017" s="7" t="s">
        <v>5381</v>
      </c>
      <c r="Z1017" s="7" t="s">
        <v>85</v>
      </c>
      <c r="AA1017" s="7" t="s">
        <v>5382</v>
      </c>
      <c r="AB1017" s="7" t="s">
        <v>43</v>
      </c>
      <c r="AC1017" s="7"/>
      <c r="AD1017" s="7"/>
      <c r="AE1017" s="7"/>
      <c r="AF1017" s="7"/>
      <c r="AG1017" s="8">
        <f t="shared" si="15"/>
        <v>43335</v>
      </c>
    </row>
    <row r="1018" spans="1:33">
      <c r="A1018" s="7" t="s">
        <v>5383</v>
      </c>
      <c r="B1018" s="7" t="s">
        <v>5383</v>
      </c>
      <c r="C1018" s="7" t="s">
        <v>5384</v>
      </c>
      <c r="D1018" s="7" t="s">
        <v>5385</v>
      </c>
      <c r="E1018" s="7" t="s">
        <v>33</v>
      </c>
      <c r="F1018" s="7" t="s">
        <v>34</v>
      </c>
      <c r="G1018" s="7" t="s">
        <v>35</v>
      </c>
      <c r="H1018" s="7"/>
      <c r="I1018" s="7"/>
      <c r="J1018" s="7" t="s">
        <v>36</v>
      </c>
      <c r="K1018" s="7" t="s">
        <v>456</v>
      </c>
      <c r="L1018" s="7" t="s">
        <v>1280</v>
      </c>
      <c r="M1018" s="7" t="s">
        <v>1281</v>
      </c>
      <c r="N1018" s="7" t="s">
        <v>33</v>
      </c>
      <c r="O1018" s="7">
        <v>1</v>
      </c>
      <c r="P1018" s="7" t="s">
        <v>40</v>
      </c>
      <c r="Q1018" s="7">
        <v>12.99</v>
      </c>
      <c r="R1018" s="7"/>
      <c r="S1018" s="7"/>
      <c r="T1018" s="7"/>
      <c r="U1018" s="7"/>
      <c r="V1018" s="7"/>
      <c r="W1018" s="7"/>
      <c r="X1018" s="7"/>
      <c r="Y1018" s="7" t="s">
        <v>5386</v>
      </c>
      <c r="Z1018" s="7" t="s">
        <v>287</v>
      </c>
      <c r="AA1018" s="7" t="s">
        <v>5387</v>
      </c>
      <c r="AB1018" s="7" t="s">
        <v>43</v>
      </c>
      <c r="AC1018" s="7"/>
      <c r="AD1018" s="7"/>
      <c r="AE1018" s="7"/>
      <c r="AF1018" s="7"/>
      <c r="AG1018" s="8">
        <f t="shared" si="15"/>
        <v>43335</v>
      </c>
    </row>
    <row r="1019" spans="1:33">
      <c r="A1019" s="7" t="s">
        <v>5388</v>
      </c>
      <c r="B1019" s="7" t="s">
        <v>5388</v>
      </c>
      <c r="C1019" s="7" t="s">
        <v>5389</v>
      </c>
      <c r="D1019" s="7" t="s">
        <v>5390</v>
      </c>
      <c r="E1019" s="7" t="s">
        <v>33</v>
      </c>
      <c r="F1019" s="7" t="s">
        <v>34</v>
      </c>
      <c r="G1019" s="7" t="s">
        <v>35</v>
      </c>
      <c r="H1019" s="7"/>
      <c r="I1019" s="7"/>
      <c r="J1019" s="7" t="s">
        <v>36</v>
      </c>
      <c r="K1019" s="7" t="s">
        <v>120</v>
      </c>
      <c r="L1019" s="7" t="s">
        <v>121</v>
      </c>
      <c r="M1019" s="7" t="s">
        <v>122</v>
      </c>
      <c r="N1019" s="7" t="s">
        <v>33</v>
      </c>
      <c r="O1019" s="7">
        <v>1</v>
      </c>
      <c r="P1019" s="7" t="s">
        <v>40</v>
      </c>
      <c r="Q1019" s="7">
        <v>18.99</v>
      </c>
      <c r="R1019" s="7"/>
      <c r="S1019" s="7"/>
      <c r="T1019" s="7"/>
      <c r="U1019" s="7"/>
      <c r="V1019" s="7"/>
      <c r="W1019" s="7"/>
      <c r="X1019" s="7"/>
      <c r="Y1019" s="7" t="s">
        <v>1683</v>
      </c>
      <c r="Z1019" s="7" t="s">
        <v>59</v>
      </c>
      <c r="AA1019" s="7" t="s">
        <v>5391</v>
      </c>
      <c r="AB1019" s="7" t="s">
        <v>43</v>
      </c>
      <c r="AC1019" s="7"/>
      <c r="AD1019" s="7"/>
      <c r="AE1019" s="7"/>
      <c r="AF1019" s="7"/>
      <c r="AG1019" s="8">
        <f t="shared" si="15"/>
        <v>43335</v>
      </c>
    </row>
    <row r="1020" spans="1:33">
      <c r="A1020" s="7" t="s">
        <v>5388</v>
      </c>
      <c r="B1020" s="7" t="s">
        <v>5388</v>
      </c>
      <c r="C1020" s="7" t="s">
        <v>5389</v>
      </c>
      <c r="D1020" s="7" t="s">
        <v>5390</v>
      </c>
      <c r="E1020" s="7" t="s">
        <v>33</v>
      </c>
      <c r="F1020" s="7" t="s">
        <v>34</v>
      </c>
      <c r="G1020" s="7" t="s">
        <v>35</v>
      </c>
      <c r="H1020" s="7"/>
      <c r="I1020" s="7"/>
      <c r="J1020" s="7" t="s">
        <v>36</v>
      </c>
      <c r="K1020" s="7" t="s">
        <v>617</v>
      </c>
      <c r="L1020" s="7" t="s">
        <v>618</v>
      </c>
      <c r="M1020" s="7" t="s">
        <v>619</v>
      </c>
      <c r="N1020" s="7" t="s">
        <v>33</v>
      </c>
      <c r="O1020" s="7">
        <v>1</v>
      </c>
      <c r="P1020" s="7" t="s">
        <v>40</v>
      </c>
      <c r="Q1020" s="7">
        <v>18.99</v>
      </c>
      <c r="R1020" s="7"/>
      <c r="S1020" s="7"/>
      <c r="T1020" s="7"/>
      <c r="U1020" s="7"/>
      <c r="V1020" s="7"/>
      <c r="W1020" s="7"/>
      <c r="X1020" s="7"/>
      <c r="Y1020" s="7" t="s">
        <v>1683</v>
      </c>
      <c r="Z1020" s="7" t="s">
        <v>59</v>
      </c>
      <c r="AA1020" s="7" t="s">
        <v>5391</v>
      </c>
      <c r="AB1020" s="7" t="s">
        <v>43</v>
      </c>
      <c r="AC1020" s="7"/>
      <c r="AD1020" s="7"/>
      <c r="AE1020" s="7"/>
      <c r="AF1020" s="7"/>
      <c r="AG1020" s="8">
        <f t="shared" si="15"/>
        <v>43335</v>
      </c>
    </row>
    <row r="1021" spans="1:33">
      <c r="A1021" s="7" t="s">
        <v>5392</v>
      </c>
      <c r="B1021" s="7" t="s">
        <v>5393</v>
      </c>
      <c r="C1021" s="7" t="s">
        <v>5394</v>
      </c>
      <c r="D1021" s="7" t="s">
        <v>5395</v>
      </c>
      <c r="E1021" s="7" t="s">
        <v>4266</v>
      </c>
      <c r="F1021" s="7" t="s">
        <v>34</v>
      </c>
      <c r="G1021" s="7" t="s">
        <v>946</v>
      </c>
      <c r="H1021" s="7"/>
      <c r="I1021" s="7"/>
      <c r="J1021" s="7" t="s">
        <v>336</v>
      </c>
      <c r="K1021" s="7" t="s">
        <v>947</v>
      </c>
      <c r="L1021" s="7" t="s">
        <v>948</v>
      </c>
      <c r="M1021" s="7" t="s">
        <v>949</v>
      </c>
      <c r="N1021" s="7" t="s">
        <v>459</v>
      </c>
      <c r="O1021" s="7">
        <v>1</v>
      </c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8">
        <f t="shared" si="15"/>
        <v>43336</v>
      </c>
    </row>
    <row r="1022" spans="1:33">
      <c r="A1022" s="7" t="s">
        <v>5396</v>
      </c>
      <c r="B1022" s="7" t="s">
        <v>5396</v>
      </c>
      <c r="C1022" s="7" t="s">
        <v>5397</v>
      </c>
      <c r="D1022" s="7" t="s">
        <v>5398</v>
      </c>
      <c r="E1022" s="7" t="s">
        <v>33</v>
      </c>
      <c r="F1022" s="7" t="s">
        <v>34</v>
      </c>
      <c r="G1022" s="7" t="s">
        <v>35</v>
      </c>
      <c r="H1022" s="7"/>
      <c r="I1022" s="7"/>
      <c r="J1022" s="7" t="s">
        <v>36</v>
      </c>
      <c r="K1022" s="7" t="s">
        <v>90</v>
      </c>
      <c r="L1022" s="7" t="s">
        <v>91</v>
      </c>
      <c r="M1022" s="7" t="s">
        <v>92</v>
      </c>
      <c r="N1022" s="7" t="s">
        <v>33</v>
      </c>
      <c r="O1022" s="7">
        <v>1</v>
      </c>
      <c r="P1022" s="7" t="s">
        <v>40</v>
      </c>
      <c r="Q1022" s="7">
        <v>12.99</v>
      </c>
      <c r="R1022" s="7"/>
      <c r="S1022" s="7"/>
      <c r="T1022" s="7"/>
      <c r="U1022" s="7"/>
      <c r="V1022" s="7"/>
      <c r="W1022" s="7"/>
      <c r="X1022" s="7"/>
      <c r="Y1022" s="7" t="s">
        <v>5399</v>
      </c>
      <c r="Z1022" s="7" t="s">
        <v>227</v>
      </c>
      <c r="AA1022" s="7">
        <v>10024</v>
      </c>
      <c r="AB1022" s="7" t="s">
        <v>43</v>
      </c>
      <c r="AC1022" s="7"/>
      <c r="AD1022" s="7"/>
      <c r="AE1022" s="7"/>
      <c r="AF1022" s="7"/>
      <c r="AG1022" s="8">
        <f t="shared" si="15"/>
        <v>43336</v>
      </c>
    </row>
    <row r="1023" spans="1:33">
      <c r="A1023" s="7" t="s">
        <v>5400</v>
      </c>
      <c r="B1023" s="7" t="s">
        <v>5400</v>
      </c>
      <c r="C1023" s="7" t="s">
        <v>5401</v>
      </c>
      <c r="D1023" s="7" t="s">
        <v>5402</v>
      </c>
      <c r="E1023" s="7" t="s">
        <v>33</v>
      </c>
      <c r="F1023" s="7" t="s">
        <v>34</v>
      </c>
      <c r="G1023" s="7" t="s">
        <v>35</v>
      </c>
      <c r="H1023" s="7"/>
      <c r="I1023" s="7"/>
      <c r="J1023" s="7" t="s">
        <v>36</v>
      </c>
      <c r="K1023" s="7" t="s">
        <v>1029</v>
      </c>
      <c r="L1023" s="7" t="s">
        <v>5403</v>
      </c>
      <c r="M1023" s="7" t="s">
        <v>5404</v>
      </c>
      <c r="N1023" s="7" t="s">
        <v>33</v>
      </c>
      <c r="O1023" s="7">
        <v>1</v>
      </c>
      <c r="P1023" s="7" t="s">
        <v>40</v>
      </c>
      <c r="Q1023" s="7">
        <v>19.99</v>
      </c>
      <c r="R1023" s="7"/>
      <c r="S1023" s="7"/>
      <c r="T1023" s="7"/>
      <c r="U1023" s="7"/>
      <c r="V1023" s="7"/>
      <c r="W1023" s="7"/>
      <c r="X1023" s="7"/>
      <c r="Y1023" s="7" t="s">
        <v>4348</v>
      </c>
      <c r="Z1023" s="7" t="s">
        <v>51</v>
      </c>
      <c r="AA1023" s="7" t="s">
        <v>5405</v>
      </c>
      <c r="AB1023" s="7" t="s">
        <v>43</v>
      </c>
      <c r="AC1023" s="7"/>
      <c r="AD1023" s="7"/>
      <c r="AE1023" s="7"/>
      <c r="AF1023" s="7"/>
      <c r="AG1023" s="8">
        <f t="shared" si="15"/>
        <v>43336</v>
      </c>
    </row>
    <row r="1024" spans="1:33">
      <c r="A1024" s="7" t="s">
        <v>5406</v>
      </c>
      <c r="B1024" s="7" t="s">
        <v>5406</v>
      </c>
      <c r="C1024" s="7" t="s">
        <v>5407</v>
      </c>
      <c r="D1024" s="7" t="s">
        <v>5408</v>
      </c>
      <c r="E1024" s="7" t="s">
        <v>33</v>
      </c>
      <c r="F1024" s="7" t="s">
        <v>34</v>
      </c>
      <c r="G1024" s="7" t="s">
        <v>35</v>
      </c>
      <c r="H1024" s="7"/>
      <c r="I1024" s="7"/>
      <c r="J1024" s="7" t="s">
        <v>36</v>
      </c>
      <c r="K1024" s="7" t="s">
        <v>5409</v>
      </c>
      <c r="L1024" s="7" t="s">
        <v>5410</v>
      </c>
      <c r="M1024" s="7" t="s">
        <v>5411</v>
      </c>
      <c r="N1024" s="7" t="s">
        <v>33</v>
      </c>
      <c r="O1024" s="7">
        <v>1</v>
      </c>
      <c r="P1024" s="7" t="s">
        <v>40</v>
      </c>
      <c r="Q1024" s="7">
        <v>17.99</v>
      </c>
      <c r="R1024" s="7"/>
      <c r="S1024" s="7"/>
      <c r="T1024" s="7"/>
      <c r="U1024" s="7"/>
      <c r="V1024" s="7"/>
      <c r="W1024" s="7"/>
      <c r="X1024" s="7"/>
      <c r="Y1024" s="7" t="s">
        <v>5412</v>
      </c>
      <c r="Z1024" s="7" t="s">
        <v>5372</v>
      </c>
      <c r="AA1024" s="7" t="s">
        <v>5413</v>
      </c>
      <c r="AB1024" s="7" t="s">
        <v>43</v>
      </c>
      <c r="AC1024" s="7"/>
      <c r="AD1024" s="7"/>
      <c r="AE1024" s="7"/>
      <c r="AF1024" s="7"/>
      <c r="AG1024" s="8">
        <f t="shared" si="15"/>
        <v>43336</v>
      </c>
    </row>
    <row r="1025" spans="1:33">
      <c r="A1025" s="7" t="s">
        <v>5414</v>
      </c>
      <c r="B1025" s="7" t="s">
        <v>5414</v>
      </c>
      <c r="C1025" s="7" t="s">
        <v>5415</v>
      </c>
      <c r="D1025" s="7" t="s">
        <v>5416</v>
      </c>
      <c r="E1025" s="7" t="s">
        <v>33</v>
      </c>
      <c r="F1025" s="7" t="s">
        <v>34</v>
      </c>
      <c r="G1025" s="7" t="s">
        <v>35</v>
      </c>
      <c r="H1025" s="7"/>
      <c r="I1025" s="7"/>
      <c r="J1025" s="7" t="s">
        <v>36</v>
      </c>
      <c r="K1025" s="7" t="s">
        <v>255</v>
      </c>
      <c r="L1025" s="7" t="s">
        <v>256</v>
      </c>
      <c r="M1025" s="7" t="s">
        <v>257</v>
      </c>
      <c r="N1025" s="7" t="s">
        <v>33</v>
      </c>
      <c r="O1025" s="7">
        <v>1</v>
      </c>
      <c r="P1025" s="7" t="s">
        <v>40</v>
      </c>
      <c r="Q1025" s="7">
        <v>19.99</v>
      </c>
      <c r="R1025" s="7"/>
      <c r="S1025" s="7"/>
      <c r="T1025" s="7"/>
      <c r="U1025" s="7"/>
      <c r="V1025" s="7"/>
      <c r="W1025" s="7"/>
      <c r="X1025" s="7"/>
      <c r="Y1025" s="7" t="s">
        <v>4432</v>
      </c>
      <c r="Z1025" s="7" t="s">
        <v>77</v>
      </c>
      <c r="AA1025" s="7" t="s">
        <v>4433</v>
      </c>
      <c r="AB1025" s="7" t="s">
        <v>43</v>
      </c>
      <c r="AC1025" s="7"/>
      <c r="AD1025" s="7"/>
      <c r="AE1025" s="7"/>
      <c r="AF1025" s="7"/>
      <c r="AG1025" s="8">
        <f t="shared" si="15"/>
        <v>43336</v>
      </c>
    </row>
    <row r="1026" spans="1:33">
      <c r="A1026" s="7" t="s">
        <v>5417</v>
      </c>
      <c r="B1026" s="7" t="s">
        <v>5417</v>
      </c>
      <c r="C1026" s="7" t="s">
        <v>5418</v>
      </c>
      <c r="D1026" s="7" t="s">
        <v>5419</v>
      </c>
      <c r="E1026" s="7" t="s">
        <v>33</v>
      </c>
      <c r="F1026" s="7" t="s">
        <v>34</v>
      </c>
      <c r="G1026" s="7" t="s">
        <v>35</v>
      </c>
      <c r="H1026" s="7"/>
      <c r="I1026" s="7"/>
      <c r="J1026" s="7" t="s">
        <v>36</v>
      </c>
      <c r="K1026" s="7" t="s">
        <v>37</v>
      </c>
      <c r="L1026" s="7" t="s">
        <v>1050</v>
      </c>
      <c r="M1026" s="7" t="s">
        <v>1051</v>
      </c>
      <c r="N1026" s="7" t="s">
        <v>33</v>
      </c>
      <c r="O1026" s="7">
        <v>1</v>
      </c>
      <c r="P1026" s="7" t="s">
        <v>40</v>
      </c>
      <c r="Q1026" s="7">
        <v>19.99</v>
      </c>
      <c r="R1026" s="7"/>
      <c r="S1026" s="7"/>
      <c r="T1026" s="7"/>
      <c r="U1026" s="7"/>
      <c r="V1026" s="7"/>
      <c r="W1026" s="7"/>
      <c r="X1026" s="7"/>
      <c r="Y1026" s="7" t="s">
        <v>5420</v>
      </c>
      <c r="Z1026" s="7" t="s">
        <v>392</v>
      </c>
      <c r="AA1026" s="7" t="s">
        <v>5421</v>
      </c>
      <c r="AB1026" s="7" t="s">
        <v>43</v>
      </c>
      <c r="AC1026" s="7"/>
      <c r="AD1026" s="7"/>
      <c r="AE1026" s="7"/>
      <c r="AF1026" s="7"/>
      <c r="AG1026" s="8">
        <f t="shared" ref="AG1026:AG1089" si="16">DATEVALUE(LEFT(C1026,10))</f>
        <v>43336</v>
      </c>
    </row>
    <row r="1027" spans="1:33">
      <c r="A1027" s="7" t="s">
        <v>5422</v>
      </c>
      <c r="B1027" s="7" t="s">
        <v>5422</v>
      </c>
      <c r="C1027" s="7" t="s">
        <v>5423</v>
      </c>
      <c r="D1027" s="7" t="s">
        <v>5424</v>
      </c>
      <c r="E1027" s="7" t="s">
        <v>33</v>
      </c>
      <c r="F1027" s="7" t="s">
        <v>34</v>
      </c>
      <c r="G1027" s="7" t="s">
        <v>35</v>
      </c>
      <c r="H1027" s="7"/>
      <c r="I1027" s="7"/>
      <c r="J1027" s="7" t="s">
        <v>36</v>
      </c>
      <c r="K1027" s="7" t="s">
        <v>965</v>
      </c>
      <c r="L1027" s="7" t="s">
        <v>5425</v>
      </c>
      <c r="M1027" s="7" t="s">
        <v>5426</v>
      </c>
      <c r="N1027" s="7" t="s">
        <v>33</v>
      </c>
      <c r="O1027" s="7">
        <v>1</v>
      </c>
      <c r="P1027" s="7" t="s">
        <v>40</v>
      </c>
      <c r="Q1027" s="7">
        <v>17.99</v>
      </c>
      <c r="R1027" s="7"/>
      <c r="S1027" s="7"/>
      <c r="T1027" s="7"/>
      <c r="U1027" s="7"/>
      <c r="V1027" s="7"/>
      <c r="W1027" s="7"/>
      <c r="X1027" s="7"/>
      <c r="Y1027" s="7" t="s">
        <v>5427</v>
      </c>
      <c r="Z1027" s="7" t="s">
        <v>165</v>
      </c>
      <c r="AA1027" s="7" t="s">
        <v>5428</v>
      </c>
      <c r="AB1027" s="7" t="s">
        <v>43</v>
      </c>
      <c r="AC1027" s="7"/>
      <c r="AD1027" s="7"/>
      <c r="AE1027" s="7"/>
      <c r="AF1027" s="7"/>
      <c r="AG1027" s="8">
        <f t="shared" si="16"/>
        <v>43336</v>
      </c>
    </row>
    <row r="1028" spans="1:33">
      <c r="A1028" s="7" t="s">
        <v>5429</v>
      </c>
      <c r="B1028" s="7" t="s">
        <v>5429</v>
      </c>
      <c r="C1028" s="7" t="s">
        <v>5430</v>
      </c>
      <c r="D1028" s="7" t="s">
        <v>5431</v>
      </c>
      <c r="E1028" s="7" t="s">
        <v>33</v>
      </c>
      <c r="F1028" s="7" t="s">
        <v>34</v>
      </c>
      <c r="G1028" s="7" t="s">
        <v>35</v>
      </c>
      <c r="H1028" s="7"/>
      <c r="I1028" s="7"/>
      <c r="J1028" s="7" t="s">
        <v>36</v>
      </c>
      <c r="K1028" s="7" t="s">
        <v>255</v>
      </c>
      <c r="L1028" s="7" t="s">
        <v>256</v>
      </c>
      <c r="M1028" s="7" t="s">
        <v>257</v>
      </c>
      <c r="N1028" s="7" t="s">
        <v>33</v>
      </c>
      <c r="O1028" s="7">
        <v>1</v>
      </c>
      <c r="P1028" s="7" t="s">
        <v>40</v>
      </c>
      <c r="Q1028" s="7">
        <v>19.99</v>
      </c>
      <c r="R1028" s="7"/>
      <c r="S1028" s="7"/>
      <c r="T1028" s="7"/>
      <c r="U1028" s="7"/>
      <c r="V1028" s="7"/>
      <c r="W1028" s="7"/>
      <c r="X1028" s="7"/>
      <c r="Y1028" s="7" t="s">
        <v>5432</v>
      </c>
      <c r="Z1028" s="7" t="s">
        <v>94</v>
      </c>
      <c r="AA1028" s="7">
        <v>7008</v>
      </c>
      <c r="AB1028" s="7" t="s">
        <v>43</v>
      </c>
      <c r="AC1028" s="7"/>
      <c r="AD1028" s="7"/>
      <c r="AE1028" s="7"/>
      <c r="AF1028" s="7"/>
      <c r="AG1028" s="8">
        <f t="shared" si="16"/>
        <v>43336</v>
      </c>
    </row>
    <row r="1029" spans="1:33">
      <c r="A1029" s="7" t="s">
        <v>5433</v>
      </c>
      <c r="B1029" s="7" t="s">
        <v>5433</v>
      </c>
      <c r="C1029" s="7" t="s">
        <v>5434</v>
      </c>
      <c r="D1029" s="7" t="s">
        <v>5435</v>
      </c>
      <c r="E1029" s="7" t="s">
        <v>33</v>
      </c>
      <c r="F1029" s="7" t="s">
        <v>34</v>
      </c>
      <c r="G1029" s="7" t="s">
        <v>35</v>
      </c>
      <c r="H1029" s="7"/>
      <c r="I1029" s="7"/>
      <c r="J1029" s="7" t="s">
        <v>36</v>
      </c>
      <c r="K1029" s="7" t="s">
        <v>456</v>
      </c>
      <c r="L1029" s="7" t="s">
        <v>1248</v>
      </c>
      <c r="M1029" s="7" t="s">
        <v>1249</v>
      </c>
      <c r="N1029" s="7" t="s">
        <v>33</v>
      </c>
      <c r="O1029" s="7">
        <v>1</v>
      </c>
      <c r="P1029" s="7" t="s">
        <v>40</v>
      </c>
      <c r="Q1029" s="7">
        <v>12.99</v>
      </c>
      <c r="R1029" s="7"/>
      <c r="S1029" s="7"/>
      <c r="T1029" s="7"/>
      <c r="U1029" s="7"/>
      <c r="V1029" s="7"/>
      <c r="W1029" s="7"/>
      <c r="X1029" s="7"/>
      <c r="Y1029" s="7" t="s">
        <v>5436</v>
      </c>
      <c r="Z1029" s="7" t="s">
        <v>143</v>
      </c>
      <c r="AA1029" s="7" t="s">
        <v>5437</v>
      </c>
      <c r="AB1029" s="7" t="s">
        <v>43</v>
      </c>
      <c r="AC1029" s="7"/>
      <c r="AD1029" s="7"/>
      <c r="AE1029" s="7"/>
      <c r="AF1029" s="7"/>
      <c r="AG1029" s="8">
        <f t="shared" si="16"/>
        <v>43336</v>
      </c>
    </row>
    <row r="1030" spans="1:33">
      <c r="A1030" s="7" t="s">
        <v>5438</v>
      </c>
      <c r="B1030" s="7" t="s">
        <v>5438</v>
      </c>
      <c r="C1030" s="7" t="s">
        <v>5439</v>
      </c>
      <c r="D1030" s="7" t="s">
        <v>5440</v>
      </c>
      <c r="E1030" s="7" t="s">
        <v>33</v>
      </c>
      <c r="F1030" s="7" t="s">
        <v>34</v>
      </c>
      <c r="G1030" s="7" t="s">
        <v>35</v>
      </c>
      <c r="H1030" s="7"/>
      <c r="I1030" s="7"/>
      <c r="J1030" s="7" t="s">
        <v>336</v>
      </c>
      <c r="K1030" s="7" t="s">
        <v>90</v>
      </c>
      <c r="L1030" s="7" t="s">
        <v>284</v>
      </c>
      <c r="M1030" s="7" t="s">
        <v>285</v>
      </c>
      <c r="N1030" s="7" t="s">
        <v>33</v>
      </c>
      <c r="O1030" s="7">
        <v>1</v>
      </c>
      <c r="P1030" s="7" t="s">
        <v>40</v>
      </c>
      <c r="Q1030" s="7">
        <v>12.99</v>
      </c>
      <c r="R1030" s="7"/>
      <c r="S1030" s="7">
        <v>3.48</v>
      </c>
      <c r="T1030" s="7"/>
      <c r="U1030" s="7"/>
      <c r="V1030" s="7"/>
      <c r="W1030" s="7"/>
      <c r="X1030" s="7">
        <v>3.48</v>
      </c>
      <c r="Y1030" s="7" t="s">
        <v>779</v>
      </c>
      <c r="Z1030" s="7" t="s">
        <v>59</v>
      </c>
      <c r="AA1030" s="7" t="s">
        <v>2025</v>
      </c>
      <c r="AB1030" s="7" t="s">
        <v>43</v>
      </c>
      <c r="AC1030" s="7" t="s">
        <v>514</v>
      </c>
      <c r="AD1030" s="7"/>
      <c r="AE1030" s="7"/>
      <c r="AF1030" s="7"/>
      <c r="AG1030" s="8">
        <f t="shared" si="16"/>
        <v>43336</v>
      </c>
    </row>
    <row r="1031" spans="1:33">
      <c r="A1031" s="7" t="s">
        <v>5441</v>
      </c>
      <c r="B1031" s="7" t="s">
        <v>5441</v>
      </c>
      <c r="C1031" s="7" t="s">
        <v>5442</v>
      </c>
      <c r="D1031" s="7" t="s">
        <v>5443</v>
      </c>
      <c r="E1031" s="7" t="s">
        <v>33</v>
      </c>
      <c r="F1031" s="7" t="s">
        <v>34</v>
      </c>
      <c r="G1031" s="7" t="s">
        <v>35</v>
      </c>
      <c r="H1031" s="7"/>
      <c r="I1031" s="7"/>
      <c r="J1031" s="7" t="s">
        <v>336</v>
      </c>
      <c r="K1031" s="7" t="s">
        <v>456</v>
      </c>
      <c r="L1031" s="7" t="s">
        <v>1248</v>
      </c>
      <c r="M1031" s="7" t="s">
        <v>1249</v>
      </c>
      <c r="N1031" s="7" t="s">
        <v>33</v>
      </c>
      <c r="O1031" s="7">
        <v>1</v>
      </c>
      <c r="P1031" s="7" t="s">
        <v>40</v>
      </c>
      <c r="Q1031" s="7">
        <v>12.99</v>
      </c>
      <c r="R1031" s="7"/>
      <c r="S1031" s="7">
        <v>2.49</v>
      </c>
      <c r="T1031" s="7"/>
      <c r="U1031" s="7"/>
      <c r="V1031" s="7"/>
      <c r="W1031" s="7"/>
      <c r="X1031" s="7">
        <v>2.49</v>
      </c>
      <c r="Y1031" s="7" t="s">
        <v>5236</v>
      </c>
      <c r="Z1031" s="7" t="s">
        <v>5237</v>
      </c>
      <c r="AA1031" s="7" t="s">
        <v>5238</v>
      </c>
      <c r="AB1031" s="7" t="s">
        <v>43</v>
      </c>
      <c r="AC1031" s="7" t="s">
        <v>514</v>
      </c>
      <c r="AD1031" s="7"/>
      <c r="AE1031" s="7"/>
      <c r="AF1031" s="7"/>
      <c r="AG1031" s="8">
        <f t="shared" si="16"/>
        <v>43336</v>
      </c>
    </row>
    <row r="1032" spans="1:33">
      <c r="A1032" s="7" t="s">
        <v>5444</v>
      </c>
      <c r="B1032" s="7" t="s">
        <v>5444</v>
      </c>
      <c r="C1032" s="7" t="s">
        <v>5445</v>
      </c>
      <c r="D1032" s="7" t="s">
        <v>5446</v>
      </c>
      <c r="E1032" s="7" t="s">
        <v>33</v>
      </c>
      <c r="F1032" s="7" t="s">
        <v>34</v>
      </c>
      <c r="G1032" s="7" t="s">
        <v>35</v>
      </c>
      <c r="H1032" s="7"/>
      <c r="I1032" s="7"/>
      <c r="J1032" s="7" t="s">
        <v>36</v>
      </c>
      <c r="K1032" s="7" t="s">
        <v>90</v>
      </c>
      <c r="L1032" s="7" t="s">
        <v>91</v>
      </c>
      <c r="M1032" s="7" t="s">
        <v>92</v>
      </c>
      <c r="N1032" s="7" t="s">
        <v>33</v>
      </c>
      <c r="O1032" s="7">
        <v>1</v>
      </c>
      <c r="P1032" s="7" t="s">
        <v>40</v>
      </c>
      <c r="Q1032" s="7">
        <v>12.99</v>
      </c>
      <c r="R1032" s="7"/>
      <c r="S1032" s="7"/>
      <c r="T1032" s="7"/>
      <c r="U1032" s="7"/>
      <c r="V1032" s="7"/>
      <c r="W1032" s="7"/>
      <c r="X1032" s="7"/>
      <c r="Y1032" s="7" t="s">
        <v>372</v>
      </c>
      <c r="Z1032" s="7" t="s">
        <v>59</v>
      </c>
      <c r="AA1032" s="7" t="s">
        <v>5447</v>
      </c>
      <c r="AB1032" s="7" t="s">
        <v>43</v>
      </c>
      <c r="AC1032" s="7"/>
      <c r="AD1032" s="7"/>
      <c r="AE1032" s="7"/>
      <c r="AF1032" s="7"/>
      <c r="AG1032" s="8">
        <f t="shared" si="16"/>
        <v>43336</v>
      </c>
    </row>
    <row r="1033" spans="1:33">
      <c r="A1033" s="7" t="s">
        <v>5448</v>
      </c>
      <c r="B1033" s="7" t="s">
        <v>5448</v>
      </c>
      <c r="C1033" s="7" t="s">
        <v>5449</v>
      </c>
      <c r="D1033" s="7" t="s">
        <v>5450</v>
      </c>
      <c r="E1033" s="7" t="s">
        <v>33</v>
      </c>
      <c r="F1033" s="7" t="s">
        <v>34</v>
      </c>
      <c r="G1033" s="7" t="s">
        <v>35</v>
      </c>
      <c r="H1033" s="7"/>
      <c r="I1033" s="7"/>
      <c r="J1033" s="7" t="s">
        <v>36</v>
      </c>
      <c r="K1033" s="7" t="s">
        <v>5451</v>
      </c>
      <c r="L1033" s="7" t="s">
        <v>5452</v>
      </c>
      <c r="M1033" s="7" t="s">
        <v>5453</v>
      </c>
      <c r="N1033" s="7" t="s">
        <v>33</v>
      </c>
      <c r="O1033" s="7">
        <v>1</v>
      </c>
      <c r="P1033" s="7" t="s">
        <v>40</v>
      </c>
      <c r="Q1033" s="7">
        <v>29.99</v>
      </c>
      <c r="R1033" s="7"/>
      <c r="S1033" s="7"/>
      <c r="T1033" s="7"/>
      <c r="U1033" s="7"/>
      <c r="V1033" s="7"/>
      <c r="W1033" s="7"/>
      <c r="X1033" s="7"/>
      <c r="Y1033" s="7" t="s">
        <v>5454</v>
      </c>
      <c r="Z1033" s="7" t="s">
        <v>59</v>
      </c>
      <c r="AA1033" s="7">
        <v>90026</v>
      </c>
      <c r="AB1033" s="7" t="s">
        <v>43</v>
      </c>
      <c r="AC1033" s="7"/>
      <c r="AD1033" s="7"/>
      <c r="AE1033" s="7"/>
      <c r="AF1033" s="7"/>
      <c r="AG1033" s="8">
        <f t="shared" si="16"/>
        <v>43336</v>
      </c>
    </row>
    <row r="1034" spans="1:33">
      <c r="A1034" s="7" t="s">
        <v>5455</v>
      </c>
      <c r="B1034" s="7" t="s">
        <v>5455</v>
      </c>
      <c r="C1034" s="7" t="s">
        <v>5456</v>
      </c>
      <c r="D1034" s="7" t="s">
        <v>5457</v>
      </c>
      <c r="E1034" s="7" t="s">
        <v>33</v>
      </c>
      <c r="F1034" s="7" t="s">
        <v>34</v>
      </c>
      <c r="G1034" s="7" t="s">
        <v>35</v>
      </c>
      <c r="H1034" s="7"/>
      <c r="I1034" s="7"/>
      <c r="J1034" s="7" t="s">
        <v>36</v>
      </c>
      <c r="K1034" s="7" t="s">
        <v>90</v>
      </c>
      <c r="L1034" s="7" t="s">
        <v>140</v>
      </c>
      <c r="M1034" s="7" t="s">
        <v>141</v>
      </c>
      <c r="N1034" s="7" t="s">
        <v>33</v>
      </c>
      <c r="O1034" s="7">
        <v>1</v>
      </c>
      <c r="P1034" s="7" t="s">
        <v>40</v>
      </c>
      <c r="Q1034" s="7">
        <v>12.99</v>
      </c>
      <c r="R1034" s="7"/>
      <c r="S1034" s="7"/>
      <c r="T1034" s="7"/>
      <c r="U1034" s="7"/>
      <c r="V1034" s="7"/>
      <c r="W1034" s="7"/>
      <c r="X1034" s="7"/>
      <c r="Y1034" s="7" t="s">
        <v>5458</v>
      </c>
      <c r="Z1034" s="7" t="s">
        <v>646</v>
      </c>
      <c r="AA1034" s="7" t="s">
        <v>5459</v>
      </c>
      <c r="AB1034" s="7" t="s">
        <v>43</v>
      </c>
      <c r="AC1034" s="7"/>
      <c r="AD1034" s="7"/>
      <c r="AE1034" s="7"/>
      <c r="AF1034" s="7"/>
      <c r="AG1034" s="8">
        <f t="shared" si="16"/>
        <v>43336</v>
      </c>
    </row>
    <row r="1035" spans="1:33">
      <c r="A1035" s="7" t="s">
        <v>5460</v>
      </c>
      <c r="B1035" s="7" t="s">
        <v>5460</v>
      </c>
      <c r="C1035" s="7" t="s">
        <v>5461</v>
      </c>
      <c r="D1035" s="7" t="s">
        <v>5462</v>
      </c>
      <c r="E1035" s="7" t="s">
        <v>33</v>
      </c>
      <c r="F1035" s="7" t="s">
        <v>34</v>
      </c>
      <c r="G1035" s="7" t="s">
        <v>35</v>
      </c>
      <c r="H1035" s="7"/>
      <c r="I1035" s="7"/>
      <c r="J1035" s="7" t="s">
        <v>292</v>
      </c>
      <c r="K1035" s="7" t="s">
        <v>90</v>
      </c>
      <c r="L1035" s="7" t="s">
        <v>140</v>
      </c>
      <c r="M1035" s="7" t="s">
        <v>141</v>
      </c>
      <c r="N1035" s="7" t="s">
        <v>33</v>
      </c>
      <c r="O1035" s="7">
        <v>1</v>
      </c>
      <c r="P1035" s="7" t="s">
        <v>40</v>
      </c>
      <c r="Q1035" s="7">
        <v>12.99</v>
      </c>
      <c r="R1035" s="7"/>
      <c r="S1035" s="7">
        <v>25.98</v>
      </c>
      <c r="T1035" s="7"/>
      <c r="U1035" s="7"/>
      <c r="V1035" s="7"/>
      <c r="W1035" s="7"/>
      <c r="X1035" s="7"/>
      <c r="Y1035" s="7" t="s">
        <v>5463</v>
      </c>
      <c r="Z1035" s="7" t="s">
        <v>866</v>
      </c>
      <c r="AA1035" s="7">
        <v>6512</v>
      </c>
      <c r="AB1035" s="7" t="s">
        <v>43</v>
      </c>
      <c r="AC1035" s="7"/>
      <c r="AD1035" s="7"/>
      <c r="AE1035" s="7"/>
      <c r="AF1035" s="7"/>
      <c r="AG1035" s="8">
        <f t="shared" si="16"/>
        <v>43336</v>
      </c>
    </row>
    <row r="1036" spans="1:33">
      <c r="A1036" s="7" t="s">
        <v>5464</v>
      </c>
      <c r="B1036" s="7" t="s">
        <v>5464</v>
      </c>
      <c r="C1036" s="7" t="s">
        <v>5465</v>
      </c>
      <c r="D1036" s="7" t="s">
        <v>5466</v>
      </c>
      <c r="E1036" s="7" t="s">
        <v>33</v>
      </c>
      <c r="F1036" s="7" t="s">
        <v>34</v>
      </c>
      <c r="G1036" s="7" t="s">
        <v>35</v>
      </c>
      <c r="H1036" s="7"/>
      <c r="I1036" s="7"/>
      <c r="J1036" s="7" t="s">
        <v>36</v>
      </c>
      <c r="K1036" s="7" t="s">
        <v>456</v>
      </c>
      <c r="L1036" s="7" t="s">
        <v>1248</v>
      </c>
      <c r="M1036" s="7" t="s">
        <v>1249</v>
      </c>
      <c r="N1036" s="7" t="s">
        <v>33</v>
      </c>
      <c r="O1036" s="7">
        <v>1</v>
      </c>
      <c r="P1036" s="7" t="s">
        <v>40</v>
      </c>
      <c r="Q1036" s="7">
        <v>12.99</v>
      </c>
      <c r="R1036" s="7"/>
      <c r="S1036" s="7"/>
      <c r="T1036" s="7"/>
      <c r="U1036" s="7"/>
      <c r="V1036" s="7"/>
      <c r="W1036" s="7"/>
      <c r="X1036" s="7"/>
      <c r="Y1036" s="7" t="s">
        <v>397</v>
      </c>
      <c r="Z1036" s="7" t="s">
        <v>135</v>
      </c>
      <c r="AA1036" s="7" t="s">
        <v>5467</v>
      </c>
      <c r="AB1036" s="7" t="s">
        <v>43</v>
      </c>
      <c r="AC1036" s="7"/>
      <c r="AD1036" s="7"/>
      <c r="AE1036" s="7"/>
      <c r="AF1036" s="7"/>
      <c r="AG1036" s="8">
        <f t="shared" si="16"/>
        <v>43336</v>
      </c>
    </row>
    <row r="1037" spans="1:33">
      <c r="A1037" s="7" t="s">
        <v>5468</v>
      </c>
      <c r="B1037" s="7" t="s">
        <v>5468</v>
      </c>
      <c r="C1037" s="7" t="s">
        <v>5469</v>
      </c>
      <c r="D1037" s="7" t="s">
        <v>5470</v>
      </c>
      <c r="E1037" s="7" t="s">
        <v>33</v>
      </c>
      <c r="F1037" s="7" t="s">
        <v>34</v>
      </c>
      <c r="G1037" s="7" t="s">
        <v>35</v>
      </c>
      <c r="H1037" s="7"/>
      <c r="I1037" s="7"/>
      <c r="J1037" s="7" t="s">
        <v>36</v>
      </c>
      <c r="K1037" s="7" t="s">
        <v>90</v>
      </c>
      <c r="L1037" s="7" t="s">
        <v>91</v>
      </c>
      <c r="M1037" s="7" t="s">
        <v>92</v>
      </c>
      <c r="N1037" s="7" t="s">
        <v>33</v>
      </c>
      <c r="O1037" s="7">
        <v>1</v>
      </c>
      <c r="P1037" s="7" t="s">
        <v>40</v>
      </c>
      <c r="Q1037" s="7">
        <v>12.99</v>
      </c>
      <c r="R1037" s="7"/>
      <c r="S1037" s="7"/>
      <c r="T1037" s="7"/>
      <c r="U1037" s="7"/>
      <c r="V1037" s="7"/>
      <c r="W1037" s="7"/>
      <c r="X1037" s="7"/>
      <c r="Y1037" s="7" t="s">
        <v>5471</v>
      </c>
      <c r="Z1037" s="7" t="s">
        <v>848</v>
      </c>
      <c r="AA1037" s="7" t="s">
        <v>5472</v>
      </c>
      <c r="AB1037" s="7" t="s">
        <v>43</v>
      </c>
      <c r="AC1037" s="7"/>
      <c r="AD1037" s="7"/>
      <c r="AE1037" s="7"/>
      <c r="AF1037" s="7"/>
      <c r="AG1037" s="8">
        <f t="shared" si="16"/>
        <v>43336</v>
      </c>
    </row>
    <row r="1038" spans="1:33">
      <c r="A1038" s="7" t="s">
        <v>5473</v>
      </c>
      <c r="B1038" s="7" t="s">
        <v>5473</v>
      </c>
      <c r="C1038" s="7" t="s">
        <v>5474</v>
      </c>
      <c r="D1038" s="7" t="s">
        <v>5475</v>
      </c>
      <c r="E1038" s="7" t="s">
        <v>33</v>
      </c>
      <c r="F1038" s="7" t="s">
        <v>34</v>
      </c>
      <c r="G1038" s="7" t="s">
        <v>35</v>
      </c>
      <c r="H1038" s="7"/>
      <c r="I1038" s="7"/>
      <c r="J1038" s="7" t="s">
        <v>36</v>
      </c>
      <c r="K1038" s="7" t="s">
        <v>90</v>
      </c>
      <c r="L1038" s="7" t="s">
        <v>284</v>
      </c>
      <c r="M1038" s="7" t="s">
        <v>285</v>
      </c>
      <c r="N1038" s="7" t="s">
        <v>33</v>
      </c>
      <c r="O1038" s="7">
        <v>1</v>
      </c>
      <c r="P1038" s="7" t="s">
        <v>40</v>
      </c>
      <c r="Q1038" s="7">
        <v>12.99</v>
      </c>
      <c r="R1038" s="7"/>
      <c r="S1038" s="7"/>
      <c r="T1038" s="7"/>
      <c r="U1038" s="7"/>
      <c r="V1038" s="7"/>
      <c r="W1038" s="7"/>
      <c r="X1038" s="7"/>
      <c r="Y1038" s="7" t="s">
        <v>5476</v>
      </c>
      <c r="Z1038" s="7" t="s">
        <v>1387</v>
      </c>
      <c r="AA1038" s="7">
        <v>33018</v>
      </c>
      <c r="AB1038" s="7" t="s">
        <v>43</v>
      </c>
      <c r="AC1038" s="7"/>
      <c r="AD1038" s="7"/>
      <c r="AE1038" s="7"/>
      <c r="AF1038" s="7"/>
      <c r="AG1038" s="8">
        <f t="shared" si="16"/>
        <v>43336</v>
      </c>
    </row>
    <row r="1039" spans="1:33">
      <c r="A1039" s="7" t="s">
        <v>5477</v>
      </c>
      <c r="B1039" s="7" t="s">
        <v>5477</v>
      </c>
      <c r="C1039" s="7" t="s">
        <v>5478</v>
      </c>
      <c r="D1039" s="7" t="s">
        <v>5479</v>
      </c>
      <c r="E1039" s="7" t="s">
        <v>33</v>
      </c>
      <c r="F1039" s="7" t="s">
        <v>34</v>
      </c>
      <c r="G1039" s="7" t="s">
        <v>35</v>
      </c>
      <c r="H1039" s="7"/>
      <c r="I1039" s="7"/>
      <c r="J1039" s="7" t="s">
        <v>336</v>
      </c>
      <c r="K1039" s="7" t="s">
        <v>456</v>
      </c>
      <c r="L1039" s="7" t="s">
        <v>959</v>
      </c>
      <c r="M1039" s="7" t="s">
        <v>960</v>
      </c>
      <c r="N1039" s="7" t="s">
        <v>33</v>
      </c>
      <c r="O1039" s="7">
        <v>1</v>
      </c>
      <c r="P1039" s="7" t="s">
        <v>40</v>
      </c>
      <c r="Q1039" s="7">
        <v>12.99</v>
      </c>
      <c r="R1039" s="7"/>
      <c r="S1039" s="7">
        <v>2.49</v>
      </c>
      <c r="T1039" s="7"/>
      <c r="U1039" s="7"/>
      <c r="V1039" s="7"/>
      <c r="W1039" s="7"/>
      <c r="X1039" s="7">
        <v>2.49</v>
      </c>
      <c r="Y1039" s="7" t="s">
        <v>5480</v>
      </c>
      <c r="Z1039" s="7" t="s">
        <v>5372</v>
      </c>
      <c r="AA1039" s="7" t="s">
        <v>5481</v>
      </c>
      <c r="AB1039" s="7" t="s">
        <v>43</v>
      </c>
      <c r="AC1039" s="7" t="s">
        <v>514</v>
      </c>
      <c r="AD1039" s="7"/>
      <c r="AE1039" s="7"/>
      <c r="AF1039" s="7"/>
      <c r="AG1039" s="8">
        <f t="shared" si="16"/>
        <v>43336</v>
      </c>
    </row>
    <row r="1040" spans="1:33">
      <c r="A1040" s="7" t="s">
        <v>5482</v>
      </c>
      <c r="B1040" s="7" t="s">
        <v>5482</v>
      </c>
      <c r="C1040" s="7" t="s">
        <v>5483</v>
      </c>
      <c r="D1040" s="7" t="s">
        <v>5484</v>
      </c>
      <c r="E1040" s="7" t="s">
        <v>5485</v>
      </c>
      <c r="F1040" s="7" t="s">
        <v>34</v>
      </c>
      <c r="G1040" s="7" t="s">
        <v>35</v>
      </c>
      <c r="H1040" s="7"/>
      <c r="I1040" s="7"/>
      <c r="J1040" s="7" t="s">
        <v>336</v>
      </c>
      <c r="K1040" s="7" t="s">
        <v>255</v>
      </c>
      <c r="L1040" s="7" t="s">
        <v>256</v>
      </c>
      <c r="M1040" s="7" t="s">
        <v>257</v>
      </c>
      <c r="N1040" s="7" t="s">
        <v>459</v>
      </c>
      <c r="O1040" s="7">
        <v>1</v>
      </c>
      <c r="P1040" s="7" t="s">
        <v>40</v>
      </c>
      <c r="Q1040" s="7">
        <v>19.99</v>
      </c>
      <c r="R1040" s="7"/>
      <c r="S1040" s="7"/>
      <c r="T1040" s="7"/>
      <c r="U1040" s="7"/>
      <c r="V1040" s="7"/>
      <c r="W1040" s="7"/>
      <c r="X1040" s="7"/>
      <c r="Y1040" s="7" t="s">
        <v>801</v>
      </c>
      <c r="Z1040" s="7" t="s">
        <v>135</v>
      </c>
      <c r="AA1040" s="7" t="s">
        <v>5486</v>
      </c>
      <c r="AB1040" s="7" t="s">
        <v>43</v>
      </c>
      <c r="AC1040" s="7" t="s">
        <v>514</v>
      </c>
      <c r="AD1040" s="7"/>
      <c r="AE1040" s="7"/>
      <c r="AF1040" s="7"/>
      <c r="AG1040" s="8">
        <f t="shared" si="16"/>
        <v>43336</v>
      </c>
    </row>
    <row r="1041" spans="1:33">
      <c r="A1041" s="7" t="s">
        <v>5487</v>
      </c>
      <c r="B1041" s="7" t="s">
        <v>5487</v>
      </c>
      <c r="C1041" s="7" t="s">
        <v>5488</v>
      </c>
      <c r="D1041" s="7" t="s">
        <v>5489</v>
      </c>
      <c r="E1041" s="7" t="s">
        <v>5485</v>
      </c>
      <c r="F1041" s="7" t="s">
        <v>34</v>
      </c>
      <c r="G1041" s="7" t="s">
        <v>35</v>
      </c>
      <c r="H1041" s="7"/>
      <c r="I1041" s="7"/>
      <c r="J1041" s="7" t="s">
        <v>336</v>
      </c>
      <c r="K1041" s="7" t="s">
        <v>37</v>
      </c>
      <c r="L1041" s="7" t="s">
        <v>602</v>
      </c>
      <c r="M1041" s="7" t="s">
        <v>603</v>
      </c>
      <c r="N1041" s="7" t="s">
        <v>33</v>
      </c>
      <c r="O1041" s="7">
        <v>1</v>
      </c>
      <c r="P1041" s="7" t="s">
        <v>40</v>
      </c>
      <c r="Q1041" s="7">
        <v>19.99</v>
      </c>
      <c r="R1041" s="7"/>
      <c r="S1041" s="7">
        <v>3.48</v>
      </c>
      <c r="T1041" s="7"/>
      <c r="U1041" s="7"/>
      <c r="V1041" s="7"/>
      <c r="W1041" s="7"/>
      <c r="X1041" s="7">
        <v>3.48</v>
      </c>
      <c r="Y1041" s="7" t="s">
        <v>5490</v>
      </c>
      <c r="Z1041" s="7" t="s">
        <v>345</v>
      </c>
      <c r="AA1041" s="7" t="s">
        <v>5491</v>
      </c>
      <c r="AB1041" s="7" t="s">
        <v>43</v>
      </c>
      <c r="AC1041" s="7" t="s">
        <v>514</v>
      </c>
      <c r="AD1041" s="7"/>
      <c r="AE1041" s="7"/>
      <c r="AF1041" s="7"/>
      <c r="AG1041" s="8">
        <f t="shared" si="16"/>
        <v>43336</v>
      </c>
    </row>
    <row r="1042" spans="1:33">
      <c r="A1042" s="7" t="s">
        <v>5487</v>
      </c>
      <c r="B1042" s="7" t="s">
        <v>5487</v>
      </c>
      <c r="C1042" s="7" t="s">
        <v>5488</v>
      </c>
      <c r="D1042" s="7" t="s">
        <v>5489</v>
      </c>
      <c r="E1042" s="7" t="s">
        <v>5485</v>
      </c>
      <c r="F1042" s="7" t="s">
        <v>34</v>
      </c>
      <c r="G1042" s="7" t="s">
        <v>35</v>
      </c>
      <c r="H1042" s="7"/>
      <c r="I1042" s="7"/>
      <c r="J1042" s="7" t="s">
        <v>336</v>
      </c>
      <c r="K1042" s="7" t="s">
        <v>37</v>
      </c>
      <c r="L1042" s="7" t="s">
        <v>1092</v>
      </c>
      <c r="M1042" s="7" t="s">
        <v>1093</v>
      </c>
      <c r="N1042" s="7" t="s">
        <v>459</v>
      </c>
      <c r="O1042" s="7">
        <v>1</v>
      </c>
      <c r="P1042" s="7" t="s">
        <v>40</v>
      </c>
      <c r="Q1042" s="7">
        <v>19.99</v>
      </c>
      <c r="R1042" s="7"/>
      <c r="S1042" s="7">
        <v>3.49</v>
      </c>
      <c r="T1042" s="7"/>
      <c r="U1042" s="7"/>
      <c r="V1042" s="7"/>
      <c r="W1042" s="7"/>
      <c r="X1042" s="7">
        <v>3.49</v>
      </c>
      <c r="Y1042" s="7" t="s">
        <v>5490</v>
      </c>
      <c r="Z1042" s="7" t="s">
        <v>345</v>
      </c>
      <c r="AA1042" s="7" t="s">
        <v>5491</v>
      </c>
      <c r="AB1042" s="7" t="s">
        <v>43</v>
      </c>
      <c r="AC1042" s="7" t="s">
        <v>514</v>
      </c>
      <c r="AD1042" s="7"/>
      <c r="AE1042" s="7"/>
      <c r="AF1042" s="7"/>
      <c r="AG1042" s="8">
        <f t="shared" si="16"/>
        <v>43336</v>
      </c>
    </row>
    <row r="1043" spans="1:33">
      <c r="A1043" s="7" t="s">
        <v>5492</v>
      </c>
      <c r="B1043" s="7" t="s">
        <v>5492</v>
      </c>
      <c r="C1043" s="7" t="s">
        <v>5493</v>
      </c>
      <c r="D1043" s="7" t="s">
        <v>5494</v>
      </c>
      <c r="E1043" s="7" t="s">
        <v>33</v>
      </c>
      <c r="F1043" s="7" t="s">
        <v>34</v>
      </c>
      <c r="G1043" s="7" t="s">
        <v>35</v>
      </c>
      <c r="H1043" s="7"/>
      <c r="I1043" s="7"/>
      <c r="J1043" s="7" t="s">
        <v>36</v>
      </c>
      <c r="K1043" s="7" t="s">
        <v>5495</v>
      </c>
      <c r="L1043" s="7" t="s">
        <v>5496</v>
      </c>
      <c r="M1043" s="7" t="s">
        <v>5497</v>
      </c>
      <c r="N1043" s="7" t="s">
        <v>33</v>
      </c>
      <c r="O1043" s="7">
        <v>1</v>
      </c>
      <c r="P1043" s="7" t="s">
        <v>40</v>
      </c>
      <c r="Q1043" s="7">
        <v>19.99</v>
      </c>
      <c r="R1043" s="7"/>
      <c r="S1043" s="7"/>
      <c r="T1043" s="7"/>
      <c r="U1043" s="7"/>
      <c r="V1043" s="7"/>
      <c r="W1043" s="7"/>
      <c r="X1043" s="7"/>
      <c r="Y1043" s="7" t="s">
        <v>173</v>
      </c>
      <c r="Z1043" s="7" t="s">
        <v>174</v>
      </c>
      <c r="AA1043" s="7" t="s">
        <v>5498</v>
      </c>
      <c r="AB1043" s="7" t="s">
        <v>43</v>
      </c>
      <c r="AC1043" s="7"/>
      <c r="AD1043" s="7"/>
      <c r="AE1043" s="7"/>
      <c r="AF1043" s="7"/>
      <c r="AG1043" s="8">
        <f t="shared" si="16"/>
        <v>43336</v>
      </c>
    </row>
    <row r="1044" spans="1:33">
      <c r="A1044" s="7" t="s">
        <v>5499</v>
      </c>
      <c r="B1044" s="7" t="s">
        <v>5499</v>
      </c>
      <c r="C1044" s="7" t="s">
        <v>5500</v>
      </c>
      <c r="D1044" s="7" t="s">
        <v>5501</v>
      </c>
      <c r="E1044" s="7" t="s">
        <v>33</v>
      </c>
      <c r="F1044" s="7" t="s">
        <v>34</v>
      </c>
      <c r="G1044" s="7" t="s">
        <v>35</v>
      </c>
      <c r="H1044" s="7"/>
      <c r="I1044" s="7"/>
      <c r="J1044" s="7" t="s">
        <v>292</v>
      </c>
      <c r="K1044" s="7" t="s">
        <v>247</v>
      </c>
      <c r="L1044" s="7" t="s">
        <v>248</v>
      </c>
      <c r="M1044" s="7" t="s">
        <v>249</v>
      </c>
      <c r="N1044" s="7" t="s">
        <v>33</v>
      </c>
      <c r="O1044" s="7">
        <v>1</v>
      </c>
      <c r="P1044" s="7" t="s">
        <v>40</v>
      </c>
      <c r="Q1044" s="7">
        <v>18.99</v>
      </c>
      <c r="R1044" s="7"/>
      <c r="S1044" s="7">
        <v>8.99</v>
      </c>
      <c r="T1044" s="7"/>
      <c r="U1044" s="7"/>
      <c r="V1044" s="7"/>
      <c r="W1044" s="7"/>
      <c r="X1044" s="7"/>
      <c r="Y1044" s="7" t="s">
        <v>5502</v>
      </c>
      <c r="Z1044" s="7" t="s">
        <v>135</v>
      </c>
      <c r="AA1044" s="7" t="s">
        <v>5503</v>
      </c>
      <c r="AB1044" s="7" t="s">
        <v>43</v>
      </c>
      <c r="AC1044" s="7"/>
      <c r="AD1044" s="7"/>
      <c r="AE1044" s="7"/>
      <c r="AF1044" s="7"/>
      <c r="AG1044" s="8">
        <f t="shared" si="16"/>
        <v>43336</v>
      </c>
    </row>
    <row r="1045" spans="1:33">
      <c r="A1045" s="7" t="s">
        <v>5504</v>
      </c>
      <c r="B1045" s="7" t="s">
        <v>5504</v>
      </c>
      <c r="C1045" s="7" t="s">
        <v>5505</v>
      </c>
      <c r="D1045" s="7" t="s">
        <v>5506</v>
      </c>
      <c r="E1045" s="7" t="s">
        <v>33</v>
      </c>
      <c r="F1045" s="7" t="s">
        <v>34</v>
      </c>
      <c r="G1045" s="7" t="s">
        <v>35</v>
      </c>
      <c r="H1045" s="7"/>
      <c r="I1045" s="7"/>
      <c r="J1045" s="7" t="s">
        <v>36</v>
      </c>
      <c r="K1045" s="7" t="s">
        <v>456</v>
      </c>
      <c r="L1045" s="7" t="s">
        <v>1248</v>
      </c>
      <c r="M1045" s="7" t="s">
        <v>1249</v>
      </c>
      <c r="N1045" s="7" t="s">
        <v>33</v>
      </c>
      <c r="O1045" s="7">
        <v>1</v>
      </c>
      <c r="P1045" s="7" t="s">
        <v>40</v>
      </c>
      <c r="Q1045" s="7">
        <v>12.99</v>
      </c>
      <c r="R1045" s="7"/>
      <c r="S1045" s="7"/>
      <c r="T1045" s="7"/>
      <c r="U1045" s="7"/>
      <c r="V1045" s="7"/>
      <c r="W1045" s="7"/>
      <c r="X1045" s="7"/>
      <c r="Y1045" s="7" t="s">
        <v>1418</v>
      </c>
      <c r="Z1045" s="7" t="s">
        <v>85</v>
      </c>
      <c r="AA1045" s="7" t="s">
        <v>5507</v>
      </c>
      <c r="AB1045" s="7" t="s">
        <v>43</v>
      </c>
      <c r="AC1045" s="7"/>
      <c r="AD1045" s="7"/>
      <c r="AE1045" s="7"/>
      <c r="AF1045" s="7"/>
      <c r="AG1045" s="8">
        <f t="shared" si="16"/>
        <v>43336</v>
      </c>
    </row>
    <row r="1046" spans="1:33">
      <c r="A1046" s="7" t="s">
        <v>5508</v>
      </c>
      <c r="B1046" s="7" t="s">
        <v>5508</v>
      </c>
      <c r="C1046" s="7" t="s">
        <v>5509</v>
      </c>
      <c r="D1046" s="7" t="s">
        <v>5510</v>
      </c>
      <c r="E1046" s="7" t="s">
        <v>33</v>
      </c>
      <c r="F1046" s="7" t="s">
        <v>34</v>
      </c>
      <c r="G1046" s="7" t="s">
        <v>35</v>
      </c>
      <c r="H1046" s="7"/>
      <c r="I1046" s="7"/>
      <c r="J1046" s="7" t="s">
        <v>36</v>
      </c>
      <c r="K1046" s="7" t="s">
        <v>90</v>
      </c>
      <c r="L1046" s="7" t="s">
        <v>191</v>
      </c>
      <c r="M1046" s="7" t="s">
        <v>192</v>
      </c>
      <c r="N1046" s="7" t="s">
        <v>33</v>
      </c>
      <c r="O1046" s="7">
        <v>1</v>
      </c>
      <c r="P1046" s="7" t="s">
        <v>40</v>
      </c>
      <c r="Q1046" s="7">
        <v>12.99</v>
      </c>
      <c r="R1046" s="7"/>
      <c r="S1046" s="7"/>
      <c r="T1046" s="7"/>
      <c r="U1046" s="7"/>
      <c r="V1046" s="7"/>
      <c r="W1046" s="7"/>
      <c r="X1046" s="7"/>
      <c r="Y1046" s="7" t="s">
        <v>5454</v>
      </c>
      <c r="Z1046" s="7" t="s">
        <v>59</v>
      </c>
      <c r="AA1046" s="7">
        <v>90020</v>
      </c>
      <c r="AB1046" s="7" t="s">
        <v>43</v>
      </c>
      <c r="AC1046" s="7"/>
      <c r="AD1046" s="7"/>
      <c r="AE1046" s="7"/>
      <c r="AF1046" s="7"/>
      <c r="AG1046" s="8">
        <f t="shared" si="16"/>
        <v>43336</v>
      </c>
    </row>
    <row r="1047" spans="1:33">
      <c r="A1047" s="7" t="s">
        <v>5511</v>
      </c>
      <c r="B1047" s="7" t="s">
        <v>5511</v>
      </c>
      <c r="C1047" s="7" t="s">
        <v>5512</v>
      </c>
      <c r="D1047" s="7" t="s">
        <v>5513</v>
      </c>
      <c r="E1047" s="7" t="s">
        <v>33</v>
      </c>
      <c r="F1047" s="7" t="s">
        <v>34</v>
      </c>
      <c r="G1047" s="7" t="s">
        <v>35</v>
      </c>
      <c r="H1047" s="7"/>
      <c r="I1047" s="7"/>
      <c r="J1047" s="7" t="s">
        <v>36</v>
      </c>
      <c r="K1047" s="7" t="s">
        <v>90</v>
      </c>
      <c r="L1047" s="7" t="s">
        <v>140</v>
      </c>
      <c r="M1047" s="7" t="s">
        <v>141</v>
      </c>
      <c r="N1047" s="7" t="s">
        <v>33</v>
      </c>
      <c r="O1047" s="7">
        <v>1</v>
      </c>
      <c r="P1047" s="7" t="s">
        <v>40</v>
      </c>
      <c r="Q1047" s="7">
        <v>12.99</v>
      </c>
      <c r="R1047" s="7"/>
      <c r="S1047" s="7"/>
      <c r="T1047" s="7"/>
      <c r="U1047" s="7"/>
      <c r="V1047" s="7"/>
      <c r="W1047" s="7"/>
      <c r="X1047" s="7"/>
      <c r="Y1047" s="7" t="s">
        <v>1151</v>
      </c>
      <c r="Z1047" s="7" t="s">
        <v>227</v>
      </c>
      <c r="AA1047" s="7">
        <v>11220</v>
      </c>
      <c r="AB1047" s="7" t="s">
        <v>43</v>
      </c>
      <c r="AC1047" s="7"/>
      <c r="AD1047" s="7"/>
      <c r="AE1047" s="7"/>
      <c r="AF1047" s="7"/>
      <c r="AG1047" s="8">
        <f t="shared" si="16"/>
        <v>43336</v>
      </c>
    </row>
    <row r="1048" spans="1:33">
      <c r="A1048" s="7" t="s">
        <v>5514</v>
      </c>
      <c r="B1048" s="7" t="s">
        <v>5514</v>
      </c>
      <c r="C1048" s="7" t="s">
        <v>5515</v>
      </c>
      <c r="D1048" s="7" t="s">
        <v>5516</v>
      </c>
      <c r="E1048" s="7" t="s">
        <v>33</v>
      </c>
      <c r="F1048" s="7" t="s">
        <v>34</v>
      </c>
      <c r="G1048" s="7" t="s">
        <v>35</v>
      </c>
      <c r="H1048" s="7"/>
      <c r="I1048" s="7"/>
      <c r="J1048" s="7" t="s">
        <v>36</v>
      </c>
      <c r="K1048" s="7" t="s">
        <v>90</v>
      </c>
      <c r="L1048" s="7" t="s">
        <v>91</v>
      </c>
      <c r="M1048" s="7" t="s">
        <v>92</v>
      </c>
      <c r="N1048" s="7" t="s">
        <v>33</v>
      </c>
      <c r="O1048" s="7">
        <v>1</v>
      </c>
      <c r="P1048" s="7" t="s">
        <v>40</v>
      </c>
      <c r="Q1048" s="7">
        <v>12.99</v>
      </c>
      <c r="R1048" s="7"/>
      <c r="S1048" s="7"/>
      <c r="T1048" s="7"/>
      <c r="U1048" s="7"/>
      <c r="V1048" s="7"/>
      <c r="W1048" s="7"/>
      <c r="X1048" s="7"/>
      <c r="Y1048" s="7" t="s">
        <v>5517</v>
      </c>
      <c r="Z1048" s="7" t="s">
        <v>59</v>
      </c>
      <c r="AA1048" s="7">
        <v>92880</v>
      </c>
      <c r="AB1048" s="7" t="s">
        <v>43</v>
      </c>
      <c r="AC1048" s="7"/>
      <c r="AD1048" s="7"/>
      <c r="AE1048" s="7"/>
      <c r="AF1048" s="7"/>
      <c r="AG1048" s="8">
        <f t="shared" si="16"/>
        <v>43336</v>
      </c>
    </row>
    <row r="1049" spans="1:33">
      <c r="A1049" s="7" t="s">
        <v>5518</v>
      </c>
      <c r="B1049" s="7" t="s">
        <v>5518</v>
      </c>
      <c r="C1049" s="7" t="s">
        <v>5519</v>
      </c>
      <c r="D1049" s="7" t="s">
        <v>5520</v>
      </c>
      <c r="E1049" s="7" t="s">
        <v>33</v>
      </c>
      <c r="F1049" s="7" t="s">
        <v>34</v>
      </c>
      <c r="G1049" s="7" t="s">
        <v>35</v>
      </c>
      <c r="H1049" s="7"/>
      <c r="I1049" s="7"/>
      <c r="J1049" s="7" t="s">
        <v>36</v>
      </c>
      <c r="K1049" s="7" t="s">
        <v>2415</v>
      </c>
      <c r="L1049" s="7" t="s">
        <v>2416</v>
      </c>
      <c r="M1049" s="7" t="s">
        <v>2417</v>
      </c>
      <c r="N1049" s="7" t="s">
        <v>33</v>
      </c>
      <c r="O1049" s="7">
        <v>1</v>
      </c>
      <c r="P1049" s="7" t="s">
        <v>40</v>
      </c>
      <c r="Q1049" s="7">
        <v>16.99</v>
      </c>
      <c r="R1049" s="7"/>
      <c r="S1049" s="7"/>
      <c r="T1049" s="7"/>
      <c r="U1049" s="7"/>
      <c r="V1049" s="7"/>
      <c r="W1049" s="7"/>
      <c r="X1049" s="7"/>
      <c r="Y1049" s="7" t="s">
        <v>5521</v>
      </c>
      <c r="Z1049" s="7" t="s">
        <v>59</v>
      </c>
      <c r="AA1049" s="7" t="s">
        <v>5522</v>
      </c>
      <c r="AB1049" s="7" t="s">
        <v>43</v>
      </c>
      <c r="AC1049" s="7"/>
      <c r="AD1049" s="7"/>
      <c r="AE1049" s="7"/>
      <c r="AF1049" s="7"/>
      <c r="AG1049" s="8">
        <f t="shared" si="16"/>
        <v>43336</v>
      </c>
    </row>
    <row r="1050" spans="1:33">
      <c r="A1050" s="7" t="s">
        <v>5523</v>
      </c>
      <c r="B1050" s="7" t="s">
        <v>5523</v>
      </c>
      <c r="C1050" s="7" t="s">
        <v>5524</v>
      </c>
      <c r="D1050" s="7" t="s">
        <v>5525</v>
      </c>
      <c r="E1050" s="7" t="s">
        <v>33</v>
      </c>
      <c r="F1050" s="7" t="s">
        <v>34</v>
      </c>
      <c r="G1050" s="7" t="s">
        <v>35</v>
      </c>
      <c r="H1050" s="7"/>
      <c r="I1050" s="7"/>
      <c r="J1050" s="7" t="s">
        <v>36</v>
      </c>
      <c r="K1050" s="7" t="s">
        <v>456</v>
      </c>
      <c r="L1050" s="7" t="s">
        <v>1248</v>
      </c>
      <c r="M1050" s="7" t="s">
        <v>1249</v>
      </c>
      <c r="N1050" s="7" t="s">
        <v>33</v>
      </c>
      <c r="O1050" s="7">
        <v>1</v>
      </c>
      <c r="P1050" s="7" t="s">
        <v>40</v>
      </c>
      <c r="Q1050" s="7">
        <v>12.99</v>
      </c>
      <c r="R1050" s="7"/>
      <c r="S1050" s="7"/>
      <c r="T1050" s="7"/>
      <c r="U1050" s="7"/>
      <c r="V1050" s="7"/>
      <c r="W1050" s="7"/>
      <c r="X1050" s="7"/>
      <c r="Y1050" s="7" t="s">
        <v>4930</v>
      </c>
      <c r="Z1050" s="7" t="s">
        <v>59</v>
      </c>
      <c r="AA1050" s="7" t="s">
        <v>5526</v>
      </c>
      <c r="AB1050" s="7" t="s">
        <v>43</v>
      </c>
      <c r="AC1050" s="7"/>
      <c r="AD1050" s="7"/>
      <c r="AE1050" s="7"/>
      <c r="AF1050" s="7"/>
      <c r="AG1050" s="8">
        <f t="shared" si="16"/>
        <v>43336</v>
      </c>
    </row>
    <row r="1051" spans="1:33">
      <c r="A1051" s="7" t="s">
        <v>5527</v>
      </c>
      <c r="B1051" s="7" t="s">
        <v>5527</v>
      </c>
      <c r="C1051" s="7" t="s">
        <v>5528</v>
      </c>
      <c r="D1051" s="7" t="s">
        <v>5529</v>
      </c>
      <c r="E1051" s="7" t="s">
        <v>33</v>
      </c>
      <c r="F1051" s="7" t="s">
        <v>34</v>
      </c>
      <c r="G1051" s="7" t="s">
        <v>35</v>
      </c>
      <c r="H1051" s="7"/>
      <c r="I1051" s="7"/>
      <c r="J1051" s="7" t="s">
        <v>36</v>
      </c>
      <c r="K1051" s="7" t="s">
        <v>247</v>
      </c>
      <c r="L1051" s="7" t="s">
        <v>248</v>
      </c>
      <c r="M1051" s="7" t="s">
        <v>249</v>
      </c>
      <c r="N1051" s="7" t="s">
        <v>33</v>
      </c>
      <c r="O1051" s="7">
        <v>1</v>
      </c>
      <c r="P1051" s="7" t="s">
        <v>40</v>
      </c>
      <c r="Q1051" s="7">
        <v>18.99</v>
      </c>
      <c r="R1051" s="7"/>
      <c r="S1051" s="7"/>
      <c r="T1051" s="7"/>
      <c r="U1051" s="7"/>
      <c r="V1051" s="7"/>
      <c r="W1051" s="7"/>
      <c r="X1051" s="7"/>
      <c r="Y1051" s="7" t="s">
        <v>5530</v>
      </c>
      <c r="Z1051" s="7" t="s">
        <v>345</v>
      </c>
      <c r="AA1051" s="7" t="s">
        <v>5531</v>
      </c>
      <c r="AB1051" s="7" t="s">
        <v>43</v>
      </c>
      <c r="AC1051" s="7"/>
      <c r="AD1051" s="7"/>
      <c r="AE1051" s="7"/>
      <c r="AF1051" s="7"/>
      <c r="AG1051" s="8">
        <f t="shared" si="16"/>
        <v>43336</v>
      </c>
    </row>
    <row r="1052" spans="1:33">
      <c r="A1052" s="7" t="s">
        <v>5532</v>
      </c>
      <c r="B1052" s="7" t="s">
        <v>5532</v>
      </c>
      <c r="C1052" s="7" t="s">
        <v>5533</v>
      </c>
      <c r="D1052" s="7" t="s">
        <v>5534</v>
      </c>
      <c r="E1052" s="7" t="s">
        <v>33</v>
      </c>
      <c r="F1052" s="7" t="s">
        <v>34</v>
      </c>
      <c r="G1052" s="7" t="s">
        <v>35</v>
      </c>
      <c r="H1052" s="7"/>
      <c r="I1052" s="7"/>
      <c r="J1052" s="7" t="s">
        <v>36</v>
      </c>
      <c r="K1052" s="7" t="s">
        <v>456</v>
      </c>
      <c r="L1052" s="7" t="s">
        <v>1280</v>
      </c>
      <c r="M1052" s="7" t="s">
        <v>1281</v>
      </c>
      <c r="N1052" s="7" t="s">
        <v>33</v>
      </c>
      <c r="O1052" s="7">
        <v>1</v>
      </c>
      <c r="P1052" s="7" t="s">
        <v>40</v>
      </c>
      <c r="Q1052" s="7">
        <v>12.99</v>
      </c>
      <c r="R1052" s="7"/>
      <c r="S1052" s="7"/>
      <c r="T1052" s="7"/>
      <c r="U1052" s="7"/>
      <c r="V1052" s="7"/>
      <c r="W1052" s="7"/>
      <c r="X1052" s="7"/>
      <c r="Y1052" s="7" t="s">
        <v>5535</v>
      </c>
      <c r="Z1052" s="7" t="s">
        <v>194</v>
      </c>
      <c r="AA1052" s="7" t="s">
        <v>5536</v>
      </c>
      <c r="AB1052" s="7" t="s">
        <v>43</v>
      </c>
      <c r="AC1052" s="7"/>
      <c r="AD1052" s="7"/>
      <c r="AE1052" s="7"/>
      <c r="AF1052" s="7"/>
      <c r="AG1052" s="8">
        <f t="shared" si="16"/>
        <v>43336</v>
      </c>
    </row>
    <row r="1053" spans="1:33">
      <c r="A1053" s="7" t="s">
        <v>5537</v>
      </c>
      <c r="B1053" s="7" t="s">
        <v>5537</v>
      </c>
      <c r="C1053" s="7" t="s">
        <v>5538</v>
      </c>
      <c r="D1053" s="7" t="s">
        <v>5539</v>
      </c>
      <c r="E1053" s="7" t="s">
        <v>33</v>
      </c>
      <c r="F1053" s="7" t="s">
        <v>34</v>
      </c>
      <c r="G1053" s="7" t="s">
        <v>35</v>
      </c>
      <c r="H1053" s="7"/>
      <c r="I1053" s="7"/>
      <c r="J1053" s="7" t="s">
        <v>36</v>
      </c>
      <c r="K1053" s="7" t="s">
        <v>131</v>
      </c>
      <c r="L1053" s="7" t="s">
        <v>132</v>
      </c>
      <c r="M1053" s="7" t="s">
        <v>133</v>
      </c>
      <c r="N1053" s="7" t="s">
        <v>33</v>
      </c>
      <c r="O1053" s="7">
        <v>1</v>
      </c>
      <c r="P1053" s="7" t="s">
        <v>40</v>
      </c>
      <c r="Q1053" s="7">
        <v>18.99</v>
      </c>
      <c r="R1053" s="7"/>
      <c r="S1053" s="7"/>
      <c r="T1053" s="7"/>
      <c r="U1053" s="7"/>
      <c r="V1053" s="7"/>
      <c r="W1053" s="7"/>
      <c r="X1053" s="7"/>
      <c r="Y1053" s="7" t="s">
        <v>1418</v>
      </c>
      <c r="Z1053" s="7" t="s">
        <v>85</v>
      </c>
      <c r="AA1053" s="7" t="s">
        <v>5540</v>
      </c>
      <c r="AB1053" s="7" t="s">
        <v>43</v>
      </c>
      <c r="AC1053" s="7"/>
      <c r="AD1053" s="7"/>
      <c r="AE1053" s="7"/>
      <c r="AF1053" s="7"/>
      <c r="AG1053" s="8">
        <f t="shared" si="16"/>
        <v>43337</v>
      </c>
    </row>
    <row r="1054" spans="1:33">
      <c r="A1054" s="7" t="s">
        <v>5541</v>
      </c>
      <c r="B1054" s="7" t="s">
        <v>5541</v>
      </c>
      <c r="C1054" s="7" t="s">
        <v>5542</v>
      </c>
      <c r="D1054" s="7" t="s">
        <v>5543</v>
      </c>
      <c r="E1054" s="7" t="s">
        <v>5485</v>
      </c>
      <c r="F1054" s="7" t="s">
        <v>34</v>
      </c>
      <c r="G1054" s="7" t="s">
        <v>35</v>
      </c>
      <c r="H1054" s="7"/>
      <c r="I1054" s="7"/>
      <c r="J1054" s="7" t="s">
        <v>336</v>
      </c>
      <c r="K1054" s="7" t="s">
        <v>255</v>
      </c>
      <c r="L1054" s="7" t="s">
        <v>256</v>
      </c>
      <c r="M1054" s="7" t="s">
        <v>257</v>
      </c>
      <c r="N1054" s="7" t="s">
        <v>459</v>
      </c>
      <c r="O1054" s="7">
        <v>1</v>
      </c>
      <c r="P1054" s="7" t="s">
        <v>40</v>
      </c>
      <c r="Q1054" s="7">
        <v>19.99</v>
      </c>
      <c r="R1054" s="7"/>
      <c r="S1054" s="7"/>
      <c r="T1054" s="7"/>
      <c r="U1054" s="7"/>
      <c r="V1054" s="7"/>
      <c r="W1054" s="7"/>
      <c r="X1054" s="7"/>
      <c r="Y1054" s="7" t="s">
        <v>801</v>
      </c>
      <c r="Z1054" s="7" t="s">
        <v>135</v>
      </c>
      <c r="AA1054" s="7">
        <v>33196</v>
      </c>
      <c r="AB1054" s="7" t="s">
        <v>43</v>
      </c>
      <c r="AC1054" s="7" t="s">
        <v>514</v>
      </c>
      <c r="AD1054" s="7"/>
      <c r="AE1054" s="7"/>
      <c r="AF1054" s="7"/>
      <c r="AG1054" s="8">
        <f t="shared" si="16"/>
        <v>43337</v>
      </c>
    </row>
    <row r="1055" spans="1:33">
      <c r="A1055" s="7" t="s">
        <v>5544</v>
      </c>
      <c r="B1055" s="7" t="s">
        <v>5544</v>
      </c>
      <c r="C1055" s="7" t="s">
        <v>5545</v>
      </c>
      <c r="D1055" s="7" t="s">
        <v>5546</v>
      </c>
      <c r="E1055" s="7" t="s">
        <v>33</v>
      </c>
      <c r="F1055" s="7" t="s">
        <v>34</v>
      </c>
      <c r="G1055" s="7" t="s">
        <v>35</v>
      </c>
      <c r="H1055" s="7"/>
      <c r="I1055" s="7"/>
      <c r="J1055" s="7" t="s">
        <v>36</v>
      </c>
      <c r="K1055" s="7" t="s">
        <v>199</v>
      </c>
      <c r="L1055" s="7" t="s">
        <v>200</v>
      </c>
      <c r="M1055" s="7" t="s">
        <v>201</v>
      </c>
      <c r="N1055" s="7" t="s">
        <v>33</v>
      </c>
      <c r="O1055" s="7">
        <v>1</v>
      </c>
      <c r="P1055" s="7" t="s">
        <v>40</v>
      </c>
      <c r="Q1055" s="7">
        <v>18.99</v>
      </c>
      <c r="R1055" s="7"/>
      <c r="S1055" s="7"/>
      <c r="T1055" s="7"/>
      <c r="U1055" s="7"/>
      <c r="V1055" s="7"/>
      <c r="W1055" s="7"/>
      <c r="X1055" s="7"/>
      <c r="Y1055" s="7" t="s">
        <v>5502</v>
      </c>
      <c r="Z1055" s="7" t="s">
        <v>135</v>
      </c>
      <c r="AA1055" s="7" t="s">
        <v>5503</v>
      </c>
      <c r="AB1055" s="7" t="s">
        <v>43</v>
      </c>
      <c r="AC1055" s="7"/>
      <c r="AD1055" s="7"/>
      <c r="AE1055" s="7"/>
      <c r="AF1055" s="7"/>
      <c r="AG1055" s="8">
        <f t="shared" si="16"/>
        <v>43337</v>
      </c>
    </row>
    <row r="1056" spans="1:33">
      <c r="A1056" s="7" t="s">
        <v>5547</v>
      </c>
      <c r="B1056" s="7" t="s">
        <v>5547</v>
      </c>
      <c r="C1056" s="7" t="s">
        <v>5548</v>
      </c>
      <c r="D1056" s="7" t="s">
        <v>5549</v>
      </c>
      <c r="E1056" s="7" t="s">
        <v>33</v>
      </c>
      <c r="F1056" s="7" t="s">
        <v>34</v>
      </c>
      <c r="G1056" s="7" t="s">
        <v>35</v>
      </c>
      <c r="H1056" s="7"/>
      <c r="I1056" s="7"/>
      <c r="J1056" s="7" t="s">
        <v>36</v>
      </c>
      <c r="K1056" s="7" t="s">
        <v>456</v>
      </c>
      <c r="L1056" s="7" t="s">
        <v>1248</v>
      </c>
      <c r="M1056" s="7" t="s">
        <v>1249</v>
      </c>
      <c r="N1056" s="7" t="s">
        <v>33</v>
      </c>
      <c r="O1056" s="7">
        <v>1</v>
      </c>
      <c r="P1056" s="7" t="s">
        <v>40</v>
      </c>
      <c r="Q1056" s="7">
        <v>12.99</v>
      </c>
      <c r="R1056" s="7"/>
      <c r="S1056" s="7"/>
      <c r="T1056" s="7"/>
      <c r="U1056" s="7"/>
      <c r="V1056" s="7"/>
      <c r="W1056" s="7"/>
      <c r="X1056" s="7"/>
      <c r="Y1056" s="7" t="s">
        <v>5550</v>
      </c>
      <c r="Z1056" s="7" t="s">
        <v>165</v>
      </c>
      <c r="AA1056" s="7" t="s">
        <v>5551</v>
      </c>
      <c r="AB1056" s="7" t="s">
        <v>43</v>
      </c>
      <c r="AC1056" s="7"/>
      <c r="AD1056" s="7"/>
      <c r="AE1056" s="7"/>
      <c r="AF1056" s="7"/>
      <c r="AG1056" s="8">
        <f t="shared" si="16"/>
        <v>43337</v>
      </c>
    </row>
    <row r="1057" spans="1:33">
      <c r="A1057" s="7" t="s">
        <v>5552</v>
      </c>
      <c r="B1057" s="7" t="s">
        <v>5552</v>
      </c>
      <c r="C1057" s="7" t="s">
        <v>5553</v>
      </c>
      <c r="D1057" s="7" t="s">
        <v>5554</v>
      </c>
      <c r="E1057" s="7" t="s">
        <v>33</v>
      </c>
      <c r="F1057" s="7" t="s">
        <v>34</v>
      </c>
      <c r="G1057" s="7" t="s">
        <v>35</v>
      </c>
      <c r="H1057" s="7"/>
      <c r="I1057" s="7"/>
      <c r="J1057" s="7" t="s">
        <v>36</v>
      </c>
      <c r="K1057" s="7" t="s">
        <v>255</v>
      </c>
      <c r="L1057" s="7" t="s">
        <v>256</v>
      </c>
      <c r="M1057" s="7" t="s">
        <v>257</v>
      </c>
      <c r="N1057" s="7" t="s">
        <v>33</v>
      </c>
      <c r="O1057" s="7">
        <v>1</v>
      </c>
      <c r="P1057" s="7" t="s">
        <v>40</v>
      </c>
      <c r="Q1057" s="7">
        <v>19.99</v>
      </c>
      <c r="R1057" s="7"/>
      <c r="S1057" s="7"/>
      <c r="T1057" s="7"/>
      <c r="U1057" s="7"/>
      <c r="V1057" s="7"/>
      <c r="W1057" s="7"/>
      <c r="X1057" s="7"/>
      <c r="Y1057" s="7" t="s">
        <v>5555</v>
      </c>
      <c r="Z1057" s="7" t="s">
        <v>59</v>
      </c>
      <c r="AA1057" s="7" t="s">
        <v>5556</v>
      </c>
      <c r="AB1057" s="7" t="s">
        <v>43</v>
      </c>
      <c r="AC1057" s="7"/>
      <c r="AD1057" s="7"/>
      <c r="AE1057" s="7"/>
      <c r="AF1057" s="7"/>
      <c r="AG1057" s="8">
        <f t="shared" si="16"/>
        <v>43337</v>
      </c>
    </row>
    <row r="1058" spans="1:33">
      <c r="A1058" s="7" t="s">
        <v>5557</v>
      </c>
      <c r="B1058" s="7" t="s">
        <v>5557</v>
      </c>
      <c r="C1058" s="7" t="s">
        <v>5558</v>
      </c>
      <c r="D1058" s="7" t="s">
        <v>5559</v>
      </c>
      <c r="E1058" s="7" t="s">
        <v>33</v>
      </c>
      <c r="F1058" s="7" t="s">
        <v>34</v>
      </c>
      <c r="G1058" s="7" t="s">
        <v>35</v>
      </c>
      <c r="H1058" s="7"/>
      <c r="I1058" s="7"/>
      <c r="J1058" s="7" t="s">
        <v>36</v>
      </c>
      <c r="K1058" s="7" t="s">
        <v>199</v>
      </c>
      <c r="L1058" s="7" t="s">
        <v>200</v>
      </c>
      <c r="M1058" s="7" t="s">
        <v>201</v>
      </c>
      <c r="N1058" s="7" t="s">
        <v>33</v>
      </c>
      <c r="O1058" s="7">
        <v>1</v>
      </c>
      <c r="P1058" s="7" t="s">
        <v>40</v>
      </c>
      <c r="Q1058" s="7">
        <v>18.99</v>
      </c>
      <c r="R1058" s="7"/>
      <c r="S1058" s="7"/>
      <c r="T1058" s="7"/>
      <c r="U1058" s="7"/>
      <c r="V1058" s="7"/>
      <c r="W1058" s="7"/>
      <c r="X1058" s="7"/>
      <c r="Y1058" s="7" t="s">
        <v>5560</v>
      </c>
      <c r="Z1058" s="7" t="s">
        <v>5561</v>
      </c>
      <c r="AA1058" s="7">
        <v>2332</v>
      </c>
      <c r="AB1058" s="7" t="s">
        <v>43</v>
      </c>
      <c r="AC1058" s="7"/>
      <c r="AD1058" s="7"/>
      <c r="AE1058" s="7"/>
      <c r="AF1058" s="7"/>
      <c r="AG1058" s="8">
        <f t="shared" si="16"/>
        <v>43337</v>
      </c>
    </row>
    <row r="1059" spans="1:33">
      <c r="A1059" s="7" t="s">
        <v>5562</v>
      </c>
      <c r="B1059" s="7" t="s">
        <v>5562</v>
      </c>
      <c r="C1059" s="7" t="s">
        <v>5563</v>
      </c>
      <c r="D1059" s="7" t="s">
        <v>5564</v>
      </c>
      <c r="E1059" s="7" t="s">
        <v>33</v>
      </c>
      <c r="F1059" s="7" t="s">
        <v>34</v>
      </c>
      <c r="G1059" s="7" t="s">
        <v>35</v>
      </c>
      <c r="H1059" s="7"/>
      <c r="I1059" s="7"/>
      <c r="J1059" s="7" t="s">
        <v>36</v>
      </c>
      <c r="K1059" s="7" t="s">
        <v>255</v>
      </c>
      <c r="L1059" s="7" t="s">
        <v>300</v>
      </c>
      <c r="M1059" s="7" t="s">
        <v>301</v>
      </c>
      <c r="N1059" s="7" t="s">
        <v>33</v>
      </c>
      <c r="O1059" s="7">
        <v>1</v>
      </c>
      <c r="P1059" s="7" t="s">
        <v>40</v>
      </c>
      <c r="Q1059" s="7">
        <v>19.99</v>
      </c>
      <c r="R1059" s="7"/>
      <c r="S1059" s="7"/>
      <c r="T1059" s="7"/>
      <c r="U1059" s="7"/>
      <c r="V1059" s="7"/>
      <c r="W1059" s="7"/>
      <c r="X1059" s="7"/>
      <c r="Y1059" s="7" t="s">
        <v>2471</v>
      </c>
      <c r="Z1059" s="7" t="s">
        <v>1209</v>
      </c>
      <c r="AA1059" s="7" t="s">
        <v>5565</v>
      </c>
      <c r="AB1059" s="7" t="s">
        <v>43</v>
      </c>
      <c r="AC1059" s="7"/>
      <c r="AD1059" s="7"/>
      <c r="AE1059" s="7"/>
      <c r="AF1059" s="7"/>
      <c r="AG1059" s="8">
        <f t="shared" si="16"/>
        <v>43337</v>
      </c>
    </row>
    <row r="1060" spans="1:33">
      <c r="A1060" s="7" t="s">
        <v>5566</v>
      </c>
      <c r="B1060" s="7" t="s">
        <v>5566</v>
      </c>
      <c r="C1060" s="7" t="s">
        <v>5567</v>
      </c>
      <c r="D1060" s="7" t="s">
        <v>5568</v>
      </c>
      <c r="E1060" s="7" t="s">
        <v>33</v>
      </c>
      <c r="F1060" s="7" t="s">
        <v>34</v>
      </c>
      <c r="G1060" s="7" t="s">
        <v>35</v>
      </c>
      <c r="H1060" s="7"/>
      <c r="I1060" s="7"/>
      <c r="J1060" s="7" t="s">
        <v>36</v>
      </c>
      <c r="K1060" s="7" t="s">
        <v>125</v>
      </c>
      <c r="L1060" s="7" t="s">
        <v>126</v>
      </c>
      <c r="M1060" s="7" t="s">
        <v>127</v>
      </c>
      <c r="N1060" s="7" t="s">
        <v>33</v>
      </c>
      <c r="O1060" s="7">
        <v>1</v>
      </c>
      <c r="P1060" s="7" t="s">
        <v>40</v>
      </c>
      <c r="Q1060" s="7">
        <v>18.99</v>
      </c>
      <c r="R1060" s="7"/>
      <c r="S1060" s="7"/>
      <c r="T1060" s="7"/>
      <c r="U1060" s="7"/>
      <c r="V1060" s="7"/>
      <c r="W1060" s="7"/>
      <c r="X1060" s="7"/>
      <c r="Y1060" s="7" t="s">
        <v>5569</v>
      </c>
      <c r="Z1060" s="7" t="s">
        <v>5570</v>
      </c>
      <c r="AA1060" s="7">
        <v>19945</v>
      </c>
      <c r="AB1060" s="7" t="s">
        <v>43</v>
      </c>
      <c r="AC1060" s="7"/>
      <c r="AD1060" s="7"/>
      <c r="AE1060" s="7"/>
      <c r="AF1060" s="7"/>
      <c r="AG1060" s="8">
        <f t="shared" si="16"/>
        <v>43337</v>
      </c>
    </row>
    <row r="1061" spans="1:33">
      <c r="A1061" s="7" t="s">
        <v>5571</v>
      </c>
      <c r="B1061" s="7" t="s">
        <v>5571</v>
      </c>
      <c r="C1061" s="7" t="s">
        <v>5572</v>
      </c>
      <c r="D1061" s="7" t="s">
        <v>5573</v>
      </c>
      <c r="E1061" s="7" t="s">
        <v>33</v>
      </c>
      <c r="F1061" s="7" t="s">
        <v>34</v>
      </c>
      <c r="G1061" s="7" t="s">
        <v>35</v>
      </c>
      <c r="H1061" s="7"/>
      <c r="I1061" s="7"/>
      <c r="J1061" s="7" t="s">
        <v>36</v>
      </c>
      <c r="K1061" s="7" t="s">
        <v>90</v>
      </c>
      <c r="L1061" s="7" t="s">
        <v>91</v>
      </c>
      <c r="M1061" s="7" t="s">
        <v>92</v>
      </c>
      <c r="N1061" s="7" t="s">
        <v>33</v>
      </c>
      <c r="O1061" s="7">
        <v>2</v>
      </c>
      <c r="P1061" s="7" t="s">
        <v>40</v>
      </c>
      <c r="Q1061" s="7">
        <v>25.98</v>
      </c>
      <c r="R1061" s="7"/>
      <c r="S1061" s="7"/>
      <c r="T1061" s="7"/>
      <c r="U1061" s="7"/>
      <c r="V1061" s="7"/>
      <c r="W1061" s="7"/>
      <c r="X1061" s="7"/>
      <c r="Y1061" s="7" t="s">
        <v>5574</v>
      </c>
      <c r="Z1061" s="7" t="s">
        <v>287</v>
      </c>
      <c r="AA1061" s="7" t="s">
        <v>5575</v>
      </c>
      <c r="AB1061" s="7" t="s">
        <v>43</v>
      </c>
      <c r="AC1061" s="7"/>
      <c r="AD1061" s="7"/>
      <c r="AE1061" s="7"/>
      <c r="AF1061" s="7"/>
      <c r="AG1061" s="8">
        <f t="shared" si="16"/>
        <v>43337</v>
      </c>
    </row>
    <row r="1062" spans="1:33">
      <c r="A1062" s="7" t="s">
        <v>5576</v>
      </c>
      <c r="B1062" s="7" t="s">
        <v>5576</v>
      </c>
      <c r="C1062" s="7" t="s">
        <v>5577</v>
      </c>
      <c r="D1062" s="7" t="s">
        <v>5578</v>
      </c>
      <c r="E1062" s="7" t="s">
        <v>33</v>
      </c>
      <c r="F1062" s="7" t="s">
        <v>34</v>
      </c>
      <c r="G1062" s="7" t="s">
        <v>35</v>
      </c>
      <c r="H1062" s="7"/>
      <c r="I1062" s="7"/>
      <c r="J1062" s="7" t="s">
        <v>292</v>
      </c>
      <c r="K1062" s="7" t="s">
        <v>255</v>
      </c>
      <c r="L1062" s="7" t="s">
        <v>1236</v>
      </c>
      <c r="M1062" s="7" t="s">
        <v>1237</v>
      </c>
      <c r="N1062" s="7" t="s">
        <v>33</v>
      </c>
      <c r="O1062" s="7">
        <v>1</v>
      </c>
      <c r="P1062" s="7" t="s">
        <v>40</v>
      </c>
      <c r="Q1062" s="7">
        <v>19.99</v>
      </c>
      <c r="R1062" s="7"/>
      <c r="S1062" s="7">
        <v>8.8</v>
      </c>
      <c r="T1062" s="7"/>
      <c r="U1062" s="7"/>
      <c r="V1062" s="7"/>
      <c r="W1062" s="7"/>
      <c r="X1062" s="7"/>
      <c r="Y1062" s="7" t="s">
        <v>5579</v>
      </c>
      <c r="Z1062" s="7" t="s">
        <v>5579</v>
      </c>
      <c r="AA1062" s="7">
        <v>12542</v>
      </c>
      <c r="AB1062" s="7" t="s">
        <v>5580</v>
      </c>
      <c r="AC1062" s="7"/>
      <c r="AD1062" s="7"/>
      <c r="AE1062" s="7"/>
      <c r="AF1062" s="7"/>
      <c r="AG1062" s="8">
        <f t="shared" si="16"/>
        <v>43337</v>
      </c>
    </row>
    <row r="1063" spans="1:33">
      <c r="A1063" s="7" t="s">
        <v>5581</v>
      </c>
      <c r="B1063" s="7" t="s">
        <v>5581</v>
      </c>
      <c r="C1063" s="7" t="s">
        <v>5582</v>
      </c>
      <c r="D1063" s="7" t="s">
        <v>5583</v>
      </c>
      <c r="E1063" s="7" t="s">
        <v>33</v>
      </c>
      <c r="F1063" s="7" t="s">
        <v>34</v>
      </c>
      <c r="G1063" s="7" t="s">
        <v>35</v>
      </c>
      <c r="H1063" s="7"/>
      <c r="I1063" s="7"/>
      <c r="J1063" s="7" t="s">
        <v>36</v>
      </c>
      <c r="K1063" s="7" t="s">
        <v>1295</v>
      </c>
      <c r="L1063" s="7" t="s">
        <v>5173</v>
      </c>
      <c r="M1063" s="7" t="s">
        <v>5174</v>
      </c>
      <c r="N1063" s="7" t="s">
        <v>33</v>
      </c>
      <c r="O1063" s="7">
        <v>1</v>
      </c>
      <c r="P1063" s="7" t="s">
        <v>40</v>
      </c>
      <c r="Q1063" s="7">
        <v>18.99</v>
      </c>
      <c r="R1063" s="7"/>
      <c r="S1063" s="7"/>
      <c r="T1063" s="7"/>
      <c r="U1063" s="7"/>
      <c r="V1063" s="7"/>
      <c r="W1063" s="7"/>
      <c r="X1063" s="7"/>
      <c r="Y1063" s="7" t="s">
        <v>801</v>
      </c>
      <c r="Z1063" s="7" t="s">
        <v>135</v>
      </c>
      <c r="AA1063" s="7" t="s">
        <v>5584</v>
      </c>
      <c r="AB1063" s="7" t="s">
        <v>43</v>
      </c>
      <c r="AC1063" s="7"/>
      <c r="AD1063" s="7"/>
      <c r="AE1063" s="7"/>
      <c r="AF1063" s="7"/>
      <c r="AG1063" s="8">
        <f t="shared" si="16"/>
        <v>43337</v>
      </c>
    </row>
    <row r="1064" spans="1:33">
      <c r="A1064" s="7" t="s">
        <v>5585</v>
      </c>
      <c r="B1064" s="7" t="s">
        <v>5585</v>
      </c>
      <c r="C1064" s="7" t="s">
        <v>5586</v>
      </c>
      <c r="D1064" s="7" t="s">
        <v>5587</v>
      </c>
      <c r="E1064" s="7" t="s">
        <v>33</v>
      </c>
      <c r="F1064" s="7" t="s">
        <v>34</v>
      </c>
      <c r="G1064" s="7" t="s">
        <v>35</v>
      </c>
      <c r="H1064" s="7"/>
      <c r="I1064" s="7"/>
      <c r="J1064" s="7" t="s">
        <v>36</v>
      </c>
      <c r="K1064" s="7" t="s">
        <v>255</v>
      </c>
      <c r="L1064" s="7" t="s">
        <v>1236</v>
      </c>
      <c r="M1064" s="7" t="s">
        <v>1237</v>
      </c>
      <c r="N1064" s="7" t="s">
        <v>33</v>
      </c>
      <c r="O1064" s="7">
        <v>1</v>
      </c>
      <c r="P1064" s="7" t="s">
        <v>40</v>
      </c>
      <c r="Q1064" s="7">
        <v>19.99</v>
      </c>
      <c r="R1064" s="7"/>
      <c r="S1064" s="7"/>
      <c r="T1064" s="7"/>
      <c r="U1064" s="7"/>
      <c r="V1064" s="7"/>
      <c r="W1064" s="7"/>
      <c r="X1064" s="7"/>
      <c r="Y1064" s="7" t="s">
        <v>5588</v>
      </c>
      <c r="Z1064" s="7" t="s">
        <v>646</v>
      </c>
      <c r="AA1064" s="7" t="s">
        <v>5589</v>
      </c>
      <c r="AB1064" s="7" t="s">
        <v>43</v>
      </c>
      <c r="AC1064" s="7"/>
      <c r="AD1064" s="7"/>
      <c r="AE1064" s="7"/>
      <c r="AF1064" s="7"/>
      <c r="AG1064" s="8">
        <f t="shared" si="16"/>
        <v>43337</v>
      </c>
    </row>
    <row r="1065" spans="1:33">
      <c r="A1065" s="7" t="s">
        <v>5590</v>
      </c>
      <c r="B1065" s="7" t="s">
        <v>5590</v>
      </c>
      <c r="C1065" s="7" t="s">
        <v>5591</v>
      </c>
      <c r="D1065" s="7" t="s">
        <v>5592</v>
      </c>
      <c r="E1065" s="7" t="s">
        <v>5485</v>
      </c>
      <c r="F1065" s="7" t="s">
        <v>34</v>
      </c>
      <c r="G1065" s="7" t="s">
        <v>35</v>
      </c>
      <c r="H1065" s="7"/>
      <c r="I1065" s="7"/>
      <c r="J1065" s="7" t="s">
        <v>36</v>
      </c>
      <c r="K1065" s="7" t="s">
        <v>131</v>
      </c>
      <c r="L1065" s="7" t="s">
        <v>132</v>
      </c>
      <c r="M1065" s="7" t="s">
        <v>133</v>
      </c>
      <c r="N1065" s="7" t="s">
        <v>459</v>
      </c>
      <c r="O1065" s="7">
        <v>1</v>
      </c>
      <c r="P1065" s="7" t="s">
        <v>40</v>
      </c>
      <c r="Q1065" s="7">
        <v>18.99</v>
      </c>
      <c r="R1065" s="7"/>
      <c r="S1065" s="7"/>
      <c r="T1065" s="7"/>
      <c r="U1065" s="7"/>
      <c r="V1065" s="7"/>
      <c r="W1065" s="7"/>
      <c r="X1065" s="7"/>
      <c r="Y1065" s="7" t="s">
        <v>1418</v>
      </c>
      <c r="Z1065" s="7" t="s">
        <v>85</v>
      </c>
      <c r="AA1065" s="7" t="s">
        <v>5593</v>
      </c>
      <c r="AB1065" s="7" t="s">
        <v>43</v>
      </c>
      <c r="AC1065" s="7"/>
      <c r="AD1065" s="7"/>
      <c r="AE1065" s="7"/>
      <c r="AF1065" s="7"/>
      <c r="AG1065" s="8">
        <f t="shared" si="16"/>
        <v>43337</v>
      </c>
    </row>
    <row r="1066" spans="1:33">
      <c r="A1066" s="7" t="s">
        <v>5594</v>
      </c>
      <c r="B1066" s="7" t="s">
        <v>5594</v>
      </c>
      <c r="C1066" s="7" t="s">
        <v>5595</v>
      </c>
      <c r="D1066" s="7" t="s">
        <v>5596</v>
      </c>
      <c r="E1066" s="7" t="s">
        <v>33</v>
      </c>
      <c r="F1066" s="7" t="s">
        <v>34</v>
      </c>
      <c r="G1066" s="7" t="s">
        <v>35</v>
      </c>
      <c r="H1066" s="7"/>
      <c r="I1066" s="7"/>
      <c r="J1066" s="7" t="s">
        <v>36</v>
      </c>
      <c r="K1066" s="7" t="s">
        <v>176</v>
      </c>
      <c r="L1066" s="7" t="s">
        <v>177</v>
      </c>
      <c r="M1066" s="7" t="s">
        <v>178</v>
      </c>
      <c r="N1066" s="7" t="s">
        <v>33</v>
      </c>
      <c r="O1066" s="7">
        <v>1</v>
      </c>
      <c r="P1066" s="7" t="s">
        <v>40</v>
      </c>
      <c r="Q1066" s="7">
        <v>19.99</v>
      </c>
      <c r="R1066" s="7"/>
      <c r="S1066" s="7"/>
      <c r="T1066" s="7"/>
      <c r="U1066" s="7"/>
      <c r="V1066" s="7"/>
      <c r="W1066" s="7"/>
      <c r="X1066" s="7"/>
      <c r="Y1066" s="7" t="s">
        <v>2698</v>
      </c>
      <c r="Z1066" s="7" t="s">
        <v>59</v>
      </c>
      <c r="AA1066" s="7" t="s">
        <v>5597</v>
      </c>
      <c r="AB1066" s="7" t="s">
        <v>43</v>
      </c>
      <c r="AC1066" s="7"/>
      <c r="AD1066" s="7"/>
      <c r="AE1066" s="7"/>
      <c r="AF1066" s="7"/>
      <c r="AG1066" s="8">
        <f t="shared" si="16"/>
        <v>43337</v>
      </c>
    </row>
    <row r="1067" spans="1:33">
      <c r="A1067" s="7" t="s">
        <v>5598</v>
      </c>
      <c r="B1067" s="7" t="s">
        <v>5598</v>
      </c>
      <c r="C1067" s="7" t="s">
        <v>5599</v>
      </c>
      <c r="D1067" s="7" t="s">
        <v>5600</v>
      </c>
      <c r="E1067" s="7" t="s">
        <v>5485</v>
      </c>
      <c r="F1067" s="7" t="s">
        <v>34</v>
      </c>
      <c r="G1067" s="7" t="s">
        <v>35</v>
      </c>
      <c r="H1067" s="7"/>
      <c r="I1067" s="7"/>
      <c r="J1067" s="7" t="s">
        <v>336</v>
      </c>
      <c r="K1067" s="7" t="s">
        <v>255</v>
      </c>
      <c r="L1067" s="7" t="s">
        <v>1170</v>
      </c>
      <c r="M1067" s="7" t="s">
        <v>1171</v>
      </c>
      <c r="N1067" s="7" t="s">
        <v>459</v>
      </c>
      <c r="O1067" s="7">
        <v>1</v>
      </c>
      <c r="P1067" s="7" t="s">
        <v>40</v>
      </c>
      <c r="Q1067" s="7">
        <v>19.99</v>
      </c>
      <c r="R1067" s="7"/>
      <c r="S1067" s="7"/>
      <c r="T1067" s="7"/>
      <c r="U1067" s="7"/>
      <c r="V1067" s="7"/>
      <c r="W1067" s="7"/>
      <c r="X1067" s="7"/>
      <c r="Y1067" s="7" t="s">
        <v>1625</v>
      </c>
      <c r="Z1067" s="7" t="s">
        <v>94</v>
      </c>
      <c r="AA1067" s="7" t="s">
        <v>5601</v>
      </c>
      <c r="AB1067" s="7" t="s">
        <v>43</v>
      </c>
      <c r="AC1067" s="7" t="s">
        <v>514</v>
      </c>
      <c r="AD1067" s="7"/>
      <c r="AE1067" s="7"/>
      <c r="AF1067" s="7"/>
      <c r="AG1067" s="8">
        <f t="shared" si="16"/>
        <v>43337</v>
      </c>
    </row>
    <row r="1068" spans="1:33">
      <c r="A1068" s="7" t="s">
        <v>5602</v>
      </c>
      <c r="B1068" s="7" t="s">
        <v>5602</v>
      </c>
      <c r="C1068" s="7" t="s">
        <v>5603</v>
      </c>
      <c r="D1068" s="7" t="s">
        <v>5604</v>
      </c>
      <c r="E1068" s="7" t="s">
        <v>33</v>
      </c>
      <c r="F1068" s="7" t="s">
        <v>34</v>
      </c>
      <c r="G1068" s="7" t="s">
        <v>35</v>
      </c>
      <c r="H1068" s="7"/>
      <c r="I1068" s="7"/>
      <c r="J1068" s="7" t="s">
        <v>36</v>
      </c>
      <c r="K1068" s="7" t="s">
        <v>90</v>
      </c>
      <c r="L1068" s="7" t="s">
        <v>140</v>
      </c>
      <c r="M1068" s="7" t="s">
        <v>141</v>
      </c>
      <c r="N1068" s="7" t="s">
        <v>33</v>
      </c>
      <c r="O1068" s="7">
        <v>1</v>
      </c>
      <c r="P1068" s="7" t="s">
        <v>40</v>
      </c>
      <c r="Q1068" s="7">
        <v>12.99</v>
      </c>
      <c r="R1068" s="7"/>
      <c r="S1068" s="7"/>
      <c r="T1068" s="7"/>
      <c r="U1068" s="7"/>
      <c r="V1068" s="7"/>
      <c r="W1068" s="7"/>
      <c r="X1068" s="7"/>
      <c r="Y1068" s="7" t="s">
        <v>4672</v>
      </c>
      <c r="Z1068" s="7" t="s">
        <v>357</v>
      </c>
      <c r="AA1068" s="7" t="s">
        <v>5605</v>
      </c>
      <c r="AB1068" s="7" t="s">
        <v>43</v>
      </c>
      <c r="AC1068" s="7"/>
      <c r="AD1068" s="7"/>
      <c r="AE1068" s="7"/>
      <c r="AF1068" s="7"/>
      <c r="AG1068" s="8">
        <f t="shared" si="16"/>
        <v>43337</v>
      </c>
    </row>
    <row r="1069" spans="1:33">
      <c r="A1069" s="7" t="s">
        <v>5602</v>
      </c>
      <c r="B1069" s="7" t="s">
        <v>5602</v>
      </c>
      <c r="C1069" s="7" t="s">
        <v>5603</v>
      </c>
      <c r="D1069" s="7" t="s">
        <v>5604</v>
      </c>
      <c r="E1069" s="7" t="s">
        <v>33</v>
      </c>
      <c r="F1069" s="7" t="s">
        <v>34</v>
      </c>
      <c r="G1069" s="7" t="s">
        <v>35</v>
      </c>
      <c r="H1069" s="7"/>
      <c r="I1069" s="7"/>
      <c r="J1069" s="7" t="s">
        <v>36</v>
      </c>
      <c r="K1069" s="7" t="s">
        <v>90</v>
      </c>
      <c r="L1069" s="7" t="s">
        <v>140</v>
      </c>
      <c r="M1069" s="7" t="s">
        <v>141</v>
      </c>
      <c r="N1069" s="7" t="s">
        <v>33</v>
      </c>
      <c r="O1069" s="7">
        <v>1</v>
      </c>
      <c r="P1069" s="7" t="s">
        <v>40</v>
      </c>
      <c r="Q1069" s="7">
        <v>12.99</v>
      </c>
      <c r="R1069" s="7"/>
      <c r="S1069" s="7"/>
      <c r="T1069" s="7"/>
      <c r="U1069" s="7"/>
      <c r="V1069" s="7"/>
      <c r="W1069" s="7"/>
      <c r="X1069" s="7"/>
      <c r="Y1069" s="7" t="s">
        <v>4672</v>
      </c>
      <c r="Z1069" s="7" t="s">
        <v>357</v>
      </c>
      <c r="AA1069" s="7" t="s">
        <v>5605</v>
      </c>
      <c r="AB1069" s="7" t="s">
        <v>43</v>
      </c>
      <c r="AC1069" s="7"/>
      <c r="AD1069" s="7"/>
      <c r="AE1069" s="7"/>
      <c r="AF1069" s="7"/>
      <c r="AG1069" s="8">
        <f t="shared" si="16"/>
        <v>43337</v>
      </c>
    </row>
    <row r="1070" spans="1:33">
      <c r="A1070" s="7" t="s">
        <v>5606</v>
      </c>
      <c r="B1070" s="7" t="s">
        <v>5606</v>
      </c>
      <c r="C1070" s="7" t="s">
        <v>5607</v>
      </c>
      <c r="D1070" s="7" t="s">
        <v>5608</v>
      </c>
      <c r="E1070" s="7" t="s">
        <v>5485</v>
      </c>
      <c r="F1070" s="7" t="s">
        <v>34</v>
      </c>
      <c r="G1070" s="7" t="s">
        <v>35</v>
      </c>
      <c r="H1070" s="7"/>
      <c r="I1070" s="7"/>
      <c r="J1070" s="7" t="s">
        <v>336</v>
      </c>
      <c r="K1070" s="7" t="s">
        <v>125</v>
      </c>
      <c r="L1070" s="7" t="s">
        <v>126</v>
      </c>
      <c r="M1070" s="7" t="s">
        <v>127</v>
      </c>
      <c r="N1070" s="7" t="s">
        <v>459</v>
      </c>
      <c r="O1070" s="7">
        <v>1</v>
      </c>
      <c r="P1070" s="7" t="s">
        <v>40</v>
      </c>
      <c r="Q1070" s="7">
        <v>18.99</v>
      </c>
      <c r="R1070" s="7"/>
      <c r="S1070" s="7"/>
      <c r="T1070" s="7"/>
      <c r="U1070" s="7"/>
      <c r="V1070" s="7"/>
      <c r="W1070" s="7"/>
      <c r="X1070" s="7"/>
      <c r="Y1070" s="7" t="s">
        <v>5609</v>
      </c>
      <c r="Z1070" s="7" t="s">
        <v>135</v>
      </c>
      <c r="AA1070" s="7" t="s">
        <v>5610</v>
      </c>
      <c r="AB1070" s="7" t="s">
        <v>43</v>
      </c>
      <c r="AC1070" s="7"/>
      <c r="AD1070" s="7"/>
      <c r="AE1070" s="7"/>
      <c r="AF1070" s="7"/>
      <c r="AG1070" s="8">
        <f t="shared" si="16"/>
        <v>43337</v>
      </c>
    </row>
    <row r="1071" spans="1:33">
      <c r="A1071" s="7" t="s">
        <v>5611</v>
      </c>
      <c r="B1071" s="7" t="s">
        <v>5611</v>
      </c>
      <c r="C1071" s="7" t="s">
        <v>5612</v>
      </c>
      <c r="D1071" s="7" t="s">
        <v>5613</v>
      </c>
      <c r="E1071" s="7" t="s">
        <v>33</v>
      </c>
      <c r="F1071" s="7" t="s">
        <v>34</v>
      </c>
      <c r="G1071" s="7" t="s">
        <v>35</v>
      </c>
      <c r="H1071" s="7"/>
      <c r="I1071" s="7"/>
      <c r="J1071" s="7" t="s">
        <v>36</v>
      </c>
      <c r="K1071" s="7" t="s">
        <v>131</v>
      </c>
      <c r="L1071" s="7" t="s">
        <v>132</v>
      </c>
      <c r="M1071" s="7" t="s">
        <v>133</v>
      </c>
      <c r="N1071" s="7" t="s">
        <v>33</v>
      </c>
      <c r="O1071" s="7">
        <v>1</v>
      </c>
      <c r="P1071" s="7" t="s">
        <v>40</v>
      </c>
      <c r="Q1071" s="7">
        <v>18.99</v>
      </c>
      <c r="R1071" s="7"/>
      <c r="S1071" s="7"/>
      <c r="T1071" s="7"/>
      <c r="U1071" s="7"/>
      <c r="V1071" s="7"/>
      <c r="W1071" s="7"/>
      <c r="X1071" s="7"/>
      <c r="Y1071" s="7" t="s">
        <v>561</v>
      </c>
      <c r="Z1071" s="7" t="s">
        <v>447</v>
      </c>
      <c r="AA1071" s="7" t="s">
        <v>5614</v>
      </c>
      <c r="AB1071" s="7" t="s">
        <v>43</v>
      </c>
      <c r="AC1071" s="7"/>
      <c r="AD1071" s="7"/>
      <c r="AE1071" s="7"/>
      <c r="AF1071" s="7"/>
      <c r="AG1071" s="8">
        <f t="shared" si="16"/>
        <v>43337</v>
      </c>
    </row>
    <row r="1072" spans="1:33">
      <c r="A1072" s="7" t="s">
        <v>5615</v>
      </c>
      <c r="B1072" s="7" t="s">
        <v>5615</v>
      </c>
      <c r="C1072" s="7" t="s">
        <v>5616</v>
      </c>
      <c r="D1072" s="7" t="s">
        <v>5617</v>
      </c>
      <c r="E1072" s="7" t="s">
        <v>99</v>
      </c>
      <c r="F1072" s="7" t="s">
        <v>34</v>
      </c>
      <c r="G1072" s="7" t="s">
        <v>35</v>
      </c>
      <c r="H1072" s="7"/>
      <c r="I1072" s="7"/>
      <c r="J1072" s="7" t="s">
        <v>336</v>
      </c>
      <c r="K1072" s="7" t="s">
        <v>125</v>
      </c>
      <c r="L1072" s="7" t="s">
        <v>126</v>
      </c>
      <c r="M1072" s="7" t="s">
        <v>127</v>
      </c>
      <c r="N1072" s="7" t="s">
        <v>99</v>
      </c>
      <c r="O1072" s="7">
        <v>0</v>
      </c>
      <c r="P1072" s="7"/>
      <c r="Q1072" s="7"/>
      <c r="R1072" s="7"/>
      <c r="S1072" s="7"/>
      <c r="T1072" s="7"/>
      <c r="U1072" s="7"/>
      <c r="V1072" s="7"/>
      <c r="W1072" s="7"/>
      <c r="X1072" s="7"/>
      <c r="Y1072" s="7" t="s">
        <v>5618</v>
      </c>
      <c r="Z1072" s="7" t="s">
        <v>1472</v>
      </c>
      <c r="AA1072" s="7" t="s">
        <v>5619</v>
      </c>
      <c r="AB1072" s="7" t="s">
        <v>43</v>
      </c>
      <c r="AC1072" s="7"/>
      <c r="AD1072" s="7"/>
      <c r="AE1072" s="7"/>
      <c r="AF1072" s="7"/>
      <c r="AG1072" s="8">
        <f t="shared" si="16"/>
        <v>43337</v>
      </c>
    </row>
    <row r="1073" spans="1:33">
      <c r="A1073" s="7" t="s">
        <v>5620</v>
      </c>
      <c r="B1073" s="7" t="s">
        <v>5620</v>
      </c>
      <c r="C1073" s="7" t="s">
        <v>5621</v>
      </c>
      <c r="D1073" s="7" t="s">
        <v>5622</v>
      </c>
      <c r="E1073" s="7" t="s">
        <v>33</v>
      </c>
      <c r="F1073" s="7" t="s">
        <v>34</v>
      </c>
      <c r="G1073" s="7" t="s">
        <v>35</v>
      </c>
      <c r="H1073" s="7"/>
      <c r="I1073" s="7"/>
      <c r="J1073" s="7" t="s">
        <v>36</v>
      </c>
      <c r="K1073" s="7" t="s">
        <v>199</v>
      </c>
      <c r="L1073" s="7" t="s">
        <v>200</v>
      </c>
      <c r="M1073" s="7" t="s">
        <v>201</v>
      </c>
      <c r="N1073" s="7" t="s">
        <v>33</v>
      </c>
      <c r="O1073" s="7">
        <v>1</v>
      </c>
      <c r="P1073" s="7" t="s">
        <v>40</v>
      </c>
      <c r="Q1073" s="7">
        <v>18.99</v>
      </c>
      <c r="R1073" s="7"/>
      <c r="S1073" s="7"/>
      <c r="T1073" s="7"/>
      <c r="U1073" s="7"/>
      <c r="V1073" s="7"/>
      <c r="W1073" s="7"/>
      <c r="X1073" s="7"/>
      <c r="Y1073" s="7" t="s">
        <v>5623</v>
      </c>
      <c r="Z1073" s="7" t="s">
        <v>174</v>
      </c>
      <c r="AA1073" s="7" t="s">
        <v>5624</v>
      </c>
      <c r="AB1073" s="7" t="s">
        <v>43</v>
      </c>
      <c r="AC1073" s="7"/>
      <c r="AD1073" s="7"/>
      <c r="AE1073" s="7"/>
      <c r="AF1073" s="7"/>
      <c r="AG1073" s="8">
        <f t="shared" si="16"/>
        <v>43337</v>
      </c>
    </row>
    <row r="1074" spans="1:33">
      <c r="A1074" s="7" t="s">
        <v>5625</v>
      </c>
      <c r="B1074" s="7" t="s">
        <v>5625</v>
      </c>
      <c r="C1074" s="7" t="s">
        <v>5626</v>
      </c>
      <c r="D1074" s="7" t="s">
        <v>5627</v>
      </c>
      <c r="E1074" s="7" t="s">
        <v>33</v>
      </c>
      <c r="F1074" s="7" t="s">
        <v>34</v>
      </c>
      <c r="G1074" s="7" t="s">
        <v>35</v>
      </c>
      <c r="H1074" s="7"/>
      <c r="I1074" s="7"/>
      <c r="J1074" s="7" t="s">
        <v>36</v>
      </c>
      <c r="K1074" s="7" t="s">
        <v>456</v>
      </c>
      <c r="L1074" s="7" t="s">
        <v>1280</v>
      </c>
      <c r="M1074" s="7" t="s">
        <v>1281</v>
      </c>
      <c r="N1074" s="7" t="s">
        <v>33</v>
      </c>
      <c r="O1074" s="7">
        <v>1</v>
      </c>
      <c r="P1074" s="7" t="s">
        <v>40</v>
      </c>
      <c r="Q1074" s="7">
        <v>12.99</v>
      </c>
      <c r="R1074" s="7"/>
      <c r="S1074" s="7"/>
      <c r="T1074" s="7"/>
      <c r="U1074" s="7"/>
      <c r="V1074" s="7"/>
      <c r="W1074" s="7"/>
      <c r="X1074" s="7"/>
      <c r="Y1074" s="7" t="s">
        <v>5628</v>
      </c>
      <c r="Z1074" s="7" t="s">
        <v>115</v>
      </c>
      <c r="AA1074" s="7" t="s">
        <v>5629</v>
      </c>
      <c r="AB1074" s="7" t="s">
        <v>43</v>
      </c>
      <c r="AC1074" s="7"/>
      <c r="AD1074" s="7"/>
      <c r="AE1074" s="7"/>
      <c r="AF1074" s="7"/>
      <c r="AG1074" s="8">
        <f t="shared" si="16"/>
        <v>43337</v>
      </c>
    </row>
    <row r="1075" spans="1:33">
      <c r="A1075" s="7" t="s">
        <v>5630</v>
      </c>
      <c r="B1075" s="7" t="s">
        <v>5630</v>
      </c>
      <c r="C1075" s="7" t="s">
        <v>5631</v>
      </c>
      <c r="D1075" s="7" t="s">
        <v>5632</v>
      </c>
      <c r="E1075" s="7" t="s">
        <v>33</v>
      </c>
      <c r="F1075" s="7" t="s">
        <v>34</v>
      </c>
      <c r="G1075" s="7" t="s">
        <v>35</v>
      </c>
      <c r="H1075" s="7"/>
      <c r="I1075" s="7"/>
      <c r="J1075" s="7" t="s">
        <v>36</v>
      </c>
      <c r="K1075" s="7" t="s">
        <v>90</v>
      </c>
      <c r="L1075" s="7" t="s">
        <v>191</v>
      </c>
      <c r="M1075" s="7" t="s">
        <v>192</v>
      </c>
      <c r="N1075" s="7" t="s">
        <v>33</v>
      </c>
      <c r="O1075" s="7">
        <v>1</v>
      </c>
      <c r="P1075" s="7" t="s">
        <v>40</v>
      </c>
      <c r="Q1075" s="7">
        <v>12.99</v>
      </c>
      <c r="R1075" s="7"/>
      <c r="S1075" s="7"/>
      <c r="T1075" s="7"/>
      <c r="U1075" s="7"/>
      <c r="V1075" s="7"/>
      <c r="W1075" s="7"/>
      <c r="X1075" s="7"/>
      <c r="Y1075" s="7" t="s">
        <v>584</v>
      </c>
      <c r="Z1075" s="7" t="s">
        <v>227</v>
      </c>
      <c r="AA1075" s="7" t="s">
        <v>5633</v>
      </c>
      <c r="AB1075" s="7" t="s">
        <v>43</v>
      </c>
      <c r="AC1075" s="7"/>
      <c r="AD1075" s="7"/>
      <c r="AE1075" s="7"/>
      <c r="AF1075" s="7"/>
      <c r="AG1075" s="8">
        <f t="shared" si="16"/>
        <v>43337</v>
      </c>
    </row>
    <row r="1076" spans="1:33">
      <c r="A1076" s="7" t="s">
        <v>5634</v>
      </c>
      <c r="B1076" s="7" t="s">
        <v>5634</v>
      </c>
      <c r="C1076" s="7" t="s">
        <v>5635</v>
      </c>
      <c r="D1076" s="7" t="s">
        <v>5636</v>
      </c>
      <c r="E1076" s="7" t="s">
        <v>5485</v>
      </c>
      <c r="F1076" s="7" t="s">
        <v>34</v>
      </c>
      <c r="G1076" s="7" t="s">
        <v>35</v>
      </c>
      <c r="H1076" s="7"/>
      <c r="I1076" s="7"/>
      <c r="J1076" s="7" t="s">
        <v>36</v>
      </c>
      <c r="K1076" s="7" t="s">
        <v>170</v>
      </c>
      <c r="L1076" s="7" t="s">
        <v>1494</v>
      </c>
      <c r="M1076" s="7" t="s">
        <v>1495</v>
      </c>
      <c r="N1076" s="7" t="s">
        <v>459</v>
      </c>
      <c r="O1076" s="7">
        <v>1</v>
      </c>
      <c r="P1076" s="7" t="s">
        <v>40</v>
      </c>
      <c r="Q1076" s="7">
        <v>19.38</v>
      </c>
      <c r="R1076" s="7"/>
      <c r="S1076" s="7"/>
      <c r="T1076" s="7"/>
      <c r="U1076" s="7"/>
      <c r="V1076" s="7"/>
      <c r="W1076" s="7"/>
      <c r="X1076" s="7"/>
      <c r="Y1076" s="7" t="s">
        <v>5637</v>
      </c>
      <c r="Z1076" s="7" t="s">
        <v>1033</v>
      </c>
      <c r="AA1076" s="7">
        <v>95336</v>
      </c>
      <c r="AB1076" s="7" t="s">
        <v>43</v>
      </c>
      <c r="AC1076" s="7"/>
      <c r="AD1076" s="7"/>
      <c r="AE1076" s="7"/>
      <c r="AF1076" s="7"/>
      <c r="AG1076" s="8">
        <f t="shared" si="16"/>
        <v>43338</v>
      </c>
    </row>
    <row r="1077" spans="1:33">
      <c r="A1077" s="7" t="s">
        <v>5638</v>
      </c>
      <c r="B1077" s="7" t="s">
        <v>5638</v>
      </c>
      <c r="C1077" s="7" t="s">
        <v>5639</v>
      </c>
      <c r="D1077" s="7" t="s">
        <v>5640</v>
      </c>
      <c r="E1077" s="7" t="s">
        <v>33</v>
      </c>
      <c r="F1077" s="7" t="s">
        <v>34</v>
      </c>
      <c r="G1077" s="7" t="s">
        <v>35</v>
      </c>
      <c r="H1077" s="7"/>
      <c r="I1077" s="7"/>
      <c r="J1077" s="7" t="s">
        <v>36</v>
      </c>
      <c r="K1077" s="7" t="s">
        <v>170</v>
      </c>
      <c r="L1077" s="7" t="s">
        <v>5641</v>
      </c>
      <c r="M1077" s="7" t="s">
        <v>5642</v>
      </c>
      <c r="N1077" s="7" t="s">
        <v>33</v>
      </c>
      <c r="O1077" s="7">
        <v>1</v>
      </c>
      <c r="P1077" s="7" t="s">
        <v>40</v>
      </c>
      <c r="Q1077" s="7">
        <v>19.38</v>
      </c>
      <c r="R1077" s="7"/>
      <c r="S1077" s="7"/>
      <c r="T1077" s="7"/>
      <c r="U1077" s="7"/>
      <c r="V1077" s="7"/>
      <c r="W1077" s="7"/>
      <c r="X1077" s="7"/>
      <c r="Y1077" s="7" t="s">
        <v>5643</v>
      </c>
      <c r="Z1077" s="7" t="s">
        <v>227</v>
      </c>
      <c r="AA1077" s="7" t="s">
        <v>5644</v>
      </c>
      <c r="AB1077" s="7" t="s">
        <v>43</v>
      </c>
      <c r="AC1077" s="7"/>
      <c r="AD1077" s="7"/>
      <c r="AE1077" s="7"/>
      <c r="AF1077" s="7"/>
      <c r="AG1077" s="8">
        <f t="shared" si="16"/>
        <v>43338</v>
      </c>
    </row>
    <row r="1078" spans="1:33">
      <c r="A1078" s="7" t="s">
        <v>5645</v>
      </c>
      <c r="B1078" s="7" t="s">
        <v>5645</v>
      </c>
      <c r="C1078" s="7" t="s">
        <v>5646</v>
      </c>
      <c r="D1078" s="7" t="s">
        <v>5647</v>
      </c>
      <c r="E1078" s="7" t="s">
        <v>5485</v>
      </c>
      <c r="F1078" s="7" t="s">
        <v>34</v>
      </c>
      <c r="G1078" s="7" t="s">
        <v>35</v>
      </c>
      <c r="H1078" s="7"/>
      <c r="I1078" s="7"/>
      <c r="J1078" s="7" t="s">
        <v>36</v>
      </c>
      <c r="K1078" s="7" t="s">
        <v>255</v>
      </c>
      <c r="L1078" s="7" t="s">
        <v>256</v>
      </c>
      <c r="M1078" s="7" t="s">
        <v>257</v>
      </c>
      <c r="N1078" s="7" t="s">
        <v>459</v>
      </c>
      <c r="O1078" s="7">
        <v>1</v>
      </c>
      <c r="P1078" s="7" t="s">
        <v>40</v>
      </c>
      <c r="Q1078" s="7">
        <v>19.99</v>
      </c>
      <c r="R1078" s="7"/>
      <c r="S1078" s="7"/>
      <c r="T1078" s="7"/>
      <c r="U1078" s="7"/>
      <c r="V1078" s="7"/>
      <c r="W1078" s="7"/>
      <c r="X1078" s="7"/>
      <c r="Y1078" s="7" t="s">
        <v>5648</v>
      </c>
      <c r="Z1078" s="7" t="s">
        <v>143</v>
      </c>
      <c r="AA1078" s="7" t="s">
        <v>5649</v>
      </c>
      <c r="AB1078" s="7" t="s">
        <v>43</v>
      </c>
      <c r="AC1078" s="7"/>
      <c r="AD1078" s="7"/>
      <c r="AE1078" s="7"/>
      <c r="AF1078" s="7"/>
      <c r="AG1078" s="8">
        <f t="shared" si="16"/>
        <v>43338</v>
      </c>
    </row>
    <row r="1079" spans="1:33">
      <c r="A1079" s="7" t="s">
        <v>5650</v>
      </c>
      <c r="B1079" s="7" t="s">
        <v>5650</v>
      </c>
      <c r="C1079" s="7" t="s">
        <v>5651</v>
      </c>
      <c r="D1079" s="7" t="s">
        <v>5652</v>
      </c>
      <c r="E1079" s="7" t="s">
        <v>33</v>
      </c>
      <c r="F1079" s="7" t="s">
        <v>34</v>
      </c>
      <c r="G1079" s="7" t="s">
        <v>35</v>
      </c>
      <c r="H1079" s="7"/>
      <c r="I1079" s="7"/>
      <c r="J1079" s="7" t="s">
        <v>36</v>
      </c>
      <c r="K1079" s="7" t="s">
        <v>255</v>
      </c>
      <c r="L1079" s="7" t="s">
        <v>256</v>
      </c>
      <c r="M1079" s="7" t="s">
        <v>257</v>
      </c>
      <c r="N1079" s="7" t="s">
        <v>33</v>
      </c>
      <c r="O1079" s="7">
        <v>1</v>
      </c>
      <c r="P1079" s="7" t="s">
        <v>40</v>
      </c>
      <c r="Q1079" s="7">
        <v>19.99</v>
      </c>
      <c r="R1079" s="7"/>
      <c r="S1079" s="7"/>
      <c r="T1079" s="7"/>
      <c r="U1079" s="7"/>
      <c r="V1079" s="7"/>
      <c r="W1079" s="7"/>
      <c r="X1079" s="7"/>
      <c r="Y1079" s="7" t="s">
        <v>5653</v>
      </c>
      <c r="Z1079" s="7" t="s">
        <v>59</v>
      </c>
      <c r="AA1079" s="7" t="s">
        <v>5654</v>
      </c>
      <c r="AB1079" s="7" t="s">
        <v>43</v>
      </c>
      <c r="AC1079" s="7"/>
      <c r="AD1079" s="7"/>
      <c r="AE1079" s="7"/>
      <c r="AF1079" s="7"/>
      <c r="AG1079" s="8">
        <f t="shared" si="16"/>
        <v>43338</v>
      </c>
    </row>
    <row r="1080" spans="1:33">
      <c r="A1080" s="7" t="s">
        <v>5655</v>
      </c>
      <c r="B1080" s="7" t="s">
        <v>5655</v>
      </c>
      <c r="C1080" s="7" t="s">
        <v>5656</v>
      </c>
      <c r="D1080" s="7" t="s">
        <v>5657</v>
      </c>
      <c r="E1080" s="7" t="s">
        <v>33</v>
      </c>
      <c r="F1080" s="7" t="s">
        <v>34</v>
      </c>
      <c r="G1080" s="7" t="s">
        <v>35</v>
      </c>
      <c r="H1080" s="7"/>
      <c r="I1080" s="7"/>
      <c r="J1080" s="7" t="s">
        <v>36</v>
      </c>
      <c r="K1080" s="7" t="s">
        <v>199</v>
      </c>
      <c r="L1080" s="7" t="s">
        <v>200</v>
      </c>
      <c r="M1080" s="7" t="s">
        <v>201</v>
      </c>
      <c r="N1080" s="7" t="s">
        <v>33</v>
      </c>
      <c r="O1080" s="7">
        <v>1</v>
      </c>
      <c r="P1080" s="7" t="s">
        <v>40</v>
      </c>
      <c r="Q1080" s="7">
        <v>18.99</v>
      </c>
      <c r="R1080" s="7"/>
      <c r="S1080" s="7"/>
      <c r="T1080" s="7"/>
      <c r="U1080" s="7"/>
      <c r="V1080" s="7"/>
      <c r="W1080" s="7"/>
      <c r="X1080" s="7"/>
      <c r="Y1080" s="7" t="s">
        <v>372</v>
      </c>
      <c r="Z1080" s="7" t="s">
        <v>59</v>
      </c>
      <c r="AA1080" s="7" t="s">
        <v>5658</v>
      </c>
      <c r="AB1080" s="7" t="s">
        <v>43</v>
      </c>
      <c r="AC1080" s="7"/>
      <c r="AD1080" s="7"/>
      <c r="AE1080" s="7"/>
      <c r="AF1080" s="7"/>
      <c r="AG1080" s="8">
        <f t="shared" si="16"/>
        <v>43338</v>
      </c>
    </row>
    <row r="1081" spans="1:33">
      <c r="A1081" s="7" t="s">
        <v>5659</v>
      </c>
      <c r="B1081" s="7" t="s">
        <v>5659</v>
      </c>
      <c r="C1081" s="7" t="s">
        <v>5660</v>
      </c>
      <c r="D1081" s="7" t="s">
        <v>5661</v>
      </c>
      <c r="E1081" s="7" t="s">
        <v>33</v>
      </c>
      <c r="F1081" s="7" t="s">
        <v>34</v>
      </c>
      <c r="G1081" s="7" t="s">
        <v>35</v>
      </c>
      <c r="H1081" s="7"/>
      <c r="I1081" s="7"/>
      <c r="J1081" s="7" t="s">
        <v>36</v>
      </c>
      <c r="K1081" s="7" t="s">
        <v>47</v>
      </c>
      <c r="L1081" s="7" t="s">
        <v>4586</v>
      </c>
      <c r="M1081" s="7" t="s">
        <v>4587</v>
      </c>
      <c r="N1081" s="7" t="s">
        <v>33</v>
      </c>
      <c r="O1081" s="7">
        <v>1</v>
      </c>
      <c r="P1081" s="7" t="s">
        <v>40</v>
      </c>
      <c r="Q1081" s="7">
        <v>16.99</v>
      </c>
      <c r="R1081" s="7"/>
      <c r="S1081" s="7"/>
      <c r="T1081" s="7"/>
      <c r="U1081" s="7"/>
      <c r="V1081" s="7"/>
      <c r="W1081" s="7"/>
      <c r="X1081" s="7"/>
      <c r="Y1081" s="7" t="s">
        <v>5662</v>
      </c>
      <c r="Z1081" s="7" t="s">
        <v>383</v>
      </c>
      <c r="AA1081" s="7">
        <v>14626</v>
      </c>
      <c r="AB1081" s="7" t="s">
        <v>43</v>
      </c>
      <c r="AC1081" s="7"/>
      <c r="AD1081" s="7"/>
      <c r="AE1081" s="7"/>
      <c r="AF1081" s="7"/>
      <c r="AG1081" s="8">
        <f t="shared" si="16"/>
        <v>43338</v>
      </c>
    </row>
    <row r="1082" spans="1:33">
      <c r="A1082" s="7" t="s">
        <v>5663</v>
      </c>
      <c r="B1082" s="7" t="s">
        <v>5663</v>
      </c>
      <c r="C1082" s="7" t="s">
        <v>5664</v>
      </c>
      <c r="D1082" s="7" t="s">
        <v>5665</v>
      </c>
      <c r="E1082" s="7" t="s">
        <v>33</v>
      </c>
      <c r="F1082" s="7" t="s">
        <v>34</v>
      </c>
      <c r="G1082" s="7" t="s">
        <v>35</v>
      </c>
      <c r="H1082" s="7"/>
      <c r="I1082" s="7"/>
      <c r="J1082" s="7" t="s">
        <v>36</v>
      </c>
      <c r="K1082" s="7" t="s">
        <v>456</v>
      </c>
      <c r="L1082" s="7" t="s">
        <v>457</v>
      </c>
      <c r="M1082" s="7" t="s">
        <v>458</v>
      </c>
      <c r="N1082" s="7" t="s">
        <v>33</v>
      </c>
      <c r="O1082" s="7">
        <v>1</v>
      </c>
      <c r="P1082" s="7" t="s">
        <v>40</v>
      </c>
      <c r="Q1082" s="7">
        <v>12.99</v>
      </c>
      <c r="R1082" s="7"/>
      <c r="S1082" s="7"/>
      <c r="T1082" s="7"/>
      <c r="U1082" s="7"/>
      <c r="V1082" s="7"/>
      <c r="W1082" s="7"/>
      <c r="X1082" s="7"/>
      <c r="Y1082" s="7" t="s">
        <v>5666</v>
      </c>
      <c r="Z1082" s="7" t="s">
        <v>51</v>
      </c>
      <c r="AA1082" s="7" t="s">
        <v>5667</v>
      </c>
      <c r="AB1082" s="7" t="s">
        <v>43</v>
      </c>
      <c r="AC1082" s="7"/>
      <c r="AD1082" s="7"/>
      <c r="AE1082" s="7"/>
      <c r="AF1082" s="7"/>
      <c r="AG1082" s="8">
        <f t="shared" si="16"/>
        <v>43338</v>
      </c>
    </row>
    <row r="1083" spans="1:33">
      <c r="A1083" s="7" t="s">
        <v>5668</v>
      </c>
      <c r="B1083" s="7" t="s">
        <v>5668</v>
      </c>
      <c r="C1083" s="7" t="s">
        <v>5669</v>
      </c>
      <c r="D1083" s="7" t="s">
        <v>5670</v>
      </c>
      <c r="E1083" s="7" t="s">
        <v>33</v>
      </c>
      <c r="F1083" s="7" t="s">
        <v>34</v>
      </c>
      <c r="G1083" s="7" t="s">
        <v>35</v>
      </c>
      <c r="H1083" s="7"/>
      <c r="I1083" s="7"/>
      <c r="J1083" s="7" t="s">
        <v>36</v>
      </c>
      <c r="K1083" s="7" t="s">
        <v>5671</v>
      </c>
      <c r="L1083" s="7" t="s">
        <v>5672</v>
      </c>
      <c r="M1083" s="7" t="s">
        <v>5673</v>
      </c>
      <c r="N1083" s="7" t="s">
        <v>33</v>
      </c>
      <c r="O1083" s="7">
        <v>1</v>
      </c>
      <c r="P1083" s="7" t="s">
        <v>40</v>
      </c>
      <c r="Q1083" s="7">
        <v>18.99</v>
      </c>
      <c r="R1083" s="7">
        <v>1.77</v>
      </c>
      <c r="S1083" s="7"/>
      <c r="T1083" s="7"/>
      <c r="U1083" s="7"/>
      <c r="V1083" s="7"/>
      <c r="W1083" s="7"/>
      <c r="X1083" s="7"/>
      <c r="Y1083" s="7" t="s">
        <v>5674</v>
      </c>
      <c r="Z1083" s="7" t="s">
        <v>882</v>
      </c>
      <c r="AA1083" s="7" t="s">
        <v>5675</v>
      </c>
      <c r="AB1083" s="7" t="s">
        <v>43</v>
      </c>
      <c r="AC1083" s="7"/>
      <c r="AD1083" s="7"/>
      <c r="AE1083" s="7"/>
      <c r="AF1083" s="7"/>
      <c r="AG1083" s="8">
        <f t="shared" si="16"/>
        <v>43338</v>
      </c>
    </row>
    <row r="1084" spans="1:33">
      <c r="A1084" s="7" t="s">
        <v>5676</v>
      </c>
      <c r="B1084" s="7" t="s">
        <v>5676</v>
      </c>
      <c r="C1084" s="7" t="s">
        <v>5677</v>
      </c>
      <c r="D1084" s="7" t="s">
        <v>5678</v>
      </c>
      <c r="E1084" s="7" t="s">
        <v>33</v>
      </c>
      <c r="F1084" s="7" t="s">
        <v>34</v>
      </c>
      <c r="G1084" s="7" t="s">
        <v>35</v>
      </c>
      <c r="H1084" s="7"/>
      <c r="I1084" s="7"/>
      <c r="J1084" s="7" t="s">
        <v>36</v>
      </c>
      <c r="K1084" s="7" t="s">
        <v>215</v>
      </c>
      <c r="L1084" s="7" t="s">
        <v>216</v>
      </c>
      <c r="M1084" s="7" t="s">
        <v>217</v>
      </c>
      <c r="N1084" s="7" t="s">
        <v>33</v>
      </c>
      <c r="O1084" s="7">
        <v>1</v>
      </c>
      <c r="P1084" s="7" t="s">
        <v>40</v>
      </c>
      <c r="Q1084" s="7">
        <v>18.99</v>
      </c>
      <c r="R1084" s="7"/>
      <c r="S1084" s="7"/>
      <c r="T1084" s="7"/>
      <c r="U1084" s="7"/>
      <c r="V1084" s="7"/>
      <c r="W1084" s="7"/>
      <c r="X1084" s="7"/>
      <c r="Y1084" s="7" t="s">
        <v>2185</v>
      </c>
      <c r="Z1084" s="7" t="s">
        <v>194</v>
      </c>
      <c r="AA1084" s="7" t="s">
        <v>5679</v>
      </c>
      <c r="AB1084" s="7" t="s">
        <v>43</v>
      </c>
      <c r="AC1084" s="7"/>
      <c r="AD1084" s="7"/>
      <c r="AE1084" s="7"/>
      <c r="AF1084" s="7"/>
      <c r="AG1084" s="8">
        <f t="shared" si="16"/>
        <v>43338</v>
      </c>
    </row>
    <row r="1085" spans="1:33">
      <c r="A1085" s="7" t="s">
        <v>5680</v>
      </c>
      <c r="B1085" s="7" t="s">
        <v>5680</v>
      </c>
      <c r="C1085" s="7" t="s">
        <v>5681</v>
      </c>
      <c r="D1085" s="7" t="s">
        <v>5682</v>
      </c>
      <c r="E1085" s="7" t="s">
        <v>33</v>
      </c>
      <c r="F1085" s="7" t="s">
        <v>34</v>
      </c>
      <c r="G1085" s="7" t="s">
        <v>35</v>
      </c>
      <c r="H1085" s="7"/>
      <c r="I1085" s="7"/>
      <c r="J1085" s="7" t="s">
        <v>36</v>
      </c>
      <c r="K1085" s="7" t="s">
        <v>388</v>
      </c>
      <c r="L1085" s="7" t="s">
        <v>1488</v>
      </c>
      <c r="M1085" s="7" t="s">
        <v>1489</v>
      </c>
      <c r="N1085" s="7" t="s">
        <v>33</v>
      </c>
      <c r="O1085" s="7">
        <v>1</v>
      </c>
      <c r="P1085" s="7" t="s">
        <v>40</v>
      </c>
      <c r="Q1085" s="7">
        <v>19.38</v>
      </c>
      <c r="R1085" s="7"/>
      <c r="S1085" s="7"/>
      <c r="T1085" s="7"/>
      <c r="U1085" s="7"/>
      <c r="V1085" s="7"/>
      <c r="W1085" s="7"/>
      <c r="X1085" s="7"/>
      <c r="Y1085" s="7" t="s">
        <v>5683</v>
      </c>
      <c r="Z1085" s="7" t="s">
        <v>392</v>
      </c>
      <c r="AA1085" s="7" t="s">
        <v>5684</v>
      </c>
      <c r="AB1085" s="7" t="s">
        <v>43</v>
      </c>
      <c r="AC1085" s="7"/>
      <c r="AD1085" s="7"/>
      <c r="AE1085" s="7"/>
      <c r="AF1085" s="7"/>
      <c r="AG1085" s="8">
        <f t="shared" si="16"/>
        <v>43338</v>
      </c>
    </row>
    <row r="1086" spans="1:33">
      <c r="A1086" s="7" t="s">
        <v>5685</v>
      </c>
      <c r="B1086" s="7" t="s">
        <v>5685</v>
      </c>
      <c r="C1086" s="7" t="s">
        <v>5686</v>
      </c>
      <c r="D1086" s="7" t="s">
        <v>5687</v>
      </c>
      <c r="E1086" s="7" t="s">
        <v>33</v>
      </c>
      <c r="F1086" s="7" t="s">
        <v>34</v>
      </c>
      <c r="G1086" s="7" t="s">
        <v>35</v>
      </c>
      <c r="H1086" s="7"/>
      <c r="I1086" s="7"/>
      <c r="J1086" s="7" t="s">
        <v>36</v>
      </c>
      <c r="K1086" s="7" t="s">
        <v>125</v>
      </c>
      <c r="L1086" s="7" t="s">
        <v>126</v>
      </c>
      <c r="M1086" s="7" t="s">
        <v>127</v>
      </c>
      <c r="N1086" s="7" t="s">
        <v>33</v>
      </c>
      <c r="O1086" s="7">
        <v>1</v>
      </c>
      <c r="P1086" s="7" t="s">
        <v>40</v>
      </c>
      <c r="Q1086" s="7">
        <v>18.99</v>
      </c>
      <c r="R1086" s="7"/>
      <c r="S1086" s="7"/>
      <c r="T1086" s="7"/>
      <c r="U1086" s="7"/>
      <c r="V1086" s="7"/>
      <c r="W1086" s="7"/>
      <c r="X1086" s="7"/>
      <c r="Y1086" s="7" t="s">
        <v>2095</v>
      </c>
      <c r="Z1086" s="7" t="s">
        <v>345</v>
      </c>
      <c r="AA1086" s="7" t="s">
        <v>5688</v>
      </c>
      <c r="AB1086" s="7" t="s">
        <v>43</v>
      </c>
      <c r="AC1086" s="7"/>
      <c r="AD1086" s="7"/>
      <c r="AE1086" s="7"/>
      <c r="AF1086" s="7"/>
      <c r="AG1086" s="8">
        <f t="shared" si="16"/>
        <v>43338</v>
      </c>
    </row>
    <row r="1087" spans="1:33">
      <c r="A1087" s="7" t="s">
        <v>5689</v>
      </c>
      <c r="B1087" s="7" t="s">
        <v>5689</v>
      </c>
      <c r="C1087" s="7" t="s">
        <v>5690</v>
      </c>
      <c r="D1087" s="7" t="s">
        <v>5691</v>
      </c>
      <c r="E1087" s="7" t="s">
        <v>5485</v>
      </c>
      <c r="F1087" s="7" t="s">
        <v>34</v>
      </c>
      <c r="G1087" s="7" t="s">
        <v>35</v>
      </c>
      <c r="H1087" s="7"/>
      <c r="I1087" s="7"/>
      <c r="J1087" s="7" t="s">
        <v>36</v>
      </c>
      <c r="K1087" s="7" t="s">
        <v>131</v>
      </c>
      <c r="L1087" s="7" t="s">
        <v>132</v>
      </c>
      <c r="M1087" s="7" t="s">
        <v>133</v>
      </c>
      <c r="N1087" s="7" t="s">
        <v>459</v>
      </c>
      <c r="O1087" s="7">
        <v>1</v>
      </c>
      <c r="P1087" s="7" t="s">
        <v>40</v>
      </c>
      <c r="Q1087" s="7">
        <v>18.99</v>
      </c>
      <c r="R1087" s="7"/>
      <c r="S1087" s="7"/>
      <c r="T1087" s="7"/>
      <c r="U1087" s="7"/>
      <c r="V1087" s="7"/>
      <c r="W1087" s="7"/>
      <c r="X1087" s="7"/>
      <c r="Y1087" s="7" t="s">
        <v>2728</v>
      </c>
      <c r="Z1087" s="7" t="s">
        <v>392</v>
      </c>
      <c r="AA1087" s="7" t="s">
        <v>5692</v>
      </c>
      <c r="AB1087" s="7" t="s">
        <v>43</v>
      </c>
      <c r="AC1087" s="7"/>
      <c r="AD1087" s="7"/>
      <c r="AE1087" s="7"/>
      <c r="AF1087" s="7"/>
      <c r="AG1087" s="8">
        <f t="shared" si="16"/>
        <v>43338</v>
      </c>
    </row>
    <row r="1088" spans="1:33">
      <c r="A1088" s="7" t="s">
        <v>5693</v>
      </c>
      <c r="B1088" s="7" t="s">
        <v>5693</v>
      </c>
      <c r="C1088" s="7" t="s">
        <v>5694</v>
      </c>
      <c r="D1088" s="7" t="s">
        <v>5695</v>
      </c>
      <c r="E1088" s="7" t="s">
        <v>33</v>
      </c>
      <c r="F1088" s="7" t="s">
        <v>34</v>
      </c>
      <c r="G1088" s="7" t="s">
        <v>35</v>
      </c>
      <c r="H1088" s="7"/>
      <c r="I1088" s="7"/>
      <c r="J1088" s="7" t="s">
        <v>36</v>
      </c>
      <c r="K1088" s="7" t="s">
        <v>255</v>
      </c>
      <c r="L1088" s="7" t="s">
        <v>300</v>
      </c>
      <c r="M1088" s="7" t="s">
        <v>301</v>
      </c>
      <c r="N1088" s="7" t="s">
        <v>33</v>
      </c>
      <c r="O1088" s="7">
        <v>1</v>
      </c>
      <c r="P1088" s="7" t="s">
        <v>40</v>
      </c>
      <c r="Q1088" s="7">
        <v>19.99</v>
      </c>
      <c r="R1088" s="7"/>
      <c r="S1088" s="7"/>
      <c r="T1088" s="7"/>
      <c r="U1088" s="7"/>
      <c r="V1088" s="7"/>
      <c r="W1088" s="7"/>
      <c r="X1088" s="7"/>
      <c r="Y1088" s="7" t="s">
        <v>5696</v>
      </c>
      <c r="Z1088" s="7" t="s">
        <v>94</v>
      </c>
      <c r="AA1088" s="7" t="s">
        <v>5697</v>
      </c>
      <c r="AB1088" s="7" t="s">
        <v>43</v>
      </c>
      <c r="AC1088" s="7"/>
      <c r="AD1088" s="7"/>
      <c r="AE1088" s="7"/>
      <c r="AF1088" s="7"/>
      <c r="AG1088" s="8">
        <f t="shared" si="16"/>
        <v>43338</v>
      </c>
    </row>
    <row r="1089" spans="1:33">
      <c r="A1089" s="7" t="s">
        <v>5698</v>
      </c>
      <c r="B1089" s="7" t="s">
        <v>5698</v>
      </c>
      <c r="C1089" s="7" t="s">
        <v>5699</v>
      </c>
      <c r="D1089" s="7" t="s">
        <v>5700</v>
      </c>
      <c r="E1089" s="7" t="s">
        <v>5485</v>
      </c>
      <c r="F1089" s="7" t="s">
        <v>34</v>
      </c>
      <c r="G1089" s="7" t="s">
        <v>35</v>
      </c>
      <c r="H1089" s="7"/>
      <c r="I1089" s="7"/>
      <c r="J1089" s="7" t="s">
        <v>36</v>
      </c>
      <c r="K1089" s="7" t="s">
        <v>199</v>
      </c>
      <c r="L1089" s="7" t="s">
        <v>200</v>
      </c>
      <c r="M1089" s="7" t="s">
        <v>201</v>
      </c>
      <c r="N1089" s="7" t="s">
        <v>459</v>
      </c>
      <c r="O1089" s="7">
        <v>1</v>
      </c>
      <c r="P1089" s="7" t="s">
        <v>40</v>
      </c>
      <c r="Q1089" s="7">
        <v>18.99</v>
      </c>
      <c r="R1089" s="7"/>
      <c r="S1089" s="7"/>
      <c r="T1089" s="7"/>
      <c r="U1089" s="7"/>
      <c r="V1089" s="7"/>
      <c r="W1089" s="7"/>
      <c r="X1089" s="7"/>
      <c r="Y1089" s="7" t="s">
        <v>5701</v>
      </c>
      <c r="Z1089" s="7" t="s">
        <v>85</v>
      </c>
      <c r="AA1089" s="7" t="s">
        <v>5702</v>
      </c>
      <c r="AB1089" s="7" t="s">
        <v>43</v>
      </c>
      <c r="AC1089" s="7"/>
      <c r="AD1089" s="7"/>
      <c r="AE1089" s="7"/>
      <c r="AF1089" s="7"/>
      <c r="AG1089" s="8">
        <f t="shared" si="16"/>
        <v>43338</v>
      </c>
    </row>
    <row r="1090" spans="1:33">
      <c r="A1090" s="7" t="s">
        <v>5703</v>
      </c>
      <c r="B1090" s="7" t="s">
        <v>5703</v>
      </c>
      <c r="C1090" s="7" t="s">
        <v>5704</v>
      </c>
      <c r="D1090" s="7" t="s">
        <v>5705</v>
      </c>
      <c r="E1090" s="7" t="s">
        <v>33</v>
      </c>
      <c r="F1090" s="7" t="s">
        <v>34</v>
      </c>
      <c r="G1090" s="7" t="s">
        <v>35</v>
      </c>
      <c r="H1090" s="7"/>
      <c r="I1090" s="7"/>
      <c r="J1090" s="7" t="s">
        <v>36</v>
      </c>
      <c r="K1090" s="7" t="s">
        <v>90</v>
      </c>
      <c r="L1090" s="7" t="s">
        <v>91</v>
      </c>
      <c r="M1090" s="7" t="s">
        <v>92</v>
      </c>
      <c r="N1090" s="7" t="s">
        <v>33</v>
      </c>
      <c r="O1090" s="7">
        <v>1</v>
      </c>
      <c r="P1090" s="7" t="s">
        <v>40</v>
      </c>
      <c r="Q1090" s="7">
        <v>12.99</v>
      </c>
      <c r="R1090" s="7"/>
      <c r="S1090" s="7"/>
      <c r="T1090" s="7"/>
      <c r="U1090" s="7"/>
      <c r="V1090" s="7"/>
      <c r="W1090" s="7"/>
      <c r="X1090" s="7"/>
      <c r="Y1090" s="7" t="s">
        <v>362</v>
      </c>
      <c r="Z1090" s="7" t="s">
        <v>227</v>
      </c>
      <c r="AA1090" s="7" t="s">
        <v>5706</v>
      </c>
      <c r="AB1090" s="7" t="s">
        <v>43</v>
      </c>
      <c r="AC1090" s="7"/>
      <c r="AD1090" s="7"/>
      <c r="AE1090" s="7"/>
      <c r="AF1090" s="7"/>
      <c r="AG1090" s="8">
        <f t="shared" ref="AG1090:AG1101" si="17">DATEVALUE(LEFT(C1090,10))</f>
        <v>43338</v>
      </c>
    </row>
    <row r="1091" spans="1:33">
      <c r="A1091" s="7" t="s">
        <v>5707</v>
      </c>
      <c r="B1091" s="7" t="s">
        <v>5707</v>
      </c>
      <c r="C1091" s="7" t="s">
        <v>5708</v>
      </c>
      <c r="D1091" s="7" t="s">
        <v>5709</v>
      </c>
      <c r="E1091" s="7" t="s">
        <v>33</v>
      </c>
      <c r="F1091" s="7" t="s">
        <v>34</v>
      </c>
      <c r="G1091" s="7" t="s">
        <v>35</v>
      </c>
      <c r="H1091" s="7"/>
      <c r="I1091" s="7"/>
      <c r="J1091" s="7" t="s">
        <v>36</v>
      </c>
      <c r="K1091" s="7" t="s">
        <v>1139</v>
      </c>
      <c r="L1091" s="7" t="s">
        <v>5710</v>
      </c>
      <c r="M1091" s="7" t="s">
        <v>5711</v>
      </c>
      <c r="N1091" s="7" t="s">
        <v>33</v>
      </c>
      <c r="O1091" s="7">
        <v>1</v>
      </c>
      <c r="P1091" s="7" t="s">
        <v>40</v>
      </c>
      <c r="Q1091" s="7">
        <v>20.99</v>
      </c>
      <c r="R1091" s="7"/>
      <c r="S1091" s="7"/>
      <c r="T1091" s="7"/>
      <c r="U1091" s="7"/>
      <c r="V1091" s="7"/>
      <c r="W1091" s="7"/>
      <c r="X1091" s="7"/>
      <c r="Y1091" s="7" t="s">
        <v>5712</v>
      </c>
      <c r="Z1091" s="7" t="s">
        <v>85</v>
      </c>
      <c r="AA1091" s="7" t="s">
        <v>5713</v>
      </c>
      <c r="AB1091" s="7" t="s">
        <v>43</v>
      </c>
      <c r="AC1091" s="7"/>
      <c r="AD1091" s="7"/>
      <c r="AE1091" s="7"/>
      <c r="AF1091" s="7"/>
      <c r="AG1091" s="8">
        <f t="shared" si="17"/>
        <v>43338</v>
      </c>
    </row>
    <row r="1092" spans="1:33">
      <c r="A1092" s="7" t="s">
        <v>5714</v>
      </c>
      <c r="B1092" s="7" t="s">
        <v>5714</v>
      </c>
      <c r="C1092" s="7" t="s">
        <v>5715</v>
      </c>
      <c r="D1092" s="7" t="s">
        <v>5716</v>
      </c>
      <c r="E1092" s="7" t="s">
        <v>33</v>
      </c>
      <c r="F1092" s="7" t="s">
        <v>34</v>
      </c>
      <c r="G1092" s="7" t="s">
        <v>35</v>
      </c>
      <c r="H1092" s="7"/>
      <c r="I1092" s="7"/>
      <c r="J1092" s="7" t="s">
        <v>36</v>
      </c>
      <c r="K1092" s="7" t="s">
        <v>247</v>
      </c>
      <c r="L1092" s="7" t="s">
        <v>248</v>
      </c>
      <c r="M1092" s="7" t="s">
        <v>249</v>
      </c>
      <c r="N1092" s="7" t="s">
        <v>33</v>
      </c>
      <c r="O1092" s="7">
        <v>1</v>
      </c>
      <c r="P1092" s="7" t="s">
        <v>40</v>
      </c>
      <c r="Q1092" s="7">
        <v>18.99</v>
      </c>
      <c r="R1092" s="7"/>
      <c r="S1092" s="7"/>
      <c r="T1092" s="7"/>
      <c r="U1092" s="7"/>
      <c r="V1092" s="7"/>
      <c r="W1092" s="7"/>
      <c r="X1092" s="7"/>
      <c r="Y1092" s="7" t="s">
        <v>5490</v>
      </c>
      <c r="Z1092" s="7" t="s">
        <v>85</v>
      </c>
      <c r="AA1092" s="7" t="s">
        <v>5717</v>
      </c>
      <c r="AB1092" s="7" t="s">
        <v>43</v>
      </c>
      <c r="AC1092" s="7"/>
      <c r="AD1092" s="7"/>
      <c r="AE1092" s="7"/>
      <c r="AF1092" s="7"/>
      <c r="AG1092" s="8">
        <f t="shared" si="17"/>
        <v>43338</v>
      </c>
    </row>
    <row r="1093" spans="1:33">
      <c r="A1093" s="7" t="s">
        <v>5718</v>
      </c>
      <c r="B1093" s="7" t="s">
        <v>5718</v>
      </c>
      <c r="C1093" s="7" t="s">
        <v>5719</v>
      </c>
      <c r="D1093" s="7" t="s">
        <v>5720</v>
      </c>
      <c r="E1093" s="7" t="s">
        <v>33</v>
      </c>
      <c r="F1093" s="7" t="s">
        <v>34</v>
      </c>
      <c r="G1093" s="7" t="s">
        <v>35</v>
      </c>
      <c r="H1093" s="7"/>
      <c r="I1093" s="7"/>
      <c r="J1093" s="7" t="s">
        <v>36</v>
      </c>
      <c r="K1093" s="7" t="s">
        <v>255</v>
      </c>
      <c r="L1093" s="7" t="s">
        <v>256</v>
      </c>
      <c r="M1093" s="7" t="s">
        <v>257</v>
      </c>
      <c r="N1093" s="7" t="s">
        <v>33</v>
      </c>
      <c r="O1093" s="7">
        <v>1</v>
      </c>
      <c r="P1093" s="7" t="s">
        <v>40</v>
      </c>
      <c r="Q1093" s="7">
        <v>19.99</v>
      </c>
      <c r="R1093" s="7"/>
      <c r="S1093" s="7"/>
      <c r="T1093" s="7"/>
      <c r="U1093" s="7"/>
      <c r="V1093" s="7"/>
      <c r="W1093" s="7"/>
      <c r="X1093" s="7"/>
      <c r="Y1093" s="7" t="s">
        <v>5721</v>
      </c>
      <c r="Z1093" s="7" t="s">
        <v>174</v>
      </c>
      <c r="AA1093" s="7">
        <v>20616</v>
      </c>
      <c r="AB1093" s="7" t="s">
        <v>43</v>
      </c>
      <c r="AC1093" s="7"/>
      <c r="AD1093" s="7"/>
      <c r="AE1093" s="7"/>
      <c r="AF1093" s="7"/>
      <c r="AG1093" s="8">
        <f t="shared" si="17"/>
        <v>43338</v>
      </c>
    </row>
    <row r="1094" spans="1:33">
      <c r="A1094" s="7" t="s">
        <v>5722</v>
      </c>
      <c r="B1094" s="7" t="s">
        <v>5722</v>
      </c>
      <c r="C1094" s="7" t="s">
        <v>5723</v>
      </c>
      <c r="D1094" s="7" t="s">
        <v>5724</v>
      </c>
      <c r="E1094" s="7" t="s">
        <v>33</v>
      </c>
      <c r="F1094" s="7" t="s">
        <v>34</v>
      </c>
      <c r="G1094" s="7" t="s">
        <v>35</v>
      </c>
      <c r="H1094" s="7"/>
      <c r="I1094" s="7"/>
      <c r="J1094" s="7" t="s">
        <v>36</v>
      </c>
      <c r="K1094" s="7" t="s">
        <v>456</v>
      </c>
      <c r="L1094" s="7" t="s">
        <v>1280</v>
      </c>
      <c r="M1094" s="7" t="s">
        <v>1281</v>
      </c>
      <c r="N1094" s="7" t="s">
        <v>33</v>
      </c>
      <c r="O1094" s="7">
        <v>1</v>
      </c>
      <c r="P1094" s="7" t="s">
        <v>40</v>
      </c>
      <c r="Q1094" s="7">
        <v>12.99</v>
      </c>
      <c r="R1094" s="7"/>
      <c r="S1094" s="7"/>
      <c r="T1094" s="7"/>
      <c r="U1094" s="7"/>
      <c r="V1094" s="7"/>
      <c r="W1094" s="7"/>
      <c r="X1094" s="7"/>
      <c r="Y1094" s="7" t="s">
        <v>5725</v>
      </c>
      <c r="Z1094" s="7" t="s">
        <v>59</v>
      </c>
      <c r="AA1094" s="7" t="s">
        <v>5726</v>
      </c>
      <c r="AB1094" s="7" t="s">
        <v>43</v>
      </c>
      <c r="AC1094" s="7"/>
      <c r="AD1094" s="7"/>
      <c r="AE1094" s="7"/>
      <c r="AF1094" s="7"/>
      <c r="AG1094" s="8">
        <f t="shared" si="17"/>
        <v>43338</v>
      </c>
    </row>
    <row r="1095" spans="1:33">
      <c r="A1095" s="7" t="s">
        <v>5727</v>
      </c>
      <c r="B1095" s="7" t="s">
        <v>5727</v>
      </c>
      <c r="C1095" s="7" t="s">
        <v>5728</v>
      </c>
      <c r="D1095" s="7" t="s">
        <v>5729</v>
      </c>
      <c r="E1095" s="7" t="s">
        <v>33</v>
      </c>
      <c r="F1095" s="7" t="s">
        <v>34</v>
      </c>
      <c r="G1095" s="7" t="s">
        <v>35</v>
      </c>
      <c r="H1095" s="7"/>
      <c r="I1095" s="7"/>
      <c r="J1095" s="7" t="s">
        <v>36</v>
      </c>
      <c r="K1095" s="7" t="s">
        <v>47</v>
      </c>
      <c r="L1095" s="7" t="s">
        <v>1206</v>
      </c>
      <c r="M1095" s="7" t="s">
        <v>1207</v>
      </c>
      <c r="N1095" s="7" t="s">
        <v>33</v>
      </c>
      <c r="O1095" s="7">
        <v>1</v>
      </c>
      <c r="P1095" s="7" t="s">
        <v>40</v>
      </c>
      <c r="Q1095" s="7">
        <v>16.99</v>
      </c>
      <c r="R1095" s="7"/>
      <c r="S1095" s="7"/>
      <c r="T1095" s="7"/>
      <c r="U1095" s="7"/>
      <c r="V1095" s="7"/>
      <c r="W1095" s="7"/>
      <c r="X1095" s="7"/>
      <c r="Y1095" s="7" t="s">
        <v>5730</v>
      </c>
      <c r="Z1095" s="7" t="s">
        <v>1114</v>
      </c>
      <c r="AA1095" s="7" t="s">
        <v>5731</v>
      </c>
      <c r="AB1095" s="7" t="s">
        <v>43</v>
      </c>
      <c r="AC1095" s="7"/>
      <c r="AD1095" s="7"/>
      <c r="AE1095" s="7"/>
      <c r="AF1095" s="7"/>
      <c r="AG1095" s="8">
        <f t="shared" si="17"/>
        <v>43338</v>
      </c>
    </row>
    <row r="1096" spans="1:33">
      <c r="A1096" s="7" t="s">
        <v>5732</v>
      </c>
      <c r="B1096" s="7" t="s">
        <v>5732</v>
      </c>
      <c r="C1096" s="7" t="s">
        <v>5733</v>
      </c>
      <c r="D1096" s="7" t="s">
        <v>5734</v>
      </c>
      <c r="E1096" s="7" t="s">
        <v>33</v>
      </c>
      <c r="F1096" s="7" t="s">
        <v>34</v>
      </c>
      <c r="G1096" s="7" t="s">
        <v>35</v>
      </c>
      <c r="H1096" s="7"/>
      <c r="I1096" s="7"/>
      <c r="J1096" s="7" t="s">
        <v>36</v>
      </c>
      <c r="K1096" s="7" t="s">
        <v>456</v>
      </c>
      <c r="L1096" s="7" t="s">
        <v>1248</v>
      </c>
      <c r="M1096" s="7" t="s">
        <v>1249</v>
      </c>
      <c r="N1096" s="7" t="s">
        <v>33</v>
      </c>
      <c r="O1096" s="7">
        <v>1</v>
      </c>
      <c r="P1096" s="7" t="s">
        <v>40</v>
      </c>
      <c r="Q1096" s="7">
        <v>12.99</v>
      </c>
      <c r="R1096" s="7"/>
      <c r="S1096" s="7"/>
      <c r="T1096" s="7"/>
      <c r="U1096" s="7"/>
      <c r="V1096" s="7"/>
      <c r="W1096" s="7"/>
      <c r="X1096" s="7"/>
      <c r="Y1096" s="7" t="s">
        <v>362</v>
      </c>
      <c r="Z1096" s="7" t="s">
        <v>488</v>
      </c>
      <c r="AA1096" s="7" t="s">
        <v>5735</v>
      </c>
      <c r="AB1096" s="7" t="s">
        <v>43</v>
      </c>
      <c r="AC1096" s="7"/>
      <c r="AD1096" s="7"/>
      <c r="AE1096" s="7"/>
      <c r="AF1096" s="7"/>
      <c r="AG1096" s="8">
        <f t="shared" si="17"/>
        <v>43338</v>
      </c>
    </row>
    <row r="1097" spans="1:33">
      <c r="A1097" s="7" t="s">
        <v>5736</v>
      </c>
      <c r="B1097" s="7" t="s">
        <v>5736</v>
      </c>
      <c r="C1097" s="7" t="s">
        <v>5737</v>
      </c>
      <c r="D1097" s="7" t="s">
        <v>5738</v>
      </c>
      <c r="E1097" s="7" t="s">
        <v>33</v>
      </c>
      <c r="F1097" s="7" t="s">
        <v>34</v>
      </c>
      <c r="G1097" s="7" t="s">
        <v>35</v>
      </c>
      <c r="H1097" s="7"/>
      <c r="I1097" s="7"/>
      <c r="J1097" s="7" t="s">
        <v>36</v>
      </c>
      <c r="K1097" s="7" t="s">
        <v>131</v>
      </c>
      <c r="L1097" s="7" t="s">
        <v>132</v>
      </c>
      <c r="M1097" s="7" t="s">
        <v>133</v>
      </c>
      <c r="N1097" s="7" t="s">
        <v>33</v>
      </c>
      <c r="O1097" s="7">
        <v>1</v>
      </c>
      <c r="P1097" s="7" t="s">
        <v>40</v>
      </c>
      <c r="Q1097" s="7">
        <v>18.99</v>
      </c>
      <c r="R1097" s="7"/>
      <c r="S1097" s="7"/>
      <c r="T1097" s="7"/>
      <c r="U1097" s="7"/>
      <c r="V1097" s="7"/>
      <c r="W1097" s="7"/>
      <c r="X1097" s="7"/>
      <c r="Y1097" s="7" t="s">
        <v>5739</v>
      </c>
      <c r="Z1097" s="7" t="s">
        <v>323</v>
      </c>
      <c r="AA1097" s="7" t="s">
        <v>5740</v>
      </c>
      <c r="AB1097" s="7" t="s">
        <v>43</v>
      </c>
      <c r="AC1097" s="7"/>
      <c r="AD1097" s="7"/>
      <c r="AE1097" s="7"/>
      <c r="AF1097" s="7"/>
      <c r="AG1097" s="8">
        <f t="shared" si="17"/>
        <v>43338</v>
      </c>
    </row>
    <row r="1098" spans="1:33">
      <c r="A1098" s="7" t="s">
        <v>5741</v>
      </c>
      <c r="B1098" s="7" t="s">
        <v>5741</v>
      </c>
      <c r="C1098" s="7" t="s">
        <v>5742</v>
      </c>
      <c r="D1098" s="7" t="s">
        <v>5743</v>
      </c>
      <c r="E1098" s="7" t="s">
        <v>33</v>
      </c>
      <c r="F1098" s="7" t="s">
        <v>34</v>
      </c>
      <c r="G1098" s="7" t="s">
        <v>35</v>
      </c>
      <c r="H1098" s="7"/>
      <c r="I1098" s="7"/>
      <c r="J1098" s="7" t="s">
        <v>36</v>
      </c>
      <c r="K1098" s="7" t="s">
        <v>472</v>
      </c>
      <c r="L1098" s="7" t="s">
        <v>473</v>
      </c>
      <c r="M1098" s="7" t="s">
        <v>474</v>
      </c>
      <c r="N1098" s="7" t="s">
        <v>33</v>
      </c>
      <c r="O1098" s="7">
        <v>1</v>
      </c>
      <c r="P1098" s="7" t="s">
        <v>40</v>
      </c>
      <c r="Q1098" s="7">
        <v>16.99</v>
      </c>
      <c r="R1098" s="7"/>
      <c r="S1098" s="7"/>
      <c r="T1098" s="7"/>
      <c r="U1098" s="7"/>
      <c r="V1098" s="7"/>
      <c r="W1098" s="7"/>
      <c r="X1098" s="7"/>
      <c r="Y1098" s="7" t="s">
        <v>5744</v>
      </c>
      <c r="Z1098" s="7" t="s">
        <v>135</v>
      </c>
      <c r="AA1098" s="7" t="s">
        <v>5745</v>
      </c>
      <c r="AB1098" s="7" t="s">
        <v>43</v>
      </c>
      <c r="AC1098" s="7"/>
      <c r="AD1098" s="7"/>
      <c r="AE1098" s="7"/>
      <c r="AF1098" s="7"/>
      <c r="AG1098" s="8">
        <f t="shared" si="17"/>
        <v>43338</v>
      </c>
    </row>
    <row r="1099" spans="1:33">
      <c r="A1099" s="7" t="s">
        <v>5746</v>
      </c>
      <c r="B1099" s="7" t="s">
        <v>5746</v>
      </c>
      <c r="C1099" s="7" t="s">
        <v>5747</v>
      </c>
      <c r="D1099" s="7" t="s">
        <v>5748</v>
      </c>
      <c r="E1099" s="7" t="s">
        <v>33</v>
      </c>
      <c r="F1099" s="7" t="s">
        <v>34</v>
      </c>
      <c r="G1099" s="7" t="s">
        <v>35</v>
      </c>
      <c r="H1099" s="7"/>
      <c r="I1099" s="7"/>
      <c r="J1099" s="7" t="s">
        <v>36</v>
      </c>
      <c r="K1099" s="7" t="s">
        <v>247</v>
      </c>
      <c r="L1099" s="7" t="s">
        <v>248</v>
      </c>
      <c r="M1099" s="7" t="s">
        <v>249</v>
      </c>
      <c r="N1099" s="7" t="s">
        <v>33</v>
      </c>
      <c r="O1099" s="7">
        <v>1</v>
      </c>
      <c r="P1099" s="7" t="s">
        <v>40</v>
      </c>
      <c r="Q1099" s="7">
        <v>18.99</v>
      </c>
      <c r="R1099" s="7"/>
      <c r="S1099" s="7"/>
      <c r="T1099" s="7"/>
      <c r="U1099" s="7"/>
      <c r="V1099" s="7"/>
      <c r="W1099" s="7"/>
      <c r="X1099" s="7"/>
      <c r="Y1099" s="7" t="s">
        <v>5749</v>
      </c>
      <c r="Z1099" s="7" t="s">
        <v>1209</v>
      </c>
      <c r="AA1099" s="7" t="s">
        <v>5750</v>
      </c>
      <c r="AB1099" s="7" t="s">
        <v>43</v>
      </c>
      <c r="AC1099" s="7"/>
      <c r="AD1099" s="7"/>
      <c r="AE1099" s="7"/>
      <c r="AF1099" s="7"/>
      <c r="AG1099" s="8">
        <f t="shared" si="17"/>
        <v>43338</v>
      </c>
    </row>
    <row r="1100" spans="1:33">
      <c r="A1100" s="7" t="s">
        <v>5751</v>
      </c>
      <c r="B1100" s="7" t="s">
        <v>5751</v>
      </c>
      <c r="C1100" s="7" t="s">
        <v>5752</v>
      </c>
      <c r="D1100" s="7" t="s">
        <v>5753</v>
      </c>
      <c r="E1100" s="7" t="s">
        <v>33</v>
      </c>
      <c r="F1100" s="7" t="s">
        <v>34</v>
      </c>
      <c r="G1100" s="7" t="s">
        <v>35</v>
      </c>
      <c r="H1100" s="7"/>
      <c r="I1100" s="7"/>
      <c r="J1100" s="7" t="s">
        <v>36</v>
      </c>
      <c r="K1100" s="7" t="s">
        <v>131</v>
      </c>
      <c r="L1100" s="7" t="s">
        <v>132</v>
      </c>
      <c r="M1100" s="7" t="s">
        <v>133</v>
      </c>
      <c r="N1100" s="7" t="s">
        <v>33</v>
      </c>
      <c r="O1100" s="7">
        <v>1</v>
      </c>
      <c r="P1100" s="7" t="s">
        <v>40</v>
      </c>
      <c r="Q1100" s="7">
        <v>18.99</v>
      </c>
      <c r="R1100" s="7"/>
      <c r="S1100" s="7"/>
      <c r="T1100" s="7"/>
      <c r="U1100" s="7"/>
      <c r="V1100" s="7"/>
      <c r="W1100" s="7"/>
      <c r="X1100" s="7"/>
      <c r="Y1100" s="7" t="s">
        <v>5754</v>
      </c>
      <c r="Z1100" s="7" t="s">
        <v>69</v>
      </c>
      <c r="AA1100" s="7" t="s">
        <v>5755</v>
      </c>
      <c r="AB1100" s="7" t="s">
        <v>43</v>
      </c>
      <c r="AC1100" s="7"/>
      <c r="AD1100" s="7"/>
      <c r="AE1100" s="7"/>
      <c r="AF1100" s="7"/>
      <c r="AG1100" s="8">
        <f t="shared" si="17"/>
        <v>43338</v>
      </c>
    </row>
    <row r="1101" spans="1:33">
      <c r="A1101" s="7" t="s">
        <v>5756</v>
      </c>
      <c r="B1101" s="7" t="s">
        <v>5756</v>
      </c>
      <c r="C1101" s="7" t="s">
        <v>5757</v>
      </c>
      <c r="D1101" s="7" t="s">
        <v>5758</v>
      </c>
      <c r="E1101" s="7" t="s">
        <v>5485</v>
      </c>
      <c r="F1101" s="7" t="s">
        <v>34</v>
      </c>
      <c r="G1101" s="7" t="s">
        <v>35</v>
      </c>
      <c r="H1101" s="7"/>
      <c r="I1101" s="7"/>
      <c r="J1101" s="7" t="s">
        <v>336</v>
      </c>
      <c r="K1101" s="7" t="s">
        <v>255</v>
      </c>
      <c r="L1101" s="7" t="s">
        <v>1170</v>
      </c>
      <c r="M1101" s="7" t="s">
        <v>1171</v>
      </c>
      <c r="N1101" s="7" t="s">
        <v>459</v>
      </c>
      <c r="O1101" s="7">
        <v>1</v>
      </c>
      <c r="P1101" s="7" t="s">
        <v>40</v>
      </c>
      <c r="Q1101" s="7">
        <v>19.99</v>
      </c>
      <c r="R1101" s="7"/>
      <c r="S1101" s="7"/>
      <c r="T1101" s="7"/>
      <c r="U1101" s="7"/>
      <c r="V1101" s="7"/>
      <c r="W1101" s="7"/>
      <c r="X1101" s="7"/>
      <c r="Y1101" s="7" t="s">
        <v>2386</v>
      </c>
      <c r="Z1101" s="7" t="s">
        <v>135</v>
      </c>
      <c r="AA1101" s="7" t="s">
        <v>5759</v>
      </c>
      <c r="AB1101" s="7" t="s">
        <v>43</v>
      </c>
      <c r="AC1101" s="7"/>
      <c r="AD1101" s="7"/>
      <c r="AE1101" s="7"/>
      <c r="AF1101" s="7"/>
      <c r="AG1101" s="8">
        <f t="shared" si="17"/>
        <v>43338</v>
      </c>
    </row>
    <row r="1102" spans="1:33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8"/>
    </row>
    <row r="1103" spans="1:33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8"/>
    </row>
    <row r="1104" spans="1:33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8"/>
    </row>
    <row r="1105" spans="1:33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8"/>
    </row>
    <row r="1106" spans="1:33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8"/>
    </row>
    <row r="1107" spans="1:33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8"/>
    </row>
    <row r="1108" spans="1:33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8"/>
    </row>
    <row r="1109" spans="1:33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8"/>
    </row>
    <row r="1110" spans="1:33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8"/>
    </row>
    <row r="1111" spans="1:33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8"/>
    </row>
    <row r="1112" spans="1:33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8"/>
    </row>
    <row r="1113" spans="1:33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8"/>
    </row>
    <row r="1114" spans="1:33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8"/>
    </row>
    <row r="1115" spans="1:33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8"/>
    </row>
    <row r="1116" spans="1:33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8"/>
    </row>
    <row r="1117" spans="1:33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8"/>
    </row>
    <row r="1118" spans="1:33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8"/>
    </row>
    <row r="1119" spans="1:33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8"/>
    </row>
    <row r="1120" spans="1:33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8"/>
    </row>
    <row r="1121" spans="1:33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8"/>
    </row>
    <row r="1122" spans="1:33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8"/>
    </row>
    <row r="1123" spans="1:33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8"/>
    </row>
    <row r="1124" spans="1:33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8"/>
    </row>
    <row r="1125" spans="1:33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8"/>
    </row>
    <row r="1126" spans="1:33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8"/>
    </row>
    <row r="1127" spans="1:33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8"/>
    </row>
    <row r="1128" spans="1:33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8"/>
    </row>
    <row r="1129" spans="1:33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8"/>
    </row>
    <row r="1130" spans="1:33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8"/>
    </row>
    <row r="1131" spans="1:33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8"/>
    </row>
    <row r="1132" spans="1:33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8"/>
    </row>
    <row r="1133" spans="1:33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8"/>
    </row>
    <row r="1134" spans="1:33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8"/>
    </row>
    <row r="1135" spans="1:33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8"/>
    </row>
    <row r="1136" spans="1:33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8"/>
    </row>
    <row r="1137" spans="1:33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8"/>
    </row>
    <row r="1138" spans="1:33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8"/>
    </row>
    <row r="1139" spans="1:33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8"/>
    </row>
    <row r="1140" spans="1:33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8"/>
    </row>
    <row r="1141" spans="1:33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8"/>
    </row>
    <row r="1142" spans="1:33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8"/>
    </row>
    <row r="1143" spans="1:33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8"/>
    </row>
    <row r="1144" spans="1:33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8"/>
    </row>
    <row r="1145" spans="1:33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8"/>
    </row>
    <row r="1146" spans="1:33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8"/>
    </row>
    <row r="1147" spans="1:33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8"/>
    </row>
    <row r="1148" spans="1:33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8"/>
    </row>
    <row r="1149" spans="1:33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8"/>
    </row>
    <row r="1150" spans="1:33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8"/>
    </row>
    <row r="1151" spans="1:33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8"/>
    </row>
    <row r="1152" spans="1:33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8"/>
    </row>
    <row r="1153" spans="1:33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8"/>
    </row>
    <row r="1154" spans="1:33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8"/>
    </row>
    <row r="1155" spans="1:33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8"/>
    </row>
    <row r="1156" spans="1:33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8"/>
    </row>
    <row r="1157" spans="1:33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8"/>
    </row>
    <row r="1158" spans="1:33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8"/>
    </row>
    <row r="1159" spans="1:33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8"/>
    </row>
    <row r="1160" spans="1:33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8"/>
    </row>
    <row r="1161" spans="1:33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8"/>
    </row>
    <row r="1162" spans="1:33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8"/>
    </row>
    <row r="1163" spans="1:33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8"/>
    </row>
    <row r="1164" spans="1:33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8"/>
    </row>
    <row r="1165" spans="1:33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8"/>
    </row>
    <row r="1166" spans="1:33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8"/>
    </row>
    <row r="1167" spans="1:33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8"/>
    </row>
    <row r="1168" spans="1:33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8"/>
    </row>
    <row r="1169" spans="1:33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8"/>
    </row>
    <row r="1170" spans="1:33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8"/>
    </row>
    <row r="1171" spans="1:33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8"/>
    </row>
    <row r="1172" spans="1:33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8"/>
    </row>
    <row r="1173" spans="1:33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8"/>
    </row>
    <row r="1174" spans="1:33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8"/>
    </row>
    <row r="1175" spans="1:33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8"/>
    </row>
    <row r="1176" spans="1:33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8"/>
    </row>
    <row r="1177" spans="1:33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8"/>
    </row>
    <row r="1178" spans="1:33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8"/>
    </row>
    <row r="1179" spans="1:33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8"/>
    </row>
    <row r="1180" spans="1:33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8"/>
    </row>
    <row r="1181" spans="1:33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8"/>
    </row>
    <row r="1182" spans="1:33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8"/>
    </row>
    <row r="1183" spans="1:33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8"/>
    </row>
    <row r="1184" spans="1:33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8"/>
    </row>
    <row r="1185" spans="1:33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8"/>
    </row>
    <row r="1186" spans="1:33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8"/>
    </row>
    <row r="1187" spans="1:33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8"/>
    </row>
    <row r="1188" spans="1:33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8"/>
    </row>
    <row r="1189" spans="1:33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8"/>
    </row>
    <row r="1190" spans="1:33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8"/>
    </row>
    <row r="1191" spans="1:33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8"/>
    </row>
    <row r="1192" spans="1:33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8"/>
    </row>
    <row r="1193" spans="1:33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8"/>
    </row>
    <row r="1194" spans="1:33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8"/>
    </row>
    <row r="1195" spans="1:33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8"/>
    </row>
    <row r="1196" spans="1:33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8"/>
    </row>
    <row r="1197" spans="1:33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8"/>
    </row>
    <row r="1198" spans="1:33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8"/>
    </row>
    <row r="1199" spans="1:33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8"/>
    </row>
    <row r="1200" spans="1:33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8"/>
    </row>
    <row r="1201" spans="1:33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8"/>
    </row>
    <row r="1202" spans="1:33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8"/>
    </row>
    <row r="1203" spans="1:33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8"/>
    </row>
    <row r="1204" spans="1:33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8"/>
    </row>
    <row r="1205" spans="1:33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8"/>
    </row>
    <row r="1206" spans="1:33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8"/>
    </row>
    <row r="1207" spans="1:33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8"/>
    </row>
    <row r="1208" spans="1:33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8"/>
    </row>
    <row r="1209" spans="1:33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8"/>
    </row>
    <row r="1210" spans="1:33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8"/>
    </row>
    <row r="1211" spans="1:33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8"/>
    </row>
    <row r="1212" spans="1:33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8"/>
    </row>
    <row r="1213" spans="1:33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8"/>
    </row>
    <row r="1214" spans="1:33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8"/>
    </row>
    <row r="1215" spans="1:33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8"/>
    </row>
    <row r="1216" spans="1:33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8"/>
    </row>
    <row r="1217" spans="1:33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8"/>
    </row>
    <row r="1218" spans="1:33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8"/>
    </row>
    <row r="1219" spans="1:33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8"/>
    </row>
    <row r="1220" spans="1:33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8"/>
    </row>
    <row r="1221" spans="1:33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8"/>
    </row>
    <row r="1222" spans="1:33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8"/>
    </row>
    <row r="1223" spans="1:33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8"/>
    </row>
    <row r="1224" spans="1:33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8"/>
    </row>
    <row r="1225" spans="1:33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8"/>
    </row>
    <row r="1226" spans="1:33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8"/>
    </row>
    <row r="1227" spans="1:33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8"/>
    </row>
    <row r="1228" spans="1:33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8"/>
    </row>
    <row r="1229" spans="1:33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8"/>
    </row>
    <row r="1230" spans="1:33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8"/>
    </row>
    <row r="1231" spans="1:33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8"/>
    </row>
    <row r="1232" spans="1:33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8"/>
    </row>
    <row r="1233" spans="1:33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8"/>
    </row>
    <row r="1234" spans="1:33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8"/>
    </row>
    <row r="1235" spans="1:33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8"/>
    </row>
    <row r="1236" spans="1:33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8"/>
    </row>
    <row r="1237" spans="1:33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8"/>
    </row>
    <row r="1238" spans="1:33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8"/>
    </row>
    <row r="1239" spans="1:33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8"/>
    </row>
    <row r="1240" spans="1:33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8"/>
    </row>
    <row r="1241" spans="1:33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8"/>
    </row>
    <row r="1242" spans="1:33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8"/>
    </row>
    <row r="1243" spans="1:33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8"/>
    </row>
    <row r="1244" spans="1:33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8"/>
    </row>
    <row r="1245" spans="1:33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8"/>
    </row>
    <row r="1246" spans="1:33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8"/>
    </row>
    <row r="1247" spans="1:33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8"/>
    </row>
    <row r="1248" spans="1:33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8"/>
    </row>
    <row r="1249" spans="1:33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8"/>
    </row>
    <row r="1250" spans="1:33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8"/>
    </row>
    <row r="1251" spans="1:33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8"/>
    </row>
    <row r="1252" spans="1:33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8"/>
    </row>
    <row r="1253" spans="1:33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8"/>
    </row>
    <row r="1254" spans="1:33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8"/>
    </row>
    <row r="1255" spans="1:33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8"/>
    </row>
    <row r="1256" spans="1:33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8"/>
    </row>
    <row r="1257" spans="1:33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8"/>
    </row>
    <row r="1258" spans="1:33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8"/>
    </row>
    <row r="1259" spans="1:33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8"/>
    </row>
    <row r="1260" spans="1:33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8"/>
    </row>
    <row r="1261" spans="1:33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8"/>
    </row>
    <row r="1262" spans="1:33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8"/>
    </row>
    <row r="1263" spans="1:33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8"/>
    </row>
    <row r="1264" spans="1:33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8"/>
    </row>
    <row r="1265" spans="1:33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8"/>
    </row>
    <row r="1266" spans="1:33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8"/>
    </row>
    <row r="1267" spans="1:33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8"/>
    </row>
    <row r="1268" spans="1:33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8"/>
    </row>
    <row r="1269" spans="1:33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8"/>
    </row>
    <row r="1270" spans="1:33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8"/>
    </row>
    <row r="1271" spans="1:33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8"/>
    </row>
    <row r="1272" spans="1:33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8"/>
    </row>
    <row r="1273" spans="1:33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8"/>
    </row>
    <row r="1274" spans="1:33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8"/>
    </row>
    <row r="1275" spans="1:33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8"/>
    </row>
    <row r="1276" spans="1:33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8"/>
    </row>
    <row r="1277" spans="1:33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8"/>
    </row>
    <row r="1278" spans="1:33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8"/>
    </row>
    <row r="1279" spans="1:33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8"/>
    </row>
    <row r="1280" spans="1:33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8"/>
    </row>
    <row r="1281" spans="1:33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8"/>
    </row>
    <row r="1282" spans="1:33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8"/>
    </row>
    <row r="1283" spans="1:33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8"/>
    </row>
    <row r="1284" spans="1:33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8"/>
    </row>
    <row r="1285" spans="1:33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8"/>
    </row>
    <row r="1286" spans="1:33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8"/>
    </row>
    <row r="1287" spans="1:33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8"/>
    </row>
    <row r="1288" spans="1:33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8"/>
    </row>
    <row r="1289" spans="1:33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8"/>
    </row>
    <row r="1290" spans="1:33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8"/>
    </row>
    <row r="1291" spans="1:33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8"/>
    </row>
    <row r="1292" spans="1:33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8"/>
    </row>
    <row r="1293" spans="1:33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8"/>
    </row>
    <row r="1294" spans="1:33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8"/>
    </row>
    <row r="1295" spans="1:33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8"/>
    </row>
    <row r="1296" spans="1:33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8"/>
    </row>
    <row r="1297" spans="1:33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8"/>
    </row>
    <row r="1298" spans="1:33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8"/>
    </row>
    <row r="1299" spans="1:33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8"/>
    </row>
    <row r="1300" spans="1:33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8"/>
    </row>
    <row r="1301" spans="1:33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8"/>
    </row>
    <row r="1302" spans="1:33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8"/>
    </row>
    <row r="1303" spans="1:33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8"/>
    </row>
    <row r="1304" spans="1:33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8"/>
    </row>
    <row r="1305" spans="1:33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8"/>
    </row>
    <row r="1306" spans="1:33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8"/>
    </row>
    <row r="1307" spans="1:33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8"/>
    </row>
    <row r="1308" spans="1:33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8"/>
    </row>
    <row r="1309" spans="1:33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8"/>
    </row>
    <row r="1310" spans="1:33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8"/>
    </row>
    <row r="1311" spans="1:33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8"/>
    </row>
    <row r="1312" spans="1:33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8"/>
    </row>
    <row r="1313" spans="1:33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8"/>
    </row>
    <row r="1314" spans="1:33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8"/>
    </row>
    <row r="1315" spans="1:33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8"/>
    </row>
    <row r="1316" spans="1:33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8"/>
    </row>
    <row r="1317" spans="1:33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8"/>
    </row>
    <row r="1318" spans="1:33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8"/>
    </row>
    <row r="1319" spans="1:33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8"/>
    </row>
    <row r="1320" spans="1:33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8"/>
    </row>
    <row r="1321" spans="1:33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8"/>
    </row>
    <row r="1322" spans="1:33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8"/>
    </row>
    <row r="1323" spans="1:33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8"/>
    </row>
    <row r="1324" spans="1:33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8"/>
    </row>
    <row r="1325" spans="1:33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8"/>
    </row>
    <row r="1326" spans="1:33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8"/>
    </row>
    <row r="1327" spans="1:33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8"/>
    </row>
    <row r="1328" spans="1:33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8"/>
    </row>
    <row r="1329" spans="1:33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8"/>
    </row>
    <row r="1330" spans="1:33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8"/>
    </row>
    <row r="1331" spans="1:33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8"/>
    </row>
    <row r="1332" spans="1:33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8"/>
    </row>
    <row r="1333" spans="1:33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8"/>
    </row>
    <row r="1334" spans="1:33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8"/>
    </row>
    <row r="1335" spans="1:33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8"/>
    </row>
    <row r="1336" spans="1:33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8"/>
    </row>
    <row r="1337" spans="1:33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8"/>
    </row>
    <row r="1338" spans="1:33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8"/>
    </row>
    <row r="1339" spans="1:33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8"/>
    </row>
    <row r="1340" spans="1:33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8"/>
    </row>
    <row r="1341" spans="1:33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8"/>
    </row>
    <row r="1342" spans="1:33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8"/>
    </row>
    <row r="1343" spans="1:33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8"/>
    </row>
    <row r="1344" spans="1:33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8"/>
    </row>
    <row r="1345" spans="1:33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8"/>
    </row>
    <row r="1346" spans="1:33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8"/>
    </row>
    <row r="1347" spans="1:33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8"/>
    </row>
    <row r="1348" spans="1:33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8"/>
    </row>
    <row r="1349" spans="1:33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8"/>
    </row>
    <row r="1350" spans="1:33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8"/>
    </row>
    <row r="1351" spans="1:33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8"/>
    </row>
    <row r="1352" spans="1:33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8"/>
    </row>
    <row r="1353" spans="1:33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8"/>
    </row>
    <row r="1354" spans="1:33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8"/>
    </row>
    <row r="1355" spans="1:33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8"/>
    </row>
    <row r="1356" spans="1:33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8"/>
    </row>
    <row r="1357" spans="1:33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8"/>
    </row>
    <row r="1358" spans="1:33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8"/>
    </row>
    <row r="1359" spans="1:33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8"/>
    </row>
    <row r="1360" spans="1:33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8"/>
    </row>
    <row r="1361" spans="1:33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8"/>
    </row>
    <row r="1362" spans="1:33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8"/>
    </row>
    <row r="1363" spans="1:33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8"/>
    </row>
    <row r="1364" spans="1:33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8"/>
    </row>
    <row r="1365" spans="1:33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8"/>
    </row>
    <row r="1366" spans="1:33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8"/>
    </row>
    <row r="1367" spans="1:33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8"/>
    </row>
    <row r="1368" spans="1:33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8"/>
    </row>
    <row r="1369" spans="1:33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8"/>
    </row>
    <row r="1370" spans="1:33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8"/>
    </row>
    <row r="1371" spans="1:33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8"/>
    </row>
    <row r="1372" spans="1:33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8"/>
    </row>
    <row r="1373" spans="1:33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8"/>
    </row>
    <row r="1374" spans="1:33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8"/>
    </row>
    <row r="1375" spans="1:33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8"/>
    </row>
    <row r="1376" spans="1:33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8"/>
    </row>
    <row r="1377" spans="1:33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8"/>
    </row>
    <row r="1378" spans="1:33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8"/>
    </row>
    <row r="1379" spans="1:33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8"/>
    </row>
    <row r="1380" spans="1:33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8"/>
    </row>
    <row r="1381" spans="1:33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8"/>
    </row>
    <row r="1382" spans="1:33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8"/>
    </row>
    <row r="1383" spans="1:33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8"/>
    </row>
    <row r="1384" spans="1:33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8"/>
    </row>
    <row r="1385" spans="1:33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8"/>
    </row>
    <row r="1386" spans="1:33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8"/>
    </row>
    <row r="1387" spans="1:33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8"/>
    </row>
    <row r="1388" spans="1:33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8"/>
    </row>
    <row r="1389" spans="1:33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8"/>
    </row>
    <row r="1390" spans="1:33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8"/>
    </row>
    <row r="1391" spans="1:33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8"/>
    </row>
    <row r="1392" spans="1:33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8"/>
    </row>
    <row r="1393" spans="1:33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8"/>
    </row>
    <row r="1394" spans="1:33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8"/>
    </row>
    <row r="1395" spans="1:33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8"/>
    </row>
    <row r="1396" spans="1:33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8"/>
    </row>
    <row r="1397" spans="1:33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8"/>
    </row>
    <row r="1398" spans="1:33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8"/>
    </row>
    <row r="1399" spans="1:33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8"/>
    </row>
    <row r="1400" spans="1:33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8"/>
    </row>
    <row r="1401" spans="1:33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8"/>
    </row>
    <row r="1402" spans="1:33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8"/>
    </row>
    <row r="1403" spans="1:33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8"/>
    </row>
    <row r="1404" spans="1:33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8"/>
    </row>
    <row r="1405" spans="1:33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8"/>
    </row>
    <row r="1406" spans="1:33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8"/>
    </row>
    <row r="1407" spans="1:33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8"/>
    </row>
    <row r="1408" spans="1:33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8"/>
    </row>
    <row r="1409" spans="1:33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8"/>
    </row>
    <row r="1410" spans="1:33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8"/>
    </row>
    <row r="1411" spans="1:33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8"/>
    </row>
    <row r="1412" spans="1:33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8"/>
    </row>
    <row r="1413" spans="1:33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8"/>
    </row>
    <row r="1414" spans="1:33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8"/>
    </row>
    <row r="1415" spans="1:33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8"/>
    </row>
    <row r="1416" spans="1:33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8"/>
    </row>
    <row r="1417" spans="1:33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8"/>
    </row>
    <row r="1418" spans="1:33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8"/>
    </row>
    <row r="1419" spans="1:33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8"/>
    </row>
    <row r="1420" spans="1:33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8"/>
    </row>
    <row r="1421" spans="1:33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8"/>
    </row>
    <row r="1422" spans="1:33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8"/>
    </row>
    <row r="1423" spans="1:33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8"/>
    </row>
    <row r="1424" spans="1:33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8"/>
    </row>
    <row r="1425" spans="1:33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8"/>
    </row>
    <row r="1426" spans="1:33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8"/>
    </row>
    <row r="1427" spans="1:33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8"/>
    </row>
    <row r="1428" spans="1:33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8"/>
    </row>
    <row r="1429" spans="1:33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8"/>
    </row>
    <row r="1430" spans="1:33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8"/>
    </row>
    <row r="1431" spans="1:33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8"/>
    </row>
    <row r="1432" spans="1:33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8"/>
    </row>
    <row r="1433" spans="1:33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8"/>
    </row>
    <row r="1434" spans="1:33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8"/>
    </row>
    <row r="1435" spans="1:33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8"/>
    </row>
    <row r="1436" spans="1:33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8"/>
    </row>
    <row r="1437" spans="1:33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8"/>
    </row>
    <row r="1438" spans="1:33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8"/>
    </row>
    <row r="1439" spans="1:33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8"/>
    </row>
    <row r="1440" spans="1:33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8"/>
    </row>
    <row r="1441" spans="1:33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8"/>
    </row>
    <row r="1442" spans="1:33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8"/>
    </row>
    <row r="1443" spans="1:33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8"/>
    </row>
    <row r="1444" spans="1:33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8"/>
    </row>
    <row r="1445" spans="1:33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8"/>
    </row>
    <row r="1446" spans="1:33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8"/>
    </row>
    <row r="1447" spans="1:33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8"/>
    </row>
    <row r="1448" spans="1:33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8"/>
    </row>
    <row r="1449" spans="1:33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8"/>
    </row>
    <row r="1450" spans="1:33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8"/>
    </row>
    <row r="1451" spans="1:33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8"/>
    </row>
    <row r="1452" spans="1:33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8"/>
    </row>
    <row r="1453" spans="1:33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8"/>
    </row>
    <row r="1454" spans="1:33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8"/>
    </row>
    <row r="1455" spans="1:33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8"/>
    </row>
    <row r="1456" spans="1:33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8"/>
    </row>
    <row r="1457" spans="1:33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8"/>
    </row>
    <row r="1458" spans="1:33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8"/>
    </row>
    <row r="1459" spans="1:33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8"/>
    </row>
    <row r="1460" spans="1:33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8"/>
    </row>
    <row r="1461" spans="1:33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8"/>
    </row>
    <row r="1462" spans="1:33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8"/>
    </row>
    <row r="1463" spans="1:33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8"/>
    </row>
    <row r="1464" spans="1:33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8"/>
    </row>
    <row r="1465" spans="1:33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8"/>
    </row>
    <row r="1466" spans="1:33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8"/>
    </row>
    <row r="1467" spans="1:33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8"/>
    </row>
    <row r="1468" spans="1:33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8"/>
    </row>
    <row r="1469" spans="1:33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8"/>
    </row>
    <row r="1470" spans="1:33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8"/>
    </row>
    <row r="1471" spans="1:33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8"/>
    </row>
    <row r="1472" spans="1:33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8"/>
    </row>
    <row r="1473" spans="1:33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8"/>
    </row>
    <row r="1474" spans="1:33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8"/>
    </row>
    <row r="1475" spans="1:33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8"/>
    </row>
    <row r="1476" spans="1:33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8"/>
    </row>
    <row r="1477" spans="1:33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8"/>
    </row>
    <row r="1478" spans="1:33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8"/>
    </row>
    <row r="1479" spans="1:33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8"/>
    </row>
    <row r="1480" spans="1:33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8"/>
    </row>
    <row r="1481" spans="1:33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8"/>
    </row>
    <row r="1482" spans="1:33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8"/>
    </row>
    <row r="1483" spans="1:33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8"/>
    </row>
    <row r="1484" spans="1:33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8"/>
    </row>
    <row r="1485" spans="1:33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8"/>
    </row>
    <row r="1486" spans="1:33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8"/>
    </row>
    <row r="1487" spans="1:33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8"/>
    </row>
    <row r="1488" spans="1:33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8"/>
    </row>
    <row r="1489" spans="1:33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8"/>
    </row>
    <row r="1490" spans="1:33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8"/>
    </row>
    <row r="1491" spans="1:33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8"/>
    </row>
    <row r="1492" spans="1:33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8"/>
    </row>
    <row r="1493" spans="1:33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8"/>
    </row>
    <row r="1494" spans="1:33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8"/>
    </row>
    <row r="1495" spans="1:33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8"/>
    </row>
    <row r="1496" spans="1:33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8"/>
    </row>
    <row r="1497" spans="1:33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8"/>
    </row>
    <row r="1498" spans="1:33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8"/>
    </row>
    <row r="1499" spans="1:33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8"/>
    </row>
    <row r="1500" spans="1:33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8"/>
    </row>
    <row r="1501" spans="1:33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8"/>
    </row>
    <row r="1502" spans="1:33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8"/>
    </row>
    <row r="1503" spans="1:33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8"/>
    </row>
    <row r="1504" spans="1:33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8"/>
    </row>
    <row r="1505" spans="1:33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8"/>
    </row>
    <row r="1506" spans="1:33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8"/>
    </row>
    <row r="1507" spans="1:33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8"/>
    </row>
    <row r="1508" spans="1:33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8"/>
    </row>
    <row r="1509" spans="1:33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8"/>
    </row>
    <row r="1510" spans="1:33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8"/>
    </row>
    <row r="1511" spans="1:33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8"/>
    </row>
    <row r="1512" spans="1:33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8"/>
    </row>
    <row r="1513" spans="1:33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8"/>
    </row>
    <row r="1514" spans="1:33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8"/>
    </row>
    <row r="1515" spans="1:33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8"/>
    </row>
    <row r="1516" spans="1:33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8"/>
    </row>
    <row r="1517" spans="1:33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8"/>
    </row>
    <row r="1518" spans="1:33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8"/>
    </row>
    <row r="1519" spans="1:33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8"/>
    </row>
    <row r="1520" spans="1:33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8"/>
    </row>
    <row r="1521" spans="1:33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8"/>
    </row>
    <row r="1522" spans="1:33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8"/>
    </row>
    <row r="1523" spans="1:33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8"/>
    </row>
    <row r="1524" spans="1:33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8"/>
    </row>
    <row r="1525" spans="1:33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8"/>
    </row>
    <row r="1526" spans="1:33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8"/>
    </row>
    <row r="1527" spans="1:33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8"/>
    </row>
    <row r="1528" spans="1:33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8"/>
    </row>
    <row r="1529" spans="1:33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8"/>
    </row>
    <row r="1530" spans="1:33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8"/>
    </row>
    <row r="1531" spans="1:33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8"/>
    </row>
    <row r="1532" spans="1:33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8"/>
    </row>
    <row r="1533" spans="1:33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8"/>
    </row>
    <row r="1534" spans="1:33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8"/>
    </row>
    <row r="1535" spans="1:33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8"/>
    </row>
    <row r="1536" spans="1:33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8"/>
    </row>
    <row r="1537" spans="1:33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8"/>
    </row>
    <row r="1538" spans="1:33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8"/>
    </row>
    <row r="1539" spans="1:33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8"/>
    </row>
    <row r="1540" spans="1:33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8"/>
    </row>
    <row r="1541" spans="1:33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8"/>
    </row>
    <row r="1542" spans="1:33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8"/>
    </row>
    <row r="1543" spans="1:33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8"/>
    </row>
    <row r="1544" spans="1:33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8"/>
    </row>
    <row r="1545" spans="1:33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8"/>
    </row>
    <row r="1546" spans="1:33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8"/>
    </row>
    <row r="1547" spans="1:33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8"/>
    </row>
    <row r="1548" spans="1:33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8"/>
    </row>
    <row r="1549" spans="1:33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8"/>
    </row>
    <row r="1550" spans="1:33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8"/>
    </row>
    <row r="1551" spans="1:33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8"/>
    </row>
    <row r="1552" spans="1:33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8"/>
    </row>
    <row r="1553" spans="1:33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8"/>
    </row>
    <row r="1554" spans="1:33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8"/>
    </row>
    <row r="1555" spans="1:33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8"/>
    </row>
    <row r="1556" spans="1:33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8"/>
    </row>
    <row r="1557" spans="1:33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8"/>
    </row>
    <row r="1558" spans="1:33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8"/>
    </row>
    <row r="1559" spans="1:33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8"/>
    </row>
    <row r="1560" spans="1:33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8"/>
    </row>
    <row r="1561" spans="1:33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8"/>
    </row>
    <row r="1562" spans="1:33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8"/>
    </row>
    <row r="1563" spans="1:33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8"/>
    </row>
    <row r="1564" spans="1:33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8"/>
    </row>
    <row r="1565" spans="1:33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8"/>
    </row>
    <row r="1566" spans="1:33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8"/>
    </row>
    <row r="1567" spans="1:33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8"/>
    </row>
    <row r="1568" spans="1:33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8"/>
    </row>
    <row r="1569" spans="1:33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8"/>
    </row>
    <row r="1570" spans="1:33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8"/>
    </row>
    <row r="1571" spans="1:33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8"/>
    </row>
    <row r="1572" spans="1:33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8"/>
    </row>
    <row r="1573" spans="1:33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8"/>
    </row>
    <row r="1574" spans="1:33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8"/>
    </row>
    <row r="1575" spans="1:33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8"/>
    </row>
    <row r="1576" spans="1:33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8"/>
    </row>
    <row r="1577" spans="1:33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8"/>
    </row>
    <row r="1578" spans="1:33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8"/>
    </row>
    <row r="1579" spans="1:33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8"/>
    </row>
    <row r="1580" spans="1:33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8"/>
    </row>
    <row r="1581" spans="1:33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8"/>
    </row>
    <row r="1582" spans="1:33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8"/>
    </row>
    <row r="1583" spans="1:33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8"/>
    </row>
    <row r="1584" spans="1:33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8"/>
    </row>
    <row r="1585" spans="1:33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8"/>
    </row>
    <row r="1586" spans="1:33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8"/>
    </row>
    <row r="1587" spans="1:33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8"/>
    </row>
    <row r="1588" spans="1:33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8"/>
    </row>
    <row r="1589" spans="1:33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8"/>
    </row>
    <row r="1590" spans="1:33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8"/>
    </row>
    <row r="1591" spans="1:33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8"/>
    </row>
    <row r="1592" spans="1:33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8"/>
    </row>
    <row r="1593" spans="1:33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8"/>
    </row>
    <row r="1594" spans="1:33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8"/>
    </row>
    <row r="1595" spans="1:33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8"/>
    </row>
    <row r="1596" spans="1:33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8"/>
    </row>
    <row r="1597" spans="1:33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8"/>
    </row>
    <row r="1598" spans="1:33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8"/>
    </row>
    <row r="1599" spans="1:33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8"/>
    </row>
    <row r="1600" spans="1:33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8"/>
    </row>
    <row r="1601" spans="1:33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8"/>
    </row>
    <row r="1602" spans="1:33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8"/>
    </row>
    <row r="1603" spans="1:33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8"/>
    </row>
    <row r="1604" spans="1:33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8"/>
    </row>
    <row r="1605" spans="1:33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8"/>
    </row>
    <row r="1606" spans="1:33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8"/>
    </row>
    <row r="1607" spans="1:33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8"/>
    </row>
    <row r="1608" spans="1:33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8"/>
    </row>
    <row r="1609" spans="1:33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8"/>
    </row>
    <row r="1610" spans="1:33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8"/>
    </row>
    <row r="1611" spans="1:33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8"/>
    </row>
    <row r="1612" spans="1:33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8"/>
    </row>
    <row r="1613" spans="1:33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8"/>
    </row>
    <row r="1614" spans="1:33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8"/>
    </row>
    <row r="1615" spans="1:33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8"/>
    </row>
    <row r="1616" spans="1:33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8"/>
    </row>
    <row r="1617" spans="1:33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8"/>
    </row>
    <row r="1618" spans="1:33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8"/>
    </row>
    <row r="1619" spans="1:33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8"/>
    </row>
    <row r="1620" spans="1:33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8"/>
    </row>
    <row r="1621" spans="1:33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8"/>
    </row>
    <row r="1622" spans="1:33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8"/>
    </row>
    <row r="1623" spans="1:33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8"/>
    </row>
    <row r="1624" spans="1:33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8"/>
    </row>
    <row r="1625" spans="1:33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8"/>
    </row>
    <row r="1626" spans="1:33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8"/>
    </row>
    <row r="1627" spans="1:33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8"/>
    </row>
    <row r="1628" spans="1:33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8"/>
    </row>
    <row r="1629" spans="1:33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8"/>
    </row>
    <row r="1630" spans="1:33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8"/>
    </row>
    <row r="1631" spans="1:33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8"/>
    </row>
    <row r="1632" spans="1:33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8"/>
    </row>
    <row r="1633" spans="1:33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8"/>
    </row>
    <row r="1634" spans="1:33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8"/>
    </row>
    <row r="1635" spans="1:33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8"/>
    </row>
    <row r="1636" spans="1:33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8"/>
    </row>
    <row r="1637" spans="1:33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8"/>
    </row>
    <row r="1638" spans="1:33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8"/>
    </row>
    <row r="1639" spans="1:33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8"/>
    </row>
    <row r="1640" spans="1:33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8"/>
    </row>
    <row r="1641" spans="1:33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8"/>
    </row>
    <row r="1642" spans="1:33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8"/>
    </row>
    <row r="1643" spans="1:33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8"/>
    </row>
    <row r="1644" spans="1:33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8"/>
    </row>
    <row r="1645" spans="1:33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8"/>
    </row>
    <row r="1646" spans="1:33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8"/>
    </row>
    <row r="1647" spans="1:33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8"/>
    </row>
    <row r="1648" spans="1:33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8"/>
    </row>
    <row r="1649" spans="1:33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8"/>
    </row>
    <row r="1650" spans="1:33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8"/>
    </row>
    <row r="1651" spans="1:33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8"/>
    </row>
    <row r="1652" spans="1:33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8"/>
    </row>
    <row r="1653" spans="1:33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8"/>
    </row>
    <row r="1654" spans="1:33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8"/>
    </row>
    <row r="1655" spans="1:33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8"/>
    </row>
    <row r="1656" spans="1:33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8"/>
    </row>
    <row r="1657" spans="1:33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8"/>
    </row>
    <row r="1658" spans="1:33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8"/>
    </row>
    <row r="1659" spans="1:33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8"/>
    </row>
    <row r="1660" spans="1:33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8"/>
    </row>
    <row r="1661" spans="1:33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8"/>
    </row>
    <row r="1662" spans="1:33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8"/>
    </row>
    <row r="1663" spans="1:33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8"/>
    </row>
    <row r="1664" spans="1:33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8"/>
    </row>
    <row r="1665" spans="1:33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8"/>
    </row>
    <row r="1666" spans="1:33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8"/>
    </row>
    <row r="1667" spans="1:33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8"/>
    </row>
    <row r="1668" spans="1:33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8"/>
    </row>
    <row r="1669" spans="1:33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8"/>
    </row>
    <row r="1670" spans="1:33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8"/>
    </row>
    <row r="1671" spans="1:33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8"/>
    </row>
    <row r="1672" spans="1:33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8"/>
    </row>
    <row r="1673" spans="1:33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8"/>
    </row>
    <row r="1674" spans="1:33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8"/>
    </row>
    <row r="1675" spans="1:33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8"/>
    </row>
    <row r="1676" spans="1:33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8"/>
    </row>
    <row r="1677" spans="1:33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8"/>
    </row>
    <row r="1678" spans="1:33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8"/>
    </row>
    <row r="1679" spans="1:33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8"/>
    </row>
    <row r="1680" spans="1:33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8"/>
    </row>
    <row r="1681" spans="1:33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8"/>
    </row>
    <row r="1682" spans="1:33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8"/>
    </row>
    <row r="1683" spans="1:33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8"/>
    </row>
    <row r="1684" spans="1:33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8"/>
    </row>
    <row r="1685" spans="1:33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8"/>
    </row>
    <row r="1686" spans="1:33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8"/>
    </row>
    <row r="1687" spans="1:33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8"/>
    </row>
    <row r="1688" spans="1:33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8"/>
    </row>
    <row r="1689" spans="1:33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8"/>
    </row>
    <row r="1690" spans="1:33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8"/>
    </row>
    <row r="1691" spans="1:33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8"/>
    </row>
    <row r="1692" spans="1:33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8"/>
    </row>
    <row r="1693" spans="1:33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8"/>
    </row>
    <row r="1694" spans="1:33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8"/>
    </row>
    <row r="1695" spans="1:33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8"/>
    </row>
    <row r="1696" spans="1:33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8"/>
    </row>
    <row r="1697" spans="1:33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8"/>
    </row>
    <row r="1698" spans="1:33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8"/>
    </row>
    <row r="1699" spans="1:33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8"/>
    </row>
    <row r="1700" spans="1:33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8"/>
    </row>
    <row r="1701" spans="1:33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8"/>
    </row>
    <row r="1702" spans="1:33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8"/>
    </row>
    <row r="1703" spans="1:33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8"/>
    </row>
    <row r="1704" spans="1:33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8"/>
    </row>
    <row r="1705" spans="1:33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8"/>
    </row>
    <row r="1706" spans="1:33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8"/>
    </row>
    <row r="1707" spans="1:33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8"/>
    </row>
    <row r="1708" spans="1:33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8"/>
    </row>
    <row r="1709" spans="1:33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8"/>
    </row>
    <row r="1710" spans="1:33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8"/>
    </row>
    <row r="1711" spans="1:33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8"/>
    </row>
    <row r="1712" spans="1:33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8"/>
    </row>
    <row r="1713" spans="1:33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8"/>
    </row>
    <row r="1714" spans="1:33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8"/>
    </row>
    <row r="1715" spans="1:33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8"/>
    </row>
    <row r="1716" spans="1:33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8"/>
    </row>
    <row r="1717" spans="1:33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8"/>
    </row>
    <row r="1718" spans="1:33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8"/>
    </row>
    <row r="1719" spans="1:33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8"/>
    </row>
    <row r="1720" spans="1:33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8"/>
    </row>
    <row r="1721" spans="1:33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8"/>
    </row>
    <row r="1722" spans="1:33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8"/>
    </row>
    <row r="1723" spans="1:33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8"/>
    </row>
    <row r="1724" spans="1:33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8"/>
    </row>
    <row r="1725" spans="1:33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8"/>
    </row>
    <row r="1726" spans="1:33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8"/>
    </row>
    <row r="1727" spans="1:33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8"/>
    </row>
    <row r="1728" spans="1:33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8"/>
    </row>
    <row r="1729" spans="1:33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8"/>
    </row>
    <row r="1730" spans="1:33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8"/>
    </row>
    <row r="1731" spans="1:33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8"/>
    </row>
    <row r="1732" spans="1:33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8"/>
    </row>
    <row r="1733" spans="1:33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8"/>
    </row>
    <row r="1734" spans="1:33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8"/>
    </row>
    <row r="1735" spans="1:33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8"/>
    </row>
    <row r="1736" spans="1:33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8"/>
    </row>
    <row r="1737" spans="1:33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8"/>
    </row>
    <row r="1738" spans="1:33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8"/>
    </row>
    <row r="1739" spans="1:33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8"/>
    </row>
    <row r="1740" spans="1:33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8"/>
    </row>
    <row r="1741" spans="1:33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8"/>
    </row>
    <row r="1742" spans="1:33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8"/>
    </row>
    <row r="1743" spans="1:33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8"/>
    </row>
    <row r="1744" spans="1:33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8"/>
    </row>
    <row r="1745" spans="1:33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8"/>
    </row>
    <row r="1746" spans="1:33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8"/>
    </row>
    <row r="1747" spans="1:33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8"/>
    </row>
    <row r="1748" spans="1:33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8"/>
    </row>
    <row r="1749" spans="1:33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8"/>
    </row>
    <row r="1750" spans="1:33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8"/>
    </row>
    <row r="1751" spans="1:33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8"/>
    </row>
    <row r="1752" spans="1:33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8"/>
    </row>
    <row r="1753" spans="1:33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8"/>
    </row>
    <row r="1754" spans="1:33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8"/>
    </row>
    <row r="1755" spans="1:33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8"/>
    </row>
    <row r="1756" spans="1:33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8"/>
    </row>
    <row r="1757" spans="1:33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8"/>
    </row>
    <row r="1758" spans="1:33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8"/>
    </row>
    <row r="1759" spans="1:33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8"/>
    </row>
    <row r="1760" spans="1:33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8"/>
    </row>
    <row r="1761" spans="1:33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8"/>
    </row>
    <row r="1762" spans="1:33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8"/>
    </row>
    <row r="1763" spans="1:33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8"/>
    </row>
    <row r="1764" spans="1:33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8"/>
    </row>
    <row r="1765" spans="1:33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8"/>
    </row>
    <row r="1766" spans="1:33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8"/>
    </row>
    <row r="1767" spans="1:33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8"/>
    </row>
    <row r="1768" spans="1:33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8"/>
    </row>
    <row r="1769" spans="1:33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8"/>
    </row>
    <row r="1770" spans="1:33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8"/>
    </row>
    <row r="1771" spans="1:33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8"/>
    </row>
    <row r="1772" spans="1:33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8"/>
    </row>
    <row r="1773" spans="1:33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8"/>
    </row>
    <row r="1774" spans="1:33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8"/>
    </row>
    <row r="1775" spans="1:33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8"/>
    </row>
    <row r="1776" spans="1:33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8"/>
    </row>
    <row r="1777" spans="1:33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8"/>
    </row>
    <row r="1778" spans="1:33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8"/>
    </row>
    <row r="1779" spans="1:33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8"/>
    </row>
    <row r="1780" spans="1:33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8"/>
    </row>
    <row r="1781" spans="1:33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8"/>
    </row>
    <row r="1782" spans="1:33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8"/>
    </row>
    <row r="1783" spans="1:33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8"/>
    </row>
    <row r="1784" spans="1:33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8"/>
    </row>
    <row r="1785" spans="1:33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8"/>
    </row>
    <row r="1786" spans="1:33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8"/>
    </row>
    <row r="1787" spans="1:33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8"/>
    </row>
    <row r="1788" spans="1:33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8"/>
    </row>
    <row r="1789" spans="1:33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8"/>
    </row>
    <row r="1790" spans="1:33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8"/>
    </row>
    <row r="1791" spans="1:33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8"/>
    </row>
    <row r="1792" spans="1:33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8"/>
    </row>
    <row r="1793" spans="1:33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8"/>
    </row>
    <row r="1794" spans="1:33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8"/>
    </row>
    <row r="1795" spans="1:33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8"/>
    </row>
    <row r="1796" spans="1:33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8"/>
    </row>
    <row r="1797" spans="1:33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8"/>
    </row>
    <row r="1798" spans="1:33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8"/>
    </row>
    <row r="1799" spans="1:33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8"/>
    </row>
    <row r="1800" spans="1:33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8"/>
    </row>
    <row r="1801" spans="1:33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8"/>
    </row>
    <row r="1802" spans="1:33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8"/>
    </row>
    <row r="1803" spans="1:33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8"/>
    </row>
    <row r="1804" spans="1:33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8"/>
    </row>
    <row r="1805" spans="1:33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8"/>
    </row>
    <row r="1806" spans="1:33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8"/>
    </row>
    <row r="1807" spans="1:33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8"/>
    </row>
    <row r="1808" spans="1:33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8"/>
    </row>
    <row r="1809" spans="1:33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8"/>
    </row>
    <row r="1810" spans="1:33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8"/>
    </row>
    <row r="1811" spans="1:33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8"/>
    </row>
    <row r="1812" spans="1:33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8"/>
    </row>
    <row r="1813" spans="1:33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8"/>
    </row>
    <row r="1814" spans="1:33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8"/>
    </row>
    <row r="1815" spans="1:33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8"/>
    </row>
    <row r="1816" spans="1:33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8"/>
    </row>
    <row r="1817" spans="1:33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8"/>
    </row>
    <row r="1818" spans="1:33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8"/>
    </row>
    <row r="1819" spans="1:33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8"/>
    </row>
    <row r="1820" spans="1:33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8"/>
    </row>
    <row r="1821" spans="1:33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8"/>
    </row>
    <row r="1822" spans="1:33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8"/>
    </row>
    <row r="1823" spans="1:33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8"/>
    </row>
    <row r="1824" spans="1:33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8"/>
    </row>
    <row r="1825" spans="1:33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8"/>
    </row>
    <row r="1826" spans="1:33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8"/>
    </row>
    <row r="1827" spans="1:33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8"/>
    </row>
    <row r="1828" spans="1:33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8"/>
    </row>
    <row r="1829" spans="1:33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8"/>
    </row>
    <row r="1830" spans="1:33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8"/>
    </row>
    <row r="1831" spans="1:33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8"/>
    </row>
    <row r="1832" spans="1:33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8"/>
    </row>
    <row r="1833" spans="1:33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8"/>
    </row>
    <row r="1834" spans="1:33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8"/>
    </row>
    <row r="1835" spans="1:33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8"/>
    </row>
    <row r="1836" spans="1:33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8"/>
    </row>
    <row r="1837" spans="1:33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8"/>
    </row>
    <row r="1838" spans="1:33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8"/>
    </row>
    <row r="1839" spans="1:33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8"/>
    </row>
    <row r="1840" spans="1:33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8"/>
    </row>
    <row r="1841" spans="1:33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8"/>
    </row>
    <row r="1842" spans="1:33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8"/>
    </row>
    <row r="1843" spans="1:33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8"/>
    </row>
    <row r="1844" spans="1:33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8"/>
    </row>
    <row r="1845" spans="1:33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8"/>
    </row>
    <row r="1846" spans="1:33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8"/>
    </row>
    <row r="1847" spans="1:33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8"/>
    </row>
    <row r="1848" spans="1:33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8"/>
    </row>
    <row r="1849" spans="1:33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8"/>
    </row>
    <row r="1850" spans="1:33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8"/>
    </row>
    <row r="1851" spans="1:33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8"/>
    </row>
    <row r="1852" spans="1:33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8"/>
    </row>
    <row r="1853" spans="1:33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8"/>
    </row>
    <row r="1854" spans="1:33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8"/>
    </row>
    <row r="1855" spans="1:33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8"/>
    </row>
    <row r="1856" spans="1:33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8"/>
    </row>
    <row r="1857" spans="1:33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8"/>
    </row>
    <row r="1858" spans="1:33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8"/>
    </row>
    <row r="1859" spans="1:33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8"/>
    </row>
    <row r="1860" spans="1:33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8"/>
    </row>
    <row r="1861" spans="1:33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8"/>
    </row>
    <row r="1862" spans="1:33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8"/>
    </row>
    <row r="1863" spans="1:33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8"/>
    </row>
    <row r="1864" spans="1:33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8"/>
    </row>
    <row r="1865" spans="1:33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8"/>
    </row>
    <row r="1866" spans="1:33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8"/>
    </row>
    <row r="1867" spans="1:33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8"/>
    </row>
    <row r="1868" spans="1:33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8"/>
    </row>
    <row r="1869" spans="1:33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8"/>
    </row>
    <row r="1870" spans="1:33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8"/>
    </row>
    <row r="1871" spans="1:33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8"/>
    </row>
    <row r="1872" spans="1:33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8"/>
    </row>
    <row r="1873" spans="1:33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8"/>
    </row>
    <row r="1874" spans="1:33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8"/>
    </row>
    <row r="1875" spans="1:33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8"/>
    </row>
    <row r="1876" spans="1:33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8"/>
    </row>
    <row r="1877" spans="1:33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8"/>
    </row>
    <row r="1878" spans="1:33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8"/>
    </row>
    <row r="1879" spans="1:33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8"/>
    </row>
    <row r="1880" spans="1:33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8"/>
    </row>
    <row r="1881" spans="1:33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8"/>
    </row>
    <row r="1882" spans="1:33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8"/>
    </row>
    <row r="1883" spans="1:33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8"/>
    </row>
    <row r="1884" spans="1:33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8"/>
    </row>
    <row r="1885" spans="1:33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8"/>
    </row>
    <row r="1886" spans="1:33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8"/>
    </row>
    <row r="1887" spans="1:33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8"/>
    </row>
    <row r="1888" spans="1:33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8"/>
    </row>
    <row r="1889" spans="1:33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8"/>
    </row>
    <row r="1890" spans="1:33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8"/>
    </row>
    <row r="1891" spans="1:33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8"/>
    </row>
    <row r="1892" spans="1:33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8"/>
    </row>
    <row r="1893" spans="1:33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8"/>
    </row>
    <row r="1894" spans="1:33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8"/>
    </row>
    <row r="1895" spans="1:33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8"/>
    </row>
    <row r="1896" spans="1:33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8"/>
    </row>
    <row r="1897" spans="1:33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8"/>
    </row>
    <row r="1898" spans="1:33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8"/>
    </row>
    <row r="1899" spans="1:33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8"/>
    </row>
    <row r="1900" spans="1:33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8"/>
    </row>
    <row r="1901" spans="1:33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8"/>
    </row>
    <row r="1902" spans="1:33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8"/>
    </row>
    <row r="1903" spans="1:33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8"/>
    </row>
    <row r="1904" spans="1:33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8"/>
    </row>
    <row r="1905" spans="1:33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8"/>
    </row>
    <row r="1906" spans="1:33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8"/>
    </row>
    <row r="1907" spans="1:33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8"/>
    </row>
    <row r="1908" spans="1:33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8"/>
    </row>
    <row r="1909" spans="1:33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8"/>
    </row>
    <row r="1910" spans="1:33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8"/>
    </row>
    <row r="1911" spans="1:33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8"/>
    </row>
    <row r="1912" spans="1:33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8"/>
    </row>
    <row r="1913" spans="1:33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8"/>
    </row>
    <row r="1914" spans="1:33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8"/>
    </row>
    <row r="1915" spans="1:33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8"/>
    </row>
    <row r="1916" spans="1:33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8"/>
    </row>
    <row r="1917" spans="1:33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8"/>
    </row>
    <row r="1918" spans="1:33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8"/>
    </row>
    <row r="1919" spans="1:33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8"/>
    </row>
    <row r="1920" spans="1:33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8"/>
    </row>
    <row r="1921" spans="1:33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8"/>
    </row>
    <row r="1922" spans="1:33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8"/>
    </row>
    <row r="1923" spans="1:33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8"/>
    </row>
    <row r="1924" spans="1:33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8"/>
    </row>
    <row r="1925" spans="1:33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8"/>
    </row>
    <row r="1926" spans="1:33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8"/>
    </row>
    <row r="1927" spans="1:33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8"/>
    </row>
    <row r="1928" spans="1:33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8"/>
    </row>
    <row r="1929" spans="1:33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8"/>
    </row>
    <row r="1930" spans="1:33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8"/>
    </row>
    <row r="1931" spans="1:33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8"/>
    </row>
    <row r="1932" spans="1:33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8"/>
    </row>
    <row r="1933" spans="1:33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8"/>
    </row>
    <row r="1934" spans="1:33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8"/>
    </row>
    <row r="1935" spans="1:33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8"/>
    </row>
    <row r="1936" spans="1:33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8"/>
    </row>
    <row r="1937" spans="1:33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8"/>
    </row>
    <row r="1938" spans="1:33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8"/>
    </row>
    <row r="1939" spans="1:33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8"/>
    </row>
    <row r="1940" spans="1:33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8"/>
    </row>
    <row r="1941" spans="1:33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8"/>
    </row>
    <row r="1942" spans="1:33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8"/>
    </row>
    <row r="1943" spans="1:33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8"/>
    </row>
    <row r="1944" spans="1:33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8"/>
    </row>
    <row r="1945" spans="1:33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8"/>
    </row>
    <row r="1946" spans="1:33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8"/>
    </row>
    <row r="1947" spans="1:33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8"/>
    </row>
    <row r="1948" spans="1:33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8"/>
    </row>
    <row r="1949" spans="1:33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8"/>
    </row>
    <row r="1950" spans="1:33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8"/>
    </row>
    <row r="1951" spans="1:33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8"/>
    </row>
    <row r="1952" spans="1:33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8"/>
    </row>
    <row r="1953" spans="1:33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8"/>
    </row>
    <row r="1954" spans="1:33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8"/>
    </row>
    <row r="1955" spans="1:33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8"/>
    </row>
    <row r="1956" spans="1:33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8"/>
    </row>
    <row r="1957" spans="1:33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8"/>
    </row>
    <row r="1958" spans="1:33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8"/>
    </row>
    <row r="1959" spans="1:33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8"/>
    </row>
    <row r="1960" spans="1:33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8"/>
    </row>
    <row r="1961" spans="1:33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8"/>
    </row>
    <row r="1962" spans="1:33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8"/>
    </row>
    <row r="1963" spans="1:33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8"/>
    </row>
    <row r="1964" spans="1:33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8"/>
    </row>
    <row r="1965" spans="1:33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8"/>
    </row>
    <row r="1966" spans="1:33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8"/>
    </row>
    <row r="1967" spans="1:33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8"/>
    </row>
    <row r="1968" spans="1:33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8"/>
    </row>
    <row r="1969" spans="1:33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8"/>
    </row>
    <row r="1970" spans="1:33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8"/>
    </row>
    <row r="1971" spans="1:33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8"/>
    </row>
    <row r="1972" spans="1:33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8"/>
    </row>
    <row r="1973" spans="1:33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8"/>
    </row>
    <row r="1974" spans="1:33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8"/>
    </row>
    <row r="1975" spans="1:33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8"/>
    </row>
    <row r="1976" spans="1:33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8"/>
    </row>
    <row r="1977" spans="1:33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8"/>
    </row>
    <row r="1978" spans="1:33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8"/>
    </row>
    <row r="1979" spans="1:33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8"/>
    </row>
    <row r="1980" spans="1:33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8"/>
    </row>
    <row r="1981" spans="1:33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8"/>
    </row>
    <row r="1982" spans="1:33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8"/>
    </row>
    <row r="1983" spans="1:33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8"/>
    </row>
    <row r="1984" spans="1:33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8"/>
    </row>
    <row r="1985" spans="1:33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8"/>
    </row>
    <row r="1986" spans="1:33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8"/>
    </row>
    <row r="1987" spans="1:33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8"/>
    </row>
    <row r="1988" spans="1:33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8"/>
    </row>
    <row r="1989" spans="1:33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8"/>
    </row>
    <row r="1990" spans="1:33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8"/>
    </row>
    <row r="1991" spans="1:33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8"/>
    </row>
    <row r="1992" spans="1:33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8"/>
    </row>
    <row r="1993" spans="1:33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8"/>
    </row>
    <row r="1994" spans="1:33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8"/>
    </row>
    <row r="1995" spans="1:33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8"/>
    </row>
    <row r="1996" spans="1:33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8"/>
    </row>
    <row r="1997" spans="1:33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8"/>
    </row>
    <row r="1998" spans="1:33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8"/>
    </row>
    <row r="1999" spans="1:33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8"/>
    </row>
    <row r="2000" spans="1:33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8"/>
    </row>
    <row r="2001" spans="1:33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8"/>
    </row>
    <row r="2002" spans="1:33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8"/>
    </row>
    <row r="2003" spans="1:33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8"/>
    </row>
    <row r="2004" spans="1:33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8"/>
    </row>
    <row r="2005" spans="1:33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8"/>
    </row>
    <row r="2006" spans="1:33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8"/>
    </row>
    <row r="2007" spans="1:33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8"/>
    </row>
    <row r="2008" spans="1:33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8"/>
    </row>
    <row r="2009" spans="1:33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8"/>
    </row>
    <row r="2010" spans="1:33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8"/>
    </row>
    <row r="2011" spans="1:33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8"/>
    </row>
    <row r="2012" spans="1:33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8"/>
    </row>
    <row r="2013" spans="1:33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8"/>
    </row>
    <row r="2014" spans="1:33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8"/>
    </row>
    <row r="2015" spans="1:33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8"/>
    </row>
    <row r="2016" spans="1:33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8"/>
    </row>
    <row r="2017" spans="1:33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8"/>
    </row>
    <row r="2018" spans="1:33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8"/>
    </row>
    <row r="2019" spans="1:33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8"/>
    </row>
    <row r="2020" spans="1:33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8"/>
    </row>
    <row r="2021" spans="1:33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8"/>
    </row>
    <row r="2022" spans="1:33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8"/>
    </row>
    <row r="2023" spans="1:33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8"/>
    </row>
    <row r="2024" spans="1:33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8"/>
    </row>
    <row r="2025" spans="1:33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8"/>
    </row>
    <row r="2026" spans="1:33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8"/>
    </row>
    <row r="2027" spans="1:33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8"/>
    </row>
    <row r="2028" spans="1:33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8"/>
    </row>
    <row r="2029" spans="1:33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8"/>
    </row>
    <row r="2030" spans="1:33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8"/>
    </row>
    <row r="2031" spans="1:33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8"/>
    </row>
    <row r="2032" spans="1:33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8"/>
    </row>
    <row r="2033" spans="1:33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8"/>
    </row>
    <row r="2034" spans="1:33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8"/>
    </row>
    <row r="2035" spans="1:33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8"/>
    </row>
    <row r="2036" spans="1:33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8"/>
    </row>
    <row r="2037" spans="1:33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8"/>
    </row>
    <row r="2038" spans="1:33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8"/>
    </row>
    <row r="2039" spans="1:33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8"/>
    </row>
    <row r="2040" spans="1:33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8"/>
    </row>
    <row r="2041" spans="1:33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8"/>
    </row>
    <row r="2042" spans="1:33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8"/>
    </row>
    <row r="2043" spans="1:33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8"/>
    </row>
    <row r="2044" spans="1:33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8"/>
    </row>
    <row r="2045" spans="1:33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8"/>
    </row>
    <row r="2046" spans="1:33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8"/>
    </row>
    <row r="2047" spans="1:33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8"/>
    </row>
    <row r="2048" spans="1:33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8"/>
    </row>
    <row r="2049" spans="1:33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8"/>
    </row>
    <row r="2050" spans="1:33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8"/>
    </row>
    <row r="2051" spans="1:33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8"/>
    </row>
    <row r="2052" spans="1:33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8"/>
    </row>
    <row r="2053" spans="1:33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8"/>
    </row>
    <row r="2054" spans="1:33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8"/>
    </row>
    <row r="2055" spans="1:33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8"/>
    </row>
    <row r="2056" spans="1:33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8"/>
    </row>
    <row r="2057" spans="1:33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8"/>
    </row>
    <row r="2058" spans="1:33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8"/>
    </row>
    <row r="2059" spans="1:33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8"/>
    </row>
    <row r="2060" spans="1:33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8"/>
    </row>
    <row r="2061" spans="1:33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8"/>
    </row>
    <row r="2062" spans="1:33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8"/>
    </row>
    <row r="2063" spans="1:33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8"/>
    </row>
    <row r="2064" spans="1:33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8"/>
    </row>
    <row r="2065" spans="1:33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8"/>
    </row>
    <row r="2066" spans="1:33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8"/>
    </row>
    <row r="2067" spans="1:33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8"/>
    </row>
    <row r="2068" spans="1:33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8"/>
    </row>
    <row r="2069" spans="1:33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8"/>
    </row>
    <row r="2070" spans="1:33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8"/>
    </row>
    <row r="2071" spans="1:33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8"/>
    </row>
    <row r="2072" spans="1:33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8"/>
    </row>
    <row r="2073" spans="1:33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8"/>
    </row>
    <row r="2074" spans="1:33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8"/>
    </row>
    <row r="2075" spans="1:33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8"/>
    </row>
    <row r="2076" spans="1:33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8"/>
    </row>
    <row r="2077" spans="1:33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8"/>
    </row>
    <row r="2078" spans="1:33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8"/>
    </row>
    <row r="2079" spans="1:33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8"/>
    </row>
    <row r="2080" spans="1:33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8"/>
    </row>
    <row r="2081" spans="1:33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8"/>
    </row>
    <row r="2082" spans="1:33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8"/>
    </row>
    <row r="2083" spans="1:33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8"/>
    </row>
    <row r="2084" spans="1:33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8"/>
    </row>
    <row r="2085" spans="1:33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8"/>
    </row>
    <row r="2086" spans="1:33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8"/>
    </row>
    <row r="2087" spans="1:33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8"/>
    </row>
    <row r="2088" spans="1:33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8"/>
    </row>
    <row r="2089" spans="1:33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8"/>
    </row>
    <row r="2090" spans="1:33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8"/>
    </row>
    <row r="2091" spans="1:33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8"/>
    </row>
    <row r="2092" spans="1:33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8"/>
    </row>
    <row r="2093" spans="1:33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8"/>
    </row>
    <row r="2094" spans="1:33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8"/>
    </row>
    <row r="2095" spans="1:33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8"/>
    </row>
    <row r="2096" spans="1:33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8"/>
    </row>
    <row r="2097" spans="1:33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8"/>
    </row>
    <row r="2098" spans="1:33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8"/>
    </row>
    <row r="2099" spans="1:33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8"/>
    </row>
    <row r="2100" spans="1:33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8"/>
    </row>
    <row r="2101" spans="1:33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8"/>
    </row>
    <row r="2102" spans="1:33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8"/>
    </row>
    <row r="2103" spans="1:33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8"/>
    </row>
    <row r="2104" spans="1:33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8"/>
    </row>
    <row r="2105" spans="1:33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8"/>
    </row>
    <row r="2106" spans="1:33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8"/>
    </row>
    <row r="2107" spans="1:33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8"/>
    </row>
    <row r="2108" spans="1:33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8"/>
    </row>
    <row r="2109" spans="1:33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8"/>
    </row>
    <row r="2110" spans="1:33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8"/>
    </row>
    <row r="2111" spans="1:33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8"/>
    </row>
    <row r="2112" spans="1:33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8"/>
    </row>
    <row r="2113" spans="1:33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8"/>
    </row>
    <row r="2114" spans="1:33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8"/>
    </row>
    <row r="2115" spans="1:33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8"/>
    </row>
    <row r="2116" spans="1:33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8"/>
    </row>
    <row r="2117" spans="1:33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8"/>
    </row>
    <row r="2118" spans="1:33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8"/>
    </row>
    <row r="2119" spans="1:33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8"/>
    </row>
    <row r="2120" spans="1:33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8"/>
    </row>
    <row r="2121" spans="1:33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8"/>
    </row>
    <row r="2122" spans="1:33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8"/>
    </row>
    <row r="2123" spans="1:33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8"/>
    </row>
    <row r="2124" spans="1:33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8"/>
    </row>
    <row r="2125" spans="1:33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8"/>
    </row>
    <row r="2126" spans="1:33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8"/>
    </row>
    <row r="2127" spans="1:33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8"/>
    </row>
    <row r="2128" spans="1:33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8"/>
    </row>
    <row r="2129" spans="1:33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8"/>
    </row>
    <row r="2130" spans="1:33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8"/>
    </row>
    <row r="2131" spans="1:33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8"/>
    </row>
    <row r="2132" spans="1:33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8"/>
    </row>
    <row r="2133" spans="1:33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8"/>
    </row>
    <row r="2134" spans="1:33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8"/>
    </row>
    <row r="2135" spans="1:33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8"/>
    </row>
    <row r="2136" spans="1:33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8"/>
    </row>
    <row r="2137" spans="1:33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8"/>
    </row>
    <row r="2138" spans="1:33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8"/>
    </row>
    <row r="2139" spans="1:33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8"/>
    </row>
    <row r="2140" spans="1:33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8"/>
    </row>
    <row r="2141" spans="1:33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8"/>
    </row>
    <row r="2142" spans="1:33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8"/>
    </row>
    <row r="2143" spans="1:33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8"/>
    </row>
    <row r="2144" spans="1:33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8"/>
    </row>
    <row r="2145" spans="1:33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8"/>
    </row>
    <row r="2146" spans="1:33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8"/>
    </row>
    <row r="2147" spans="1:33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8"/>
    </row>
    <row r="2148" spans="1:33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8"/>
    </row>
    <row r="2149" spans="1:33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8"/>
    </row>
    <row r="2150" spans="1:33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8"/>
    </row>
    <row r="2151" spans="1:33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8"/>
    </row>
    <row r="2152" spans="1:33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8"/>
    </row>
    <row r="2153" spans="1:33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8"/>
    </row>
    <row r="2154" spans="1:33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8"/>
    </row>
    <row r="2155" spans="1:33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8"/>
    </row>
    <row r="2156" spans="1:33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8"/>
    </row>
    <row r="2157" spans="1:33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8"/>
    </row>
    <row r="2158" spans="1:33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8"/>
    </row>
    <row r="2159" spans="1:33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8"/>
    </row>
    <row r="2160" spans="1:33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8"/>
    </row>
    <row r="2161" spans="1:33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8"/>
    </row>
    <row r="2162" spans="1:33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8"/>
    </row>
    <row r="2163" spans="1:33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8"/>
    </row>
    <row r="2164" spans="1:33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8"/>
    </row>
    <row r="2165" spans="1:33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8"/>
    </row>
    <row r="2166" spans="1:33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8"/>
    </row>
    <row r="2167" spans="1:33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8"/>
    </row>
    <row r="2168" spans="1:33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8"/>
    </row>
    <row r="2169" spans="1:33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8"/>
    </row>
    <row r="2170" spans="1:33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8"/>
    </row>
    <row r="2171" spans="1:33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8"/>
    </row>
    <row r="2172" spans="1:33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8"/>
    </row>
    <row r="2173" spans="1:33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8"/>
    </row>
    <row r="2174" spans="1:33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8"/>
    </row>
    <row r="2175" spans="1:33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8"/>
    </row>
    <row r="2176" spans="1:33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8"/>
    </row>
    <row r="2177" spans="1:33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8"/>
    </row>
    <row r="2178" spans="1:33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8"/>
    </row>
    <row r="2179" spans="1:33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8"/>
    </row>
    <row r="2180" spans="1:33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8"/>
    </row>
    <row r="2181" spans="1:33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8"/>
    </row>
    <row r="2182" spans="1:33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8"/>
    </row>
    <row r="2183" spans="1:33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8"/>
    </row>
    <row r="2184" spans="1:33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8"/>
    </row>
    <row r="2185" spans="1:33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8"/>
    </row>
    <row r="2186" spans="1:33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8"/>
    </row>
    <row r="2187" spans="1:33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8"/>
    </row>
    <row r="2188" spans="1:33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8"/>
    </row>
    <row r="2189" spans="1:33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8"/>
    </row>
    <row r="2190" spans="1:33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8"/>
    </row>
    <row r="2191" spans="1:33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8"/>
    </row>
    <row r="2192" spans="1:33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8"/>
    </row>
    <row r="2193" spans="1:33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8"/>
    </row>
    <row r="2194" spans="1:33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8"/>
    </row>
    <row r="2195" spans="1:33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8"/>
    </row>
    <row r="2196" spans="1:33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8"/>
    </row>
    <row r="2197" spans="1:33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8"/>
    </row>
    <row r="2198" spans="1:33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8"/>
    </row>
    <row r="2199" spans="1:33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8"/>
    </row>
    <row r="2200" spans="1:33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8"/>
    </row>
    <row r="2201" spans="1:33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8"/>
    </row>
    <row r="2202" spans="1:33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8"/>
    </row>
    <row r="2203" spans="1:33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8"/>
    </row>
    <row r="2204" spans="1:33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8"/>
    </row>
    <row r="2205" spans="1:33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8"/>
    </row>
    <row r="2206" spans="1:33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8"/>
    </row>
    <row r="2207" spans="1:33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8"/>
    </row>
    <row r="2208" spans="1:33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8"/>
    </row>
    <row r="2209" spans="1:33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8"/>
    </row>
    <row r="2210" spans="1:33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8"/>
    </row>
    <row r="2211" spans="1:33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8"/>
    </row>
    <row r="2212" spans="1:33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8"/>
    </row>
    <row r="2213" spans="1:33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8"/>
    </row>
    <row r="2214" spans="1:33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8"/>
    </row>
    <row r="2215" spans="1:33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8"/>
    </row>
    <row r="2216" spans="1:33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8"/>
    </row>
    <row r="2217" spans="1:33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8"/>
    </row>
    <row r="2218" spans="1:33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8"/>
    </row>
    <row r="2219" spans="1:33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8"/>
    </row>
    <row r="2220" spans="1:33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8"/>
    </row>
    <row r="2221" spans="1:33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8"/>
    </row>
    <row r="2222" spans="1:33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8"/>
    </row>
    <row r="2223" spans="1:33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8"/>
    </row>
    <row r="2224" spans="1:33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8"/>
    </row>
    <row r="2225" spans="1:33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8"/>
    </row>
    <row r="2226" spans="1:33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8"/>
    </row>
    <row r="2227" spans="1:33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8"/>
    </row>
    <row r="2228" spans="1:33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8"/>
    </row>
    <row r="2229" spans="1:33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8"/>
    </row>
    <row r="2230" spans="1:33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8"/>
    </row>
    <row r="2231" spans="1:33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8"/>
    </row>
    <row r="2232" spans="1:33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8"/>
    </row>
    <row r="2233" spans="1:33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8"/>
    </row>
    <row r="2234" spans="1:33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8"/>
    </row>
    <row r="2235" spans="1:33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8"/>
    </row>
    <row r="2236" spans="1:33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8"/>
    </row>
    <row r="2237" spans="1:33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8"/>
    </row>
    <row r="2238" spans="1:33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8"/>
    </row>
    <row r="2239" spans="1:33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8"/>
    </row>
    <row r="2240" spans="1:33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8"/>
    </row>
    <row r="2241" spans="1:33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8"/>
    </row>
    <row r="2242" spans="1:33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8"/>
    </row>
    <row r="2243" spans="1:33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8"/>
    </row>
    <row r="2244" spans="1:33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8"/>
    </row>
    <row r="2245" spans="1:33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8"/>
    </row>
    <row r="2246" spans="1:33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8"/>
    </row>
    <row r="2247" spans="1:33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8"/>
    </row>
    <row r="2248" spans="1:33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8"/>
    </row>
    <row r="2249" spans="1:33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8"/>
    </row>
    <row r="2250" spans="1:33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8"/>
    </row>
    <row r="2251" spans="1:33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8"/>
    </row>
    <row r="2252" spans="1:33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8"/>
    </row>
    <row r="2253" spans="1:33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8"/>
    </row>
    <row r="2254" spans="1:33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8"/>
    </row>
    <row r="2255" spans="1:33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8"/>
    </row>
    <row r="2256" spans="1:33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8"/>
    </row>
    <row r="2257" spans="1:33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8"/>
    </row>
    <row r="2258" spans="1:33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8"/>
    </row>
    <row r="2259" spans="1:33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8"/>
    </row>
    <row r="2260" spans="1:33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8"/>
    </row>
    <row r="2261" spans="1:33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8"/>
    </row>
    <row r="2262" spans="1:33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8"/>
    </row>
    <row r="2263" spans="1:33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8"/>
    </row>
    <row r="2264" spans="1:33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8"/>
    </row>
    <row r="2265" spans="1:33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8"/>
    </row>
    <row r="2266" spans="1:33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8"/>
    </row>
    <row r="2267" spans="1:33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8"/>
    </row>
    <row r="2268" spans="1:33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8"/>
    </row>
    <row r="2269" spans="1:33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8"/>
    </row>
    <row r="2270" spans="1:33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8"/>
    </row>
    <row r="2271" spans="1:33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8"/>
    </row>
    <row r="2272" spans="1:33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8"/>
    </row>
    <row r="2273" spans="1:33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8"/>
    </row>
    <row r="2274" spans="1:33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8"/>
    </row>
    <row r="2275" spans="1:33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8"/>
    </row>
    <row r="2276" spans="1:33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8"/>
    </row>
    <row r="2277" spans="1:33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8"/>
    </row>
    <row r="2278" spans="1:33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8"/>
    </row>
    <row r="2279" spans="1:33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8"/>
    </row>
    <row r="2280" spans="1:33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8"/>
    </row>
    <row r="2281" spans="1:33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8"/>
    </row>
    <row r="2282" spans="1:33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8"/>
    </row>
    <row r="2283" spans="1:33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8"/>
    </row>
    <row r="2284" spans="1:33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8"/>
    </row>
    <row r="2285" spans="1:33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8"/>
    </row>
    <row r="2286" spans="1:33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8"/>
    </row>
    <row r="2287" spans="1:33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8"/>
    </row>
    <row r="2288" spans="1:33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8"/>
    </row>
    <row r="2289" spans="1:33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8"/>
    </row>
    <row r="2290" spans="1:33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8"/>
    </row>
    <row r="2291" spans="1:33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8"/>
    </row>
    <row r="2292" spans="1:33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8"/>
    </row>
    <row r="2293" spans="1:33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8"/>
    </row>
    <row r="2294" spans="1:33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8"/>
    </row>
    <row r="2295" spans="1:33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8"/>
    </row>
    <row r="2296" spans="1:33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8"/>
    </row>
    <row r="2297" spans="1:33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8"/>
    </row>
    <row r="2298" spans="1:33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8"/>
    </row>
    <row r="2299" spans="1:33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8"/>
    </row>
    <row r="2300" spans="1:33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8"/>
    </row>
    <row r="2301" spans="1:33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8"/>
    </row>
    <row r="2302" spans="1:33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8"/>
    </row>
    <row r="2303" spans="1:33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8"/>
    </row>
    <row r="2304" spans="1:33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8"/>
    </row>
    <row r="2305" spans="1:33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8"/>
    </row>
    <row r="2306" spans="1:33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8"/>
    </row>
    <row r="2307" spans="1:33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8"/>
    </row>
    <row r="2308" spans="1:33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8"/>
    </row>
    <row r="2309" spans="1:33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8"/>
    </row>
    <row r="2310" spans="1:33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8"/>
    </row>
    <row r="2311" spans="1:33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8"/>
    </row>
    <row r="2312" spans="1:33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8"/>
    </row>
    <row r="2313" spans="1:33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8"/>
    </row>
    <row r="2314" spans="1:33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8"/>
    </row>
    <row r="2315" spans="1:33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8"/>
    </row>
    <row r="2316" spans="1:33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8"/>
    </row>
    <row r="2317" spans="1:33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8"/>
    </row>
    <row r="2318" spans="1:33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8"/>
    </row>
    <row r="2319" spans="1:33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8"/>
    </row>
    <row r="2320" spans="1:33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8"/>
    </row>
    <row r="2321" spans="1:33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8"/>
    </row>
    <row r="2322" spans="1:33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8"/>
    </row>
    <row r="2323" spans="1:33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8"/>
    </row>
    <row r="2324" spans="1:33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8"/>
    </row>
    <row r="2325" spans="1:33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8"/>
    </row>
    <row r="2326" spans="1:33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8"/>
    </row>
    <row r="2327" spans="1:33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8"/>
    </row>
    <row r="2328" spans="1:33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8"/>
    </row>
    <row r="2329" spans="1:33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8"/>
    </row>
    <row r="2330" spans="1:33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8"/>
    </row>
    <row r="2331" spans="1:33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8"/>
    </row>
    <row r="2332" spans="1:33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8"/>
    </row>
    <row r="2333" spans="1:33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8"/>
    </row>
    <row r="2334" spans="1:33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8"/>
    </row>
    <row r="2335" spans="1:33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8"/>
    </row>
    <row r="2336" spans="1:33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8"/>
    </row>
    <row r="2337" spans="1:33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8"/>
    </row>
    <row r="2338" spans="1:33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8"/>
    </row>
    <row r="2339" spans="1:33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8"/>
    </row>
    <row r="2340" spans="1:33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8"/>
    </row>
    <row r="2341" spans="1:33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8"/>
    </row>
    <row r="2342" spans="1:33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8"/>
    </row>
    <row r="2343" spans="1:33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8"/>
    </row>
    <row r="2344" spans="1:33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8"/>
    </row>
    <row r="2345" spans="1:33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8"/>
    </row>
    <row r="2346" spans="1:33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8"/>
    </row>
    <row r="2347" spans="1:33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8"/>
    </row>
    <row r="2348" spans="1:33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8"/>
    </row>
    <row r="2349" spans="1:33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8"/>
    </row>
    <row r="2350" spans="1:33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8"/>
    </row>
    <row r="2351" spans="1:33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8"/>
    </row>
    <row r="2352" spans="1:33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8"/>
    </row>
    <row r="2353" spans="1:33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8"/>
    </row>
    <row r="2354" spans="1:33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8"/>
    </row>
    <row r="2355" spans="1:33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8"/>
    </row>
    <row r="2356" spans="1:33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8"/>
    </row>
    <row r="2357" spans="1:33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8"/>
    </row>
    <row r="2358" spans="1:33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8"/>
    </row>
    <row r="2359" spans="1:33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8"/>
    </row>
    <row r="2360" spans="1:33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8"/>
    </row>
    <row r="2361" spans="1:33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8"/>
    </row>
    <row r="2362" spans="1:33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8"/>
    </row>
    <row r="2363" spans="1:33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8"/>
    </row>
    <row r="2364" spans="1:33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8"/>
    </row>
    <row r="2365" spans="1:33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8"/>
    </row>
    <row r="2366" spans="1:33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8"/>
    </row>
    <row r="2367" spans="1:33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8"/>
    </row>
    <row r="2368" spans="1:33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8"/>
    </row>
    <row r="2369" spans="1:33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8"/>
    </row>
    <row r="2370" spans="1:33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8"/>
    </row>
    <row r="2371" spans="1:33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8"/>
    </row>
    <row r="2372" spans="1:33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8"/>
    </row>
    <row r="2373" spans="1:33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8"/>
    </row>
    <row r="2374" spans="1:33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8"/>
    </row>
    <row r="2375" spans="1:33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8"/>
    </row>
    <row r="2376" spans="1:33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8"/>
    </row>
    <row r="2377" spans="1:33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8"/>
    </row>
    <row r="2378" spans="1:33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8"/>
    </row>
    <row r="2379" spans="1:33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8"/>
    </row>
    <row r="2380" spans="1:33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8"/>
    </row>
    <row r="2381" spans="1:33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8"/>
    </row>
    <row r="2382" spans="1:33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8"/>
    </row>
    <row r="2383" spans="1:33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8"/>
    </row>
    <row r="2384" spans="1:33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8"/>
    </row>
    <row r="2385" spans="1:33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8"/>
    </row>
    <row r="2386" spans="1:33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8"/>
    </row>
    <row r="2387" spans="1:33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8"/>
    </row>
    <row r="2388" spans="1:33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8"/>
    </row>
    <row r="2389" spans="1:33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8"/>
    </row>
    <row r="2390" spans="1:33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8"/>
    </row>
    <row r="2391" spans="1:33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8"/>
    </row>
    <row r="2392" spans="1:33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8"/>
    </row>
    <row r="2393" spans="1:33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8"/>
    </row>
    <row r="2394" spans="1:33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8"/>
    </row>
    <row r="2395" spans="1:33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8"/>
    </row>
    <row r="2396" spans="1:33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8"/>
    </row>
    <row r="2397" spans="1:33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8"/>
    </row>
    <row r="2398" spans="1:33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8"/>
    </row>
    <row r="2399" spans="1:33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8"/>
    </row>
    <row r="2400" spans="1:33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8"/>
    </row>
    <row r="2401" spans="1:33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8"/>
    </row>
    <row r="2402" spans="1:33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8"/>
    </row>
    <row r="2403" spans="1:33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8"/>
    </row>
    <row r="2404" spans="1:33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8"/>
    </row>
    <row r="2405" spans="1:33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8"/>
    </row>
    <row r="2406" spans="1:33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8"/>
    </row>
    <row r="2407" spans="1:33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8"/>
    </row>
    <row r="2408" spans="1:33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8"/>
    </row>
    <row r="2409" spans="1:33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8"/>
    </row>
    <row r="2410" spans="1:33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8"/>
    </row>
    <row r="2411" spans="1:33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8"/>
    </row>
    <row r="2412" spans="1:33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8"/>
    </row>
    <row r="2413" spans="1:33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8"/>
    </row>
    <row r="2414" spans="1:33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8"/>
    </row>
    <row r="2415" spans="1:33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8"/>
    </row>
    <row r="2416" spans="1:33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8"/>
    </row>
    <row r="2417" spans="1:33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8"/>
    </row>
    <row r="2418" spans="1:33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8"/>
    </row>
    <row r="2419" spans="1:33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8"/>
    </row>
    <row r="2420" spans="1:33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8"/>
    </row>
    <row r="2421" spans="1:33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8"/>
    </row>
    <row r="2422" spans="1:33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8"/>
    </row>
    <row r="2423" spans="1:33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8"/>
    </row>
    <row r="2424" spans="1:33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8"/>
    </row>
    <row r="2425" spans="1:33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8"/>
    </row>
    <row r="2426" spans="1:33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8"/>
    </row>
    <row r="2427" spans="1:33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8"/>
    </row>
    <row r="2428" spans="1:33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8"/>
    </row>
    <row r="2429" spans="1:33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8"/>
    </row>
    <row r="2430" spans="1:33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8"/>
    </row>
    <row r="2431" spans="1:33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8"/>
    </row>
    <row r="2432" spans="1:33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8"/>
    </row>
    <row r="2433" spans="1:33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8"/>
    </row>
    <row r="2434" spans="1:33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8"/>
    </row>
    <row r="2435" spans="1:33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8"/>
    </row>
    <row r="2436" spans="1:33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8"/>
    </row>
    <row r="2437" spans="1:33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8"/>
    </row>
    <row r="2438" spans="1:33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8"/>
    </row>
    <row r="2439" spans="1:33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8"/>
    </row>
    <row r="2440" spans="1:33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8"/>
    </row>
    <row r="2441" spans="1:33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8"/>
    </row>
    <row r="2442" spans="1:33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8"/>
    </row>
    <row r="2443" spans="1:33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8"/>
    </row>
    <row r="2444" spans="1:33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8"/>
    </row>
    <row r="2445" spans="1:33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8"/>
    </row>
    <row r="2446" spans="1:33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8"/>
    </row>
    <row r="2447" spans="1:33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8"/>
    </row>
    <row r="2448" spans="1:33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8"/>
    </row>
    <row r="2449" spans="1:33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8"/>
    </row>
    <row r="2450" spans="1:33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8"/>
    </row>
    <row r="2451" spans="1:33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8"/>
    </row>
    <row r="2452" spans="1:33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8"/>
    </row>
    <row r="2453" spans="1:33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8"/>
    </row>
    <row r="2454" spans="1:33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8"/>
    </row>
    <row r="2455" spans="1:33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8"/>
    </row>
    <row r="2456" spans="1:33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8"/>
    </row>
    <row r="2457" spans="1:33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8"/>
    </row>
    <row r="2458" spans="1:33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8"/>
    </row>
    <row r="2459" spans="1:33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8"/>
    </row>
    <row r="2460" spans="1:33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8"/>
    </row>
    <row r="2461" spans="1:33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8"/>
    </row>
    <row r="2462" spans="1:33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8"/>
    </row>
    <row r="2463" spans="1:33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8"/>
    </row>
    <row r="2464" spans="1:33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8"/>
    </row>
    <row r="2465" spans="1:33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8"/>
    </row>
    <row r="2466" spans="1:33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8"/>
    </row>
    <row r="2467" spans="1:33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8"/>
    </row>
    <row r="2468" spans="1:33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8"/>
    </row>
    <row r="2469" spans="1:33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8"/>
    </row>
    <row r="2470" spans="1:33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8"/>
    </row>
    <row r="2471" spans="1:33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8"/>
    </row>
    <row r="2472" spans="1:33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8"/>
    </row>
    <row r="2473" spans="1:33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8"/>
    </row>
    <row r="2474" spans="1:33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8"/>
    </row>
    <row r="2475" spans="1:33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8"/>
    </row>
    <row r="2476" spans="1:33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8"/>
    </row>
    <row r="2477" spans="1:33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8"/>
    </row>
    <row r="2478" spans="1:33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8"/>
    </row>
    <row r="2479" spans="1:33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8"/>
    </row>
    <row r="2480" spans="1:33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8"/>
    </row>
    <row r="2481" spans="1:33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8"/>
    </row>
    <row r="2482" spans="1:33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8"/>
    </row>
    <row r="2483" spans="1:33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8"/>
    </row>
    <row r="2484" spans="1:33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8"/>
    </row>
    <row r="2485" spans="1:33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8"/>
    </row>
    <row r="2486" spans="1:33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8"/>
    </row>
    <row r="2487" spans="1:33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8"/>
    </row>
    <row r="2488" spans="1:33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8"/>
    </row>
    <row r="2489" spans="1:33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8"/>
    </row>
    <row r="2490" spans="1:33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8"/>
    </row>
    <row r="2491" spans="1:33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8"/>
    </row>
    <row r="2492" spans="1:33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8"/>
    </row>
    <row r="2493" spans="1:33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8"/>
    </row>
    <row r="2494" spans="1:33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8"/>
    </row>
    <row r="2495" spans="1:33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8"/>
    </row>
    <row r="2496" spans="1:33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8"/>
    </row>
    <row r="2497" spans="1:33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8"/>
    </row>
    <row r="2498" spans="1:33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8"/>
    </row>
    <row r="2499" spans="1:33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8"/>
    </row>
    <row r="2500" spans="1:33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8"/>
    </row>
    <row r="2501" spans="1:33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8"/>
    </row>
    <row r="2502" spans="1:33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8"/>
    </row>
    <row r="2503" spans="1:33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8"/>
    </row>
    <row r="2504" spans="1:33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8"/>
    </row>
    <row r="2505" spans="1:33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8"/>
    </row>
    <row r="2506" spans="1:33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8"/>
    </row>
    <row r="2507" spans="1:33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8"/>
    </row>
    <row r="2508" spans="1:33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8"/>
    </row>
    <row r="2509" spans="1:33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8"/>
    </row>
    <row r="2510" spans="1:33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8"/>
    </row>
    <row r="2511" spans="1:33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8"/>
    </row>
    <row r="2512" spans="1:33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8"/>
    </row>
    <row r="2513" spans="1:33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8"/>
    </row>
    <row r="2514" spans="1:33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8"/>
    </row>
    <row r="2515" spans="1:33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8"/>
    </row>
    <row r="2516" spans="1:33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8"/>
    </row>
    <row r="2517" spans="1:33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8"/>
    </row>
    <row r="2518" spans="1:33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8"/>
    </row>
    <row r="2519" spans="1:33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8"/>
    </row>
    <row r="2520" spans="1:33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8"/>
    </row>
    <row r="2521" spans="1:33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8"/>
    </row>
    <row r="2522" spans="1:33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8"/>
    </row>
    <row r="2523" spans="1:33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8"/>
    </row>
    <row r="2524" spans="1:33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8"/>
    </row>
    <row r="2525" spans="1:33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8"/>
    </row>
    <row r="2526" spans="1:33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8"/>
    </row>
    <row r="2527" spans="1:33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8"/>
    </row>
    <row r="2528" spans="1:33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8"/>
    </row>
    <row r="2529" spans="1:33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8"/>
    </row>
    <row r="2530" spans="1:33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8"/>
    </row>
    <row r="2531" spans="1:33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8"/>
    </row>
    <row r="2532" spans="1:33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8"/>
    </row>
    <row r="2533" spans="1:33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8"/>
    </row>
    <row r="2534" spans="1:33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8"/>
    </row>
    <row r="2535" spans="1:33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8"/>
    </row>
    <row r="2536" spans="1:33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8"/>
    </row>
    <row r="2537" spans="1:33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8"/>
    </row>
    <row r="2538" spans="1:33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8"/>
    </row>
    <row r="2539" spans="1:33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8"/>
    </row>
    <row r="2540" spans="1:33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8"/>
    </row>
    <row r="2541" spans="1:33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8"/>
    </row>
    <row r="2542" spans="1:33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8"/>
    </row>
    <row r="2543" spans="1:33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8"/>
    </row>
    <row r="2544" spans="1:33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8"/>
    </row>
    <row r="2545" spans="1:33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8"/>
    </row>
    <row r="2546" spans="1:33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8"/>
    </row>
    <row r="2547" spans="1:33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8"/>
    </row>
    <row r="2548" spans="1:33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8"/>
    </row>
    <row r="2549" spans="1:33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8"/>
    </row>
    <row r="2550" spans="1:33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8"/>
    </row>
    <row r="2551" spans="1:33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8"/>
    </row>
    <row r="2552" spans="1:33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8"/>
    </row>
    <row r="2553" spans="1:33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8"/>
    </row>
    <row r="2554" spans="1:33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8"/>
    </row>
    <row r="2555" spans="1:33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8"/>
    </row>
    <row r="2556" spans="1:33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8"/>
    </row>
    <row r="2557" spans="1:33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8"/>
    </row>
    <row r="2558" spans="1:33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8"/>
    </row>
    <row r="2559" spans="1:33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8"/>
    </row>
    <row r="2560" spans="1:33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8"/>
    </row>
    <row r="2561" spans="1:33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8"/>
    </row>
    <row r="2562" spans="1:33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8"/>
    </row>
    <row r="2563" spans="1:33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8"/>
    </row>
    <row r="2564" spans="1:33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8"/>
    </row>
    <row r="2565" spans="1:33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8"/>
    </row>
    <row r="2566" spans="1:33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8"/>
    </row>
    <row r="2567" spans="1:33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8"/>
    </row>
    <row r="2568" spans="1:33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8"/>
    </row>
    <row r="2569" spans="1:33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8"/>
    </row>
    <row r="2570" spans="1:33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8"/>
    </row>
    <row r="2571" spans="1:33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8"/>
    </row>
    <row r="2572" spans="1:33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8"/>
    </row>
    <row r="2573" spans="1:33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8"/>
    </row>
    <row r="2574" spans="1:33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8"/>
    </row>
    <row r="2575" spans="1:33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8"/>
    </row>
    <row r="2576" spans="1:33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8"/>
    </row>
    <row r="2577" spans="1:33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8"/>
    </row>
    <row r="2578" spans="1:33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8"/>
    </row>
    <row r="2579" spans="1:33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8"/>
    </row>
    <row r="2580" spans="1:33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8"/>
    </row>
    <row r="2581" spans="1:33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8"/>
    </row>
    <row r="2582" spans="1:33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8"/>
    </row>
    <row r="2583" spans="1:33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8"/>
    </row>
    <row r="2584" spans="1:33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8"/>
    </row>
    <row r="2585" spans="1:33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8"/>
    </row>
    <row r="2586" spans="1:33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8"/>
    </row>
    <row r="2587" spans="1:33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8"/>
    </row>
    <row r="2588" spans="1:33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8"/>
    </row>
    <row r="2589" spans="1:33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8"/>
    </row>
    <row r="2590" spans="1:33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8"/>
    </row>
    <row r="2591" spans="1:33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8"/>
    </row>
    <row r="2592" spans="1:33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8"/>
    </row>
    <row r="2593" spans="1:33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8"/>
    </row>
    <row r="2594" spans="1:33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8"/>
    </row>
    <row r="2595" spans="1:33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8"/>
    </row>
    <row r="2596" spans="1:33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8"/>
    </row>
    <row r="2597" spans="1:33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8"/>
    </row>
    <row r="2598" spans="1:33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8"/>
    </row>
    <row r="2599" spans="1:33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8"/>
    </row>
    <row r="2600" spans="1:33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8"/>
    </row>
    <row r="2601" spans="1:33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8"/>
    </row>
    <row r="2602" spans="1:33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8"/>
    </row>
    <row r="2603" spans="1:33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8"/>
    </row>
    <row r="2604" spans="1:33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8"/>
    </row>
    <row r="2605" spans="1:33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8"/>
    </row>
    <row r="2606" spans="1:33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8"/>
    </row>
    <row r="2607" spans="1:33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8"/>
    </row>
    <row r="2608" spans="1:33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8"/>
    </row>
    <row r="2609" spans="1:33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8"/>
    </row>
    <row r="2610" spans="1:33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8"/>
    </row>
    <row r="2611" spans="1:33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8"/>
    </row>
    <row r="2612" spans="1:33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8"/>
    </row>
    <row r="2613" spans="1:33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8"/>
    </row>
    <row r="2614" spans="1:33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8"/>
    </row>
    <row r="2615" spans="1:33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8"/>
    </row>
    <row r="2616" spans="1:33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8"/>
    </row>
    <row r="2617" spans="1:33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8"/>
    </row>
    <row r="2618" spans="1:33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8"/>
    </row>
    <row r="2619" spans="1:33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8"/>
    </row>
    <row r="2620" spans="1:33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8"/>
    </row>
    <row r="2621" spans="1:33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8"/>
    </row>
    <row r="2622" spans="1:33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8"/>
    </row>
    <row r="2623" spans="1:33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8"/>
    </row>
    <row r="2624" spans="1:33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8"/>
    </row>
    <row r="2625" spans="1:33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8"/>
    </row>
    <row r="2626" spans="1:33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8"/>
    </row>
    <row r="2627" spans="1:33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8"/>
    </row>
    <row r="2628" spans="1:33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8"/>
    </row>
    <row r="2629" spans="1:33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8"/>
    </row>
    <row r="2630" spans="1:33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8"/>
    </row>
    <row r="2631" spans="1:33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8"/>
    </row>
    <row r="2632" spans="1:33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8"/>
    </row>
    <row r="2633" spans="1:33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8"/>
    </row>
    <row r="2634" spans="1:33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8"/>
    </row>
    <row r="2635" spans="1:33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8"/>
    </row>
    <row r="2636" spans="1:33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8"/>
    </row>
    <row r="2637" spans="1:33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8"/>
    </row>
    <row r="2638" spans="1:33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8"/>
    </row>
    <row r="2639" spans="1:33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8"/>
    </row>
    <row r="2640" spans="1:33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8"/>
    </row>
    <row r="2641" spans="1:33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8"/>
    </row>
    <row r="2642" spans="1:33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8"/>
    </row>
    <row r="2643" spans="1:33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8"/>
    </row>
    <row r="2644" spans="1:33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8"/>
    </row>
    <row r="2645" spans="1:33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8"/>
    </row>
    <row r="2646" spans="1:33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8"/>
    </row>
    <row r="2647" spans="1:33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8"/>
    </row>
    <row r="2648" spans="1:33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8"/>
    </row>
    <row r="2649" spans="1:33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8"/>
    </row>
    <row r="2650" spans="1:33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8"/>
    </row>
    <row r="2651" spans="1:33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8"/>
    </row>
    <row r="2652" spans="1:33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8"/>
    </row>
    <row r="2653" spans="1:33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8"/>
    </row>
    <row r="2654" spans="1:33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8"/>
    </row>
    <row r="2655" spans="1:33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8"/>
    </row>
    <row r="2656" spans="1:33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8"/>
    </row>
    <row r="2657" spans="1:33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8"/>
    </row>
    <row r="2658" spans="1:33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8"/>
    </row>
    <row r="2659" spans="1:33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8"/>
    </row>
    <row r="2660" spans="1:33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8"/>
    </row>
    <row r="2661" s="7" customFormat="1" spans="33:33">
      <c r="AG2661" s="8"/>
    </row>
    <row r="2662" s="7" customFormat="1" spans="33:33">
      <c r="AG2662" s="8"/>
    </row>
    <row r="2663" s="7" customFormat="1" spans="33:33">
      <c r="AG2663" s="8"/>
    </row>
    <row r="2664" s="7" customFormat="1" spans="33:33">
      <c r="AG2664" s="8"/>
    </row>
    <row r="2665" s="7" customFormat="1" spans="33:33">
      <c r="AG2665" s="8"/>
    </row>
    <row r="2666" s="7" customFormat="1" spans="33:33">
      <c r="AG2666" s="8"/>
    </row>
    <row r="2667" s="7" customFormat="1" spans="33:33">
      <c r="AG2667" s="8"/>
    </row>
    <row r="2668" s="7" customFormat="1" spans="33:33">
      <c r="AG2668" s="8"/>
    </row>
    <row r="2669" s="7" customFormat="1" spans="33:33">
      <c r="AG2669" s="8"/>
    </row>
    <row r="2670" s="7" customFormat="1" spans="33:33">
      <c r="AG2670" s="8"/>
    </row>
    <row r="2671" s="7" customFormat="1" spans="33:33">
      <c r="AG2671" s="8"/>
    </row>
    <row r="2672" s="7" customFormat="1" spans="33:33">
      <c r="AG2672" s="8"/>
    </row>
    <row r="2673" s="7" customFormat="1" spans="33:33">
      <c r="AG2673" s="8"/>
    </row>
    <row r="2674" s="7" customFormat="1" spans="33:33">
      <c r="AG2674" s="8"/>
    </row>
    <row r="2675" s="7" customFormat="1" spans="33:33">
      <c r="AG2675" s="8"/>
    </row>
    <row r="2676" s="7" customFormat="1" spans="33:33">
      <c r="AG2676" s="8"/>
    </row>
    <row r="2677" s="7" customFormat="1" spans="33:33">
      <c r="AG2677" s="8"/>
    </row>
    <row r="2678" s="7" customFormat="1" spans="33:33">
      <c r="AG2678" s="8"/>
    </row>
    <row r="2679" s="7" customFormat="1" spans="33:33">
      <c r="AG2679" s="8"/>
    </row>
    <row r="2680" s="7" customFormat="1" spans="33:33">
      <c r="AG2680" s="8"/>
    </row>
    <row r="2681" s="7" customFormat="1" spans="33:33">
      <c r="AG2681" s="8"/>
    </row>
    <row r="2682" s="7" customFormat="1" spans="33:33">
      <c r="AG2682" s="8"/>
    </row>
    <row r="2683" s="7" customFormat="1" spans="33:33">
      <c r="AG2683" s="8"/>
    </row>
    <row r="2684" s="7" customFormat="1" spans="33:33">
      <c r="AG2684" s="8"/>
    </row>
    <row r="2685" s="7" customFormat="1" spans="33:33">
      <c r="AG2685" s="8"/>
    </row>
    <row r="2686" s="7" customFormat="1" spans="33:33">
      <c r="AG2686" s="8"/>
    </row>
    <row r="2687" s="7" customFormat="1" spans="33:33">
      <c r="AG2687" s="8"/>
    </row>
    <row r="2688" s="7" customFormat="1" spans="33:33">
      <c r="AG2688" s="8"/>
    </row>
    <row r="2689" s="7" customFormat="1" spans="33:33">
      <c r="AG2689" s="8"/>
    </row>
    <row r="2690" s="7" customFormat="1" spans="33:33">
      <c r="AG2690" s="8"/>
    </row>
    <row r="2691" s="7" customFormat="1" spans="33:33">
      <c r="AG2691" s="8"/>
    </row>
    <row r="2692" s="7" customFormat="1" spans="33:33">
      <c r="AG2692" s="8"/>
    </row>
    <row r="2693" s="7" customFormat="1" spans="33:33">
      <c r="AG2693" s="8"/>
    </row>
    <row r="2694" s="7" customFormat="1" spans="33:33">
      <c r="AG2694" s="8"/>
    </row>
    <row r="2695" s="7" customFormat="1" spans="33:33">
      <c r="AG2695" s="8"/>
    </row>
    <row r="2696" s="7" customFormat="1" spans="33:33">
      <c r="AG2696" s="8"/>
    </row>
    <row r="2697" s="7" customFormat="1" spans="33:33">
      <c r="AG2697" s="8"/>
    </row>
    <row r="2698" s="7" customFormat="1" spans="33:33">
      <c r="AG2698" s="8"/>
    </row>
    <row r="2699" s="7" customFormat="1" spans="33:33">
      <c r="AG2699" s="8"/>
    </row>
    <row r="2700" s="7" customFormat="1" spans="33:33">
      <c r="AG2700" s="8"/>
    </row>
    <row r="2701" s="7" customFormat="1" spans="33:33">
      <c r="AG2701" s="8"/>
    </row>
    <row r="2702" s="7" customFormat="1" spans="33:33">
      <c r="AG2702" s="8"/>
    </row>
    <row r="2703" s="7" customFormat="1" spans="33:33">
      <c r="AG2703" s="8"/>
    </row>
    <row r="2704" s="7" customFormat="1" spans="33:33">
      <c r="AG2704" s="8"/>
    </row>
    <row r="2705" s="7" customFormat="1" spans="33:33">
      <c r="AG2705" s="8"/>
    </row>
    <row r="2706" s="7" customFormat="1" spans="33:33">
      <c r="AG2706" s="8"/>
    </row>
    <row r="2707" s="7" customFormat="1" spans="33:33">
      <c r="AG2707" s="8"/>
    </row>
    <row r="2708" s="7" customFormat="1" spans="33:33">
      <c r="AG2708" s="8"/>
    </row>
    <row r="2709" s="7" customFormat="1" spans="33:33">
      <c r="AG2709" s="8"/>
    </row>
    <row r="2710" s="7" customFormat="1" spans="33:33">
      <c r="AG2710" s="8"/>
    </row>
    <row r="2711" s="7" customFormat="1" spans="33:33">
      <c r="AG2711" s="8"/>
    </row>
    <row r="2712" s="7" customFormat="1" spans="33:33">
      <c r="AG2712" s="8"/>
    </row>
    <row r="2713" s="7" customFormat="1" spans="33:33">
      <c r="AG2713" s="8"/>
    </row>
    <row r="2714" s="7" customFormat="1" spans="33:33">
      <c r="AG2714" s="8"/>
    </row>
    <row r="2715" s="7" customFormat="1" spans="33:33">
      <c r="AG2715" s="8"/>
    </row>
    <row r="2716" s="7" customFormat="1" spans="33:33">
      <c r="AG2716" s="8"/>
    </row>
    <row r="2717" s="7" customFormat="1" spans="33:33">
      <c r="AG2717" s="8"/>
    </row>
    <row r="2718" s="7" customFormat="1" spans="33:33">
      <c r="AG2718" s="8"/>
    </row>
    <row r="2719" s="7" customFormat="1" spans="33:33">
      <c r="AG2719" s="8"/>
    </row>
    <row r="2720" s="7" customFormat="1" spans="33:33">
      <c r="AG2720" s="8"/>
    </row>
    <row r="2721" s="7" customFormat="1" spans="33:33">
      <c r="AG2721" s="8"/>
    </row>
    <row r="2722" s="7" customFormat="1" spans="33:33">
      <c r="AG2722" s="8"/>
    </row>
    <row r="2723" s="7" customFormat="1" spans="33:33">
      <c r="AG2723" s="8"/>
    </row>
    <row r="2724" s="7" customFormat="1" spans="33:33">
      <c r="AG2724" s="8"/>
    </row>
    <row r="2725" s="7" customFormat="1" spans="33:33">
      <c r="AG2725" s="8"/>
    </row>
    <row r="2726" s="7" customFormat="1" spans="33:33">
      <c r="AG2726" s="8"/>
    </row>
    <row r="2727" s="7" customFormat="1" spans="33:33">
      <c r="AG2727" s="8"/>
    </row>
    <row r="2728" s="7" customFormat="1" spans="33:33">
      <c r="AG2728" s="8"/>
    </row>
    <row r="2729" s="7" customFormat="1" spans="33:33">
      <c r="AG2729" s="8"/>
    </row>
    <row r="2730" s="7" customFormat="1" spans="33:33">
      <c r="AG2730" s="8"/>
    </row>
    <row r="2731" s="7" customFormat="1" spans="33:33">
      <c r="AG2731" s="8"/>
    </row>
    <row r="2732" s="7" customFormat="1" spans="33:33">
      <c r="AG2732" s="8"/>
    </row>
    <row r="2733" s="7" customFormat="1" spans="33:33">
      <c r="AG2733" s="8"/>
    </row>
    <row r="2734" s="7" customFormat="1" spans="33:33">
      <c r="AG2734" s="8"/>
    </row>
    <row r="2735" s="7" customFormat="1" spans="33:33">
      <c r="AG2735" s="8"/>
    </row>
    <row r="2736" s="7" customFormat="1" spans="33:33">
      <c r="AG2736" s="8"/>
    </row>
    <row r="2737" s="7" customFormat="1" spans="33:33">
      <c r="AG2737" s="8"/>
    </row>
    <row r="2738" s="7" customFormat="1" spans="33:33">
      <c r="AG2738" s="8"/>
    </row>
    <row r="2739" s="7" customFormat="1" spans="33:33">
      <c r="AG2739" s="8"/>
    </row>
    <row r="2740" s="7" customFormat="1" spans="33:33">
      <c r="AG2740" s="8"/>
    </row>
    <row r="2741" s="7" customFormat="1" spans="33:33">
      <c r="AG2741" s="8"/>
    </row>
    <row r="2742" s="7" customFormat="1" spans="33:33">
      <c r="AG2742" s="8"/>
    </row>
    <row r="2743" s="7" customFormat="1" spans="33:33">
      <c r="AG2743" s="8"/>
    </row>
    <row r="2744" s="7" customFormat="1" spans="33:33">
      <c r="AG2744" s="8"/>
    </row>
    <row r="2745" s="7" customFormat="1" spans="33:33">
      <c r="AG2745" s="8"/>
    </row>
    <row r="2746" s="7" customFormat="1" spans="33:33">
      <c r="AG2746" s="8"/>
    </row>
    <row r="2747" s="7" customFormat="1" spans="33:33">
      <c r="AG2747" s="8"/>
    </row>
    <row r="2748" s="7" customFormat="1" spans="33:33">
      <c r="AG2748" s="8"/>
    </row>
    <row r="2749" s="7" customFormat="1" spans="33:33">
      <c r="AG2749" s="8"/>
    </row>
    <row r="2750" s="7" customFormat="1" spans="33:33">
      <c r="AG2750" s="8"/>
    </row>
    <row r="2751" s="7" customFormat="1" spans="33:33">
      <c r="AG2751" s="8"/>
    </row>
    <row r="2752" s="7" customFormat="1" spans="33:33">
      <c r="AG2752" s="8"/>
    </row>
    <row r="2753" s="7" customFormat="1" spans="33:33">
      <c r="AG2753" s="8"/>
    </row>
    <row r="2754" s="7" customFormat="1" spans="33:33">
      <c r="AG2754" s="8"/>
    </row>
    <row r="2755" s="7" customFormat="1" spans="33:33">
      <c r="AG2755" s="8"/>
    </row>
    <row r="2756" s="7" customFormat="1" spans="33:33">
      <c r="AG2756" s="8"/>
    </row>
    <row r="2757" s="7" customFormat="1" spans="33:33">
      <c r="AG2757" s="8"/>
    </row>
    <row r="2758" s="7" customFormat="1" spans="33:33">
      <c r="AG2758" s="8"/>
    </row>
    <row r="2759" s="7" customFormat="1" spans="33:33">
      <c r="AG2759" s="8"/>
    </row>
    <row r="2760" s="7" customFormat="1" spans="33:33">
      <c r="AG2760" s="8"/>
    </row>
    <row r="2761" s="7" customFormat="1" spans="33:33">
      <c r="AG2761" s="8"/>
    </row>
    <row r="2762" s="7" customFormat="1" spans="33:33">
      <c r="AG2762" s="8"/>
    </row>
    <row r="2763" s="7" customFormat="1" spans="33:33">
      <c r="AG2763" s="8"/>
    </row>
    <row r="2764" s="7" customFormat="1" spans="33:33">
      <c r="AG2764" s="8"/>
    </row>
    <row r="2765" s="7" customFormat="1" spans="33:33">
      <c r="AG2765" s="8"/>
    </row>
    <row r="2766" s="7" customFormat="1" spans="33:33">
      <c r="AG2766" s="8"/>
    </row>
    <row r="2767" s="7" customFormat="1" spans="33:33">
      <c r="AG2767" s="8"/>
    </row>
    <row r="2768" s="7" customFormat="1" spans="33:33">
      <c r="AG2768" s="8"/>
    </row>
    <row r="2769" s="7" customFormat="1" spans="33:33">
      <c r="AG2769" s="8"/>
    </row>
    <row r="2770" s="7" customFormat="1" spans="33:33">
      <c r="AG2770" s="8"/>
    </row>
    <row r="2771" s="7" customFormat="1" spans="33:33">
      <c r="AG2771" s="8"/>
    </row>
    <row r="2772" s="7" customFormat="1" spans="33:33">
      <c r="AG2772" s="8"/>
    </row>
    <row r="2773" s="7" customFormat="1" spans="33:33">
      <c r="AG2773" s="8"/>
    </row>
    <row r="2774" s="7" customFormat="1" spans="33:33">
      <c r="AG2774" s="8"/>
    </row>
    <row r="2775" s="7" customFormat="1" spans="33:33">
      <c r="AG2775" s="8"/>
    </row>
    <row r="2776" s="7" customFormat="1" spans="33:33">
      <c r="AG2776" s="8"/>
    </row>
    <row r="2777" s="7" customFormat="1" spans="33:33">
      <c r="AG2777" s="8"/>
    </row>
    <row r="2778" s="7" customFormat="1" spans="33:33">
      <c r="AG2778" s="8"/>
    </row>
    <row r="2779" s="7" customFormat="1" spans="33:33">
      <c r="AG2779" s="8"/>
    </row>
    <row r="2780" s="7" customFormat="1" spans="33:33">
      <c r="AG2780" s="8"/>
    </row>
    <row r="2781" s="7" customFormat="1" spans="33:33">
      <c r="AG2781" s="8"/>
    </row>
    <row r="2782" s="7" customFormat="1" spans="33:33">
      <c r="AG2782" s="8"/>
    </row>
    <row r="2783" s="7" customFormat="1" spans="33:33">
      <c r="AG2783" s="8"/>
    </row>
    <row r="2784" s="7" customFormat="1" spans="33:33">
      <c r="AG2784" s="8"/>
    </row>
    <row r="2785" s="7" customFormat="1" spans="33:33">
      <c r="AG2785" s="8"/>
    </row>
    <row r="2786" s="7" customFormat="1" spans="33:33">
      <c r="AG2786" s="8"/>
    </row>
    <row r="2787" s="7" customFormat="1" spans="33:33">
      <c r="AG2787" s="8"/>
    </row>
    <row r="2788" s="7" customFormat="1" spans="33:33">
      <c r="AG2788" s="8"/>
    </row>
    <row r="2789" s="7" customFormat="1" spans="33:33">
      <c r="AG2789" s="8"/>
    </row>
    <row r="2790" s="7" customFormat="1" spans="33:33">
      <c r="AG2790" s="8"/>
    </row>
    <row r="2791" s="7" customFormat="1" spans="33:33">
      <c r="AG2791" s="8"/>
    </row>
    <row r="2792" s="7" customFormat="1" spans="33:33">
      <c r="AG2792" s="8"/>
    </row>
    <row r="2793" s="7" customFormat="1" spans="33:33">
      <c r="AG2793" s="8"/>
    </row>
    <row r="2794" s="7" customFormat="1" spans="33:33">
      <c r="AG2794" s="8"/>
    </row>
    <row r="2795" s="7" customFormat="1" spans="33:33">
      <c r="AG2795" s="8"/>
    </row>
    <row r="2796" s="7" customFormat="1" spans="33:33">
      <c r="AG2796" s="8"/>
    </row>
    <row r="2797" s="7" customFormat="1" spans="33:33">
      <c r="AG2797" s="8"/>
    </row>
    <row r="2798" s="7" customFormat="1" spans="33:33">
      <c r="AG2798" s="8"/>
    </row>
    <row r="2799" s="7" customFormat="1" spans="33:33">
      <c r="AG2799" s="8"/>
    </row>
    <row r="2800" s="7" customFormat="1" spans="33:33">
      <c r="AG2800" s="8"/>
    </row>
    <row r="2801" s="7" customFormat="1" spans="33:33">
      <c r="AG2801" s="8"/>
    </row>
    <row r="2802" s="7" customFormat="1" spans="33:33">
      <c r="AG2802" s="8"/>
    </row>
    <row r="2803" s="7" customFormat="1" spans="33:33">
      <c r="AG2803" s="8"/>
    </row>
    <row r="2804" s="7" customFormat="1" spans="33:33">
      <c r="AG2804" s="8"/>
    </row>
    <row r="2805" s="7" customFormat="1" spans="33:33">
      <c r="AG2805" s="8"/>
    </row>
    <row r="2806" s="7" customFormat="1" spans="33:33">
      <c r="AG2806" s="8"/>
    </row>
    <row r="2807" s="7" customFormat="1" spans="33:33">
      <c r="AG2807" s="8"/>
    </row>
    <row r="2808" s="7" customFormat="1" spans="33:33">
      <c r="AG2808" s="8"/>
    </row>
    <row r="2809" s="7" customFormat="1" spans="33:33">
      <c r="AG2809" s="8"/>
    </row>
    <row r="2810" s="7" customFormat="1" spans="33:33">
      <c r="AG2810" s="8"/>
    </row>
    <row r="2811" s="7" customFormat="1" spans="33:33">
      <c r="AG2811" s="8"/>
    </row>
    <row r="2812" s="7" customFormat="1" spans="33:33">
      <c r="AG2812" s="8"/>
    </row>
    <row r="2813" s="7" customFormat="1" spans="33:33">
      <c r="AG2813" s="8"/>
    </row>
    <row r="2814" s="7" customFormat="1" spans="33:33">
      <c r="AG2814" s="8"/>
    </row>
    <row r="2815" s="7" customFormat="1" spans="33:33">
      <c r="AG2815" s="8"/>
    </row>
    <row r="2816" s="7" customFormat="1" spans="33:33">
      <c r="AG2816" s="8"/>
    </row>
    <row r="2817" s="7" customFormat="1" spans="33:33">
      <c r="AG2817" s="8"/>
    </row>
    <row r="2818" s="7" customFormat="1" spans="33:33">
      <c r="AG2818" s="8"/>
    </row>
    <row r="2819" s="7" customFormat="1" spans="33:33">
      <c r="AG2819" s="8"/>
    </row>
    <row r="2820" s="7" customFormat="1" spans="33:33">
      <c r="AG2820" s="8"/>
    </row>
    <row r="2821" s="7" customFormat="1" spans="33:33">
      <c r="AG2821" s="8"/>
    </row>
    <row r="2822" s="7" customFormat="1" spans="33:33">
      <c r="AG2822" s="8"/>
    </row>
    <row r="2823" s="7" customFormat="1" spans="33:33">
      <c r="AG2823" s="8"/>
    </row>
    <row r="2824" s="7" customFormat="1" spans="33:33">
      <c r="AG2824" s="8"/>
    </row>
    <row r="2825" s="7" customFormat="1" spans="33:33">
      <c r="AG2825" s="8"/>
    </row>
    <row r="2826" s="7" customFormat="1" spans="33:33">
      <c r="AG2826" s="8"/>
    </row>
    <row r="2827" s="7" customFormat="1" spans="33:33">
      <c r="AG2827" s="8"/>
    </row>
    <row r="2828" s="7" customFormat="1" spans="33:33">
      <c r="AG2828" s="8"/>
    </row>
    <row r="2829" s="7" customFormat="1" spans="33:33">
      <c r="AG2829" s="8"/>
    </row>
    <row r="2830" s="7" customFormat="1" spans="33:33">
      <c r="AG2830" s="8"/>
    </row>
    <row r="2831" s="7" customFormat="1" spans="33:33">
      <c r="AG2831" s="8"/>
    </row>
    <row r="2832" s="7" customFormat="1" spans="33:33">
      <c r="AG2832" s="8"/>
    </row>
    <row r="2833" s="7" customFormat="1" spans="33:33">
      <c r="AG2833" s="8"/>
    </row>
    <row r="2834" s="7" customFormat="1" spans="33:33">
      <c r="AG2834" s="8"/>
    </row>
    <row r="2835" s="7" customFormat="1" spans="33:33">
      <c r="AG2835" s="8"/>
    </row>
    <row r="2836" s="7" customFormat="1" spans="33:33">
      <c r="AG2836" s="8"/>
    </row>
    <row r="2837" s="7" customFormat="1" spans="33:33">
      <c r="AG2837" s="8"/>
    </row>
    <row r="2838" s="7" customFormat="1" spans="33:33">
      <c r="AG2838" s="8"/>
    </row>
    <row r="2839" s="7" customFormat="1" spans="33:33">
      <c r="AG2839" s="8"/>
    </row>
    <row r="2840" s="7" customFormat="1" spans="33:33">
      <c r="AG2840" s="8"/>
    </row>
    <row r="2841" s="7" customFormat="1" spans="33:33">
      <c r="AG2841" s="8"/>
    </row>
    <row r="2842" s="7" customFormat="1" spans="33:33">
      <c r="AG2842" s="8"/>
    </row>
    <row r="2843" s="7" customFormat="1" spans="33:33">
      <c r="AG2843" s="8"/>
    </row>
    <row r="2844" s="7" customFormat="1" spans="33:33">
      <c r="AG2844" s="8"/>
    </row>
    <row r="2845" s="7" customFormat="1" spans="33:33">
      <c r="AG2845" s="8"/>
    </row>
    <row r="2846" s="7" customFormat="1" spans="33:33">
      <c r="AG2846" s="8"/>
    </row>
    <row r="2847" s="7" customFormat="1" spans="33:33">
      <c r="AG2847" s="8"/>
    </row>
    <row r="2848" s="7" customFormat="1" spans="33:33">
      <c r="AG2848" s="8"/>
    </row>
    <row r="2849" s="7" customFormat="1" spans="33:33">
      <c r="AG2849" s="8"/>
    </row>
    <row r="2850" s="7" customFormat="1" spans="33:33">
      <c r="AG2850" s="8"/>
    </row>
    <row r="2851" s="7" customFormat="1" spans="33:33">
      <c r="AG2851" s="8"/>
    </row>
    <row r="2852" s="7" customFormat="1" spans="33:33">
      <c r="AG2852" s="8"/>
    </row>
    <row r="2853" s="7" customFormat="1" spans="33:33">
      <c r="AG2853" s="8"/>
    </row>
    <row r="2854" s="7" customFormat="1" spans="33:33">
      <c r="AG2854" s="8"/>
    </row>
    <row r="2855" s="7" customFormat="1" spans="33:33">
      <c r="AG2855" s="8"/>
    </row>
    <row r="2856" s="7" customFormat="1" spans="33:33">
      <c r="AG2856" s="8"/>
    </row>
    <row r="2857" s="7" customFormat="1" spans="33:33">
      <c r="AG2857" s="8"/>
    </row>
    <row r="2858" s="7" customFormat="1" spans="33:33">
      <c r="AG2858" s="8"/>
    </row>
    <row r="2859" s="7" customFormat="1" spans="33:33">
      <c r="AG2859" s="8"/>
    </row>
    <row r="2860" s="7" customFormat="1" spans="33:33">
      <c r="AG2860" s="8"/>
    </row>
    <row r="2861" s="7" customFormat="1" spans="33:33">
      <c r="AG2861" s="8"/>
    </row>
    <row r="2862" s="7" customFormat="1" spans="33:33">
      <c r="AG2862" s="8"/>
    </row>
    <row r="2863" s="7" customFormat="1" spans="33:33">
      <c r="AG2863" s="8"/>
    </row>
    <row r="2864" s="7" customFormat="1" spans="33:33">
      <c r="AG2864" s="8"/>
    </row>
    <row r="2865" s="7" customFormat="1" spans="33:33">
      <c r="AG2865" s="8"/>
    </row>
    <row r="2866" s="7" customFormat="1" spans="33:33">
      <c r="AG2866" s="8"/>
    </row>
    <row r="2867" s="7" customFormat="1" spans="33:33">
      <c r="AG2867" s="8"/>
    </row>
    <row r="2868" s="7" customFormat="1" spans="33:33">
      <c r="AG2868" s="8"/>
    </row>
    <row r="2869" s="7" customFormat="1" spans="33:33">
      <c r="AG2869" s="8"/>
    </row>
    <row r="2870" s="7" customFormat="1" spans="33:33">
      <c r="AG2870" s="8"/>
    </row>
    <row r="2871" s="7" customFormat="1" spans="33:33">
      <c r="AG2871" s="8"/>
    </row>
    <row r="2872" s="7" customFormat="1" spans="33:33">
      <c r="AG2872" s="8"/>
    </row>
    <row r="2873" s="7" customFormat="1" spans="33:33">
      <c r="AG2873" s="8"/>
    </row>
    <row r="2874" s="7" customFormat="1" spans="33:33">
      <c r="AG2874" s="8"/>
    </row>
    <row r="2875" s="7" customFormat="1" spans="33:33">
      <c r="AG2875" s="8"/>
    </row>
    <row r="2876" s="7" customFormat="1" spans="33:33">
      <c r="AG2876" s="8"/>
    </row>
    <row r="2877" s="7" customFormat="1" spans="33:33">
      <c r="AG2877" s="8"/>
    </row>
    <row r="2878" s="7" customFormat="1" spans="33:33">
      <c r="AG2878" s="8"/>
    </row>
    <row r="2879" s="7" customFormat="1" spans="33:33">
      <c r="AG2879" s="8"/>
    </row>
    <row r="2880" s="7" customFormat="1" spans="33:33">
      <c r="AG2880" s="8"/>
    </row>
    <row r="2881" s="7" customFormat="1" spans="33:33">
      <c r="AG2881" s="8"/>
    </row>
    <row r="2882" s="7" customFormat="1" spans="33:33">
      <c r="AG2882" s="8"/>
    </row>
    <row r="2883" s="7" customFormat="1" spans="33:33">
      <c r="AG2883" s="8"/>
    </row>
    <row r="2884" s="7" customFormat="1" spans="33:33">
      <c r="AG2884" s="8"/>
    </row>
    <row r="2885" s="7" customFormat="1" spans="33:33">
      <c r="AG2885" s="8"/>
    </row>
    <row r="2886" s="7" customFormat="1" spans="33:33">
      <c r="AG2886" s="8"/>
    </row>
    <row r="2887" s="7" customFormat="1" spans="33:33">
      <c r="AG2887" s="8"/>
    </row>
    <row r="2888" s="7" customFormat="1" spans="33:33">
      <c r="AG2888" s="8"/>
    </row>
    <row r="2889" s="7" customFormat="1" spans="33:33">
      <c r="AG2889" s="8"/>
    </row>
    <row r="2890" s="7" customFormat="1" spans="33:33">
      <c r="AG2890" s="8"/>
    </row>
    <row r="2891" s="7" customFormat="1" spans="33:33">
      <c r="AG2891" s="8"/>
    </row>
    <row r="2892" s="7" customFormat="1" spans="33:33">
      <c r="AG2892" s="8"/>
    </row>
    <row r="2893" s="7" customFormat="1" spans="33:33">
      <c r="AG2893" s="8"/>
    </row>
    <row r="2894" s="7" customFormat="1" spans="33:33">
      <c r="AG2894" s="8"/>
    </row>
    <row r="2895" s="7" customFormat="1" spans="33:33">
      <c r="AG2895" s="8"/>
    </row>
    <row r="2896" s="7" customFormat="1" spans="33:33">
      <c r="AG2896" s="8"/>
    </row>
    <row r="2897" s="7" customFormat="1" spans="33:33">
      <c r="AG2897" s="8"/>
    </row>
    <row r="2898" s="7" customFormat="1" spans="33:33">
      <c r="AG2898" s="8"/>
    </row>
    <row r="2899" s="7" customFormat="1" spans="33:33">
      <c r="AG2899" s="8"/>
    </row>
    <row r="2900" s="7" customFormat="1" spans="33:33">
      <c r="AG2900" s="8"/>
    </row>
    <row r="2901" s="7" customFormat="1" spans="33:33">
      <c r="AG2901" s="8"/>
    </row>
    <row r="2902" s="7" customFormat="1" spans="33:33">
      <c r="AG2902" s="8"/>
    </row>
    <row r="2903" s="7" customFormat="1" spans="33:33">
      <c r="AG2903" s="8"/>
    </row>
    <row r="2904" s="7" customFormat="1" spans="33:33">
      <c r="AG2904" s="8"/>
    </row>
    <row r="2905" s="7" customFormat="1" spans="33:33">
      <c r="AG2905" s="8"/>
    </row>
    <row r="2906" s="7" customFormat="1" spans="33:33">
      <c r="AG2906" s="8"/>
    </row>
    <row r="2907" s="7" customFormat="1" spans="33:33">
      <c r="AG2907" s="8"/>
    </row>
    <row r="2908" s="7" customFormat="1" spans="33:33">
      <c r="AG2908" s="8"/>
    </row>
    <row r="2909" s="7" customFormat="1" spans="33:33">
      <c r="AG2909" s="8"/>
    </row>
    <row r="2910" s="7" customFormat="1" spans="33:33">
      <c r="AG2910" s="8"/>
    </row>
    <row r="2911" s="7" customFormat="1" spans="33:33">
      <c r="AG2911" s="8"/>
    </row>
    <row r="2912" s="7" customFormat="1" spans="33:33">
      <c r="AG2912" s="8"/>
    </row>
    <row r="2913" s="7" customFormat="1" spans="33:33">
      <c r="AG2913" s="8"/>
    </row>
    <row r="2914" s="7" customFormat="1" spans="33:33">
      <c r="AG2914" s="8"/>
    </row>
    <row r="2915" s="7" customFormat="1" spans="33:33">
      <c r="AG2915" s="8"/>
    </row>
    <row r="2916" s="7" customFormat="1" spans="33:33">
      <c r="AG2916" s="8"/>
    </row>
    <row r="2917" s="7" customFormat="1" spans="33:33">
      <c r="AG2917" s="8"/>
    </row>
    <row r="2918" s="7" customFormat="1" spans="33:33">
      <c r="AG2918" s="8"/>
    </row>
    <row r="2919" s="7" customFormat="1" spans="33:33">
      <c r="AG2919" s="8"/>
    </row>
    <row r="2920" s="7" customFormat="1" spans="33:33">
      <c r="AG2920" s="8"/>
    </row>
    <row r="2921" s="7" customFormat="1" spans="33:33">
      <c r="AG2921" s="8"/>
    </row>
    <row r="2922" s="7" customFormat="1" spans="33:33">
      <c r="AG2922" s="8"/>
    </row>
    <row r="2923" s="7" customFormat="1" spans="33:33">
      <c r="AG2923" s="8"/>
    </row>
    <row r="2924" s="7" customFormat="1" spans="33:33">
      <c r="AG2924" s="8"/>
    </row>
    <row r="2925" s="7" customFormat="1" spans="33:33">
      <c r="AG2925" s="8"/>
    </row>
    <row r="2926" s="7" customFormat="1" spans="33:33">
      <c r="AG2926" s="8"/>
    </row>
    <row r="2927" s="7" customFormat="1" spans="33:33">
      <c r="AG2927" s="8"/>
    </row>
    <row r="2928" s="7" customFormat="1" spans="33:33">
      <c r="AG2928" s="8"/>
    </row>
    <row r="2929" s="7" customFormat="1" spans="33:33">
      <c r="AG2929" s="8"/>
    </row>
    <row r="2930" s="7" customFormat="1" spans="33:33">
      <c r="AG2930" s="8"/>
    </row>
    <row r="2931" s="7" customFormat="1" spans="33:33">
      <c r="AG2931" s="8"/>
    </row>
    <row r="2932" s="7" customFormat="1" spans="33:33">
      <c r="AG2932" s="8"/>
    </row>
    <row r="2933" s="7" customFormat="1" spans="33:33">
      <c r="AG2933" s="8"/>
    </row>
    <row r="2934" s="7" customFormat="1" spans="33:33">
      <c r="AG2934" s="8"/>
    </row>
    <row r="2935" s="7" customFormat="1" spans="33:33">
      <c r="AG2935" s="8"/>
    </row>
    <row r="2936" s="7" customFormat="1" spans="33:33">
      <c r="AG2936" s="8"/>
    </row>
    <row r="2937" s="7" customFormat="1" spans="33:33">
      <c r="AG2937" s="8"/>
    </row>
    <row r="2938" s="7" customFormat="1" spans="33:33">
      <c r="AG2938" s="8"/>
    </row>
    <row r="2939" s="7" customFormat="1" spans="33:33">
      <c r="AG2939" s="8"/>
    </row>
    <row r="2940" s="7" customFormat="1" spans="33:33">
      <c r="AG2940" s="8"/>
    </row>
    <row r="2941" s="7" customFormat="1" spans="33:33">
      <c r="AG2941" s="8"/>
    </row>
    <row r="2942" s="7" customFormat="1" spans="33:33">
      <c r="AG2942" s="8"/>
    </row>
    <row r="2943" s="7" customFormat="1" spans="33:33">
      <c r="AG2943" s="8"/>
    </row>
    <row r="2944" s="7" customFormat="1" spans="33:33">
      <c r="AG2944" s="8"/>
    </row>
    <row r="2945" s="7" customFormat="1" spans="33:33">
      <c r="AG2945" s="8"/>
    </row>
    <row r="2946" s="7" customFormat="1" spans="33:33">
      <c r="AG2946" s="8"/>
    </row>
    <row r="2947" s="7" customFormat="1" spans="33:33">
      <c r="AG2947" s="8"/>
    </row>
    <row r="2948" s="7" customFormat="1" spans="33:33">
      <c r="AG2948" s="8"/>
    </row>
    <row r="2949" s="7" customFormat="1" spans="33:33">
      <c r="AG2949" s="8"/>
    </row>
    <row r="2950" s="7" customFormat="1" spans="33:33">
      <c r="AG2950" s="8"/>
    </row>
    <row r="2951" s="7" customFormat="1" spans="33:33">
      <c r="AG2951" s="8"/>
    </row>
    <row r="2952" s="7" customFormat="1" spans="33:33">
      <c r="AG2952" s="8"/>
    </row>
    <row r="2953" s="7" customFormat="1" spans="33:33">
      <c r="AG2953" s="8"/>
    </row>
    <row r="2954" s="7" customFormat="1" spans="33:33">
      <c r="AG2954" s="8"/>
    </row>
    <row r="2955" s="7" customFormat="1" spans="33:33">
      <c r="AG2955" s="8"/>
    </row>
    <row r="2956" s="7" customFormat="1" spans="33:33">
      <c r="AG2956" s="8"/>
    </row>
    <row r="2957" s="7" customFormat="1" spans="33:33">
      <c r="AG2957" s="8"/>
    </row>
    <row r="2958" s="7" customFormat="1" spans="33:33">
      <c r="AG2958" s="8"/>
    </row>
    <row r="2959" s="7" customFormat="1" spans="33:33">
      <c r="AG2959" s="8"/>
    </row>
    <row r="2960" s="7" customFormat="1" spans="33:33">
      <c r="AG2960" s="8"/>
    </row>
    <row r="2961" s="7" customFormat="1" spans="33:33">
      <c r="AG2961" s="8"/>
    </row>
    <row r="2962" s="7" customFormat="1" spans="33:33">
      <c r="AG2962" s="8"/>
    </row>
    <row r="2963" s="7" customFormat="1" spans="33:33">
      <c r="AG2963" s="8"/>
    </row>
    <row r="2964" s="7" customFormat="1" spans="33:33">
      <c r="AG2964" s="8"/>
    </row>
    <row r="2965" s="7" customFormat="1" spans="33:33">
      <c r="AG2965" s="8"/>
    </row>
    <row r="2966" s="7" customFormat="1" spans="33:33">
      <c r="AG2966" s="8"/>
    </row>
    <row r="2967" s="7" customFormat="1" spans="33:33">
      <c r="AG2967" s="8"/>
    </row>
    <row r="2968" s="7" customFormat="1" spans="33:33">
      <c r="AG2968" s="8"/>
    </row>
    <row r="2969" s="7" customFormat="1" spans="33:33">
      <c r="AG2969" s="8"/>
    </row>
    <row r="2970" s="7" customFormat="1" spans="33:33">
      <c r="AG2970" s="8"/>
    </row>
    <row r="2971" s="7" customFormat="1" spans="33:33">
      <c r="AG2971" s="8"/>
    </row>
    <row r="2972" s="7" customFormat="1" spans="33:33">
      <c r="AG2972" s="8"/>
    </row>
    <row r="2973" s="7" customFormat="1" spans="33:33">
      <c r="AG2973" s="8"/>
    </row>
    <row r="2974" s="7" customFormat="1" spans="33:33">
      <c r="AG2974" s="8"/>
    </row>
    <row r="2975" s="7" customFormat="1" spans="33:33">
      <c r="AG2975" s="8"/>
    </row>
    <row r="2976" s="7" customFormat="1" spans="33:33">
      <c r="AG2976" s="8"/>
    </row>
    <row r="2977" s="7" customFormat="1" spans="33:33">
      <c r="AG2977" s="8"/>
    </row>
    <row r="2978" s="7" customFormat="1" spans="33:33">
      <c r="AG2978" s="8"/>
    </row>
    <row r="2979" s="7" customFormat="1" spans="33:33">
      <c r="AG2979" s="8"/>
    </row>
    <row r="2980" s="7" customFormat="1" spans="33:33">
      <c r="AG2980" s="8"/>
    </row>
    <row r="2981" s="7" customFormat="1" spans="33:33">
      <c r="AG2981" s="8"/>
    </row>
    <row r="2982" s="7" customFormat="1" spans="33:33">
      <c r="AG2982" s="8"/>
    </row>
    <row r="2983" s="7" customFormat="1" spans="33:33">
      <c r="AG2983" s="8"/>
    </row>
    <row r="2984" s="7" customFormat="1" spans="33:33">
      <c r="AG2984" s="8"/>
    </row>
    <row r="2985" s="7" customFormat="1" spans="33:33">
      <c r="AG2985" s="8"/>
    </row>
    <row r="2986" s="7" customFormat="1" spans="33:33">
      <c r="AG2986" s="8"/>
    </row>
    <row r="2987" s="7" customFormat="1" spans="33:33">
      <c r="AG2987" s="8"/>
    </row>
    <row r="2988" s="7" customFormat="1" spans="33:33">
      <c r="AG2988" s="8"/>
    </row>
    <row r="2989" s="7" customFormat="1" spans="33:33">
      <c r="AG2989" s="8"/>
    </row>
    <row r="2990" s="7" customFormat="1" spans="33:33">
      <c r="AG2990" s="8"/>
    </row>
    <row r="2991" s="7" customFormat="1" spans="33:33">
      <c r="AG2991" s="8"/>
    </row>
    <row r="2992" s="7" customFormat="1" spans="33:33">
      <c r="AG2992" s="8"/>
    </row>
    <row r="2993" s="7" customFormat="1" spans="33:33">
      <c r="AG2993" s="8"/>
    </row>
    <row r="2994" s="7" customFormat="1" spans="33:33">
      <c r="AG2994" s="8"/>
    </row>
    <row r="2995" s="7" customFormat="1" spans="33:33">
      <c r="AG2995" s="8"/>
    </row>
    <row r="2996" s="7" customFormat="1" spans="33:33">
      <c r="AG2996" s="8"/>
    </row>
    <row r="2997" s="7" customFormat="1" spans="33:33">
      <c r="AG2997" s="8"/>
    </row>
    <row r="2998" s="7" customFormat="1" spans="33:33">
      <c r="AG2998" s="8"/>
    </row>
    <row r="2999" s="7" customFormat="1" spans="33:33">
      <c r="AG2999" s="8"/>
    </row>
    <row r="3000" s="7" customFormat="1" spans="33:33">
      <c r="AG3000" s="8"/>
    </row>
    <row r="3001" s="7" customFormat="1" spans="33:33">
      <c r="AG3001" s="8"/>
    </row>
    <row r="3002" s="7" customFormat="1" spans="33:33">
      <c r="AG3002" s="8"/>
    </row>
    <row r="3003" s="7" customFormat="1" spans="33:33">
      <c r="AG3003" s="8"/>
    </row>
    <row r="3004" s="7" customFormat="1" spans="33:33">
      <c r="AG3004" s="8"/>
    </row>
    <row r="3005" s="7" customFormat="1" spans="33:33">
      <c r="AG3005" s="8"/>
    </row>
    <row r="3006" s="7" customFormat="1" spans="33:33">
      <c r="AG3006" s="8"/>
    </row>
    <row r="3007" s="7" customFormat="1" spans="33:33">
      <c r="AG3007" s="8"/>
    </row>
    <row r="3008" s="7" customFormat="1" spans="33:33">
      <c r="AG3008" s="8"/>
    </row>
    <row r="3009" s="7" customFormat="1" spans="33:33">
      <c r="AG3009" s="8"/>
    </row>
    <row r="3010" s="7" customFormat="1" spans="33:33">
      <c r="AG3010" s="8"/>
    </row>
    <row r="3011" s="7" customFormat="1" spans="33:33">
      <c r="AG3011" s="8"/>
    </row>
    <row r="3012" s="7" customFormat="1" spans="33:33">
      <c r="AG3012" s="8"/>
    </row>
    <row r="3013" s="7" customFormat="1" spans="33:33">
      <c r="AG3013" s="8"/>
    </row>
    <row r="3014" s="7" customFormat="1" spans="33:33">
      <c r="AG3014" s="8"/>
    </row>
    <row r="3015" s="7" customFormat="1" spans="33:33">
      <c r="AG3015" s="8"/>
    </row>
    <row r="3016" s="7" customFormat="1" spans="33:33">
      <c r="AG3016" s="8"/>
    </row>
    <row r="3017" s="7" customFormat="1" spans="33:33">
      <c r="AG3017" s="8"/>
    </row>
    <row r="3018" s="7" customFormat="1" spans="33:33">
      <c r="AG3018" s="8"/>
    </row>
    <row r="3019" s="7" customFormat="1" spans="33:33">
      <c r="AG3019" s="8"/>
    </row>
    <row r="3020" s="7" customFormat="1" spans="33:33">
      <c r="AG3020" s="8"/>
    </row>
    <row r="3021" s="7" customFormat="1" spans="33:33">
      <c r="AG3021" s="8"/>
    </row>
    <row r="3022" s="7" customFormat="1" spans="33:33">
      <c r="AG3022" s="8"/>
    </row>
    <row r="3023" s="7" customFormat="1" spans="33:33">
      <c r="AG3023" s="8"/>
    </row>
    <row r="3024" s="7" customFormat="1" spans="33:33">
      <c r="AG3024" s="8"/>
    </row>
    <row r="3025" s="7" customFormat="1" spans="33:33">
      <c r="AG3025" s="8"/>
    </row>
    <row r="3026" s="7" customFormat="1" spans="33:33">
      <c r="AG3026" s="8"/>
    </row>
    <row r="3027" s="7" customFormat="1" spans="33:33">
      <c r="AG3027" s="8"/>
    </row>
    <row r="3028" s="7" customFormat="1" spans="33:33">
      <c r="AG3028" s="8"/>
    </row>
    <row r="3029" s="7" customFormat="1" spans="33:33">
      <c r="AG3029" s="8"/>
    </row>
    <row r="3030" s="7" customFormat="1" spans="33:33">
      <c r="AG3030" s="8"/>
    </row>
    <row r="3031" s="7" customFormat="1" spans="33:33">
      <c r="AG3031" s="8"/>
    </row>
    <row r="3032" s="7" customFormat="1" spans="33:33">
      <c r="AG3032" s="8"/>
    </row>
    <row r="3033" s="7" customFormat="1" spans="33:33">
      <c r="AG3033" s="8"/>
    </row>
    <row r="3034" s="7" customFormat="1" spans="33:33">
      <c r="AG3034" s="8"/>
    </row>
    <row r="3035" s="7" customFormat="1" spans="33:33">
      <c r="AG3035" s="8"/>
    </row>
    <row r="3036" s="7" customFormat="1" spans="33:33">
      <c r="AG3036" s="8"/>
    </row>
    <row r="3037" s="7" customFormat="1" spans="33:33">
      <c r="AG3037" s="8"/>
    </row>
    <row r="3038" s="7" customFormat="1" spans="33:33">
      <c r="AG3038" s="8"/>
    </row>
    <row r="3039" s="7" customFormat="1" spans="33:33">
      <c r="AG3039" s="8"/>
    </row>
    <row r="3040" s="7" customFormat="1" spans="33:33">
      <c r="AG3040" s="8"/>
    </row>
    <row r="3041" s="7" customFormat="1" spans="33:33">
      <c r="AG3041" s="8"/>
    </row>
    <row r="3042" s="7" customFormat="1" spans="33:33">
      <c r="AG3042" s="8"/>
    </row>
    <row r="3043" s="7" customFormat="1" spans="33:33">
      <c r="AG3043" s="8"/>
    </row>
    <row r="3044" s="7" customFormat="1" spans="33:33">
      <c r="AG3044" s="8"/>
    </row>
    <row r="3045" s="7" customFormat="1" spans="33:33">
      <c r="AG3045" s="8"/>
    </row>
    <row r="3046" s="7" customFormat="1" spans="33:33">
      <c r="AG3046" s="8"/>
    </row>
    <row r="3047" s="7" customFormat="1" spans="33:33">
      <c r="AG3047" s="8"/>
    </row>
    <row r="3048" s="7" customFormat="1" spans="33:33">
      <c r="AG3048" s="8"/>
    </row>
    <row r="3049" s="7" customFormat="1" spans="33:33">
      <c r="AG3049" s="8"/>
    </row>
    <row r="3050" s="7" customFormat="1" spans="33:33">
      <c r="AG3050" s="8"/>
    </row>
    <row r="3051" s="7" customFormat="1" spans="33:33">
      <c r="AG3051" s="8"/>
    </row>
    <row r="3052" s="7" customFormat="1" spans="33:33">
      <c r="AG3052" s="8"/>
    </row>
    <row r="3053" s="7" customFormat="1" spans="33:33">
      <c r="AG3053" s="8"/>
    </row>
    <row r="3054" s="7" customFormat="1" spans="33:33">
      <c r="AG3054" s="8"/>
    </row>
    <row r="3055" s="7" customFormat="1" spans="33:33">
      <c r="AG3055" s="8"/>
    </row>
    <row r="3056" s="7" customFormat="1" spans="33:33">
      <c r="AG3056" s="8"/>
    </row>
    <row r="3057" s="7" customFormat="1" spans="33:33">
      <c r="AG3057" s="8"/>
    </row>
    <row r="3058" s="7" customFormat="1" spans="33:33">
      <c r="AG3058" s="8"/>
    </row>
    <row r="3059" s="7" customFormat="1" spans="33:33">
      <c r="AG3059" s="8"/>
    </row>
    <row r="3060" s="7" customFormat="1" spans="33:33">
      <c r="AG3060" s="8"/>
    </row>
    <row r="3061" s="7" customFormat="1" spans="33:33">
      <c r="AG3061" s="8"/>
    </row>
    <row r="3062" s="7" customFormat="1" spans="33:33">
      <c r="AG3062" s="8"/>
    </row>
    <row r="3063" s="7" customFormat="1" spans="33:33">
      <c r="AG3063" s="8"/>
    </row>
    <row r="3064" s="7" customFormat="1" spans="33:33">
      <c r="AG3064" s="8"/>
    </row>
    <row r="3065" s="7" customFormat="1" spans="33:33">
      <c r="AG3065" s="8"/>
    </row>
    <row r="3066" s="7" customFormat="1" spans="33:33">
      <c r="AG3066" s="8"/>
    </row>
    <row r="3067" s="7" customFormat="1" spans="33:33">
      <c r="AG3067" s="8"/>
    </row>
    <row r="3068" s="7" customFormat="1" spans="33:33">
      <c r="AG3068" s="8"/>
    </row>
    <row r="3069" s="7" customFormat="1" spans="33:33">
      <c r="AG3069" s="8"/>
    </row>
    <row r="3070" s="7" customFormat="1" spans="33:33">
      <c r="AG3070" s="8"/>
    </row>
    <row r="3071" s="7" customFormat="1" spans="33:33">
      <c r="AG3071" s="8"/>
    </row>
    <row r="3072" s="7" customFormat="1" spans="33:33">
      <c r="AG3072" s="8"/>
    </row>
    <row r="3073" s="7" customFormat="1" spans="33:33">
      <c r="AG3073" s="8"/>
    </row>
    <row r="3074" s="7" customFormat="1" spans="33:33">
      <c r="AG3074" s="8"/>
    </row>
    <row r="3075" s="7" customFormat="1" spans="33:33">
      <c r="AG3075" s="8"/>
    </row>
    <row r="3076" s="7" customFormat="1" spans="33:33">
      <c r="AG3076" s="8"/>
    </row>
    <row r="3077" s="7" customFormat="1" spans="33:33">
      <c r="AG3077" s="8"/>
    </row>
    <row r="3078" s="7" customFormat="1" spans="33:33">
      <c r="AG3078" s="8"/>
    </row>
    <row r="3079" s="7" customFormat="1" spans="33:33">
      <c r="AG3079" s="8"/>
    </row>
    <row r="3080" s="7" customFormat="1" spans="33:33">
      <c r="AG3080" s="8"/>
    </row>
    <row r="3081" s="7" customFormat="1" spans="33:33">
      <c r="AG3081" s="8"/>
    </row>
    <row r="3082" s="7" customFormat="1" spans="33:33">
      <c r="AG3082" s="8"/>
    </row>
    <row r="3083" s="7" customFormat="1" spans="33:33">
      <c r="AG3083" s="8"/>
    </row>
    <row r="3084" s="7" customFormat="1" spans="33:33">
      <c r="AG3084" s="8"/>
    </row>
    <row r="3085" s="7" customFormat="1" spans="33:33">
      <c r="AG3085" s="8"/>
    </row>
    <row r="3086" s="7" customFormat="1" spans="33:33">
      <c r="AG3086" s="8"/>
    </row>
    <row r="3087" s="7" customFormat="1" spans="33:33">
      <c r="AG3087" s="8"/>
    </row>
    <row r="3088" s="7" customFormat="1" spans="33:33">
      <c r="AG3088" s="8"/>
    </row>
    <row r="3089" s="7" customFormat="1" spans="33:33">
      <c r="AG3089" s="8"/>
    </row>
    <row r="3090" s="7" customFormat="1" spans="33:33">
      <c r="AG3090" s="8"/>
    </row>
    <row r="3091" s="7" customFormat="1" spans="33:33">
      <c r="AG3091" s="8"/>
    </row>
    <row r="3092" s="7" customFormat="1" spans="33:33">
      <c r="AG3092" s="8"/>
    </row>
    <row r="3093" s="7" customFormat="1" spans="33:33">
      <c r="AG3093" s="8"/>
    </row>
    <row r="3094" s="7" customFormat="1" spans="33:33">
      <c r="AG3094" s="8"/>
    </row>
    <row r="3095" s="7" customFormat="1" spans="33:33">
      <c r="AG3095" s="8"/>
    </row>
    <row r="3096" s="7" customFormat="1" spans="33:33">
      <c r="AG3096" s="8"/>
    </row>
    <row r="3097" s="7" customFormat="1" spans="33:33">
      <c r="AG3097" s="8"/>
    </row>
    <row r="3098" s="7" customFormat="1" spans="33:33">
      <c r="AG3098" s="8"/>
    </row>
    <row r="3099" s="7" customFormat="1" spans="33:33">
      <c r="AG3099" s="8"/>
    </row>
    <row r="3100" s="7" customFormat="1" spans="33:33">
      <c r="AG3100" s="8"/>
    </row>
    <row r="3101" s="7" customFormat="1" spans="33:33">
      <c r="AG3101" s="8"/>
    </row>
    <row r="3102" s="7" customFormat="1" spans="33:33">
      <c r="AG3102" s="8"/>
    </row>
    <row r="3103" s="7" customFormat="1" spans="33:33">
      <c r="AG3103" s="8"/>
    </row>
    <row r="3104" s="7" customFormat="1" spans="33:33">
      <c r="AG3104" s="8"/>
    </row>
    <row r="3105" s="7" customFormat="1" spans="33:33">
      <c r="AG3105" s="8"/>
    </row>
    <row r="3106" s="7" customFormat="1" spans="33:33">
      <c r="AG3106" s="8"/>
    </row>
    <row r="3107" s="7" customFormat="1" spans="33:33">
      <c r="AG3107" s="8"/>
    </row>
    <row r="3108" s="7" customFormat="1" spans="33:33">
      <c r="AG3108" s="8"/>
    </row>
    <row r="3109" s="7" customFormat="1" spans="33:33">
      <c r="AG3109" s="8"/>
    </row>
    <row r="3110" s="7" customFormat="1" spans="33:33">
      <c r="AG3110" s="8"/>
    </row>
    <row r="3111" s="7" customFormat="1" spans="33:33">
      <c r="AG3111" s="8"/>
    </row>
    <row r="3112" s="7" customFormat="1" spans="33:33">
      <c r="AG3112" s="8"/>
    </row>
    <row r="3113" s="7" customFormat="1" spans="33:33">
      <c r="AG3113" s="8"/>
    </row>
    <row r="3114" s="7" customFormat="1" spans="33:33">
      <c r="AG3114" s="8"/>
    </row>
    <row r="3115" s="7" customFormat="1" spans="33:33">
      <c r="AG3115" s="8"/>
    </row>
    <row r="3116" s="7" customFormat="1" spans="33:33">
      <c r="AG3116" s="8"/>
    </row>
    <row r="3117" s="7" customFormat="1" spans="33:33">
      <c r="AG3117" s="8"/>
    </row>
    <row r="3118" s="7" customFormat="1" spans="33:33">
      <c r="AG3118" s="8"/>
    </row>
    <row r="3119" s="7" customFormat="1" spans="33:33">
      <c r="AG3119" s="8"/>
    </row>
    <row r="3120" s="7" customFormat="1" spans="33:33">
      <c r="AG3120" s="8"/>
    </row>
    <row r="3121" s="7" customFormat="1" spans="33:33">
      <c r="AG3121" s="8"/>
    </row>
    <row r="3122" s="7" customFormat="1" spans="33:33">
      <c r="AG3122" s="8"/>
    </row>
    <row r="3123" s="7" customFormat="1" spans="33:33">
      <c r="AG3123" s="8"/>
    </row>
    <row r="3124" s="7" customFormat="1" spans="33:33">
      <c r="AG3124" s="8"/>
    </row>
    <row r="3125" s="7" customFormat="1" spans="33:33">
      <c r="AG3125" s="8"/>
    </row>
    <row r="3126" s="7" customFormat="1" spans="33:33">
      <c r="AG3126" s="8"/>
    </row>
    <row r="3127" s="7" customFormat="1" spans="33:33">
      <c r="AG3127" s="8"/>
    </row>
    <row r="3128" s="7" customFormat="1" spans="33:33">
      <c r="AG3128" s="8"/>
    </row>
    <row r="3129" s="7" customFormat="1" spans="33:33">
      <c r="AG3129" s="8"/>
    </row>
    <row r="3130" s="7" customFormat="1" spans="33:33">
      <c r="AG3130" s="8"/>
    </row>
    <row r="3131" s="7" customFormat="1" spans="33:33">
      <c r="AG3131" s="8"/>
    </row>
    <row r="3132" s="7" customFormat="1" spans="33:33">
      <c r="AG3132" s="8"/>
    </row>
    <row r="3133" s="7" customFormat="1" spans="33:33">
      <c r="AG3133" s="8"/>
    </row>
    <row r="3134" s="7" customFormat="1" spans="33:33">
      <c r="AG3134" s="8"/>
    </row>
    <row r="3135" s="7" customFormat="1" spans="33:33">
      <c r="AG3135" s="8"/>
    </row>
    <row r="3136" s="7" customFormat="1" spans="33:33">
      <c r="AG3136" s="8"/>
    </row>
    <row r="3137" s="7" customFormat="1" spans="33:33">
      <c r="AG3137" s="8"/>
    </row>
    <row r="3138" s="7" customFormat="1" spans="33:33">
      <c r="AG3138" s="8"/>
    </row>
    <row r="3139" s="7" customFormat="1" spans="33:33">
      <c r="AG3139" s="8"/>
    </row>
    <row r="3140" s="7" customFormat="1" spans="33:33">
      <c r="AG3140" s="8"/>
    </row>
    <row r="3141" s="7" customFormat="1" spans="33:33">
      <c r="AG3141" s="8"/>
    </row>
    <row r="3142" s="7" customFormat="1" spans="33:33">
      <c r="AG3142" s="8"/>
    </row>
    <row r="3143" s="7" customFormat="1" spans="33:33">
      <c r="AG3143" s="8"/>
    </row>
    <row r="3144" s="7" customFormat="1" spans="33:33">
      <c r="AG3144" s="8"/>
    </row>
    <row r="3145" s="7" customFormat="1" spans="33:33">
      <c r="AG3145" s="8"/>
    </row>
    <row r="3146" s="7" customFormat="1" spans="33:33">
      <c r="AG3146" s="8"/>
    </row>
    <row r="3147" s="7" customFormat="1" spans="33:33">
      <c r="AG3147" s="8"/>
    </row>
    <row r="3148" s="7" customFormat="1" spans="33:33">
      <c r="AG3148" s="8"/>
    </row>
    <row r="3149" s="7" customFormat="1" spans="33:33">
      <c r="AG3149" s="8"/>
    </row>
    <row r="3150" s="7" customFormat="1" spans="33:33">
      <c r="AG3150" s="8"/>
    </row>
    <row r="3151" s="7" customFormat="1" spans="33:33">
      <c r="AG3151" s="8"/>
    </row>
    <row r="3152" s="7" customFormat="1" spans="33:33">
      <c r="AG3152" s="8"/>
    </row>
    <row r="3153" s="7" customFormat="1" spans="33:33">
      <c r="AG3153" s="8"/>
    </row>
    <row r="3154" s="7" customFormat="1" spans="33:33">
      <c r="AG3154" s="8"/>
    </row>
    <row r="3155" s="7" customFormat="1" spans="33:33">
      <c r="AG3155" s="8"/>
    </row>
    <row r="3156" s="7" customFormat="1" spans="33:33">
      <c r="AG3156" s="8"/>
    </row>
    <row r="3157" s="7" customFormat="1" spans="33:33">
      <c r="AG3157" s="8"/>
    </row>
    <row r="3158" s="7" customFormat="1" spans="33:33">
      <c r="AG3158" s="8"/>
    </row>
    <row r="3159" s="7" customFormat="1" spans="33:33">
      <c r="AG3159" s="8"/>
    </row>
    <row r="3160" s="7" customFormat="1" spans="33:33">
      <c r="AG3160" s="8"/>
    </row>
    <row r="3161" s="7" customFormat="1" spans="33:33">
      <c r="AG3161" s="8"/>
    </row>
    <row r="3162" s="7" customFormat="1" spans="33:33">
      <c r="AG3162" s="8"/>
    </row>
    <row r="3163" s="7" customFormat="1" spans="33:33">
      <c r="AG3163" s="8"/>
    </row>
    <row r="3164" s="7" customFormat="1" spans="33:33">
      <c r="AG3164" s="8"/>
    </row>
    <row r="3165" s="7" customFormat="1" spans="33:33">
      <c r="AG3165" s="8"/>
    </row>
    <row r="3166" s="7" customFormat="1" spans="33:33">
      <c r="AG3166" s="8"/>
    </row>
    <row r="3167" s="7" customFormat="1" spans="33:33">
      <c r="AG3167" s="8"/>
    </row>
    <row r="3168" s="7" customFormat="1" spans="33:33">
      <c r="AG3168" s="8"/>
    </row>
    <row r="3169" s="7" customFormat="1" spans="33:33">
      <c r="AG3169" s="8"/>
    </row>
    <row r="3170" s="7" customFormat="1" spans="33:33">
      <c r="AG3170" s="8"/>
    </row>
    <row r="3171" s="7" customFormat="1" spans="33:33">
      <c r="AG3171" s="8"/>
    </row>
    <row r="3172" s="7" customFormat="1" spans="33:33">
      <c r="AG3172" s="8"/>
    </row>
    <row r="3173" s="7" customFormat="1" spans="33:33">
      <c r="AG3173" s="8"/>
    </row>
    <row r="3174" s="7" customFormat="1" spans="33:33">
      <c r="AG3174" s="8"/>
    </row>
    <row r="3175" s="7" customFormat="1" spans="33:33">
      <c r="AG3175" s="8"/>
    </row>
    <row r="3176" s="7" customFormat="1" spans="33:33">
      <c r="AG3176" s="8"/>
    </row>
    <row r="3177" s="7" customFormat="1" spans="33:33">
      <c r="AG3177" s="8"/>
    </row>
    <row r="3178" s="7" customFormat="1" spans="33:33">
      <c r="AG3178" s="8"/>
    </row>
    <row r="3179" s="7" customFormat="1" spans="33:33">
      <c r="AG3179" s="8"/>
    </row>
    <row r="3180" s="7" customFormat="1" spans="33:33">
      <c r="AG3180" s="8"/>
    </row>
    <row r="3181" s="7" customFormat="1" spans="33:33">
      <c r="AG3181" s="8"/>
    </row>
    <row r="3182" s="7" customFormat="1" spans="33:33">
      <c r="AG3182" s="8"/>
    </row>
    <row r="3183" s="7" customFormat="1" spans="33:33">
      <c r="AG3183" s="8"/>
    </row>
    <row r="3184" s="7" customFormat="1" spans="33:33">
      <c r="AG3184" s="8"/>
    </row>
    <row r="3185" s="7" customFormat="1" spans="33:33">
      <c r="AG3185" s="8"/>
    </row>
    <row r="3186" s="7" customFormat="1" spans="33:33">
      <c r="AG3186" s="8"/>
    </row>
    <row r="3187" s="7" customFormat="1" spans="33:33">
      <c r="AG3187" s="8"/>
    </row>
    <row r="3188" s="7" customFormat="1" spans="33:33">
      <c r="AG3188" s="8"/>
    </row>
    <row r="3189" s="7" customFormat="1" spans="33:33">
      <c r="AG3189" s="8"/>
    </row>
    <row r="3190" s="7" customFormat="1" spans="33:33">
      <c r="AG3190" s="8"/>
    </row>
    <row r="3191" s="7" customFormat="1" spans="33:33">
      <c r="AG3191" s="8"/>
    </row>
    <row r="3192" s="7" customFormat="1" spans="33:33">
      <c r="AG3192" s="8"/>
    </row>
    <row r="3193" s="7" customFormat="1" spans="33:33">
      <c r="AG3193" s="8"/>
    </row>
    <row r="3194" s="7" customFormat="1" spans="33:33">
      <c r="AG3194" s="8"/>
    </row>
    <row r="3195" s="7" customFormat="1" spans="33:33">
      <c r="AG3195" s="8"/>
    </row>
    <row r="3196" s="7" customFormat="1" spans="33:33">
      <c r="AG3196" s="8"/>
    </row>
    <row r="3197" s="7" customFormat="1" spans="33:33">
      <c r="AG3197" s="8"/>
    </row>
    <row r="3198" s="7" customFormat="1" spans="33:33">
      <c r="AG3198" s="8"/>
    </row>
    <row r="3199" s="7" customFormat="1" spans="33:33">
      <c r="AG3199" s="8"/>
    </row>
    <row r="3200" s="7" customFormat="1" spans="33:33">
      <c r="AG3200" s="8"/>
    </row>
    <row r="3201" s="7" customFormat="1" spans="33:33">
      <c r="AG3201" s="8"/>
    </row>
    <row r="3202" s="7" customFormat="1" spans="33:33">
      <c r="AG3202" s="8"/>
    </row>
    <row r="3203" s="7" customFormat="1" spans="33:33">
      <c r="AG3203" s="8"/>
    </row>
    <row r="3204" s="7" customFormat="1" spans="33:33">
      <c r="AG3204" s="8"/>
    </row>
    <row r="3205" s="7" customFormat="1" spans="33:33">
      <c r="AG3205" s="8"/>
    </row>
    <row r="3206" s="7" customFormat="1" spans="33:33">
      <c r="AG3206" s="8"/>
    </row>
    <row r="3207" s="7" customFormat="1" spans="33:33">
      <c r="AG3207" s="8"/>
    </row>
    <row r="3208" s="7" customFormat="1" spans="33:33">
      <c r="AG3208" s="8"/>
    </row>
    <row r="3209" s="7" customFormat="1" spans="33:33">
      <c r="AG3209" s="8"/>
    </row>
    <row r="3210" s="7" customFormat="1" spans="33:33">
      <c r="AG3210" s="8"/>
    </row>
    <row r="3211" s="7" customFormat="1" spans="33:33">
      <c r="AG3211" s="8"/>
    </row>
    <row r="3212" s="7" customFormat="1" spans="33:33">
      <c r="AG3212" s="8"/>
    </row>
    <row r="3213" s="7" customFormat="1" spans="33:33">
      <c r="AG3213" s="8"/>
    </row>
    <row r="3214" s="7" customFormat="1" spans="33:33">
      <c r="AG3214" s="8"/>
    </row>
    <row r="3215" s="7" customFormat="1" spans="33:33">
      <c r="AG3215" s="8"/>
    </row>
    <row r="3216" s="7" customFormat="1" spans="33:33">
      <c r="AG3216" s="8"/>
    </row>
    <row r="3217" s="7" customFormat="1" spans="33:33">
      <c r="AG3217" s="8"/>
    </row>
    <row r="3218" s="7" customFormat="1" spans="33:33">
      <c r="AG3218" s="8"/>
    </row>
    <row r="3219" s="7" customFormat="1" spans="33:33">
      <c r="AG3219" s="8"/>
    </row>
    <row r="3220" s="7" customFormat="1" spans="33:33">
      <c r="AG3220" s="8"/>
    </row>
    <row r="3221" s="7" customFormat="1" spans="33:33">
      <c r="AG3221" s="8"/>
    </row>
    <row r="3222" s="7" customFormat="1" spans="33:33">
      <c r="AG3222" s="8"/>
    </row>
    <row r="3223" s="7" customFormat="1" spans="33:33">
      <c r="AG3223" s="8"/>
    </row>
    <row r="3224" s="7" customFormat="1" spans="33:33">
      <c r="AG3224" s="8"/>
    </row>
    <row r="3225" s="7" customFormat="1" spans="33:33">
      <c r="AG3225" s="8"/>
    </row>
    <row r="3226" s="7" customFormat="1" spans="33:33">
      <c r="AG3226" s="8"/>
    </row>
    <row r="3227" s="7" customFormat="1" spans="33:33">
      <c r="AG3227" s="8"/>
    </row>
    <row r="3228" s="7" customFormat="1" spans="33:33">
      <c r="AG3228" s="8"/>
    </row>
    <row r="3229" s="7" customFormat="1" spans="33:33">
      <c r="AG3229" s="8"/>
    </row>
    <row r="3230" s="7" customFormat="1" spans="33:33">
      <c r="AG3230" s="8"/>
    </row>
    <row r="3231" s="7" customFormat="1" spans="33:33">
      <c r="AG3231" s="8"/>
    </row>
    <row r="3232" s="7" customFormat="1" spans="33:33">
      <c r="AG3232" s="8"/>
    </row>
    <row r="3233" s="7" customFormat="1" spans="33:33">
      <c r="AG3233" s="8"/>
    </row>
    <row r="3234" s="7" customFormat="1" spans="33:33">
      <c r="AG3234" s="8"/>
    </row>
    <row r="3235" s="7" customFormat="1" spans="33:33">
      <c r="AG3235" s="8"/>
    </row>
    <row r="3236" s="7" customFormat="1" spans="33:33">
      <c r="AG3236" s="8"/>
    </row>
    <row r="3237" s="7" customFormat="1" spans="33:33">
      <c r="AG3237" s="8"/>
    </row>
    <row r="3238" s="7" customFormat="1" spans="33:33">
      <c r="AG3238" s="8"/>
    </row>
    <row r="3239" s="7" customFormat="1" spans="33:33">
      <c r="AG3239" s="8"/>
    </row>
    <row r="3240" s="7" customFormat="1" spans="33:33">
      <c r="AG3240" s="8"/>
    </row>
    <row r="3241" s="7" customFormat="1" spans="33:33">
      <c r="AG3241" s="8"/>
    </row>
    <row r="3242" s="7" customFormat="1" spans="33:33">
      <c r="AG3242" s="8"/>
    </row>
    <row r="3243" s="7" customFormat="1" spans="33:33">
      <c r="AG3243" s="8"/>
    </row>
    <row r="3244" s="7" customFormat="1" spans="33:33">
      <c r="AG3244" s="8"/>
    </row>
    <row r="3245" s="7" customFormat="1" spans="33:33">
      <c r="AG3245" s="8"/>
    </row>
    <row r="3246" s="7" customFormat="1" spans="33:33">
      <c r="AG3246" s="8"/>
    </row>
    <row r="3247" s="7" customFormat="1" spans="33:33">
      <c r="AG3247" s="8"/>
    </row>
    <row r="3248" s="7" customFormat="1" spans="33:33">
      <c r="AG3248" s="8"/>
    </row>
    <row r="3249" s="7" customFormat="1" spans="33:33">
      <c r="AG3249" s="8"/>
    </row>
    <row r="3250" s="7" customFormat="1" spans="33:33">
      <c r="AG3250" s="8"/>
    </row>
    <row r="3251" s="7" customFormat="1" spans="33:33">
      <c r="AG3251" s="8"/>
    </row>
    <row r="3252" s="7" customFormat="1" spans="33:33">
      <c r="AG3252" s="8"/>
    </row>
    <row r="3253" s="7" customFormat="1" spans="33:33">
      <c r="AG3253" s="8"/>
    </row>
    <row r="3254" s="7" customFormat="1" spans="33:33">
      <c r="AG3254" s="8"/>
    </row>
    <row r="3255" s="7" customFormat="1" spans="33:33">
      <c r="AG3255" s="8"/>
    </row>
    <row r="3256" s="7" customFormat="1" spans="33:33">
      <c r="AG3256" s="8"/>
    </row>
    <row r="3257" s="7" customFormat="1" spans="33:33">
      <c r="AG3257" s="8"/>
    </row>
    <row r="3258" s="7" customFormat="1" spans="33:33">
      <c r="AG3258" s="8"/>
    </row>
    <row r="3259" s="7" customFormat="1" spans="33:33">
      <c r="AG3259" s="8"/>
    </row>
    <row r="3260" s="7" customFormat="1" spans="33:33">
      <c r="AG3260" s="8"/>
    </row>
    <row r="3261" s="7" customFormat="1" spans="33:33">
      <c r="AG3261" s="8"/>
    </row>
    <row r="3262" s="7" customFormat="1" spans="33:33">
      <c r="AG3262" s="8"/>
    </row>
    <row r="3263" s="7" customFormat="1" spans="33:33">
      <c r="AG3263" s="8"/>
    </row>
    <row r="3264" s="7" customFormat="1" spans="33:33">
      <c r="AG3264" s="8"/>
    </row>
    <row r="3265" s="7" customFormat="1" spans="33:33">
      <c r="AG3265" s="8"/>
    </row>
    <row r="3266" s="7" customFormat="1" spans="33:33">
      <c r="AG3266" s="8"/>
    </row>
    <row r="3267" s="7" customFormat="1" spans="33:33">
      <c r="AG3267" s="8"/>
    </row>
    <row r="3268" s="7" customFormat="1" spans="33:33">
      <c r="AG3268" s="8"/>
    </row>
    <row r="3269" s="7" customFormat="1" spans="33:33">
      <c r="AG3269" s="8"/>
    </row>
    <row r="3270" s="7" customFormat="1" spans="33:33">
      <c r="AG3270" s="8"/>
    </row>
    <row r="3271" s="7" customFormat="1" spans="33:33">
      <c r="AG3271" s="8"/>
    </row>
    <row r="3272" s="7" customFormat="1" spans="33:33">
      <c r="AG3272" s="8"/>
    </row>
    <row r="3273" s="7" customFormat="1" spans="33:33">
      <c r="AG3273" s="8"/>
    </row>
    <row r="3274" s="7" customFormat="1" spans="33:33">
      <c r="AG3274" s="8"/>
    </row>
    <row r="3275" s="7" customFormat="1" spans="33:33">
      <c r="AG3275" s="8"/>
    </row>
    <row r="3276" s="7" customFormat="1" spans="33:33">
      <c r="AG3276" s="8"/>
    </row>
    <row r="3277" s="7" customFormat="1" spans="33:33">
      <c r="AG3277" s="8"/>
    </row>
    <row r="3278" s="7" customFormat="1" spans="33:33">
      <c r="AG3278" s="8"/>
    </row>
    <row r="3279" s="7" customFormat="1" spans="33:33">
      <c r="AG3279" s="8"/>
    </row>
    <row r="3280" s="7" customFormat="1" spans="33:33">
      <c r="AG3280" s="8"/>
    </row>
    <row r="3281" s="7" customFormat="1" spans="33:33">
      <c r="AG3281" s="8"/>
    </row>
    <row r="3282" s="7" customFormat="1" spans="33:33">
      <c r="AG3282" s="8"/>
    </row>
    <row r="3283" s="7" customFormat="1" spans="33:33">
      <c r="AG3283" s="8"/>
    </row>
    <row r="3284" s="7" customFormat="1" spans="33:33">
      <c r="AG3284" s="8"/>
    </row>
    <row r="3285" s="7" customFormat="1" spans="33:33">
      <c r="AG3285" s="8"/>
    </row>
    <row r="3286" s="7" customFormat="1" spans="33:33">
      <c r="AG3286" s="8"/>
    </row>
    <row r="3287" s="7" customFormat="1" spans="33:33">
      <c r="AG3287" s="8"/>
    </row>
    <row r="3288" s="7" customFormat="1" spans="33:33">
      <c r="AG3288" s="8"/>
    </row>
    <row r="3289" s="7" customFormat="1" spans="33:33">
      <c r="AG3289" s="8"/>
    </row>
    <row r="3290" s="7" customFormat="1" spans="33:33">
      <c r="AG3290" s="8"/>
    </row>
    <row r="3291" s="7" customFormat="1" spans="33:33">
      <c r="AG3291" s="8"/>
    </row>
    <row r="3292" s="7" customFormat="1" spans="33:33">
      <c r="AG3292" s="8"/>
    </row>
    <row r="3293" s="7" customFormat="1" spans="33:33">
      <c r="AG3293" s="8"/>
    </row>
    <row r="3294" s="7" customFormat="1" spans="33:33">
      <c r="AG3294" s="8"/>
    </row>
    <row r="3295" s="7" customFormat="1" spans="33:33">
      <c r="AG3295" s="8"/>
    </row>
    <row r="3296" s="7" customFormat="1" spans="33:33">
      <c r="AG3296" s="8"/>
    </row>
    <row r="3297" s="7" customFormat="1" spans="33:33">
      <c r="AG3297" s="8"/>
    </row>
    <row r="3298" s="7" customFormat="1" spans="33:33">
      <c r="AG3298" s="8"/>
    </row>
    <row r="3299" s="7" customFormat="1" spans="33:33">
      <c r="AG3299" s="8"/>
    </row>
    <row r="3300" s="7" customFormat="1" spans="33:33">
      <c r="AG3300" s="8"/>
    </row>
    <row r="3301" s="7" customFormat="1" spans="33:33">
      <c r="AG3301" s="8"/>
    </row>
    <row r="3302" s="7" customFormat="1" spans="33:33">
      <c r="AG3302" s="8"/>
    </row>
    <row r="3303" s="7" customFormat="1" spans="33:33">
      <c r="AG3303" s="8"/>
    </row>
    <row r="3304" s="7" customFormat="1" spans="33:33">
      <c r="AG3304" s="8"/>
    </row>
    <row r="3305" s="7" customFormat="1" spans="33:33">
      <c r="AG3305" s="8"/>
    </row>
    <row r="3306" s="7" customFormat="1" spans="33:33">
      <c r="AG3306" s="8"/>
    </row>
    <row r="3307" s="7" customFormat="1" spans="33:33">
      <c r="AG3307" s="8"/>
    </row>
    <row r="3308" s="7" customFormat="1" spans="33:33">
      <c r="AG3308" s="8"/>
    </row>
    <row r="3309" s="7" customFormat="1" spans="33:33">
      <c r="AG3309" s="8"/>
    </row>
    <row r="3310" s="7" customFormat="1" spans="33:33">
      <c r="AG3310" s="8"/>
    </row>
    <row r="3311" s="7" customFormat="1" spans="33:33">
      <c r="AG3311" s="8"/>
    </row>
    <row r="3312" s="7" customFormat="1" spans="33:33">
      <c r="AG3312" s="8"/>
    </row>
    <row r="3313" s="7" customFormat="1" spans="33:33">
      <c r="AG3313" s="8"/>
    </row>
    <row r="3314" s="7" customFormat="1" spans="33:33">
      <c r="AG3314" s="8"/>
    </row>
    <row r="3315" s="7" customFormat="1" spans="33:33">
      <c r="AG3315" s="8"/>
    </row>
    <row r="3316" s="7" customFormat="1" spans="33:33">
      <c r="AG3316" s="8"/>
    </row>
    <row r="3317" s="7" customFormat="1" spans="33:33">
      <c r="AG3317" s="8"/>
    </row>
    <row r="3318" s="7" customFormat="1" spans="33:33">
      <c r="AG3318" s="8"/>
    </row>
    <row r="3319" s="7" customFormat="1" spans="33:33">
      <c r="AG3319" s="8"/>
    </row>
    <row r="3320" s="7" customFormat="1" spans="33:33">
      <c r="AG3320" s="8"/>
    </row>
    <row r="3321" s="7" customFormat="1" spans="33:33">
      <c r="AG3321" s="8"/>
    </row>
    <row r="3322" s="7" customFormat="1" spans="33:33">
      <c r="AG3322" s="8"/>
    </row>
    <row r="3323" s="7" customFormat="1" spans="33:33">
      <c r="AG3323" s="8"/>
    </row>
    <row r="3324" s="7" customFormat="1" spans="33:33">
      <c r="AG3324" s="8"/>
    </row>
    <row r="3325" s="7" customFormat="1" spans="33:33">
      <c r="AG3325" s="8"/>
    </row>
    <row r="3326" s="7" customFormat="1" spans="33:33">
      <c r="AG3326" s="8"/>
    </row>
    <row r="3327" s="7" customFormat="1" spans="33:33">
      <c r="AG3327" s="8"/>
    </row>
    <row r="3328" s="7" customFormat="1" spans="33:33">
      <c r="AG3328" s="8"/>
    </row>
    <row r="3329" s="7" customFormat="1" spans="33:33">
      <c r="AG3329" s="8"/>
    </row>
    <row r="3330" s="7" customFormat="1" spans="33:33">
      <c r="AG3330" s="8"/>
    </row>
    <row r="3331" s="7" customFormat="1" spans="33:33">
      <c r="AG3331" s="8"/>
    </row>
    <row r="3332" s="7" customFormat="1" spans="33:33">
      <c r="AG3332" s="8"/>
    </row>
    <row r="3333" s="7" customFormat="1" spans="33:33">
      <c r="AG3333" s="8"/>
    </row>
    <row r="3334" s="7" customFormat="1" spans="33:33">
      <c r="AG3334" s="8"/>
    </row>
    <row r="3335" s="7" customFormat="1" spans="33:33">
      <c r="AG3335" s="8"/>
    </row>
    <row r="3336" s="7" customFormat="1" spans="33:33">
      <c r="AG3336" s="8"/>
    </row>
    <row r="3337" s="7" customFormat="1" spans="33:33">
      <c r="AG3337" s="8"/>
    </row>
    <row r="3338" s="7" customFormat="1" spans="33:33">
      <c r="AG3338" s="8"/>
    </row>
    <row r="3339" s="7" customFormat="1" spans="33:33">
      <c r="AG3339" s="8"/>
    </row>
    <row r="3340" s="7" customFormat="1" spans="33:33">
      <c r="AG3340" s="8"/>
    </row>
    <row r="3341" s="7" customFormat="1" spans="33:33">
      <c r="AG3341" s="8"/>
    </row>
    <row r="3342" s="7" customFormat="1" spans="33:33">
      <c r="AG3342" s="8"/>
    </row>
    <row r="3343" s="7" customFormat="1" spans="33:33">
      <c r="AG3343" s="8"/>
    </row>
    <row r="3344" s="7" customFormat="1" spans="33:33">
      <c r="AG3344" s="8"/>
    </row>
    <row r="3345" s="7" customFormat="1" spans="33:33">
      <c r="AG3345" s="8"/>
    </row>
    <row r="3346" s="7" customFormat="1" spans="33:33">
      <c r="AG3346" s="8"/>
    </row>
    <row r="3347" s="7" customFormat="1" spans="33:33">
      <c r="AG3347" s="8"/>
    </row>
    <row r="3348" s="7" customFormat="1" spans="33:33">
      <c r="AG3348" s="8"/>
    </row>
    <row r="3349" s="7" customFormat="1" spans="33:33">
      <c r="AG3349" s="8"/>
    </row>
    <row r="3350" s="7" customFormat="1" spans="33:33">
      <c r="AG3350" s="8"/>
    </row>
    <row r="3351" s="7" customFormat="1" spans="33:33">
      <c r="AG3351" s="8"/>
    </row>
    <row r="3352" s="7" customFormat="1" spans="33:33">
      <c r="AG3352" s="8"/>
    </row>
    <row r="3353" s="7" customFormat="1" spans="33:33">
      <c r="AG3353" s="8"/>
    </row>
    <row r="3354" s="7" customFormat="1" spans="33:33">
      <c r="AG3354" s="8"/>
    </row>
    <row r="3355" s="7" customFormat="1" spans="33:33">
      <c r="AG3355" s="8"/>
    </row>
    <row r="3356" s="7" customFormat="1" spans="33:33">
      <c r="AG3356" s="8"/>
    </row>
    <row r="3357" s="7" customFormat="1" spans="33:33">
      <c r="AG3357" s="8"/>
    </row>
    <row r="3358" s="7" customFormat="1" spans="33:33">
      <c r="AG3358" s="8"/>
    </row>
    <row r="3359" s="7" customFormat="1" spans="33:33">
      <c r="AG3359" s="8"/>
    </row>
    <row r="3360" s="7" customFormat="1" spans="33:33">
      <c r="AG3360" s="8"/>
    </row>
    <row r="3361" s="7" customFormat="1" spans="33:33">
      <c r="AG3361" s="8"/>
    </row>
    <row r="3362" s="7" customFormat="1" spans="33:33">
      <c r="AG3362" s="8"/>
    </row>
    <row r="3363" s="7" customFormat="1" spans="33:33">
      <c r="AG3363" s="8"/>
    </row>
    <row r="3364" s="7" customFormat="1" spans="33:33">
      <c r="AG3364" s="8"/>
    </row>
    <row r="3365" s="7" customFormat="1" spans="33:33">
      <c r="AG3365" s="8"/>
    </row>
    <row r="3366" s="7" customFormat="1" spans="33:33">
      <c r="AG3366" s="8"/>
    </row>
    <row r="3367" s="7" customFormat="1" spans="33:33">
      <c r="AG3367" s="8"/>
    </row>
    <row r="3368" s="7" customFormat="1" spans="33:33">
      <c r="AG3368" s="8"/>
    </row>
    <row r="3369" s="7" customFormat="1" spans="33:33">
      <c r="AG3369" s="8"/>
    </row>
    <row r="3370" s="7" customFormat="1" spans="33:33">
      <c r="AG3370" s="8"/>
    </row>
    <row r="3371" s="7" customFormat="1" spans="33:33">
      <c r="AG3371" s="8"/>
    </row>
    <row r="3372" s="7" customFormat="1" spans="33:33">
      <c r="AG3372" s="8"/>
    </row>
    <row r="3373" s="7" customFormat="1" spans="33:33">
      <c r="AG3373" s="8"/>
    </row>
    <row r="3374" s="7" customFormat="1" spans="33:33">
      <c r="AG3374" s="8"/>
    </row>
    <row r="3375" s="7" customFormat="1" spans="33:33">
      <c r="AG3375" s="8"/>
    </row>
    <row r="3376" s="7" customFormat="1" spans="33:33">
      <c r="AG3376" s="8"/>
    </row>
    <row r="3377" s="7" customFormat="1" spans="33:33">
      <c r="AG3377" s="8"/>
    </row>
    <row r="3378" s="7" customFormat="1" spans="33:33">
      <c r="AG3378" s="8"/>
    </row>
    <row r="3379" s="7" customFormat="1" spans="33:33">
      <c r="AG3379" s="8"/>
    </row>
    <row r="3380" s="7" customFormat="1" spans="33:33">
      <c r="AG3380" s="8"/>
    </row>
    <row r="3381" s="7" customFormat="1" spans="33:33">
      <c r="AG3381" s="8"/>
    </row>
    <row r="3382" s="7" customFormat="1" spans="33:33">
      <c r="AG3382" s="8"/>
    </row>
    <row r="3383" s="7" customFormat="1" spans="33:33">
      <c r="AG3383" s="8"/>
    </row>
    <row r="3384" s="7" customFormat="1" spans="33:33">
      <c r="AG3384" s="8"/>
    </row>
    <row r="3385" s="7" customFormat="1" spans="33:33">
      <c r="AG3385" s="8"/>
    </row>
    <row r="3386" s="7" customFormat="1" spans="33:33">
      <c r="AG3386" s="8"/>
    </row>
    <row r="3387" s="7" customFormat="1" spans="33:33">
      <c r="AG3387" s="8"/>
    </row>
    <row r="3388" s="7" customFormat="1" spans="33:33">
      <c r="AG3388" s="8"/>
    </row>
    <row r="3389" s="7" customFormat="1" spans="33:33">
      <c r="AG3389" s="8"/>
    </row>
    <row r="3390" s="7" customFormat="1" spans="33:33">
      <c r="AG3390" s="8"/>
    </row>
    <row r="3391" s="7" customFormat="1" spans="33:33">
      <c r="AG3391" s="8"/>
    </row>
    <row r="3392" s="7" customFormat="1" spans="33:33">
      <c r="AG3392" s="8"/>
    </row>
    <row r="3393" s="7" customFormat="1" spans="33:33">
      <c r="AG3393" s="8"/>
    </row>
    <row r="3394" s="7" customFormat="1" spans="33:33">
      <c r="AG3394" s="8"/>
    </row>
    <row r="3395" s="7" customFormat="1" spans="33:33">
      <c r="AG3395" s="8"/>
    </row>
    <row r="3396" s="7" customFormat="1" spans="33:33">
      <c r="AG3396" s="8"/>
    </row>
    <row r="3397" s="7" customFormat="1" spans="33:33">
      <c r="AG3397" s="8"/>
    </row>
    <row r="3398" s="7" customFormat="1" spans="33:33">
      <c r="AG3398" s="8"/>
    </row>
    <row r="3399" s="7" customFormat="1" spans="33:33">
      <c r="AG3399" s="8"/>
    </row>
    <row r="3400" s="7" customFormat="1" spans="33:33">
      <c r="AG3400" s="8"/>
    </row>
    <row r="3401" s="7" customFormat="1" spans="33:33">
      <c r="AG3401" s="8"/>
    </row>
    <row r="3402" s="7" customFormat="1" spans="33:33">
      <c r="AG3402" s="8"/>
    </row>
    <row r="3403" s="7" customFormat="1" spans="33:33">
      <c r="AG3403" s="8"/>
    </row>
    <row r="3404" s="7" customFormat="1" spans="33:33">
      <c r="AG3404" s="8"/>
    </row>
    <row r="3405" s="7" customFormat="1" spans="33:33">
      <c r="AG3405" s="8"/>
    </row>
    <row r="3406" s="7" customFormat="1" spans="33:33">
      <c r="AG3406" s="8"/>
    </row>
    <row r="3407" s="7" customFormat="1" spans="33:33">
      <c r="AG3407" s="8"/>
    </row>
    <row r="3408" s="7" customFormat="1" spans="33:33">
      <c r="AG3408" s="8"/>
    </row>
    <row r="3409" s="7" customFormat="1" spans="33:33">
      <c r="AG3409" s="8"/>
    </row>
    <row r="3410" s="7" customFormat="1" spans="33:33">
      <c r="AG3410" s="8"/>
    </row>
    <row r="3411" s="7" customFormat="1" spans="33:33">
      <c r="AG3411" s="8"/>
    </row>
    <row r="3412" s="7" customFormat="1" spans="33:33">
      <c r="AG3412" s="8"/>
    </row>
    <row r="3413" s="7" customFormat="1" spans="33:33">
      <c r="AG3413" s="8"/>
    </row>
    <row r="3414" s="7" customFormat="1" spans="33:33">
      <c r="AG3414" s="8"/>
    </row>
    <row r="3415" s="7" customFormat="1" spans="33:33">
      <c r="AG3415" s="8"/>
    </row>
    <row r="3416" s="7" customFormat="1" spans="33:33">
      <c r="AG3416" s="8"/>
    </row>
    <row r="3417" s="7" customFormat="1" spans="33:33">
      <c r="AG3417" s="8"/>
    </row>
    <row r="3418" s="7" customFormat="1" spans="33:33">
      <c r="AG3418" s="8"/>
    </row>
    <row r="3419" s="7" customFormat="1" spans="33:33">
      <c r="AG3419" s="8"/>
    </row>
    <row r="3420" s="7" customFormat="1" spans="33:33">
      <c r="AG3420" s="8"/>
    </row>
    <row r="3421" s="7" customFormat="1" spans="33:33">
      <c r="AG3421" s="8"/>
    </row>
    <row r="3422" s="7" customFormat="1" spans="33:33">
      <c r="AG3422" s="8"/>
    </row>
    <row r="3423" s="7" customFormat="1" spans="33:33">
      <c r="AG3423" s="8"/>
    </row>
    <row r="3424" s="7" customFormat="1" spans="33:33">
      <c r="AG3424" s="8"/>
    </row>
    <row r="3425" s="7" customFormat="1" spans="33:33">
      <c r="AG3425" s="8"/>
    </row>
    <row r="3426" s="7" customFormat="1" spans="33:33">
      <c r="AG3426" s="8"/>
    </row>
    <row r="3427" s="7" customFormat="1" spans="33:33">
      <c r="AG3427" s="8"/>
    </row>
    <row r="3428" s="7" customFormat="1" spans="33:33">
      <c r="AG3428" s="8"/>
    </row>
    <row r="3429" s="7" customFormat="1" spans="33:33">
      <c r="AG3429" s="8"/>
    </row>
    <row r="3430" s="7" customFormat="1" spans="33:33">
      <c r="AG3430" s="8"/>
    </row>
    <row r="3431" s="7" customFormat="1" spans="33:33">
      <c r="AG3431" s="8"/>
    </row>
    <row r="3432" s="7" customFormat="1" spans="33:33">
      <c r="AG3432" s="8"/>
    </row>
    <row r="3433" s="7" customFormat="1" spans="33:33">
      <c r="AG3433" s="8"/>
    </row>
    <row r="3434" s="7" customFormat="1" spans="33:33">
      <c r="AG3434" s="8"/>
    </row>
    <row r="3435" s="7" customFormat="1" spans="33:33">
      <c r="AG3435" s="8"/>
    </row>
    <row r="3436" s="7" customFormat="1" spans="33:33">
      <c r="AG3436" s="8"/>
    </row>
    <row r="3437" s="7" customFormat="1" spans="33:33">
      <c r="AG3437" s="8"/>
    </row>
    <row r="3438" s="7" customFormat="1" spans="33:33">
      <c r="AG3438" s="8"/>
    </row>
    <row r="3439" s="7" customFormat="1" spans="33:33">
      <c r="AG3439" s="8"/>
    </row>
    <row r="3440" s="7" customFormat="1" spans="33:33">
      <c r="AG3440" s="8"/>
    </row>
    <row r="3441" s="7" customFormat="1" spans="33:33">
      <c r="AG3441" s="8"/>
    </row>
    <row r="3442" s="7" customFormat="1" spans="33:33">
      <c r="AG3442" s="8"/>
    </row>
    <row r="3443" s="7" customFormat="1" spans="33:33">
      <c r="AG3443" s="8"/>
    </row>
    <row r="3444" s="7" customFormat="1" spans="33:33">
      <c r="AG3444" s="8"/>
    </row>
    <row r="3445" s="7" customFormat="1" spans="33:33">
      <c r="AG3445" s="8"/>
    </row>
    <row r="3446" s="7" customFormat="1" spans="33:33">
      <c r="AG3446" s="8"/>
    </row>
    <row r="3447" s="7" customFormat="1" spans="33:33">
      <c r="AG3447" s="8"/>
    </row>
    <row r="3448" s="7" customFormat="1" spans="33:33">
      <c r="AG3448" s="8"/>
    </row>
    <row r="3449" s="7" customFormat="1" spans="33:33">
      <c r="AG3449" s="8"/>
    </row>
    <row r="3450" s="7" customFormat="1" spans="33:33">
      <c r="AG3450" s="8"/>
    </row>
    <row r="3451" s="7" customFormat="1" spans="33:33">
      <c r="AG3451" s="8"/>
    </row>
    <row r="3452" s="7" customFormat="1" spans="33:33">
      <c r="AG3452" s="8"/>
    </row>
    <row r="3453" s="7" customFormat="1" spans="33:33">
      <c r="AG3453" s="8"/>
    </row>
    <row r="3454" s="7" customFormat="1" spans="33:33">
      <c r="AG3454" s="8"/>
    </row>
    <row r="3455" s="7" customFormat="1" spans="33:33">
      <c r="AG3455" s="8"/>
    </row>
    <row r="3456" s="7" customFormat="1" spans="33:33">
      <c r="AG3456" s="8"/>
    </row>
    <row r="3457" s="7" customFormat="1" spans="33:33">
      <c r="AG3457" s="8"/>
    </row>
    <row r="3458" s="7" customFormat="1" spans="33:33">
      <c r="AG3458" s="8"/>
    </row>
    <row r="3459" s="7" customFormat="1" spans="33:33">
      <c r="AG3459" s="8"/>
    </row>
    <row r="3460" s="7" customFormat="1" spans="33:33">
      <c r="AG3460" s="8"/>
    </row>
    <row r="3461" s="7" customFormat="1" spans="33:33">
      <c r="AG3461" s="8"/>
    </row>
    <row r="3462" s="7" customFormat="1" spans="33:33">
      <c r="AG3462" s="8"/>
    </row>
    <row r="3463" s="7" customFormat="1" spans="33:33">
      <c r="AG3463" s="8"/>
    </row>
    <row r="3464" s="7" customFormat="1" spans="33:33">
      <c r="AG3464" s="8"/>
    </row>
    <row r="3465" s="7" customFormat="1" spans="33:33">
      <c r="AG3465" s="8"/>
    </row>
    <row r="3466" s="7" customFormat="1" spans="33:33">
      <c r="AG3466" s="8"/>
    </row>
    <row r="3467" s="7" customFormat="1" spans="33:33">
      <c r="AG3467" s="8"/>
    </row>
    <row r="3468" s="7" customFormat="1" spans="33:33">
      <c r="AG3468" s="8"/>
    </row>
    <row r="3469" s="7" customFormat="1" spans="33:33">
      <c r="AG3469" s="8"/>
    </row>
    <row r="3470" s="7" customFormat="1" spans="33:33">
      <c r="AG3470" s="8"/>
    </row>
    <row r="3471" s="7" customFormat="1" spans="33:33">
      <c r="AG3471" s="8"/>
    </row>
    <row r="3472" s="7" customFormat="1" spans="33:33">
      <c r="AG3472" s="8"/>
    </row>
    <row r="3473" s="7" customFormat="1" spans="33:33">
      <c r="AG3473" s="8"/>
    </row>
    <row r="3474" s="7" customFormat="1" spans="33:33">
      <c r="AG3474" s="8"/>
    </row>
    <row r="3475" s="7" customFormat="1" spans="33:33">
      <c r="AG3475" s="8"/>
    </row>
    <row r="3476" s="7" customFormat="1" spans="33:33">
      <c r="AG3476" s="8"/>
    </row>
    <row r="3477" s="7" customFormat="1" spans="33:33">
      <c r="AG3477" s="8"/>
    </row>
    <row r="3478" s="7" customFormat="1" spans="33:33">
      <c r="AG3478" s="8"/>
    </row>
    <row r="3479" s="7" customFormat="1" spans="33:33">
      <c r="AG3479" s="8"/>
    </row>
    <row r="3480" s="7" customFormat="1" spans="33:33">
      <c r="AG3480" s="8"/>
    </row>
    <row r="3481" s="7" customFormat="1" spans="33:33">
      <c r="AG3481" s="8"/>
    </row>
    <row r="3482" s="7" customFormat="1" spans="33:33">
      <c r="AG3482" s="8"/>
    </row>
    <row r="3483" s="7" customFormat="1" spans="33:33">
      <c r="AG3483" s="8"/>
    </row>
    <row r="3484" s="7" customFormat="1" spans="33:33">
      <c r="AG3484" s="8"/>
    </row>
    <row r="3485" s="7" customFormat="1" spans="33:33">
      <c r="AG3485" s="8"/>
    </row>
    <row r="3486" s="7" customFormat="1" spans="33:33">
      <c r="AG3486" s="8"/>
    </row>
    <row r="3487" s="7" customFormat="1" spans="33:33">
      <c r="AG3487" s="8"/>
    </row>
    <row r="3488" s="7" customFormat="1" spans="33:33">
      <c r="AG3488" s="8"/>
    </row>
    <row r="3489" s="7" customFormat="1" spans="33:33">
      <c r="AG3489" s="8"/>
    </row>
    <row r="3490" s="7" customFormat="1" spans="33:33">
      <c r="AG3490" s="8"/>
    </row>
    <row r="3491" s="7" customFormat="1" spans="33:33">
      <c r="AG3491" s="8"/>
    </row>
    <row r="3492" s="7" customFormat="1" spans="33:33">
      <c r="AG3492" s="8"/>
    </row>
    <row r="3493" s="7" customFormat="1" spans="33:33">
      <c r="AG3493" s="8"/>
    </row>
    <row r="3494" s="7" customFormat="1" spans="33:33">
      <c r="AG3494" s="8"/>
    </row>
    <row r="3495" s="7" customFormat="1" spans="33:33">
      <c r="AG3495" s="8"/>
    </row>
    <row r="3496" s="7" customFormat="1" spans="33:33">
      <c r="AG3496" s="8"/>
    </row>
    <row r="3497" s="7" customFormat="1" spans="33:33">
      <c r="AG3497" s="8"/>
    </row>
    <row r="3498" s="7" customFormat="1" spans="33:33">
      <c r="AG3498" s="8"/>
    </row>
    <row r="3499" s="7" customFormat="1" spans="33:33">
      <c r="AG3499" s="8"/>
    </row>
    <row r="3500" s="7" customFormat="1" spans="33:33">
      <c r="AG3500" s="8"/>
    </row>
    <row r="3501" s="7" customFormat="1" spans="33:33">
      <c r="AG3501" s="8"/>
    </row>
    <row r="3502" s="7" customFormat="1" spans="33:33">
      <c r="AG3502" s="8"/>
    </row>
    <row r="3503" s="7" customFormat="1" spans="33:33">
      <c r="AG3503" s="8"/>
    </row>
    <row r="3504" s="7" customFormat="1" spans="33:33">
      <c r="AG3504" s="8"/>
    </row>
    <row r="3505" s="7" customFormat="1" spans="33:33">
      <c r="AG3505" s="8"/>
    </row>
    <row r="3506" s="7" customFormat="1" spans="33:33">
      <c r="AG3506" s="8"/>
    </row>
    <row r="3507" s="7" customFormat="1" spans="33:33">
      <c r="AG3507" s="8"/>
    </row>
    <row r="3508" s="7" customFormat="1" spans="33:33">
      <c r="AG3508" s="8"/>
    </row>
    <row r="3509" s="7" customFormat="1" spans="33:33">
      <c r="AG3509" s="8"/>
    </row>
    <row r="3510" s="7" customFormat="1" spans="33:33">
      <c r="AG3510" s="8"/>
    </row>
    <row r="3511" s="7" customFormat="1" spans="33:33">
      <c r="AG3511" s="8"/>
    </row>
    <row r="3512" s="7" customFormat="1" spans="33:33">
      <c r="AG3512" s="8"/>
    </row>
    <row r="3513" s="7" customFormat="1" spans="33:33">
      <c r="AG3513" s="8"/>
    </row>
    <row r="3514" s="7" customFormat="1" spans="33:33">
      <c r="AG3514" s="8"/>
    </row>
    <row r="3515" s="7" customFormat="1" spans="33:33">
      <c r="AG3515" s="8"/>
    </row>
    <row r="3516" s="7" customFormat="1" spans="33:33">
      <c r="AG3516" s="8"/>
    </row>
    <row r="3517" s="7" customFormat="1" spans="33:33">
      <c r="AG3517" s="8"/>
    </row>
    <row r="3518" s="7" customFormat="1" spans="33:33">
      <c r="AG3518" s="8"/>
    </row>
    <row r="3519" s="7" customFormat="1" spans="33:33">
      <c r="AG3519" s="8"/>
    </row>
    <row r="3520" s="7" customFormat="1" spans="33:33">
      <c r="AG3520" s="8"/>
    </row>
    <row r="3521" s="7" customFormat="1" spans="33:33">
      <c r="AG3521" s="8"/>
    </row>
    <row r="3522" s="7" customFormat="1" spans="33:33">
      <c r="AG3522" s="8"/>
    </row>
    <row r="3523" s="7" customFormat="1" spans="33:33">
      <c r="AG3523" s="8"/>
    </row>
    <row r="3524" s="7" customFormat="1" spans="33:33">
      <c r="AG3524" s="8"/>
    </row>
    <row r="3525" s="7" customFormat="1" spans="33:33">
      <c r="AG3525" s="8"/>
    </row>
    <row r="3526" s="7" customFormat="1" spans="33:33">
      <c r="AG3526" s="8"/>
    </row>
    <row r="3527" s="7" customFormat="1" spans="33:33">
      <c r="AG3527" s="8"/>
    </row>
    <row r="3528" s="7" customFormat="1" spans="33:33">
      <c r="AG3528" s="8"/>
    </row>
    <row r="3529" s="7" customFormat="1" spans="33:33">
      <c r="AG3529" s="8"/>
    </row>
    <row r="3530" s="7" customFormat="1" spans="33:33">
      <c r="AG3530" s="8"/>
    </row>
    <row r="3531" s="7" customFormat="1" spans="33:33">
      <c r="AG3531" s="8"/>
    </row>
    <row r="3532" s="7" customFormat="1" spans="33:33">
      <c r="AG3532" s="8"/>
    </row>
    <row r="3533" s="7" customFormat="1" spans="33:33">
      <c r="AG3533" s="8"/>
    </row>
    <row r="3534" s="7" customFormat="1" spans="33:33">
      <c r="AG3534" s="8"/>
    </row>
    <row r="3535" s="7" customFormat="1" spans="33:33">
      <c r="AG3535" s="8"/>
    </row>
    <row r="3536" s="7" customFormat="1" spans="33:33">
      <c r="AG3536" s="8"/>
    </row>
    <row r="3537" s="7" customFormat="1" spans="33:33">
      <c r="AG3537" s="8"/>
    </row>
    <row r="3538" s="7" customFormat="1" spans="33:33">
      <c r="AG3538" s="8"/>
    </row>
    <row r="3539" s="7" customFormat="1" spans="33:33">
      <c r="AG3539" s="8"/>
    </row>
    <row r="3540" s="7" customFormat="1" spans="33:33">
      <c r="AG3540" s="8"/>
    </row>
    <row r="3541" s="7" customFormat="1" spans="33:33">
      <c r="AG3541" s="8"/>
    </row>
    <row r="3542" s="7" customFormat="1" spans="33:33">
      <c r="AG3542" s="8"/>
    </row>
    <row r="3543" s="7" customFormat="1" spans="33:33">
      <c r="AG3543" s="8"/>
    </row>
    <row r="3544" s="7" customFormat="1" spans="33:33">
      <c r="AG3544" s="8"/>
    </row>
    <row r="3545" s="7" customFormat="1" spans="33:33">
      <c r="AG3545" s="8"/>
    </row>
    <row r="3546" s="7" customFormat="1" spans="33:33">
      <c r="AG3546" s="8"/>
    </row>
    <row r="3547" s="7" customFormat="1" spans="33:33">
      <c r="AG3547" s="8"/>
    </row>
    <row r="3548" s="7" customFormat="1" spans="33:33">
      <c r="AG3548" s="8"/>
    </row>
    <row r="3549" s="7" customFormat="1" spans="33:33">
      <c r="AG3549" s="8"/>
    </row>
    <row r="3550" s="7" customFormat="1" spans="33:33">
      <c r="AG3550" s="8"/>
    </row>
    <row r="3551" s="7" customFormat="1" spans="33:33">
      <c r="AG3551" s="8"/>
    </row>
    <row r="3552" s="7" customFormat="1" spans="33:33">
      <c r="AG3552" s="8"/>
    </row>
    <row r="3553" s="7" customFormat="1" spans="33:33">
      <c r="AG3553" s="8"/>
    </row>
    <row r="3554" s="7" customFormat="1" spans="33:33">
      <c r="AG3554" s="8"/>
    </row>
    <row r="3555" s="7" customFormat="1" spans="33:33">
      <c r="AG3555" s="8"/>
    </row>
    <row r="3556" s="7" customFormat="1" spans="33:33">
      <c r="AG3556" s="8"/>
    </row>
    <row r="3557" s="7" customFormat="1" spans="33:33">
      <c r="AG3557" s="8"/>
    </row>
    <row r="3558" s="7" customFormat="1" spans="33:33">
      <c r="AG3558" s="8"/>
    </row>
    <row r="3559" s="7" customFormat="1" spans="33:33">
      <c r="AG3559" s="8"/>
    </row>
    <row r="3560" s="7" customFormat="1" spans="33:33">
      <c r="AG3560" s="8"/>
    </row>
    <row r="3561" s="7" customFormat="1" spans="33:33">
      <c r="AG3561" s="8"/>
    </row>
    <row r="3562" s="7" customFormat="1" spans="33:33">
      <c r="AG3562" s="8"/>
    </row>
    <row r="3563" s="7" customFormat="1" spans="33:33">
      <c r="AG3563" s="8"/>
    </row>
    <row r="3564" s="7" customFormat="1" spans="33:33">
      <c r="AG3564" s="8"/>
    </row>
    <row r="3565" s="7" customFormat="1" spans="33:33">
      <c r="AG3565" s="8"/>
    </row>
    <row r="3566" s="7" customFormat="1" spans="33:33">
      <c r="AG3566" s="8"/>
    </row>
    <row r="3567" s="7" customFormat="1" spans="33:33">
      <c r="AG3567" s="8"/>
    </row>
    <row r="3568" s="7" customFormat="1" spans="33:33">
      <c r="AG3568" s="8"/>
    </row>
    <row r="3569" s="7" customFormat="1" spans="33:33">
      <c r="AG3569" s="8"/>
    </row>
    <row r="3570" s="7" customFormat="1" spans="33:33">
      <c r="AG3570" s="8"/>
    </row>
    <row r="3571" s="7" customFormat="1" spans="33:33">
      <c r="AG3571" s="8"/>
    </row>
    <row r="3572" s="7" customFormat="1" spans="33:33">
      <c r="AG3572" s="8"/>
    </row>
    <row r="3573" s="7" customFormat="1" spans="33:33">
      <c r="AG3573" s="8"/>
    </row>
    <row r="3574" s="7" customFormat="1" spans="33:33">
      <c r="AG3574" s="8"/>
    </row>
    <row r="3575" s="7" customFormat="1" spans="33:33">
      <c r="AG3575" s="8"/>
    </row>
    <row r="3576" s="7" customFormat="1" spans="33:33">
      <c r="AG3576" s="8"/>
    </row>
    <row r="3577" s="7" customFormat="1" spans="33:33">
      <c r="AG3577" s="8"/>
    </row>
    <row r="3578" s="7" customFormat="1" spans="33:33">
      <c r="AG3578" s="8"/>
    </row>
    <row r="3579" s="7" customFormat="1" spans="33:33">
      <c r="AG3579" s="8"/>
    </row>
    <row r="3580" s="7" customFormat="1" spans="33:33">
      <c r="AG3580" s="8"/>
    </row>
    <row r="3581" s="7" customFormat="1" spans="33:33">
      <c r="AG3581" s="8"/>
    </row>
    <row r="3582" s="7" customFormat="1" spans="33:33">
      <c r="AG3582" s="8"/>
    </row>
    <row r="3583" s="7" customFormat="1" spans="33:33">
      <c r="AG3583" s="8"/>
    </row>
    <row r="3584" s="7" customFormat="1" spans="33:33">
      <c r="AG3584" s="8"/>
    </row>
    <row r="3585" s="7" customFormat="1" spans="33:33">
      <c r="AG3585" s="8"/>
    </row>
    <row r="3586" s="7" customFormat="1" spans="33:33">
      <c r="AG3586" s="8"/>
    </row>
    <row r="3587" s="7" customFormat="1" spans="33:33">
      <c r="AG3587" s="8"/>
    </row>
    <row r="3588" s="7" customFormat="1" spans="33:33">
      <c r="AG3588" s="8"/>
    </row>
    <row r="3589" s="7" customFormat="1" spans="33:33">
      <c r="AG3589" s="8"/>
    </row>
    <row r="3590" s="7" customFormat="1" spans="33:33">
      <c r="AG3590" s="8"/>
    </row>
    <row r="3591" s="7" customFormat="1" spans="33:33">
      <c r="AG3591" s="8"/>
    </row>
    <row r="3592" s="7" customFormat="1" spans="33:33">
      <c r="AG3592" s="8"/>
    </row>
    <row r="3593" s="7" customFormat="1" spans="33:33">
      <c r="AG3593" s="8"/>
    </row>
    <row r="3594" s="7" customFormat="1" spans="33:33">
      <c r="AG3594" s="8"/>
    </row>
    <row r="3595" s="7" customFormat="1" spans="33:33">
      <c r="AG3595" s="8"/>
    </row>
    <row r="3596" s="7" customFormat="1" spans="33:33">
      <c r="AG3596" s="8"/>
    </row>
    <row r="3597" s="7" customFormat="1" spans="33:33">
      <c r="AG3597" s="8"/>
    </row>
    <row r="3598" s="7" customFormat="1" spans="33:33">
      <c r="AG3598" s="8"/>
    </row>
    <row r="3599" s="7" customFormat="1" spans="33:33">
      <c r="AG3599" s="8"/>
    </row>
    <row r="3600" s="7" customFormat="1" spans="33:33">
      <c r="AG3600" s="8"/>
    </row>
    <row r="3601" s="7" customFormat="1" spans="33:33">
      <c r="AG3601" s="8"/>
    </row>
    <row r="3602" s="7" customFormat="1" spans="33:33">
      <c r="AG3602" s="8"/>
    </row>
    <row r="3603" s="7" customFormat="1" spans="33:33">
      <c r="AG3603" s="8"/>
    </row>
    <row r="3604" s="7" customFormat="1" spans="33:33">
      <c r="AG3604" s="8"/>
    </row>
    <row r="3605" s="7" customFormat="1" spans="33:33">
      <c r="AG3605" s="8"/>
    </row>
    <row r="3606" s="7" customFormat="1" spans="33:33">
      <c r="AG3606" s="8"/>
    </row>
    <row r="3607" s="7" customFormat="1" spans="33:33">
      <c r="AG3607" s="8"/>
    </row>
    <row r="3608" s="7" customFormat="1" spans="33:33">
      <c r="AG3608" s="8"/>
    </row>
    <row r="3609" s="7" customFormat="1" spans="33:33">
      <c r="AG3609" s="8"/>
    </row>
    <row r="3610" s="7" customFormat="1" spans="33:33">
      <c r="AG3610" s="8"/>
    </row>
    <row r="3611" s="7" customFormat="1" spans="33:33">
      <c r="AG3611" s="8"/>
    </row>
    <row r="3612" s="7" customFormat="1" spans="33:33">
      <c r="AG3612" s="8"/>
    </row>
    <row r="3613" s="7" customFormat="1" spans="33:33">
      <c r="AG3613" s="8"/>
    </row>
    <row r="3614" s="7" customFormat="1" spans="33:33">
      <c r="AG3614" s="8"/>
    </row>
    <row r="3615" s="7" customFormat="1" spans="33:33">
      <c r="AG3615" s="8"/>
    </row>
    <row r="3616" s="7" customFormat="1" spans="33:33">
      <c r="AG3616" s="8"/>
    </row>
    <row r="3617" s="7" customFormat="1" spans="33:33">
      <c r="AG3617" s="8"/>
    </row>
    <row r="3618" s="7" customFormat="1" spans="33:33">
      <c r="AG3618" s="8"/>
    </row>
    <row r="3619" s="7" customFormat="1" spans="33:33">
      <c r="AG3619" s="8"/>
    </row>
    <row r="3620" s="7" customFormat="1" spans="33:33">
      <c r="AG3620" s="8"/>
    </row>
    <row r="3621" s="7" customFormat="1" spans="33:33">
      <c r="AG3621" s="8"/>
    </row>
    <row r="3622" s="7" customFormat="1" spans="33:33">
      <c r="AG3622" s="8"/>
    </row>
    <row r="3623" s="7" customFormat="1" spans="33:33">
      <c r="AG3623" s="8"/>
    </row>
    <row r="3624" s="7" customFormat="1" spans="33:33">
      <c r="AG3624" s="8"/>
    </row>
    <row r="3625" s="7" customFormat="1" spans="33:33">
      <c r="AG3625" s="8"/>
    </row>
    <row r="3626" s="7" customFormat="1" spans="33:33">
      <c r="AG3626" s="8"/>
    </row>
    <row r="3627" s="7" customFormat="1" spans="33:33">
      <c r="AG3627" s="8"/>
    </row>
    <row r="3628" s="7" customFormat="1" spans="33:33">
      <c r="AG3628" s="8"/>
    </row>
    <row r="3629" s="7" customFormat="1" spans="33:33">
      <c r="AG3629" s="8"/>
    </row>
    <row r="3630" s="7" customFormat="1" spans="33:33">
      <c r="AG3630" s="8"/>
    </row>
    <row r="3631" s="7" customFormat="1" spans="33:33">
      <c r="AG3631" s="8"/>
    </row>
    <row r="3632" s="7" customFormat="1" spans="33:33">
      <c r="AG3632" s="8"/>
    </row>
    <row r="3633" s="7" customFormat="1" spans="33:33">
      <c r="AG3633" s="8"/>
    </row>
    <row r="3634" s="7" customFormat="1" spans="33:33">
      <c r="AG3634" s="8"/>
    </row>
    <row r="3635" s="7" customFormat="1" spans="33:33">
      <c r="AG3635" s="8"/>
    </row>
    <row r="3636" s="7" customFormat="1" spans="33:33">
      <c r="AG3636" s="8"/>
    </row>
    <row r="3637" s="7" customFormat="1" spans="33:33">
      <c r="AG3637" s="8"/>
    </row>
    <row r="3638" s="7" customFormat="1" spans="33:33">
      <c r="AG3638" s="8"/>
    </row>
    <row r="3639" s="7" customFormat="1" spans="33:33">
      <c r="AG3639" s="8"/>
    </row>
    <row r="3640" s="7" customFormat="1" spans="33:33">
      <c r="AG3640" s="8"/>
    </row>
    <row r="3641" s="7" customFormat="1" spans="33:33">
      <c r="AG3641" s="8"/>
    </row>
    <row r="3642" s="7" customFormat="1" spans="33:33">
      <c r="AG3642" s="8"/>
    </row>
    <row r="3643" s="7" customFormat="1" spans="33:33">
      <c r="AG3643" s="8"/>
    </row>
    <row r="3644" s="7" customFormat="1" spans="33:33">
      <c r="AG3644" s="8"/>
    </row>
    <row r="3645" s="7" customFormat="1" spans="33:33">
      <c r="AG3645" s="8"/>
    </row>
    <row r="3646" s="7" customFormat="1" spans="33:33">
      <c r="AG3646" s="8"/>
    </row>
    <row r="3647" s="7" customFormat="1" spans="33:33">
      <c r="AG3647" s="8"/>
    </row>
    <row r="3648" s="7" customFormat="1" spans="33:33">
      <c r="AG3648" s="8"/>
    </row>
    <row r="3649" s="7" customFormat="1" spans="33:33">
      <c r="AG3649" s="8"/>
    </row>
    <row r="3650" s="7" customFormat="1" spans="33:33">
      <c r="AG3650" s="8"/>
    </row>
    <row r="3651" s="7" customFormat="1" spans="33:33">
      <c r="AG3651" s="8"/>
    </row>
    <row r="3652" s="7" customFormat="1" spans="33:33">
      <c r="AG3652" s="8"/>
    </row>
    <row r="3653" s="7" customFormat="1" spans="33:33">
      <c r="AG3653" s="8"/>
    </row>
    <row r="3654" s="7" customFormat="1" spans="33:33">
      <c r="AG3654" s="8"/>
    </row>
    <row r="3655" s="7" customFormat="1" spans="33:33">
      <c r="AG3655" s="8"/>
    </row>
    <row r="3656" s="7" customFormat="1" spans="33:33">
      <c r="AG3656" s="8"/>
    </row>
    <row r="3657" s="7" customFormat="1" spans="33:33">
      <c r="AG3657" s="8"/>
    </row>
    <row r="3658" s="7" customFormat="1" spans="33:33">
      <c r="AG3658" s="8"/>
    </row>
    <row r="3659" s="7" customFormat="1" spans="33:33">
      <c r="AG3659" s="8"/>
    </row>
    <row r="3660" s="7" customFormat="1" spans="33:33">
      <c r="AG3660" s="8"/>
    </row>
    <row r="3661" s="7" customFormat="1" spans="33:33">
      <c r="AG3661" s="8"/>
    </row>
    <row r="3662" s="7" customFormat="1" spans="33:33">
      <c r="AG3662" s="8"/>
    </row>
    <row r="3663" s="7" customFormat="1" spans="33:33">
      <c r="AG3663" s="8"/>
    </row>
    <row r="3664" s="7" customFormat="1" spans="33:33">
      <c r="AG3664" s="8"/>
    </row>
    <row r="3665" s="7" customFormat="1" spans="33:33">
      <c r="AG3665" s="8"/>
    </row>
    <row r="3666" s="7" customFormat="1" spans="33:33">
      <c r="AG3666" s="8"/>
    </row>
    <row r="3667" s="7" customFormat="1" spans="33:33">
      <c r="AG3667" s="8"/>
    </row>
    <row r="3668" s="7" customFormat="1" spans="33:33">
      <c r="AG3668" s="8"/>
    </row>
    <row r="3669" s="7" customFormat="1" spans="33:33">
      <c r="AG3669" s="8"/>
    </row>
    <row r="3670" s="7" customFormat="1" spans="33:33">
      <c r="AG3670" s="8"/>
    </row>
    <row r="3671" s="7" customFormat="1" spans="33:33">
      <c r="AG3671" s="8"/>
    </row>
    <row r="3672" s="7" customFormat="1" spans="33:33">
      <c r="AG3672" s="8"/>
    </row>
    <row r="3673" s="7" customFormat="1" spans="33:33">
      <c r="AG3673" s="8"/>
    </row>
    <row r="3674" s="7" customFormat="1" spans="33:33">
      <c r="AG3674" s="8"/>
    </row>
    <row r="3675" s="7" customFormat="1" spans="33:33">
      <c r="AG3675" s="8"/>
    </row>
    <row r="3676" s="7" customFormat="1" spans="33:33">
      <c r="AG3676" s="8"/>
    </row>
    <row r="3677" s="7" customFormat="1" spans="33:33">
      <c r="AG3677" s="8"/>
    </row>
    <row r="3678" s="7" customFormat="1" spans="33:33">
      <c r="AG3678" s="8"/>
    </row>
    <row r="3679" s="7" customFormat="1" spans="33:33">
      <c r="AG3679" s="8"/>
    </row>
    <row r="3680" s="7" customFormat="1" spans="33:33">
      <c r="AG3680" s="8"/>
    </row>
    <row r="3681" s="7" customFormat="1" spans="33:33">
      <c r="AG3681" s="8"/>
    </row>
    <row r="3682" s="7" customFormat="1" spans="33:33">
      <c r="AG3682" s="8"/>
    </row>
    <row r="3683" s="7" customFormat="1" spans="33:33">
      <c r="AG3683" s="8"/>
    </row>
    <row r="3684" s="7" customFormat="1" spans="33:33">
      <c r="AG3684" s="8"/>
    </row>
    <row r="3685" s="7" customFormat="1" spans="33:33">
      <c r="AG3685" s="8"/>
    </row>
    <row r="3686" s="7" customFormat="1" spans="33:33">
      <c r="AG3686" s="8"/>
    </row>
    <row r="3687" s="7" customFormat="1" spans="33:33">
      <c r="AG3687" s="8"/>
    </row>
    <row r="3688" s="7" customFormat="1" spans="33:33">
      <c r="AG3688" s="8"/>
    </row>
    <row r="3689" s="7" customFormat="1" spans="33:33">
      <c r="AG3689" s="8"/>
    </row>
    <row r="3690" s="7" customFormat="1" spans="33:33">
      <c r="AG3690" s="8"/>
    </row>
    <row r="3691" s="7" customFormat="1" spans="33:33">
      <c r="AG3691" s="8"/>
    </row>
    <row r="3692" s="7" customFormat="1" spans="33:33">
      <c r="AG3692" s="8"/>
    </row>
    <row r="3693" s="7" customFormat="1" spans="33:33">
      <c r="AG3693" s="8"/>
    </row>
    <row r="3694" s="7" customFormat="1" spans="33:33">
      <c r="AG3694" s="8"/>
    </row>
    <row r="3695" s="7" customFormat="1" spans="33:33">
      <c r="AG3695" s="8"/>
    </row>
    <row r="3696" s="7" customFormat="1" spans="33:33">
      <c r="AG3696" s="8"/>
    </row>
    <row r="3697" s="7" customFormat="1" spans="33:33">
      <c r="AG3697" s="8"/>
    </row>
    <row r="3698" s="7" customFormat="1" spans="33:33">
      <c r="AG3698" s="8"/>
    </row>
    <row r="3699" s="7" customFormat="1" spans="33:33">
      <c r="AG3699" s="8"/>
    </row>
    <row r="3700" s="7" customFormat="1" spans="33:33">
      <c r="AG3700" s="8"/>
    </row>
    <row r="3701" s="7" customFormat="1" spans="33:33">
      <c r="AG3701" s="8"/>
    </row>
    <row r="3702" s="7" customFormat="1" spans="33:33">
      <c r="AG3702" s="8"/>
    </row>
    <row r="3703" s="7" customFormat="1" spans="33:33">
      <c r="AG3703" s="8"/>
    </row>
    <row r="3704" s="7" customFormat="1" spans="33:33">
      <c r="AG3704" s="8"/>
    </row>
    <row r="3705" s="7" customFormat="1" spans="33:33">
      <c r="AG3705" s="8"/>
    </row>
    <row r="3706" s="7" customFormat="1" spans="33:33">
      <c r="AG3706" s="8"/>
    </row>
    <row r="3707" s="7" customFormat="1" spans="33:33">
      <c r="AG3707" s="8"/>
    </row>
    <row r="3708" s="7" customFormat="1" spans="33:33">
      <c r="AG3708" s="8"/>
    </row>
    <row r="3709" s="7" customFormat="1" spans="33:33">
      <c r="AG3709" s="8"/>
    </row>
    <row r="3710" s="7" customFormat="1" spans="33:33">
      <c r="AG3710" s="8"/>
    </row>
    <row r="3711" s="7" customFormat="1" spans="33:33">
      <c r="AG3711" s="8"/>
    </row>
    <row r="3712" s="7" customFormat="1" spans="33:33">
      <c r="AG3712" s="8"/>
    </row>
    <row r="3713" s="7" customFormat="1" spans="33:33">
      <c r="AG3713" s="8"/>
    </row>
    <row r="3714" s="7" customFormat="1" spans="33:33">
      <c r="AG3714" s="8"/>
    </row>
    <row r="3715" s="7" customFormat="1" spans="33:33">
      <c r="AG3715" s="8"/>
    </row>
    <row r="3716" s="7" customFormat="1" spans="33:33">
      <c r="AG3716" s="8"/>
    </row>
    <row r="3717" s="7" customFormat="1" spans="33:33">
      <c r="AG3717" s="8"/>
    </row>
    <row r="3718" s="7" customFormat="1" spans="33:33">
      <c r="AG3718" s="8"/>
    </row>
    <row r="3719" s="7" customFormat="1" spans="33:33">
      <c r="AG3719" s="8"/>
    </row>
    <row r="3720" s="7" customFormat="1" spans="33:33">
      <c r="AG3720" s="8"/>
    </row>
    <row r="3721" s="7" customFormat="1" spans="33:33">
      <c r="AG3721" s="8"/>
    </row>
    <row r="3722" s="7" customFormat="1" spans="33:33">
      <c r="AG3722" s="8"/>
    </row>
    <row r="3723" s="7" customFormat="1" spans="33:33">
      <c r="AG3723" s="8"/>
    </row>
    <row r="3724" s="7" customFormat="1" spans="33:33">
      <c r="AG3724" s="8"/>
    </row>
    <row r="3725" s="7" customFormat="1" spans="33:33">
      <c r="AG3725" s="8"/>
    </row>
    <row r="3726" s="7" customFormat="1" spans="33:33">
      <c r="AG3726" s="8"/>
    </row>
    <row r="3727" s="7" customFormat="1" spans="33:33">
      <c r="AG3727" s="8"/>
    </row>
    <row r="3728" s="7" customFormat="1" spans="33:33">
      <c r="AG3728" s="8"/>
    </row>
    <row r="3729" s="7" customFormat="1" spans="33:33">
      <c r="AG3729" s="8"/>
    </row>
    <row r="3730" s="7" customFormat="1" spans="33:33">
      <c r="AG3730" s="8"/>
    </row>
    <row r="3731" s="7" customFormat="1" spans="33:33">
      <c r="AG3731" s="8"/>
    </row>
    <row r="3732" s="7" customFormat="1" spans="33:33">
      <c r="AG3732" s="8"/>
    </row>
    <row r="3733" s="7" customFormat="1" spans="33:33">
      <c r="AG3733" s="8"/>
    </row>
    <row r="3734" s="7" customFormat="1" spans="33:33">
      <c r="AG3734" s="8"/>
    </row>
    <row r="3735" s="7" customFormat="1" spans="33:33">
      <c r="AG3735" s="8"/>
    </row>
    <row r="3736" s="7" customFormat="1" spans="33:33">
      <c r="AG3736" s="8"/>
    </row>
    <row r="3737" s="7" customFormat="1" spans="33:33">
      <c r="AG3737" s="8"/>
    </row>
    <row r="3738" s="7" customFormat="1" spans="33:33">
      <c r="AG3738" s="8"/>
    </row>
    <row r="3739" s="7" customFormat="1" spans="33:33">
      <c r="AG3739" s="8"/>
    </row>
    <row r="3740" s="7" customFormat="1" spans="33:33">
      <c r="AG3740" s="8"/>
    </row>
    <row r="3741" s="7" customFormat="1" spans="33:33">
      <c r="AG3741" s="8"/>
    </row>
    <row r="3742" s="7" customFormat="1" spans="33:33">
      <c r="AG3742" s="8"/>
    </row>
    <row r="3743" s="7" customFormat="1" spans="33:33">
      <c r="AG3743" s="8"/>
    </row>
    <row r="3744" s="7" customFormat="1" spans="33:33">
      <c r="AG3744" s="8"/>
    </row>
    <row r="3745" s="7" customFormat="1" spans="33:33">
      <c r="AG3745" s="8"/>
    </row>
    <row r="3746" s="7" customFormat="1" spans="33:33">
      <c r="AG3746" s="8"/>
    </row>
    <row r="3747" s="7" customFormat="1" spans="33:33">
      <c r="AG3747" s="8"/>
    </row>
    <row r="3748" s="7" customFormat="1" spans="33:33">
      <c r="AG3748" s="8"/>
    </row>
    <row r="3749" s="7" customFormat="1" spans="33:33">
      <c r="AG3749" s="8"/>
    </row>
    <row r="3750" s="7" customFormat="1" spans="33:33">
      <c r="AG3750" s="8"/>
    </row>
    <row r="3751" s="7" customFormat="1" spans="33:33">
      <c r="AG3751" s="8"/>
    </row>
    <row r="3752" s="7" customFormat="1" spans="33:33">
      <c r="AG3752" s="8"/>
    </row>
    <row r="3753" s="7" customFormat="1" spans="33:33">
      <c r="AG3753" s="8"/>
    </row>
    <row r="3754" s="7" customFormat="1" spans="33:33">
      <c r="AG3754" s="8"/>
    </row>
    <row r="3755" s="7" customFormat="1" spans="33:33">
      <c r="AG3755" s="8"/>
    </row>
    <row r="3756" s="7" customFormat="1" spans="33:33">
      <c r="AG3756" s="8"/>
    </row>
    <row r="3757" s="7" customFormat="1" spans="33:33">
      <c r="AG3757" s="8"/>
    </row>
    <row r="3758" s="7" customFormat="1" spans="33:33">
      <c r="AG3758" s="8"/>
    </row>
    <row r="3759" s="7" customFormat="1" spans="33:33">
      <c r="AG3759" s="8"/>
    </row>
    <row r="3760" s="7" customFormat="1" spans="33:33">
      <c r="AG3760" s="8"/>
    </row>
    <row r="3761" s="7" customFormat="1" spans="33:33">
      <c r="AG3761" s="8"/>
    </row>
    <row r="3762" s="7" customFormat="1" spans="33:33">
      <c r="AG3762" s="8"/>
    </row>
    <row r="3763" s="7" customFormat="1" spans="33:33">
      <c r="AG3763" s="8"/>
    </row>
    <row r="3764" s="7" customFormat="1" spans="33:33">
      <c r="AG3764" s="8"/>
    </row>
    <row r="3765" s="7" customFormat="1" spans="33:33">
      <c r="AG3765" s="8"/>
    </row>
    <row r="3766" s="7" customFormat="1" spans="33:33">
      <c r="AG3766" s="8"/>
    </row>
    <row r="3767" s="7" customFormat="1" spans="33:33">
      <c r="AG3767" s="8"/>
    </row>
    <row r="3768" s="7" customFormat="1" spans="33:33">
      <c r="AG3768" s="8"/>
    </row>
    <row r="3769" s="7" customFormat="1" spans="33:33">
      <c r="AG3769" s="8"/>
    </row>
    <row r="3770" s="7" customFormat="1" spans="33:33">
      <c r="AG3770" s="8"/>
    </row>
    <row r="3771" s="7" customFormat="1" spans="33:33">
      <c r="AG3771" s="8"/>
    </row>
    <row r="3772" s="7" customFormat="1" spans="33:33">
      <c r="AG3772" s="8"/>
    </row>
    <row r="3773" s="7" customFormat="1" spans="33:33">
      <c r="AG3773" s="8"/>
    </row>
    <row r="3774" s="7" customFormat="1" spans="33:33">
      <c r="AG3774" s="8"/>
    </row>
    <row r="3775" s="7" customFormat="1" spans="33:33">
      <c r="AG3775" s="8"/>
    </row>
    <row r="3776" s="7" customFormat="1" spans="33:33">
      <c r="AG3776" s="8"/>
    </row>
    <row r="3777" s="7" customFormat="1" spans="33:33">
      <c r="AG3777" s="8"/>
    </row>
    <row r="3778" s="7" customFormat="1" spans="33:33">
      <c r="AG3778" s="8"/>
    </row>
    <row r="3779" s="7" customFormat="1" spans="33:33">
      <c r="AG3779" s="8"/>
    </row>
    <row r="3780" s="7" customFormat="1" spans="33:33">
      <c r="AG3780" s="8"/>
    </row>
    <row r="3781" s="7" customFormat="1" spans="33:33">
      <c r="AG3781" s="8"/>
    </row>
    <row r="3782" s="7" customFormat="1" spans="33:33">
      <c r="AG3782" s="8"/>
    </row>
    <row r="3783" s="7" customFormat="1" spans="33:33">
      <c r="AG3783" s="8"/>
    </row>
    <row r="3784" s="7" customFormat="1" spans="33:33">
      <c r="AG3784" s="8"/>
    </row>
    <row r="3785" s="7" customFormat="1" spans="33:33">
      <c r="AG3785" s="8"/>
    </row>
    <row r="3786" s="7" customFormat="1" spans="33:33">
      <c r="AG3786" s="8"/>
    </row>
    <row r="3787" s="7" customFormat="1" spans="33:33">
      <c r="AG3787" s="8"/>
    </row>
    <row r="3788" s="7" customFormat="1" spans="33:33">
      <c r="AG3788" s="8"/>
    </row>
    <row r="3789" s="7" customFormat="1" spans="33:33">
      <c r="AG3789" s="8"/>
    </row>
    <row r="3790" s="7" customFormat="1" spans="33:33">
      <c r="AG3790" s="8"/>
    </row>
    <row r="3791" s="7" customFormat="1" spans="33:33">
      <c r="AG3791" s="8"/>
    </row>
    <row r="3792" s="7" customFormat="1" spans="33:33">
      <c r="AG3792" s="8"/>
    </row>
    <row r="3793" s="7" customFormat="1" spans="33:33">
      <c r="AG3793" s="8"/>
    </row>
    <row r="3794" s="7" customFormat="1" spans="33:33">
      <c r="AG3794" s="8"/>
    </row>
    <row r="3795" s="7" customFormat="1" spans="33:33">
      <c r="AG3795" s="8"/>
    </row>
    <row r="3796" s="7" customFormat="1" spans="33:33">
      <c r="AG3796" s="8"/>
    </row>
    <row r="3797" s="7" customFormat="1" spans="33:33">
      <c r="AG3797" s="8"/>
    </row>
    <row r="3798" s="7" customFormat="1" spans="33:33">
      <c r="AG3798" s="8"/>
    </row>
    <row r="3799" s="7" customFormat="1" spans="33:33">
      <c r="AG3799" s="8"/>
    </row>
    <row r="3800" s="7" customFormat="1" spans="33:33">
      <c r="AG3800" s="8"/>
    </row>
    <row r="3801" s="7" customFormat="1" spans="33:33">
      <c r="AG3801" s="8"/>
    </row>
    <row r="3802" s="7" customFormat="1" spans="33:33">
      <c r="AG3802" s="8"/>
    </row>
    <row r="3803" s="7" customFormat="1" spans="33:33">
      <c r="AG3803" s="8"/>
    </row>
    <row r="3804" s="7" customFormat="1" spans="33:33">
      <c r="AG3804" s="8"/>
    </row>
    <row r="3805" s="7" customFormat="1" spans="33:33">
      <c r="AG3805" s="8"/>
    </row>
    <row r="3806" s="7" customFormat="1" spans="33:33">
      <c r="AG3806" s="8"/>
    </row>
    <row r="3807" s="7" customFormat="1" spans="33:33">
      <c r="AG3807" s="8"/>
    </row>
    <row r="3808" s="7" customFormat="1" spans="33:33">
      <c r="AG3808" s="8"/>
    </row>
    <row r="3809" s="7" customFormat="1" spans="33:33">
      <c r="AG3809" s="8"/>
    </row>
    <row r="3810" s="7" customFormat="1" spans="33:33">
      <c r="AG3810" s="8"/>
    </row>
    <row r="3811" s="7" customFormat="1" spans="33:33">
      <c r="AG3811" s="8"/>
    </row>
    <row r="3812" s="7" customFormat="1" spans="33:33">
      <c r="AG3812" s="8"/>
    </row>
    <row r="3813" s="7" customFormat="1" spans="33:33">
      <c r="AG3813" s="8"/>
    </row>
    <row r="3814" s="7" customFormat="1" spans="33:33">
      <c r="AG3814" s="8"/>
    </row>
    <row r="3815" s="7" customFormat="1" spans="33:33">
      <c r="AG3815" s="8"/>
    </row>
    <row r="3816" s="7" customFormat="1" spans="33:33">
      <c r="AG3816" s="8"/>
    </row>
    <row r="3817" s="7" customFormat="1" spans="33:33">
      <c r="AG3817" s="8"/>
    </row>
    <row r="3818" s="7" customFormat="1" spans="33:33">
      <c r="AG3818" s="8"/>
    </row>
    <row r="3819" s="7" customFormat="1" spans="33:33">
      <c r="AG3819" s="8"/>
    </row>
    <row r="3820" s="7" customFormat="1" spans="33:33">
      <c r="AG3820" s="8"/>
    </row>
    <row r="3821" s="7" customFormat="1" spans="33:33">
      <c r="AG3821" s="8"/>
    </row>
    <row r="3822" s="7" customFormat="1" spans="33:33">
      <c r="AG3822" s="8"/>
    </row>
    <row r="3823" s="7" customFormat="1" spans="33:33">
      <c r="AG3823" s="8"/>
    </row>
    <row r="3824" s="7" customFormat="1" spans="33:33">
      <c r="AG3824" s="8"/>
    </row>
    <row r="3825" s="7" customFormat="1" spans="33:33">
      <c r="AG3825" s="8"/>
    </row>
    <row r="3826" s="7" customFormat="1" spans="33:33">
      <c r="AG3826" s="8"/>
    </row>
    <row r="3827" s="7" customFormat="1" spans="33:33">
      <c r="AG3827" s="8"/>
    </row>
    <row r="3828" s="7" customFormat="1" spans="33:33">
      <c r="AG3828" s="8"/>
    </row>
    <row r="3829" s="7" customFormat="1" spans="33:33">
      <c r="AG3829" s="8"/>
    </row>
    <row r="3830" s="7" customFormat="1" spans="33:33">
      <c r="AG3830" s="8"/>
    </row>
    <row r="3831" s="7" customFormat="1" spans="33:33">
      <c r="AG3831" s="8"/>
    </row>
    <row r="3832" s="7" customFormat="1" spans="33:33">
      <c r="AG3832" s="8"/>
    </row>
    <row r="3833" s="7" customFormat="1" spans="33:33">
      <c r="AG3833" s="8"/>
    </row>
    <row r="3834" s="7" customFormat="1" spans="33:33">
      <c r="AG3834" s="8"/>
    </row>
    <row r="3835" s="7" customFormat="1" spans="33:33">
      <c r="AG3835" s="8"/>
    </row>
    <row r="3836" s="7" customFormat="1" spans="33:33">
      <c r="AG3836" s="8"/>
    </row>
    <row r="3837" s="7" customFormat="1" spans="33:33">
      <c r="AG3837" s="8"/>
    </row>
    <row r="3838" s="7" customFormat="1" spans="33:33">
      <c r="AG3838" s="8"/>
    </row>
    <row r="3839" s="7" customFormat="1" spans="33:33">
      <c r="AG3839" s="8"/>
    </row>
    <row r="3840" s="7" customFormat="1" spans="33:33">
      <c r="AG3840" s="8"/>
    </row>
    <row r="3841" s="7" customFormat="1" spans="33:33">
      <c r="AG3841" s="8"/>
    </row>
    <row r="3842" s="7" customFormat="1" spans="33:33">
      <c r="AG3842" s="8"/>
    </row>
    <row r="3843" s="7" customFormat="1" spans="33:33">
      <c r="AG3843" s="8"/>
    </row>
    <row r="3844" s="7" customFormat="1" spans="33:33">
      <c r="AG3844" s="8"/>
    </row>
    <row r="3845" s="7" customFormat="1" spans="33:33">
      <c r="AG3845" s="8"/>
    </row>
    <row r="3846" s="7" customFormat="1" spans="33:33">
      <c r="AG3846" s="8"/>
    </row>
    <row r="3847" s="7" customFormat="1" spans="33:33">
      <c r="AG3847" s="8"/>
    </row>
    <row r="3848" s="7" customFormat="1" spans="33:33">
      <c r="AG3848" s="8"/>
    </row>
    <row r="3849" s="7" customFormat="1" spans="33:33">
      <c r="AG3849" s="8"/>
    </row>
    <row r="3850" s="7" customFormat="1" spans="33:33">
      <c r="AG3850" s="8"/>
    </row>
    <row r="3851" s="7" customFormat="1" spans="33:33">
      <c r="AG3851" s="8"/>
    </row>
    <row r="3852" s="7" customFormat="1" spans="33:33">
      <c r="AG3852" s="8"/>
    </row>
    <row r="3853" s="7" customFormat="1" spans="33:33">
      <c r="AG3853" s="8"/>
    </row>
    <row r="3854" s="7" customFormat="1" spans="33:33">
      <c r="AG3854" s="8"/>
    </row>
    <row r="3855" s="7" customFormat="1" spans="33:33">
      <c r="AG3855" s="8"/>
    </row>
    <row r="3856" s="7" customFormat="1" spans="33:33">
      <c r="AG3856" s="8"/>
    </row>
    <row r="3857" s="7" customFormat="1" spans="33:33">
      <c r="AG3857" s="8"/>
    </row>
    <row r="3858" s="7" customFormat="1" spans="33:33">
      <c r="AG3858" s="8"/>
    </row>
    <row r="3859" s="7" customFormat="1" spans="33:33">
      <c r="AG3859" s="8"/>
    </row>
    <row r="3860" s="7" customFormat="1" spans="33:33">
      <c r="AG3860" s="8"/>
    </row>
    <row r="3861" s="7" customFormat="1" spans="33:33">
      <c r="AG3861" s="8"/>
    </row>
    <row r="3862" s="7" customFormat="1" spans="33:33">
      <c r="AG3862" s="8"/>
    </row>
    <row r="3863" s="7" customFormat="1" spans="33:33">
      <c r="AG3863" s="8"/>
    </row>
    <row r="3864" s="7" customFormat="1" spans="33:33">
      <c r="AG3864" s="8"/>
    </row>
    <row r="3865" s="7" customFormat="1" spans="33:33">
      <c r="AG3865" s="8"/>
    </row>
    <row r="3866" s="7" customFormat="1" spans="33:33">
      <c r="AG3866" s="8"/>
    </row>
    <row r="3867" s="7" customFormat="1" spans="33:33">
      <c r="AG3867" s="8"/>
    </row>
    <row r="3868" s="7" customFormat="1" spans="33:33">
      <c r="AG3868" s="8"/>
    </row>
    <row r="3869" s="7" customFormat="1" spans="33:33">
      <c r="AG3869" s="8"/>
    </row>
    <row r="3870" s="7" customFormat="1" spans="33:33">
      <c r="AG3870" s="8"/>
    </row>
    <row r="3871" s="7" customFormat="1" spans="33:33">
      <c r="AG3871" s="8"/>
    </row>
    <row r="3872" s="7" customFormat="1" spans="33:33">
      <c r="AG3872" s="8"/>
    </row>
    <row r="3873" s="7" customFormat="1" spans="33:33">
      <c r="AG3873" s="8"/>
    </row>
    <row r="3874" s="7" customFormat="1" spans="33:33">
      <c r="AG3874" s="8"/>
    </row>
    <row r="3875" s="7" customFormat="1" spans="33:33">
      <c r="AG3875" s="8"/>
    </row>
    <row r="3876" s="7" customFormat="1" spans="33:33">
      <c r="AG3876" s="8"/>
    </row>
    <row r="3877" s="7" customFormat="1" spans="33:33">
      <c r="AG3877" s="8"/>
    </row>
    <row r="3878" s="7" customFormat="1" spans="33:33">
      <c r="AG3878" s="8"/>
    </row>
    <row r="3879" s="7" customFormat="1" spans="33:33">
      <c r="AG3879" s="8"/>
    </row>
    <row r="3880" s="7" customFormat="1" spans="33:33">
      <c r="AG3880" s="8"/>
    </row>
    <row r="3881" s="7" customFormat="1" spans="33:33">
      <c r="AG3881" s="8"/>
    </row>
    <row r="3882" s="7" customFormat="1" spans="33:33">
      <c r="AG3882" s="8"/>
    </row>
    <row r="3883" s="7" customFormat="1" spans="33:33">
      <c r="AG3883" s="8"/>
    </row>
    <row r="3884" s="7" customFormat="1" spans="33:33">
      <c r="AG3884" s="8"/>
    </row>
    <row r="3885" s="7" customFormat="1" spans="33:33">
      <c r="AG3885" s="8"/>
    </row>
    <row r="3886" s="7" customFormat="1" spans="33:33">
      <c r="AG3886" s="8"/>
    </row>
    <row r="3887" s="7" customFormat="1" spans="33:33">
      <c r="AG3887" s="8"/>
    </row>
    <row r="3888" s="7" customFormat="1" spans="33:33">
      <c r="AG3888" s="8"/>
    </row>
    <row r="3889" s="7" customFormat="1" spans="33:33">
      <c r="AG3889" s="8"/>
    </row>
    <row r="3890" s="7" customFormat="1" spans="33:33">
      <c r="AG3890" s="8"/>
    </row>
    <row r="3891" s="7" customFormat="1" spans="33:33">
      <c r="AG3891" s="8"/>
    </row>
    <row r="3892" s="7" customFormat="1" spans="33:33">
      <c r="AG3892" s="8"/>
    </row>
    <row r="3893" s="7" customFormat="1" spans="33:33">
      <c r="AG3893" s="8"/>
    </row>
    <row r="3894" s="7" customFormat="1" spans="33:33">
      <c r="AG3894" s="8"/>
    </row>
    <row r="3895" s="7" customFormat="1" spans="33:33">
      <c r="AG3895" s="8"/>
    </row>
    <row r="3896" s="7" customFormat="1" spans="33:33">
      <c r="AG3896" s="8"/>
    </row>
    <row r="3897" s="7" customFormat="1" spans="33:33">
      <c r="AG3897" s="8"/>
    </row>
    <row r="3898" s="7" customFormat="1" spans="33:33">
      <c r="AG3898" s="8"/>
    </row>
    <row r="3899" s="7" customFormat="1" spans="33:33">
      <c r="AG3899" s="8"/>
    </row>
    <row r="3900" s="7" customFormat="1" spans="33:33">
      <c r="AG3900" s="8"/>
    </row>
    <row r="3901" s="7" customFormat="1" spans="33:33">
      <c r="AG3901" s="8"/>
    </row>
    <row r="3902" s="7" customFormat="1" spans="33:33">
      <c r="AG3902" s="8"/>
    </row>
    <row r="3903" s="7" customFormat="1" spans="33:33">
      <c r="AG3903" s="8"/>
    </row>
    <row r="3904" s="7" customFormat="1" spans="33:33">
      <c r="AG3904" s="8"/>
    </row>
    <row r="3905" s="7" customFormat="1" spans="33:33">
      <c r="AG3905" s="8"/>
    </row>
    <row r="3906" s="7" customFormat="1" spans="33:33">
      <c r="AG3906" s="8"/>
    </row>
    <row r="3907" s="7" customFormat="1" spans="33:33">
      <c r="AG3907" s="8"/>
    </row>
    <row r="3908" s="7" customFormat="1" spans="33:33">
      <c r="AG3908" s="8"/>
    </row>
    <row r="3909" s="7" customFormat="1" spans="33:33">
      <c r="AG3909" s="8"/>
    </row>
    <row r="3910" s="7" customFormat="1" spans="33:33">
      <c r="AG3910" s="8"/>
    </row>
    <row r="3911" s="7" customFormat="1" spans="33:33">
      <c r="AG3911" s="8"/>
    </row>
    <row r="3912" s="7" customFormat="1" spans="33:33">
      <c r="AG3912" s="8"/>
    </row>
    <row r="3913" s="7" customFormat="1" spans="33:33">
      <c r="AG3913" s="8"/>
    </row>
    <row r="3914" s="7" customFormat="1" spans="33:33">
      <c r="AG3914" s="8"/>
    </row>
    <row r="3915" s="7" customFormat="1" spans="33:33">
      <c r="AG3915" s="8"/>
    </row>
    <row r="3916" s="7" customFormat="1" spans="33:33">
      <c r="AG3916" s="8"/>
    </row>
    <row r="3917" s="7" customFormat="1" spans="33:33">
      <c r="AG3917" s="8"/>
    </row>
    <row r="3918" s="7" customFormat="1" spans="33:33">
      <c r="AG3918" s="8"/>
    </row>
    <row r="3919" s="7" customFormat="1" spans="33:33">
      <c r="AG3919" s="8"/>
    </row>
    <row r="3920" s="7" customFormat="1" spans="33:33">
      <c r="AG3920" s="8"/>
    </row>
    <row r="3921" s="7" customFormat="1" spans="33:33">
      <c r="AG3921" s="8"/>
    </row>
    <row r="3922" s="7" customFormat="1" spans="33:33">
      <c r="AG3922" s="8"/>
    </row>
    <row r="3923" s="7" customFormat="1" spans="33:33">
      <c r="AG3923" s="8"/>
    </row>
    <row r="3924" s="7" customFormat="1" spans="33:33">
      <c r="AG3924" s="8"/>
    </row>
    <row r="3925" s="7" customFormat="1" spans="33:33">
      <c r="AG3925" s="8"/>
    </row>
    <row r="3926" s="7" customFormat="1" spans="33:33">
      <c r="AG3926" s="8"/>
    </row>
    <row r="3927" s="7" customFormat="1" spans="33:33">
      <c r="AG3927" s="8"/>
    </row>
    <row r="3928" s="7" customFormat="1" spans="33:33">
      <c r="AG3928" s="8"/>
    </row>
    <row r="3929" s="7" customFormat="1" spans="33:33">
      <c r="AG3929" s="8"/>
    </row>
    <row r="3930" s="7" customFormat="1" spans="33:33">
      <c r="AG3930" s="8"/>
    </row>
    <row r="3931" s="7" customFormat="1" spans="33:33">
      <c r="AG3931" s="8"/>
    </row>
    <row r="3932" s="7" customFormat="1" spans="33:33">
      <c r="AG3932" s="8"/>
    </row>
    <row r="3933" s="7" customFormat="1" spans="33:33">
      <c r="AG3933" s="8"/>
    </row>
    <row r="3934" s="7" customFormat="1" spans="33:33">
      <c r="AG3934" s="8"/>
    </row>
    <row r="3935" s="7" customFormat="1" spans="33:33">
      <c r="AG3935" s="8"/>
    </row>
    <row r="3936" s="7" customFormat="1" spans="33:33">
      <c r="AG3936" s="8"/>
    </row>
    <row r="3937" s="7" customFormat="1" spans="33:33">
      <c r="AG3937" s="8"/>
    </row>
    <row r="3938" s="7" customFormat="1" spans="33:33">
      <c r="AG3938" s="8"/>
    </row>
    <row r="3939" s="7" customFormat="1" spans="33:33">
      <c r="AG3939" s="8"/>
    </row>
    <row r="3940" s="7" customFormat="1" spans="33:33">
      <c r="AG3940" s="8"/>
    </row>
    <row r="3941" s="7" customFormat="1" spans="33:33">
      <c r="AG3941" s="8"/>
    </row>
    <row r="3942" s="7" customFormat="1" spans="33:33">
      <c r="AG3942" s="8"/>
    </row>
    <row r="3943" s="7" customFormat="1" spans="33:33">
      <c r="AG3943" s="8"/>
    </row>
    <row r="3944" s="7" customFormat="1" spans="33:33">
      <c r="AG3944" s="8"/>
    </row>
    <row r="3945" s="7" customFormat="1" spans="33:33">
      <c r="AG3945" s="8"/>
    </row>
    <row r="3946" s="7" customFormat="1" spans="33:33">
      <c r="AG3946" s="8"/>
    </row>
    <row r="3947" s="7" customFormat="1" spans="33:33">
      <c r="AG3947" s="8"/>
    </row>
    <row r="3948" s="7" customFormat="1" spans="33:33">
      <c r="AG3948" s="8"/>
    </row>
    <row r="3949" s="7" customFormat="1" spans="33:33">
      <c r="AG3949" s="8"/>
    </row>
    <row r="3950" s="7" customFormat="1" spans="33:33">
      <c r="AG3950" s="8"/>
    </row>
    <row r="3951" s="7" customFormat="1" spans="33:33">
      <c r="AG3951" s="8"/>
    </row>
    <row r="3952" s="7" customFormat="1" spans="33:33">
      <c r="AG3952" s="8"/>
    </row>
    <row r="3953" s="7" customFormat="1" spans="33:33">
      <c r="AG3953" s="8"/>
    </row>
    <row r="3954" s="7" customFormat="1" spans="33:33">
      <c r="AG3954" s="8"/>
    </row>
    <row r="3955" s="7" customFormat="1" spans="33:33">
      <c r="AG3955" s="8"/>
    </row>
    <row r="3956" s="7" customFormat="1" spans="33:33">
      <c r="AG3956" s="8"/>
    </row>
    <row r="3957" s="7" customFormat="1" spans="33:33">
      <c r="AG3957" s="8"/>
    </row>
    <row r="3958" s="7" customFormat="1" spans="33:33">
      <c r="AG3958" s="8"/>
    </row>
    <row r="3959" s="7" customFormat="1" spans="33:33">
      <c r="AG3959" s="8"/>
    </row>
    <row r="3960" s="7" customFormat="1" spans="33:33">
      <c r="AG3960" s="8"/>
    </row>
    <row r="3961" s="7" customFormat="1" spans="33:33">
      <c r="AG3961" s="8"/>
    </row>
    <row r="3962" s="7" customFormat="1" spans="33:33">
      <c r="AG3962" s="8"/>
    </row>
    <row r="3963" s="7" customFormat="1" spans="33:33">
      <c r="AG3963" s="8"/>
    </row>
    <row r="3964" s="7" customFormat="1" spans="33:33">
      <c r="AG3964" s="8"/>
    </row>
    <row r="3965" s="7" customFormat="1" spans="33:33">
      <c r="AG3965" s="8"/>
    </row>
    <row r="3966" s="7" customFormat="1" spans="33:33">
      <c r="AG3966" s="8"/>
    </row>
    <row r="3967" s="7" customFormat="1" spans="33:33">
      <c r="AG3967" s="8"/>
    </row>
    <row r="3968" s="7" customFormat="1" spans="33:33">
      <c r="AG3968" s="8"/>
    </row>
    <row r="3969" s="7" customFormat="1" spans="33:33">
      <c r="AG3969" s="8"/>
    </row>
    <row r="3970" s="7" customFormat="1" spans="33:33">
      <c r="AG3970" s="8"/>
    </row>
    <row r="3971" s="7" customFormat="1" spans="33:33">
      <c r="AG3971" s="8"/>
    </row>
    <row r="3972" s="7" customFormat="1" spans="33:33">
      <c r="AG3972" s="8"/>
    </row>
    <row r="3973" s="7" customFormat="1" spans="33:33">
      <c r="AG3973" s="8"/>
    </row>
    <row r="3974" s="7" customFormat="1" spans="33:33">
      <c r="AG3974" s="8"/>
    </row>
    <row r="3975" s="7" customFormat="1" spans="33:33">
      <c r="AG3975" s="8"/>
    </row>
    <row r="3976" s="7" customFormat="1" spans="33:33">
      <c r="AG3976" s="8"/>
    </row>
    <row r="3977" s="7" customFormat="1" spans="33:33">
      <c r="AG3977" s="8"/>
    </row>
    <row r="3978" s="7" customFormat="1" spans="33:33">
      <c r="AG3978" s="8"/>
    </row>
    <row r="3979" s="7" customFormat="1" spans="33:33">
      <c r="AG3979" s="8"/>
    </row>
    <row r="3980" s="7" customFormat="1" spans="33:33">
      <c r="AG3980" s="8"/>
    </row>
    <row r="3981" s="7" customFormat="1" spans="33:33">
      <c r="AG3981" s="8"/>
    </row>
    <row r="3982" s="7" customFormat="1" spans="33:33">
      <c r="AG3982" s="8"/>
    </row>
    <row r="3983" s="7" customFormat="1" spans="33:33">
      <c r="AG3983" s="8"/>
    </row>
    <row r="3984" s="7" customFormat="1" spans="33:33">
      <c r="AG3984" s="8"/>
    </row>
    <row r="3985" s="7" customFormat="1" spans="33:33">
      <c r="AG3985" s="8"/>
    </row>
    <row r="3986" s="7" customFormat="1" spans="33:33">
      <c r="AG3986" s="8"/>
    </row>
    <row r="3987" s="7" customFormat="1" spans="33:33">
      <c r="AG3987" s="8"/>
    </row>
    <row r="3988" s="7" customFormat="1" spans="33:33">
      <c r="AG3988" s="8"/>
    </row>
    <row r="3989" s="7" customFormat="1" spans="33:33">
      <c r="AG3989" s="8"/>
    </row>
    <row r="3990" s="7" customFormat="1" spans="33:33">
      <c r="AG3990" s="8"/>
    </row>
    <row r="3991" s="7" customFormat="1" spans="33:33">
      <c r="AG3991" s="8"/>
    </row>
    <row r="3992" s="7" customFormat="1" spans="33:33">
      <c r="AG3992" s="8"/>
    </row>
    <row r="3993" s="7" customFormat="1" spans="33:33">
      <c r="AG3993" s="8"/>
    </row>
    <row r="3994" s="7" customFormat="1" spans="33:33">
      <c r="AG3994" s="8"/>
    </row>
    <row r="3995" s="7" customFormat="1" spans="33:33">
      <c r="AG3995" s="8"/>
    </row>
    <row r="3996" s="7" customFormat="1" spans="33:33">
      <c r="AG3996" s="8"/>
    </row>
    <row r="3997" s="7" customFormat="1" spans="33:33">
      <c r="AG3997" s="8"/>
    </row>
    <row r="3998" s="7" customFormat="1" spans="33:33">
      <c r="AG3998" s="8"/>
    </row>
    <row r="3999" s="7" customFormat="1" spans="33:33">
      <c r="AG3999" s="8"/>
    </row>
    <row r="4000" s="7" customFormat="1" spans="33:33">
      <c r="AG4000" s="8"/>
    </row>
    <row r="4001" s="7" customFormat="1" spans="33:33">
      <c r="AG4001" s="8"/>
    </row>
    <row r="4002" s="7" customFormat="1" spans="33:33">
      <c r="AG4002" s="8"/>
    </row>
    <row r="4003" s="7" customFormat="1" spans="33:33">
      <c r="AG4003" s="8"/>
    </row>
    <row r="4004" s="7" customFormat="1" spans="33:33">
      <c r="AG4004" s="8"/>
    </row>
    <row r="4005" s="7" customFormat="1" spans="33:33">
      <c r="AG4005" s="8"/>
    </row>
    <row r="4006" s="7" customFormat="1" spans="33:33">
      <c r="AG4006" s="8"/>
    </row>
    <row r="4007" s="7" customFormat="1" spans="33:33">
      <c r="AG4007" s="8"/>
    </row>
    <row r="4008" s="7" customFormat="1" spans="33:33">
      <c r="AG4008" s="8"/>
    </row>
    <row r="4009" s="7" customFormat="1" spans="33:33">
      <c r="AG4009" s="8"/>
    </row>
    <row r="4010" s="7" customFormat="1" spans="33:33">
      <c r="AG4010" s="8"/>
    </row>
    <row r="4011" s="7" customFormat="1" spans="33:33">
      <c r="AG4011" s="8"/>
    </row>
    <row r="4012" s="7" customFormat="1" spans="33:33">
      <c r="AG4012" s="8"/>
    </row>
    <row r="4013" s="7" customFormat="1" spans="33:33">
      <c r="AG4013" s="8"/>
    </row>
    <row r="4014" s="7" customFormat="1" spans="33:33">
      <c r="AG4014" s="8"/>
    </row>
    <row r="4015" s="7" customFormat="1" spans="33:33">
      <c r="AG4015" s="8"/>
    </row>
    <row r="4016" s="7" customFormat="1" spans="33:33">
      <c r="AG4016" s="8"/>
    </row>
    <row r="4017" s="7" customFormat="1" spans="33:33">
      <c r="AG4017" s="8"/>
    </row>
    <row r="4018" s="7" customFormat="1" spans="33:33">
      <c r="AG4018" s="8"/>
    </row>
    <row r="4019" s="7" customFormat="1" spans="33:33">
      <c r="AG4019" s="8"/>
    </row>
    <row r="4020" s="7" customFormat="1" spans="33:33">
      <c r="AG4020" s="8"/>
    </row>
    <row r="4021" s="7" customFormat="1" spans="33:33">
      <c r="AG4021" s="8"/>
    </row>
    <row r="4022" s="7" customFormat="1" spans="33:33">
      <c r="AG4022" s="8"/>
    </row>
    <row r="4023" s="7" customFormat="1" spans="33:33">
      <c r="AG4023" s="8"/>
    </row>
    <row r="4024" s="7" customFormat="1" spans="33:33">
      <c r="AG4024" s="8"/>
    </row>
    <row r="4025" s="7" customFormat="1" spans="33:33">
      <c r="AG4025" s="8"/>
    </row>
    <row r="4026" s="7" customFormat="1" spans="33:33">
      <c r="AG4026" s="8"/>
    </row>
    <row r="4027" s="7" customFormat="1" spans="33:33">
      <c r="AG4027" s="8"/>
    </row>
    <row r="4028" s="7" customFormat="1" spans="33:33">
      <c r="AG4028" s="8"/>
    </row>
    <row r="4029" s="7" customFormat="1" spans="33:33">
      <c r="AG4029" s="8"/>
    </row>
    <row r="4030" s="7" customFormat="1" spans="33:33">
      <c r="AG4030" s="8"/>
    </row>
    <row r="4031" s="7" customFormat="1" spans="33:33">
      <c r="AG4031" s="8"/>
    </row>
    <row r="4032" s="7" customFormat="1" spans="33:33">
      <c r="AG4032" s="8"/>
    </row>
    <row r="4033" s="7" customFormat="1" spans="33:33">
      <c r="AG4033" s="8"/>
    </row>
    <row r="4034" s="7" customFormat="1" spans="33:33">
      <c r="AG4034" s="8"/>
    </row>
    <row r="4035" s="7" customFormat="1" spans="33:33">
      <c r="AG4035" s="8"/>
    </row>
    <row r="4036" s="7" customFormat="1" spans="33:33">
      <c r="AG4036" s="8"/>
    </row>
    <row r="4037" s="7" customFormat="1" spans="33:33">
      <c r="AG4037" s="8"/>
    </row>
    <row r="4038" s="7" customFormat="1" spans="33:33">
      <c r="AG4038" s="8"/>
    </row>
    <row r="4039" s="7" customFormat="1" spans="33:33">
      <c r="AG4039" s="8"/>
    </row>
    <row r="4040" s="7" customFormat="1" spans="33:33">
      <c r="AG4040" s="8"/>
    </row>
    <row r="4041" s="7" customFormat="1" spans="33:33">
      <c r="AG4041" s="8"/>
    </row>
    <row r="4042" s="7" customFormat="1" spans="33:33">
      <c r="AG4042" s="8"/>
    </row>
    <row r="4043" s="7" customFormat="1" spans="33:33">
      <c r="AG4043" s="8"/>
    </row>
    <row r="4044" s="7" customFormat="1" spans="33:33">
      <c r="AG4044" s="8"/>
    </row>
    <row r="4045" s="7" customFormat="1" spans="33:33">
      <c r="AG4045" s="8"/>
    </row>
    <row r="4046" s="7" customFormat="1" spans="33:33">
      <c r="AG4046" s="8"/>
    </row>
    <row r="4047" s="7" customFormat="1" spans="33:33">
      <c r="AG4047" s="8"/>
    </row>
    <row r="4048" s="7" customFormat="1" spans="33:33">
      <c r="AG4048" s="8"/>
    </row>
    <row r="4049" s="7" customFormat="1" spans="33:33">
      <c r="AG4049" s="8"/>
    </row>
    <row r="4050" s="7" customFormat="1" spans="33:33">
      <c r="AG4050" s="8"/>
    </row>
    <row r="4051" s="7" customFormat="1" spans="33:33">
      <c r="AG4051" s="8"/>
    </row>
    <row r="4052" s="7" customFormat="1" spans="33:33">
      <c r="AG4052" s="8"/>
    </row>
    <row r="4053" s="7" customFormat="1" spans="33:33">
      <c r="AG4053" s="8"/>
    </row>
    <row r="4054" s="7" customFormat="1" spans="33:33">
      <c r="AG4054" s="8"/>
    </row>
    <row r="4055" s="7" customFormat="1" spans="33:33">
      <c r="AG4055" s="8"/>
    </row>
    <row r="4056" s="7" customFormat="1" spans="33:33">
      <c r="AG4056" s="8"/>
    </row>
    <row r="4057" s="7" customFormat="1" spans="33:33">
      <c r="AG4057" s="8"/>
    </row>
    <row r="4058" s="7" customFormat="1" spans="33:33">
      <c r="AG4058" s="8"/>
    </row>
    <row r="4059" s="7" customFormat="1" spans="33:33">
      <c r="AG4059" s="8"/>
    </row>
    <row r="4060" s="7" customFormat="1" spans="33:33">
      <c r="AG4060" s="8"/>
    </row>
    <row r="4061" s="7" customFormat="1" spans="33:33">
      <c r="AG4061" s="8"/>
    </row>
    <row r="4062" s="7" customFormat="1" spans="33:33">
      <c r="AG4062" s="8"/>
    </row>
    <row r="4063" s="7" customFormat="1" spans="33:33">
      <c r="AG4063" s="8"/>
    </row>
    <row r="4064" s="7" customFormat="1" spans="33:33">
      <c r="AG4064" s="8"/>
    </row>
    <row r="4065" s="7" customFormat="1" spans="33:33">
      <c r="AG4065" s="8"/>
    </row>
    <row r="4066" s="7" customFormat="1" spans="33:33">
      <c r="AG4066" s="8"/>
    </row>
    <row r="4067" s="7" customFormat="1" spans="33:33">
      <c r="AG4067" s="8"/>
    </row>
    <row r="4068" s="7" customFormat="1" spans="33:33">
      <c r="AG4068" s="8"/>
    </row>
    <row r="4069" s="7" customFormat="1" spans="33:33">
      <c r="AG4069" s="8"/>
    </row>
    <row r="4070" s="7" customFormat="1" spans="33:33">
      <c r="AG4070" s="8"/>
    </row>
    <row r="4071" s="7" customFormat="1" spans="33:33">
      <c r="AG4071" s="8"/>
    </row>
    <row r="4072" s="7" customFormat="1" spans="33:33">
      <c r="AG4072" s="8"/>
    </row>
    <row r="4073" s="7" customFormat="1" spans="33:33">
      <c r="AG4073" s="8"/>
    </row>
    <row r="4074" s="7" customFormat="1" spans="33:33">
      <c r="AG4074" s="8"/>
    </row>
    <row r="4075" s="7" customFormat="1" spans="33:33">
      <c r="AG4075" s="8"/>
    </row>
    <row r="4076" s="7" customFormat="1" spans="33:33">
      <c r="AG4076" s="8"/>
    </row>
    <row r="4077" s="7" customFormat="1" spans="33:33">
      <c r="AG4077" s="8"/>
    </row>
    <row r="4078" s="7" customFormat="1" spans="33:33">
      <c r="AG4078" s="8"/>
    </row>
    <row r="4079" s="7" customFormat="1" spans="33:33">
      <c r="AG4079" s="8"/>
    </row>
    <row r="4080" s="7" customFormat="1" spans="33:33">
      <c r="AG4080" s="8"/>
    </row>
    <row r="4081" s="7" customFormat="1" spans="33:33">
      <c r="AG4081" s="8"/>
    </row>
    <row r="4082" s="7" customFormat="1" spans="33:33">
      <c r="AG4082" s="8"/>
    </row>
    <row r="4083" s="7" customFormat="1" spans="33:33">
      <c r="AG4083" s="8"/>
    </row>
    <row r="4084" s="7" customFormat="1" spans="33:33">
      <c r="AG4084" s="8"/>
    </row>
    <row r="4085" s="7" customFormat="1" spans="33:33">
      <c r="AG4085" s="8"/>
    </row>
    <row r="4086" s="7" customFormat="1" spans="33:33">
      <c r="AG4086" s="8"/>
    </row>
    <row r="4087" s="7" customFormat="1" spans="33:33">
      <c r="AG4087" s="8"/>
    </row>
    <row r="4088" s="7" customFormat="1" spans="33:33">
      <c r="AG4088" s="8"/>
    </row>
    <row r="4089" s="7" customFormat="1" spans="33:33">
      <c r="AG4089" s="8"/>
    </row>
    <row r="4090" s="7" customFormat="1" spans="33:33">
      <c r="AG4090" s="8"/>
    </row>
    <row r="4091" s="7" customFormat="1" spans="33:33">
      <c r="AG4091" s="8"/>
    </row>
    <row r="4092" s="7" customFormat="1" spans="33:33">
      <c r="AG4092" s="8"/>
    </row>
    <row r="4093" s="7" customFormat="1" spans="33:33">
      <c r="AG4093" s="8"/>
    </row>
    <row r="4094" s="7" customFormat="1" spans="33:33">
      <c r="AG4094" s="8"/>
    </row>
    <row r="4095" s="7" customFormat="1" spans="33:33">
      <c r="AG4095" s="8"/>
    </row>
    <row r="4096" s="7" customFormat="1" spans="33:33">
      <c r="AG4096" s="8"/>
    </row>
    <row r="4097" s="7" customFormat="1" spans="33:33">
      <c r="AG4097" s="8"/>
    </row>
    <row r="4098" s="7" customFormat="1" spans="33:33">
      <c r="AG4098" s="8"/>
    </row>
    <row r="4099" s="7" customFormat="1" spans="33:33">
      <c r="AG4099" s="8"/>
    </row>
    <row r="4100" s="7" customFormat="1" spans="33:33">
      <c r="AG4100" s="8"/>
    </row>
    <row r="4101" s="7" customFormat="1" spans="33:33">
      <c r="AG4101" s="8"/>
    </row>
    <row r="4102" s="7" customFormat="1" spans="33:33">
      <c r="AG4102" s="8"/>
    </row>
    <row r="4103" s="7" customFormat="1" spans="33:33">
      <c r="AG4103" s="8"/>
    </row>
    <row r="4104" s="7" customFormat="1" spans="33:33">
      <c r="AG4104" s="8"/>
    </row>
    <row r="4105" s="7" customFormat="1" spans="33:33">
      <c r="AG4105" s="8"/>
    </row>
    <row r="4106" s="7" customFormat="1" spans="33:33">
      <c r="AG4106" s="8"/>
    </row>
    <row r="4107" s="7" customFormat="1" spans="33:33">
      <c r="AG4107" s="8"/>
    </row>
    <row r="4108" s="7" customFormat="1" spans="33:33">
      <c r="AG4108" s="8"/>
    </row>
    <row r="4109" s="7" customFormat="1" spans="33:33">
      <c r="AG4109" s="8"/>
    </row>
    <row r="4110" s="7" customFormat="1" spans="33:33">
      <c r="AG4110" s="8"/>
    </row>
    <row r="4111" s="7" customFormat="1" spans="33:33">
      <c r="AG4111" s="8"/>
    </row>
    <row r="4112" s="7" customFormat="1" spans="33:33">
      <c r="AG4112" s="8"/>
    </row>
    <row r="4113" s="7" customFormat="1" spans="33:33">
      <c r="AG4113" s="8"/>
    </row>
    <row r="4114" s="7" customFormat="1" spans="33:33">
      <c r="AG4114" s="8"/>
    </row>
    <row r="4115" s="7" customFormat="1" spans="33:33">
      <c r="AG4115" s="8"/>
    </row>
    <row r="4116" s="7" customFormat="1" spans="33:33">
      <c r="AG4116" s="8"/>
    </row>
    <row r="4117" s="7" customFormat="1" spans="33:33">
      <c r="AG4117" s="8"/>
    </row>
    <row r="4118" s="7" customFormat="1" spans="33:33">
      <c r="AG4118" s="8"/>
    </row>
    <row r="4119" s="7" customFormat="1" spans="33:33">
      <c r="AG4119" s="8"/>
    </row>
    <row r="4120" s="7" customFormat="1" spans="33:33">
      <c r="AG4120" s="8"/>
    </row>
    <row r="4121" s="7" customFormat="1" spans="33:33">
      <c r="AG4121" s="8"/>
    </row>
    <row r="4122" s="7" customFormat="1" spans="33:33">
      <c r="AG4122" s="8"/>
    </row>
    <row r="4123" s="7" customFormat="1" spans="33:33">
      <c r="AG4123" s="8"/>
    </row>
    <row r="4124" s="7" customFormat="1" spans="33:33">
      <c r="AG4124" s="8"/>
    </row>
    <row r="4125" s="7" customFormat="1" spans="33:33">
      <c r="AG4125" s="8"/>
    </row>
    <row r="4126" s="7" customFormat="1" spans="33:33">
      <c r="AG4126" s="8"/>
    </row>
    <row r="4127" s="7" customFormat="1" spans="33:33">
      <c r="AG4127" s="8"/>
    </row>
    <row r="4128" s="7" customFormat="1" spans="33:33">
      <c r="AG4128" s="8"/>
    </row>
    <row r="4129" s="7" customFormat="1" spans="33:33">
      <c r="AG4129" s="8"/>
    </row>
    <row r="4130" s="7" customFormat="1" spans="33:33">
      <c r="AG4130" s="8"/>
    </row>
    <row r="4131" s="7" customFormat="1" spans="33:33">
      <c r="AG4131" s="8"/>
    </row>
    <row r="4132" s="7" customFormat="1" spans="33:33">
      <c r="AG4132" s="8"/>
    </row>
    <row r="4133" s="7" customFormat="1" spans="33:33">
      <c r="AG4133" s="8"/>
    </row>
    <row r="4134" s="7" customFormat="1" spans="33:33">
      <c r="AG4134" s="8"/>
    </row>
    <row r="4135" s="7" customFormat="1" spans="33:33">
      <c r="AG4135" s="8"/>
    </row>
    <row r="4136" s="7" customFormat="1" spans="33:33">
      <c r="AG4136" s="8"/>
    </row>
    <row r="4137" s="7" customFormat="1" spans="33:33">
      <c r="AG4137" s="8"/>
    </row>
    <row r="4138" s="7" customFormat="1" spans="33:33">
      <c r="AG4138" s="8"/>
    </row>
    <row r="4139" s="7" customFormat="1" spans="33:33">
      <c r="AG4139" s="8"/>
    </row>
    <row r="4140" s="7" customFormat="1" spans="33:33">
      <c r="AG4140" s="8"/>
    </row>
    <row r="4141" s="7" customFormat="1" spans="33:33">
      <c r="AG4141" s="8"/>
    </row>
    <row r="4142" s="7" customFormat="1" spans="33:33">
      <c r="AG4142" s="8"/>
    </row>
    <row r="4143" s="7" customFormat="1" spans="33:33">
      <c r="AG4143" s="8"/>
    </row>
    <row r="4144" s="7" customFormat="1" spans="33:33">
      <c r="AG4144" s="8"/>
    </row>
    <row r="4145" s="7" customFormat="1" spans="33:33">
      <c r="AG4145" s="8"/>
    </row>
    <row r="4146" s="7" customFormat="1" spans="33:33">
      <c r="AG4146" s="8"/>
    </row>
    <row r="4147" s="7" customFormat="1" spans="33:33">
      <c r="AG4147" s="8"/>
    </row>
    <row r="4148" s="7" customFormat="1" spans="33:33">
      <c r="AG4148" s="8"/>
    </row>
    <row r="4149" s="7" customFormat="1" spans="33:33">
      <c r="AG4149" s="8"/>
    </row>
    <row r="4150" s="7" customFormat="1" spans="33:33">
      <c r="AG4150" s="8"/>
    </row>
    <row r="4151" s="7" customFormat="1" spans="33:33">
      <c r="AG4151" s="8"/>
    </row>
    <row r="4152" s="7" customFormat="1" spans="33:33">
      <c r="AG4152" s="8"/>
    </row>
    <row r="4153" s="7" customFormat="1" spans="33:33">
      <c r="AG4153" s="8"/>
    </row>
    <row r="4154" s="7" customFormat="1" spans="33:33">
      <c r="AG4154" s="8"/>
    </row>
    <row r="4155" s="7" customFormat="1" spans="33:33">
      <c r="AG4155" s="8"/>
    </row>
    <row r="4156" s="7" customFormat="1" spans="33:33">
      <c r="AG4156" s="8"/>
    </row>
    <row r="4157" s="7" customFormat="1" spans="33:33">
      <c r="AG4157" s="8"/>
    </row>
    <row r="4158" s="7" customFormat="1" spans="33:33">
      <c r="AG4158" s="8"/>
    </row>
    <row r="4159" s="7" customFormat="1" spans="33:33">
      <c r="AG4159" s="8"/>
    </row>
    <row r="4160" s="7" customFormat="1" spans="33:33">
      <c r="AG4160" s="8"/>
    </row>
    <row r="4161" s="7" customFormat="1" spans="33:33">
      <c r="AG4161" s="8"/>
    </row>
    <row r="4162" s="7" customFormat="1" spans="33:33">
      <c r="AG4162" s="8"/>
    </row>
    <row r="4163" s="7" customFormat="1" spans="33:33">
      <c r="AG4163" s="8"/>
    </row>
    <row r="4164" s="7" customFormat="1" spans="33:33">
      <c r="AG4164" s="8"/>
    </row>
    <row r="4165" s="7" customFormat="1" spans="33:33">
      <c r="AG4165" s="8"/>
    </row>
    <row r="4166" s="7" customFormat="1" spans="33:33">
      <c r="AG4166" s="8"/>
    </row>
    <row r="4167" s="7" customFormat="1" spans="33:33">
      <c r="AG4167" s="8"/>
    </row>
    <row r="4168" s="7" customFormat="1" spans="33:33">
      <c r="AG4168" s="8"/>
    </row>
    <row r="4169" s="7" customFormat="1" spans="33:33">
      <c r="AG4169" s="8"/>
    </row>
    <row r="4170" s="7" customFormat="1" spans="33:33">
      <c r="AG4170" s="8"/>
    </row>
    <row r="4171" s="7" customFormat="1" spans="33:33">
      <c r="AG4171" s="8"/>
    </row>
    <row r="4172" s="7" customFormat="1" spans="33:33">
      <c r="AG4172" s="8"/>
    </row>
    <row r="4173" s="7" customFormat="1" spans="33:33">
      <c r="AG4173" s="8"/>
    </row>
    <row r="4174" s="7" customFormat="1" spans="33:33">
      <c r="AG4174" s="8"/>
    </row>
    <row r="4175" s="7" customFormat="1" spans="33:33">
      <c r="AG4175" s="8"/>
    </row>
    <row r="4176" s="7" customFormat="1" spans="33:33">
      <c r="AG4176" s="8"/>
    </row>
    <row r="4177" s="7" customFormat="1" spans="33:33">
      <c r="AG4177" s="8"/>
    </row>
    <row r="4178" s="7" customFormat="1" spans="33:33">
      <c r="AG4178" s="8"/>
    </row>
    <row r="4179" s="7" customFormat="1" spans="33:33">
      <c r="AG4179" s="8"/>
    </row>
    <row r="4180" s="7" customFormat="1" spans="33:33">
      <c r="AG4180" s="8"/>
    </row>
    <row r="4181" s="7" customFormat="1" spans="33:33">
      <c r="AG4181" s="8"/>
    </row>
    <row r="4182" s="7" customFormat="1" spans="33:33">
      <c r="AG4182" s="8"/>
    </row>
    <row r="4183" s="7" customFormat="1" spans="33:33">
      <c r="AG4183" s="8"/>
    </row>
    <row r="4184" s="7" customFormat="1" spans="33:33">
      <c r="AG4184" s="8"/>
    </row>
    <row r="4185" s="7" customFormat="1" spans="33:33">
      <c r="AG4185" s="8"/>
    </row>
    <row r="4186" s="7" customFormat="1" spans="33:33">
      <c r="AG4186" s="8"/>
    </row>
    <row r="4187" s="7" customFormat="1" spans="33:33">
      <c r="AG4187" s="8"/>
    </row>
    <row r="4188" s="7" customFormat="1" spans="33:33">
      <c r="AG4188" s="8"/>
    </row>
    <row r="4189" s="7" customFormat="1" spans="33:33">
      <c r="AG4189" s="8"/>
    </row>
    <row r="4190" s="7" customFormat="1" spans="33:33">
      <c r="AG4190" s="8"/>
    </row>
    <row r="4191" s="7" customFormat="1" spans="33:33">
      <c r="AG4191" s="8"/>
    </row>
    <row r="4192" s="7" customFormat="1" spans="33:33">
      <c r="AG4192" s="8"/>
    </row>
    <row r="4193" s="7" customFormat="1" spans="33:33">
      <c r="AG4193" s="8"/>
    </row>
    <row r="4194" s="7" customFormat="1" spans="33:33">
      <c r="AG4194" s="8"/>
    </row>
    <row r="4195" s="7" customFormat="1" spans="33:33">
      <c r="AG4195" s="8"/>
    </row>
    <row r="4196" s="7" customFormat="1" spans="33:33">
      <c r="AG4196" s="8"/>
    </row>
    <row r="4197" s="7" customFormat="1" spans="33:33">
      <c r="AG4197" s="8"/>
    </row>
    <row r="4198" s="7" customFormat="1" spans="33:33">
      <c r="AG4198" s="8"/>
    </row>
    <row r="4199" s="7" customFormat="1" spans="33:33">
      <c r="AG4199" s="8"/>
    </row>
    <row r="4200" s="7" customFormat="1" spans="33:33">
      <c r="AG4200" s="8"/>
    </row>
    <row r="4201" s="7" customFormat="1" spans="33:33">
      <c r="AG4201" s="8"/>
    </row>
    <row r="4202" s="7" customFormat="1" spans="33:33">
      <c r="AG4202" s="8"/>
    </row>
    <row r="4203" s="7" customFormat="1" spans="33:33">
      <c r="AG4203" s="8"/>
    </row>
    <row r="4204" s="7" customFormat="1" spans="33:33">
      <c r="AG4204" s="8"/>
    </row>
    <row r="4205" s="7" customFormat="1" spans="33:33">
      <c r="AG4205" s="8"/>
    </row>
    <row r="4206" s="7" customFormat="1" spans="33:33">
      <c r="AG4206" s="8"/>
    </row>
    <row r="4207" s="7" customFormat="1" spans="33:33">
      <c r="AG4207" s="8"/>
    </row>
    <row r="4208" s="7" customFormat="1" spans="33:33">
      <c r="AG4208" s="8"/>
    </row>
    <row r="4209" s="7" customFormat="1" spans="33:33">
      <c r="AG4209" s="8"/>
    </row>
    <row r="4210" s="7" customFormat="1" spans="33:33">
      <c r="AG4210" s="8"/>
    </row>
    <row r="4211" s="7" customFormat="1" spans="33:33">
      <c r="AG4211" s="8"/>
    </row>
    <row r="4212" s="7" customFormat="1" spans="33:33">
      <c r="AG4212" s="8"/>
    </row>
    <row r="4213" s="7" customFormat="1" spans="33:33">
      <c r="AG4213" s="8"/>
    </row>
    <row r="4214" s="7" customFormat="1" spans="33:33">
      <c r="AG4214" s="8"/>
    </row>
    <row r="4215" s="7" customFormat="1" spans="33:33">
      <c r="AG4215" s="8"/>
    </row>
    <row r="4216" s="7" customFormat="1" spans="33:33">
      <c r="AG4216" s="8"/>
    </row>
    <row r="4217" s="7" customFormat="1" spans="33:33">
      <c r="AG4217" s="8"/>
    </row>
    <row r="4218" s="7" customFormat="1" spans="33:33">
      <c r="AG4218" s="8"/>
    </row>
    <row r="4219" s="7" customFormat="1" spans="33:33">
      <c r="AG4219" s="8"/>
    </row>
    <row r="4220" s="7" customFormat="1" spans="33:33">
      <c r="AG4220" s="8"/>
    </row>
    <row r="4221" s="7" customFormat="1" spans="33:33">
      <c r="AG4221" s="8"/>
    </row>
    <row r="4222" s="7" customFormat="1" spans="33:33">
      <c r="AG4222" s="8"/>
    </row>
    <row r="4223" s="7" customFormat="1" spans="33:33">
      <c r="AG4223" s="8"/>
    </row>
    <row r="4224" s="7" customFormat="1" spans="33:33">
      <c r="AG4224" s="8"/>
    </row>
    <row r="4225" s="7" customFormat="1" spans="33:33">
      <c r="AG4225" s="8"/>
    </row>
    <row r="4226" s="7" customFormat="1" spans="33:33">
      <c r="AG4226" s="8"/>
    </row>
    <row r="4227" s="7" customFormat="1" spans="33:33">
      <c r="AG4227" s="8"/>
    </row>
    <row r="4228" s="7" customFormat="1" spans="33:33">
      <c r="AG4228" s="8"/>
    </row>
    <row r="4229" s="7" customFormat="1" spans="33:33">
      <c r="AG4229" s="8"/>
    </row>
    <row r="4230" s="7" customFormat="1" spans="33:33">
      <c r="AG4230" s="8"/>
    </row>
    <row r="4231" s="7" customFormat="1" spans="33:33">
      <c r="AG4231" s="8"/>
    </row>
    <row r="4232" s="7" customFormat="1" spans="33:33">
      <c r="AG4232" s="8"/>
    </row>
    <row r="4233" s="7" customFormat="1" spans="33:33">
      <c r="AG4233" s="8"/>
    </row>
    <row r="4234" s="7" customFormat="1" spans="33:33">
      <c r="AG4234" s="8"/>
    </row>
    <row r="4235" s="7" customFormat="1" spans="33:33">
      <c r="AG4235" s="8"/>
    </row>
    <row r="4236" s="7" customFormat="1" spans="33:33">
      <c r="AG4236" s="8"/>
    </row>
    <row r="4237" s="7" customFormat="1" spans="33:33">
      <c r="AG4237" s="8"/>
    </row>
    <row r="4238" s="7" customFormat="1" spans="33:33">
      <c r="AG4238" s="8"/>
    </row>
    <row r="4239" s="7" customFormat="1" spans="33:33">
      <c r="AG4239" s="8"/>
    </row>
    <row r="4240" s="7" customFormat="1" spans="33:33">
      <c r="AG4240" s="8"/>
    </row>
    <row r="4241" s="7" customFormat="1" spans="33:33">
      <c r="AG4241" s="8"/>
    </row>
    <row r="4242" s="7" customFormat="1" spans="33:33">
      <c r="AG4242" s="8"/>
    </row>
    <row r="4243" s="7" customFormat="1" spans="33:33">
      <c r="AG4243" s="8"/>
    </row>
    <row r="4244" s="7" customFormat="1" spans="33:33">
      <c r="AG4244" s="8"/>
    </row>
    <row r="4245" s="7" customFormat="1" spans="33:33">
      <c r="AG4245" s="8"/>
    </row>
    <row r="4246" s="7" customFormat="1" spans="33:33">
      <c r="AG4246" s="8"/>
    </row>
    <row r="4247" s="7" customFormat="1" spans="33:33">
      <c r="AG4247" s="8"/>
    </row>
    <row r="4248" s="7" customFormat="1" spans="33:33">
      <c r="AG4248" s="8"/>
    </row>
    <row r="4249" s="7" customFormat="1" spans="33:33">
      <c r="AG4249" s="8"/>
    </row>
    <row r="4250" s="7" customFormat="1" spans="33:33">
      <c r="AG4250" s="8"/>
    </row>
    <row r="4251" s="7" customFormat="1" spans="33:33">
      <c r="AG4251" s="8"/>
    </row>
    <row r="4252" s="7" customFormat="1" spans="33:33">
      <c r="AG4252" s="8"/>
    </row>
    <row r="4253" s="7" customFormat="1" spans="33:33">
      <c r="AG4253" s="8"/>
    </row>
    <row r="4254" s="7" customFormat="1" spans="33:33">
      <c r="AG4254" s="8"/>
    </row>
    <row r="4255" s="7" customFormat="1" spans="33:33">
      <c r="AG4255" s="8"/>
    </row>
    <row r="4256" s="7" customFormat="1" spans="33:33">
      <c r="AG4256" s="8"/>
    </row>
    <row r="4257" s="7" customFormat="1" spans="33:33">
      <c r="AG4257" s="8"/>
    </row>
    <row r="4258" s="7" customFormat="1" spans="33:33">
      <c r="AG4258" s="8"/>
    </row>
    <row r="4259" s="7" customFormat="1" spans="33:33">
      <c r="AG4259" s="8"/>
    </row>
    <row r="4260" s="7" customFormat="1" spans="33:33">
      <c r="AG4260" s="8"/>
    </row>
    <row r="4261" s="7" customFormat="1" spans="33:33">
      <c r="AG4261" s="8"/>
    </row>
    <row r="4262" s="7" customFormat="1" spans="33:33">
      <c r="AG4262" s="8"/>
    </row>
    <row r="4263" s="7" customFormat="1" spans="33:33">
      <c r="AG4263" s="8"/>
    </row>
    <row r="4264" s="7" customFormat="1" spans="33:33">
      <c r="AG4264" s="8"/>
    </row>
    <row r="4265" s="7" customFormat="1" spans="33:33">
      <c r="AG4265" s="8"/>
    </row>
    <row r="4266" s="7" customFormat="1" spans="33:33">
      <c r="AG4266" s="8"/>
    </row>
    <row r="4267" s="7" customFormat="1" spans="33:33">
      <c r="AG4267" s="8"/>
    </row>
    <row r="4268" s="7" customFormat="1" spans="33:33">
      <c r="AG4268" s="8"/>
    </row>
    <row r="4269" s="7" customFormat="1" spans="33:33">
      <c r="AG4269" s="8"/>
    </row>
    <row r="4270" s="7" customFormat="1" spans="33:33">
      <c r="AG4270" s="8"/>
    </row>
    <row r="4271" s="7" customFormat="1" spans="33:33">
      <c r="AG4271" s="8"/>
    </row>
    <row r="4272" s="7" customFormat="1" spans="33:33">
      <c r="AG4272" s="8"/>
    </row>
    <row r="4273" s="7" customFormat="1" spans="33:33">
      <c r="AG4273" s="8"/>
    </row>
    <row r="4274" s="7" customFormat="1" spans="33:33">
      <c r="AG4274" s="8"/>
    </row>
    <row r="4275" s="7" customFormat="1" spans="33:33">
      <c r="AG4275" s="8"/>
    </row>
    <row r="4276" s="7" customFormat="1" spans="33:33">
      <c r="AG4276" s="8"/>
    </row>
    <row r="4277" s="7" customFormat="1" spans="33:33">
      <c r="AG4277" s="8"/>
    </row>
    <row r="4278" s="7" customFormat="1" spans="33:33">
      <c r="AG4278" s="8"/>
    </row>
    <row r="4279" s="7" customFormat="1" spans="33:33">
      <c r="AG4279" s="8"/>
    </row>
    <row r="4280" s="7" customFormat="1" spans="33:33">
      <c r="AG4280" s="8"/>
    </row>
    <row r="4281" s="7" customFormat="1" spans="33:33">
      <c r="AG4281" s="8"/>
    </row>
    <row r="4282" s="7" customFormat="1" spans="33:33">
      <c r="AG4282" s="8"/>
    </row>
    <row r="4283" s="7" customFormat="1" spans="33:33">
      <c r="AG4283" s="8"/>
    </row>
    <row r="4284" s="7" customFormat="1" spans="33:33">
      <c r="AG4284" s="8"/>
    </row>
    <row r="4285" s="7" customFormat="1" spans="33:33">
      <c r="AG4285" s="8"/>
    </row>
    <row r="4286" s="7" customFormat="1" spans="33:33">
      <c r="AG4286" s="8"/>
    </row>
    <row r="4287" s="7" customFormat="1" spans="33:33">
      <c r="AG4287" s="8"/>
    </row>
    <row r="4288" s="7" customFormat="1" spans="33:33">
      <c r="AG4288" s="8"/>
    </row>
    <row r="4289" s="7" customFormat="1" spans="33:33">
      <c r="AG4289" s="8"/>
    </row>
    <row r="4290" s="7" customFormat="1" spans="33:33">
      <c r="AG4290" s="8"/>
    </row>
    <row r="4291" s="7" customFormat="1" spans="33:33">
      <c r="AG4291" s="8"/>
    </row>
    <row r="4292" s="7" customFormat="1" spans="33:33">
      <c r="AG4292" s="8"/>
    </row>
    <row r="4293" s="7" customFormat="1" spans="33:33">
      <c r="AG4293" s="8"/>
    </row>
    <row r="4294" s="7" customFormat="1" spans="33:33">
      <c r="AG4294" s="8"/>
    </row>
    <row r="4295" s="7" customFormat="1" spans="33:33">
      <c r="AG4295" s="8"/>
    </row>
    <row r="4296" s="7" customFormat="1" spans="33:33">
      <c r="AG4296" s="8"/>
    </row>
    <row r="4297" s="7" customFormat="1" spans="33:33">
      <c r="AG4297" s="8"/>
    </row>
    <row r="4298" s="7" customFormat="1" spans="33:33">
      <c r="AG4298" s="8"/>
    </row>
    <row r="4299" s="7" customFormat="1" spans="33:33">
      <c r="AG4299" s="8"/>
    </row>
    <row r="4300" s="7" customFormat="1" spans="33:33">
      <c r="AG4300" s="8"/>
    </row>
    <row r="4301" s="7" customFormat="1" spans="33:33">
      <c r="AG4301" s="8"/>
    </row>
    <row r="4302" s="7" customFormat="1" spans="33:33">
      <c r="AG4302" s="8"/>
    </row>
    <row r="4303" s="7" customFormat="1" spans="33:33">
      <c r="AG4303" s="8"/>
    </row>
    <row r="4304" s="7" customFormat="1" spans="33:33">
      <c r="AG4304" s="8"/>
    </row>
    <row r="4305" s="7" customFormat="1" spans="33:33">
      <c r="AG4305" s="8"/>
    </row>
    <row r="4306" s="7" customFormat="1" spans="33:33">
      <c r="AG4306" s="8"/>
    </row>
    <row r="4307" s="7" customFormat="1" spans="33:33">
      <c r="AG4307" s="8"/>
    </row>
    <row r="4308" s="7" customFormat="1" spans="33:33">
      <c r="AG4308" s="8"/>
    </row>
    <row r="4309" s="7" customFormat="1" spans="33:33">
      <c r="AG4309" s="8"/>
    </row>
    <row r="4310" s="7" customFormat="1" spans="33:33">
      <c r="AG4310" s="8"/>
    </row>
    <row r="4311" s="7" customFormat="1" spans="33:33">
      <c r="AG4311" s="8"/>
    </row>
    <row r="4312" s="7" customFormat="1" spans="33:33">
      <c r="AG4312" s="8"/>
    </row>
    <row r="4313" s="7" customFormat="1" spans="33:33">
      <c r="AG4313" s="8"/>
    </row>
    <row r="4314" s="7" customFormat="1" spans="33:33">
      <c r="AG4314" s="8"/>
    </row>
    <row r="4315" s="7" customFormat="1" spans="33:33">
      <c r="AG4315" s="8"/>
    </row>
    <row r="4316" s="7" customFormat="1" spans="33:33">
      <c r="AG4316" s="8"/>
    </row>
    <row r="4317" s="7" customFormat="1" spans="33:33">
      <c r="AG4317" s="8"/>
    </row>
    <row r="4318" s="7" customFormat="1" spans="33:33">
      <c r="AG4318" s="8"/>
    </row>
    <row r="4319" s="7" customFormat="1" spans="33:33">
      <c r="AG4319" s="8"/>
    </row>
    <row r="4320" s="7" customFormat="1" spans="33:33">
      <c r="AG4320" s="8"/>
    </row>
    <row r="4321" s="7" customFormat="1" spans="33:33">
      <c r="AG4321" s="8"/>
    </row>
    <row r="4322" s="7" customFormat="1" spans="33:33">
      <c r="AG4322" s="8"/>
    </row>
    <row r="4323" s="7" customFormat="1" spans="33:33">
      <c r="AG4323" s="8"/>
    </row>
    <row r="4324" s="7" customFormat="1" spans="33:33">
      <c r="AG4324" s="8"/>
    </row>
    <row r="4325" s="7" customFormat="1" spans="33:33">
      <c r="AG4325" s="8"/>
    </row>
    <row r="4326" s="7" customFormat="1" spans="33:33">
      <c r="AG4326" s="8"/>
    </row>
    <row r="4327" s="7" customFormat="1" spans="33:33">
      <c r="AG4327" s="8"/>
    </row>
    <row r="4328" s="7" customFormat="1" spans="33:33">
      <c r="AG4328" s="8"/>
    </row>
    <row r="4329" s="7" customFormat="1" spans="33:33">
      <c r="AG4329" s="8"/>
    </row>
    <row r="4330" s="7" customFormat="1" spans="33:33">
      <c r="AG4330" s="8"/>
    </row>
    <row r="4331" s="7" customFormat="1" spans="33:33">
      <c r="AG4331" s="8"/>
    </row>
    <row r="4332" s="7" customFormat="1" spans="33:33">
      <c r="AG4332" s="8"/>
    </row>
    <row r="4333" s="7" customFormat="1" spans="33:33">
      <c r="AG4333" s="8"/>
    </row>
    <row r="4334" s="7" customFormat="1" spans="33:33">
      <c r="AG4334" s="8"/>
    </row>
    <row r="4335" s="7" customFormat="1" spans="33:33">
      <c r="AG4335" s="8"/>
    </row>
    <row r="4336" s="7" customFormat="1" spans="33:33">
      <c r="AG4336" s="8"/>
    </row>
    <row r="4337" s="7" customFormat="1" spans="33:33">
      <c r="AG4337" s="8"/>
    </row>
    <row r="4338" s="7" customFormat="1" spans="33:33">
      <c r="AG4338" s="8"/>
    </row>
    <row r="4339" s="7" customFormat="1" spans="33:33">
      <c r="AG4339" s="8"/>
    </row>
    <row r="4340" s="7" customFormat="1" spans="33:33">
      <c r="AG4340" s="8"/>
    </row>
    <row r="4341" s="7" customFormat="1" spans="33:33">
      <c r="AG4341" s="8"/>
    </row>
    <row r="4342" s="7" customFormat="1" spans="33:33">
      <c r="AG4342" s="8"/>
    </row>
    <row r="4343" s="7" customFormat="1" spans="33:33">
      <c r="AG4343" s="8"/>
    </row>
    <row r="4344" s="7" customFormat="1" spans="33:33">
      <c r="AG4344" s="8"/>
    </row>
    <row r="4345" s="7" customFormat="1" spans="33:33">
      <c r="AG4345" s="8"/>
    </row>
    <row r="4346" s="7" customFormat="1" spans="33:33">
      <c r="AG4346" s="8"/>
    </row>
    <row r="4347" s="7" customFormat="1" spans="33:33">
      <c r="AG4347" s="8"/>
    </row>
    <row r="4348" s="7" customFormat="1" spans="33:33">
      <c r="AG4348" s="8"/>
    </row>
    <row r="4349" s="7" customFormat="1" spans="33:33">
      <c r="AG4349" s="8"/>
    </row>
    <row r="4350" s="7" customFormat="1" spans="33:33">
      <c r="AG4350" s="8"/>
    </row>
    <row r="4351" s="7" customFormat="1" spans="33:33">
      <c r="AG4351" s="8"/>
    </row>
    <row r="4352" s="7" customFormat="1" spans="33:33">
      <c r="AG4352" s="8"/>
    </row>
    <row r="4353" s="7" customFormat="1" spans="33:33">
      <c r="AG4353" s="8"/>
    </row>
    <row r="4354" s="7" customFormat="1" spans="33:33">
      <c r="AG4354" s="8"/>
    </row>
    <row r="4355" s="7" customFormat="1" spans="33:33">
      <c r="AG4355" s="8"/>
    </row>
    <row r="4356" s="7" customFormat="1" spans="33:33">
      <c r="AG4356" s="8"/>
    </row>
    <row r="4357" s="7" customFormat="1" spans="33:33">
      <c r="AG4357" s="8"/>
    </row>
    <row r="4358" s="7" customFormat="1" spans="33:33">
      <c r="AG4358" s="8"/>
    </row>
    <row r="4359" s="7" customFormat="1" spans="33:33">
      <c r="AG4359" s="8"/>
    </row>
    <row r="4360" s="7" customFormat="1" spans="33:33">
      <c r="AG4360" s="8"/>
    </row>
    <row r="4361" s="7" customFormat="1" spans="33:33">
      <c r="AG4361" s="8"/>
    </row>
    <row r="4362" s="7" customFormat="1" spans="33:33">
      <c r="AG4362" s="8"/>
    </row>
    <row r="4363" s="7" customFormat="1" spans="33:33">
      <c r="AG4363" s="8"/>
    </row>
    <row r="4364" s="7" customFormat="1" spans="33:33">
      <c r="AG4364" s="8"/>
    </row>
    <row r="4365" s="7" customFormat="1" spans="33:33">
      <c r="AG4365" s="8"/>
    </row>
    <row r="4366" s="7" customFormat="1" spans="33:33">
      <c r="AG4366" s="8"/>
    </row>
    <row r="4367" s="7" customFormat="1" spans="33:33">
      <c r="AG4367" s="8"/>
    </row>
    <row r="4368" s="7" customFormat="1" spans="33:33">
      <c r="AG4368" s="8"/>
    </row>
    <row r="4369" s="7" customFormat="1" spans="33:33">
      <c r="AG4369" s="8"/>
    </row>
    <row r="4370" s="7" customFormat="1" spans="33:33">
      <c r="AG4370" s="8"/>
    </row>
    <row r="4371" s="7" customFormat="1" spans="33:33">
      <c r="AG4371" s="8"/>
    </row>
    <row r="4372" s="7" customFormat="1" spans="33:33">
      <c r="AG4372" s="8"/>
    </row>
    <row r="4373" s="7" customFormat="1" spans="33:33">
      <c r="AG4373" s="8"/>
    </row>
    <row r="4374" s="7" customFormat="1" spans="33:33">
      <c r="AG4374" s="8"/>
    </row>
    <row r="4375" s="7" customFormat="1" spans="33:33">
      <c r="AG4375" s="8"/>
    </row>
    <row r="4376" s="7" customFormat="1" spans="33:33">
      <c r="AG4376" s="8"/>
    </row>
    <row r="4377" s="7" customFormat="1" spans="33:33">
      <c r="AG4377" s="8"/>
    </row>
    <row r="4378" s="7" customFormat="1" spans="33:33">
      <c r="AG4378" s="8"/>
    </row>
    <row r="4379" s="7" customFormat="1" spans="33:33">
      <c r="AG4379" s="8"/>
    </row>
    <row r="4380" s="7" customFormat="1" spans="33:33">
      <c r="AG4380" s="8"/>
    </row>
    <row r="4381" s="7" customFormat="1" spans="33:33">
      <c r="AG4381" s="8"/>
    </row>
    <row r="4382" s="7" customFormat="1" spans="33:33">
      <c r="AG4382" s="8"/>
    </row>
    <row r="4383" s="7" customFormat="1" spans="33:33">
      <c r="AG4383" s="8"/>
    </row>
    <row r="4384" s="7" customFormat="1" spans="33:33">
      <c r="AG4384" s="8"/>
    </row>
    <row r="4385" s="7" customFormat="1" spans="33:33">
      <c r="AG4385" s="8"/>
    </row>
    <row r="4386" s="7" customFormat="1" spans="33:33">
      <c r="AG4386" s="8"/>
    </row>
    <row r="4387" s="7" customFormat="1" spans="33:33">
      <c r="AG4387" s="8"/>
    </row>
    <row r="4388" s="7" customFormat="1" spans="33:33">
      <c r="AG4388" s="8"/>
    </row>
    <row r="4389" s="7" customFormat="1" spans="33:33">
      <c r="AG4389" s="8"/>
    </row>
    <row r="4390" s="7" customFormat="1" spans="33:33">
      <c r="AG4390" s="8"/>
    </row>
    <row r="4391" s="7" customFormat="1" spans="33:33">
      <c r="AG4391" s="8"/>
    </row>
    <row r="4392" s="7" customFormat="1" spans="33:33">
      <c r="AG4392" s="8"/>
    </row>
    <row r="4393" s="7" customFormat="1" spans="33:33">
      <c r="AG4393" s="8"/>
    </row>
    <row r="4394" s="7" customFormat="1" spans="33:33">
      <c r="AG4394" s="8"/>
    </row>
    <row r="4395" s="7" customFormat="1" spans="33:33">
      <c r="AG4395" s="8"/>
    </row>
    <row r="4396" s="7" customFormat="1" spans="33:33">
      <c r="AG4396" s="8"/>
    </row>
    <row r="4397" s="7" customFormat="1" spans="33:33">
      <c r="AG4397" s="8"/>
    </row>
    <row r="4398" s="7" customFormat="1" spans="33:33">
      <c r="AG4398" s="8"/>
    </row>
    <row r="4399" s="7" customFormat="1" spans="33:33">
      <c r="AG4399" s="8"/>
    </row>
    <row r="4400" s="7" customFormat="1" spans="33:33">
      <c r="AG4400" s="8"/>
    </row>
    <row r="4401" s="7" customFormat="1" spans="33:33">
      <c r="AG4401" s="8"/>
    </row>
    <row r="4402" s="7" customFormat="1" spans="33:33">
      <c r="AG4402" s="8"/>
    </row>
    <row r="4403" s="7" customFormat="1" spans="33:33">
      <c r="AG4403" s="8"/>
    </row>
    <row r="4404" s="7" customFormat="1" spans="33:33">
      <c r="AG4404" s="8"/>
    </row>
    <row r="4405" s="7" customFormat="1" spans="33:33">
      <c r="AG4405" s="8"/>
    </row>
    <row r="4406" s="7" customFormat="1" spans="33:33">
      <c r="AG4406" s="8"/>
    </row>
    <row r="4407" s="7" customFormat="1" spans="33:33">
      <c r="AG4407" s="8"/>
    </row>
    <row r="4408" s="7" customFormat="1" spans="33:33">
      <c r="AG4408" s="8"/>
    </row>
    <row r="4409" s="7" customFormat="1" spans="33:33">
      <c r="AG4409" s="8"/>
    </row>
    <row r="4410" s="7" customFormat="1" spans="33:33">
      <c r="AG4410" s="8"/>
    </row>
    <row r="4411" s="7" customFormat="1" spans="33:33">
      <c r="AG4411" s="8"/>
    </row>
    <row r="4412" s="7" customFormat="1" spans="33:33">
      <c r="AG4412" s="8"/>
    </row>
    <row r="4413" s="7" customFormat="1" spans="33:33">
      <c r="AG4413" s="8"/>
    </row>
    <row r="4414" s="7" customFormat="1" spans="33:33">
      <c r="AG4414" s="8"/>
    </row>
    <row r="4415" s="7" customFormat="1" spans="33:33">
      <c r="AG4415" s="8"/>
    </row>
    <row r="4416" s="7" customFormat="1" spans="33:33">
      <c r="AG4416" s="8"/>
    </row>
    <row r="4417" s="7" customFormat="1" spans="33:33">
      <c r="AG4417" s="8"/>
    </row>
    <row r="4418" s="7" customFormat="1" spans="33:33">
      <c r="AG4418" s="8"/>
    </row>
    <row r="4419" s="7" customFormat="1" spans="33:33">
      <c r="AG4419" s="8"/>
    </row>
    <row r="4420" s="7" customFormat="1" spans="33:33">
      <c r="AG4420" s="8"/>
    </row>
    <row r="4421" s="7" customFormat="1" spans="33:33">
      <c r="AG4421" s="8"/>
    </row>
    <row r="4422" s="7" customFormat="1" spans="33:33">
      <c r="AG4422" s="8"/>
    </row>
    <row r="4423" s="7" customFormat="1" spans="33:33">
      <c r="AG4423" s="8"/>
    </row>
    <row r="4424" s="7" customFormat="1" spans="33:33">
      <c r="AG4424" s="8"/>
    </row>
    <row r="4425" s="7" customFormat="1" spans="33:33">
      <c r="AG4425" s="8"/>
    </row>
    <row r="4426" s="7" customFormat="1" spans="33:33">
      <c r="AG4426" s="8"/>
    </row>
    <row r="4427" s="7" customFormat="1" spans="33:33">
      <c r="AG4427" s="8"/>
    </row>
    <row r="4428" s="7" customFormat="1" spans="33:33">
      <c r="AG4428" s="8"/>
    </row>
    <row r="4429" s="7" customFormat="1" spans="33:33">
      <c r="AG4429" s="8"/>
    </row>
    <row r="4430" s="7" customFormat="1" spans="33:33">
      <c r="AG4430" s="8"/>
    </row>
    <row r="4431" s="7" customFormat="1" spans="33:33">
      <c r="AG4431" s="8"/>
    </row>
    <row r="4432" s="7" customFormat="1" spans="33:33">
      <c r="AG4432" s="8"/>
    </row>
    <row r="4433" s="7" customFormat="1" spans="33:33">
      <c r="AG4433" s="8"/>
    </row>
    <row r="4434" s="7" customFormat="1" spans="33:33">
      <c r="AG4434" s="8"/>
    </row>
    <row r="4435" s="7" customFormat="1" spans="33:33">
      <c r="AG4435" s="8"/>
    </row>
    <row r="4436" s="7" customFormat="1" spans="33:33">
      <c r="AG4436" s="8"/>
    </row>
    <row r="4437" s="7" customFormat="1" spans="33:33">
      <c r="AG4437" s="8"/>
    </row>
    <row r="4438" s="7" customFormat="1" spans="33:33">
      <c r="AG4438" s="8"/>
    </row>
    <row r="4439" s="7" customFormat="1" spans="33:33">
      <c r="AG4439" s="8"/>
    </row>
    <row r="4440" s="7" customFormat="1" spans="33:33">
      <c r="AG4440" s="8"/>
    </row>
    <row r="4441" s="7" customFormat="1" spans="33:33">
      <c r="AG4441" s="8"/>
    </row>
    <row r="4442" s="7" customFormat="1" spans="33:33">
      <c r="AG4442" s="8"/>
    </row>
    <row r="4443" s="7" customFormat="1" spans="33:33">
      <c r="AG4443" s="8"/>
    </row>
    <row r="4444" s="7" customFormat="1" spans="33:33">
      <c r="AG4444" s="8"/>
    </row>
    <row r="4445" s="7" customFormat="1" spans="33:33">
      <c r="AG4445" s="8"/>
    </row>
    <row r="4446" s="7" customFormat="1" spans="33:33">
      <c r="AG4446" s="8"/>
    </row>
    <row r="4447" s="7" customFormat="1" spans="33:33">
      <c r="AG4447" s="8"/>
    </row>
    <row r="4448" s="7" customFormat="1" spans="33:33">
      <c r="AG4448" s="8"/>
    </row>
    <row r="4449" s="7" customFormat="1" spans="33:33">
      <c r="AG4449" s="8"/>
    </row>
    <row r="4450" s="7" customFormat="1" spans="33:33">
      <c r="AG4450" s="8"/>
    </row>
    <row r="4451" s="7" customFormat="1" spans="33:33">
      <c r="AG4451" s="8"/>
    </row>
    <row r="4452" s="7" customFormat="1" spans="33:33">
      <c r="AG4452" s="8"/>
    </row>
    <row r="4453" s="7" customFormat="1" spans="33:33">
      <c r="AG4453" s="8"/>
    </row>
    <row r="4454" s="7" customFormat="1" spans="33:33">
      <c r="AG4454" s="8"/>
    </row>
    <row r="4455" s="7" customFormat="1" spans="33:33">
      <c r="AG4455" s="8"/>
    </row>
    <row r="4456" s="7" customFormat="1" spans="33:33">
      <c r="AG4456" s="8"/>
    </row>
    <row r="4457" s="7" customFormat="1" spans="33:33">
      <c r="AG4457" s="8"/>
    </row>
    <row r="4458" s="7" customFormat="1" spans="33:33">
      <c r="AG4458" s="8"/>
    </row>
    <row r="4459" s="7" customFormat="1" spans="33:33">
      <c r="AG4459" s="8"/>
    </row>
    <row r="4460" s="7" customFormat="1" spans="33:33">
      <c r="AG4460" s="8"/>
    </row>
    <row r="4461" s="7" customFormat="1" spans="33:33">
      <c r="AG4461" s="8"/>
    </row>
    <row r="4462" s="7" customFormat="1" spans="33:33">
      <c r="AG4462" s="8"/>
    </row>
    <row r="4463" s="7" customFormat="1" spans="33:33">
      <c r="AG4463" s="8"/>
    </row>
    <row r="4464" s="7" customFormat="1" spans="33:33">
      <c r="AG4464" s="8"/>
    </row>
    <row r="4465" s="7" customFormat="1" spans="33:33">
      <c r="AG4465" s="8"/>
    </row>
    <row r="4466" s="7" customFormat="1" spans="33:33">
      <c r="AG4466" s="8"/>
    </row>
    <row r="4467" s="7" customFormat="1" spans="33:33">
      <c r="AG4467" s="8"/>
    </row>
    <row r="4468" s="7" customFormat="1" spans="33:33">
      <c r="AG4468" s="8"/>
    </row>
    <row r="4469" s="7" customFormat="1" spans="33:33">
      <c r="AG4469" s="8"/>
    </row>
    <row r="4470" s="7" customFormat="1" spans="33:33">
      <c r="AG4470" s="8"/>
    </row>
    <row r="4471" s="7" customFormat="1" spans="33:33">
      <c r="AG4471" s="8"/>
    </row>
    <row r="4472" s="7" customFormat="1" spans="33:33">
      <c r="AG4472" s="8"/>
    </row>
    <row r="4473" s="7" customFormat="1" spans="33:33">
      <c r="AG4473" s="8"/>
    </row>
    <row r="4474" s="7" customFormat="1" spans="33:33">
      <c r="AG4474" s="8"/>
    </row>
    <row r="4475" s="7" customFormat="1" spans="33:33">
      <c r="AG4475" s="8"/>
    </row>
    <row r="4476" s="7" customFormat="1" spans="33:33">
      <c r="AG4476" s="8"/>
    </row>
    <row r="4477" s="7" customFormat="1" spans="33:33">
      <c r="AG4477" s="8"/>
    </row>
    <row r="4478" s="7" customFormat="1" spans="33:33">
      <c r="AG4478" s="8"/>
    </row>
    <row r="4479" s="7" customFormat="1" spans="33:33">
      <c r="AG4479" s="8"/>
    </row>
    <row r="4480" s="7" customFormat="1" spans="33:33">
      <c r="AG4480" s="8"/>
    </row>
    <row r="4481" s="7" customFormat="1" spans="33:33">
      <c r="AG4481" s="8"/>
    </row>
    <row r="4482" s="7" customFormat="1" spans="33:33">
      <c r="AG4482" s="8"/>
    </row>
    <row r="4483" s="7" customFormat="1" spans="33:33">
      <c r="AG4483" s="8"/>
    </row>
    <row r="4484" s="7" customFormat="1" spans="33:33">
      <c r="AG4484" s="8"/>
    </row>
    <row r="4485" s="7" customFormat="1" spans="33:33">
      <c r="AG4485" s="8"/>
    </row>
    <row r="4486" s="7" customFormat="1" spans="33:33">
      <c r="AG4486" s="8"/>
    </row>
    <row r="4487" s="7" customFormat="1" spans="33:33">
      <c r="AG4487" s="8"/>
    </row>
    <row r="4488" s="7" customFormat="1" spans="33:33">
      <c r="AG4488" s="8"/>
    </row>
    <row r="4489" s="7" customFormat="1" spans="33:33">
      <c r="AG4489" s="8"/>
    </row>
    <row r="4490" s="7" customFormat="1" spans="33:33">
      <c r="AG4490" s="8"/>
    </row>
    <row r="4491" s="7" customFormat="1" spans="33:33">
      <c r="AG4491" s="8"/>
    </row>
    <row r="4492" s="7" customFormat="1" spans="33:33">
      <c r="AG4492" s="8"/>
    </row>
    <row r="4493" s="7" customFormat="1" spans="33:33">
      <c r="AG4493" s="8"/>
    </row>
    <row r="4494" s="7" customFormat="1" spans="33:33">
      <c r="AG4494" s="8"/>
    </row>
    <row r="4495" s="7" customFormat="1" spans="33:33">
      <c r="AG4495" s="8"/>
    </row>
    <row r="4496" s="7" customFormat="1" spans="33:33">
      <c r="AG4496" s="8"/>
    </row>
    <row r="4497" s="7" customFormat="1" spans="33:33">
      <c r="AG4497" s="8"/>
    </row>
    <row r="4498" s="7" customFormat="1" spans="33:33">
      <c r="AG4498" s="8"/>
    </row>
    <row r="4499" s="7" customFormat="1" spans="33:33">
      <c r="AG4499" s="8"/>
    </row>
    <row r="4500" s="7" customFormat="1" spans="33:33">
      <c r="AG4500" s="8"/>
    </row>
    <row r="4501" s="7" customFormat="1" spans="33:33">
      <c r="AG4501" s="8"/>
    </row>
    <row r="4502" s="7" customFormat="1" spans="33:33">
      <c r="AG4502" s="8"/>
    </row>
    <row r="4503" s="7" customFormat="1" spans="33:33">
      <c r="AG4503" s="8"/>
    </row>
    <row r="4504" s="7" customFormat="1" spans="33:33">
      <c r="AG4504" s="8"/>
    </row>
    <row r="4505" s="7" customFormat="1" spans="33:33">
      <c r="AG4505" s="8"/>
    </row>
    <row r="4506" s="7" customFormat="1" spans="33:33">
      <c r="AG4506" s="8"/>
    </row>
    <row r="4507" s="7" customFormat="1" spans="33:33">
      <c r="AG4507" s="8"/>
    </row>
    <row r="4508" s="7" customFormat="1" spans="33:33">
      <c r="AG4508" s="8"/>
    </row>
    <row r="4509" s="7" customFormat="1" spans="33:33">
      <c r="AG4509" s="8"/>
    </row>
    <row r="4510" s="7" customFormat="1" spans="33:33">
      <c r="AG4510" s="8"/>
    </row>
    <row r="4511" s="7" customFormat="1" spans="33:33">
      <c r="AG4511" s="8"/>
    </row>
    <row r="4512" s="7" customFormat="1" spans="33:33">
      <c r="AG4512" s="8"/>
    </row>
    <row r="4513" s="7" customFormat="1" spans="33:33">
      <c r="AG4513" s="8"/>
    </row>
    <row r="4514" s="7" customFormat="1" spans="33:33">
      <c r="AG4514" s="8"/>
    </row>
    <row r="4515" s="7" customFormat="1" spans="33:33">
      <c r="AG4515" s="8"/>
    </row>
    <row r="4516" s="7" customFormat="1" spans="33:33">
      <c r="AG4516" s="8"/>
    </row>
    <row r="4517" s="7" customFormat="1" spans="33:33">
      <c r="AG4517" s="8"/>
    </row>
    <row r="4518" s="7" customFormat="1" spans="33:33">
      <c r="AG4518" s="8"/>
    </row>
    <row r="4519" s="7" customFormat="1" spans="33:33">
      <c r="AG4519" s="8"/>
    </row>
    <row r="4520" s="7" customFormat="1" spans="33:33">
      <c r="AG4520" s="8"/>
    </row>
    <row r="4521" s="7" customFormat="1" spans="33:33">
      <c r="AG4521" s="8"/>
    </row>
    <row r="4522" s="7" customFormat="1" spans="33:33">
      <c r="AG4522" s="8"/>
    </row>
    <row r="4523" s="7" customFormat="1" spans="33:33">
      <c r="AG4523" s="8"/>
    </row>
    <row r="4524" s="7" customFormat="1" spans="33:33">
      <c r="AG4524" s="8"/>
    </row>
    <row r="4525" s="7" customFormat="1" spans="33:33">
      <c r="AG4525" s="8"/>
    </row>
    <row r="4526" s="7" customFormat="1" spans="33:33">
      <c r="AG4526" s="8"/>
    </row>
    <row r="4527" s="7" customFormat="1" spans="33:33">
      <c r="AG4527" s="8"/>
    </row>
    <row r="4528" s="7" customFormat="1" spans="33:33">
      <c r="AG4528" s="8"/>
    </row>
    <row r="4529" s="7" customFormat="1" spans="33:33">
      <c r="AG4529" s="8"/>
    </row>
    <row r="4530" s="7" customFormat="1" spans="33:33">
      <c r="AG4530" s="8"/>
    </row>
    <row r="4531" s="7" customFormat="1" spans="33:33">
      <c r="AG4531" s="8"/>
    </row>
    <row r="4532" s="7" customFormat="1" spans="33:33">
      <c r="AG4532" s="8"/>
    </row>
    <row r="4533" s="7" customFormat="1" spans="33:33">
      <c r="AG4533" s="8"/>
    </row>
    <row r="4534" s="7" customFormat="1" spans="33:33">
      <c r="AG4534" s="8"/>
    </row>
    <row r="4535" s="7" customFormat="1" spans="33:33">
      <c r="AG4535" s="8"/>
    </row>
    <row r="4536" s="7" customFormat="1" spans="33:33">
      <c r="AG4536" s="8"/>
    </row>
    <row r="4537" s="7" customFormat="1" spans="33:33">
      <c r="AG4537" s="8"/>
    </row>
    <row r="4538" s="7" customFormat="1" spans="33:33">
      <c r="AG4538" s="8"/>
    </row>
    <row r="4539" s="7" customFormat="1" spans="33:33">
      <c r="AG4539" s="8"/>
    </row>
    <row r="4540" s="7" customFormat="1" spans="33:33">
      <c r="AG4540" s="8"/>
    </row>
    <row r="4541" s="7" customFormat="1" spans="33:33">
      <c r="AG4541" s="8"/>
    </row>
    <row r="4542" s="7" customFormat="1" spans="33:33">
      <c r="AG4542" s="8"/>
    </row>
    <row r="4543" s="7" customFormat="1" spans="33:33">
      <c r="AG4543" s="8"/>
    </row>
    <row r="4544" s="7" customFormat="1" spans="33:33">
      <c r="AG4544" s="8"/>
    </row>
    <row r="4545" s="7" customFormat="1" spans="33:33">
      <c r="AG4545" s="8"/>
    </row>
    <row r="4546" s="7" customFormat="1" spans="33:33">
      <c r="AG4546" s="8"/>
    </row>
    <row r="4547" s="7" customFormat="1" spans="33:33">
      <c r="AG4547" s="8"/>
    </row>
    <row r="4548" s="7" customFormat="1" spans="33:33">
      <c r="AG4548" s="8"/>
    </row>
    <row r="4549" s="7" customFormat="1" spans="33:33">
      <c r="AG4549" s="8"/>
    </row>
    <row r="4550" s="7" customFormat="1" spans="33:33">
      <c r="AG4550" s="8"/>
    </row>
    <row r="4551" s="7" customFormat="1" spans="33:33">
      <c r="AG4551" s="8"/>
    </row>
    <row r="4552" s="7" customFormat="1" spans="33:33">
      <c r="AG4552" s="8"/>
    </row>
    <row r="4553" s="7" customFormat="1" spans="33:33">
      <c r="AG4553" s="8"/>
    </row>
    <row r="4554" s="7" customFormat="1" spans="33:33">
      <c r="AG4554" s="8"/>
    </row>
    <row r="4555" s="7" customFormat="1" spans="33:33">
      <c r="AG4555" s="8"/>
    </row>
    <row r="4556" s="7" customFormat="1" spans="33:33">
      <c r="AG4556" s="8"/>
    </row>
    <row r="4557" s="7" customFormat="1" spans="33:33">
      <c r="AG4557" s="8"/>
    </row>
    <row r="4558" s="7" customFormat="1" spans="33:33">
      <c r="AG4558" s="8"/>
    </row>
    <row r="4559" s="7" customFormat="1" spans="33:33">
      <c r="AG4559" s="8"/>
    </row>
    <row r="4560" s="7" customFormat="1" spans="33:33">
      <c r="AG4560" s="8"/>
    </row>
    <row r="4561" s="7" customFormat="1" spans="33:33">
      <c r="AG4561" s="8"/>
    </row>
    <row r="4562" s="7" customFormat="1" spans="33:33">
      <c r="AG4562" s="8"/>
    </row>
    <row r="4563" s="7" customFormat="1" spans="33:33">
      <c r="AG4563" s="8"/>
    </row>
    <row r="4564" s="7" customFormat="1" spans="33:33">
      <c r="AG4564" s="8"/>
    </row>
    <row r="4565" s="7" customFormat="1" spans="33:33">
      <c r="AG4565" s="8"/>
    </row>
    <row r="4566" s="7" customFormat="1" spans="33:33">
      <c r="AG4566" s="8"/>
    </row>
    <row r="4567" s="7" customFormat="1" spans="33:33">
      <c r="AG4567" s="8"/>
    </row>
    <row r="4568" s="7" customFormat="1" spans="33:33">
      <c r="AG4568" s="8"/>
    </row>
    <row r="4569" s="7" customFormat="1" spans="33:33">
      <c r="AG4569" s="8"/>
    </row>
    <row r="4570" s="7" customFormat="1" spans="33:33">
      <c r="AG4570" s="8"/>
    </row>
    <row r="4571" s="7" customFormat="1" spans="33:33">
      <c r="AG4571" s="8"/>
    </row>
    <row r="4572" s="7" customFormat="1" spans="33:33">
      <c r="AG4572" s="8"/>
    </row>
    <row r="4573" s="7" customFormat="1" spans="33:33">
      <c r="AG4573" s="8"/>
    </row>
    <row r="4574" s="7" customFormat="1" spans="33:33">
      <c r="AG4574" s="8"/>
    </row>
    <row r="4575" s="7" customFormat="1" spans="33:33">
      <c r="AG4575" s="8"/>
    </row>
    <row r="4576" s="7" customFormat="1" spans="33:33">
      <c r="AG4576" s="8"/>
    </row>
    <row r="4577" s="7" customFormat="1" spans="33:33">
      <c r="AG4577" s="8"/>
    </row>
    <row r="4578" s="7" customFormat="1" spans="33:33">
      <c r="AG4578" s="8"/>
    </row>
    <row r="4579" s="7" customFormat="1" spans="33:33">
      <c r="AG4579" s="8"/>
    </row>
    <row r="4580" s="7" customFormat="1" spans="33:33">
      <c r="AG4580" s="8"/>
    </row>
    <row r="4581" s="7" customFormat="1" spans="33:33">
      <c r="AG4581" s="8"/>
    </row>
    <row r="4582" s="7" customFormat="1" spans="33:33">
      <c r="AG4582" s="8"/>
    </row>
    <row r="4583" s="7" customFormat="1" spans="33:33">
      <c r="AG4583" s="8"/>
    </row>
    <row r="4584" s="7" customFormat="1" spans="33:33">
      <c r="AG4584" s="8"/>
    </row>
    <row r="4585" s="7" customFormat="1" spans="33:33">
      <c r="AG4585" s="8"/>
    </row>
    <row r="4586" s="7" customFormat="1" spans="33:33">
      <c r="AG4586" s="8"/>
    </row>
    <row r="4587" s="7" customFormat="1" spans="33:33">
      <c r="AG4587" s="8"/>
    </row>
    <row r="4588" s="7" customFormat="1" spans="33:33">
      <c r="AG4588" s="8"/>
    </row>
    <row r="4589" s="7" customFormat="1" spans="33:33">
      <c r="AG4589" s="8"/>
    </row>
    <row r="4590" s="7" customFormat="1" spans="33:33">
      <c r="AG4590" s="8"/>
    </row>
    <row r="4591" s="7" customFormat="1" spans="33:33">
      <c r="AG4591" s="8"/>
    </row>
    <row r="4592" s="7" customFormat="1" spans="33:33">
      <c r="AG4592" s="8"/>
    </row>
    <row r="4593" s="7" customFormat="1" spans="33:33">
      <c r="AG4593" s="8"/>
    </row>
    <row r="4594" s="7" customFormat="1" spans="33:33">
      <c r="AG4594" s="8"/>
    </row>
    <row r="4595" s="7" customFormat="1" spans="33:33">
      <c r="AG4595" s="8"/>
    </row>
    <row r="4596" s="7" customFormat="1" spans="33:33">
      <c r="AG4596" s="8"/>
    </row>
    <row r="4597" s="7" customFormat="1" spans="33:33">
      <c r="AG4597" s="8"/>
    </row>
    <row r="4598" s="7" customFormat="1" spans="33:33">
      <c r="AG4598" s="8"/>
    </row>
    <row r="4599" s="7" customFormat="1" spans="33:33">
      <c r="AG4599" s="8"/>
    </row>
    <row r="4600" s="7" customFormat="1" spans="33:33">
      <c r="AG4600" s="8"/>
    </row>
    <row r="4601" s="7" customFormat="1" spans="33:33">
      <c r="AG4601" s="8"/>
    </row>
    <row r="4602" s="7" customFormat="1" spans="33:33">
      <c r="AG4602" s="8"/>
    </row>
    <row r="4603" s="7" customFormat="1" spans="33:33">
      <c r="AG4603" s="8"/>
    </row>
    <row r="4604" s="7" customFormat="1" spans="33:33">
      <c r="AG4604" s="8"/>
    </row>
    <row r="4605" s="7" customFormat="1" spans="33:33">
      <c r="AG4605" s="8"/>
    </row>
    <row r="4606" s="7" customFormat="1" spans="33:33">
      <c r="AG4606" s="8"/>
    </row>
    <row r="4607" s="7" customFormat="1" spans="33:33">
      <c r="AG4607" s="8"/>
    </row>
    <row r="4608" s="7" customFormat="1" spans="33:33">
      <c r="AG4608" s="8"/>
    </row>
    <row r="4609" s="7" customFormat="1" spans="33:33">
      <c r="AG4609" s="8"/>
    </row>
    <row r="4610" s="7" customFormat="1" spans="33:33">
      <c r="AG4610" s="8"/>
    </row>
    <row r="4611" s="7" customFormat="1" spans="33:33">
      <c r="AG4611" s="8"/>
    </row>
    <row r="4612" s="7" customFormat="1" spans="33:33">
      <c r="AG4612" s="8"/>
    </row>
    <row r="4613" s="7" customFormat="1" spans="33:33">
      <c r="AG4613" s="8"/>
    </row>
    <row r="4614" s="7" customFormat="1" spans="33:33">
      <c r="AG4614" s="8"/>
    </row>
    <row r="4615" s="7" customFormat="1" spans="33:33">
      <c r="AG4615" s="8"/>
    </row>
    <row r="4616" s="7" customFormat="1" spans="33:33">
      <c r="AG4616" s="8"/>
    </row>
    <row r="4617" s="7" customFormat="1" spans="33:33">
      <c r="AG4617" s="8"/>
    </row>
    <row r="4618" s="7" customFormat="1" spans="33:33">
      <c r="AG4618" s="8"/>
    </row>
    <row r="4619" s="7" customFormat="1" spans="33:33">
      <c r="AG4619" s="8"/>
    </row>
    <row r="4620" s="7" customFormat="1" spans="33:33">
      <c r="AG4620" s="8"/>
    </row>
    <row r="4621" s="7" customFormat="1" spans="33:33">
      <c r="AG4621" s="8"/>
    </row>
    <row r="4622" s="7" customFormat="1" spans="33:33">
      <c r="AG4622" s="8"/>
    </row>
    <row r="4623" s="7" customFormat="1" spans="33:33">
      <c r="AG4623" s="8"/>
    </row>
    <row r="4624" s="7" customFormat="1" spans="33:33">
      <c r="AG4624" s="8"/>
    </row>
    <row r="4625" s="7" customFormat="1" spans="33:33">
      <c r="AG4625" s="8"/>
    </row>
    <row r="4626" s="7" customFormat="1" spans="33:33">
      <c r="AG4626" s="8"/>
    </row>
    <row r="4627" s="7" customFormat="1" spans="33:33">
      <c r="AG4627" s="8"/>
    </row>
    <row r="4628" s="7" customFormat="1" spans="33:33">
      <c r="AG4628" s="8"/>
    </row>
    <row r="4629" s="7" customFormat="1" spans="33:33">
      <c r="AG4629" s="8"/>
    </row>
    <row r="4630" s="7" customFormat="1" spans="33:33">
      <c r="AG4630" s="8"/>
    </row>
    <row r="4631" s="7" customFormat="1" spans="33:33">
      <c r="AG4631" s="8"/>
    </row>
    <row r="4632" s="7" customFormat="1" spans="33:33">
      <c r="AG4632" s="8"/>
    </row>
    <row r="4633" s="7" customFormat="1" spans="33:33">
      <c r="AG4633" s="8"/>
    </row>
    <row r="4634" s="7" customFormat="1" spans="33:33">
      <c r="AG4634" s="8"/>
    </row>
    <row r="4635" s="7" customFormat="1" spans="33:33">
      <c r="AG4635" s="8"/>
    </row>
    <row r="4636" s="7" customFormat="1" spans="33:33">
      <c r="AG4636" s="8"/>
    </row>
    <row r="4637" s="7" customFormat="1" spans="33:33">
      <c r="AG4637" s="8"/>
    </row>
    <row r="4638" s="7" customFormat="1" spans="33:33">
      <c r="AG4638" s="8"/>
    </row>
    <row r="4639" s="7" customFormat="1" spans="33:33">
      <c r="AG4639" s="8"/>
    </row>
    <row r="4640" s="7" customFormat="1" spans="33:33">
      <c r="AG4640" s="8"/>
    </row>
    <row r="4641" s="7" customFormat="1" spans="33:33">
      <c r="AG4641" s="8"/>
    </row>
    <row r="4642" s="7" customFormat="1" spans="33:33">
      <c r="AG4642" s="8"/>
    </row>
    <row r="4643" s="7" customFormat="1" spans="33:33">
      <c r="AG4643" s="8"/>
    </row>
    <row r="4644" s="7" customFormat="1" spans="33:33">
      <c r="AG4644" s="8"/>
    </row>
    <row r="4645" s="7" customFormat="1" spans="33:33">
      <c r="AG4645" s="8"/>
    </row>
    <row r="4646" s="7" customFormat="1" spans="33:33">
      <c r="AG4646" s="8"/>
    </row>
    <row r="4647" s="7" customFormat="1" spans="33:33">
      <c r="AG4647" s="8"/>
    </row>
    <row r="4648" s="7" customFormat="1" spans="33:33">
      <c r="AG4648" s="8"/>
    </row>
    <row r="4649" s="7" customFormat="1" spans="33:33">
      <c r="AG4649" s="8"/>
    </row>
    <row r="4650" s="7" customFormat="1" spans="33:33">
      <c r="AG4650" s="8"/>
    </row>
    <row r="4651" s="7" customFormat="1" spans="33:33">
      <c r="AG4651" s="8"/>
    </row>
    <row r="4652" s="7" customFormat="1" spans="33:33">
      <c r="AG4652" s="8"/>
    </row>
    <row r="4653" s="7" customFormat="1" spans="33:33">
      <c r="AG4653" s="8"/>
    </row>
    <row r="4654" s="7" customFormat="1" spans="33:33">
      <c r="AG4654" s="8"/>
    </row>
    <row r="4655" s="7" customFormat="1" spans="33:33">
      <c r="AG4655" s="8"/>
    </row>
    <row r="4656" s="7" customFormat="1" spans="33:33">
      <c r="AG4656" s="8"/>
    </row>
    <row r="4657" s="7" customFormat="1" spans="33:33">
      <c r="AG4657" s="8"/>
    </row>
    <row r="4658" s="7" customFormat="1" spans="33:33">
      <c r="AG4658" s="8"/>
    </row>
    <row r="4659" s="7" customFormat="1" spans="33:33">
      <c r="AG4659" s="8"/>
    </row>
    <row r="4660" s="7" customFormat="1" spans="33:33">
      <c r="AG4660" s="8"/>
    </row>
    <row r="4661" s="7" customFormat="1" spans="33:33">
      <c r="AG4661" s="8"/>
    </row>
    <row r="4662" s="7" customFormat="1" spans="33:33">
      <c r="AG4662" s="8"/>
    </row>
    <row r="4663" s="7" customFormat="1" spans="33:33">
      <c r="AG4663" s="8"/>
    </row>
    <row r="4664" s="7" customFormat="1" spans="33:33">
      <c r="AG4664" s="8"/>
    </row>
    <row r="4665" s="7" customFormat="1" spans="33:33">
      <c r="AG4665" s="8"/>
    </row>
    <row r="4666" s="7" customFormat="1" spans="33:33">
      <c r="AG4666" s="8"/>
    </row>
    <row r="4667" s="7" customFormat="1" spans="33:33">
      <c r="AG4667" s="8"/>
    </row>
    <row r="4668" s="7" customFormat="1" spans="33:33">
      <c r="AG4668" s="8"/>
    </row>
    <row r="4669" s="7" customFormat="1" spans="33:33">
      <c r="AG4669" s="8"/>
    </row>
    <row r="4670" s="7" customFormat="1" spans="33:33">
      <c r="AG4670" s="8"/>
    </row>
    <row r="4671" s="7" customFormat="1" spans="33:33">
      <c r="AG4671" s="8"/>
    </row>
    <row r="4672" s="7" customFormat="1" spans="33:33">
      <c r="AG4672" s="8"/>
    </row>
    <row r="4673" s="7" customFormat="1" spans="33:33">
      <c r="AG4673" s="8"/>
    </row>
    <row r="4674" s="7" customFormat="1" spans="33:33">
      <c r="AG4674" s="8"/>
    </row>
    <row r="4675" s="7" customFormat="1" spans="33:33">
      <c r="AG4675" s="8"/>
    </row>
    <row r="4676" s="7" customFormat="1" spans="33:33">
      <c r="AG4676" s="8"/>
    </row>
    <row r="4677" s="7" customFormat="1" spans="33:33">
      <c r="AG4677" s="8"/>
    </row>
    <row r="4678" s="7" customFormat="1" spans="33:33">
      <c r="AG4678" s="8"/>
    </row>
    <row r="4679" s="7" customFormat="1" spans="33:33">
      <c r="AG4679" s="8"/>
    </row>
    <row r="4680" s="7" customFormat="1" spans="33:33">
      <c r="AG4680" s="8"/>
    </row>
    <row r="4681" s="7" customFormat="1" spans="33:33">
      <c r="AG4681" s="8"/>
    </row>
    <row r="4682" s="7" customFormat="1" spans="33:33">
      <c r="AG4682" s="8"/>
    </row>
    <row r="4683" s="7" customFormat="1" spans="33:33">
      <c r="AG4683" s="8"/>
    </row>
    <row r="4684" s="7" customFormat="1" spans="33:33">
      <c r="AG4684" s="8"/>
    </row>
    <row r="4685" s="7" customFormat="1" spans="33:33">
      <c r="AG4685" s="8"/>
    </row>
    <row r="4686" s="7" customFormat="1" spans="33:33">
      <c r="AG4686" s="8"/>
    </row>
    <row r="4687" s="7" customFormat="1" spans="33:33">
      <c r="AG4687" s="8"/>
    </row>
    <row r="4688" s="7" customFormat="1" spans="33:33">
      <c r="AG4688" s="8"/>
    </row>
    <row r="4689" s="7" customFormat="1" spans="33:33">
      <c r="AG4689" s="8"/>
    </row>
    <row r="4690" s="7" customFormat="1" spans="33:33">
      <c r="AG4690" s="8"/>
    </row>
    <row r="4691" s="7" customFormat="1" spans="33:33">
      <c r="AG4691" s="8"/>
    </row>
    <row r="4692" s="7" customFormat="1" spans="33:33">
      <c r="AG4692" s="8"/>
    </row>
    <row r="4693" s="7" customFormat="1" spans="33:33">
      <c r="AG4693" s="8"/>
    </row>
    <row r="4694" s="7" customFormat="1" spans="33:33">
      <c r="AG4694" s="8"/>
    </row>
    <row r="4695" s="7" customFormat="1" spans="33:33">
      <c r="AG4695" s="8"/>
    </row>
    <row r="4696" s="7" customFormat="1" spans="33:33">
      <c r="AG4696" s="8"/>
    </row>
    <row r="4697" s="7" customFormat="1" spans="33:33">
      <c r="AG4697" s="8"/>
    </row>
    <row r="4698" s="7" customFormat="1" spans="33:33">
      <c r="AG4698" s="8"/>
    </row>
    <row r="4699" s="7" customFormat="1" spans="33:33">
      <c r="AG4699" s="8"/>
    </row>
    <row r="4700" s="7" customFormat="1" spans="33:33">
      <c r="AG4700" s="8"/>
    </row>
    <row r="4701" s="7" customFormat="1" spans="33:33">
      <c r="AG4701" s="8"/>
    </row>
    <row r="4702" s="7" customFormat="1" spans="33:33">
      <c r="AG4702" s="8"/>
    </row>
    <row r="4703" s="7" customFormat="1" spans="33:33">
      <c r="AG4703" s="8"/>
    </row>
    <row r="4704" s="7" customFormat="1" spans="33:33">
      <c r="AG4704" s="8"/>
    </row>
    <row r="4705" s="7" customFormat="1" spans="33:33">
      <c r="AG4705" s="8"/>
    </row>
    <row r="4706" s="7" customFormat="1" spans="33:33">
      <c r="AG4706" s="8"/>
    </row>
    <row r="4707" s="7" customFormat="1" spans="33:33">
      <c r="AG4707" s="8"/>
    </row>
    <row r="4708" s="7" customFormat="1" spans="33:33">
      <c r="AG4708" s="8"/>
    </row>
    <row r="4709" s="7" customFormat="1" spans="33:33">
      <c r="AG4709" s="8"/>
    </row>
    <row r="4710" s="7" customFormat="1" spans="33:33">
      <c r="AG4710" s="8"/>
    </row>
    <row r="4711" s="7" customFormat="1" spans="33:33">
      <c r="AG4711" s="8"/>
    </row>
    <row r="4712" s="7" customFormat="1" spans="33:33">
      <c r="AG4712" s="8"/>
    </row>
    <row r="4713" s="7" customFormat="1" spans="33:33">
      <c r="AG4713" s="8"/>
    </row>
    <row r="4714" s="7" customFormat="1" spans="33:33">
      <c r="AG4714" s="8"/>
    </row>
    <row r="4715" s="7" customFormat="1" spans="33:33">
      <c r="AG4715" s="8"/>
    </row>
    <row r="4716" s="7" customFormat="1" spans="33:33">
      <c r="AG4716" s="8"/>
    </row>
    <row r="4717" s="7" customFormat="1" spans="33:33">
      <c r="AG4717" s="8"/>
    </row>
    <row r="4718" s="7" customFormat="1" spans="33:33">
      <c r="AG4718" s="8"/>
    </row>
    <row r="4719" s="7" customFormat="1" spans="33:33">
      <c r="AG4719" s="8"/>
    </row>
    <row r="4720" s="7" customFormat="1" spans="33:33">
      <c r="AG4720" s="8"/>
    </row>
    <row r="4721" s="7" customFormat="1" spans="33:33">
      <c r="AG4721" s="8"/>
    </row>
    <row r="4722" s="7" customFormat="1" spans="33:33">
      <c r="AG4722" s="8"/>
    </row>
    <row r="4723" s="7" customFormat="1" spans="33:33">
      <c r="AG4723" s="8"/>
    </row>
    <row r="4724" s="7" customFormat="1" spans="33:33">
      <c r="AG4724" s="8"/>
    </row>
    <row r="4725" s="7" customFormat="1" spans="33:33">
      <c r="AG4725" s="8"/>
    </row>
    <row r="4726" s="7" customFormat="1" spans="33:33">
      <c r="AG4726" s="8"/>
    </row>
    <row r="4727" s="7" customFormat="1" spans="33:33">
      <c r="AG4727" s="8"/>
    </row>
    <row r="4728" s="7" customFormat="1" spans="33:33">
      <c r="AG4728" s="8"/>
    </row>
    <row r="4729" s="7" customFormat="1" spans="33:33">
      <c r="AG4729" s="8"/>
    </row>
    <row r="4730" s="7" customFormat="1" spans="33:33">
      <c r="AG4730" s="8"/>
    </row>
    <row r="4731" s="7" customFormat="1" spans="33:33">
      <c r="AG4731" s="8"/>
    </row>
    <row r="4732" s="7" customFormat="1" spans="33:33">
      <c r="AG4732" s="8"/>
    </row>
    <row r="4733" s="7" customFormat="1" spans="33:33">
      <c r="AG4733" s="8"/>
    </row>
    <row r="4734" s="7" customFormat="1" spans="33:33">
      <c r="AG4734" s="8"/>
    </row>
    <row r="4735" s="7" customFormat="1" spans="33:33">
      <c r="AG4735" s="8"/>
    </row>
    <row r="4736" s="7" customFormat="1" spans="33:33">
      <c r="AG4736" s="8"/>
    </row>
    <row r="4737" s="7" customFormat="1" spans="33:33">
      <c r="AG4737" s="8"/>
    </row>
    <row r="4738" s="7" customFormat="1" spans="33:33">
      <c r="AG4738" s="8"/>
    </row>
    <row r="4739" s="7" customFormat="1" spans="33:33">
      <c r="AG4739" s="8"/>
    </row>
    <row r="4740" s="7" customFormat="1" spans="33:33">
      <c r="AG4740" s="8"/>
    </row>
    <row r="4741" s="7" customFormat="1" spans="33:33">
      <c r="AG4741" s="8"/>
    </row>
    <row r="4742" s="7" customFormat="1" spans="33:33">
      <c r="AG4742" s="8"/>
    </row>
    <row r="4743" s="7" customFormat="1" spans="33:33">
      <c r="AG4743" s="8"/>
    </row>
    <row r="4744" s="7" customFormat="1" spans="33:33">
      <c r="AG4744" s="8"/>
    </row>
    <row r="4745" s="7" customFormat="1" spans="33:33">
      <c r="AG4745" s="8"/>
    </row>
    <row r="4746" s="7" customFormat="1" spans="33:33">
      <c r="AG4746" s="8"/>
    </row>
    <row r="4747" s="7" customFormat="1" spans="33:33">
      <c r="AG4747" s="8"/>
    </row>
    <row r="4748" s="7" customFormat="1" spans="33:33">
      <c r="AG4748" s="8"/>
    </row>
    <row r="4749" s="7" customFormat="1" spans="33:33">
      <c r="AG4749" s="8"/>
    </row>
    <row r="4750" s="7" customFormat="1" spans="33:33">
      <c r="AG4750" s="8"/>
    </row>
    <row r="4751" s="7" customFormat="1" spans="33:33">
      <c r="AG4751" s="8"/>
    </row>
    <row r="4752" s="7" customFormat="1" spans="33:33">
      <c r="AG4752" s="8"/>
    </row>
    <row r="4753" s="7" customFormat="1" spans="33:33">
      <c r="AG4753" s="8"/>
    </row>
    <row r="4754" s="7" customFormat="1" spans="33:33">
      <c r="AG4754" s="8"/>
    </row>
    <row r="4755" s="7" customFormat="1" spans="33:33">
      <c r="AG4755" s="8"/>
    </row>
    <row r="4756" s="7" customFormat="1" spans="33:33">
      <c r="AG4756" s="8"/>
    </row>
    <row r="4757" s="7" customFormat="1" spans="33:33">
      <c r="AG4757" s="8"/>
    </row>
    <row r="4758" s="7" customFormat="1" spans="33:33">
      <c r="AG4758" s="8"/>
    </row>
    <row r="4759" s="7" customFormat="1" spans="33:33">
      <c r="AG4759" s="8"/>
    </row>
    <row r="4760" s="7" customFormat="1" spans="33:33">
      <c r="AG4760" s="8"/>
    </row>
    <row r="4761" s="7" customFormat="1" spans="33:33">
      <c r="AG4761" s="8"/>
    </row>
    <row r="4762" s="7" customFormat="1" spans="33:33">
      <c r="AG4762" s="8"/>
    </row>
    <row r="4763" s="7" customFormat="1" spans="33:33">
      <c r="AG4763" s="8"/>
    </row>
    <row r="4764" s="7" customFormat="1" spans="33:33">
      <c r="AG4764" s="8"/>
    </row>
    <row r="4765" s="7" customFormat="1" spans="33:33">
      <c r="AG4765" s="8"/>
    </row>
    <row r="4766" s="7" customFormat="1" spans="33:33">
      <c r="AG4766" s="8"/>
    </row>
    <row r="4767" s="7" customFormat="1" spans="33:33">
      <c r="AG4767" s="8"/>
    </row>
    <row r="4768" s="7" customFormat="1" spans="33:33">
      <c r="AG4768" s="8"/>
    </row>
    <row r="4769" s="7" customFormat="1" spans="33:33">
      <c r="AG4769" s="8"/>
    </row>
    <row r="4770" s="7" customFormat="1" spans="33:33">
      <c r="AG4770" s="8"/>
    </row>
    <row r="4771" s="7" customFormat="1" spans="33:33">
      <c r="AG4771" s="8"/>
    </row>
    <row r="4772" s="7" customFormat="1" spans="33:33">
      <c r="AG4772" s="8"/>
    </row>
    <row r="4773" s="7" customFormat="1" spans="33:33">
      <c r="AG4773" s="8"/>
    </row>
    <row r="4774" s="7" customFormat="1" spans="33:33">
      <c r="AG4774" s="8"/>
    </row>
    <row r="4775" s="7" customFormat="1" spans="33:33">
      <c r="AG4775" s="8"/>
    </row>
    <row r="4776" s="7" customFormat="1" spans="33:33">
      <c r="AG4776" s="8"/>
    </row>
    <row r="4777" s="7" customFormat="1" spans="33:33">
      <c r="AG4777" s="8"/>
    </row>
    <row r="4778" s="7" customFormat="1" spans="33:33">
      <c r="AG4778" s="8"/>
    </row>
    <row r="4779" s="7" customFormat="1" spans="33:33">
      <c r="AG4779" s="8"/>
    </row>
    <row r="4780" s="7" customFormat="1" spans="33:33">
      <c r="AG4780" s="8"/>
    </row>
    <row r="4781" s="7" customFormat="1" spans="33:33">
      <c r="AG4781" s="8"/>
    </row>
    <row r="4782" s="7" customFormat="1" spans="33:33">
      <c r="AG4782" s="8"/>
    </row>
    <row r="4783" s="7" customFormat="1" spans="33:33">
      <c r="AG4783" s="8"/>
    </row>
    <row r="4784" s="7" customFormat="1" spans="33:33">
      <c r="AG4784" s="8"/>
    </row>
    <row r="4785" s="7" customFormat="1" spans="33:33">
      <c r="AG4785" s="8"/>
    </row>
    <row r="4786" s="7" customFormat="1" spans="33:33">
      <c r="AG4786" s="8"/>
    </row>
    <row r="4787" s="7" customFormat="1" spans="33:33">
      <c r="AG4787" s="8"/>
    </row>
    <row r="4788" s="7" customFormat="1" spans="33:33">
      <c r="AG4788" s="8"/>
    </row>
    <row r="4789" s="7" customFormat="1" spans="33:33">
      <c r="AG4789" s="8"/>
    </row>
    <row r="4790" s="7" customFormat="1" spans="33:33">
      <c r="AG4790" s="8"/>
    </row>
    <row r="4791" s="7" customFormat="1" spans="33:33">
      <c r="AG4791" s="8"/>
    </row>
    <row r="4792" s="7" customFormat="1" spans="33:33">
      <c r="AG4792" s="8"/>
    </row>
    <row r="4793" s="7" customFormat="1" spans="33:33">
      <c r="AG4793" s="8"/>
    </row>
    <row r="4794" s="7" customFormat="1" spans="33:33">
      <c r="AG4794" s="8"/>
    </row>
    <row r="4795" s="7" customFormat="1" spans="33:33">
      <c r="AG4795" s="8"/>
    </row>
    <row r="4796" s="7" customFormat="1" spans="33:33">
      <c r="AG4796" s="8"/>
    </row>
    <row r="4797" s="7" customFormat="1" spans="33:33">
      <c r="AG4797" s="8"/>
    </row>
    <row r="4798" s="7" customFormat="1" spans="33:33">
      <c r="AG4798" s="8"/>
    </row>
    <row r="4799" s="7" customFormat="1" spans="33:33">
      <c r="AG4799" s="8"/>
    </row>
    <row r="4800" s="7" customFormat="1" spans="33:33">
      <c r="AG4800" s="8"/>
    </row>
    <row r="4801" s="7" customFormat="1" spans="33:33">
      <c r="AG4801" s="8"/>
    </row>
    <row r="4802" s="7" customFormat="1" spans="33:33">
      <c r="AG4802" s="8"/>
    </row>
    <row r="4803" s="7" customFormat="1" spans="33:33">
      <c r="AG4803" s="8"/>
    </row>
    <row r="4804" s="7" customFormat="1" spans="33:33">
      <c r="AG4804" s="8"/>
    </row>
    <row r="4805" s="7" customFormat="1" spans="33:33">
      <c r="AG4805" s="8"/>
    </row>
    <row r="4806" s="7" customFormat="1" spans="33:33">
      <c r="AG4806" s="8"/>
    </row>
    <row r="4807" s="7" customFormat="1" spans="33:33">
      <c r="AG4807" s="8"/>
    </row>
    <row r="4808" s="7" customFormat="1" spans="33:33">
      <c r="AG4808" s="8"/>
    </row>
    <row r="4809" s="7" customFormat="1" spans="33:33">
      <c r="AG4809" s="8"/>
    </row>
    <row r="4810" s="7" customFormat="1" spans="33:33">
      <c r="AG4810" s="8"/>
    </row>
    <row r="4811" s="7" customFormat="1" spans="33:33">
      <c r="AG4811" s="8"/>
    </row>
    <row r="4812" s="7" customFormat="1" spans="33:33">
      <c r="AG4812" s="8"/>
    </row>
    <row r="4813" s="7" customFormat="1" spans="33:33">
      <c r="AG4813" s="8"/>
    </row>
    <row r="4814" s="7" customFormat="1" spans="33:33">
      <c r="AG4814" s="8"/>
    </row>
    <row r="4815" s="7" customFormat="1" spans="33:33">
      <c r="AG4815" s="8"/>
    </row>
    <row r="4816" s="7" customFormat="1" spans="33:33">
      <c r="AG4816" s="8"/>
    </row>
    <row r="4817" s="7" customFormat="1" spans="33:33">
      <c r="AG4817" s="8"/>
    </row>
    <row r="4818" s="7" customFormat="1" spans="33:33">
      <c r="AG4818" s="8"/>
    </row>
    <row r="4819" s="7" customFormat="1" spans="33:33">
      <c r="AG4819" s="8"/>
    </row>
    <row r="4820" s="7" customFormat="1" spans="33:33">
      <c r="AG4820" s="8"/>
    </row>
    <row r="4821" s="7" customFormat="1" spans="33:33">
      <c r="AG4821" s="8"/>
    </row>
    <row r="4822" s="7" customFormat="1" spans="33:33">
      <c r="AG4822" s="8"/>
    </row>
    <row r="4823" s="7" customFormat="1" spans="33:33">
      <c r="AG4823" s="8"/>
    </row>
    <row r="4824" s="7" customFormat="1" spans="33:33">
      <c r="AG4824" s="8"/>
    </row>
    <row r="4825" s="7" customFormat="1" spans="33:33">
      <c r="AG4825" s="8"/>
    </row>
    <row r="4826" s="7" customFormat="1" spans="33:33">
      <c r="AG4826" s="8"/>
    </row>
    <row r="4827" s="7" customFormat="1" spans="33:33">
      <c r="AG4827" s="8"/>
    </row>
    <row r="4828" s="7" customFormat="1" spans="33:33">
      <c r="AG4828" s="8"/>
    </row>
    <row r="4829" s="7" customFormat="1" spans="33:33">
      <c r="AG4829" s="8"/>
    </row>
    <row r="4830" s="7" customFormat="1" spans="33:33">
      <c r="AG4830" s="8"/>
    </row>
    <row r="4831" s="7" customFormat="1" spans="33:33">
      <c r="AG4831" s="8"/>
    </row>
    <row r="4832" s="7" customFormat="1" spans="33:33">
      <c r="AG4832" s="8"/>
    </row>
    <row r="4833" s="7" customFormat="1" spans="33:33">
      <c r="AG4833" s="8"/>
    </row>
    <row r="4834" s="7" customFormat="1" spans="33:33">
      <c r="AG4834" s="8"/>
    </row>
    <row r="4835" s="7" customFormat="1" spans="33:33">
      <c r="AG4835" s="8"/>
    </row>
    <row r="4836" s="7" customFormat="1" spans="33:33">
      <c r="AG4836" s="8"/>
    </row>
    <row r="4837" s="7" customFormat="1" spans="33:33">
      <c r="AG4837" s="8"/>
    </row>
    <row r="4838" s="7" customFormat="1" spans="33:33">
      <c r="AG4838" s="8"/>
    </row>
    <row r="4839" s="7" customFormat="1" spans="33:33">
      <c r="AG4839" s="8"/>
    </row>
    <row r="4840" s="7" customFormat="1" spans="33:33">
      <c r="AG4840" s="8"/>
    </row>
    <row r="4841" s="7" customFormat="1" spans="33:33">
      <c r="AG4841" s="8"/>
    </row>
    <row r="4842" s="7" customFormat="1" spans="33:33">
      <c r="AG4842" s="8"/>
    </row>
    <row r="4843" s="7" customFormat="1" spans="33:33">
      <c r="AG4843" s="8"/>
    </row>
    <row r="4844" s="7" customFormat="1" spans="33:33">
      <c r="AG4844" s="8"/>
    </row>
    <row r="4845" s="7" customFormat="1" spans="33:33">
      <c r="AG4845" s="8"/>
    </row>
    <row r="4846" s="7" customFormat="1" spans="33:33">
      <c r="AG4846" s="8"/>
    </row>
    <row r="4847" s="7" customFormat="1" spans="33:33">
      <c r="AG4847" s="8"/>
    </row>
    <row r="4848" s="7" customFormat="1" spans="33:33">
      <c r="AG4848" s="8"/>
    </row>
    <row r="4849" s="7" customFormat="1" spans="33:33">
      <c r="AG4849" s="8"/>
    </row>
    <row r="4850" s="7" customFormat="1" spans="33:33">
      <c r="AG4850" s="8"/>
    </row>
    <row r="4851" s="7" customFormat="1" spans="33:33">
      <c r="AG4851" s="8"/>
    </row>
    <row r="4852" s="7" customFormat="1" spans="33:33">
      <c r="AG4852" s="8"/>
    </row>
    <row r="4853" s="7" customFormat="1" spans="33:33">
      <c r="AG4853" s="8"/>
    </row>
    <row r="4854" s="7" customFormat="1" spans="33:33">
      <c r="AG4854" s="8"/>
    </row>
    <row r="4855" s="7" customFormat="1" spans="33:33">
      <c r="AG4855" s="8"/>
    </row>
    <row r="4856" s="7" customFormat="1" spans="33:33">
      <c r="AG4856" s="8"/>
    </row>
    <row r="4857" s="7" customFormat="1" spans="33:33">
      <c r="AG4857" s="8"/>
    </row>
    <row r="4858" s="7" customFormat="1" spans="33:33">
      <c r="AG4858" s="8"/>
    </row>
    <row r="4859" s="7" customFormat="1" spans="33:33">
      <c r="AG4859" s="8"/>
    </row>
    <row r="4860" s="7" customFormat="1" spans="33:33">
      <c r="AG4860" s="8"/>
    </row>
    <row r="4861" s="7" customFormat="1" spans="33:33">
      <c r="AG4861" s="8"/>
    </row>
    <row r="4862" s="7" customFormat="1" spans="33:33">
      <c r="AG4862" s="8"/>
    </row>
    <row r="4863" s="7" customFormat="1" spans="33:33">
      <c r="AG4863" s="8"/>
    </row>
    <row r="4864" s="7" customFormat="1" spans="33:33">
      <c r="AG4864" s="8"/>
    </row>
    <row r="4865" s="7" customFormat="1" spans="33:33">
      <c r="AG4865" s="8"/>
    </row>
    <row r="4866" s="7" customFormat="1" spans="33:33">
      <c r="AG4866" s="8"/>
    </row>
    <row r="4867" s="7" customFormat="1" spans="33:33">
      <c r="AG4867" s="8"/>
    </row>
    <row r="4868" s="7" customFormat="1" spans="33:33">
      <c r="AG4868" s="8"/>
    </row>
    <row r="4869" s="7" customFormat="1" spans="33:33">
      <c r="AG4869" s="8"/>
    </row>
    <row r="4870" s="7" customFormat="1" spans="33:33">
      <c r="AG4870" s="8"/>
    </row>
    <row r="4871" s="7" customFormat="1" spans="33:33">
      <c r="AG4871" s="8"/>
    </row>
    <row r="4872" s="7" customFormat="1" spans="33:33">
      <c r="AG4872" s="8"/>
    </row>
    <row r="4873" s="7" customFormat="1" spans="33:33">
      <c r="AG4873" s="8"/>
    </row>
    <row r="4874" s="7" customFormat="1" spans="33:33">
      <c r="AG4874" s="8"/>
    </row>
    <row r="4875" s="7" customFormat="1" spans="33:33">
      <c r="AG4875" s="8"/>
    </row>
    <row r="4876" s="7" customFormat="1" spans="33:33">
      <c r="AG4876" s="8"/>
    </row>
    <row r="4877" s="7" customFormat="1" spans="33:33">
      <c r="AG4877" s="8"/>
    </row>
    <row r="4878" s="7" customFormat="1" spans="33:33">
      <c r="AG4878" s="8"/>
    </row>
    <row r="4879" s="7" customFormat="1" spans="33:33">
      <c r="AG4879" s="8"/>
    </row>
    <row r="4880" s="7" customFormat="1" spans="33:33">
      <c r="AG4880" s="8"/>
    </row>
    <row r="4881" s="7" customFormat="1" spans="33:33">
      <c r="AG4881" s="8"/>
    </row>
    <row r="4882" s="7" customFormat="1" spans="33:33">
      <c r="AG4882" s="8"/>
    </row>
    <row r="4883" s="7" customFormat="1" spans="33:33">
      <c r="AG4883" s="8"/>
    </row>
    <row r="4884" s="7" customFormat="1" spans="33:33">
      <c r="AG4884" s="8"/>
    </row>
    <row r="4885" s="7" customFormat="1" spans="33:33">
      <c r="AG4885" s="8"/>
    </row>
    <row r="4886" s="7" customFormat="1" spans="33:33">
      <c r="AG4886" s="8"/>
    </row>
    <row r="4887" s="7" customFormat="1" spans="33:33">
      <c r="AG4887" s="8"/>
    </row>
    <row r="4888" s="7" customFormat="1" spans="33:33">
      <c r="AG4888" s="8"/>
    </row>
    <row r="4889" s="7" customFormat="1" spans="33:33">
      <c r="AG4889" s="8"/>
    </row>
    <row r="4890" s="7" customFormat="1" spans="33:33">
      <c r="AG4890" s="8"/>
    </row>
    <row r="4891" s="7" customFormat="1" spans="33:33">
      <c r="AG4891" s="8"/>
    </row>
    <row r="4892" s="7" customFormat="1" spans="33:33">
      <c r="AG4892" s="8"/>
    </row>
    <row r="4893" s="7" customFormat="1" spans="33:33">
      <c r="AG4893" s="8"/>
    </row>
    <row r="4894" s="7" customFormat="1" spans="33:33">
      <c r="AG4894" s="8"/>
    </row>
    <row r="4895" s="7" customFormat="1" spans="33:33">
      <c r="AG4895" s="8"/>
    </row>
    <row r="4896" s="7" customFormat="1" spans="33:33">
      <c r="AG4896" s="8"/>
    </row>
    <row r="4897" s="7" customFormat="1" spans="33:33">
      <c r="AG4897" s="8"/>
    </row>
    <row r="4898" s="7" customFormat="1" spans="33:33">
      <c r="AG4898" s="8"/>
    </row>
    <row r="4899" s="7" customFormat="1" spans="33:33">
      <c r="AG4899" s="8"/>
    </row>
    <row r="4900" s="7" customFormat="1" spans="33:33">
      <c r="AG4900" s="8"/>
    </row>
    <row r="4901" s="7" customFormat="1" spans="33:33">
      <c r="AG4901" s="8"/>
    </row>
    <row r="4902" s="7" customFormat="1" spans="33:33">
      <c r="AG4902" s="8"/>
    </row>
    <row r="4903" s="7" customFormat="1" spans="33:33">
      <c r="AG4903" s="8"/>
    </row>
    <row r="4904" s="7" customFormat="1" spans="33:33">
      <c r="AG4904" s="8"/>
    </row>
    <row r="4905" s="7" customFormat="1" spans="33:33">
      <c r="AG4905" s="8"/>
    </row>
    <row r="4906" s="7" customFormat="1" spans="33:33">
      <c r="AG4906" s="8"/>
    </row>
    <row r="4907" s="7" customFormat="1" spans="33:33">
      <c r="AG4907" s="8"/>
    </row>
    <row r="4908" s="7" customFormat="1" spans="33:33">
      <c r="AG4908" s="8"/>
    </row>
    <row r="4909" s="7" customFormat="1" spans="33:33">
      <c r="AG4909" s="8"/>
    </row>
    <row r="4910" s="7" customFormat="1" spans="33:33">
      <c r="AG4910" s="8"/>
    </row>
    <row r="4911" s="7" customFormat="1" spans="33:33">
      <c r="AG4911" s="8"/>
    </row>
    <row r="4912" s="7" customFormat="1" spans="33:33">
      <c r="AG4912" s="8"/>
    </row>
    <row r="4913" s="7" customFormat="1" spans="33:33">
      <c r="AG4913" s="8"/>
    </row>
    <row r="4914" s="7" customFormat="1" spans="33:33">
      <c r="AG4914" s="8"/>
    </row>
    <row r="4915" s="7" customFormat="1" spans="33:33">
      <c r="AG4915" s="8"/>
    </row>
    <row r="4916" s="7" customFormat="1" spans="33:33">
      <c r="AG4916" s="8"/>
    </row>
    <row r="4917" s="7" customFormat="1" spans="33:33">
      <c r="AG4917" s="8"/>
    </row>
    <row r="4918" s="7" customFormat="1" spans="33:33">
      <c r="AG4918" s="8"/>
    </row>
    <row r="4919" s="7" customFormat="1" spans="33:33">
      <c r="AG4919" s="8"/>
    </row>
    <row r="4920" s="7" customFormat="1" spans="33:33">
      <c r="AG4920" s="8"/>
    </row>
    <row r="4921" s="7" customFormat="1" spans="33:33">
      <c r="AG4921" s="8"/>
    </row>
    <row r="4922" s="7" customFormat="1" spans="33:33">
      <c r="AG4922" s="8"/>
    </row>
    <row r="4923" s="7" customFormat="1" spans="33:33">
      <c r="AG4923" s="8"/>
    </row>
    <row r="4924" s="7" customFormat="1" spans="33:33">
      <c r="AG4924" s="8"/>
    </row>
    <row r="4925" s="7" customFormat="1" spans="33:33">
      <c r="AG4925" s="8"/>
    </row>
    <row r="4926" s="7" customFormat="1" spans="33:33">
      <c r="AG4926" s="8"/>
    </row>
    <row r="4927" s="7" customFormat="1" spans="33:33">
      <c r="AG4927" s="8"/>
    </row>
    <row r="4928" s="7" customFormat="1" spans="33:33">
      <c r="AG4928" s="8"/>
    </row>
    <row r="4929" s="7" customFormat="1" spans="33:33">
      <c r="AG4929" s="8"/>
    </row>
    <row r="4930" s="7" customFormat="1" spans="33:33">
      <c r="AG4930" s="8"/>
    </row>
    <row r="4931" s="7" customFormat="1" spans="33:33">
      <c r="AG4931" s="8"/>
    </row>
    <row r="4932" s="7" customFormat="1" spans="33:33">
      <c r="AG4932" s="8"/>
    </row>
    <row r="4933" s="7" customFormat="1" spans="33:33">
      <c r="AG4933" s="8"/>
    </row>
    <row r="4934" s="7" customFormat="1" spans="33:33">
      <c r="AG4934" s="8"/>
    </row>
    <row r="4935" s="7" customFormat="1" spans="33:33">
      <c r="AG4935" s="8"/>
    </row>
    <row r="4936" s="7" customFormat="1" spans="33:33">
      <c r="AG4936" s="8"/>
    </row>
    <row r="4937" s="7" customFormat="1" spans="33:33">
      <c r="AG4937" s="8"/>
    </row>
    <row r="4938" s="7" customFormat="1" spans="33:33">
      <c r="AG4938" s="8"/>
    </row>
    <row r="4939" s="7" customFormat="1" spans="33:33">
      <c r="AG4939" s="8"/>
    </row>
    <row r="4940" s="7" customFormat="1" spans="33:33">
      <c r="AG4940" s="8"/>
    </row>
    <row r="4941" s="7" customFormat="1" spans="33:33">
      <c r="AG4941" s="8"/>
    </row>
    <row r="4942" s="7" customFormat="1" spans="33:33">
      <c r="AG4942" s="8"/>
    </row>
    <row r="4943" s="7" customFormat="1" spans="33:33">
      <c r="AG4943" s="8"/>
    </row>
    <row r="4944" s="7" customFormat="1" spans="33:33">
      <c r="AG4944" s="8"/>
    </row>
    <row r="4945" s="7" customFormat="1" spans="33:33">
      <c r="AG4945" s="8"/>
    </row>
    <row r="4946" s="7" customFormat="1" spans="33:33">
      <c r="AG4946" s="8"/>
    </row>
    <row r="4947" s="7" customFormat="1" spans="33:33">
      <c r="AG4947" s="8"/>
    </row>
    <row r="4948" s="7" customFormat="1" spans="33:33">
      <c r="AG4948" s="8"/>
    </row>
    <row r="4949" s="7" customFormat="1" spans="33:33">
      <c r="AG4949" s="8"/>
    </row>
    <row r="4950" s="7" customFormat="1" spans="33:33">
      <c r="AG4950" s="8"/>
    </row>
    <row r="4951" s="7" customFormat="1" spans="33:33">
      <c r="AG4951" s="8"/>
    </row>
    <row r="4952" s="7" customFormat="1" spans="33:33">
      <c r="AG4952" s="8"/>
    </row>
    <row r="4953" s="7" customFormat="1" spans="33:33">
      <c r="AG4953" s="8"/>
    </row>
    <row r="4954" s="7" customFormat="1" spans="33:33">
      <c r="AG4954" s="8"/>
    </row>
    <row r="4955" s="7" customFormat="1" spans="33:33">
      <c r="AG4955" s="8"/>
    </row>
    <row r="4956" s="7" customFormat="1" spans="33:33">
      <c r="AG4956" s="8"/>
    </row>
    <row r="4957" s="7" customFormat="1" spans="33:33">
      <c r="AG4957" s="8"/>
    </row>
    <row r="4958" s="7" customFormat="1" spans="33:33">
      <c r="AG4958" s="8"/>
    </row>
    <row r="4959" s="7" customFormat="1" spans="33:33">
      <c r="AG4959" s="8"/>
    </row>
    <row r="4960" s="7" customFormat="1" spans="33:33">
      <c r="AG4960" s="8"/>
    </row>
    <row r="4961" s="7" customFormat="1" spans="33:33">
      <c r="AG4961" s="8"/>
    </row>
    <row r="4962" s="7" customFormat="1" spans="33:33">
      <c r="AG4962" s="8"/>
    </row>
    <row r="4963" s="7" customFormat="1" spans="33:33">
      <c r="AG4963" s="8"/>
    </row>
    <row r="4964" s="7" customFormat="1" spans="33:33">
      <c r="AG4964" s="8"/>
    </row>
    <row r="4965" s="7" customFormat="1" spans="33:33">
      <c r="AG4965" s="8"/>
    </row>
    <row r="4966" s="7" customFormat="1" spans="33:33">
      <c r="AG4966" s="8"/>
    </row>
    <row r="4967" s="7" customFormat="1" spans="33:33">
      <c r="AG4967" s="8"/>
    </row>
    <row r="4968" s="7" customFormat="1" spans="33:33">
      <c r="AG4968" s="8"/>
    </row>
    <row r="4969" s="7" customFormat="1" spans="33:33">
      <c r="AG4969" s="8"/>
    </row>
    <row r="4970" s="7" customFormat="1" spans="33:33">
      <c r="AG4970" s="8"/>
    </row>
    <row r="4971" s="7" customFormat="1" spans="33:33">
      <c r="AG4971" s="8"/>
    </row>
    <row r="4972" s="7" customFormat="1" spans="33:33">
      <c r="AG4972" s="8"/>
    </row>
    <row r="4973" s="7" customFormat="1" spans="33:33">
      <c r="AG4973" s="8"/>
    </row>
    <row r="4974" s="7" customFormat="1" spans="33:33">
      <c r="AG4974" s="8"/>
    </row>
    <row r="4975" s="7" customFormat="1" spans="33:33">
      <c r="AG4975" s="8"/>
    </row>
    <row r="4976" s="7" customFormat="1" spans="33:33">
      <c r="AG4976" s="8"/>
    </row>
    <row r="4977" s="7" customFormat="1" spans="33:33">
      <c r="AG4977" s="8"/>
    </row>
    <row r="4978" s="7" customFormat="1" spans="33:33">
      <c r="AG4978" s="8"/>
    </row>
    <row r="4979" s="7" customFormat="1" spans="33:33">
      <c r="AG4979" s="8"/>
    </row>
    <row r="4980" s="7" customFormat="1" spans="33:33">
      <c r="AG4980" s="8"/>
    </row>
    <row r="4981" s="7" customFormat="1" spans="33:33">
      <c r="AG4981" s="8"/>
    </row>
    <row r="4982" s="7" customFormat="1" spans="33:33">
      <c r="AG4982" s="8"/>
    </row>
    <row r="4983" s="7" customFormat="1" spans="33:33">
      <c r="AG4983" s="8"/>
    </row>
    <row r="4984" s="7" customFormat="1" spans="33:33">
      <c r="AG4984" s="8"/>
    </row>
    <row r="4985" s="7" customFormat="1" spans="33:33">
      <c r="AG4985" s="8"/>
    </row>
    <row r="4986" s="7" customFormat="1" spans="33:33">
      <c r="AG4986" s="8"/>
    </row>
    <row r="4987" s="7" customFormat="1" spans="33:33">
      <c r="AG4987" s="8"/>
    </row>
    <row r="4988" s="7" customFormat="1" spans="33:33">
      <c r="AG4988" s="8"/>
    </row>
    <row r="4989" s="7" customFormat="1" spans="33:33">
      <c r="AG4989" s="8"/>
    </row>
    <row r="4990" s="7" customFormat="1" spans="33:33">
      <c r="AG4990" s="8"/>
    </row>
    <row r="4991" s="7" customFormat="1" spans="33:33">
      <c r="AG4991" s="8"/>
    </row>
    <row r="4992" s="7" customFormat="1" spans="33:33">
      <c r="AG4992" s="8"/>
    </row>
    <row r="4993" s="7" customFormat="1" spans="33:33">
      <c r="AG4993" s="8"/>
    </row>
    <row r="4994" s="7" customFormat="1" spans="33:33">
      <c r="AG4994" s="8"/>
    </row>
    <row r="4995" s="7" customFormat="1" spans="33:33">
      <c r="AG4995" s="8"/>
    </row>
    <row r="4996" s="7" customFormat="1" spans="33:33">
      <c r="AG4996" s="8"/>
    </row>
    <row r="4997" s="7" customFormat="1" spans="33:33">
      <c r="AG4997" s="8"/>
    </row>
    <row r="4998" s="7" customFormat="1" spans="33:33">
      <c r="AG4998" s="8"/>
    </row>
    <row r="4999" s="7" customFormat="1" spans="33:33">
      <c r="AG4999" s="8"/>
    </row>
    <row r="5000" s="7" customFormat="1" spans="33:33">
      <c r="AG5000" s="8"/>
    </row>
    <row r="5001" s="7" customFormat="1" spans="33:33">
      <c r="AG5001" s="8"/>
    </row>
    <row r="5002" s="7" customFormat="1" spans="33:33">
      <c r="AG5002" s="8"/>
    </row>
    <row r="5003" s="7" customFormat="1" spans="33:33">
      <c r="AG5003" s="8"/>
    </row>
    <row r="5004" s="7" customFormat="1" spans="33:33">
      <c r="AG5004" s="8"/>
    </row>
    <row r="5005" s="7" customFormat="1" spans="33:33">
      <c r="AG5005" s="8"/>
    </row>
    <row r="5006" s="7" customFormat="1" spans="33:33">
      <c r="AG5006" s="8"/>
    </row>
    <row r="5007" s="7" customFormat="1" spans="33:33">
      <c r="AG5007" s="8"/>
    </row>
    <row r="5008" s="7" customFormat="1" spans="33:33">
      <c r="AG5008" s="8"/>
    </row>
    <row r="5009" s="7" customFormat="1" spans="33:33">
      <c r="AG5009" s="8"/>
    </row>
    <row r="5010" s="7" customFormat="1" spans="33:33">
      <c r="AG5010" s="8"/>
    </row>
    <row r="5011" s="7" customFormat="1" spans="33:33">
      <c r="AG5011" s="8"/>
    </row>
    <row r="5012" s="7" customFormat="1" spans="33:33">
      <c r="AG5012" s="8"/>
    </row>
    <row r="5013" s="7" customFormat="1" spans="33:33">
      <c r="AG5013" s="8"/>
    </row>
    <row r="5014" s="7" customFormat="1" spans="33:33">
      <c r="AG5014" s="8"/>
    </row>
    <row r="5015" s="7" customFormat="1" spans="33:33">
      <c r="AG5015" s="8"/>
    </row>
    <row r="5016" s="7" customFormat="1" spans="33:33">
      <c r="AG5016" s="8"/>
    </row>
    <row r="5017" s="7" customFormat="1" spans="33:33">
      <c r="AG5017" s="8"/>
    </row>
    <row r="5018" s="7" customFormat="1" spans="33:33">
      <c r="AG5018" s="8"/>
    </row>
    <row r="5019" s="7" customFormat="1" spans="33:33">
      <c r="AG5019" s="8"/>
    </row>
    <row r="5020" s="7" customFormat="1" spans="33:33">
      <c r="AG5020" s="8"/>
    </row>
    <row r="5021" s="7" customFormat="1" spans="33:33">
      <c r="AG5021" s="8"/>
    </row>
    <row r="5022" s="7" customFormat="1" spans="33:33">
      <c r="AG5022" s="8"/>
    </row>
    <row r="5023" s="7" customFormat="1" spans="33:33">
      <c r="AG5023" s="8"/>
    </row>
    <row r="5024" s="7" customFormat="1" spans="33:33">
      <c r="AG5024" s="8"/>
    </row>
    <row r="5025" s="7" customFormat="1" spans="33:33">
      <c r="AG5025" s="8"/>
    </row>
    <row r="5026" s="7" customFormat="1" spans="33:33">
      <c r="AG5026" s="8"/>
    </row>
    <row r="5027" s="7" customFormat="1" spans="33:33">
      <c r="AG5027" s="8"/>
    </row>
    <row r="5028" s="7" customFormat="1" spans="33:33">
      <c r="AG5028" s="8"/>
    </row>
    <row r="5029" s="7" customFormat="1" spans="33:33">
      <c r="AG5029" s="8"/>
    </row>
    <row r="5030" s="7" customFormat="1" spans="33:33">
      <c r="AG5030" s="8"/>
    </row>
    <row r="5031" s="7" customFormat="1" spans="33:33">
      <c r="AG5031" s="8"/>
    </row>
    <row r="5032" s="7" customFormat="1" spans="33:33">
      <c r="AG5032" s="8"/>
    </row>
    <row r="5033" s="7" customFormat="1" spans="33:33">
      <c r="AG5033" s="8"/>
    </row>
    <row r="5034" s="7" customFormat="1" spans="33:33">
      <c r="AG5034" s="8"/>
    </row>
    <row r="5035" s="7" customFormat="1" spans="33:33">
      <c r="AG5035" s="8"/>
    </row>
    <row r="5036" s="7" customFormat="1" spans="33:33">
      <c r="AG5036" s="8"/>
    </row>
    <row r="5037" s="7" customFormat="1" spans="33:33">
      <c r="AG5037" s="8"/>
    </row>
    <row r="5038" s="7" customFormat="1" spans="33:33">
      <c r="AG5038" s="8"/>
    </row>
    <row r="5039" s="7" customFormat="1" spans="33:33">
      <c r="AG5039" s="8"/>
    </row>
    <row r="5040" s="7" customFormat="1" spans="33:33">
      <c r="AG5040" s="8"/>
    </row>
    <row r="5041" s="7" customFormat="1" spans="33:33">
      <c r="AG5041" s="8"/>
    </row>
    <row r="5042" s="7" customFormat="1" spans="33:33">
      <c r="AG5042" s="8"/>
    </row>
    <row r="5043" s="7" customFormat="1" spans="33:33">
      <c r="AG5043" s="8"/>
    </row>
    <row r="5044" s="7" customFormat="1" spans="33:33">
      <c r="AG5044" s="8"/>
    </row>
    <row r="5045" s="7" customFormat="1" spans="33:33">
      <c r="AG5045" s="8"/>
    </row>
    <row r="5046" s="7" customFormat="1" spans="33:33">
      <c r="AG5046" s="8"/>
    </row>
    <row r="5047" s="7" customFormat="1" spans="33:33">
      <c r="AG5047" s="8"/>
    </row>
    <row r="5048" s="7" customFormat="1" spans="33:33">
      <c r="AG5048" s="8"/>
    </row>
    <row r="5049" s="7" customFormat="1" spans="33:33">
      <c r="AG5049" s="8"/>
    </row>
    <row r="5050" s="7" customFormat="1" spans="33:33">
      <c r="AG5050" s="8"/>
    </row>
    <row r="5051" s="7" customFormat="1" spans="33:33">
      <c r="AG5051" s="8"/>
    </row>
    <row r="5052" s="7" customFormat="1" spans="33:33">
      <c r="AG5052" s="8"/>
    </row>
    <row r="5053" s="7" customFormat="1" spans="33:33">
      <c r="AG5053" s="8"/>
    </row>
    <row r="5054" s="7" customFormat="1" spans="33:33">
      <c r="AG5054" s="8"/>
    </row>
    <row r="5055" s="7" customFormat="1" spans="33:33">
      <c r="AG5055" s="8"/>
    </row>
    <row r="5056" s="7" customFormat="1" spans="33:33">
      <c r="AG5056" s="8"/>
    </row>
    <row r="5057" s="7" customFormat="1" spans="33:33">
      <c r="AG5057" s="8"/>
    </row>
    <row r="5058" s="7" customFormat="1" spans="33:33">
      <c r="AG5058" s="8"/>
    </row>
    <row r="5059" s="7" customFormat="1" spans="33:33">
      <c r="AG5059" s="8"/>
    </row>
    <row r="5060" s="7" customFormat="1" spans="33:33">
      <c r="AG5060" s="8"/>
    </row>
    <row r="5061" s="7" customFormat="1" spans="33:33">
      <c r="AG5061" s="8"/>
    </row>
    <row r="5062" s="7" customFormat="1" spans="33:33">
      <c r="AG5062" s="8"/>
    </row>
    <row r="5063" s="7" customFormat="1" spans="33:33">
      <c r="AG5063" s="8"/>
    </row>
    <row r="5064" s="7" customFormat="1" spans="33:33">
      <c r="AG5064" s="8"/>
    </row>
    <row r="5065" s="7" customFormat="1" spans="33:33">
      <c r="AG5065" s="8"/>
    </row>
    <row r="5066" s="7" customFormat="1" spans="33:33">
      <c r="AG5066" s="8"/>
    </row>
    <row r="5067" s="7" customFormat="1" spans="33:33">
      <c r="AG5067" s="8"/>
    </row>
    <row r="5068" s="7" customFormat="1" spans="33:33">
      <c r="AG5068" s="8"/>
    </row>
    <row r="5069" s="7" customFormat="1" spans="33:33">
      <c r="AG5069" s="8"/>
    </row>
    <row r="5070" s="7" customFormat="1" spans="33:33">
      <c r="AG5070" s="8"/>
    </row>
    <row r="5071" s="7" customFormat="1" spans="33:33">
      <c r="AG5071" s="8"/>
    </row>
    <row r="5072" s="7" customFormat="1" spans="33:33">
      <c r="AG5072" s="8"/>
    </row>
    <row r="5073" s="7" customFormat="1" spans="33:33">
      <c r="AG5073" s="8"/>
    </row>
    <row r="5074" s="7" customFormat="1" spans="33:33">
      <c r="AG5074" s="8"/>
    </row>
    <row r="5075" s="7" customFormat="1" spans="33:33">
      <c r="AG5075" s="8"/>
    </row>
    <row r="5076" s="7" customFormat="1" spans="33:33">
      <c r="AG5076" s="8"/>
    </row>
    <row r="5077" s="7" customFormat="1" spans="33:33">
      <c r="AG5077" s="8"/>
    </row>
    <row r="5078" s="7" customFormat="1" spans="33:33">
      <c r="AG5078" s="8"/>
    </row>
    <row r="5079" s="7" customFormat="1" spans="33:33">
      <c r="AG5079" s="8"/>
    </row>
    <row r="5080" s="7" customFormat="1" spans="33:33">
      <c r="AG5080" s="8"/>
    </row>
    <row r="5081" s="7" customFormat="1" spans="33:33">
      <c r="AG5081" s="8"/>
    </row>
    <row r="5082" s="7" customFormat="1" spans="33:33">
      <c r="AG5082" s="8"/>
    </row>
    <row r="5083" s="7" customFormat="1" spans="33:33">
      <c r="AG5083" s="8"/>
    </row>
    <row r="5084" s="7" customFormat="1" spans="33:33">
      <c r="AG5084" s="8"/>
    </row>
    <row r="5085" s="7" customFormat="1" spans="33:33">
      <c r="AG5085" s="8"/>
    </row>
    <row r="5086" s="7" customFormat="1" spans="33:33">
      <c r="AG5086" s="8"/>
    </row>
    <row r="5087" s="7" customFormat="1" spans="33:33">
      <c r="AG5087" s="8"/>
    </row>
    <row r="5088" s="7" customFormat="1" spans="33:33">
      <c r="AG5088" s="8"/>
    </row>
    <row r="5089" s="7" customFormat="1" spans="33:33">
      <c r="AG5089" s="8"/>
    </row>
    <row r="5090" s="7" customFormat="1" spans="33:33">
      <c r="AG5090" s="8"/>
    </row>
    <row r="5091" s="7" customFormat="1" spans="33:33">
      <c r="AG5091" s="8"/>
    </row>
    <row r="5092" s="7" customFormat="1" spans="33:33">
      <c r="AG5092" s="8"/>
    </row>
    <row r="5093" s="7" customFormat="1" spans="33:33">
      <c r="AG5093" s="8"/>
    </row>
    <row r="5094" s="7" customFormat="1" spans="33:33">
      <c r="AG5094" s="8"/>
    </row>
    <row r="5095" s="7" customFormat="1" spans="33:33">
      <c r="AG5095" s="8"/>
    </row>
    <row r="5096" s="7" customFormat="1" spans="33:33">
      <c r="AG5096" s="8"/>
    </row>
    <row r="5097" s="7" customFormat="1" spans="33:33">
      <c r="AG5097" s="8"/>
    </row>
    <row r="5098" s="7" customFormat="1" spans="33:33">
      <c r="AG5098" s="8"/>
    </row>
    <row r="5099" s="7" customFormat="1" spans="33:33">
      <c r="AG5099" s="8"/>
    </row>
    <row r="5100" s="7" customFormat="1" spans="33:33">
      <c r="AG5100" s="8"/>
    </row>
    <row r="5101" s="7" customFormat="1" spans="33:33">
      <c r="AG5101" s="8"/>
    </row>
    <row r="5102" s="7" customFormat="1" spans="33:33">
      <c r="AG5102" s="8"/>
    </row>
    <row r="5103" s="7" customFormat="1" spans="33:33">
      <c r="AG5103" s="8"/>
    </row>
    <row r="5104" s="7" customFormat="1" spans="33:33">
      <c r="AG5104" s="8"/>
    </row>
    <row r="5105" s="7" customFormat="1" spans="33:33">
      <c r="AG5105" s="8"/>
    </row>
    <row r="5106" s="7" customFormat="1" spans="33:33">
      <c r="AG5106" s="8"/>
    </row>
    <row r="5107" s="7" customFormat="1" spans="33:33">
      <c r="AG5107" s="8"/>
    </row>
    <row r="5108" s="7" customFormat="1" spans="33:33">
      <c r="AG5108" s="8"/>
    </row>
    <row r="5109" s="7" customFormat="1" spans="33:33">
      <c r="AG5109" s="8"/>
    </row>
    <row r="5110" s="7" customFormat="1" spans="33:33">
      <c r="AG5110" s="8"/>
    </row>
    <row r="5111" s="7" customFormat="1" spans="33:33">
      <c r="AG5111" s="8"/>
    </row>
    <row r="5112" s="7" customFormat="1" spans="33:33">
      <c r="AG5112" s="8"/>
    </row>
    <row r="5113" s="7" customFormat="1" spans="33:33">
      <c r="AG5113" s="8"/>
    </row>
    <row r="5114" s="7" customFormat="1" spans="33:33">
      <c r="AG5114" s="8"/>
    </row>
    <row r="5115" s="7" customFormat="1" spans="33:33">
      <c r="AG5115" s="8"/>
    </row>
    <row r="5116" s="7" customFormat="1" spans="33:33">
      <c r="AG5116" s="8"/>
    </row>
    <row r="5117" s="7" customFormat="1" spans="33:33">
      <c r="AG5117" s="8"/>
    </row>
    <row r="5118" s="7" customFormat="1" spans="33:33">
      <c r="AG5118" s="8"/>
    </row>
    <row r="5119" s="7" customFormat="1" spans="33:33">
      <c r="AG5119" s="8"/>
    </row>
    <row r="5120" s="7" customFormat="1" spans="33:33">
      <c r="AG5120" s="8"/>
    </row>
    <row r="5121" s="7" customFormat="1" spans="33:33">
      <c r="AG5121" s="8"/>
    </row>
    <row r="5122" s="7" customFormat="1" spans="33:33">
      <c r="AG5122" s="8"/>
    </row>
    <row r="5123" s="7" customFormat="1" spans="33:33">
      <c r="AG5123" s="8"/>
    </row>
    <row r="5124" s="7" customFormat="1" spans="33:33">
      <c r="AG5124" s="8"/>
    </row>
    <row r="5125" s="7" customFormat="1" spans="33:33">
      <c r="AG5125" s="8"/>
    </row>
    <row r="5126" s="7" customFormat="1" spans="33:33">
      <c r="AG5126" s="8"/>
    </row>
    <row r="5127" s="7" customFormat="1" spans="33:33">
      <c r="AG5127" s="8"/>
    </row>
    <row r="5128" s="7" customFormat="1" spans="33:33">
      <c r="AG5128" s="8"/>
    </row>
    <row r="5129" s="7" customFormat="1" spans="33:33">
      <c r="AG5129" s="8"/>
    </row>
    <row r="5130" s="7" customFormat="1" spans="33:33">
      <c r="AG5130" s="8"/>
    </row>
    <row r="5131" s="7" customFormat="1" spans="33:33">
      <c r="AG5131" s="8"/>
    </row>
    <row r="5132" s="7" customFormat="1" spans="33:33">
      <c r="AG5132" s="8"/>
    </row>
    <row r="5133" s="7" customFormat="1" spans="33:33">
      <c r="AG5133" s="8"/>
    </row>
    <row r="5134" s="7" customFormat="1" spans="33:33">
      <c r="AG5134" s="8"/>
    </row>
    <row r="5135" s="7" customFormat="1" spans="33:33">
      <c r="AG5135" s="8"/>
    </row>
    <row r="5136" s="7" customFormat="1" spans="33:33">
      <c r="AG5136" s="8"/>
    </row>
    <row r="5137" s="7" customFormat="1" spans="33:33">
      <c r="AG5137" s="8"/>
    </row>
    <row r="5138" s="7" customFormat="1" spans="33:33">
      <c r="AG5138" s="8"/>
    </row>
    <row r="5139" s="7" customFormat="1" spans="33:33">
      <c r="AG5139" s="8"/>
    </row>
    <row r="5140" s="7" customFormat="1" spans="33:33">
      <c r="AG5140" s="8"/>
    </row>
    <row r="5141" s="7" customFormat="1" spans="33:33">
      <c r="AG5141" s="8"/>
    </row>
    <row r="5142" s="7" customFormat="1" spans="33:33">
      <c r="AG5142" s="8"/>
    </row>
    <row r="5143" s="7" customFormat="1" spans="33:33">
      <c r="AG5143" s="8"/>
    </row>
    <row r="5144" s="7" customFormat="1" spans="33:33">
      <c r="AG5144" s="8"/>
    </row>
    <row r="5145" s="7" customFormat="1" spans="33:33">
      <c r="AG5145" s="8"/>
    </row>
    <row r="5146" s="7" customFormat="1" spans="33:33">
      <c r="AG5146" s="8"/>
    </row>
    <row r="5147" s="7" customFormat="1" spans="33:33">
      <c r="AG5147" s="8"/>
    </row>
    <row r="5148" s="7" customFormat="1" spans="33:33">
      <c r="AG5148" s="8"/>
    </row>
    <row r="5149" s="7" customFormat="1" spans="33:33">
      <c r="AG5149" s="8"/>
    </row>
    <row r="5150" s="7" customFormat="1" spans="33:33">
      <c r="AG5150" s="8"/>
    </row>
    <row r="5151" s="7" customFormat="1" spans="33:33">
      <c r="AG5151" s="8"/>
    </row>
    <row r="5152" s="7" customFormat="1" spans="33:33">
      <c r="AG5152" s="8"/>
    </row>
    <row r="5153" s="7" customFormat="1" spans="33:33">
      <c r="AG5153" s="8"/>
    </row>
    <row r="5154" s="7" customFormat="1" spans="33:33">
      <c r="AG5154" s="8"/>
    </row>
    <row r="5155" s="7" customFormat="1" spans="33:33">
      <c r="AG5155" s="8"/>
    </row>
    <row r="5156" s="7" customFormat="1" spans="33:33">
      <c r="AG5156" s="8"/>
    </row>
    <row r="5157" s="7" customFormat="1" spans="33:33">
      <c r="AG5157" s="8"/>
    </row>
    <row r="5158" s="7" customFormat="1" spans="33:33">
      <c r="AG5158" s="8"/>
    </row>
    <row r="5159" s="7" customFormat="1" spans="33:33">
      <c r="AG5159" s="8"/>
    </row>
    <row r="5160" s="7" customFormat="1" spans="33:33">
      <c r="AG5160" s="8"/>
    </row>
    <row r="5161" s="7" customFormat="1" spans="33:33">
      <c r="AG5161" s="8"/>
    </row>
    <row r="5162" s="7" customFormat="1" spans="33:33">
      <c r="AG5162" s="8"/>
    </row>
    <row r="5163" s="7" customFormat="1" spans="33:33">
      <c r="AG5163" s="8"/>
    </row>
    <row r="5164" s="7" customFormat="1" spans="33:33">
      <c r="AG5164" s="8"/>
    </row>
    <row r="5165" s="7" customFormat="1" spans="33:33">
      <c r="AG5165" s="8"/>
    </row>
    <row r="5166" s="7" customFormat="1" spans="33:33">
      <c r="AG5166" s="8"/>
    </row>
    <row r="5167" s="7" customFormat="1" spans="33:33">
      <c r="AG5167" s="8"/>
    </row>
    <row r="5168" s="7" customFormat="1" spans="33:33">
      <c r="AG5168" s="8"/>
    </row>
    <row r="5169" s="7" customFormat="1" spans="33:33">
      <c r="AG5169" s="8"/>
    </row>
    <row r="5170" s="7" customFormat="1" spans="33:33">
      <c r="AG5170" s="8"/>
    </row>
    <row r="5171" s="7" customFormat="1" spans="33:33">
      <c r="AG5171" s="8"/>
    </row>
    <row r="5172" s="7" customFormat="1" spans="33:33">
      <c r="AG5172" s="8"/>
    </row>
    <row r="5173" s="7" customFormat="1" spans="33:33">
      <c r="AG5173" s="8"/>
    </row>
    <row r="5174" s="7" customFormat="1" spans="33:33">
      <c r="AG5174" s="8"/>
    </row>
    <row r="5175" s="7" customFormat="1" spans="33:33">
      <c r="AG5175" s="8"/>
    </row>
    <row r="5176" s="7" customFormat="1" spans="33:33">
      <c r="AG5176" s="8"/>
    </row>
    <row r="5177" s="7" customFormat="1" spans="33:33">
      <c r="AG5177" s="8"/>
    </row>
    <row r="5178" s="7" customFormat="1" spans="33:33">
      <c r="AG5178" s="8"/>
    </row>
    <row r="5179" s="7" customFormat="1" spans="33:33">
      <c r="AG5179" s="8"/>
    </row>
    <row r="5180" s="7" customFormat="1" spans="33:33">
      <c r="AG5180" s="8"/>
    </row>
    <row r="5181" s="7" customFormat="1" spans="33:33">
      <c r="AG5181" s="8"/>
    </row>
    <row r="5182" s="7" customFormat="1" spans="33:33">
      <c r="AG5182" s="8"/>
    </row>
    <row r="5183" s="7" customFormat="1" spans="33:33">
      <c r="AG5183" s="8"/>
    </row>
    <row r="5184" s="7" customFormat="1" spans="33:33">
      <c r="AG5184" s="8"/>
    </row>
    <row r="5185" s="7" customFormat="1" spans="33:33">
      <c r="AG5185" s="8"/>
    </row>
    <row r="5186" s="7" customFormat="1" spans="33:33">
      <c r="AG5186" s="8"/>
    </row>
    <row r="5187" s="7" customFormat="1" spans="33:33">
      <c r="AG5187" s="8"/>
    </row>
    <row r="5188" s="7" customFormat="1" spans="33:33">
      <c r="AG5188" s="8"/>
    </row>
    <row r="5189" s="7" customFormat="1" spans="33:33">
      <c r="AG5189" s="8"/>
    </row>
    <row r="5190" s="7" customFormat="1" spans="33:33">
      <c r="AG5190" s="8"/>
    </row>
    <row r="5191" s="7" customFormat="1" spans="33:33">
      <c r="AG5191" s="8"/>
    </row>
    <row r="5192" s="7" customFormat="1" spans="33:33">
      <c r="AG5192" s="8"/>
    </row>
    <row r="5193" s="7" customFormat="1" spans="33:33">
      <c r="AG5193" s="8"/>
    </row>
    <row r="5194" s="7" customFormat="1" spans="33:33">
      <c r="AG5194" s="8"/>
    </row>
    <row r="5195" s="7" customFormat="1" spans="33:33">
      <c r="AG5195" s="8"/>
    </row>
    <row r="5196" s="7" customFormat="1" spans="33:33">
      <c r="AG5196" s="8"/>
    </row>
    <row r="5197" s="7" customFormat="1" spans="33:33">
      <c r="AG5197" s="8"/>
    </row>
    <row r="5198" s="7" customFormat="1" spans="33:33">
      <c r="AG5198" s="8"/>
    </row>
    <row r="5199" s="7" customFormat="1" spans="33:33">
      <c r="AG5199" s="8"/>
    </row>
    <row r="5200" s="7" customFormat="1" spans="33:33">
      <c r="AG5200" s="8"/>
    </row>
    <row r="5201" s="7" customFormat="1" spans="33:33">
      <c r="AG5201" s="8"/>
    </row>
    <row r="5202" s="7" customFormat="1" spans="33:33">
      <c r="AG5202" s="8"/>
    </row>
    <row r="5203" s="7" customFormat="1" spans="33:33">
      <c r="AG5203" s="8"/>
    </row>
    <row r="5204" s="7" customFormat="1" spans="33:33">
      <c r="AG5204" s="8"/>
    </row>
    <row r="5205" s="7" customFormat="1" spans="33:33">
      <c r="AG5205" s="8"/>
    </row>
    <row r="5206" s="7" customFormat="1" spans="33:33">
      <c r="AG5206" s="8"/>
    </row>
    <row r="5207" s="7" customFormat="1" spans="33:33">
      <c r="AG5207" s="8"/>
    </row>
    <row r="5208" s="7" customFormat="1" spans="33:33">
      <c r="AG5208" s="8"/>
    </row>
    <row r="5209" s="7" customFormat="1" spans="33:33">
      <c r="AG5209" s="8"/>
    </row>
    <row r="5210" s="7" customFormat="1" spans="33:33">
      <c r="AG5210" s="8"/>
    </row>
    <row r="5211" s="7" customFormat="1" spans="33:33">
      <c r="AG5211" s="8"/>
    </row>
    <row r="5212" s="7" customFormat="1" spans="33:33">
      <c r="AG5212" s="8"/>
    </row>
    <row r="5213" s="7" customFormat="1" spans="33:33">
      <c r="AG5213" s="8"/>
    </row>
    <row r="5214" s="7" customFormat="1" spans="33:33">
      <c r="AG5214" s="8"/>
    </row>
    <row r="5215" s="7" customFormat="1" spans="33:33">
      <c r="AG5215" s="8"/>
    </row>
    <row r="5216" s="7" customFormat="1" spans="33:33">
      <c r="AG5216" s="8"/>
    </row>
    <row r="5217" s="7" customFormat="1" spans="33:33">
      <c r="AG5217" s="8"/>
    </row>
    <row r="5218" s="7" customFormat="1" spans="33:33">
      <c r="AG5218" s="8"/>
    </row>
    <row r="5219" s="7" customFormat="1" spans="33:33">
      <c r="AG5219" s="8"/>
    </row>
    <row r="5220" s="7" customFormat="1" spans="33:33">
      <c r="AG5220" s="8"/>
    </row>
    <row r="5221" s="7" customFormat="1" spans="33:33">
      <c r="AG5221" s="8"/>
    </row>
    <row r="5222" s="7" customFormat="1" spans="33:33">
      <c r="AG5222" s="8"/>
    </row>
    <row r="5223" s="7" customFormat="1" spans="33:33">
      <c r="AG5223" s="8"/>
    </row>
    <row r="5224" s="7" customFormat="1" spans="33:33">
      <c r="AG5224" s="8"/>
    </row>
    <row r="5225" s="7" customFormat="1" spans="33:33">
      <c r="AG5225" s="8"/>
    </row>
    <row r="5226" s="7" customFormat="1" spans="33:33">
      <c r="AG5226" s="8"/>
    </row>
    <row r="5227" s="7" customFormat="1" spans="33:33">
      <c r="AG5227" s="8"/>
    </row>
    <row r="5228" s="7" customFormat="1" spans="33:33">
      <c r="AG5228" s="8"/>
    </row>
    <row r="5229" s="7" customFormat="1" spans="33:33">
      <c r="AG5229" s="8"/>
    </row>
    <row r="5230" s="7" customFormat="1" spans="33:33">
      <c r="AG5230" s="8"/>
    </row>
    <row r="5231" s="7" customFormat="1" spans="33:33">
      <c r="AG5231" s="8"/>
    </row>
    <row r="5232" s="7" customFormat="1" spans="33:33">
      <c r="AG5232" s="8"/>
    </row>
    <row r="5233" s="7" customFormat="1" spans="33:33">
      <c r="AG5233" s="8"/>
    </row>
    <row r="5234" s="7" customFormat="1" spans="33:33">
      <c r="AG5234" s="8"/>
    </row>
    <row r="5235" s="7" customFormat="1" spans="33:33">
      <c r="AG5235" s="8"/>
    </row>
    <row r="5236" s="7" customFormat="1" spans="33:33">
      <c r="AG5236" s="8"/>
    </row>
    <row r="5237" s="7" customFormat="1" spans="33:33">
      <c r="AG5237" s="8"/>
    </row>
    <row r="5238" s="7" customFormat="1" spans="33:33">
      <c r="AG5238" s="8"/>
    </row>
    <row r="5239" s="7" customFormat="1" spans="33:33">
      <c r="AG5239" s="8"/>
    </row>
    <row r="5240" s="7" customFormat="1" spans="33:33">
      <c r="AG5240" s="8"/>
    </row>
    <row r="5241" s="7" customFormat="1" spans="33:33">
      <c r="AG5241" s="8"/>
    </row>
    <row r="5242" s="7" customFormat="1" spans="33:33">
      <c r="AG5242" s="8"/>
    </row>
    <row r="5243" s="7" customFormat="1" spans="33:33">
      <c r="AG5243" s="8"/>
    </row>
    <row r="5244" s="7" customFormat="1" spans="33:33">
      <c r="AG5244" s="8"/>
    </row>
    <row r="5245" s="7" customFormat="1" spans="33:33">
      <c r="AG5245" s="8"/>
    </row>
    <row r="5246" s="7" customFormat="1" spans="33:33">
      <c r="AG5246" s="8"/>
    </row>
    <row r="5247" s="7" customFormat="1" spans="33:33">
      <c r="AG5247" s="8"/>
    </row>
    <row r="5248" s="7" customFormat="1" spans="33:33">
      <c r="AG5248" s="8"/>
    </row>
    <row r="5249" s="7" customFormat="1" spans="33:33">
      <c r="AG5249" s="8"/>
    </row>
    <row r="5250" s="7" customFormat="1" spans="33:33">
      <c r="AG5250" s="8"/>
    </row>
    <row r="5251" s="7" customFormat="1" spans="33:33">
      <c r="AG5251" s="8"/>
    </row>
    <row r="5252" s="7" customFormat="1" spans="33:33">
      <c r="AG5252" s="8"/>
    </row>
    <row r="5253" s="7" customFormat="1" spans="33:33">
      <c r="AG5253" s="8"/>
    </row>
    <row r="5254" s="7" customFormat="1" spans="33:33">
      <c r="AG5254" s="8"/>
    </row>
    <row r="5255" s="7" customFormat="1" spans="33:33">
      <c r="AG5255" s="8"/>
    </row>
    <row r="5256" s="7" customFormat="1" spans="33:33">
      <c r="AG5256" s="8"/>
    </row>
    <row r="5257" s="7" customFormat="1" spans="33:33">
      <c r="AG5257" s="8"/>
    </row>
    <row r="5258" s="7" customFormat="1" spans="33:33">
      <c r="AG5258" s="8"/>
    </row>
    <row r="5259" s="7" customFormat="1" spans="33:33">
      <c r="AG5259" s="8"/>
    </row>
    <row r="5260" s="7" customFormat="1" spans="33:33">
      <c r="AG5260" s="8"/>
    </row>
    <row r="5261" s="7" customFormat="1" spans="33:33">
      <c r="AG5261" s="8"/>
    </row>
    <row r="5262" s="7" customFormat="1" spans="33:33">
      <c r="AG5262" s="8"/>
    </row>
    <row r="5263" s="7" customFormat="1" spans="33:33">
      <c r="AG5263" s="8"/>
    </row>
    <row r="5264" s="7" customFormat="1" spans="33:33">
      <c r="AG5264" s="8"/>
    </row>
    <row r="5265" s="7" customFormat="1" spans="33:33">
      <c r="AG5265" s="8"/>
    </row>
    <row r="5266" s="7" customFormat="1" spans="33:33">
      <c r="AG5266" s="8"/>
    </row>
    <row r="5267" s="7" customFormat="1" spans="33:33">
      <c r="AG5267" s="8"/>
    </row>
    <row r="5268" s="7" customFormat="1" spans="33:33">
      <c r="AG5268" s="8"/>
    </row>
    <row r="5269" s="7" customFormat="1" spans="33:33">
      <c r="AG5269" s="8"/>
    </row>
    <row r="5270" s="7" customFormat="1" spans="33:33">
      <c r="AG5270" s="8"/>
    </row>
    <row r="5271" s="7" customFormat="1" spans="33:33">
      <c r="AG5271" s="8"/>
    </row>
    <row r="5272" s="7" customFormat="1" spans="33:33">
      <c r="AG5272" s="8"/>
    </row>
    <row r="5273" s="7" customFormat="1" spans="33:33">
      <c r="AG5273" s="8"/>
    </row>
    <row r="5274" s="7" customFormat="1" spans="33:33">
      <c r="AG5274" s="8"/>
    </row>
    <row r="5275" s="7" customFormat="1" spans="33:33">
      <c r="AG5275" s="8"/>
    </row>
    <row r="5276" s="7" customFormat="1" spans="33:33">
      <c r="AG5276" s="8"/>
    </row>
    <row r="5277" s="7" customFormat="1" spans="33:33">
      <c r="AG5277" s="8"/>
    </row>
    <row r="5278" s="7" customFormat="1" spans="33:33">
      <c r="AG5278" s="8"/>
    </row>
    <row r="5279" s="7" customFormat="1" spans="33:33">
      <c r="AG5279" s="8"/>
    </row>
    <row r="5280" s="7" customFormat="1" spans="33:33">
      <c r="AG5280" s="8"/>
    </row>
    <row r="5281" s="7" customFormat="1" spans="33:33">
      <c r="AG5281" s="8"/>
    </row>
    <row r="5282" s="7" customFormat="1" spans="33:33">
      <c r="AG5282" s="8"/>
    </row>
    <row r="5283" s="7" customFormat="1" spans="33:33">
      <c r="AG5283" s="8"/>
    </row>
    <row r="5284" s="7" customFormat="1" spans="33:33">
      <c r="AG5284" s="8"/>
    </row>
    <row r="5285" s="7" customFormat="1" spans="33:33">
      <c r="AG5285" s="8"/>
    </row>
    <row r="5286" s="7" customFormat="1" spans="33:33">
      <c r="AG5286" s="8"/>
    </row>
    <row r="5287" s="7" customFormat="1" spans="33:33">
      <c r="AG5287" s="8"/>
    </row>
    <row r="5288" s="7" customFormat="1" spans="33:33">
      <c r="AG5288" s="8"/>
    </row>
    <row r="5289" s="7" customFormat="1" spans="33:33">
      <c r="AG5289" s="8"/>
    </row>
    <row r="5290" s="7" customFormat="1" spans="33:33">
      <c r="AG5290" s="8"/>
    </row>
    <row r="5291" s="7" customFormat="1" spans="33:33">
      <c r="AG5291" s="8"/>
    </row>
    <row r="5292" s="7" customFormat="1" spans="33:33">
      <c r="AG5292" s="8"/>
    </row>
    <row r="5293" s="7" customFormat="1" spans="33:33">
      <c r="AG5293" s="8"/>
    </row>
    <row r="5294" s="7" customFormat="1" spans="33:33">
      <c r="AG5294" s="8"/>
    </row>
    <row r="5295" s="7" customFormat="1" spans="33:33">
      <c r="AG5295" s="8"/>
    </row>
    <row r="5296" s="7" customFormat="1" spans="33:33">
      <c r="AG5296" s="8"/>
    </row>
    <row r="5297" s="7" customFormat="1" spans="33:33">
      <c r="AG5297" s="8"/>
    </row>
    <row r="5298" s="7" customFormat="1" spans="33:33">
      <c r="AG5298" s="8"/>
    </row>
    <row r="5299" s="7" customFormat="1" spans="33:33">
      <c r="AG5299" s="8"/>
    </row>
    <row r="5300" s="7" customFormat="1" spans="33:33">
      <c r="AG5300" s="8"/>
    </row>
    <row r="5301" s="7" customFormat="1" spans="33:33">
      <c r="AG5301" s="8"/>
    </row>
    <row r="5302" s="7" customFormat="1" spans="33:33">
      <c r="AG5302" s="8"/>
    </row>
    <row r="5303" s="7" customFormat="1" spans="33:33">
      <c r="AG5303" s="8"/>
    </row>
    <row r="5304" s="7" customFormat="1" spans="33:33">
      <c r="AG5304" s="8"/>
    </row>
    <row r="5305" s="7" customFormat="1" spans="33:33">
      <c r="AG5305" s="8"/>
    </row>
    <row r="5306" s="7" customFormat="1" spans="33:33">
      <c r="AG5306" s="8"/>
    </row>
    <row r="5307" s="7" customFormat="1" spans="33:33">
      <c r="AG5307" s="8"/>
    </row>
    <row r="5308" s="7" customFormat="1" spans="33:33">
      <c r="AG5308" s="8"/>
    </row>
    <row r="5309" s="7" customFormat="1" spans="33:33">
      <c r="AG5309" s="8"/>
    </row>
    <row r="5310" s="7" customFormat="1" spans="33:33">
      <c r="AG5310" s="8"/>
    </row>
    <row r="5311" s="7" customFormat="1" spans="33:33">
      <c r="AG5311" s="8"/>
    </row>
    <row r="5312" s="7" customFormat="1" spans="33:33">
      <c r="AG5312" s="8"/>
    </row>
    <row r="5313" s="7" customFormat="1" spans="33:33">
      <c r="AG5313" s="8"/>
    </row>
    <row r="5314" s="7" customFormat="1" spans="33:33">
      <c r="AG5314" s="8"/>
    </row>
    <row r="5315" s="7" customFormat="1" spans="33:33">
      <c r="AG5315" s="8"/>
    </row>
    <row r="5316" s="7" customFormat="1" spans="33:33">
      <c r="AG5316" s="8"/>
    </row>
    <row r="5317" s="7" customFormat="1" spans="33:33">
      <c r="AG5317" s="8"/>
    </row>
    <row r="5318" s="7" customFormat="1" spans="33:33">
      <c r="AG5318" s="8"/>
    </row>
    <row r="5319" s="7" customFormat="1" spans="33:33">
      <c r="AG5319" s="8"/>
    </row>
    <row r="5320" s="7" customFormat="1" spans="33:33">
      <c r="AG5320" s="8"/>
    </row>
    <row r="5321" s="7" customFormat="1" spans="33:33">
      <c r="AG5321" s="8"/>
    </row>
    <row r="5322" s="7" customFormat="1" spans="33:33">
      <c r="AG5322" s="8"/>
    </row>
    <row r="5323" s="7" customFormat="1" spans="33:33">
      <c r="AG5323" s="8"/>
    </row>
    <row r="5324" s="7" customFormat="1" spans="33:33">
      <c r="AG5324" s="8"/>
    </row>
    <row r="5325" s="7" customFormat="1" spans="33:33">
      <c r="AG5325" s="8"/>
    </row>
    <row r="5326" s="7" customFormat="1" spans="33:33">
      <c r="AG5326" s="8"/>
    </row>
    <row r="5327" s="7" customFormat="1" spans="33:33">
      <c r="AG5327" s="8"/>
    </row>
    <row r="5328" s="7" customFormat="1" spans="33:33">
      <c r="AG5328" s="8"/>
    </row>
    <row r="5329" s="7" customFormat="1" spans="33:33">
      <c r="AG5329" s="8"/>
    </row>
    <row r="5330" s="7" customFormat="1" spans="33:33">
      <c r="AG5330" s="8"/>
    </row>
    <row r="5331" s="7" customFormat="1" spans="33:33">
      <c r="AG5331" s="8"/>
    </row>
    <row r="5332" s="7" customFormat="1" spans="33:33">
      <c r="AG5332" s="8"/>
    </row>
    <row r="5333" s="7" customFormat="1" spans="33:33">
      <c r="AG5333" s="8"/>
    </row>
    <row r="5334" s="7" customFormat="1" spans="33:33">
      <c r="AG5334" s="8"/>
    </row>
    <row r="5335" s="7" customFormat="1" spans="33:33">
      <c r="AG5335" s="8"/>
    </row>
    <row r="5336" s="7" customFormat="1" spans="33:33">
      <c r="AG5336" s="8"/>
    </row>
    <row r="5337" s="7" customFormat="1" spans="33:33">
      <c r="AG5337" s="8"/>
    </row>
    <row r="5338" s="7" customFormat="1" spans="33:33">
      <c r="AG5338" s="8"/>
    </row>
    <row r="5339" s="7" customFormat="1" spans="33:33">
      <c r="AG5339" s="8"/>
    </row>
    <row r="5340" s="7" customFormat="1" spans="33:33">
      <c r="AG5340" s="8"/>
    </row>
    <row r="5341" s="7" customFormat="1" spans="33:33">
      <c r="AG5341" s="8"/>
    </row>
    <row r="5342" s="7" customFormat="1" spans="33:33">
      <c r="AG5342" s="8"/>
    </row>
    <row r="5343" s="7" customFormat="1" spans="33:33">
      <c r="AG5343" s="8"/>
    </row>
    <row r="5344" s="7" customFormat="1" spans="33:33">
      <c r="AG5344" s="8"/>
    </row>
    <row r="5345" s="7" customFormat="1" spans="33:33">
      <c r="AG5345" s="8"/>
    </row>
    <row r="5346" s="7" customFormat="1" spans="33:33">
      <c r="AG5346" s="8"/>
    </row>
    <row r="5347" s="7" customFormat="1" spans="33:33">
      <c r="AG5347" s="8"/>
    </row>
    <row r="5348" s="7" customFormat="1" spans="33:33">
      <c r="AG5348" s="8"/>
    </row>
    <row r="5349" s="7" customFormat="1" spans="33:33">
      <c r="AG5349" s="8"/>
    </row>
    <row r="5350" s="7" customFormat="1" spans="33:33">
      <c r="AG5350" s="8"/>
    </row>
    <row r="5351" s="7" customFormat="1" spans="33:33">
      <c r="AG5351" s="8"/>
    </row>
    <row r="5352" s="7" customFormat="1" spans="33:33">
      <c r="AG5352" s="8"/>
    </row>
    <row r="5353" s="7" customFormat="1" spans="33:33">
      <c r="AG5353" s="8"/>
    </row>
    <row r="5354" s="7" customFormat="1" spans="33:33">
      <c r="AG5354" s="8"/>
    </row>
    <row r="5355" s="7" customFormat="1" spans="33:33">
      <c r="AG5355" s="8"/>
    </row>
    <row r="5356" s="7" customFormat="1" spans="33:33">
      <c r="AG5356" s="8"/>
    </row>
    <row r="5357" s="7" customFormat="1" spans="33:33">
      <c r="AG5357" s="8"/>
    </row>
    <row r="5358" s="7" customFormat="1" spans="33:33">
      <c r="AG5358" s="8"/>
    </row>
    <row r="5359" s="7" customFormat="1" spans="33:33">
      <c r="AG5359" s="8"/>
    </row>
    <row r="5360" s="7" customFormat="1" spans="33:33">
      <c r="AG5360" s="8"/>
    </row>
    <row r="5361" s="7" customFormat="1" spans="33:33">
      <c r="AG5361" s="8"/>
    </row>
    <row r="5362" s="7" customFormat="1" spans="33:33">
      <c r="AG5362" s="8"/>
    </row>
    <row r="5363" s="7" customFormat="1" spans="33:33">
      <c r="AG5363" s="8"/>
    </row>
    <row r="5364" s="7" customFormat="1" spans="33:33">
      <c r="AG5364" s="8"/>
    </row>
    <row r="5365" s="7" customFormat="1" spans="33:33">
      <c r="AG5365" s="8"/>
    </row>
    <row r="5366" s="7" customFormat="1" spans="33:33">
      <c r="AG5366" s="8"/>
    </row>
    <row r="5367" s="7" customFormat="1" spans="33:33">
      <c r="AG5367" s="8"/>
    </row>
    <row r="5368" s="7" customFormat="1" spans="33:33">
      <c r="AG5368" s="8"/>
    </row>
    <row r="5369" s="7" customFormat="1" spans="33:33">
      <c r="AG5369" s="8"/>
    </row>
    <row r="5370" s="7" customFormat="1" spans="33:33">
      <c r="AG5370" s="8"/>
    </row>
    <row r="5371" s="7" customFormat="1" spans="33:33">
      <c r="AG5371" s="8"/>
    </row>
    <row r="5372" s="7" customFormat="1" spans="33:33">
      <c r="AG5372" s="8"/>
    </row>
    <row r="5373" s="7" customFormat="1" spans="33:33">
      <c r="AG5373" s="8"/>
    </row>
    <row r="5374" s="7" customFormat="1" spans="33:33">
      <c r="AG5374" s="8"/>
    </row>
    <row r="5375" s="7" customFormat="1" spans="33:33">
      <c r="AG5375" s="8"/>
    </row>
    <row r="5376" s="7" customFormat="1" spans="33:33">
      <c r="AG5376" s="8"/>
    </row>
    <row r="5377" s="7" customFormat="1" spans="33:33">
      <c r="AG5377" s="8"/>
    </row>
    <row r="5378" s="7" customFormat="1" spans="33:33">
      <c r="AG5378" s="8"/>
    </row>
    <row r="5379" s="7" customFormat="1" spans="33:33">
      <c r="AG5379" s="8"/>
    </row>
    <row r="5380" s="7" customFormat="1" spans="33:33">
      <c r="AG5380" s="8"/>
    </row>
    <row r="5381" s="7" customFormat="1" spans="33:33">
      <c r="AG5381" s="8"/>
    </row>
    <row r="5382" s="7" customFormat="1" spans="33:33">
      <c r="AG5382" s="8"/>
    </row>
    <row r="5383" s="7" customFormat="1" spans="33:33">
      <c r="AG5383" s="8"/>
    </row>
    <row r="5384" s="7" customFormat="1" spans="33:33">
      <c r="AG5384" s="8"/>
    </row>
    <row r="5385" s="7" customFormat="1" spans="33:33">
      <c r="AG5385" s="8"/>
    </row>
    <row r="5386" s="7" customFormat="1" spans="33:33">
      <c r="AG5386" s="8"/>
    </row>
    <row r="5387" s="7" customFormat="1" spans="33:33">
      <c r="AG5387" s="8"/>
    </row>
    <row r="5388" s="7" customFormat="1" spans="33:33">
      <c r="AG5388" s="8"/>
    </row>
    <row r="5389" s="7" customFormat="1" spans="33:33">
      <c r="AG5389" s="8"/>
    </row>
    <row r="5390" s="7" customFormat="1" spans="33:33">
      <c r="AG5390" s="8"/>
    </row>
    <row r="5391" s="7" customFormat="1" spans="33:33">
      <c r="AG5391" s="8"/>
    </row>
    <row r="5392" s="7" customFormat="1" spans="33:33">
      <c r="AG5392" s="8"/>
    </row>
    <row r="5393" s="7" customFormat="1" spans="33:33">
      <c r="AG5393" s="8"/>
    </row>
    <row r="5394" s="7" customFormat="1" spans="33:33">
      <c r="AG5394" s="8"/>
    </row>
    <row r="5395" s="7" customFormat="1" spans="33:33">
      <c r="AG5395" s="8"/>
    </row>
    <row r="5396" s="7" customFormat="1" spans="33:33">
      <c r="AG5396" s="8"/>
    </row>
    <row r="5397" s="7" customFormat="1" spans="33:33">
      <c r="AG5397" s="8"/>
    </row>
    <row r="5398" s="7" customFormat="1" spans="33:33">
      <c r="AG5398" s="8"/>
    </row>
    <row r="5399" s="7" customFormat="1" spans="33:33">
      <c r="AG5399" s="8"/>
    </row>
    <row r="5400" s="7" customFormat="1" spans="33:33">
      <c r="AG5400" s="8"/>
    </row>
    <row r="5401" s="7" customFormat="1" spans="33:33">
      <c r="AG5401" s="8"/>
    </row>
    <row r="5402" s="7" customFormat="1" spans="33:33">
      <c r="AG5402" s="8"/>
    </row>
    <row r="5403" s="7" customFormat="1" spans="33:33">
      <c r="AG5403" s="8"/>
    </row>
    <row r="5404" s="7" customFormat="1" spans="33:33">
      <c r="AG5404" s="8"/>
    </row>
    <row r="5405" s="7" customFormat="1" spans="33:33">
      <c r="AG5405" s="8"/>
    </row>
    <row r="5406" s="7" customFormat="1" spans="33:33">
      <c r="AG5406" s="8"/>
    </row>
    <row r="5407" s="7" customFormat="1" spans="33:33">
      <c r="AG5407" s="8"/>
    </row>
    <row r="5408" s="7" customFormat="1" spans="33:33">
      <c r="AG5408" s="8"/>
    </row>
    <row r="5409" s="7" customFormat="1" spans="33:33">
      <c r="AG5409" s="8"/>
    </row>
    <row r="5410" s="7" customFormat="1" spans="33:33">
      <c r="AG5410" s="8"/>
    </row>
    <row r="5411" s="7" customFormat="1" spans="33:33">
      <c r="AG5411" s="8"/>
    </row>
    <row r="5412" s="7" customFormat="1" spans="33:33">
      <c r="AG5412" s="8"/>
    </row>
    <row r="5413" s="7" customFormat="1" spans="33:33">
      <c r="AG5413" s="8"/>
    </row>
    <row r="5414" s="7" customFormat="1" spans="33:33">
      <c r="AG5414" s="8"/>
    </row>
    <row r="5415" s="7" customFormat="1" spans="33:33">
      <c r="AG5415" s="8"/>
    </row>
    <row r="5416" s="7" customFormat="1" spans="33:33">
      <c r="AG5416" s="8"/>
    </row>
    <row r="5417" s="7" customFormat="1" spans="33:33">
      <c r="AG5417" s="8"/>
    </row>
    <row r="5418" s="7" customFormat="1" spans="33:33">
      <c r="AG5418" s="8"/>
    </row>
    <row r="5419" s="7" customFormat="1" spans="33:33">
      <c r="AG5419" s="8"/>
    </row>
    <row r="5420" s="7" customFormat="1" spans="33:33">
      <c r="AG5420" s="8"/>
    </row>
    <row r="5421" s="7" customFormat="1" spans="33:33">
      <c r="AG5421" s="8"/>
    </row>
    <row r="5422" s="7" customFormat="1" spans="33:33">
      <c r="AG5422" s="8"/>
    </row>
    <row r="5423" s="7" customFormat="1" spans="33:33">
      <c r="AG5423" s="8"/>
    </row>
    <row r="5424" s="7" customFormat="1" spans="33:33">
      <c r="AG5424" s="8"/>
    </row>
    <row r="5425" s="7" customFormat="1" spans="33:33">
      <c r="AG5425" s="8"/>
    </row>
    <row r="5426" s="7" customFormat="1" spans="33:33">
      <c r="AG5426" s="8"/>
    </row>
    <row r="5427" s="7" customFormat="1" spans="33:33">
      <c r="AG5427" s="8"/>
    </row>
    <row r="5428" s="7" customFormat="1" spans="33:33">
      <c r="AG5428" s="8"/>
    </row>
    <row r="5429" s="7" customFormat="1" spans="33:33">
      <c r="AG5429" s="8"/>
    </row>
    <row r="5430" s="7" customFormat="1" spans="33:33">
      <c r="AG5430" s="8"/>
    </row>
    <row r="5431" s="7" customFormat="1" spans="33:33">
      <c r="AG5431" s="8"/>
    </row>
    <row r="5432" s="7" customFormat="1" spans="33:33">
      <c r="AG5432" s="8"/>
    </row>
    <row r="5433" s="7" customFormat="1" spans="33:33">
      <c r="AG5433" s="8"/>
    </row>
    <row r="5434" s="7" customFormat="1" spans="33:33">
      <c r="AG5434" s="8"/>
    </row>
    <row r="5435" s="7" customFormat="1" spans="33:33">
      <c r="AG5435" s="8"/>
    </row>
    <row r="5436" s="7" customFormat="1" spans="33:33">
      <c r="AG5436" s="8"/>
    </row>
    <row r="5437" s="7" customFormat="1" spans="33:33">
      <c r="AG5437" s="8"/>
    </row>
    <row r="5438" s="7" customFormat="1" spans="33:33">
      <c r="AG5438" s="8"/>
    </row>
    <row r="5439" s="7" customFormat="1" spans="33:33">
      <c r="AG5439" s="8"/>
    </row>
    <row r="5440" s="7" customFormat="1" spans="33:33">
      <c r="AG5440" s="8"/>
    </row>
    <row r="5441" s="7" customFormat="1" spans="33:33">
      <c r="AG5441" s="8"/>
    </row>
    <row r="5442" s="7" customFormat="1" spans="33:33">
      <c r="AG5442" s="8"/>
    </row>
    <row r="5443" s="7" customFormat="1" spans="33:33">
      <c r="AG5443" s="8"/>
    </row>
    <row r="5444" s="7" customFormat="1" spans="33:33">
      <c r="AG5444" s="8"/>
    </row>
    <row r="5445" s="7" customFormat="1" spans="33:33">
      <c r="AG5445" s="8"/>
    </row>
    <row r="5446" s="7" customFormat="1" spans="33:33">
      <c r="AG5446" s="8"/>
    </row>
    <row r="5447" s="7" customFormat="1" spans="33:33">
      <c r="AG5447" s="8"/>
    </row>
    <row r="5448" s="7" customFormat="1" spans="33:33">
      <c r="AG5448" s="8"/>
    </row>
    <row r="5449" s="7" customFormat="1" spans="33:33">
      <c r="AG5449" s="8"/>
    </row>
    <row r="5450" s="7" customFormat="1" spans="33:33">
      <c r="AG5450" s="8"/>
    </row>
    <row r="5451" s="7" customFormat="1" spans="33:33">
      <c r="AG5451" s="8"/>
    </row>
    <row r="5452" s="7" customFormat="1" spans="33:33">
      <c r="AG5452" s="8"/>
    </row>
    <row r="5453" s="7" customFormat="1" spans="33:33">
      <c r="AG5453" s="8"/>
    </row>
    <row r="5454" s="7" customFormat="1" spans="33:33">
      <c r="AG5454" s="8"/>
    </row>
    <row r="5455" s="7" customFormat="1" spans="33:33">
      <c r="AG5455" s="8"/>
    </row>
    <row r="5456" s="7" customFormat="1" spans="33:33">
      <c r="AG5456" s="8"/>
    </row>
    <row r="5457" s="7" customFormat="1" spans="33:33">
      <c r="AG5457" s="8"/>
    </row>
    <row r="5458" s="7" customFormat="1" spans="33:33">
      <c r="AG5458" s="8"/>
    </row>
    <row r="5459" s="7" customFormat="1" spans="33:33">
      <c r="AG5459" s="8"/>
    </row>
    <row r="5460" s="7" customFormat="1" spans="33:33">
      <c r="AG5460" s="8"/>
    </row>
    <row r="5461" s="7" customFormat="1" spans="33:33">
      <c r="AG5461" s="8"/>
    </row>
    <row r="5462" s="7" customFormat="1" spans="33:33">
      <c r="AG5462" s="8"/>
    </row>
    <row r="5463" s="7" customFormat="1" spans="33:33">
      <c r="AG5463" s="8"/>
    </row>
    <row r="5464" s="7" customFormat="1" spans="33:33">
      <c r="AG5464" s="8"/>
    </row>
    <row r="5465" s="7" customFormat="1" spans="33:33">
      <c r="AG5465" s="8"/>
    </row>
    <row r="5466" s="7" customFormat="1" spans="33:33">
      <c r="AG5466" s="8"/>
    </row>
    <row r="5467" s="7" customFormat="1" spans="33:33">
      <c r="AG5467" s="8"/>
    </row>
    <row r="5468" s="7" customFormat="1" spans="33:33">
      <c r="AG5468" s="8"/>
    </row>
    <row r="5469" s="7" customFormat="1" spans="33:33">
      <c r="AG5469" s="8"/>
    </row>
    <row r="5470" s="7" customFormat="1" spans="33:33">
      <c r="AG5470" s="8"/>
    </row>
    <row r="5471" s="7" customFormat="1" spans="33:33">
      <c r="AG5471" s="8"/>
    </row>
    <row r="5472" s="7" customFormat="1" spans="33:33">
      <c r="AG5472" s="8"/>
    </row>
    <row r="5473" s="7" customFormat="1" spans="33:33">
      <c r="AG5473" s="8"/>
    </row>
    <row r="5474" s="7" customFormat="1" spans="33:33">
      <c r="AG5474" s="8"/>
    </row>
    <row r="5475" s="7" customFormat="1" spans="33:33">
      <c r="AG5475" s="8"/>
    </row>
    <row r="5476" s="7" customFormat="1" spans="33:33">
      <c r="AG5476" s="8"/>
    </row>
    <row r="5477" s="7" customFormat="1" spans="33:33">
      <c r="AG5477" s="8"/>
    </row>
    <row r="5478" s="7" customFormat="1" spans="33:33">
      <c r="AG5478" s="8"/>
    </row>
    <row r="5479" s="7" customFormat="1" spans="33:33">
      <c r="AG5479" s="8"/>
    </row>
    <row r="5480" s="7" customFormat="1" spans="33:33">
      <c r="AG5480" s="8"/>
    </row>
    <row r="5481" s="7" customFormat="1" spans="33:33">
      <c r="AG5481" s="8"/>
    </row>
    <row r="5482" s="7" customFormat="1" spans="33:33">
      <c r="AG5482" s="8"/>
    </row>
    <row r="5483" s="7" customFormat="1" spans="33:33">
      <c r="AG5483" s="8"/>
    </row>
    <row r="5484" s="7" customFormat="1" spans="33:33">
      <c r="AG5484" s="8"/>
    </row>
    <row r="5485" s="7" customFormat="1" spans="33:33">
      <c r="AG5485" s="8"/>
    </row>
    <row r="5486" s="7" customFormat="1" spans="33:33">
      <c r="AG5486" s="8"/>
    </row>
    <row r="5487" s="7" customFormat="1" spans="33:33">
      <c r="AG5487" s="8"/>
    </row>
    <row r="5488" s="7" customFormat="1" spans="33:33">
      <c r="AG5488" s="8"/>
    </row>
    <row r="5489" s="7" customFormat="1" spans="33:33">
      <c r="AG5489" s="8"/>
    </row>
    <row r="5490" s="7" customFormat="1" spans="33:33">
      <c r="AG5490" s="8"/>
    </row>
    <row r="5491" s="7" customFormat="1" spans="33:33">
      <c r="AG5491" s="8"/>
    </row>
    <row r="5492" s="7" customFormat="1" spans="33:33">
      <c r="AG5492" s="8"/>
    </row>
    <row r="5493" s="7" customFormat="1" spans="33:33">
      <c r="AG5493" s="8"/>
    </row>
    <row r="5494" s="7" customFormat="1" spans="33:33">
      <c r="AG5494" s="8"/>
    </row>
    <row r="5495" s="7" customFormat="1" spans="33:33">
      <c r="AG5495" s="8"/>
    </row>
    <row r="5496" s="7" customFormat="1" spans="33:33">
      <c r="AG5496" s="8"/>
    </row>
    <row r="5497" spans="1:33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  <c r="AC5497" s="7"/>
      <c r="AD5497" s="7"/>
      <c r="AE5497" s="7"/>
      <c r="AF5497" s="7"/>
      <c r="AG5497" s="8"/>
    </row>
    <row r="5498" spans="1:33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  <c r="AC5498" s="7"/>
      <c r="AD5498" s="7"/>
      <c r="AE5498" s="7"/>
      <c r="AF5498" s="7"/>
      <c r="AG5498" s="8"/>
    </row>
    <row r="5499" spans="1:33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  <c r="AC5499" s="7"/>
      <c r="AD5499" s="7"/>
      <c r="AE5499" s="7"/>
      <c r="AF5499" s="7"/>
      <c r="AG5499" s="8"/>
    </row>
    <row r="5500" spans="1:33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  <c r="AC5500" s="7"/>
      <c r="AD5500" s="7"/>
      <c r="AE5500" s="7"/>
      <c r="AF5500" s="7"/>
      <c r="AG5500" s="8"/>
    </row>
    <row r="5501" spans="1:33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  <c r="AC5501" s="7"/>
      <c r="AD5501" s="7"/>
      <c r="AE5501" s="7"/>
      <c r="AF5501" s="7"/>
      <c r="AG5501" s="8"/>
    </row>
    <row r="5502" spans="1:33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  <c r="AC5502" s="7"/>
      <c r="AD5502" s="7"/>
      <c r="AE5502" s="7"/>
      <c r="AF5502" s="7"/>
      <c r="AG5502" s="8"/>
    </row>
    <row r="5503" spans="1:33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  <c r="AC5503" s="7"/>
      <c r="AD5503" s="7"/>
      <c r="AE5503" s="7"/>
      <c r="AF5503" s="7"/>
      <c r="AG5503" s="8"/>
    </row>
    <row r="5504" spans="1:33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  <c r="AC5504" s="7"/>
      <c r="AD5504" s="7"/>
      <c r="AE5504" s="7"/>
      <c r="AF5504" s="7"/>
      <c r="AG5504" s="8"/>
    </row>
    <row r="5505" spans="1:33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  <c r="AC5505" s="7"/>
      <c r="AD5505" s="7"/>
      <c r="AE5505" s="7"/>
      <c r="AF5505" s="7"/>
      <c r="AG5505" s="8"/>
    </row>
    <row r="5506" spans="1:33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  <c r="AC5506" s="7"/>
      <c r="AD5506" s="7"/>
      <c r="AE5506" s="7"/>
      <c r="AF5506" s="7"/>
      <c r="AG5506" s="8"/>
    </row>
    <row r="5507" spans="1:33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  <c r="AC5507" s="7"/>
      <c r="AD5507" s="7"/>
      <c r="AE5507" s="7"/>
      <c r="AF5507" s="7"/>
      <c r="AG5507" s="8"/>
    </row>
    <row r="5508" spans="1:33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  <c r="AC5508" s="7"/>
      <c r="AD5508" s="7"/>
      <c r="AE5508" s="7"/>
      <c r="AF5508" s="7"/>
      <c r="AG5508" s="8"/>
    </row>
    <row r="5509" spans="1:33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  <c r="AC5509" s="7"/>
      <c r="AD5509" s="7"/>
      <c r="AE5509" s="7"/>
      <c r="AF5509" s="7"/>
      <c r="AG5509" s="8"/>
    </row>
    <row r="5510" spans="1:33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  <c r="AC5510" s="7"/>
      <c r="AD5510" s="7"/>
      <c r="AE5510" s="7"/>
      <c r="AF5510" s="7"/>
      <c r="AG5510" s="8"/>
    </row>
    <row r="5511" spans="1:33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  <c r="AC5511" s="7"/>
      <c r="AD5511" s="7"/>
      <c r="AE5511" s="7"/>
      <c r="AF5511" s="7"/>
      <c r="AG5511" s="8"/>
    </row>
    <row r="5512" spans="1:33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  <c r="AC5512" s="7"/>
      <c r="AD5512" s="7"/>
      <c r="AE5512" s="7"/>
      <c r="AF5512" s="7"/>
      <c r="AG5512" s="8"/>
    </row>
    <row r="5513" spans="1:33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  <c r="AC5513" s="7"/>
      <c r="AD5513" s="7"/>
      <c r="AE5513" s="7"/>
      <c r="AF5513" s="7"/>
      <c r="AG5513" s="8"/>
    </row>
    <row r="5514" spans="1:33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  <c r="AC5514" s="7"/>
      <c r="AD5514" s="7"/>
      <c r="AE5514" s="7"/>
      <c r="AF5514" s="7"/>
      <c r="AG5514" s="8"/>
    </row>
    <row r="5515" spans="1:33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  <c r="AC5515" s="7"/>
      <c r="AD5515" s="7"/>
      <c r="AE5515" s="7"/>
      <c r="AF5515" s="7"/>
      <c r="AG5515" s="8"/>
    </row>
    <row r="5516" spans="1:33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  <c r="AC5516" s="7"/>
      <c r="AD5516" s="7"/>
      <c r="AE5516" s="7"/>
      <c r="AF5516" s="7"/>
      <c r="AG5516" s="8"/>
    </row>
    <row r="5517" spans="1:33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  <c r="AC5517" s="7"/>
      <c r="AD5517" s="7"/>
      <c r="AE5517" s="7"/>
      <c r="AF5517" s="7"/>
      <c r="AG5517" s="8"/>
    </row>
    <row r="5518" spans="1:33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  <c r="AC5518" s="7"/>
      <c r="AD5518" s="7"/>
      <c r="AE5518" s="7"/>
      <c r="AF5518" s="7"/>
      <c r="AG5518" s="8"/>
    </row>
    <row r="5519" spans="1:33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  <c r="AC5519" s="7"/>
      <c r="AD5519" s="7"/>
      <c r="AE5519" s="7"/>
      <c r="AF5519" s="7"/>
      <c r="AG5519" s="8"/>
    </row>
    <row r="5520" spans="1:33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  <c r="AC5520" s="7"/>
      <c r="AD5520" s="7"/>
      <c r="AE5520" s="7"/>
      <c r="AF5520" s="7"/>
      <c r="AG5520" s="8"/>
    </row>
    <row r="5521" spans="1:33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  <c r="AC5521" s="7"/>
      <c r="AD5521" s="7"/>
      <c r="AE5521" s="7"/>
      <c r="AF5521" s="7"/>
      <c r="AG5521" s="8"/>
    </row>
    <row r="5522" spans="1:33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  <c r="AC5522" s="7"/>
      <c r="AD5522" s="7"/>
      <c r="AE5522" s="7"/>
      <c r="AF5522" s="7"/>
      <c r="AG5522" s="8"/>
    </row>
    <row r="5523" spans="1:33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  <c r="AC5523" s="7"/>
      <c r="AD5523" s="7"/>
      <c r="AE5523" s="7"/>
      <c r="AF5523" s="7"/>
      <c r="AG5523" s="8"/>
    </row>
    <row r="5524" spans="1:33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  <c r="AC5524" s="7"/>
      <c r="AD5524" s="7"/>
      <c r="AE5524" s="7"/>
      <c r="AF5524" s="7"/>
      <c r="AG5524" s="8"/>
    </row>
    <row r="5525" spans="1:33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  <c r="AC5525" s="7"/>
      <c r="AD5525" s="7"/>
      <c r="AE5525" s="7"/>
      <c r="AF5525" s="7"/>
      <c r="AG5525" s="8"/>
    </row>
    <row r="5526" spans="1:33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  <c r="AC5526" s="7"/>
      <c r="AD5526" s="7"/>
      <c r="AE5526" s="7"/>
      <c r="AF5526" s="7"/>
      <c r="AG5526" s="8"/>
    </row>
    <row r="5527" spans="1:33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  <c r="AC5527" s="7"/>
      <c r="AD5527" s="7"/>
      <c r="AE5527" s="7"/>
      <c r="AF5527" s="7"/>
      <c r="AG5527" s="8"/>
    </row>
    <row r="5528" spans="1:33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  <c r="AC5528" s="7"/>
      <c r="AD5528" s="7"/>
      <c r="AE5528" s="7"/>
      <c r="AF5528" s="7"/>
      <c r="AG5528" s="8"/>
    </row>
    <row r="5529" spans="1:33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  <c r="AC5529" s="7"/>
      <c r="AD5529" s="7"/>
      <c r="AE5529" s="7"/>
      <c r="AF5529" s="7"/>
      <c r="AG5529" s="8"/>
    </row>
    <row r="5530" spans="1:33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  <c r="AC5530" s="7"/>
      <c r="AD5530" s="7"/>
      <c r="AE5530" s="7"/>
      <c r="AF5530" s="7"/>
      <c r="AG5530" s="8"/>
    </row>
    <row r="5531" spans="1:33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  <c r="AC5531" s="7"/>
      <c r="AD5531" s="7"/>
      <c r="AE5531" s="7"/>
      <c r="AF5531" s="7"/>
      <c r="AG5531" s="8"/>
    </row>
    <row r="5532" spans="1:33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  <c r="AC5532" s="7"/>
      <c r="AD5532" s="7"/>
      <c r="AE5532" s="7"/>
      <c r="AF5532" s="7"/>
      <c r="AG5532" s="8"/>
    </row>
    <row r="5533" spans="1:33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  <c r="AC5533" s="7"/>
      <c r="AD5533" s="7"/>
      <c r="AE5533" s="7"/>
      <c r="AF5533" s="7"/>
      <c r="AG5533" s="8"/>
    </row>
    <row r="5534" spans="1:33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  <c r="AC5534" s="7"/>
      <c r="AD5534" s="7"/>
      <c r="AE5534" s="7"/>
      <c r="AF5534" s="7"/>
      <c r="AG5534" s="8"/>
    </row>
    <row r="5535" spans="1:33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  <c r="AC5535" s="7"/>
      <c r="AD5535" s="7"/>
      <c r="AE5535" s="7"/>
      <c r="AF5535" s="7"/>
      <c r="AG5535" s="8"/>
    </row>
    <row r="5536" spans="1:33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  <c r="AC5536" s="7"/>
      <c r="AD5536" s="7"/>
      <c r="AE5536" s="7"/>
      <c r="AF5536" s="7"/>
      <c r="AG5536" s="8"/>
    </row>
    <row r="5537" spans="1:33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  <c r="AC5537" s="7"/>
      <c r="AD5537" s="7"/>
      <c r="AE5537" s="7"/>
      <c r="AF5537" s="7"/>
      <c r="AG5537" s="8"/>
    </row>
    <row r="5538" spans="1:33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  <c r="AC5538" s="7"/>
      <c r="AD5538" s="7"/>
      <c r="AE5538" s="7"/>
      <c r="AF5538" s="7"/>
      <c r="AG5538" s="8"/>
    </row>
    <row r="5539" spans="1:33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  <c r="AC5539" s="7"/>
      <c r="AD5539" s="7"/>
      <c r="AE5539" s="7"/>
      <c r="AF5539" s="7"/>
      <c r="AG5539" s="8"/>
    </row>
    <row r="5540" spans="1:33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  <c r="AC5540" s="7"/>
      <c r="AD5540" s="7"/>
      <c r="AE5540" s="7"/>
      <c r="AF5540" s="7"/>
      <c r="AG5540" s="8"/>
    </row>
    <row r="5541" spans="1:33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  <c r="AC5541" s="7"/>
      <c r="AD5541" s="7"/>
      <c r="AE5541" s="7"/>
      <c r="AF5541" s="7"/>
      <c r="AG5541" s="8"/>
    </row>
    <row r="5542" spans="1:33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  <c r="AC5542" s="7"/>
      <c r="AD5542" s="7"/>
      <c r="AE5542" s="7"/>
      <c r="AF5542" s="7"/>
      <c r="AG5542" s="8"/>
    </row>
    <row r="5543" spans="1:33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  <c r="AC5543" s="7"/>
      <c r="AD5543" s="7"/>
      <c r="AE5543" s="7"/>
      <c r="AF5543" s="7"/>
      <c r="AG5543" s="8"/>
    </row>
    <row r="5544" spans="1:33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  <c r="AC5544" s="7"/>
      <c r="AD5544" s="7"/>
      <c r="AE5544" s="7"/>
      <c r="AF5544" s="7"/>
      <c r="AG5544" s="8"/>
    </row>
    <row r="5545" spans="1:33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  <c r="AC5545" s="7"/>
      <c r="AD5545" s="7"/>
      <c r="AE5545" s="7"/>
      <c r="AF5545" s="7"/>
      <c r="AG5545" s="8"/>
    </row>
    <row r="5546" spans="1:33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  <c r="AC5546" s="7"/>
      <c r="AD5546" s="7"/>
      <c r="AE5546" s="7"/>
      <c r="AF5546" s="7"/>
      <c r="AG5546" s="8"/>
    </row>
    <row r="5547" spans="1:33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  <c r="AC5547" s="7"/>
      <c r="AD5547" s="7"/>
      <c r="AE5547" s="7"/>
      <c r="AF5547" s="7"/>
      <c r="AG5547" s="8"/>
    </row>
    <row r="5548" spans="1:33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  <c r="AC5548" s="7"/>
      <c r="AD5548" s="7"/>
      <c r="AE5548" s="7"/>
      <c r="AF5548" s="7"/>
      <c r="AG5548" s="8"/>
    </row>
    <row r="5549" spans="1:33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  <c r="AC5549" s="7"/>
      <c r="AD5549" s="7"/>
      <c r="AE5549" s="7"/>
      <c r="AF5549" s="7"/>
      <c r="AG5549" s="8"/>
    </row>
    <row r="5550" spans="1:33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  <c r="AC5550" s="7"/>
      <c r="AD5550" s="7"/>
      <c r="AE5550" s="7"/>
      <c r="AF5550" s="7"/>
      <c r="AG5550" s="8"/>
    </row>
    <row r="5551" spans="1:33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  <c r="AC5551" s="7"/>
      <c r="AD5551" s="7"/>
      <c r="AE5551" s="7"/>
      <c r="AF5551" s="7"/>
      <c r="AG5551" s="8"/>
    </row>
    <row r="5552" spans="1:33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  <c r="AC5552" s="7"/>
      <c r="AD5552" s="7"/>
      <c r="AE5552" s="7"/>
      <c r="AF5552" s="7"/>
      <c r="AG5552" s="8"/>
    </row>
    <row r="5553" spans="1:33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  <c r="AC5553" s="7"/>
      <c r="AD5553" s="7"/>
      <c r="AE5553" s="7"/>
      <c r="AF5553" s="7"/>
      <c r="AG5553" s="8"/>
    </row>
    <row r="5554" spans="1:33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  <c r="AD5554" s="7"/>
      <c r="AE5554" s="7"/>
      <c r="AF5554" s="7"/>
      <c r="AG5554" s="8"/>
    </row>
    <row r="5555" spans="1:33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  <c r="AD5555" s="7"/>
      <c r="AE5555" s="7"/>
      <c r="AF5555" s="7"/>
      <c r="AG5555" s="8"/>
    </row>
    <row r="5556" spans="1:33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  <c r="AD5556" s="7"/>
      <c r="AE5556" s="7"/>
      <c r="AF5556" s="7"/>
      <c r="AG5556" s="8"/>
    </row>
    <row r="5557" spans="1:33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  <c r="AD5557" s="7"/>
      <c r="AE5557" s="7"/>
      <c r="AF5557" s="7"/>
      <c r="AG5557" s="8"/>
    </row>
    <row r="5558" spans="1:33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  <c r="AD5558" s="7"/>
      <c r="AE5558" s="7"/>
      <c r="AF5558" s="7"/>
      <c r="AG5558" s="8"/>
    </row>
    <row r="5559" spans="1:33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  <c r="AD5559" s="7"/>
      <c r="AE5559" s="7"/>
      <c r="AF5559" s="7"/>
      <c r="AG5559" s="8"/>
    </row>
    <row r="5560" spans="1:33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  <c r="AD5560" s="7"/>
      <c r="AE5560" s="7"/>
      <c r="AF5560" s="7"/>
      <c r="AG5560" s="8"/>
    </row>
    <row r="5561" spans="1:33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  <c r="AD5561" s="7"/>
      <c r="AE5561" s="7"/>
      <c r="AF5561" s="7"/>
      <c r="AG5561" s="8"/>
    </row>
    <row r="5562" spans="1:33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  <c r="AD5562" s="7"/>
      <c r="AE5562" s="7"/>
      <c r="AF5562" s="7"/>
      <c r="AG5562" s="8"/>
    </row>
    <row r="5563" spans="1:33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  <c r="AD5563" s="7"/>
      <c r="AE5563" s="7"/>
      <c r="AF5563" s="7"/>
      <c r="AG5563" s="8"/>
    </row>
    <row r="5564" spans="1:33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  <c r="AD5564" s="7"/>
      <c r="AE5564" s="7"/>
      <c r="AF5564" s="7"/>
      <c r="AG5564" s="8"/>
    </row>
    <row r="5565" spans="1:33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  <c r="AD5565" s="7"/>
      <c r="AE5565" s="7"/>
      <c r="AF5565" s="7"/>
      <c r="AG5565" s="8"/>
    </row>
    <row r="5566" spans="1:33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  <c r="AD5566" s="7"/>
      <c r="AE5566" s="7"/>
      <c r="AF5566" s="7"/>
      <c r="AG5566" s="8"/>
    </row>
    <row r="5567" spans="1:33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  <c r="AD5567" s="7"/>
      <c r="AE5567" s="7"/>
      <c r="AF5567" s="7"/>
      <c r="AG5567" s="8"/>
    </row>
    <row r="5568" spans="1:33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  <c r="AD5568" s="7"/>
      <c r="AE5568" s="7"/>
      <c r="AF5568" s="7"/>
      <c r="AG5568" s="8"/>
    </row>
    <row r="5569" spans="1:33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  <c r="AD5569" s="7"/>
      <c r="AE5569" s="7"/>
      <c r="AF5569" s="7"/>
      <c r="AG5569" s="8"/>
    </row>
    <row r="5570" spans="1:33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  <c r="AD5570" s="7"/>
      <c r="AE5570" s="7"/>
      <c r="AF5570" s="7"/>
      <c r="AG5570" s="8"/>
    </row>
    <row r="5571" spans="1:33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  <c r="AD5571" s="7"/>
      <c r="AE5571" s="7"/>
      <c r="AF5571" s="7"/>
      <c r="AG5571" s="8"/>
    </row>
    <row r="5572" spans="1:33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  <c r="AD5572" s="7"/>
      <c r="AE5572" s="7"/>
      <c r="AF5572" s="7"/>
      <c r="AG5572" s="8"/>
    </row>
    <row r="5573" spans="1:33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  <c r="AD5573" s="7"/>
      <c r="AE5573" s="7"/>
      <c r="AF5573" s="7"/>
      <c r="AG5573" s="8"/>
    </row>
    <row r="5574" spans="1:33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  <c r="AD5574" s="7"/>
      <c r="AE5574" s="7"/>
      <c r="AF5574" s="7"/>
      <c r="AG5574" s="8"/>
    </row>
    <row r="5575" spans="1:33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  <c r="AD5575" s="7"/>
      <c r="AE5575" s="7"/>
      <c r="AF5575" s="7"/>
      <c r="AG5575" s="8"/>
    </row>
    <row r="5576" spans="1:33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  <c r="AD5576" s="7"/>
      <c r="AE5576" s="7"/>
      <c r="AF5576" s="7"/>
      <c r="AG5576" s="8"/>
    </row>
    <row r="5577" spans="1:33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  <c r="AD5577" s="7"/>
      <c r="AE5577" s="7"/>
      <c r="AF5577" s="7"/>
      <c r="AG5577" s="8"/>
    </row>
    <row r="5578" spans="1:33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  <c r="AD5578" s="7"/>
      <c r="AE5578" s="7"/>
      <c r="AF5578" s="7"/>
      <c r="AG5578" s="8"/>
    </row>
    <row r="5579" spans="1:33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  <c r="AD5579" s="7"/>
      <c r="AE5579" s="7"/>
      <c r="AF5579" s="7"/>
      <c r="AG5579" s="8"/>
    </row>
    <row r="5580" spans="1:33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  <c r="AD5580" s="7"/>
      <c r="AE5580" s="7"/>
      <c r="AF5580" s="7"/>
      <c r="AG5580" s="8"/>
    </row>
    <row r="5581" spans="1:33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  <c r="AD5581" s="7"/>
      <c r="AE5581" s="7"/>
      <c r="AF5581" s="7"/>
      <c r="AG5581" s="8"/>
    </row>
    <row r="5582" spans="1:33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  <c r="AD5582" s="7"/>
      <c r="AE5582" s="7"/>
      <c r="AF5582" s="7"/>
      <c r="AG5582" s="8"/>
    </row>
    <row r="5583" spans="1:33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  <c r="AD5583" s="7"/>
      <c r="AE5583" s="7"/>
      <c r="AF5583" s="7"/>
      <c r="AG5583" s="8"/>
    </row>
    <row r="5584" spans="1:33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  <c r="AD5584" s="7"/>
      <c r="AE5584" s="7"/>
      <c r="AF5584" s="7"/>
      <c r="AG5584" s="8"/>
    </row>
    <row r="5585" spans="1:33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  <c r="AD5585" s="7"/>
      <c r="AE5585" s="7"/>
      <c r="AF5585" s="7"/>
      <c r="AG5585" s="8"/>
    </row>
    <row r="5586" spans="1:33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  <c r="AD5586" s="7"/>
      <c r="AE5586" s="7"/>
      <c r="AF5586" s="7"/>
      <c r="AG5586" s="8"/>
    </row>
    <row r="5587" spans="1:33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  <c r="AD5587" s="7"/>
      <c r="AE5587" s="7"/>
      <c r="AF5587" s="7"/>
      <c r="AG5587" s="8"/>
    </row>
    <row r="5588" spans="1:33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  <c r="AD5588" s="7"/>
      <c r="AE5588" s="7"/>
      <c r="AF5588" s="7"/>
      <c r="AG5588" s="8"/>
    </row>
    <row r="5589" spans="1:33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  <c r="AD5589" s="7"/>
      <c r="AE5589" s="7"/>
      <c r="AF5589" s="7"/>
      <c r="AG5589" s="8"/>
    </row>
    <row r="5590" spans="1:33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  <c r="AD5590" s="7"/>
      <c r="AE5590" s="7"/>
      <c r="AF5590" s="7"/>
      <c r="AG5590" s="8"/>
    </row>
    <row r="5591" spans="1:33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  <c r="AD5591" s="7"/>
      <c r="AE5591" s="7"/>
      <c r="AF5591" s="7"/>
      <c r="AG5591" s="8"/>
    </row>
    <row r="5592" spans="1:33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  <c r="AD5592" s="7"/>
      <c r="AE5592" s="7"/>
      <c r="AF5592" s="7"/>
      <c r="AG5592" s="8"/>
    </row>
    <row r="5593" spans="1:33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  <c r="AD5593" s="7"/>
      <c r="AE5593" s="7"/>
      <c r="AF5593" s="7"/>
      <c r="AG5593" s="8"/>
    </row>
    <row r="5594" spans="1:33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  <c r="AD5594" s="7"/>
      <c r="AE5594" s="7"/>
      <c r="AF5594" s="7"/>
      <c r="AG5594" s="8"/>
    </row>
    <row r="5595" spans="1:33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  <c r="AD5595" s="7"/>
      <c r="AE5595" s="7"/>
      <c r="AF5595" s="7"/>
      <c r="AG5595" s="8"/>
    </row>
    <row r="5596" spans="1:33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  <c r="AD5596" s="7"/>
      <c r="AE5596" s="7"/>
      <c r="AF5596" s="7"/>
      <c r="AG5596" s="8"/>
    </row>
    <row r="5597" spans="1:33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  <c r="AD5597" s="7"/>
      <c r="AE5597" s="7"/>
      <c r="AF5597" s="7"/>
      <c r="AG5597" s="8"/>
    </row>
    <row r="5598" spans="1:33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  <c r="AC5598" s="7"/>
      <c r="AD5598" s="7"/>
      <c r="AE5598" s="7"/>
      <c r="AF5598" s="7"/>
      <c r="AG5598" s="8"/>
    </row>
    <row r="5599" spans="1:33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  <c r="AD5599" s="7"/>
      <c r="AE5599" s="7"/>
      <c r="AF5599" s="7"/>
      <c r="AG5599" s="8"/>
    </row>
    <row r="5600" spans="1:33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  <c r="AD5600" s="7"/>
      <c r="AE5600" s="7"/>
      <c r="AF5600" s="7"/>
      <c r="AG5600" s="8"/>
    </row>
    <row r="5601" spans="1:33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  <c r="AD5601" s="7"/>
      <c r="AE5601" s="7"/>
      <c r="AF5601" s="7"/>
      <c r="AG5601" s="8"/>
    </row>
    <row r="5602" spans="1:33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  <c r="AD5602" s="7"/>
      <c r="AE5602" s="7"/>
      <c r="AF5602" s="7"/>
      <c r="AG5602" s="8"/>
    </row>
    <row r="5603" spans="1:33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  <c r="AD5603" s="7"/>
      <c r="AE5603" s="7"/>
      <c r="AF5603" s="7"/>
      <c r="AG5603" s="8"/>
    </row>
    <row r="5604" spans="1:33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  <c r="AD5604" s="7"/>
      <c r="AE5604" s="7"/>
      <c r="AF5604" s="7"/>
      <c r="AG5604" s="8"/>
    </row>
    <row r="5605" spans="1:33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  <c r="AD5605" s="7"/>
      <c r="AE5605" s="7"/>
      <c r="AF5605" s="7"/>
      <c r="AG5605" s="8"/>
    </row>
    <row r="5606" spans="1:33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  <c r="AD5606" s="7"/>
      <c r="AE5606" s="7"/>
      <c r="AF5606" s="7"/>
      <c r="AG5606" s="8"/>
    </row>
    <row r="5607" spans="1:33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  <c r="AD5607" s="7"/>
      <c r="AE5607" s="7"/>
      <c r="AF5607" s="7"/>
      <c r="AG5607" s="8"/>
    </row>
    <row r="5608" spans="1:33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  <c r="AD5608" s="7"/>
      <c r="AE5608" s="7"/>
      <c r="AF5608" s="7"/>
      <c r="AG5608" s="8"/>
    </row>
    <row r="5609" spans="1:33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  <c r="AD5609" s="7"/>
      <c r="AE5609" s="7"/>
      <c r="AF5609" s="7"/>
      <c r="AG5609" s="8"/>
    </row>
    <row r="5610" spans="1:33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  <c r="AD5610" s="7"/>
      <c r="AE5610" s="7"/>
      <c r="AF5610" s="7"/>
      <c r="AG5610" s="8"/>
    </row>
    <row r="5611" spans="1:33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  <c r="AD5611" s="7"/>
      <c r="AE5611" s="7"/>
      <c r="AF5611" s="7"/>
      <c r="AG5611" s="8"/>
    </row>
    <row r="5612" spans="1:33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  <c r="AD5612" s="7"/>
      <c r="AE5612" s="7"/>
      <c r="AF5612" s="7"/>
      <c r="AG5612" s="8"/>
    </row>
    <row r="5613" spans="1:33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  <c r="AD5613" s="7"/>
      <c r="AE5613" s="7"/>
      <c r="AF5613" s="7"/>
      <c r="AG5613" s="8"/>
    </row>
    <row r="5614" spans="1:33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  <c r="AD5614" s="7"/>
      <c r="AE5614" s="7"/>
      <c r="AF5614" s="7"/>
      <c r="AG5614" s="8"/>
    </row>
    <row r="5615" spans="1:33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  <c r="AD5615" s="7"/>
      <c r="AE5615" s="7"/>
      <c r="AF5615" s="7"/>
      <c r="AG5615" s="8"/>
    </row>
    <row r="5616" spans="1:33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  <c r="AD5616" s="7"/>
      <c r="AE5616" s="7"/>
      <c r="AF5616" s="7"/>
      <c r="AG5616" s="8"/>
    </row>
    <row r="5617" spans="1:33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  <c r="AD5617" s="7"/>
      <c r="AE5617" s="7"/>
      <c r="AF5617" s="7"/>
      <c r="AG5617" s="8"/>
    </row>
    <row r="5618" spans="1:33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  <c r="AD5618" s="7"/>
      <c r="AE5618" s="7"/>
      <c r="AF5618" s="7"/>
      <c r="AG5618" s="8"/>
    </row>
    <row r="5619" spans="1:33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  <c r="AD5619" s="7"/>
      <c r="AE5619" s="7"/>
      <c r="AF5619" s="7"/>
      <c r="AG5619" s="8"/>
    </row>
    <row r="5620" spans="1:33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  <c r="AD5620" s="7"/>
      <c r="AE5620" s="7"/>
      <c r="AF5620" s="7"/>
      <c r="AG5620" s="8"/>
    </row>
    <row r="5621" spans="1:33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  <c r="AD5621" s="7"/>
      <c r="AE5621" s="7"/>
      <c r="AF5621" s="7"/>
      <c r="AG5621" s="8"/>
    </row>
    <row r="5622" spans="1:33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  <c r="AD5622" s="7"/>
      <c r="AE5622" s="7"/>
      <c r="AF5622" s="7"/>
      <c r="AG5622" s="8"/>
    </row>
    <row r="5623" spans="1:33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  <c r="AD5623" s="7"/>
      <c r="AE5623" s="7"/>
      <c r="AF5623" s="7"/>
      <c r="AG5623" s="8"/>
    </row>
    <row r="5624" spans="1:33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  <c r="AD5624" s="7"/>
      <c r="AE5624" s="7"/>
      <c r="AF5624" s="7"/>
      <c r="AG5624" s="8"/>
    </row>
    <row r="5625" spans="1:33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  <c r="AD5625" s="7"/>
      <c r="AE5625" s="7"/>
      <c r="AF5625" s="7"/>
      <c r="AG5625" s="8"/>
    </row>
    <row r="5626" spans="1:33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  <c r="AD5626" s="7"/>
      <c r="AE5626" s="7"/>
      <c r="AF5626" s="7"/>
      <c r="AG5626" s="8"/>
    </row>
    <row r="5627" spans="1:33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  <c r="AD5627" s="7"/>
      <c r="AE5627" s="7"/>
      <c r="AF5627" s="7"/>
      <c r="AG5627" s="8"/>
    </row>
    <row r="5628" spans="1:33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  <c r="AD5628" s="7"/>
      <c r="AE5628" s="7"/>
      <c r="AF5628" s="7"/>
      <c r="AG5628" s="8"/>
    </row>
    <row r="5629" spans="1:33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  <c r="AD5629" s="7"/>
      <c r="AE5629" s="7"/>
      <c r="AF5629" s="7"/>
      <c r="AG5629" s="8"/>
    </row>
    <row r="5630" spans="1:33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  <c r="AD5630" s="7"/>
      <c r="AE5630" s="7"/>
      <c r="AF5630" s="7"/>
      <c r="AG5630" s="8"/>
    </row>
    <row r="5631" spans="1:33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  <c r="AD5631" s="7"/>
      <c r="AE5631" s="7"/>
      <c r="AF5631" s="7"/>
      <c r="AG5631" s="8"/>
    </row>
    <row r="5632" spans="1:33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  <c r="AD5632" s="7"/>
      <c r="AE5632" s="7"/>
      <c r="AF5632" s="7"/>
      <c r="AG5632" s="8"/>
    </row>
    <row r="5633" spans="1:33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  <c r="AD5633" s="7"/>
      <c r="AE5633" s="7"/>
      <c r="AF5633" s="7"/>
      <c r="AG5633" s="8"/>
    </row>
    <row r="5634" spans="1:33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  <c r="AD5634" s="7"/>
      <c r="AE5634" s="7"/>
      <c r="AF5634" s="7"/>
      <c r="AG5634" s="8"/>
    </row>
    <row r="5635" spans="1:33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  <c r="AD5635" s="7"/>
      <c r="AE5635" s="7"/>
      <c r="AF5635" s="7"/>
      <c r="AG5635" s="8"/>
    </row>
    <row r="5636" spans="1:33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  <c r="AD5636" s="7"/>
      <c r="AE5636" s="7"/>
      <c r="AF5636" s="7"/>
      <c r="AG5636" s="8"/>
    </row>
    <row r="5637" spans="1:33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  <c r="AD5637" s="7"/>
      <c r="AE5637" s="7"/>
      <c r="AF5637" s="7"/>
      <c r="AG5637" s="8"/>
    </row>
    <row r="5638" spans="1:33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  <c r="AD5638" s="7"/>
      <c r="AE5638" s="7"/>
      <c r="AF5638" s="7"/>
      <c r="AG5638" s="8"/>
    </row>
    <row r="5639" spans="1:33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  <c r="AD5639" s="7"/>
      <c r="AE5639" s="7"/>
      <c r="AF5639" s="7"/>
      <c r="AG5639" s="8"/>
    </row>
    <row r="5640" spans="1:33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  <c r="AD5640" s="7"/>
      <c r="AE5640" s="7"/>
      <c r="AF5640" s="7"/>
      <c r="AG5640" s="8"/>
    </row>
    <row r="5641" spans="1:33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  <c r="AD5641" s="7"/>
      <c r="AE5641" s="7"/>
      <c r="AF5641" s="7"/>
      <c r="AG5641" s="8"/>
    </row>
    <row r="5642" spans="1:33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  <c r="AD5642" s="7"/>
      <c r="AE5642" s="7"/>
      <c r="AF5642" s="7"/>
      <c r="AG5642" s="8"/>
    </row>
    <row r="5643" spans="1:33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  <c r="AD5643" s="7"/>
      <c r="AE5643" s="7"/>
      <c r="AF5643" s="7"/>
      <c r="AG5643" s="8"/>
    </row>
    <row r="5644" spans="1:33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  <c r="AD5644" s="7"/>
      <c r="AE5644" s="7"/>
      <c r="AF5644" s="7"/>
      <c r="AG5644" s="8"/>
    </row>
    <row r="5645" spans="1:33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  <c r="AD5645" s="7"/>
      <c r="AE5645" s="7"/>
      <c r="AF5645" s="7"/>
      <c r="AG5645" s="8"/>
    </row>
    <row r="5646" spans="1:33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  <c r="AD5646" s="7"/>
      <c r="AE5646" s="7"/>
      <c r="AF5646" s="7"/>
      <c r="AG5646" s="8"/>
    </row>
    <row r="5647" spans="1:33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  <c r="AD5647" s="7"/>
      <c r="AE5647" s="7"/>
      <c r="AF5647" s="7"/>
      <c r="AG5647" s="8"/>
    </row>
    <row r="5648" spans="1:33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  <c r="AD5648" s="7"/>
      <c r="AE5648" s="7"/>
      <c r="AF5648" s="7"/>
      <c r="AG5648" s="8"/>
    </row>
    <row r="5649" spans="1:33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  <c r="AD5649" s="7"/>
      <c r="AE5649" s="7"/>
      <c r="AF5649" s="7"/>
      <c r="AG5649" s="8"/>
    </row>
    <row r="5650" spans="1:33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  <c r="AD5650" s="7"/>
      <c r="AE5650" s="7"/>
      <c r="AF5650" s="7"/>
      <c r="AG5650" s="8"/>
    </row>
    <row r="5651" spans="1:33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  <c r="AD5651" s="7"/>
      <c r="AE5651" s="7"/>
      <c r="AF5651" s="7"/>
      <c r="AG5651" s="8"/>
    </row>
    <row r="5652" spans="1:33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  <c r="AD5652" s="7"/>
      <c r="AE5652" s="7"/>
      <c r="AF5652" s="7"/>
      <c r="AG5652" s="8"/>
    </row>
    <row r="5653" spans="1:33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  <c r="AD5653" s="7"/>
      <c r="AE5653" s="7"/>
      <c r="AF5653" s="7"/>
      <c r="AG5653" s="8"/>
    </row>
    <row r="5654" spans="1:33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  <c r="AD5654" s="7"/>
      <c r="AE5654" s="7"/>
      <c r="AF5654" s="7"/>
      <c r="AG5654" s="8"/>
    </row>
    <row r="5655" spans="1:33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  <c r="AD5655" s="7"/>
      <c r="AE5655" s="7"/>
      <c r="AF5655" s="7"/>
      <c r="AG5655" s="8"/>
    </row>
    <row r="5656" spans="1:33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  <c r="AD5656" s="7"/>
      <c r="AE5656" s="7"/>
      <c r="AF5656" s="7"/>
      <c r="AG5656" s="8"/>
    </row>
    <row r="5657" spans="1:33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  <c r="AD5657" s="7"/>
      <c r="AE5657" s="7"/>
      <c r="AF5657" s="7"/>
      <c r="AG5657" s="8"/>
    </row>
    <row r="5658" spans="1:33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  <c r="AD5658" s="7"/>
      <c r="AE5658" s="7"/>
      <c r="AF5658" s="7"/>
      <c r="AG5658" s="8"/>
    </row>
    <row r="5659" spans="1:33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  <c r="AD5659" s="7"/>
      <c r="AE5659" s="7"/>
      <c r="AF5659" s="7"/>
      <c r="AG5659" s="8"/>
    </row>
    <row r="5660" spans="1:33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  <c r="AD5660" s="7"/>
      <c r="AE5660" s="7"/>
      <c r="AF5660" s="7"/>
      <c r="AG5660" s="8"/>
    </row>
    <row r="5661" spans="1:33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  <c r="AD5661" s="7"/>
      <c r="AE5661" s="7"/>
      <c r="AF5661" s="7"/>
      <c r="AG5661" s="8"/>
    </row>
    <row r="5662" spans="1:33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  <c r="AD5662" s="7"/>
      <c r="AE5662" s="7"/>
      <c r="AF5662" s="7"/>
      <c r="AG5662" s="8"/>
    </row>
    <row r="5663" spans="1:33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  <c r="AD5663" s="7"/>
      <c r="AE5663" s="7"/>
      <c r="AF5663" s="7"/>
      <c r="AG5663" s="8"/>
    </row>
    <row r="5664" spans="1:33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  <c r="AD5664" s="7"/>
      <c r="AE5664" s="7"/>
      <c r="AF5664" s="7"/>
      <c r="AG5664" s="8"/>
    </row>
    <row r="5665" spans="1:33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  <c r="AD5665" s="7"/>
      <c r="AE5665" s="7"/>
      <c r="AF5665" s="7"/>
      <c r="AG5665" s="8"/>
    </row>
    <row r="5666" spans="1:33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  <c r="AD5666" s="7"/>
      <c r="AE5666" s="7"/>
      <c r="AF5666" s="7"/>
      <c r="AG5666" s="8"/>
    </row>
    <row r="5667" spans="1:33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  <c r="AD5667" s="7"/>
      <c r="AE5667" s="7"/>
      <c r="AF5667" s="7"/>
      <c r="AG5667" s="8"/>
    </row>
    <row r="5668" spans="1:33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  <c r="AD5668" s="7"/>
      <c r="AE5668" s="7"/>
      <c r="AF5668" s="7"/>
      <c r="AG5668" s="8"/>
    </row>
    <row r="5669" spans="1:33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  <c r="AD5669" s="7"/>
      <c r="AE5669" s="7"/>
      <c r="AF5669" s="7"/>
      <c r="AG5669" s="8"/>
    </row>
    <row r="5670" spans="1:33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  <c r="AD5670" s="7"/>
      <c r="AE5670" s="7"/>
      <c r="AF5670" s="7"/>
      <c r="AG5670" s="8"/>
    </row>
    <row r="5671" spans="1:33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  <c r="AD5671" s="7"/>
      <c r="AE5671" s="7"/>
      <c r="AF5671" s="7"/>
      <c r="AG5671" s="8"/>
    </row>
    <row r="5672" spans="1:33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  <c r="AD5672" s="7"/>
      <c r="AE5672" s="7"/>
      <c r="AF5672" s="7"/>
      <c r="AG5672" s="8"/>
    </row>
    <row r="5673" spans="1:33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  <c r="AD5673" s="7"/>
      <c r="AE5673" s="7"/>
      <c r="AF5673" s="7"/>
      <c r="AG5673" s="8"/>
    </row>
    <row r="5674" spans="1:33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  <c r="AD5674" s="7"/>
      <c r="AE5674" s="7"/>
      <c r="AF5674" s="7"/>
      <c r="AG5674" s="8"/>
    </row>
    <row r="5675" spans="1:33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  <c r="AD5675" s="7"/>
      <c r="AE5675" s="7"/>
      <c r="AF5675" s="7"/>
      <c r="AG5675" s="8"/>
    </row>
    <row r="5676" spans="1:33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  <c r="AD5676" s="7"/>
      <c r="AE5676" s="7"/>
      <c r="AF5676" s="7"/>
      <c r="AG5676" s="8"/>
    </row>
    <row r="5677" spans="1:33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  <c r="AD5677" s="7"/>
      <c r="AE5677" s="7"/>
      <c r="AF5677" s="7"/>
      <c r="AG5677" s="8"/>
    </row>
    <row r="5678" spans="1:33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  <c r="AD5678" s="7"/>
      <c r="AE5678" s="7"/>
      <c r="AF5678" s="7"/>
      <c r="AG5678" s="8"/>
    </row>
    <row r="5679" spans="1:33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  <c r="AD5679" s="7"/>
      <c r="AE5679" s="7"/>
      <c r="AF5679" s="7"/>
      <c r="AG5679" s="8"/>
    </row>
    <row r="5680" spans="1:33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  <c r="AD5680" s="7"/>
      <c r="AE5680" s="7"/>
      <c r="AF5680" s="7"/>
      <c r="AG5680" s="8"/>
    </row>
    <row r="5681" spans="1:33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  <c r="AD5681" s="7"/>
      <c r="AE5681" s="7"/>
      <c r="AF5681" s="7"/>
      <c r="AG5681" s="8"/>
    </row>
    <row r="5682" spans="1:33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  <c r="AD5682" s="7"/>
      <c r="AE5682" s="7"/>
      <c r="AF5682" s="7"/>
      <c r="AG5682" s="8"/>
    </row>
    <row r="5683" spans="1:33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  <c r="AD5683" s="7"/>
      <c r="AE5683" s="7"/>
      <c r="AF5683" s="7"/>
      <c r="AG5683" s="8"/>
    </row>
    <row r="5684" spans="1:33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  <c r="AD5684" s="7"/>
      <c r="AE5684" s="7"/>
      <c r="AF5684" s="7"/>
      <c r="AG5684" s="8"/>
    </row>
    <row r="5685" spans="1:33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  <c r="AD5685" s="7"/>
      <c r="AE5685" s="7"/>
      <c r="AF5685" s="7"/>
      <c r="AG5685" s="8"/>
    </row>
    <row r="5686" spans="1:33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  <c r="AD5686" s="7"/>
      <c r="AE5686" s="7"/>
      <c r="AF5686" s="7"/>
      <c r="AG5686" s="8"/>
    </row>
    <row r="5687" spans="1:33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  <c r="AD5687" s="7"/>
      <c r="AE5687" s="7"/>
      <c r="AF5687" s="7"/>
      <c r="AG5687" s="8"/>
    </row>
    <row r="5688" spans="1:33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  <c r="AD5688" s="7"/>
      <c r="AE5688" s="7"/>
      <c r="AF5688" s="7"/>
      <c r="AG5688" s="8"/>
    </row>
    <row r="5689" spans="1:33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  <c r="AD5689" s="7"/>
      <c r="AE5689" s="7"/>
      <c r="AF5689" s="7"/>
      <c r="AG5689" s="8"/>
    </row>
    <row r="5690" spans="1:33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  <c r="AD5690" s="7"/>
      <c r="AE5690" s="7"/>
      <c r="AF5690" s="7"/>
      <c r="AG5690" s="8"/>
    </row>
    <row r="5691" spans="1:33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  <c r="AD5691" s="7"/>
      <c r="AE5691" s="7"/>
      <c r="AF5691" s="7"/>
      <c r="AG5691" s="8"/>
    </row>
    <row r="5692" spans="1:33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  <c r="AD5692" s="7"/>
      <c r="AE5692" s="7"/>
      <c r="AF5692" s="7"/>
      <c r="AG5692" s="8"/>
    </row>
    <row r="5693" spans="1:33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  <c r="AD5693" s="7"/>
      <c r="AE5693" s="7"/>
      <c r="AF5693" s="7"/>
      <c r="AG5693" s="8"/>
    </row>
    <row r="5694" spans="1:33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  <c r="AD5694" s="7"/>
      <c r="AE5694" s="7"/>
      <c r="AF5694" s="7"/>
      <c r="AG5694" s="8"/>
    </row>
    <row r="5695" spans="1:33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  <c r="AD5695" s="7"/>
      <c r="AE5695" s="7"/>
      <c r="AF5695" s="7"/>
      <c r="AG5695" s="8"/>
    </row>
    <row r="5696" spans="1:33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  <c r="AD5696" s="7"/>
      <c r="AE5696" s="7"/>
      <c r="AF5696" s="7"/>
      <c r="AG5696" s="8"/>
    </row>
    <row r="5697" spans="1:33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  <c r="AD5697" s="7"/>
      <c r="AE5697" s="7"/>
      <c r="AF5697" s="7"/>
      <c r="AG5697" s="8"/>
    </row>
    <row r="5698" spans="1:33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  <c r="AD5698" s="7"/>
      <c r="AE5698" s="7"/>
      <c r="AF5698" s="7"/>
      <c r="AG5698" s="8"/>
    </row>
    <row r="5699" spans="1:33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  <c r="AD5699" s="7"/>
      <c r="AE5699" s="7"/>
      <c r="AF5699" s="7"/>
      <c r="AG5699" s="8"/>
    </row>
    <row r="5700" spans="1:33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  <c r="AD5700" s="7"/>
      <c r="AE5700" s="7"/>
      <c r="AF5700" s="7"/>
      <c r="AG5700" s="8"/>
    </row>
    <row r="5701" spans="1:33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  <c r="AD5701" s="7"/>
      <c r="AE5701" s="7"/>
      <c r="AF5701" s="7"/>
      <c r="AG5701" s="8"/>
    </row>
    <row r="5702" spans="1:33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  <c r="AD5702" s="7"/>
      <c r="AE5702" s="7"/>
      <c r="AF5702" s="7"/>
      <c r="AG5702" s="8"/>
    </row>
    <row r="5703" spans="1:33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  <c r="AD5703" s="7"/>
      <c r="AE5703" s="7"/>
      <c r="AF5703" s="7"/>
      <c r="AG5703" s="8"/>
    </row>
    <row r="5704" spans="1:33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  <c r="AD5704" s="7"/>
      <c r="AE5704" s="7"/>
      <c r="AF5704" s="7"/>
      <c r="AG5704" s="8"/>
    </row>
    <row r="5705" spans="1:33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  <c r="AD5705" s="7"/>
      <c r="AE5705" s="7"/>
      <c r="AF5705" s="7"/>
      <c r="AG5705" s="8"/>
    </row>
    <row r="5706" spans="1:33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  <c r="AD5706" s="7"/>
      <c r="AE5706" s="7"/>
      <c r="AF5706" s="7"/>
      <c r="AG5706" s="8"/>
    </row>
    <row r="5707" spans="1:33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  <c r="AD5707" s="7"/>
      <c r="AE5707" s="7"/>
      <c r="AF5707" s="7"/>
      <c r="AG5707" s="8"/>
    </row>
    <row r="5708" spans="1:33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  <c r="AD5708" s="7"/>
      <c r="AE5708" s="7"/>
      <c r="AF5708" s="7"/>
      <c r="AG5708" s="8"/>
    </row>
    <row r="5709" spans="1:33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  <c r="AD5709" s="7"/>
      <c r="AE5709" s="7"/>
      <c r="AF5709" s="7"/>
      <c r="AG5709" s="8"/>
    </row>
    <row r="5710" spans="1:33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  <c r="AD5710" s="7"/>
      <c r="AE5710" s="7"/>
      <c r="AF5710" s="7"/>
      <c r="AG5710" s="8"/>
    </row>
    <row r="5711" spans="1:33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  <c r="AD5711" s="7"/>
      <c r="AE5711" s="7"/>
      <c r="AF5711" s="7"/>
      <c r="AG5711" s="8"/>
    </row>
    <row r="5712" spans="1:33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  <c r="AD5712" s="7"/>
      <c r="AE5712" s="7"/>
      <c r="AF5712" s="7"/>
      <c r="AG5712" s="8"/>
    </row>
    <row r="5713" spans="1:33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  <c r="AD5713" s="7"/>
      <c r="AE5713" s="7"/>
      <c r="AF5713" s="7"/>
      <c r="AG5713" s="8"/>
    </row>
    <row r="5714" spans="1:33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  <c r="AD5714" s="7"/>
      <c r="AE5714" s="7"/>
      <c r="AF5714" s="7"/>
      <c r="AG5714" s="8"/>
    </row>
    <row r="5715" spans="1:33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  <c r="AD5715" s="7"/>
      <c r="AE5715" s="7"/>
      <c r="AF5715" s="7"/>
      <c r="AG5715" s="8"/>
    </row>
    <row r="5716" spans="1:33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  <c r="AD5716" s="7"/>
      <c r="AE5716" s="7"/>
      <c r="AF5716" s="7"/>
      <c r="AG5716" s="8"/>
    </row>
    <row r="5717" spans="1:33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  <c r="AD5717" s="7"/>
      <c r="AE5717" s="7"/>
      <c r="AF5717" s="7"/>
      <c r="AG5717" s="8"/>
    </row>
    <row r="5718" spans="1:33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  <c r="AD5718" s="7"/>
      <c r="AE5718" s="7"/>
      <c r="AF5718" s="7"/>
      <c r="AG5718" s="8"/>
    </row>
    <row r="5719" spans="1:33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  <c r="AD5719" s="7"/>
      <c r="AE5719" s="7"/>
      <c r="AF5719" s="7"/>
      <c r="AG5719" s="8"/>
    </row>
    <row r="5720" spans="1:33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  <c r="AD5720" s="7"/>
      <c r="AE5720" s="7"/>
      <c r="AF5720" s="7"/>
      <c r="AG5720" s="8"/>
    </row>
    <row r="5721" spans="1:33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  <c r="AD5721" s="7"/>
      <c r="AE5721" s="7"/>
      <c r="AF5721" s="7"/>
      <c r="AG5721" s="8"/>
    </row>
    <row r="5722" spans="1:33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  <c r="AD5722" s="7"/>
      <c r="AE5722" s="7"/>
      <c r="AF5722" s="7"/>
      <c r="AG5722" s="8"/>
    </row>
    <row r="5723" spans="1:33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  <c r="AD5723" s="7"/>
      <c r="AE5723" s="7"/>
      <c r="AF5723" s="7"/>
      <c r="AG5723" s="8"/>
    </row>
    <row r="5724" spans="1:33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  <c r="AD5724" s="7"/>
      <c r="AE5724" s="7"/>
      <c r="AF5724" s="7"/>
      <c r="AG5724" s="8"/>
    </row>
    <row r="5725" spans="1:33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  <c r="AD5725" s="7"/>
      <c r="AE5725" s="7"/>
      <c r="AF5725" s="7"/>
      <c r="AG5725" s="8"/>
    </row>
    <row r="5726" spans="1:33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  <c r="AD5726" s="7"/>
      <c r="AE5726" s="7"/>
      <c r="AF5726" s="7"/>
      <c r="AG5726" s="8"/>
    </row>
    <row r="5727" spans="1:33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  <c r="AD5727" s="7"/>
      <c r="AE5727" s="7"/>
      <c r="AF5727" s="7"/>
      <c r="AG5727" s="8"/>
    </row>
    <row r="5728" spans="1:33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  <c r="AD5728" s="7"/>
      <c r="AE5728" s="7"/>
      <c r="AF5728" s="7"/>
      <c r="AG5728" s="8"/>
    </row>
    <row r="5729" spans="1:33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  <c r="AD5729" s="7"/>
      <c r="AE5729" s="7"/>
      <c r="AF5729" s="7"/>
      <c r="AG5729" s="8"/>
    </row>
    <row r="5730" spans="1:33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  <c r="AD5730" s="7"/>
      <c r="AE5730" s="7"/>
      <c r="AF5730" s="7"/>
      <c r="AG5730" s="8"/>
    </row>
    <row r="5731" spans="1:33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  <c r="AD5731" s="7"/>
      <c r="AE5731" s="7"/>
      <c r="AF5731" s="7"/>
      <c r="AG5731" s="8"/>
    </row>
    <row r="5732" spans="1:33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  <c r="AD5732" s="7"/>
      <c r="AE5732" s="7"/>
      <c r="AF5732" s="7"/>
      <c r="AG5732" s="8"/>
    </row>
    <row r="5733" spans="1:33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  <c r="AD5733" s="7"/>
      <c r="AE5733" s="7"/>
      <c r="AF5733" s="7"/>
      <c r="AG5733" s="8"/>
    </row>
    <row r="5734" spans="1:33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  <c r="AD5734" s="7"/>
      <c r="AE5734" s="7"/>
      <c r="AF5734" s="7"/>
      <c r="AG5734" s="8"/>
    </row>
    <row r="5735" spans="1:33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  <c r="AD5735" s="7"/>
      <c r="AE5735" s="7"/>
      <c r="AF5735" s="7"/>
      <c r="AG5735" s="8"/>
    </row>
    <row r="5736" spans="1:33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  <c r="AD5736" s="7"/>
      <c r="AE5736" s="7"/>
      <c r="AF5736" s="7"/>
      <c r="AG5736" s="8"/>
    </row>
    <row r="5737" spans="1:33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  <c r="AD5737" s="7"/>
      <c r="AE5737" s="7"/>
      <c r="AF5737" s="7"/>
      <c r="AG5737" s="8"/>
    </row>
    <row r="5738" spans="1:33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  <c r="AD5738" s="7"/>
      <c r="AE5738" s="7"/>
      <c r="AF5738" s="7"/>
      <c r="AG5738" s="8"/>
    </row>
    <row r="5739" spans="1:33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  <c r="AD5739" s="7"/>
      <c r="AE5739" s="7"/>
      <c r="AF5739" s="7"/>
      <c r="AG5739" s="8"/>
    </row>
    <row r="5740" spans="1:33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  <c r="AD5740" s="7"/>
      <c r="AE5740" s="7"/>
      <c r="AF5740" s="7"/>
      <c r="AG5740" s="8"/>
    </row>
    <row r="5741" spans="1:33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  <c r="AD5741" s="7"/>
      <c r="AE5741" s="7"/>
      <c r="AF5741" s="7"/>
      <c r="AG5741" s="8"/>
    </row>
    <row r="5742" spans="1:33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  <c r="AD5742" s="7"/>
      <c r="AE5742" s="7"/>
      <c r="AF5742" s="7"/>
      <c r="AG5742" s="8"/>
    </row>
    <row r="5743" spans="1:33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  <c r="AD5743" s="7"/>
      <c r="AE5743" s="7"/>
      <c r="AF5743" s="7"/>
      <c r="AG5743" s="8"/>
    </row>
    <row r="5744" spans="1:33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  <c r="AD5744" s="7"/>
      <c r="AE5744" s="7"/>
      <c r="AF5744" s="7"/>
      <c r="AG5744" s="8"/>
    </row>
    <row r="5745" spans="1:33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  <c r="AD5745" s="7"/>
      <c r="AE5745" s="7"/>
      <c r="AF5745" s="7"/>
      <c r="AG5745" s="8"/>
    </row>
    <row r="5746" spans="1:33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  <c r="AD5746" s="7"/>
      <c r="AE5746" s="7"/>
      <c r="AF5746" s="7"/>
      <c r="AG5746" s="8"/>
    </row>
    <row r="5747" spans="1:33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  <c r="AD5747" s="7"/>
      <c r="AE5747" s="7"/>
      <c r="AF5747" s="7"/>
      <c r="AG5747" s="8"/>
    </row>
    <row r="5748" spans="1:33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  <c r="AD5748" s="7"/>
      <c r="AE5748" s="7"/>
      <c r="AF5748" s="7"/>
      <c r="AG5748" s="8"/>
    </row>
    <row r="5749" spans="1:33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  <c r="AD5749" s="7"/>
      <c r="AE5749" s="7"/>
      <c r="AF5749" s="7"/>
      <c r="AG5749" s="8"/>
    </row>
    <row r="5750" spans="1:33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  <c r="AD5750" s="7"/>
      <c r="AE5750" s="7"/>
      <c r="AF5750" s="7"/>
      <c r="AG5750" s="8"/>
    </row>
    <row r="5751" spans="1:33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  <c r="AD5751" s="7"/>
      <c r="AE5751" s="7"/>
      <c r="AF5751" s="7"/>
      <c r="AG5751" s="8"/>
    </row>
    <row r="5752" spans="1:33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  <c r="AD5752" s="7"/>
      <c r="AE5752" s="7"/>
      <c r="AF5752" s="7"/>
      <c r="AG5752" s="8"/>
    </row>
    <row r="5753" spans="1:33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  <c r="AD5753" s="7"/>
      <c r="AE5753" s="7"/>
      <c r="AF5753" s="7"/>
      <c r="AG5753" s="8"/>
    </row>
    <row r="5754" spans="1:33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  <c r="AD5754" s="7"/>
      <c r="AE5754" s="7"/>
      <c r="AF5754" s="7"/>
      <c r="AG5754" s="8"/>
    </row>
    <row r="5755" spans="1:33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  <c r="AD5755" s="7"/>
      <c r="AE5755" s="7"/>
      <c r="AF5755" s="7"/>
      <c r="AG5755" s="8"/>
    </row>
    <row r="5756" spans="1:33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  <c r="AD5756" s="7"/>
      <c r="AE5756" s="7"/>
      <c r="AF5756" s="7"/>
      <c r="AG5756" s="8"/>
    </row>
    <row r="5757" spans="1:33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  <c r="AD5757" s="7"/>
      <c r="AE5757" s="7"/>
      <c r="AF5757" s="7"/>
      <c r="AG5757" s="8"/>
    </row>
    <row r="5758" spans="1:33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  <c r="AD5758" s="7"/>
      <c r="AE5758" s="7"/>
      <c r="AF5758" s="7"/>
      <c r="AG5758" s="8"/>
    </row>
    <row r="5759" spans="1:33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  <c r="AD5759" s="7"/>
      <c r="AE5759" s="7"/>
      <c r="AF5759" s="7"/>
      <c r="AG5759" s="8"/>
    </row>
    <row r="5760" spans="1:33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  <c r="AD5760" s="7"/>
      <c r="AE5760" s="7"/>
      <c r="AF5760" s="7"/>
      <c r="AG5760" s="8"/>
    </row>
    <row r="5761" spans="1:33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  <c r="AD5761" s="7"/>
      <c r="AE5761" s="7"/>
      <c r="AF5761" s="7"/>
      <c r="AG5761" s="8"/>
    </row>
    <row r="5762" spans="1:33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  <c r="AD5762" s="7"/>
      <c r="AE5762" s="7"/>
      <c r="AF5762" s="7"/>
      <c r="AG5762" s="8"/>
    </row>
    <row r="5763" spans="1:33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  <c r="AD5763" s="7"/>
      <c r="AE5763" s="7"/>
      <c r="AF5763" s="7"/>
      <c r="AG5763" s="8"/>
    </row>
    <row r="5764" spans="1:33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  <c r="AD5764" s="7"/>
      <c r="AE5764" s="7"/>
      <c r="AF5764" s="7"/>
      <c r="AG5764" s="8"/>
    </row>
    <row r="5765" spans="1:33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  <c r="AD5765" s="7"/>
      <c r="AE5765" s="7"/>
      <c r="AF5765" s="7"/>
      <c r="AG5765" s="8"/>
    </row>
    <row r="5766" spans="1:33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  <c r="AD5766" s="7"/>
      <c r="AE5766" s="7"/>
      <c r="AF5766" s="7"/>
      <c r="AG5766" s="8"/>
    </row>
    <row r="5767" spans="1:33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  <c r="AD5767" s="7"/>
      <c r="AE5767" s="7"/>
      <c r="AF5767" s="7"/>
      <c r="AG5767" s="8"/>
    </row>
    <row r="5768" spans="1:33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  <c r="AD5768" s="7"/>
      <c r="AE5768" s="7"/>
      <c r="AF5768" s="7"/>
      <c r="AG5768" s="8"/>
    </row>
    <row r="5769" spans="1:33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  <c r="AD5769" s="7"/>
      <c r="AE5769" s="7"/>
      <c r="AF5769" s="7"/>
      <c r="AG5769" s="8"/>
    </row>
    <row r="5770" spans="1:33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  <c r="AD5770" s="7"/>
      <c r="AE5770" s="7"/>
      <c r="AF5770" s="7"/>
      <c r="AG5770" s="8"/>
    </row>
    <row r="5771" spans="1:33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  <c r="AD5771" s="7"/>
      <c r="AE5771" s="7"/>
      <c r="AF5771" s="7"/>
      <c r="AG5771" s="8"/>
    </row>
    <row r="5772" spans="1:33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  <c r="AD5772" s="7"/>
      <c r="AE5772" s="7"/>
      <c r="AF5772" s="7"/>
      <c r="AG5772" s="8"/>
    </row>
    <row r="5773" spans="1:33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  <c r="AD5773" s="7"/>
      <c r="AE5773" s="7"/>
      <c r="AF5773" s="7"/>
      <c r="AG5773" s="8"/>
    </row>
    <row r="5774" spans="1:33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  <c r="AD5774" s="7"/>
      <c r="AE5774" s="7"/>
      <c r="AF5774" s="7"/>
      <c r="AG5774" s="8"/>
    </row>
    <row r="5775" spans="1:33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  <c r="AD5775" s="7"/>
      <c r="AE5775" s="7"/>
      <c r="AF5775" s="7"/>
      <c r="AG5775" s="8"/>
    </row>
    <row r="5776" spans="1:33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  <c r="AD5776" s="7"/>
      <c r="AE5776" s="7"/>
      <c r="AF5776" s="7"/>
      <c r="AG5776" s="8"/>
    </row>
    <row r="5777" spans="1:33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  <c r="AD5777" s="7"/>
      <c r="AE5777" s="7"/>
      <c r="AF5777" s="7"/>
      <c r="AG5777" s="8"/>
    </row>
    <row r="5778" spans="1:33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  <c r="AD5778" s="7"/>
      <c r="AE5778" s="7"/>
      <c r="AF5778" s="7"/>
      <c r="AG5778" s="8"/>
    </row>
    <row r="5779" spans="1:33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  <c r="AD5779" s="7"/>
      <c r="AE5779" s="7"/>
      <c r="AF5779" s="7"/>
      <c r="AG5779" s="8"/>
    </row>
    <row r="5780" spans="1:33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  <c r="AD5780" s="7"/>
      <c r="AE5780" s="7"/>
      <c r="AF5780" s="7"/>
      <c r="AG5780" s="8"/>
    </row>
    <row r="5781" spans="1:33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  <c r="AD5781" s="7"/>
      <c r="AE5781" s="7"/>
      <c r="AF5781" s="7"/>
      <c r="AG5781" s="8"/>
    </row>
    <row r="5782" spans="1:33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  <c r="AD5782" s="7"/>
      <c r="AE5782" s="7"/>
      <c r="AF5782" s="7"/>
      <c r="AG5782" s="8"/>
    </row>
    <row r="5783" spans="1:33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  <c r="AD5783" s="7"/>
      <c r="AE5783" s="7"/>
      <c r="AF5783" s="7"/>
      <c r="AG5783" s="8"/>
    </row>
    <row r="5784" spans="1:33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  <c r="AD5784" s="7"/>
      <c r="AE5784" s="7"/>
      <c r="AF5784" s="7"/>
      <c r="AG5784" s="8"/>
    </row>
    <row r="5785" spans="1:33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  <c r="AD5785" s="7"/>
      <c r="AE5785" s="7"/>
      <c r="AF5785" s="7"/>
      <c r="AG5785" s="8"/>
    </row>
    <row r="5786" spans="1:33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  <c r="AD5786" s="7"/>
      <c r="AE5786" s="7"/>
      <c r="AF5786" s="7"/>
      <c r="AG5786" s="8"/>
    </row>
    <row r="5787" s="7" customFormat="1" spans="33:33">
      <c r="AG5787" s="8"/>
    </row>
    <row r="5788" s="7" customFormat="1" spans="33:33">
      <c r="AG5788" s="8"/>
    </row>
    <row r="5789" s="7" customFormat="1" spans="33:33">
      <c r="AG5789" s="8"/>
    </row>
    <row r="5790" s="7" customFormat="1" spans="33:33">
      <c r="AG5790" s="8"/>
    </row>
    <row r="5791" s="7" customFormat="1" spans="33:33">
      <c r="AG5791" s="8"/>
    </row>
    <row r="5792" s="7" customFormat="1" spans="33:33">
      <c r="AG5792" s="8"/>
    </row>
    <row r="5793" s="7" customFormat="1" spans="33:33">
      <c r="AG5793" s="8"/>
    </row>
    <row r="5794" s="7" customFormat="1" spans="33:33">
      <c r="AG5794" s="8"/>
    </row>
    <row r="5795" s="7" customFormat="1" spans="33:33">
      <c r="AG5795" s="8"/>
    </row>
    <row r="5796" s="7" customFormat="1" spans="33:33">
      <c r="AG5796" s="8"/>
    </row>
    <row r="5797" s="7" customFormat="1" spans="33:33">
      <c r="AG5797" s="8"/>
    </row>
    <row r="5798" s="7" customFormat="1" spans="33:33">
      <c r="AG5798" s="8"/>
    </row>
    <row r="5799" s="7" customFormat="1" spans="33:33">
      <c r="AG5799" s="8"/>
    </row>
    <row r="5800" s="7" customFormat="1" spans="33:33">
      <c r="AG5800" s="8"/>
    </row>
    <row r="5801" s="7" customFormat="1" spans="33:33">
      <c r="AG5801" s="8"/>
    </row>
    <row r="5802" s="7" customFormat="1" spans="33:33">
      <c r="AG5802" s="8"/>
    </row>
    <row r="5803" s="7" customFormat="1" spans="33:33">
      <c r="AG5803" s="8"/>
    </row>
    <row r="5804" s="7" customFormat="1" spans="33:33">
      <c r="AG5804" s="8"/>
    </row>
    <row r="5805" s="7" customFormat="1" spans="33:33">
      <c r="AG5805" s="8"/>
    </row>
    <row r="5806" s="7" customFormat="1" spans="33:33">
      <c r="AG5806" s="8"/>
    </row>
    <row r="5807" s="7" customFormat="1" spans="33:33">
      <c r="AG5807" s="8"/>
    </row>
    <row r="5808" s="7" customFormat="1" spans="33:33">
      <c r="AG5808" s="8"/>
    </row>
    <row r="5809" s="7" customFormat="1" spans="33:33">
      <c r="AG5809" s="8"/>
    </row>
    <row r="5810" s="7" customFormat="1" spans="33:33">
      <c r="AG5810" s="8"/>
    </row>
    <row r="5811" s="7" customFormat="1" spans="33:33">
      <c r="AG5811" s="8"/>
    </row>
    <row r="5812" s="7" customFormat="1" spans="33:33">
      <c r="AG5812" s="8"/>
    </row>
    <row r="5813" s="7" customFormat="1" spans="33:33">
      <c r="AG5813" s="8"/>
    </row>
    <row r="5814" s="7" customFormat="1" spans="33:33">
      <c r="AG5814" s="8"/>
    </row>
    <row r="5815" s="7" customFormat="1" spans="33:33">
      <c r="AG5815" s="8"/>
    </row>
    <row r="5816" s="7" customFormat="1" spans="33:33">
      <c r="AG5816" s="8"/>
    </row>
    <row r="5817" s="7" customFormat="1" spans="33:33">
      <c r="AG5817" s="8"/>
    </row>
    <row r="5818" s="7" customFormat="1" spans="33:33">
      <c r="AG5818" s="8"/>
    </row>
    <row r="5819" s="7" customFormat="1" spans="33:33">
      <c r="AG5819" s="8"/>
    </row>
    <row r="5820" s="7" customFormat="1" spans="33:33">
      <c r="AG5820" s="8"/>
    </row>
    <row r="5821" s="7" customFormat="1" spans="33:33">
      <c r="AG5821" s="8"/>
    </row>
    <row r="5822" s="7" customFormat="1" spans="33:33">
      <c r="AG5822" s="8"/>
    </row>
    <row r="5823" s="7" customFormat="1" spans="33:33">
      <c r="AG5823" s="8"/>
    </row>
    <row r="5824" s="7" customFormat="1" spans="33:33">
      <c r="AG5824" s="8"/>
    </row>
    <row r="5825" s="7" customFormat="1" spans="33:33">
      <c r="AG5825" s="8"/>
    </row>
    <row r="5826" s="7" customFormat="1" spans="33:33">
      <c r="AG5826" s="8"/>
    </row>
    <row r="5827" s="7" customFormat="1" spans="33:33">
      <c r="AG5827" s="8"/>
    </row>
    <row r="5828" s="7" customFormat="1" spans="33:33">
      <c r="AG5828" s="8"/>
    </row>
    <row r="5829" s="7" customFormat="1" spans="33:33">
      <c r="AG5829" s="8"/>
    </row>
    <row r="5830" s="7" customFormat="1" spans="33:33">
      <c r="AG5830" s="8"/>
    </row>
    <row r="5831" s="7" customFormat="1" spans="33:33">
      <c r="AG5831" s="8"/>
    </row>
    <row r="5832" s="7" customFormat="1" spans="33:33">
      <c r="AG5832" s="8"/>
    </row>
    <row r="5833" s="7" customFormat="1" spans="33:33">
      <c r="AG5833" s="8"/>
    </row>
    <row r="5834" s="7" customFormat="1" spans="33:33">
      <c r="AG5834" s="8"/>
    </row>
    <row r="5835" s="7" customFormat="1" spans="33:33">
      <c r="AG5835" s="8"/>
    </row>
    <row r="5836" s="7" customFormat="1" spans="33:33">
      <c r="AG5836" s="8"/>
    </row>
    <row r="5837" s="7" customFormat="1" spans="33:33">
      <c r="AG5837" s="8"/>
    </row>
    <row r="5838" s="7" customFormat="1" spans="33:33">
      <c r="AG5838" s="8"/>
    </row>
    <row r="5839" s="7" customFormat="1" spans="33:33">
      <c r="AG5839" s="8"/>
    </row>
    <row r="5840" s="7" customFormat="1" spans="33:33">
      <c r="AG5840" s="8"/>
    </row>
    <row r="5841" s="7" customFormat="1" spans="33:33">
      <c r="AG5841" s="8"/>
    </row>
    <row r="5842" s="7" customFormat="1" spans="33:33">
      <c r="AG5842" s="8"/>
    </row>
    <row r="5843" s="7" customFormat="1" spans="33:33">
      <c r="AG5843" s="8"/>
    </row>
    <row r="5844" s="7" customFormat="1" spans="33:33">
      <c r="AG5844" s="8"/>
    </row>
    <row r="5845" s="7" customFormat="1" spans="33:33">
      <c r="AG5845" s="8"/>
    </row>
    <row r="5846" s="7" customFormat="1" spans="33:33">
      <c r="AG5846" s="8"/>
    </row>
    <row r="5847" s="7" customFormat="1" spans="33:33">
      <c r="AG5847" s="8"/>
    </row>
    <row r="5848" s="7" customFormat="1" spans="33:33">
      <c r="AG5848" s="8"/>
    </row>
    <row r="5849" s="7" customFormat="1" spans="33:33">
      <c r="AG5849" s="8"/>
    </row>
    <row r="5850" s="7" customFormat="1" spans="33:33">
      <c r="AG5850" s="8"/>
    </row>
    <row r="5851" s="7" customFormat="1" spans="33:33">
      <c r="AG5851" s="8"/>
    </row>
    <row r="5852" s="7" customFormat="1" spans="33:33">
      <c r="AG5852" s="8"/>
    </row>
    <row r="5853" s="7" customFormat="1" spans="33:33">
      <c r="AG5853" s="8"/>
    </row>
    <row r="5854" s="7" customFormat="1" spans="33:33">
      <c r="AG5854" s="8"/>
    </row>
    <row r="5855" s="7" customFormat="1" spans="33:33">
      <c r="AG5855" s="8"/>
    </row>
    <row r="5856" s="7" customFormat="1" spans="33:33">
      <c r="AG5856" s="8"/>
    </row>
    <row r="5857" s="7" customFormat="1" spans="33:33">
      <c r="AG5857" s="8"/>
    </row>
    <row r="5858" s="7" customFormat="1" spans="33:33">
      <c r="AG5858" s="8"/>
    </row>
    <row r="5859" s="7" customFormat="1" spans="33:33">
      <c r="AG5859" s="8"/>
    </row>
    <row r="5860" s="7" customFormat="1" spans="33:33">
      <c r="AG5860" s="8"/>
    </row>
    <row r="5861" s="7" customFormat="1" spans="33:33">
      <c r="AG5861" s="8"/>
    </row>
    <row r="5862" s="7" customFormat="1" spans="33:33">
      <c r="AG5862" s="8"/>
    </row>
    <row r="5863" s="7" customFormat="1" spans="33:33">
      <c r="AG5863" s="8"/>
    </row>
    <row r="5864" s="7" customFormat="1" spans="33:33">
      <c r="AG5864" s="8"/>
    </row>
    <row r="5865" s="7" customFormat="1" spans="33:33">
      <c r="AG5865" s="8"/>
    </row>
    <row r="5866" s="7" customFormat="1" spans="33:33">
      <c r="AG5866" s="8"/>
    </row>
    <row r="5867" s="7" customFormat="1" spans="33:33">
      <c r="AG5867" s="8"/>
    </row>
    <row r="5868" s="7" customFormat="1" spans="33:33">
      <c r="AG5868" s="8"/>
    </row>
    <row r="5869" s="7" customFormat="1" spans="33:33">
      <c r="AG5869" s="8"/>
    </row>
    <row r="5870" s="7" customFormat="1" spans="33:33">
      <c r="AG5870" s="8"/>
    </row>
    <row r="5871" s="7" customFormat="1" spans="33:33">
      <c r="AG5871" s="8"/>
    </row>
    <row r="5872" s="7" customFormat="1" spans="33:33">
      <c r="AG5872" s="8"/>
    </row>
    <row r="5873" s="7" customFormat="1" spans="33:33">
      <c r="AG5873" s="8"/>
    </row>
    <row r="5874" s="7" customFormat="1" spans="33:33">
      <c r="AG5874" s="8"/>
    </row>
    <row r="5875" s="7" customFormat="1" spans="33:33">
      <c r="AG5875" s="8"/>
    </row>
    <row r="5876" s="7" customFormat="1" spans="33:33">
      <c r="AG5876" s="8"/>
    </row>
    <row r="5877" s="7" customFormat="1" spans="33:33">
      <c r="AG5877" s="8"/>
    </row>
    <row r="5878" s="7" customFormat="1" spans="33:33">
      <c r="AG5878" s="8"/>
    </row>
    <row r="5879" s="7" customFormat="1" spans="33:33">
      <c r="AG5879" s="8"/>
    </row>
    <row r="5880" s="7" customFormat="1" spans="33:33">
      <c r="AG5880" s="8"/>
    </row>
    <row r="5881" s="7" customFormat="1" spans="33:33">
      <c r="AG5881" s="8"/>
    </row>
    <row r="5882" s="7" customFormat="1" spans="33:33">
      <c r="AG5882" s="8"/>
    </row>
    <row r="5883" s="7" customFormat="1" spans="33:33">
      <c r="AG5883" s="8"/>
    </row>
    <row r="5884" s="7" customFormat="1" spans="33:33">
      <c r="AG5884" s="8"/>
    </row>
    <row r="5885" s="7" customFormat="1" spans="33:33">
      <c r="AG5885" s="8"/>
    </row>
    <row r="5886" s="7" customFormat="1" spans="33:33">
      <c r="AG5886" s="8"/>
    </row>
    <row r="5887" s="7" customFormat="1" spans="33:33">
      <c r="AG5887" s="8"/>
    </row>
    <row r="5888" s="7" customFormat="1" spans="33:33">
      <c r="AG5888" s="8"/>
    </row>
    <row r="5889" s="7" customFormat="1" spans="33:33">
      <c r="AG5889" s="8"/>
    </row>
    <row r="5890" s="7" customFormat="1" spans="33:33">
      <c r="AG5890" s="8"/>
    </row>
    <row r="5891" s="7" customFormat="1" spans="33:33">
      <c r="AG5891" s="8"/>
    </row>
    <row r="5892" s="7" customFormat="1" spans="33:33">
      <c r="AG5892" s="8"/>
    </row>
    <row r="5893" s="7" customFormat="1" spans="33:33">
      <c r="AG5893" s="8"/>
    </row>
    <row r="5894" s="7" customFormat="1" spans="33:33">
      <c r="AG5894" s="8"/>
    </row>
    <row r="5895" s="7" customFormat="1" spans="33:33">
      <c r="AG5895" s="8"/>
    </row>
    <row r="5896" s="7" customFormat="1" spans="33:33">
      <c r="AG5896" s="8"/>
    </row>
    <row r="5897" s="7" customFormat="1" spans="33:33">
      <c r="AG5897" s="8"/>
    </row>
    <row r="5898" s="7" customFormat="1" spans="33:33">
      <c r="AG5898" s="8"/>
    </row>
    <row r="5899" s="7" customFormat="1" spans="33:33">
      <c r="AG5899" s="8"/>
    </row>
    <row r="5900" s="7" customFormat="1" spans="33:33">
      <c r="AG5900" s="8"/>
    </row>
    <row r="5901" s="7" customFormat="1" spans="33:33">
      <c r="AG5901" s="8"/>
    </row>
    <row r="5902" s="7" customFormat="1" spans="33:33">
      <c r="AG5902" s="8"/>
    </row>
    <row r="5903" s="7" customFormat="1" spans="33:33">
      <c r="AG5903" s="8"/>
    </row>
    <row r="5904" s="7" customFormat="1" spans="33:33">
      <c r="AG5904" s="8"/>
    </row>
    <row r="5905" s="7" customFormat="1" spans="33:33">
      <c r="AG5905" s="8"/>
    </row>
    <row r="5906" s="7" customFormat="1" spans="33:33">
      <c r="AG5906" s="8"/>
    </row>
    <row r="5907" s="7" customFormat="1" spans="33:33">
      <c r="AG5907" s="8"/>
    </row>
    <row r="5908" s="7" customFormat="1" spans="33:33">
      <c r="AG5908" s="8"/>
    </row>
    <row r="5909" s="7" customFormat="1" spans="33:33">
      <c r="AG5909" s="8"/>
    </row>
    <row r="5910" s="7" customFormat="1" spans="33:33">
      <c r="AG5910" s="8"/>
    </row>
    <row r="5911" s="7" customFormat="1" spans="33:33">
      <c r="AG5911" s="8"/>
    </row>
    <row r="5912" s="7" customFormat="1" spans="33:33">
      <c r="AG5912" s="8"/>
    </row>
    <row r="5913" s="7" customFormat="1" spans="33:33">
      <c r="AG5913" s="8"/>
    </row>
    <row r="5914" s="7" customFormat="1" spans="33:33">
      <c r="AG5914" s="8"/>
    </row>
    <row r="5915" s="7" customFormat="1" spans="33:33">
      <c r="AG5915" s="8"/>
    </row>
    <row r="5916" s="7" customFormat="1" spans="33:33">
      <c r="AG5916" s="8"/>
    </row>
    <row r="5917" s="7" customFormat="1" spans="33:33">
      <c r="AG5917" s="8"/>
    </row>
    <row r="5918" s="7" customFormat="1" spans="33:33">
      <c r="AG5918" s="8"/>
    </row>
    <row r="5919" s="7" customFormat="1" spans="33:33">
      <c r="AG5919" s="8"/>
    </row>
    <row r="5920" s="7" customFormat="1" spans="33:33">
      <c r="AG5920" s="8"/>
    </row>
    <row r="5921" s="7" customFormat="1" spans="33:33">
      <c r="AG5921" s="8"/>
    </row>
    <row r="5922" s="7" customFormat="1" spans="33:33">
      <c r="AG5922" s="8"/>
    </row>
    <row r="5923" s="7" customFormat="1" spans="33:33">
      <c r="AG5923" s="8"/>
    </row>
    <row r="5924" s="7" customFormat="1" spans="33:33">
      <c r="AG5924" s="8"/>
    </row>
    <row r="5925" s="7" customFormat="1" spans="33:33">
      <c r="AG5925" s="8"/>
    </row>
    <row r="5926" s="7" customFormat="1" spans="33:33">
      <c r="AG5926" s="8"/>
    </row>
    <row r="5927" s="7" customFormat="1" spans="33:33">
      <c r="AG5927" s="8"/>
    </row>
    <row r="5928" s="7" customFormat="1" spans="33:33">
      <c r="AG5928" s="8"/>
    </row>
    <row r="5929" s="7" customFormat="1" spans="33:33">
      <c r="AG5929" s="8"/>
    </row>
    <row r="5930" s="7" customFormat="1" spans="33:33">
      <c r="AG5930" s="8"/>
    </row>
    <row r="5931" s="7" customFormat="1" spans="33:33">
      <c r="AG5931" s="8"/>
    </row>
    <row r="5932" s="7" customFormat="1" spans="33:33">
      <c r="AG5932" s="8"/>
    </row>
    <row r="5933" s="7" customFormat="1" spans="33:33">
      <c r="AG5933" s="8"/>
    </row>
    <row r="5934" s="7" customFormat="1" spans="33:33">
      <c r="AG5934" s="8"/>
    </row>
    <row r="5935" s="7" customFormat="1" spans="33:33">
      <c r="AG5935" s="8"/>
    </row>
    <row r="5936" s="7" customFormat="1" spans="33:33">
      <c r="AG5936" s="8"/>
    </row>
    <row r="5937" s="7" customFormat="1" spans="33:33">
      <c r="AG5937" s="8"/>
    </row>
    <row r="5938" s="7" customFormat="1" spans="33:33">
      <c r="AG5938" s="8"/>
    </row>
    <row r="5939" s="7" customFormat="1" spans="33:33">
      <c r="AG5939" s="8"/>
    </row>
    <row r="5940" s="7" customFormat="1" spans="33:33">
      <c r="AG5940" s="8"/>
    </row>
    <row r="5941" s="7" customFormat="1" spans="33:33">
      <c r="AG5941" s="8"/>
    </row>
    <row r="5942" s="7" customFormat="1" spans="33:33">
      <c r="AG5942" s="8"/>
    </row>
    <row r="5943" s="7" customFormat="1" spans="33:33">
      <c r="AG5943" s="8"/>
    </row>
    <row r="5944" s="7" customFormat="1" spans="33:33">
      <c r="AG5944" s="8"/>
    </row>
    <row r="5945" s="7" customFormat="1" spans="33:33">
      <c r="AG5945" s="8"/>
    </row>
    <row r="5946" s="7" customFormat="1" spans="33:33">
      <c r="AG5946" s="8"/>
    </row>
    <row r="5947" s="7" customFormat="1" spans="33:33">
      <c r="AG5947" s="8"/>
    </row>
    <row r="5948" s="7" customFormat="1" spans="33:33">
      <c r="AG5948" s="8"/>
    </row>
    <row r="5949" s="7" customFormat="1" spans="33:33">
      <c r="AG5949" s="8"/>
    </row>
    <row r="5950" s="7" customFormat="1" spans="33:33">
      <c r="AG5950" s="8"/>
    </row>
    <row r="5951" s="7" customFormat="1" spans="33:33">
      <c r="AG5951" s="8"/>
    </row>
    <row r="5952" s="7" customFormat="1" spans="33:33">
      <c r="AG5952" s="8"/>
    </row>
    <row r="5953" s="7" customFormat="1" spans="33:33">
      <c r="AG5953" s="8"/>
    </row>
    <row r="5954" s="7" customFormat="1" spans="33:33">
      <c r="AG5954" s="8"/>
    </row>
    <row r="5955" s="7" customFormat="1" spans="33:33">
      <c r="AG5955" s="8"/>
    </row>
    <row r="5956" s="7" customFormat="1" spans="33:33">
      <c r="AG5956" s="8"/>
    </row>
    <row r="5957" s="7" customFormat="1" spans="33:33">
      <c r="AG5957" s="8"/>
    </row>
    <row r="5958" s="7" customFormat="1" spans="33:33">
      <c r="AG5958" s="8"/>
    </row>
    <row r="5959" s="7" customFormat="1" spans="33:33">
      <c r="AG5959" s="8"/>
    </row>
    <row r="5960" s="7" customFormat="1" spans="33:33">
      <c r="AG5960" s="8"/>
    </row>
    <row r="5961" s="7" customFormat="1" spans="33:33">
      <c r="AG5961" s="8"/>
    </row>
    <row r="5962" s="7" customFormat="1" spans="33:33">
      <c r="AG5962" s="8"/>
    </row>
    <row r="5963" s="7" customFormat="1" spans="33:33">
      <c r="AG5963" s="8"/>
    </row>
    <row r="5964" s="7" customFormat="1" spans="33:33">
      <c r="AG5964" s="8"/>
    </row>
    <row r="5965" s="7" customFormat="1" spans="33:33">
      <c r="AG5965" s="8"/>
    </row>
    <row r="5966" s="7" customFormat="1" spans="33:33">
      <c r="AG5966" s="8"/>
    </row>
    <row r="5967" s="7" customFormat="1" spans="33:33">
      <c r="AG5967" s="8"/>
    </row>
    <row r="5968" s="7" customFormat="1" spans="33:33">
      <c r="AG5968" s="8"/>
    </row>
    <row r="5969" s="7" customFormat="1" spans="33:33">
      <c r="AG5969" s="8"/>
    </row>
    <row r="5970" s="7" customFormat="1" spans="33:33">
      <c r="AG5970" s="8"/>
    </row>
    <row r="5971" s="7" customFormat="1" spans="33:33">
      <c r="AG5971" s="8"/>
    </row>
    <row r="5972" s="7" customFormat="1" spans="33:33">
      <c r="AG5972" s="8"/>
    </row>
    <row r="5973" s="7" customFormat="1" spans="33:33">
      <c r="AG5973" s="8"/>
    </row>
    <row r="5974" s="7" customFormat="1" spans="33:33">
      <c r="AG5974" s="8"/>
    </row>
    <row r="5975" s="7" customFormat="1" spans="33:33">
      <c r="AG5975" s="8"/>
    </row>
    <row r="5976" s="7" customFormat="1" spans="33:33">
      <c r="AG5976" s="8"/>
    </row>
    <row r="5977" s="7" customFormat="1" spans="33:33">
      <c r="AG5977" s="8"/>
    </row>
    <row r="5978" s="7" customFormat="1" spans="33:33">
      <c r="AG5978" s="8"/>
    </row>
    <row r="5979" s="7" customFormat="1" spans="33:33">
      <c r="AG5979" s="8"/>
    </row>
    <row r="5980" s="7" customFormat="1" spans="33:33">
      <c r="AG5980" s="8"/>
    </row>
    <row r="5981" s="7" customFormat="1" spans="33:33">
      <c r="AG5981" s="8"/>
    </row>
    <row r="5982" s="7" customFormat="1" spans="33:33">
      <c r="AG5982" s="8"/>
    </row>
    <row r="5983" s="7" customFormat="1" spans="33:33">
      <c r="AG5983" s="8"/>
    </row>
    <row r="5984" s="7" customFormat="1" spans="33:33">
      <c r="AG5984" s="8"/>
    </row>
    <row r="5985" s="7" customFormat="1" spans="33:33">
      <c r="AG5985" s="8"/>
    </row>
    <row r="5986" s="7" customFormat="1" spans="33:33">
      <c r="AG5986" s="8"/>
    </row>
    <row r="5987" s="7" customFormat="1" spans="33:33">
      <c r="AG5987" s="8"/>
    </row>
    <row r="5988" s="7" customFormat="1" spans="33:33">
      <c r="AG5988" s="8"/>
    </row>
    <row r="5989" s="7" customFormat="1" spans="33:33">
      <c r="AG5989" s="8"/>
    </row>
    <row r="5990" s="7" customFormat="1" spans="33:33">
      <c r="AG5990" s="8"/>
    </row>
    <row r="5991" s="7" customFormat="1" spans="33:33">
      <c r="AG5991" s="8"/>
    </row>
    <row r="5992" s="7" customFormat="1" spans="33:33">
      <c r="AG5992" s="8"/>
    </row>
    <row r="5993" s="7" customFormat="1" spans="33:33">
      <c r="AG5993" s="8"/>
    </row>
    <row r="5994" s="7" customFormat="1" spans="33:33">
      <c r="AG5994" s="8"/>
    </row>
    <row r="5995" s="7" customFormat="1" spans="33:33">
      <c r="AG5995" s="8"/>
    </row>
    <row r="5996" s="7" customFormat="1" spans="33:33">
      <c r="AG5996" s="8"/>
    </row>
    <row r="5997" s="7" customFormat="1" spans="33:33">
      <c r="AG5997" s="8"/>
    </row>
    <row r="5998" s="7" customFormat="1" spans="33:33">
      <c r="AG5998" s="8"/>
    </row>
    <row r="5999" s="7" customFormat="1" spans="33:33">
      <c r="AG5999" s="8"/>
    </row>
    <row r="6000" s="7" customFormat="1" spans="33:33">
      <c r="AG6000" s="8"/>
    </row>
    <row r="6001" s="7" customFormat="1" spans="33:33">
      <c r="AG6001" s="8"/>
    </row>
    <row r="6002" s="7" customFormat="1" spans="33:33">
      <c r="AG6002" s="8"/>
    </row>
    <row r="6003" s="7" customFormat="1" spans="33:33">
      <c r="AG6003" s="8"/>
    </row>
    <row r="6004" s="7" customFormat="1" spans="33:33">
      <c r="AG6004" s="8"/>
    </row>
    <row r="6005" s="7" customFormat="1" spans="33:33">
      <c r="AG6005" s="8"/>
    </row>
    <row r="6006" s="7" customFormat="1" spans="33:33">
      <c r="AG6006" s="8"/>
    </row>
    <row r="6007" s="7" customFormat="1" spans="33:33">
      <c r="AG6007" s="8"/>
    </row>
    <row r="6008" s="7" customFormat="1" spans="33:33">
      <c r="AG6008" s="8"/>
    </row>
    <row r="6009" s="7" customFormat="1" spans="33:33">
      <c r="AG6009" s="8"/>
    </row>
    <row r="6010" s="7" customFormat="1" spans="33:33">
      <c r="AG6010" s="8"/>
    </row>
    <row r="6011" s="7" customFormat="1" spans="33:33">
      <c r="AG6011" s="8"/>
    </row>
    <row r="6012" s="7" customFormat="1" spans="33:33">
      <c r="AG6012" s="8"/>
    </row>
    <row r="6013" s="7" customFormat="1" spans="33:33">
      <c r="AG6013" s="8"/>
    </row>
    <row r="6014" s="7" customFormat="1" spans="33:33">
      <c r="AG6014" s="8"/>
    </row>
    <row r="6015" s="7" customFormat="1" spans="33:33">
      <c r="AG6015" s="8"/>
    </row>
    <row r="6016" s="7" customFormat="1" spans="33:33">
      <c r="AG6016" s="8"/>
    </row>
    <row r="6017" s="7" customFormat="1" spans="33:33">
      <c r="AG6017" s="8"/>
    </row>
    <row r="6018" s="7" customFormat="1" spans="33:33">
      <c r="AG6018" s="8"/>
    </row>
    <row r="6019" s="7" customFormat="1" spans="33:33">
      <c r="AG6019" s="8"/>
    </row>
    <row r="6020" s="7" customFormat="1" spans="33:33">
      <c r="AG6020" s="8"/>
    </row>
    <row r="6021" s="7" customFormat="1" spans="33:33">
      <c r="AG6021" s="8"/>
    </row>
    <row r="6022" s="7" customFormat="1" spans="33:33">
      <c r="AG6022" s="8"/>
    </row>
    <row r="6023" s="7" customFormat="1" spans="33:33">
      <c r="AG6023" s="8"/>
    </row>
    <row r="6024" s="7" customFormat="1" spans="33:33">
      <c r="AG6024" s="8"/>
    </row>
    <row r="6025" s="7" customFormat="1" spans="33:33">
      <c r="AG6025" s="8"/>
    </row>
    <row r="6026" s="7" customFormat="1" spans="33:33">
      <c r="AG6026" s="8"/>
    </row>
    <row r="6027" s="7" customFormat="1" spans="33:33">
      <c r="AG6027" s="8"/>
    </row>
    <row r="6028" s="7" customFormat="1" spans="33:33">
      <c r="AG6028" s="8"/>
    </row>
    <row r="6029" s="7" customFormat="1" spans="33:33">
      <c r="AG6029" s="8"/>
    </row>
    <row r="6030" s="7" customFormat="1" spans="33:33">
      <c r="AG6030" s="8"/>
    </row>
    <row r="6031" s="7" customFormat="1" spans="33:33">
      <c r="AG6031" s="8"/>
    </row>
    <row r="6032" s="7" customFormat="1" spans="33:33">
      <c r="AG6032" s="8"/>
    </row>
    <row r="6033" s="7" customFormat="1" spans="33:33">
      <c r="AG6033" s="8"/>
    </row>
    <row r="6034" s="7" customFormat="1" spans="33:33">
      <c r="AG6034" s="8"/>
    </row>
    <row r="6035" s="7" customFormat="1" spans="33:33">
      <c r="AG6035" s="8"/>
    </row>
    <row r="6036" s="7" customFormat="1" spans="33:33">
      <c r="AG6036" s="8"/>
    </row>
    <row r="6037" s="7" customFormat="1" spans="33:33">
      <c r="AG6037" s="8"/>
    </row>
    <row r="6038" s="7" customFormat="1" spans="33:33">
      <c r="AG6038" s="8"/>
    </row>
    <row r="6039" s="7" customFormat="1" spans="33:33">
      <c r="AG6039" s="8"/>
    </row>
    <row r="6040" s="7" customFormat="1" spans="33:33">
      <c r="AG6040" s="8"/>
    </row>
    <row r="6041" s="7" customFormat="1" spans="33:33">
      <c r="AG6041" s="8"/>
    </row>
    <row r="6042" s="7" customFormat="1" spans="33:33">
      <c r="AG6042" s="8"/>
    </row>
    <row r="6043" s="7" customFormat="1" spans="33:33">
      <c r="AG6043" s="8"/>
    </row>
    <row r="6044" s="7" customFormat="1" spans="33:33">
      <c r="AG6044" s="8"/>
    </row>
    <row r="6045" s="7" customFormat="1" spans="33:33">
      <c r="AG6045" s="8"/>
    </row>
    <row r="6046" s="7" customFormat="1" spans="33:33">
      <c r="AG6046" s="8"/>
    </row>
    <row r="6047" s="7" customFormat="1" spans="33:33">
      <c r="AG6047" s="8"/>
    </row>
    <row r="6048" s="7" customFormat="1" spans="33:33">
      <c r="AG6048" s="8"/>
    </row>
    <row r="6049" s="7" customFormat="1" spans="33:33">
      <c r="AG6049" s="8"/>
    </row>
    <row r="6050" s="7" customFormat="1" spans="33:33">
      <c r="AG6050" s="8"/>
    </row>
    <row r="6051" s="7" customFormat="1" spans="33:33">
      <c r="AG6051" s="8"/>
    </row>
    <row r="6052" s="7" customFormat="1" spans="33:33">
      <c r="AG6052" s="8"/>
    </row>
    <row r="6053" s="7" customFormat="1" spans="33:33">
      <c r="AG6053" s="8"/>
    </row>
    <row r="6054" s="7" customFormat="1" spans="33:33">
      <c r="AG6054" s="8"/>
    </row>
    <row r="6055" s="7" customFormat="1" spans="33:33">
      <c r="AG6055" s="8"/>
    </row>
    <row r="6056" s="7" customFormat="1" spans="33:33">
      <c r="AG6056" s="8"/>
    </row>
    <row r="6057" s="7" customFormat="1" spans="33:33">
      <c r="AG6057" s="8"/>
    </row>
    <row r="6058" s="7" customFormat="1" spans="33:33">
      <c r="AG6058" s="8"/>
    </row>
    <row r="6059" s="7" customFormat="1" spans="33:33">
      <c r="AG6059" s="8"/>
    </row>
    <row r="6060" s="7" customFormat="1" spans="33:33">
      <c r="AG6060" s="8"/>
    </row>
    <row r="6061" s="7" customFormat="1" spans="33:33">
      <c r="AG6061" s="8"/>
    </row>
    <row r="6062" s="7" customFormat="1" spans="33:33">
      <c r="AG6062" s="8"/>
    </row>
    <row r="6063" s="7" customFormat="1" spans="33:33">
      <c r="AG6063" s="8"/>
    </row>
    <row r="6064" s="7" customFormat="1" spans="33:33">
      <c r="AG6064" s="8"/>
    </row>
    <row r="6065" s="7" customFormat="1" spans="33:33">
      <c r="AG6065" s="8"/>
    </row>
    <row r="6066" s="7" customFormat="1" spans="33:33">
      <c r="AG6066" s="8"/>
    </row>
    <row r="6067" s="7" customFormat="1" spans="33:33">
      <c r="AG6067" s="8"/>
    </row>
    <row r="6068" s="7" customFormat="1" spans="33:33">
      <c r="AG6068" s="8"/>
    </row>
    <row r="6069" s="7" customFormat="1" spans="33:33">
      <c r="AG6069" s="8"/>
    </row>
    <row r="6070" s="7" customFormat="1" spans="33:33">
      <c r="AG6070" s="8"/>
    </row>
    <row r="6071" s="7" customFormat="1" spans="33:33">
      <c r="AG6071" s="8"/>
    </row>
    <row r="6072" s="7" customFormat="1" spans="33:33">
      <c r="AG6072" s="8"/>
    </row>
    <row r="6073" s="7" customFormat="1" spans="33:33">
      <c r="AG6073" s="8"/>
    </row>
    <row r="6074" s="7" customFormat="1" spans="33:33">
      <c r="AG6074" s="8"/>
    </row>
    <row r="6075" s="7" customFormat="1" spans="33:33">
      <c r="AG6075" s="8"/>
    </row>
    <row r="6076" s="7" customFormat="1" spans="33:33">
      <c r="AG6076" s="8"/>
    </row>
    <row r="6077" s="7" customFormat="1" spans="33:33">
      <c r="AG6077" s="8"/>
    </row>
    <row r="6078" s="7" customFormat="1" spans="33:33">
      <c r="AG6078" s="8"/>
    </row>
    <row r="6079" s="7" customFormat="1" spans="33:33">
      <c r="AG6079" s="8"/>
    </row>
    <row r="6080" s="7" customFormat="1" spans="33:33">
      <c r="AG6080" s="8"/>
    </row>
    <row r="6081" s="7" customFormat="1" spans="33:33">
      <c r="AG6081" s="8"/>
    </row>
    <row r="6082" s="7" customFormat="1" spans="33:33">
      <c r="AG6082" s="8"/>
    </row>
    <row r="6083" s="7" customFormat="1" spans="33:33">
      <c r="AG6083" s="8"/>
    </row>
    <row r="6084" s="7" customFormat="1" spans="33:33">
      <c r="AG6084" s="8"/>
    </row>
    <row r="6085" s="7" customFormat="1" spans="33:33">
      <c r="AG6085" s="8"/>
    </row>
    <row r="6086" s="7" customFormat="1" spans="33:33">
      <c r="AG6086" s="8"/>
    </row>
    <row r="6087" s="7" customFormat="1" spans="33:33">
      <c r="AG6087" s="8"/>
    </row>
    <row r="6088" s="7" customFormat="1" spans="33:33">
      <c r="AG6088" s="8"/>
    </row>
    <row r="6089" s="7" customFormat="1" spans="33:33">
      <c r="AG6089" s="8"/>
    </row>
    <row r="6090" s="7" customFormat="1" spans="33:33">
      <c r="AG6090" s="8"/>
    </row>
    <row r="6091" s="7" customFormat="1" spans="33:33">
      <c r="AG6091" s="8"/>
    </row>
    <row r="6092" s="7" customFormat="1" spans="33:33">
      <c r="AG6092" s="8"/>
    </row>
    <row r="6093" s="7" customFormat="1" spans="33:33">
      <c r="AG6093" s="8"/>
    </row>
    <row r="6094" s="7" customFormat="1" spans="33:33">
      <c r="AG6094" s="8"/>
    </row>
    <row r="6095" s="7" customFormat="1" spans="33:33">
      <c r="AG6095" s="8"/>
    </row>
    <row r="6096" s="7" customFormat="1" spans="33:33">
      <c r="AG6096" s="8"/>
    </row>
    <row r="6097" s="7" customFormat="1" spans="33:33">
      <c r="AG6097" s="8"/>
    </row>
    <row r="6098" s="7" customFormat="1" spans="33:33">
      <c r="AG6098" s="8"/>
    </row>
    <row r="6099" s="7" customFormat="1" spans="33:33">
      <c r="AG6099" s="8"/>
    </row>
    <row r="6100" s="7" customFormat="1" spans="33:33">
      <c r="AG6100" s="8"/>
    </row>
    <row r="6101" s="7" customFormat="1" spans="33:33">
      <c r="AG6101" s="8"/>
    </row>
    <row r="6102" s="7" customFormat="1" spans="33:33">
      <c r="AG6102" s="8"/>
    </row>
    <row r="6103" s="7" customFormat="1" spans="33:33">
      <c r="AG6103" s="8"/>
    </row>
    <row r="6104" s="7" customFormat="1" spans="33:33">
      <c r="AG6104" s="8"/>
    </row>
    <row r="6105" s="7" customFormat="1" spans="33:33">
      <c r="AG6105" s="8"/>
    </row>
    <row r="6106" s="7" customFormat="1" spans="33:33">
      <c r="AG6106" s="8"/>
    </row>
    <row r="6107" s="7" customFormat="1" spans="33:33">
      <c r="AG6107" s="8"/>
    </row>
    <row r="6108" s="7" customFormat="1" spans="33:33">
      <c r="AG6108" s="8"/>
    </row>
    <row r="6109" s="7" customFormat="1" spans="33:33">
      <c r="AG6109" s="8"/>
    </row>
    <row r="6110" s="7" customFormat="1" spans="33:33">
      <c r="AG6110" s="8"/>
    </row>
    <row r="6111" s="7" customFormat="1" spans="33:33">
      <c r="AG6111" s="8"/>
    </row>
    <row r="6112" s="7" customFormat="1" spans="33:33">
      <c r="AG6112" s="8"/>
    </row>
    <row r="6113" s="7" customFormat="1" spans="33:33">
      <c r="AG6113" s="8"/>
    </row>
    <row r="6114" s="7" customFormat="1" spans="33:33">
      <c r="AG6114" s="8"/>
    </row>
    <row r="6115" s="7" customFormat="1" spans="33:33">
      <c r="AG6115" s="8"/>
    </row>
    <row r="6116" s="7" customFormat="1" spans="33:33">
      <c r="AG6116" s="8"/>
    </row>
    <row r="6117" s="7" customFormat="1" spans="33:33">
      <c r="AG6117" s="8"/>
    </row>
    <row r="6118" s="7" customFormat="1" spans="33:33">
      <c r="AG6118" s="8"/>
    </row>
    <row r="6119" s="7" customFormat="1" spans="33:33">
      <c r="AG6119" s="8"/>
    </row>
    <row r="6120" s="7" customFormat="1" spans="33:33">
      <c r="AG6120" s="8"/>
    </row>
    <row r="6121" s="7" customFormat="1" spans="33:33">
      <c r="AG6121" s="8"/>
    </row>
    <row r="6122" s="7" customFormat="1" spans="33:33">
      <c r="AG6122" s="8"/>
    </row>
    <row r="6123" s="7" customFormat="1" spans="33:33">
      <c r="AG6123" s="8"/>
    </row>
    <row r="6124" s="7" customFormat="1" spans="33:33">
      <c r="AG6124" s="8"/>
    </row>
    <row r="6125" s="7" customFormat="1" spans="33:33">
      <c r="AG6125" s="8"/>
    </row>
    <row r="6126" s="7" customFormat="1" spans="33:33">
      <c r="AG6126" s="8"/>
    </row>
    <row r="6127" s="7" customFormat="1" spans="33:33">
      <c r="AG6127" s="8"/>
    </row>
    <row r="6128" s="7" customFormat="1" spans="33:33">
      <c r="AG6128" s="8"/>
    </row>
    <row r="6129" s="7" customFormat="1" spans="33:33">
      <c r="AG6129" s="8"/>
    </row>
    <row r="6130" s="7" customFormat="1" spans="33:33">
      <c r="AG6130" s="8"/>
    </row>
    <row r="6131" s="7" customFormat="1" spans="33:33">
      <c r="AG6131" s="8"/>
    </row>
    <row r="6132" s="7" customFormat="1" spans="33:33">
      <c r="AG6132" s="8"/>
    </row>
    <row r="6133" s="7" customFormat="1" spans="33:33">
      <c r="AG6133" s="8"/>
    </row>
    <row r="6134" s="7" customFormat="1" spans="33:33">
      <c r="AG6134" s="8"/>
    </row>
    <row r="6135" s="7" customFormat="1" spans="33:33">
      <c r="AG6135" s="8"/>
    </row>
    <row r="6136" s="7" customFormat="1" spans="33:33">
      <c r="AG6136" s="8"/>
    </row>
    <row r="6137" s="7" customFormat="1" spans="33:33">
      <c r="AG6137" s="8"/>
    </row>
    <row r="6138" s="7" customFormat="1" spans="33:33">
      <c r="AG6138" s="8"/>
    </row>
    <row r="6139" s="7" customFormat="1" spans="33:33">
      <c r="AG6139" s="8"/>
    </row>
    <row r="6140" s="7" customFormat="1" spans="33:33">
      <c r="AG6140" s="8"/>
    </row>
    <row r="6141" s="7" customFormat="1" spans="33:33">
      <c r="AG6141" s="8"/>
    </row>
    <row r="6142" s="7" customFormat="1" spans="33:33">
      <c r="AG6142" s="8"/>
    </row>
    <row r="6143" s="7" customFormat="1" spans="33:33">
      <c r="AG6143" s="8"/>
    </row>
    <row r="6144" s="7" customFormat="1" spans="33:33">
      <c r="AG6144" s="8"/>
    </row>
    <row r="6145" s="7" customFormat="1" spans="33:33">
      <c r="AG6145" s="8"/>
    </row>
    <row r="6146" s="7" customFormat="1" spans="33:33">
      <c r="AG6146" s="8"/>
    </row>
    <row r="6147" s="7" customFormat="1" spans="33:33">
      <c r="AG6147" s="8"/>
    </row>
    <row r="6148" s="7" customFormat="1" spans="33:33">
      <c r="AG6148" s="8"/>
    </row>
    <row r="6149" s="7" customFormat="1" spans="33:33">
      <c r="AG6149" s="8"/>
    </row>
    <row r="6150" s="7" customFormat="1" spans="33:33">
      <c r="AG6150" s="8"/>
    </row>
    <row r="6151" s="7" customFormat="1" spans="33:33">
      <c r="AG6151" s="8"/>
    </row>
    <row r="6152" s="7" customFormat="1" spans="33:33">
      <c r="AG6152" s="8"/>
    </row>
    <row r="6153" s="7" customFormat="1" spans="33:33">
      <c r="AG6153" s="8"/>
    </row>
    <row r="6154" s="7" customFormat="1" spans="33:33">
      <c r="AG6154" s="8"/>
    </row>
    <row r="6155" s="7" customFormat="1" spans="33:33">
      <c r="AG6155" s="8"/>
    </row>
    <row r="6156" s="7" customFormat="1" spans="33:33">
      <c r="AG6156" s="8"/>
    </row>
    <row r="6157" s="7" customFormat="1" spans="33:33">
      <c r="AG6157" s="8"/>
    </row>
    <row r="6158" s="7" customFormat="1" spans="33:33">
      <c r="AG6158" s="8"/>
    </row>
    <row r="6159" s="7" customFormat="1" spans="33:33">
      <c r="AG6159" s="8"/>
    </row>
    <row r="6160" s="7" customFormat="1" spans="33:33">
      <c r="AG6160" s="8"/>
    </row>
    <row r="6161" s="7" customFormat="1" spans="33:33">
      <c r="AG6161" s="8"/>
    </row>
    <row r="6162" s="7" customFormat="1" spans="33:33">
      <c r="AG6162" s="8"/>
    </row>
    <row r="6163" s="7" customFormat="1" spans="33:33">
      <c r="AG6163" s="8"/>
    </row>
    <row r="6164" s="7" customFormat="1" spans="33:33">
      <c r="AG6164" s="8"/>
    </row>
    <row r="6165" s="7" customFormat="1" spans="33:33">
      <c r="AG6165" s="8"/>
    </row>
    <row r="6166" s="7" customFormat="1" spans="33:33">
      <c r="AG6166" s="8"/>
    </row>
    <row r="6167" s="7" customFormat="1" spans="33:33">
      <c r="AG6167" s="8"/>
    </row>
    <row r="6168" s="7" customFormat="1" spans="33:33">
      <c r="AG6168" s="8"/>
    </row>
    <row r="6169" s="7" customFormat="1" spans="33:33">
      <c r="AG6169" s="8"/>
    </row>
    <row r="6170" s="7" customFormat="1" spans="33:33">
      <c r="AG6170" s="8"/>
    </row>
    <row r="6171" s="7" customFormat="1" spans="33:33">
      <c r="AG6171" s="8"/>
    </row>
    <row r="6172" s="7" customFormat="1" spans="33:33">
      <c r="AG6172" s="8"/>
    </row>
    <row r="6173" s="7" customFormat="1" spans="33:33">
      <c r="AG6173" s="8"/>
    </row>
    <row r="6174" s="7" customFormat="1" spans="33:33">
      <c r="AG6174" s="8"/>
    </row>
    <row r="6175" s="7" customFormat="1" spans="33:33">
      <c r="AG6175" s="8"/>
    </row>
    <row r="6176" s="7" customFormat="1" spans="33:33">
      <c r="AG6176" s="8"/>
    </row>
    <row r="6177" s="7" customFormat="1" spans="33:33">
      <c r="AG6177" s="8"/>
    </row>
    <row r="6178" s="7" customFormat="1" spans="33:33">
      <c r="AG6178" s="8"/>
    </row>
    <row r="6179" s="7" customFormat="1" spans="33:33">
      <c r="AG6179" s="8"/>
    </row>
    <row r="6180" s="7" customFormat="1" spans="33:33">
      <c r="AG6180" s="8"/>
    </row>
    <row r="6181" s="7" customFormat="1" spans="33:33">
      <c r="AG6181" s="8"/>
    </row>
    <row r="6182" s="7" customFormat="1" spans="33:33">
      <c r="AG6182" s="8"/>
    </row>
    <row r="6183" s="7" customFormat="1" spans="33:33">
      <c r="AG6183" s="8"/>
    </row>
    <row r="6184" s="7" customFormat="1" spans="33:33">
      <c r="AG6184" s="8"/>
    </row>
    <row r="6185" s="7" customFormat="1" spans="33:33">
      <c r="AG6185" s="8"/>
    </row>
    <row r="6186" s="7" customFormat="1" spans="33:33">
      <c r="AG6186" s="8"/>
    </row>
    <row r="6187" s="7" customFormat="1" spans="33:33">
      <c r="AG6187" s="8"/>
    </row>
    <row r="6188" s="7" customFormat="1" spans="33:33">
      <c r="AG6188" s="8"/>
    </row>
    <row r="6189" s="7" customFormat="1" spans="33:33">
      <c r="AG6189" s="8"/>
    </row>
    <row r="6190" s="7" customFormat="1" spans="33:33">
      <c r="AG6190" s="8"/>
    </row>
    <row r="6191" s="7" customFormat="1" spans="33:33">
      <c r="AG6191" s="8"/>
    </row>
    <row r="6192" s="7" customFormat="1" spans="33:33">
      <c r="AG6192" s="8"/>
    </row>
    <row r="6193" s="7" customFormat="1" spans="33:33">
      <c r="AG6193" s="8"/>
    </row>
    <row r="6194" s="7" customFormat="1" spans="33:33">
      <c r="AG6194" s="8"/>
    </row>
    <row r="6195" s="7" customFormat="1" spans="33:33">
      <c r="AG6195" s="8"/>
    </row>
    <row r="6196" s="7" customFormat="1" spans="33:33">
      <c r="AG6196" s="8"/>
    </row>
    <row r="6197" s="7" customFormat="1" spans="33:33">
      <c r="AG6197" s="8"/>
    </row>
    <row r="6198" s="7" customFormat="1" spans="33:33">
      <c r="AG6198" s="8"/>
    </row>
    <row r="6199" s="7" customFormat="1" spans="33:33">
      <c r="AG6199" s="8"/>
    </row>
    <row r="6200" s="7" customFormat="1" spans="33:33">
      <c r="AG6200" s="8"/>
    </row>
    <row r="6201" s="7" customFormat="1" spans="33:33">
      <c r="AG6201" s="8"/>
    </row>
    <row r="6202" s="7" customFormat="1" spans="33:33">
      <c r="AG6202" s="8"/>
    </row>
    <row r="6203" s="7" customFormat="1" spans="33:33">
      <c r="AG6203" s="8"/>
    </row>
    <row r="6204" s="7" customFormat="1" spans="33:33">
      <c r="AG6204" s="8"/>
    </row>
    <row r="6205" s="7" customFormat="1" spans="33:33">
      <c r="AG6205" s="8"/>
    </row>
    <row r="6206" s="7" customFormat="1" spans="33:33">
      <c r="AG6206" s="8"/>
    </row>
    <row r="6207" s="7" customFormat="1" spans="33:33">
      <c r="AG6207" s="8"/>
    </row>
    <row r="6208" s="7" customFormat="1" spans="33:33">
      <c r="AG6208" s="8"/>
    </row>
    <row r="6209" s="7" customFormat="1" spans="33:33">
      <c r="AG6209" s="8"/>
    </row>
    <row r="6210" s="7" customFormat="1" spans="33:33">
      <c r="AG6210" s="8"/>
    </row>
    <row r="6211" s="7" customFormat="1" spans="33:33">
      <c r="AG6211" s="8"/>
    </row>
    <row r="6212" s="7" customFormat="1" spans="33:33">
      <c r="AG6212" s="8"/>
    </row>
    <row r="6213" s="7" customFormat="1" spans="33:33">
      <c r="AG6213" s="8"/>
    </row>
    <row r="6214" s="7" customFormat="1" spans="33:33">
      <c r="AG6214" s="8"/>
    </row>
    <row r="6215" s="7" customFormat="1" spans="33:33">
      <c r="AG6215" s="8"/>
    </row>
    <row r="6216" s="7" customFormat="1" spans="33:33">
      <c r="AG6216" s="8"/>
    </row>
    <row r="6217" s="7" customFormat="1" spans="33:33">
      <c r="AG6217" s="8"/>
    </row>
    <row r="6218" s="7" customFormat="1" spans="33:33">
      <c r="AG6218" s="8"/>
    </row>
    <row r="6219" s="7" customFormat="1" spans="33:33">
      <c r="AG6219" s="8"/>
    </row>
    <row r="6220" s="7" customFormat="1" spans="33:33">
      <c r="AG6220" s="8"/>
    </row>
    <row r="6221" s="7" customFormat="1" spans="33:33">
      <c r="AG6221" s="8"/>
    </row>
    <row r="6222" s="7" customFormat="1" spans="33:33">
      <c r="AG6222" s="8"/>
    </row>
    <row r="6223" s="7" customFormat="1" spans="33:33">
      <c r="AG6223" s="8"/>
    </row>
    <row r="6224" s="7" customFormat="1" spans="33:33">
      <c r="AG6224" s="8"/>
    </row>
    <row r="6225" s="7" customFormat="1" spans="33:33">
      <c r="AG6225" s="8"/>
    </row>
    <row r="6226" s="7" customFormat="1" spans="33:33">
      <c r="AG6226" s="8"/>
    </row>
    <row r="6227" s="7" customFormat="1" spans="33:33">
      <c r="AG6227" s="8"/>
    </row>
    <row r="6228" s="7" customFormat="1" spans="33:33">
      <c r="AG6228" s="8"/>
    </row>
    <row r="6229" s="7" customFormat="1" spans="33:33">
      <c r="AG6229" s="8"/>
    </row>
    <row r="6230" s="7" customFormat="1" spans="33:33">
      <c r="AG6230" s="8"/>
    </row>
    <row r="6231" s="7" customFormat="1" spans="33:33">
      <c r="AG6231" s="8"/>
    </row>
    <row r="6232" s="7" customFormat="1" spans="33:33">
      <c r="AG6232" s="8"/>
    </row>
    <row r="6233" s="7" customFormat="1" spans="33:33">
      <c r="AG6233" s="8"/>
    </row>
    <row r="6234" s="7" customFormat="1" spans="33:33">
      <c r="AG6234" s="8"/>
    </row>
    <row r="6235" s="7" customFormat="1" spans="33:33">
      <c r="AG6235" s="8"/>
    </row>
    <row r="6236" s="7" customFormat="1" spans="33:33">
      <c r="AG6236" s="8"/>
    </row>
    <row r="6237" s="7" customFormat="1" spans="33:33">
      <c r="AG6237" s="8"/>
    </row>
    <row r="6238" s="7" customFormat="1" spans="33:33">
      <c r="AG6238" s="8"/>
    </row>
    <row r="6239" s="7" customFormat="1" spans="33:33">
      <c r="AG6239" s="8"/>
    </row>
    <row r="6240" s="7" customFormat="1" spans="33:33">
      <c r="AG6240" s="8"/>
    </row>
    <row r="6241" s="7" customFormat="1" spans="33:33">
      <c r="AG6241" s="8"/>
    </row>
    <row r="6242" s="7" customFormat="1" spans="33:33">
      <c r="AG6242" s="8"/>
    </row>
    <row r="6243" s="7" customFormat="1" spans="33:33">
      <c r="AG6243" s="8"/>
    </row>
    <row r="6244" s="7" customFormat="1" spans="33:33">
      <c r="AG6244" s="8"/>
    </row>
    <row r="6245" s="7" customFormat="1" spans="33:33">
      <c r="AG6245" s="8"/>
    </row>
    <row r="6246" s="7" customFormat="1" spans="33:33">
      <c r="AG6246" s="8"/>
    </row>
    <row r="6247" s="7" customFormat="1" spans="33:33">
      <c r="AG6247" s="8"/>
    </row>
    <row r="6248" s="7" customFormat="1" spans="33:33">
      <c r="AG6248" s="8"/>
    </row>
    <row r="6249" s="7" customFormat="1" spans="33:33">
      <c r="AG6249" s="8"/>
    </row>
    <row r="6250" s="7" customFormat="1" spans="33:33">
      <c r="AG6250" s="8"/>
    </row>
    <row r="6251" s="7" customFormat="1" spans="33:33">
      <c r="AG6251" s="8"/>
    </row>
    <row r="6252" s="7" customFormat="1" spans="33:33">
      <c r="AG6252" s="8"/>
    </row>
    <row r="6253" s="7" customFormat="1" spans="33:33">
      <c r="AG6253" s="8"/>
    </row>
    <row r="6254" s="7" customFormat="1" spans="33:33">
      <c r="AG6254" s="8"/>
    </row>
    <row r="6255" s="7" customFormat="1" spans="33:33">
      <c r="AG6255" s="8"/>
    </row>
    <row r="6256" s="7" customFormat="1" spans="33:33">
      <c r="AG6256" s="8"/>
    </row>
    <row r="6257" s="7" customFormat="1" spans="33:33">
      <c r="AG6257" s="8"/>
    </row>
    <row r="6258" s="7" customFormat="1" spans="33:33">
      <c r="AG6258" s="8"/>
    </row>
    <row r="6259" s="7" customFormat="1" spans="33:33">
      <c r="AG6259" s="8"/>
    </row>
    <row r="6260" s="7" customFormat="1" spans="33:33">
      <c r="AG6260" s="8"/>
    </row>
    <row r="6261" s="7" customFormat="1" spans="33:33">
      <c r="AG6261" s="8"/>
    </row>
    <row r="6262" s="7" customFormat="1" spans="33:33">
      <c r="AG6262" s="8"/>
    </row>
    <row r="6263" s="7" customFormat="1" spans="33:33">
      <c r="AG6263" s="8"/>
    </row>
    <row r="6264" s="7" customFormat="1" spans="33:33">
      <c r="AG6264" s="8"/>
    </row>
    <row r="6265" s="7" customFormat="1" spans="33:33">
      <c r="AG6265" s="8"/>
    </row>
    <row r="6266" s="7" customFormat="1" spans="33:33">
      <c r="AG6266" s="8"/>
    </row>
    <row r="6267" s="7" customFormat="1" spans="33:33">
      <c r="AG6267" s="8"/>
    </row>
    <row r="6268" s="7" customFormat="1" spans="33:33">
      <c r="AG6268" s="8"/>
    </row>
    <row r="6269" s="7" customFormat="1" spans="33:33">
      <c r="AG6269" s="8"/>
    </row>
    <row r="6270" s="7" customFormat="1" spans="33:33">
      <c r="AG6270" s="8"/>
    </row>
    <row r="6271" s="7" customFormat="1" spans="33:33">
      <c r="AG6271" s="8"/>
    </row>
    <row r="6272" s="7" customFormat="1" spans="33:33">
      <c r="AG6272" s="8"/>
    </row>
    <row r="6273" s="7" customFormat="1" spans="33:33">
      <c r="AG6273" s="8"/>
    </row>
    <row r="6274" s="7" customFormat="1" spans="33:33">
      <c r="AG6274" s="8"/>
    </row>
    <row r="6275" s="7" customFormat="1" spans="33:33">
      <c r="AG6275" s="8"/>
    </row>
    <row r="6276" s="7" customFormat="1" spans="33:33">
      <c r="AG6276" s="8"/>
    </row>
    <row r="6277" s="7" customFormat="1" spans="33:33">
      <c r="AG6277" s="8"/>
    </row>
    <row r="6278" s="7" customFormat="1" spans="33:33">
      <c r="AG6278" s="8"/>
    </row>
    <row r="6279" s="7" customFormat="1" spans="33:33">
      <c r="AG6279" s="8"/>
    </row>
    <row r="6280" s="7" customFormat="1" spans="33:33">
      <c r="AG6280" s="8"/>
    </row>
    <row r="6281" s="7" customFormat="1" spans="33:33">
      <c r="AG6281" s="8"/>
    </row>
    <row r="6282" s="7" customFormat="1" spans="33:33">
      <c r="AG6282" s="8"/>
    </row>
    <row r="6283" s="7" customFormat="1" spans="33:33">
      <c r="AG6283" s="8"/>
    </row>
    <row r="6284" s="7" customFormat="1" spans="33:33">
      <c r="AG6284" s="8"/>
    </row>
    <row r="6285" s="7" customFormat="1" spans="33:33">
      <c r="AG6285" s="8"/>
    </row>
    <row r="6286" s="7" customFormat="1" spans="33:33">
      <c r="AG6286" s="8"/>
    </row>
    <row r="6287" s="7" customFormat="1" spans="33:33">
      <c r="AG6287" s="8"/>
    </row>
    <row r="6288" s="7" customFormat="1" spans="33:33">
      <c r="AG6288" s="8"/>
    </row>
    <row r="6289" s="7" customFormat="1" spans="33:33">
      <c r="AG6289" s="8"/>
    </row>
    <row r="6290" s="7" customFormat="1" spans="33:33">
      <c r="AG6290" s="8"/>
    </row>
    <row r="6291" s="7" customFormat="1" spans="33:33">
      <c r="AG6291" s="8"/>
    </row>
    <row r="6292" s="7" customFormat="1" spans="33:33">
      <c r="AG6292" s="8"/>
    </row>
    <row r="6293" s="7" customFormat="1" spans="33:33">
      <c r="AG6293" s="8"/>
    </row>
    <row r="6294" s="7" customFormat="1" spans="33:33">
      <c r="AG6294" s="8"/>
    </row>
    <row r="6295" s="7" customFormat="1" spans="33:33">
      <c r="AG6295" s="8"/>
    </row>
    <row r="6296" s="7" customFormat="1" spans="33:33">
      <c r="AG6296" s="8"/>
    </row>
    <row r="6297" s="7" customFormat="1" spans="33:33">
      <c r="AG6297" s="8"/>
    </row>
    <row r="6298" s="7" customFormat="1" spans="33:33">
      <c r="AG6298" s="8"/>
    </row>
    <row r="6299" s="7" customFormat="1" spans="33:33">
      <c r="AG6299" s="8"/>
    </row>
    <row r="6300" s="7" customFormat="1" spans="33:33">
      <c r="AG6300" s="8"/>
    </row>
    <row r="6301" s="7" customFormat="1" spans="33:33">
      <c r="AG6301" s="8"/>
    </row>
    <row r="6302" s="7" customFormat="1" spans="33:33">
      <c r="AG6302" s="8"/>
    </row>
    <row r="6303" s="7" customFormat="1" spans="33:33">
      <c r="AG6303" s="8"/>
    </row>
    <row r="6304" s="7" customFormat="1" spans="33:33">
      <c r="AG6304" s="8"/>
    </row>
    <row r="6305" s="7" customFormat="1" spans="33:33">
      <c r="AG6305" s="8"/>
    </row>
    <row r="6306" s="7" customFormat="1" spans="33:33">
      <c r="AG6306" s="8"/>
    </row>
    <row r="6307" s="7" customFormat="1" spans="33:33">
      <c r="AG6307" s="8"/>
    </row>
    <row r="6308" s="7" customFormat="1" spans="33:33">
      <c r="AG6308" s="8"/>
    </row>
    <row r="6309" s="7" customFormat="1" spans="33:33">
      <c r="AG6309" s="8"/>
    </row>
    <row r="6310" s="7" customFormat="1" spans="33:33">
      <c r="AG6310" s="8"/>
    </row>
    <row r="6311" s="7" customFormat="1" spans="33:33">
      <c r="AG6311" s="8"/>
    </row>
    <row r="6312" s="7" customFormat="1" spans="33:33">
      <c r="AG6312" s="8"/>
    </row>
    <row r="6313" s="7" customFormat="1" spans="33:33">
      <c r="AG6313" s="8"/>
    </row>
    <row r="6314" s="7" customFormat="1" spans="33:33">
      <c r="AG6314" s="8"/>
    </row>
    <row r="6315" s="7" customFormat="1" spans="33:33">
      <c r="AG6315" s="8"/>
    </row>
    <row r="6316" s="7" customFormat="1" spans="33:33">
      <c r="AG6316" s="8"/>
    </row>
    <row r="6317" s="7" customFormat="1" spans="33:33">
      <c r="AG6317" s="8"/>
    </row>
    <row r="6318" s="7" customFormat="1" spans="33:33">
      <c r="AG6318" s="8"/>
    </row>
    <row r="6319" s="7" customFormat="1" spans="33:33">
      <c r="AG6319" s="8"/>
    </row>
    <row r="6320" s="7" customFormat="1" spans="33:33">
      <c r="AG6320" s="8"/>
    </row>
    <row r="6321" s="7" customFormat="1" spans="33:33">
      <c r="AG6321" s="8"/>
    </row>
    <row r="6322" s="7" customFormat="1" spans="33:33">
      <c r="AG6322" s="8"/>
    </row>
    <row r="6323" s="7" customFormat="1" spans="33:33">
      <c r="AG6323" s="8"/>
    </row>
    <row r="6324" s="7" customFormat="1" spans="33:33">
      <c r="AG6324" s="8"/>
    </row>
    <row r="6325" s="7" customFormat="1" spans="33:33">
      <c r="AG6325" s="8"/>
    </row>
    <row r="6326" s="7" customFormat="1" spans="33:33">
      <c r="AG6326" s="8"/>
    </row>
    <row r="6327" s="7" customFormat="1" spans="33:33">
      <c r="AG6327" s="8"/>
    </row>
    <row r="6328" s="7" customFormat="1" spans="33:33">
      <c r="AG6328" s="8"/>
    </row>
    <row r="6329" s="7" customFormat="1" spans="33:33">
      <c r="AG6329" s="8"/>
    </row>
    <row r="6330" s="7" customFormat="1" spans="33:33">
      <c r="AG6330" s="8"/>
    </row>
    <row r="6331" s="7" customFormat="1" spans="33:33">
      <c r="AG6331" s="8"/>
    </row>
    <row r="6332" s="7" customFormat="1" spans="33:33">
      <c r="AG6332" s="8"/>
    </row>
    <row r="6333" s="7" customFormat="1" spans="33:33">
      <c r="AG6333" s="8"/>
    </row>
    <row r="6334" s="7" customFormat="1" spans="33:33">
      <c r="AG6334" s="8"/>
    </row>
    <row r="6335" s="7" customFormat="1" spans="33:33">
      <c r="AG6335" s="8"/>
    </row>
    <row r="6336" s="7" customFormat="1" spans="33:33">
      <c r="AG6336" s="8"/>
    </row>
    <row r="6337" s="7" customFormat="1" spans="33:33">
      <c r="AG6337" s="8"/>
    </row>
    <row r="6338" s="7" customFormat="1" spans="33:33">
      <c r="AG6338" s="8"/>
    </row>
    <row r="6339" s="7" customFormat="1" spans="33:33">
      <c r="AG6339" s="8"/>
    </row>
    <row r="6340" s="7" customFormat="1" spans="33:33">
      <c r="AG6340" s="8"/>
    </row>
    <row r="6341" s="7" customFormat="1" spans="33:33">
      <c r="AG6341" s="8"/>
    </row>
    <row r="6342" s="7" customFormat="1" spans="33:33">
      <c r="AG6342" s="8"/>
    </row>
    <row r="6343" s="7" customFormat="1" spans="33:33">
      <c r="AG6343" s="8"/>
    </row>
    <row r="6344" s="7" customFormat="1" spans="33:33">
      <c r="AG6344" s="8"/>
    </row>
    <row r="6345" s="7" customFormat="1" spans="33:33">
      <c r="AG6345" s="8"/>
    </row>
    <row r="6346" s="7" customFormat="1" spans="33:33">
      <c r="AG6346" s="8"/>
    </row>
    <row r="6347" s="7" customFormat="1" spans="33:33">
      <c r="AG6347" s="8"/>
    </row>
    <row r="6348" s="7" customFormat="1" spans="33:33">
      <c r="AG6348" s="8"/>
    </row>
    <row r="6349" s="7" customFormat="1" spans="33:33">
      <c r="AG6349" s="8"/>
    </row>
    <row r="6350" s="7" customFormat="1" spans="33:33">
      <c r="AG6350" s="8"/>
    </row>
    <row r="6351" s="7" customFormat="1" spans="33:33">
      <c r="AG6351" s="8"/>
    </row>
    <row r="6352" s="7" customFormat="1" spans="33:33">
      <c r="AG6352" s="8"/>
    </row>
    <row r="6353" s="7" customFormat="1" spans="33:33">
      <c r="AG6353" s="8"/>
    </row>
    <row r="6354" s="7" customFormat="1" spans="33:33">
      <c r="AG6354" s="8"/>
    </row>
    <row r="6355" s="7" customFormat="1" spans="33:33">
      <c r="AG6355" s="8"/>
    </row>
    <row r="6356" s="7" customFormat="1" spans="33:33">
      <c r="AG6356" s="8"/>
    </row>
    <row r="6357" s="7" customFormat="1" spans="33:33">
      <c r="AG6357" s="8"/>
    </row>
    <row r="6358" s="7" customFormat="1" spans="33:33">
      <c r="AG6358" s="8"/>
    </row>
    <row r="6359" s="7" customFormat="1" spans="33:33">
      <c r="AG6359" s="8"/>
    </row>
    <row r="6360" s="7" customFormat="1" spans="33:33">
      <c r="AG6360" s="8"/>
    </row>
    <row r="6361" s="7" customFormat="1" spans="33:33">
      <c r="AG6361" s="8"/>
    </row>
    <row r="6362" s="7" customFormat="1" spans="33:33">
      <c r="AG6362" s="8"/>
    </row>
    <row r="6363" s="7" customFormat="1" spans="33:33">
      <c r="AG6363" s="8"/>
    </row>
    <row r="6364" s="7" customFormat="1" spans="33:33">
      <c r="AG6364" s="8"/>
    </row>
    <row r="6365" s="7" customFormat="1" spans="33:33">
      <c r="AG6365" s="8"/>
    </row>
    <row r="6366" s="7" customFormat="1" spans="33:33">
      <c r="AG6366" s="8"/>
    </row>
    <row r="6367" s="7" customFormat="1" spans="33:33">
      <c r="AG6367" s="8"/>
    </row>
    <row r="6368" s="7" customFormat="1" spans="33:33">
      <c r="AG6368" s="8"/>
    </row>
    <row r="6369" s="7" customFormat="1" spans="33:33">
      <c r="AG6369" s="8"/>
    </row>
    <row r="6370" s="7" customFormat="1" spans="33:33">
      <c r="AG6370" s="8"/>
    </row>
    <row r="6371" s="7" customFormat="1" spans="33:33">
      <c r="AG6371" s="8"/>
    </row>
    <row r="6372" s="7" customFormat="1" spans="33:33">
      <c r="AG6372" s="8"/>
    </row>
    <row r="6373" s="7" customFormat="1" spans="33:33">
      <c r="AG6373" s="8"/>
    </row>
    <row r="6374" s="7" customFormat="1" spans="33:33">
      <c r="AG6374" s="8"/>
    </row>
    <row r="6375" s="7" customFormat="1" spans="33:33">
      <c r="AG6375" s="8"/>
    </row>
    <row r="6376" s="7" customFormat="1" spans="33:33">
      <c r="AG6376" s="8"/>
    </row>
    <row r="6377" s="7" customFormat="1" spans="33:33">
      <c r="AG6377" s="8"/>
    </row>
    <row r="6378" s="7" customFormat="1" spans="33:33">
      <c r="AG6378" s="8"/>
    </row>
    <row r="6379" s="7" customFormat="1" spans="33:33">
      <c r="AG6379" s="8"/>
    </row>
    <row r="6380" s="7" customFormat="1" spans="33:33">
      <c r="AG6380" s="8"/>
    </row>
    <row r="6381" s="7" customFormat="1" spans="33:33">
      <c r="AG6381" s="8"/>
    </row>
    <row r="6382" s="7" customFormat="1" spans="33:33">
      <c r="AG6382" s="8"/>
    </row>
    <row r="6383" s="7" customFormat="1" spans="33:33">
      <c r="AG6383" s="8"/>
    </row>
    <row r="6384" s="7" customFormat="1" spans="33:33">
      <c r="AG6384" s="8"/>
    </row>
    <row r="6385" s="7" customFormat="1" spans="33:33">
      <c r="AG6385" s="8"/>
    </row>
    <row r="6386" s="7" customFormat="1" spans="33:33">
      <c r="AG6386" s="8"/>
    </row>
    <row r="6387" s="7" customFormat="1" spans="33:33">
      <c r="AG6387" s="8"/>
    </row>
    <row r="6388" s="7" customFormat="1" spans="33:33">
      <c r="AG6388" s="8"/>
    </row>
    <row r="6389" s="7" customFormat="1" spans="33:33">
      <c r="AG6389" s="8"/>
    </row>
    <row r="6390" s="7" customFormat="1" spans="33:33">
      <c r="AG6390" s="8"/>
    </row>
    <row r="6391" s="7" customFormat="1" spans="33:33">
      <c r="AG6391" s="8"/>
    </row>
    <row r="6392" s="7" customFormat="1" spans="33:33">
      <c r="AG6392" s="8"/>
    </row>
    <row r="6393" s="7" customFormat="1" spans="33:33">
      <c r="AG6393" s="8"/>
    </row>
    <row r="6394" s="7" customFormat="1" spans="33:33">
      <c r="AG6394" s="8"/>
    </row>
    <row r="6395" s="7" customFormat="1" spans="33:33">
      <c r="AG6395" s="8"/>
    </row>
    <row r="6396" s="7" customFormat="1" spans="33:33">
      <c r="AG6396" s="8"/>
    </row>
    <row r="6397" s="7" customFormat="1" spans="33:33">
      <c r="AG6397" s="8"/>
    </row>
    <row r="6398" s="7" customFormat="1" spans="33:33">
      <c r="AG6398" s="8"/>
    </row>
    <row r="6399" s="7" customFormat="1" spans="33:33">
      <c r="AG6399" s="8"/>
    </row>
    <row r="6400" s="7" customFormat="1" spans="33:33">
      <c r="AG6400" s="8"/>
    </row>
    <row r="6401" s="7" customFormat="1" spans="33:33">
      <c r="AG6401" s="8"/>
    </row>
    <row r="6402" s="7" customFormat="1" spans="33:33">
      <c r="AG6402" s="8"/>
    </row>
    <row r="6403" s="7" customFormat="1" spans="33:33">
      <c r="AG6403" s="8"/>
    </row>
    <row r="6404" s="7" customFormat="1" spans="33:33">
      <c r="AG6404" s="8"/>
    </row>
    <row r="6405" s="7" customFormat="1" spans="33:33">
      <c r="AG6405" s="8"/>
    </row>
    <row r="6406" s="7" customFormat="1" spans="33:33">
      <c r="AG6406" s="8"/>
    </row>
    <row r="6407" s="7" customFormat="1" spans="33:33">
      <c r="AG6407" s="8"/>
    </row>
    <row r="6408" s="7" customFormat="1" spans="33:33">
      <c r="AG6408" s="8"/>
    </row>
    <row r="6409" s="7" customFormat="1" spans="33:33">
      <c r="AG6409" s="8"/>
    </row>
    <row r="6410" s="7" customFormat="1" spans="33:33">
      <c r="AG6410" s="8"/>
    </row>
    <row r="6411" s="7" customFormat="1" spans="33:33">
      <c r="AG6411" s="8"/>
    </row>
    <row r="6412" s="7" customFormat="1" spans="33:33">
      <c r="AG6412" s="8"/>
    </row>
    <row r="6413" s="7" customFormat="1" spans="33:33">
      <c r="AG6413" s="8"/>
    </row>
    <row r="6414" s="7" customFormat="1" spans="33:33">
      <c r="AG6414" s="8"/>
    </row>
    <row r="6415" s="7" customFormat="1" spans="33:33">
      <c r="AG6415" s="8"/>
    </row>
    <row r="6416" s="7" customFormat="1" spans="33:33">
      <c r="AG6416" s="8"/>
    </row>
    <row r="6417" s="7" customFormat="1" spans="33:33">
      <c r="AG6417" s="8"/>
    </row>
    <row r="6418" s="7" customFormat="1" spans="33:33">
      <c r="AG6418" s="8"/>
    </row>
    <row r="6419" s="7" customFormat="1" spans="33:33">
      <c r="AG6419" s="8"/>
    </row>
    <row r="6420" s="7" customFormat="1" spans="33:33">
      <c r="AG6420" s="8"/>
    </row>
    <row r="6421" s="7" customFormat="1" spans="33:33">
      <c r="AG6421" s="8"/>
    </row>
    <row r="6422" s="7" customFormat="1" spans="33:33">
      <c r="AG6422" s="8"/>
    </row>
    <row r="6423" s="7" customFormat="1" spans="33:33">
      <c r="AG6423" s="8"/>
    </row>
    <row r="6424" s="7" customFormat="1" spans="33:33">
      <c r="AG6424" s="8"/>
    </row>
    <row r="6425" s="7" customFormat="1" spans="33:33">
      <c r="AG6425" s="8"/>
    </row>
    <row r="6426" s="7" customFormat="1" spans="33:33">
      <c r="AG6426" s="8"/>
    </row>
    <row r="6427" s="7" customFormat="1" spans="33:33">
      <c r="AG6427" s="8"/>
    </row>
    <row r="6428" s="7" customFormat="1" spans="33:33">
      <c r="AG6428" s="8"/>
    </row>
    <row r="6429" s="7" customFormat="1" spans="33:33">
      <c r="AG6429" s="8"/>
    </row>
    <row r="6430" s="7" customFormat="1" spans="33:33">
      <c r="AG6430" s="8"/>
    </row>
    <row r="6431" s="7" customFormat="1" spans="33:33">
      <c r="AG6431" s="8"/>
    </row>
    <row r="6432" s="7" customFormat="1" spans="33:33">
      <c r="AG6432" s="8"/>
    </row>
    <row r="6433" s="7" customFormat="1" spans="33:33">
      <c r="AG6433" s="8"/>
    </row>
    <row r="6434" s="7" customFormat="1" spans="33:33">
      <c r="AG6434" s="8"/>
    </row>
    <row r="6435" s="7" customFormat="1" spans="33:33">
      <c r="AG6435" s="8"/>
    </row>
    <row r="6436" s="7" customFormat="1" spans="33:33">
      <c r="AG6436" s="8"/>
    </row>
    <row r="6437" s="7" customFormat="1" spans="33:33">
      <c r="AG6437" s="8"/>
    </row>
    <row r="6438" s="7" customFormat="1" spans="33:33">
      <c r="AG6438" s="8"/>
    </row>
    <row r="6439" s="7" customFormat="1" spans="33:33">
      <c r="AG6439" s="8"/>
    </row>
    <row r="6440" s="7" customFormat="1" spans="33:33">
      <c r="AG6440" s="8"/>
    </row>
    <row r="6441" s="7" customFormat="1" spans="33:33">
      <c r="AG6441" s="8"/>
    </row>
    <row r="6442" s="7" customFormat="1" spans="33:33">
      <c r="AG6442" s="8"/>
    </row>
    <row r="6443" s="7" customFormat="1" spans="33:33">
      <c r="AG6443" s="8"/>
    </row>
    <row r="6444" s="7" customFormat="1" spans="33:33">
      <c r="AG6444" s="8"/>
    </row>
    <row r="6445" s="7" customFormat="1" spans="33:33">
      <c r="AG6445" s="8"/>
    </row>
    <row r="6446" s="7" customFormat="1" spans="33:33">
      <c r="AG6446" s="8"/>
    </row>
    <row r="6447" s="7" customFormat="1" spans="33:33">
      <c r="AG6447" s="8"/>
    </row>
    <row r="6448" s="7" customFormat="1" spans="33:33">
      <c r="AG6448" s="8"/>
    </row>
    <row r="6449" s="7" customFormat="1" spans="33:33">
      <c r="AG6449" s="8"/>
    </row>
    <row r="6450" s="7" customFormat="1" spans="33:33">
      <c r="AG6450" s="8"/>
    </row>
    <row r="6451" s="7" customFormat="1" spans="33:33">
      <c r="AG6451" s="8"/>
    </row>
    <row r="6452" s="7" customFormat="1" spans="33:33">
      <c r="AG6452" s="8"/>
    </row>
    <row r="6453" s="7" customFormat="1" spans="33:33">
      <c r="AG6453" s="8"/>
    </row>
    <row r="6454" s="7" customFormat="1" spans="33:33">
      <c r="AG6454" s="8"/>
    </row>
    <row r="6455" s="7" customFormat="1" spans="33:33">
      <c r="AG6455" s="8"/>
    </row>
    <row r="6456" s="7" customFormat="1" spans="33:33">
      <c r="AG6456" s="8"/>
    </row>
    <row r="6457" s="7" customFormat="1" spans="33:33">
      <c r="AG6457" s="8"/>
    </row>
    <row r="6458" s="7" customFormat="1" spans="33:33">
      <c r="AG6458" s="8"/>
    </row>
    <row r="6459" s="7" customFormat="1" spans="33:33">
      <c r="AG6459" s="8"/>
    </row>
    <row r="6460" s="7" customFormat="1" spans="33:33">
      <c r="AG6460" s="8"/>
    </row>
    <row r="6461" s="7" customFormat="1" spans="33:33">
      <c r="AG6461" s="8"/>
    </row>
    <row r="6462" s="7" customFormat="1" spans="33:33">
      <c r="AG6462" s="8"/>
    </row>
    <row r="6463" s="7" customFormat="1" spans="33:33">
      <c r="AG6463" s="8"/>
    </row>
    <row r="6464" s="7" customFormat="1" spans="33:33">
      <c r="AG6464" s="8"/>
    </row>
    <row r="6465" s="7" customFormat="1" spans="33:33">
      <c r="AG6465" s="8"/>
    </row>
    <row r="6466" s="7" customFormat="1" spans="33:33">
      <c r="AG6466" s="8"/>
    </row>
    <row r="6467" s="7" customFormat="1" spans="33:33">
      <c r="AG6467" s="8"/>
    </row>
    <row r="6468" s="7" customFormat="1" spans="33:33">
      <c r="AG6468" s="8"/>
    </row>
    <row r="6469" s="7" customFormat="1" spans="33:33">
      <c r="AG6469" s="8"/>
    </row>
    <row r="6470" s="7" customFormat="1" spans="33:33">
      <c r="AG6470" s="8"/>
    </row>
    <row r="6471" s="7" customFormat="1" spans="33:33">
      <c r="AG6471" s="8"/>
    </row>
    <row r="6472" s="7" customFormat="1" spans="33:33">
      <c r="AG6472" s="8"/>
    </row>
    <row r="6473" s="7" customFormat="1" spans="33:33">
      <c r="AG6473" s="8"/>
    </row>
    <row r="6474" s="7" customFormat="1" spans="33:33">
      <c r="AG6474" s="8"/>
    </row>
    <row r="6475" s="7" customFormat="1" spans="33:33">
      <c r="AG6475" s="8"/>
    </row>
    <row r="6476" s="7" customFormat="1" spans="33:33">
      <c r="AG6476" s="8"/>
    </row>
    <row r="6477" s="7" customFormat="1" spans="33:33">
      <c r="AG6477" s="8"/>
    </row>
    <row r="6478" s="7" customFormat="1" spans="33:33">
      <c r="AG6478" s="8"/>
    </row>
    <row r="6479" s="7" customFormat="1" spans="33:33">
      <c r="AG6479" s="8"/>
    </row>
    <row r="6480" s="7" customFormat="1" spans="33:33">
      <c r="AG6480" s="8"/>
    </row>
    <row r="6481" s="7" customFormat="1" spans="33:33">
      <c r="AG6481" s="8"/>
    </row>
    <row r="6482" s="7" customFormat="1" spans="33:33">
      <c r="AG6482" s="8"/>
    </row>
    <row r="6483" s="7" customFormat="1" spans="33:33">
      <c r="AG6483" s="8"/>
    </row>
    <row r="6484" s="7" customFormat="1" spans="33:33">
      <c r="AG6484" s="8"/>
    </row>
    <row r="6485" s="7" customFormat="1" spans="33:33">
      <c r="AG6485" s="8"/>
    </row>
    <row r="6486" s="7" customFormat="1" spans="33:33">
      <c r="AG6486" s="8"/>
    </row>
    <row r="6487" s="7" customFormat="1" spans="33:33">
      <c r="AG6487" s="8"/>
    </row>
    <row r="6488" s="7" customFormat="1" spans="33:33">
      <c r="AG6488" s="8"/>
    </row>
    <row r="6489" s="7" customFormat="1" spans="33:33">
      <c r="AG6489" s="8"/>
    </row>
    <row r="6490" s="7" customFormat="1" spans="33:33">
      <c r="AG6490" s="8"/>
    </row>
    <row r="6491" s="7" customFormat="1" spans="33:33">
      <c r="AG6491" s="8"/>
    </row>
    <row r="6492" s="7" customFormat="1" spans="33:33">
      <c r="AG6492" s="8"/>
    </row>
    <row r="6493" s="7" customFormat="1" spans="33:33">
      <c r="AG6493" s="8"/>
    </row>
    <row r="6494" s="7" customFormat="1" spans="33:33">
      <c r="AG6494" s="8"/>
    </row>
    <row r="6495" s="7" customFormat="1" spans="33:33">
      <c r="AG6495" s="8"/>
    </row>
    <row r="6496" s="7" customFormat="1" spans="33:33">
      <c r="AG6496" s="8"/>
    </row>
    <row r="6497" s="7" customFormat="1" spans="33:33">
      <c r="AG6497" s="8"/>
    </row>
    <row r="6498" s="7" customFormat="1" spans="33:33">
      <c r="AG6498" s="8"/>
    </row>
    <row r="6499" s="7" customFormat="1" spans="33:33">
      <c r="AG6499" s="8"/>
    </row>
    <row r="6500" s="7" customFormat="1" spans="33:33">
      <c r="AG6500" s="8"/>
    </row>
    <row r="6501" s="7" customFormat="1" spans="33:33">
      <c r="AG6501" s="8"/>
    </row>
    <row r="6502" s="7" customFormat="1" spans="33:33">
      <c r="AG6502" s="8"/>
    </row>
    <row r="6503" s="7" customFormat="1" spans="33:33">
      <c r="AG6503" s="8"/>
    </row>
    <row r="6504" s="7" customFormat="1" spans="33:33">
      <c r="AG6504" s="8"/>
    </row>
    <row r="6505" s="7" customFormat="1" spans="33:33">
      <c r="AG6505" s="8"/>
    </row>
    <row r="6506" s="7" customFormat="1" spans="33:33">
      <c r="AG6506" s="8"/>
    </row>
    <row r="6507" s="7" customFormat="1" spans="33:33">
      <c r="AG6507" s="8"/>
    </row>
    <row r="6508" s="7" customFormat="1" spans="33:33">
      <c r="AG6508" s="8"/>
    </row>
    <row r="6509" s="7" customFormat="1" spans="33:33">
      <c r="AG6509" s="8"/>
    </row>
    <row r="6510" s="7" customFormat="1" spans="33:33">
      <c r="AG6510" s="8"/>
    </row>
    <row r="6511" s="7" customFormat="1" spans="33:33">
      <c r="AG6511" s="8"/>
    </row>
    <row r="6512" s="7" customFormat="1" spans="33:33">
      <c r="AG6512" s="8"/>
    </row>
    <row r="6513" s="7" customFormat="1" spans="33:33">
      <c r="AG6513" s="8"/>
    </row>
    <row r="6514" s="7" customFormat="1" spans="33:33">
      <c r="AG6514" s="8"/>
    </row>
    <row r="6515" s="7" customFormat="1" spans="33:33">
      <c r="AG6515" s="8"/>
    </row>
    <row r="6516" s="7" customFormat="1" spans="33:33">
      <c r="AG6516" s="8"/>
    </row>
    <row r="6517" s="7" customFormat="1" spans="33:33">
      <c r="AG6517" s="8"/>
    </row>
    <row r="6518" s="7" customFormat="1" spans="33:33">
      <c r="AG6518" s="8"/>
    </row>
    <row r="6519" s="7" customFormat="1" spans="33:33">
      <c r="AG6519" s="8"/>
    </row>
    <row r="6520" s="7" customFormat="1" spans="33:33">
      <c r="AG6520" s="8"/>
    </row>
    <row r="6521" s="7" customFormat="1" spans="33:33">
      <c r="AG6521" s="8"/>
    </row>
    <row r="6522" s="7" customFormat="1" spans="33:33">
      <c r="AG6522" s="8"/>
    </row>
    <row r="6523" s="7" customFormat="1" spans="33:33">
      <c r="AG6523" s="8"/>
    </row>
    <row r="6524" s="7" customFormat="1" spans="33:33">
      <c r="AG6524" s="8"/>
    </row>
    <row r="6525" s="7" customFormat="1" spans="33:33">
      <c r="AG6525" s="8"/>
    </row>
    <row r="6526" s="7" customFormat="1" spans="33:33">
      <c r="AG6526" s="8"/>
    </row>
    <row r="6527" s="7" customFormat="1" spans="33:33">
      <c r="AG6527" s="8"/>
    </row>
    <row r="6528" s="7" customFormat="1" spans="33:33">
      <c r="AG6528" s="8"/>
    </row>
    <row r="6529" s="7" customFormat="1" spans="33:33">
      <c r="AG6529" s="8"/>
    </row>
    <row r="6530" s="7" customFormat="1" spans="33:33">
      <c r="AG6530" s="8"/>
    </row>
    <row r="6531" s="7" customFormat="1" spans="33:33">
      <c r="AG6531" s="8"/>
    </row>
    <row r="6532" s="7" customFormat="1" spans="33:33">
      <c r="AG6532" s="8"/>
    </row>
    <row r="6533" s="7" customFormat="1" spans="33:33">
      <c r="AG6533" s="8"/>
    </row>
    <row r="6534" s="7" customFormat="1" spans="33:33">
      <c r="AG6534" s="8"/>
    </row>
    <row r="6535" s="7" customFormat="1" spans="33:33">
      <c r="AG6535" s="8"/>
    </row>
    <row r="6536" s="7" customFormat="1" spans="33:33">
      <c r="AG6536" s="8"/>
    </row>
    <row r="6537" s="7" customFormat="1" spans="33:33">
      <c r="AG6537" s="8"/>
    </row>
    <row r="6538" s="7" customFormat="1" spans="33:33">
      <c r="AG6538" s="8"/>
    </row>
    <row r="6539" s="7" customFormat="1" spans="33:33">
      <c r="AG6539" s="8"/>
    </row>
    <row r="6540" s="7" customFormat="1" spans="33:33">
      <c r="AG6540" s="8"/>
    </row>
    <row r="6541" s="7" customFormat="1" spans="33:33">
      <c r="AG6541" s="8"/>
    </row>
    <row r="6542" s="7" customFormat="1" spans="33:33">
      <c r="AG6542" s="8"/>
    </row>
    <row r="6543" s="7" customFormat="1" spans="33:33">
      <c r="AG6543" s="8"/>
    </row>
    <row r="6544" s="7" customFormat="1" spans="33:33">
      <c r="AG6544" s="8"/>
    </row>
    <row r="6545" s="7" customFormat="1" spans="33:33">
      <c r="AG6545" s="8"/>
    </row>
    <row r="6546" s="7" customFormat="1" spans="33:33">
      <c r="AG6546" s="8"/>
    </row>
    <row r="6547" s="7" customFormat="1" spans="33:33">
      <c r="AG6547" s="8"/>
    </row>
    <row r="6548" s="7" customFormat="1" spans="33:33">
      <c r="AG6548" s="8"/>
    </row>
    <row r="6549" s="7" customFormat="1" spans="33:33">
      <c r="AG6549" s="8"/>
    </row>
    <row r="6550" s="7" customFormat="1" spans="33:33">
      <c r="AG6550" s="8"/>
    </row>
    <row r="6551" s="7" customFormat="1" spans="33:33">
      <c r="AG6551" s="8"/>
    </row>
    <row r="6552" s="7" customFormat="1" spans="33:33">
      <c r="AG6552" s="8"/>
    </row>
    <row r="6553" s="7" customFormat="1" spans="33:33">
      <c r="AG6553" s="8"/>
    </row>
    <row r="6554" s="7" customFormat="1" spans="33:33">
      <c r="AG6554" s="8"/>
    </row>
    <row r="6555" s="7" customFormat="1" spans="33:33">
      <c r="AG6555" s="8"/>
    </row>
    <row r="6556" s="7" customFormat="1" spans="33:33">
      <c r="AG6556" s="8"/>
    </row>
    <row r="6557" s="7" customFormat="1" spans="33:33">
      <c r="AG6557" s="8"/>
    </row>
    <row r="6558" s="7" customFormat="1" spans="33:33">
      <c r="AG6558" s="8"/>
    </row>
    <row r="6559" s="7" customFormat="1" spans="33:33">
      <c r="AG6559" s="8"/>
    </row>
    <row r="6560" s="7" customFormat="1" spans="33:33">
      <c r="AG6560" s="8"/>
    </row>
    <row r="6561" s="7" customFormat="1" spans="33:33">
      <c r="AG6561" s="8"/>
    </row>
    <row r="6562" s="7" customFormat="1" spans="33:33">
      <c r="AG6562" s="8"/>
    </row>
    <row r="6563" s="7" customFormat="1" spans="33:33">
      <c r="AG6563" s="8"/>
    </row>
    <row r="6564" s="7" customFormat="1" spans="33:33">
      <c r="AG6564" s="8"/>
    </row>
    <row r="6565" s="7" customFormat="1" spans="33:33">
      <c r="AG6565" s="8"/>
    </row>
    <row r="6566" s="7" customFormat="1" spans="33:33">
      <c r="AG6566" s="8"/>
    </row>
    <row r="6567" s="7" customFormat="1" spans="33:33">
      <c r="AG6567" s="8"/>
    </row>
    <row r="6568" s="7" customFormat="1" spans="33:33">
      <c r="AG6568" s="8"/>
    </row>
    <row r="6569" s="7" customFormat="1" spans="33:33">
      <c r="AG6569" s="8"/>
    </row>
    <row r="6570" s="7" customFormat="1" spans="33:33">
      <c r="AG6570" s="8"/>
    </row>
    <row r="6571" s="7" customFormat="1" spans="33:33">
      <c r="AG6571" s="8"/>
    </row>
    <row r="6572" s="7" customFormat="1" spans="33:33">
      <c r="AG6572" s="8"/>
    </row>
    <row r="6573" s="7" customFormat="1" spans="33:33">
      <c r="AG6573" s="8"/>
    </row>
    <row r="6574" s="7" customFormat="1" spans="33:33">
      <c r="AG6574" s="8"/>
    </row>
    <row r="6575" s="7" customFormat="1" spans="33:33">
      <c r="AG6575" s="8"/>
    </row>
    <row r="6576" s="7" customFormat="1" spans="33:33">
      <c r="AG6576" s="8"/>
    </row>
    <row r="6577" s="7" customFormat="1" spans="33:33">
      <c r="AG6577" s="8"/>
    </row>
    <row r="6578" s="7" customFormat="1" spans="33:33">
      <c r="AG6578" s="8"/>
    </row>
    <row r="6579" s="7" customFormat="1" spans="33:33">
      <c r="AG6579" s="8"/>
    </row>
    <row r="6580" s="7" customFormat="1" spans="33:33">
      <c r="AG6580" s="8"/>
    </row>
    <row r="6581" s="7" customFormat="1" spans="33:33">
      <c r="AG6581" s="8"/>
    </row>
    <row r="6582" s="7" customFormat="1" spans="33:33">
      <c r="AG6582" s="8"/>
    </row>
    <row r="6583" s="7" customFormat="1" spans="33:33">
      <c r="AG6583" s="8"/>
    </row>
    <row r="6584" s="7" customFormat="1" spans="33:33">
      <c r="AG6584" s="8"/>
    </row>
    <row r="6585" s="7" customFormat="1" spans="33:33">
      <c r="AG6585" s="8"/>
    </row>
    <row r="6586" s="7" customFormat="1" spans="33:33">
      <c r="AG6586" s="8"/>
    </row>
    <row r="6587" s="7" customFormat="1" spans="33:33">
      <c r="AG6587" s="8"/>
    </row>
    <row r="6588" s="7" customFormat="1" spans="33:33">
      <c r="AG6588" s="8"/>
    </row>
    <row r="6589" s="7" customFormat="1" spans="33:33">
      <c r="AG6589" s="8"/>
    </row>
    <row r="6590" s="7" customFormat="1" spans="33:33">
      <c r="AG6590" s="8"/>
    </row>
    <row r="6591" s="7" customFormat="1" spans="33:33">
      <c r="AG6591" s="8"/>
    </row>
    <row r="6592" s="7" customFormat="1" spans="33:33">
      <c r="AG6592" s="8"/>
    </row>
    <row r="6593" s="7" customFormat="1" spans="33:33">
      <c r="AG6593" s="8"/>
    </row>
    <row r="6594" s="7" customFormat="1" spans="33:33">
      <c r="AG6594" s="8"/>
    </row>
    <row r="6595" s="7" customFormat="1" spans="33:33">
      <c r="AG6595" s="8"/>
    </row>
    <row r="6596" s="7" customFormat="1" spans="33:33">
      <c r="AG6596" s="8"/>
    </row>
    <row r="6597" s="7" customFormat="1" spans="33:33">
      <c r="AG6597" s="8"/>
    </row>
    <row r="6598" s="7" customFormat="1" spans="33:33">
      <c r="AG6598" s="8"/>
    </row>
    <row r="6599" s="7" customFormat="1" spans="33:33">
      <c r="AG6599" s="8"/>
    </row>
    <row r="6600" s="7" customFormat="1" spans="33:33">
      <c r="AG6600" s="8"/>
    </row>
    <row r="6601" s="7" customFormat="1" spans="33:33">
      <c r="AG6601" s="8"/>
    </row>
    <row r="6602" s="7" customFormat="1" spans="33:33">
      <c r="AG6602" s="8"/>
    </row>
    <row r="6603" s="7" customFormat="1" spans="33:33">
      <c r="AG6603" s="8"/>
    </row>
    <row r="6604" s="7" customFormat="1" spans="33:33">
      <c r="AG6604" s="8"/>
    </row>
    <row r="6605" s="7" customFormat="1" spans="33:33">
      <c r="AG6605" s="8"/>
    </row>
    <row r="6606" s="7" customFormat="1" spans="33:33">
      <c r="AG6606" s="8"/>
    </row>
    <row r="6607" s="7" customFormat="1" spans="33:33">
      <c r="AG6607" s="8"/>
    </row>
    <row r="6608" s="7" customFormat="1" spans="33:33">
      <c r="AG6608" s="8"/>
    </row>
    <row r="6609" s="7" customFormat="1" spans="33:33">
      <c r="AG6609" s="8"/>
    </row>
    <row r="6610" s="7" customFormat="1" spans="33:33">
      <c r="AG6610" s="8"/>
    </row>
    <row r="6611" s="7" customFormat="1" spans="33:33">
      <c r="AG6611" s="8"/>
    </row>
    <row r="6612" s="7" customFormat="1" spans="33:33">
      <c r="AG6612" s="8"/>
    </row>
    <row r="6613" s="7" customFormat="1" spans="33:33">
      <c r="AG6613" s="8"/>
    </row>
    <row r="6614" s="7" customFormat="1" spans="33:33">
      <c r="AG6614" s="8"/>
    </row>
    <row r="6615" s="7" customFormat="1" spans="33:33">
      <c r="AG6615" s="8"/>
    </row>
    <row r="6616" s="7" customFormat="1" spans="33:33">
      <c r="AG6616" s="8"/>
    </row>
    <row r="6617" s="7" customFormat="1" spans="33:33">
      <c r="AG6617" s="8"/>
    </row>
    <row r="6618" s="7" customFormat="1" spans="33:33">
      <c r="AG6618" s="8"/>
    </row>
    <row r="6619" s="7" customFormat="1" spans="33:33">
      <c r="AG6619" s="8"/>
    </row>
    <row r="6620" s="7" customFormat="1" spans="33:33">
      <c r="AG6620" s="8"/>
    </row>
    <row r="6621" s="7" customFormat="1" spans="33:33">
      <c r="AG6621" s="8"/>
    </row>
    <row r="6622" s="7" customFormat="1" spans="33:33">
      <c r="AG6622" s="8"/>
    </row>
    <row r="6623" s="7" customFormat="1" spans="33:33">
      <c r="AG6623" s="8"/>
    </row>
    <row r="6624" s="7" customFormat="1" spans="33:33">
      <c r="AG6624" s="8"/>
    </row>
    <row r="6625" s="7" customFormat="1" spans="33:33">
      <c r="AG6625" s="8"/>
    </row>
    <row r="6626" s="7" customFormat="1" spans="33:33">
      <c r="AG6626" s="8"/>
    </row>
    <row r="6627" s="7" customFormat="1" spans="33:33">
      <c r="AG6627" s="8"/>
    </row>
    <row r="6628" s="7" customFormat="1" spans="33:33">
      <c r="AG6628" s="8"/>
    </row>
    <row r="6629" s="7" customFormat="1" spans="33:33">
      <c r="AG6629" s="8"/>
    </row>
    <row r="6630" s="7" customFormat="1" spans="33:33">
      <c r="AG6630" s="8"/>
    </row>
    <row r="6631" s="7" customFormat="1" spans="33:33">
      <c r="AG6631" s="8"/>
    </row>
    <row r="6632" s="7" customFormat="1" spans="33:33">
      <c r="AG6632" s="8"/>
    </row>
    <row r="6633" s="7" customFormat="1" spans="33:33">
      <c r="AG6633" s="8"/>
    </row>
    <row r="6634" s="7" customFormat="1" spans="33:33">
      <c r="AG6634" s="8"/>
    </row>
    <row r="6635" s="7" customFormat="1" spans="33:33">
      <c r="AG6635" s="8"/>
    </row>
    <row r="6636" s="7" customFormat="1" spans="33:33">
      <c r="AG6636" s="8"/>
    </row>
    <row r="6637" s="7" customFormat="1" spans="33:33">
      <c r="AG6637" s="8"/>
    </row>
    <row r="6638" s="7" customFormat="1" spans="33:33">
      <c r="AG6638" s="8"/>
    </row>
    <row r="6639" s="7" customFormat="1" spans="33:33">
      <c r="AG6639" s="8"/>
    </row>
    <row r="6640" s="7" customFormat="1" spans="33:33">
      <c r="AG6640" s="8"/>
    </row>
    <row r="6641" s="7" customFormat="1" spans="33:33">
      <c r="AG6641" s="8"/>
    </row>
    <row r="6642" s="7" customFormat="1" spans="33:33">
      <c r="AG6642" s="8"/>
    </row>
    <row r="6643" s="7" customFormat="1" spans="33:33">
      <c r="AG6643" s="8"/>
    </row>
    <row r="6644" s="7" customFormat="1" spans="33:33">
      <c r="AG6644" s="8"/>
    </row>
    <row r="6645" s="7" customFormat="1" spans="33:33">
      <c r="AG6645" s="8"/>
    </row>
    <row r="6646" s="7" customFormat="1" spans="33:33">
      <c r="AG6646" s="8"/>
    </row>
    <row r="6647" s="7" customFormat="1" spans="33:33">
      <c r="AG6647" s="8"/>
    </row>
    <row r="6648" s="7" customFormat="1" spans="33:33">
      <c r="AG6648" s="8"/>
    </row>
    <row r="6649" s="7" customFormat="1" spans="33:33">
      <c r="AG6649" s="8"/>
    </row>
    <row r="6650" s="7" customFormat="1" spans="33:33">
      <c r="AG6650" s="8"/>
    </row>
    <row r="6651" s="7" customFormat="1" spans="33:33">
      <c r="AG6651" s="8"/>
    </row>
    <row r="6652" s="7" customFormat="1" spans="33:33">
      <c r="AG6652" s="8"/>
    </row>
    <row r="6653" s="7" customFormat="1" spans="33:33">
      <c r="AG6653" s="8"/>
    </row>
    <row r="6654" s="7" customFormat="1" spans="33:33">
      <c r="AG6654" s="8"/>
    </row>
    <row r="6655" s="7" customFormat="1" spans="33:33">
      <c r="AG6655" s="8"/>
    </row>
    <row r="6656" s="7" customFormat="1" spans="33:33">
      <c r="AG6656" s="8"/>
    </row>
    <row r="6657" s="7" customFormat="1" spans="33:33">
      <c r="AG6657" s="8"/>
    </row>
    <row r="6658" s="7" customFormat="1" spans="33:33">
      <c r="AG6658" s="8"/>
    </row>
    <row r="6659" s="7" customFormat="1" spans="33:33">
      <c r="AG6659" s="8"/>
    </row>
    <row r="6660" s="7" customFormat="1" spans="33:33">
      <c r="AG6660" s="8"/>
    </row>
    <row r="6661" s="7" customFormat="1" spans="33:33">
      <c r="AG6661" s="8"/>
    </row>
    <row r="6662" s="7" customFormat="1" spans="33:33">
      <c r="AG6662" s="8"/>
    </row>
    <row r="6663" s="7" customFormat="1" spans="33:33">
      <c r="AG6663" s="8"/>
    </row>
    <row r="6664" s="7" customFormat="1" spans="33:33">
      <c r="AG6664" s="8"/>
    </row>
    <row r="6665" s="7" customFormat="1" spans="33:33">
      <c r="AG6665" s="8"/>
    </row>
    <row r="6666" s="7" customFormat="1" spans="33:33">
      <c r="AG6666" s="8"/>
    </row>
    <row r="6667" s="7" customFormat="1" spans="33:33">
      <c r="AG6667" s="8"/>
    </row>
    <row r="6668" s="7" customFormat="1" spans="33:33">
      <c r="AG6668" s="8"/>
    </row>
    <row r="6669" s="7" customFormat="1" spans="33:33">
      <c r="AG6669" s="8"/>
    </row>
    <row r="6670" s="7" customFormat="1" spans="33:33">
      <c r="AG6670" s="8"/>
    </row>
    <row r="6671" s="7" customFormat="1" spans="33:33">
      <c r="AG6671" s="8"/>
    </row>
    <row r="6672" s="7" customFormat="1" spans="33:33">
      <c r="AG6672" s="8"/>
    </row>
    <row r="6673" s="7" customFormat="1" spans="33:33">
      <c r="AG6673" s="8"/>
    </row>
    <row r="6674" s="7" customFormat="1" spans="33:33">
      <c r="AG6674" s="8"/>
    </row>
    <row r="6675" s="7" customFormat="1" spans="33:33">
      <c r="AG6675" s="8"/>
    </row>
    <row r="6676" s="7" customFormat="1" spans="33:33">
      <c r="AG6676" s="8"/>
    </row>
    <row r="6677" s="7" customFormat="1" spans="33:33">
      <c r="AG6677" s="8"/>
    </row>
    <row r="6678" s="7" customFormat="1" spans="33:33">
      <c r="AG6678" s="8"/>
    </row>
    <row r="6679" s="7" customFormat="1" spans="33:33">
      <c r="AG6679" s="8"/>
    </row>
    <row r="6680" s="7" customFormat="1" spans="33:33">
      <c r="AG6680" s="8"/>
    </row>
    <row r="6681" s="7" customFormat="1" spans="33:33">
      <c r="AG6681" s="8"/>
    </row>
    <row r="6682" s="7" customFormat="1" spans="33:33">
      <c r="AG6682" s="8"/>
    </row>
    <row r="6683" s="7" customFormat="1" spans="33:33">
      <c r="AG6683" s="8"/>
    </row>
    <row r="6684" s="7" customFormat="1" spans="33:33">
      <c r="AG6684" s="8"/>
    </row>
    <row r="6685" s="7" customFormat="1" spans="33:33">
      <c r="AG6685" s="8"/>
    </row>
    <row r="6686" s="7" customFormat="1" spans="33:33">
      <c r="AG6686" s="8"/>
    </row>
    <row r="6687" s="7" customFormat="1" spans="33:33">
      <c r="AG6687" s="8"/>
    </row>
    <row r="6688" s="7" customFormat="1" spans="33:33">
      <c r="AG6688" s="8"/>
    </row>
    <row r="6689" s="7" customFormat="1" spans="33:33">
      <c r="AG6689" s="8"/>
    </row>
    <row r="6690" s="7" customFormat="1" spans="33:33">
      <c r="AG6690" s="8"/>
    </row>
    <row r="6691" s="7" customFormat="1" spans="33:33">
      <c r="AG6691" s="8"/>
    </row>
    <row r="6692" s="7" customFormat="1" spans="33:33">
      <c r="AG6692" s="8"/>
    </row>
    <row r="6693" s="7" customFormat="1" spans="33:33">
      <c r="AG6693" s="8"/>
    </row>
    <row r="6694" s="7" customFormat="1" spans="33:33">
      <c r="AG6694" s="8"/>
    </row>
    <row r="6695" s="7" customFormat="1" spans="33:33">
      <c r="AG6695" s="8"/>
    </row>
    <row r="6696" s="7" customFormat="1" spans="33:33">
      <c r="AG6696" s="8"/>
    </row>
    <row r="6697" s="7" customFormat="1" spans="33:33">
      <c r="AG6697" s="8"/>
    </row>
    <row r="6698" s="7" customFormat="1" spans="33:33">
      <c r="AG6698" s="8"/>
    </row>
    <row r="6699" s="7" customFormat="1" spans="33:33">
      <c r="AG6699" s="8"/>
    </row>
    <row r="6700" s="7" customFormat="1" spans="33:33">
      <c r="AG6700" s="8"/>
    </row>
    <row r="6701" s="7" customFormat="1" spans="33:33">
      <c r="AG6701" s="8"/>
    </row>
    <row r="6702" s="7" customFormat="1" spans="33:33">
      <c r="AG6702" s="8"/>
    </row>
    <row r="6703" s="7" customFormat="1" spans="33:33">
      <c r="AG6703" s="8"/>
    </row>
    <row r="6704" s="7" customFormat="1" spans="33:33">
      <c r="AG6704" s="8"/>
    </row>
    <row r="6705" s="7" customFormat="1" spans="33:33">
      <c r="AG6705" s="8"/>
    </row>
    <row r="6706" s="7" customFormat="1" spans="33:33">
      <c r="AG6706" s="8"/>
    </row>
    <row r="6707" s="7" customFormat="1" spans="33:33">
      <c r="AG6707" s="8"/>
    </row>
    <row r="6708" s="7" customFormat="1" spans="33:33">
      <c r="AG6708" s="8"/>
    </row>
    <row r="6709" s="7" customFormat="1" spans="33:33">
      <c r="AG6709" s="8"/>
    </row>
    <row r="6710" s="7" customFormat="1" spans="33:33">
      <c r="AG6710" s="8"/>
    </row>
    <row r="6711" s="7" customFormat="1" spans="33:33">
      <c r="AG6711" s="8"/>
    </row>
    <row r="6712" s="7" customFormat="1" spans="33:33">
      <c r="AG6712" s="8"/>
    </row>
    <row r="6713" s="7" customFormat="1" spans="33:33">
      <c r="AG6713" s="8"/>
    </row>
    <row r="6714" s="7" customFormat="1" spans="33:33">
      <c r="AG6714" s="8"/>
    </row>
    <row r="6715" s="7" customFormat="1" spans="33:33">
      <c r="AG6715" s="8"/>
    </row>
    <row r="6716" s="7" customFormat="1" spans="33:33">
      <c r="AG6716" s="8"/>
    </row>
    <row r="6717" s="7" customFormat="1" spans="33:33">
      <c r="AG6717" s="8"/>
    </row>
    <row r="6718" s="7" customFormat="1" spans="33:33">
      <c r="AG6718" s="8"/>
    </row>
    <row r="6719" s="7" customFormat="1" spans="33:33">
      <c r="AG6719" s="8"/>
    </row>
    <row r="6720" s="7" customFormat="1" spans="33:33">
      <c r="AG6720" s="8"/>
    </row>
    <row r="6721" s="7" customFormat="1" spans="33:33">
      <c r="AG6721" s="8"/>
    </row>
    <row r="6722" s="7" customFormat="1" spans="33:33">
      <c r="AG6722" s="8"/>
    </row>
    <row r="6723" s="7" customFormat="1" spans="33:33">
      <c r="AG6723" s="8"/>
    </row>
    <row r="6724" s="7" customFormat="1" spans="33:33">
      <c r="AG6724" s="8"/>
    </row>
    <row r="6725" s="7" customFormat="1" spans="33:33">
      <c r="AG6725" s="8"/>
    </row>
    <row r="6726" s="7" customFormat="1" spans="33:33">
      <c r="AG6726" s="8"/>
    </row>
    <row r="6727" s="7" customFormat="1" spans="33:33">
      <c r="AG6727" s="8"/>
    </row>
    <row r="6728" s="7" customFormat="1" spans="33:33">
      <c r="AG6728" s="8"/>
    </row>
    <row r="6729" s="7" customFormat="1" spans="33:33">
      <c r="AG6729" s="8"/>
    </row>
    <row r="6730" s="7" customFormat="1" spans="33:33">
      <c r="AG6730" s="8"/>
    </row>
    <row r="6731" s="7" customFormat="1" spans="33:33">
      <c r="AG6731" s="8"/>
    </row>
    <row r="6732" s="7" customFormat="1" spans="33:33">
      <c r="AG6732" s="8"/>
    </row>
    <row r="6733" s="7" customFormat="1" spans="33:33">
      <c r="AG6733" s="8"/>
    </row>
    <row r="6734" s="7" customFormat="1" spans="33:33">
      <c r="AG6734" s="8"/>
    </row>
    <row r="6735" s="7" customFormat="1" spans="33:33">
      <c r="AG6735" s="8"/>
    </row>
    <row r="6736" s="7" customFormat="1" spans="33:33">
      <c r="AG6736" s="8"/>
    </row>
    <row r="6737" s="7" customFormat="1" spans="33:33">
      <c r="AG6737" s="8"/>
    </row>
    <row r="6738" s="7" customFormat="1" spans="33:33">
      <c r="AG6738" s="8"/>
    </row>
    <row r="6739" s="7" customFormat="1" spans="33:33">
      <c r="AG6739" s="8"/>
    </row>
    <row r="6740" s="7" customFormat="1" spans="33:33">
      <c r="AG6740" s="8"/>
    </row>
    <row r="6741" s="7" customFormat="1" spans="33:33">
      <c r="AG6741" s="8"/>
    </row>
    <row r="6742" s="7" customFormat="1" spans="33:33">
      <c r="AG6742" s="8"/>
    </row>
    <row r="6743" s="7" customFormat="1" spans="33:33">
      <c r="AG6743" s="8"/>
    </row>
    <row r="6744" s="7" customFormat="1" spans="33:33">
      <c r="AG6744" s="8"/>
    </row>
    <row r="6745" s="7" customFormat="1" spans="33:33">
      <c r="AG6745" s="8"/>
    </row>
    <row r="6746" s="7" customFormat="1" spans="33:33">
      <c r="AG6746" s="8"/>
    </row>
    <row r="6747" s="7" customFormat="1" spans="33:33">
      <c r="AG6747" s="8"/>
    </row>
    <row r="6748" s="7" customFormat="1" spans="33:33">
      <c r="AG6748" s="8"/>
    </row>
    <row r="6749" s="7" customFormat="1" spans="33:33">
      <c r="AG6749" s="8"/>
    </row>
    <row r="6750" s="7" customFormat="1" spans="33:33">
      <c r="AG6750" s="8"/>
    </row>
    <row r="6751" s="7" customFormat="1" spans="33:33">
      <c r="AG6751" s="8"/>
    </row>
    <row r="6752" s="7" customFormat="1" spans="33:33">
      <c r="AG6752" s="8"/>
    </row>
    <row r="6753" s="7" customFormat="1" spans="33:33">
      <c r="AG6753" s="8"/>
    </row>
    <row r="6754" s="7" customFormat="1" spans="33:33">
      <c r="AG6754" s="8"/>
    </row>
    <row r="6755" s="7" customFormat="1" spans="33:33">
      <c r="AG6755" s="8"/>
    </row>
    <row r="6756" s="7" customFormat="1" spans="33:33">
      <c r="AG6756" s="8"/>
    </row>
    <row r="6757" s="7" customFormat="1" spans="33:33">
      <c r="AG6757" s="8"/>
    </row>
    <row r="6758" s="7" customFormat="1" spans="33:33">
      <c r="AG6758" s="8"/>
    </row>
    <row r="6759" s="7" customFormat="1" spans="33:33">
      <c r="AG6759" s="8"/>
    </row>
    <row r="6760" s="7" customFormat="1" spans="33:33">
      <c r="AG6760" s="8"/>
    </row>
    <row r="6761" s="7" customFormat="1" spans="33:33">
      <c r="AG6761" s="8"/>
    </row>
    <row r="6762" s="7" customFormat="1" spans="33:33">
      <c r="AG6762" s="8"/>
    </row>
    <row r="6763" s="7" customFormat="1" spans="33:33">
      <c r="AG6763" s="8"/>
    </row>
    <row r="6764" s="7" customFormat="1" spans="33:33">
      <c r="AG6764" s="8"/>
    </row>
    <row r="6765" s="7" customFormat="1" spans="33:33">
      <c r="AG6765" s="8"/>
    </row>
    <row r="6766" s="7" customFormat="1" spans="33:33">
      <c r="AG6766" s="8"/>
    </row>
    <row r="6767" s="7" customFormat="1" spans="33:33">
      <c r="AG6767" s="8"/>
    </row>
    <row r="6768" s="7" customFormat="1" spans="33:33">
      <c r="AG6768" s="8"/>
    </row>
    <row r="6769" s="7" customFormat="1" spans="33:33">
      <c r="AG6769" s="8"/>
    </row>
    <row r="6770" s="7" customFormat="1" spans="33:33">
      <c r="AG6770" s="8"/>
    </row>
    <row r="6771" s="7" customFormat="1" spans="33:33">
      <c r="AG6771" s="8"/>
    </row>
    <row r="6772" s="7" customFormat="1" spans="33:33">
      <c r="AG6772" s="8"/>
    </row>
    <row r="6773" s="7" customFormat="1" spans="33:33">
      <c r="AG6773" s="8"/>
    </row>
    <row r="6774" s="7" customFormat="1" spans="33:33">
      <c r="AG6774" s="8"/>
    </row>
    <row r="6775" s="7" customFormat="1" spans="33:33">
      <c r="AG6775" s="8"/>
    </row>
    <row r="6776" s="7" customFormat="1" spans="33:33">
      <c r="AG6776" s="8"/>
    </row>
    <row r="6777" s="7" customFormat="1" spans="33:33">
      <c r="AG6777" s="8"/>
    </row>
    <row r="6778" s="7" customFormat="1" spans="33:33">
      <c r="AG6778" s="8"/>
    </row>
    <row r="6779" s="7" customFormat="1" spans="33:33">
      <c r="AG6779" s="8"/>
    </row>
    <row r="6780" s="7" customFormat="1" spans="33:33">
      <c r="AG6780" s="8"/>
    </row>
    <row r="6781" s="7" customFormat="1" spans="33:33">
      <c r="AG6781" s="8"/>
    </row>
    <row r="6782" s="7" customFormat="1" spans="33:33">
      <c r="AG6782" s="8"/>
    </row>
    <row r="6783" s="7" customFormat="1" spans="33:33">
      <c r="AG6783" s="8"/>
    </row>
    <row r="6784" s="7" customFormat="1" spans="33:33">
      <c r="AG6784" s="8"/>
    </row>
    <row r="6785" s="7" customFormat="1" spans="33:33">
      <c r="AG6785" s="8"/>
    </row>
    <row r="6786" s="7" customFormat="1" spans="33:33">
      <c r="AG6786" s="8"/>
    </row>
    <row r="6787" s="7" customFormat="1" spans="33:33">
      <c r="AG6787" s="8"/>
    </row>
    <row r="6788" s="7" customFormat="1" spans="33:33">
      <c r="AG6788" s="8"/>
    </row>
    <row r="6789" s="7" customFormat="1" spans="33:33">
      <c r="AG6789" s="8"/>
    </row>
    <row r="6790" s="7" customFormat="1" spans="33:33">
      <c r="AG6790" s="8"/>
    </row>
    <row r="6791" s="7" customFormat="1" spans="33:33">
      <c r="AG6791" s="8"/>
    </row>
    <row r="6792" s="7" customFormat="1" spans="33:33">
      <c r="AG6792" s="8"/>
    </row>
    <row r="6793" s="7" customFormat="1" spans="33:33">
      <c r="AG6793" s="8"/>
    </row>
    <row r="6794" s="7" customFormat="1" spans="33:33">
      <c r="AG6794" s="8"/>
    </row>
    <row r="6795" s="7" customFormat="1" spans="33:33">
      <c r="AG6795" s="8"/>
    </row>
    <row r="6796" s="7" customFormat="1" spans="33:33">
      <c r="AG6796" s="8"/>
    </row>
    <row r="6797" s="7" customFormat="1" spans="33:33">
      <c r="AG6797" s="8"/>
    </row>
    <row r="6798" s="7" customFormat="1" spans="33:33">
      <c r="AG6798" s="8"/>
    </row>
    <row r="6799" s="7" customFormat="1" spans="33:33">
      <c r="AG6799" s="8"/>
    </row>
    <row r="6800" s="7" customFormat="1" spans="33:33">
      <c r="AG6800" s="8"/>
    </row>
    <row r="6801" s="7" customFormat="1" spans="33:33">
      <c r="AG6801" s="8"/>
    </row>
    <row r="6802" s="7" customFormat="1" spans="33:33">
      <c r="AG6802" s="8"/>
    </row>
    <row r="6803" s="7" customFormat="1" spans="33:33">
      <c r="AG6803" s="8"/>
    </row>
    <row r="6804" s="7" customFormat="1" spans="33:33">
      <c r="AG6804" s="8"/>
    </row>
    <row r="6805" s="7" customFormat="1" spans="33:33">
      <c r="AG6805" s="8"/>
    </row>
    <row r="6806" s="7" customFormat="1" spans="33:33">
      <c r="AG6806" s="8"/>
    </row>
    <row r="6807" s="7" customFormat="1" spans="33:33">
      <c r="AG6807" s="8"/>
    </row>
    <row r="6808" s="7" customFormat="1" spans="33:33">
      <c r="AG6808" s="8"/>
    </row>
    <row r="6809" s="7" customFormat="1" spans="33:33">
      <c r="AG6809" s="8"/>
    </row>
    <row r="6810" s="7" customFormat="1" spans="33:33">
      <c r="AG6810" s="8"/>
    </row>
    <row r="6811" s="7" customFormat="1" spans="33:33">
      <c r="AG6811" s="8"/>
    </row>
    <row r="6812" s="7" customFormat="1" spans="33:33">
      <c r="AG6812" s="8"/>
    </row>
    <row r="6813" s="7" customFormat="1" spans="33:33">
      <c r="AG6813" s="8"/>
    </row>
    <row r="6814" s="7" customFormat="1" spans="33:33">
      <c r="AG6814" s="8"/>
    </row>
    <row r="6815" s="7" customFormat="1" spans="33:33">
      <c r="AG6815" s="8"/>
    </row>
    <row r="6816" s="7" customFormat="1" spans="33:33">
      <c r="AG6816" s="8"/>
    </row>
    <row r="6817" s="7" customFormat="1" spans="33:33">
      <c r="AG6817" s="8"/>
    </row>
    <row r="6818" s="7" customFormat="1" spans="33:33">
      <c r="AG6818" s="8"/>
    </row>
    <row r="6819" s="7" customFormat="1" spans="33:33">
      <c r="AG6819" s="8"/>
    </row>
    <row r="6820" s="7" customFormat="1" spans="33:33">
      <c r="AG6820" s="8"/>
    </row>
    <row r="6821" s="7" customFormat="1" spans="33:33">
      <c r="AG6821" s="8"/>
    </row>
    <row r="6822" s="7" customFormat="1" spans="33:33">
      <c r="AG6822" s="8"/>
    </row>
    <row r="6823" s="7" customFormat="1" spans="33:33">
      <c r="AG6823" s="8"/>
    </row>
    <row r="6824" s="7" customFormat="1" spans="33:33">
      <c r="AG6824" s="8"/>
    </row>
    <row r="6825" s="7" customFormat="1" spans="33:33">
      <c r="AG6825" s="8"/>
    </row>
    <row r="6826" s="7" customFormat="1" spans="33:33">
      <c r="AG6826" s="8"/>
    </row>
    <row r="6827" s="7" customFormat="1" spans="33:33">
      <c r="AG6827" s="8"/>
    </row>
    <row r="6828" s="7" customFormat="1" spans="33:33">
      <c r="AG6828" s="8"/>
    </row>
    <row r="6829" s="7" customFormat="1" spans="33:33">
      <c r="AG6829" s="8"/>
    </row>
    <row r="6830" s="7" customFormat="1" spans="33:33">
      <c r="AG6830" s="8"/>
    </row>
    <row r="6831" s="7" customFormat="1" spans="33:33">
      <c r="AG6831" s="8"/>
    </row>
    <row r="6832" s="7" customFormat="1" spans="33:33">
      <c r="AG6832" s="8"/>
    </row>
    <row r="6833" s="7" customFormat="1" spans="33:33">
      <c r="AG6833" s="8"/>
    </row>
    <row r="6834" s="7" customFormat="1" spans="33:33">
      <c r="AG6834" s="8"/>
    </row>
    <row r="6835" s="7" customFormat="1" spans="33:33">
      <c r="AG6835" s="8"/>
    </row>
    <row r="6836" s="7" customFormat="1" spans="33:33">
      <c r="AG6836" s="8"/>
    </row>
    <row r="6837" s="7" customFormat="1" spans="33:33">
      <c r="AG6837" s="8"/>
    </row>
    <row r="6838" s="7" customFormat="1" spans="33:33">
      <c r="AG6838" s="8"/>
    </row>
    <row r="6839" s="7" customFormat="1" spans="33:33">
      <c r="AG6839" s="8"/>
    </row>
    <row r="6840" s="7" customFormat="1" spans="33:33">
      <c r="AG6840" s="8"/>
    </row>
    <row r="6841" s="7" customFormat="1" spans="33:33">
      <c r="AG6841" s="8"/>
    </row>
    <row r="6842" s="7" customFormat="1" spans="33:33">
      <c r="AG6842" s="8"/>
    </row>
    <row r="6843" s="7" customFormat="1" spans="33:33">
      <c r="AG6843" s="8"/>
    </row>
    <row r="6844" s="7" customFormat="1" spans="33:33">
      <c r="AG6844" s="8"/>
    </row>
    <row r="6845" s="7" customFormat="1" spans="33:33">
      <c r="AG6845" s="8"/>
    </row>
    <row r="6846" s="7" customFormat="1" spans="33:33">
      <c r="AG6846" s="8"/>
    </row>
    <row r="6847" s="7" customFormat="1" spans="33:33">
      <c r="AG6847" s="8"/>
    </row>
    <row r="6848" s="7" customFormat="1" spans="33:33">
      <c r="AG6848" s="8"/>
    </row>
    <row r="6849" s="7" customFormat="1" spans="33:33">
      <c r="AG6849" s="8"/>
    </row>
    <row r="6850" s="7" customFormat="1" spans="33:33">
      <c r="AG6850" s="8"/>
    </row>
    <row r="6851" s="7" customFormat="1" spans="33:33">
      <c r="AG6851" s="8"/>
    </row>
    <row r="6852" s="7" customFormat="1" spans="33:33">
      <c r="AG6852" s="8"/>
    </row>
    <row r="6853" s="7" customFormat="1" spans="33:33">
      <c r="AG6853" s="8"/>
    </row>
    <row r="6854" s="7" customFormat="1" spans="33:33">
      <c r="AG6854" s="8"/>
    </row>
    <row r="6855" s="7" customFormat="1" spans="33:33">
      <c r="AG6855" s="8"/>
    </row>
    <row r="6856" s="7" customFormat="1" spans="33:33">
      <c r="AG6856" s="8"/>
    </row>
    <row r="6857" s="7" customFormat="1" spans="33:33">
      <c r="AG6857" s="8"/>
    </row>
    <row r="6858" s="7" customFormat="1" spans="33:33">
      <c r="AG6858" s="8"/>
    </row>
    <row r="6859" s="7" customFormat="1" spans="33:33">
      <c r="AG6859" s="8"/>
    </row>
    <row r="6860" s="7" customFormat="1" spans="33:33">
      <c r="AG6860" s="8"/>
    </row>
    <row r="6861" s="7" customFormat="1" spans="33:33">
      <c r="AG6861" s="8"/>
    </row>
    <row r="6862" s="7" customFormat="1" spans="33:33">
      <c r="AG6862" s="8"/>
    </row>
    <row r="6863" s="7" customFormat="1" spans="33:33">
      <c r="AG6863" s="8"/>
    </row>
    <row r="6864" s="7" customFormat="1" spans="33:33">
      <c r="AG6864" s="8"/>
    </row>
    <row r="6865" s="7" customFormat="1" spans="33:33">
      <c r="AG6865" s="8"/>
    </row>
    <row r="6866" s="7" customFormat="1" spans="33:33">
      <c r="AG6866" s="8"/>
    </row>
    <row r="6867" s="7" customFormat="1" spans="33:33">
      <c r="AG6867" s="8"/>
    </row>
    <row r="6868" s="7" customFormat="1" spans="33:33">
      <c r="AG6868" s="8"/>
    </row>
    <row r="6869" s="7" customFormat="1" spans="33:33">
      <c r="AG6869" s="8"/>
    </row>
    <row r="6870" s="7" customFormat="1" spans="33:33">
      <c r="AG6870" s="8"/>
    </row>
    <row r="6871" s="7" customFormat="1" spans="33:33">
      <c r="AG6871" s="8"/>
    </row>
    <row r="6872" s="7" customFormat="1" spans="33:33">
      <c r="AG6872" s="8"/>
    </row>
    <row r="6873" s="7" customFormat="1" spans="33:33">
      <c r="AG6873" s="8"/>
    </row>
    <row r="6874" s="7" customFormat="1" spans="33:33">
      <c r="AG6874" s="8"/>
    </row>
    <row r="6875" s="7" customFormat="1" spans="33:33">
      <c r="AG6875" s="8"/>
    </row>
    <row r="6876" s="7" customFormat="1" spans="33:33">
      <c r="AG6876" s="8"/>
    </row>
    <row r="6877" s="7" customFormat="1" spans="33:33">
      <c r="AG6877" s="8"/>
    </row>
    <row r="6878" s="7" customFormat="1" spans="33:33">
      <c r="AG6878" s="8"/>
    </row>
    <row r="6879" s="7" customFormat="1" spans="33:33">
      <c r="AG6879" s="8"/>
    </row>
    <row r="6880" s="7" customFormat="1" spans="33:33">
      <c r="AG6880" s="8"/>
    </row>
    <row r="6881" s="7" customFormat="1" spans="33:33">
      <c r="AG6881" s="8"/>
    </row>
    <row r="6882" s="7" customFormat="1" spans="33:33">
      <c r="AG6882" s="8"/>
    </row>
    <row r="6883" s="7" customFormat="1" spans="33:33">
      <c r="AG6883" s="8"/>
    </row>
    <row r="6884" s="7" customFormat="1" spans="33:33">
      <c r="AG6884" s="8"/>
    </row>
    <row r="6885" s="7" customFormat="1" spans="33:33">
      <c r="AG6885" s="8"/>
    </row>
    <row r="6886" s="7" customFormat="1" spans="33:33">
      <c r="AG6886" s="8"/>
    </row>
    <row r="6887" s="7" customFormat="1" spans="33:33">
      <c r="AG6887" s="8"/>
    </row>
    <row r="6888" s="7" customFormat="1" spans="33:33">
      <c r="AG6888" s="8"/>
    </row>
    <row r="6889" s="7" customFormat="1" spans="33:33">
      <c r="AG6889" s="8"/>
    </row>
    <row r="6890" s="7" customFormat="1" spans="33:33">
      <c r="AG6890" s="8"/>
    </row>
    <row r="6891" s="7" customFormat="1" spans="33:33">
      <c r="AG6891" s="8"/>
    </row>
    <row r="6892" s="7" customFormat="1" spans="33:33">
      <c r="AG6892" s="8"/>
    </row>
    <row r="6893" s="7" customFormat="1" spans="33:33">
      <c r="AG6893" s="8"/>
    </row>
    <row r="6894" s="7" customFormat="1" spans="33:33">
      <c r="AG6894" s="8"/>
    </row>
    <row r="6895" s="7" customFormat="1" spans="33:33">
      <c r="AG6895" s="8"/>
    </row>
    <row r="6896" s="7" customFormat="1" spans="33:33">
      <c r="AG6896" s="8"/>
    </row>
    <row r="6897" s="7" customFormat="1" spans="33:33">
      <c r="AG6897" s="8"/>
    </row>
    <row r="6898" s="7" customFormat="1" spans="33:33">
      <c r="AG6898" s="8"/>
    </row>
    <row r="6899" s="7" customFormat="1" spans="33:33">
      <c r="AG6899" s="8"/>
    </row>
    <row r="6900" s="7" customFormat="1" spans="33:33">
      <c r="AG6900" s="8"/>
    </row>
    <row r="6901" s="7" customFormat="1" spans="33:33">
      <c r="AG6901" s="8"/>
    </row>
    <row r="6902" s="7" customFormat="1" spans="33:33">
      <c r="AG6902" s="8"/>
    </row>
    <row r="6903" s="7" customFormat="1" spans="33:33">
      <c r="AG6903" s="8"/>
    </row>
    <row r="6904" s="7" customFormat="1" spans="33:33">
      <c r="AG6904" s="8"/>
    </row>
    <row r="6905" s="7" customFormat="1" spans="33:33">
      <c r="AG6905" s="8"/>
    </row>
    <row r="6906" s="7" customFormat="1" spans="33:33">
      <c r="AG6906" s="8"/>
    </row>
    <row r="6907" s="7" customFormat="1" spans="33:33">
      <c r="AG6907" s="8"/>
    </row>
    <row r="6908" s="7" customFormat="1" spans="33:33">
      <c r="AG6908" s="8"/>
    </row>
    <row r="6909" s="7" customFormat="1" spans="33:33">
      <c r="AG6909" s="8"/>
    </row>
    <row r="6910" s="7" customFormat="1" spans="33:33">
      <c r="AG6910" s="8"/>
    </row>
    <row r="6911" s="7" customFormat="1" spans="33:33">
      <c r="AG6911" s="8"/>
    </row>
    <row r="6912" s="7" customFormat="1" spans="33:33">
      <c r="AG6912" s="8"/>
    </row>
    <row r="6913" s="7" customFormat="1" spans="33:33">
      <c r="AG6913" s="8"/>
    </row>
    <row r="6914" s="7" customFormat="1" spans="33:33">
      <c r="AG6914" s="8"/>
    </row>
    <row r="6915" s="7" customFormat="1" spans="33:33">
      <c r="AG6915" s="8"/>
    </row>
    <row r="6916" s="7" customFormat="1" spans="33:33">
      <c r="AG6916" s="8"/>
    </row>
    <row r="6917" s="7" customFormat="1" spans="33:33">
      <c r="AG6917" s="8"/>
    </row>
    <row r="6918" s="7" customFormat="1" spans="33:33">
      <c r="AG6918" s="8"/>
    </row>
    <row r="6919" s="7" customFormat="1" spans="33:33">
      <c r="AG6919" s="8"/>
    </row>
    <row r="6920" s="7" customFormat="1" spans="33:33">
      <c r="AG6920" s="8"/>
    </row>
    <row r="6921" s="7" customFormat="1" spans="33:33">
      <c r="AG6921" s="8"/>
    </row>
    <row r="6922" s="7" customFormat="1" spans="33:33">
      <c r="AG6922" s="8"/>
    </row>
    <row r="6923" s="7" customFormat="1" spans="33:33">
      <c r="AG6923" s="8"/>
    </row>
    <row r="6924" s="7" customFormat="1" spans="33:33">
      <c r="AG6924" s="8"/>
    </row>
    <row r="6925" s="7" customFormat="1" spans="33:33">
      <c r="AG6925" s="8"/>
    </row>
    <row r="6926" s="7" customFormat="1" spans="33:33">
      <c r="AG6926" s="8"/>
    </row>
    <row r="6927" s="7" customFormat="1" spans="33:33">
      <c r="AG6927" s="8"/>
    </row>
    <row r="6928" s="7" customFormat="1" spans="33:33">
      <c r="AG6928" s="8"/>
    </row>
    <row r="6929" s="7" customFormat="1" spans="33:33">
      <c r="AG6929" s="8"/>
    </row>
    <row r="6930" s="7" customFormat="1" spans="33:33">
      <c r="AG6930" s="8"/>
    </row>
    <row r="6931" s="7" customFormat="1" spans="33:33">
      <c r="AG6931" s="8"/>
    </row>
    <row r="6932" s="7" customFormat="1" spans="33:33">
      <c r="AG6932" s="8"/>
    </row>
    <row r="6933" s="7" customFormat="1" spans="33:33">
      <c r="AG6933" s="8"/>
    </row>
    <row r="6934" s="7" customFormat="1" spans="33:33">
      <c r="AG6934" s="8"/>
    </row>
    <row r="6935" s="7" customFormat="1" spans="33:33">
      <c r="AG6935" s="8"/>
    </row>
    <row r="6936" s="7" customFormat="1" spans="33:33">
      <c r="AG6936" s="8"/>
    </row>
    <row r="6937" s="7" customFormat="1" spans="33:33">
      <c r="AG6937" s="8"/>
    </row>
    <row r="6938" s="7" customFormat="1" spans="33:33">
      <c r="AG6938" s="8"/>
    </row>
    <row r="6939" s="7" customFormat="1" spans="33:33">
      <c r="AG6939" s="8"/>
    </row>
    <row r="6940" s="7" customFormat="1" spans="33:33">
      <c r="AG6940" s="8"/>
    </row>
    <row r="6941" s="7" customFormat="1" spans="33:33">
      <c r="AG6941" s="8"/>
    </row>
    <row r="6942" s="7" customFormat="1" spans="33:33">
      <c r="AG6942" s="8"/>
    </row>
    <row r="6943" s="7" customFormat="1" spans="33:33">
      <c r="AG6943" s="8"/>
    </row>
    <row r="6944" s="7" customFormat="1" spans="33:33">
      <c r="AG6944" s="8"/>
    </row>
    <row r="6945" s="7" customFormat="1" spans="33:33">
      <c r="AG6945" s="8"/>
    </row>
    <row r="6946" s="7" customFormat="1" spans="33:33">
      <c r="AG6946" s="8"/>
    </row>
    <row r="6947" s="7" customFormat="1" spans="33:33">
      <c r="AG6947" s="8"/>
    </row>
    <row r="6948" s="7" customFormat="1" spans="33:33">
      <c r="AG6948" s="8"/>
    </row>
    <row r="6949" s="7" customFormat="1" spans="33:33">
      <c r="AG6949" s="8"/>
    </row>
    <row r="6950" s="7" customFormat="1" spans="33:33">
      <c r="AG6950" s="8"/>
    </row>
    <row r="6951" s="7" customFormat="1" spans="33:33">
      <c r="AG6951" s="8"/>
    </row>
    <row r="6952" s="7" customFormat="1" spans="33:33">
      <c r="AG6952" s="8"/>
    </row>
    <row r="6953" s="7" customFormat="1" spans="33:33">
      <c r="AG6953" s="8"/>
    </row>
    <row r="6954" s="7" customFormat="1" spans="33:33">
      <c r="AG6954" s="8"/>
    </row>
    <row r="6955" s="7" customFormat="1" spans="33:33">
      <c r="AG6955" s="8"/>
    </row>
    <row r="6956" s="7" customFormat="1" spans="33:33">
      <c r="AG6956" s="8"/>
    </row>
    <row r="6957" s="7" customFormat="1" spans="33:33">
      <c r="AG6957" s="8"/>
    </row>
    <row r="6958" s="7" customFormat="1" spans="33:33">
      <c r="AG6958" s="8"/>
    </row>
    <row r="6959" s="7" customFormat="1" spans="33:33">
      <c r="AG6959" s="8"/>
    </row>
    <row r="6960" s="7" customFormat="1" spans="33:33">
      <c r="AG6960" s="8"/>
    </row>
    <row r="6961" s="7" customFormat="1" spans="33:33">
      <c r="AG6961" s="8"/>
    </row>
    <row r="6962" s="7" customFormat="1" spans="33:33">
      <c r="AG6962" s="8"/>
    </row>
    <row r="6963" s="7" customFormat="1" spans="33:33">
      <c r="AG6963" s="8"/>
    </row>
    <row r="6964" s="7" customFormat="1" spans="33:33">
      <c r="AG6964" s="8"/>
    </row>
    <row r="6965" s="7" customFormat="1" spans="33:33">
      <c r="AG6965" s="8"/>
    </row>
    <row r="6966" s="7" customFormat="1" spans="33:33">
      <c r="AG6966" s="8"/>
    </row>
    <row r="6967" s="7" customFormat="1" spans="33:33">
      <c r="AG6967" s="8"/>
    </row>
    <row r="6968" s="7" customFormat="1" spans="33:33">
      <c r="AG6968" s="8"/>
    </row>
    <row r="6969" s="7" customFormat="1" spans="33:33">
      <c r="AG6969" s="8"/>
    </row>
    <row r="6970" s="7" customFormat="1" spans="33:33">
      <c r="AG6970" s="8"/>
    </row>
    <row r="6971" s="7" customFormat="1" spans="33:33">
      <c r="AG6971" s="8"/>
    </row>
    <row r="6972" s="7" customFormat="1" spans="33:33">
      <c r="AG6972" s="8"/>
    </row>
    <row r="6973" s="7" customFormat="1" spans="33:33">
      <c r="AG6973" s="8"/>
    </row>
    <row r="6974" s="7" customFormat="1" spans="33:33">
      <c r="AG6974" s="8"/>
    </row>
    <row r="6975" s="7" customFormat="1" spans="33:33">
      <c r="AG6975" s="8"/>
    </row>
    <row r="6976" s="7" customFormat="1" spans="33:33">
      <c r="AG6976" s="8"/>
    </row>
    <row r="6977" s="7" customFormat="1" spans="33:33">
      <c r="AG6977" s="8"/>
    </row>
    <row r="6978" s="7" customFormat="1" spans="33:33">
      <c r="AG6978" s="8"/>
    </row>
    <row r="6979" s="7" customFormat="1" spans="33:33">
      <c r="AG6979" s="8"/>
    </row>
    <row r="6980" s="7" customFormat="1" spans="33:33">
      <c r="AG6980" s="8"/>
    </row>
    <row r="6981" s="7" customFormat="1" spans="33:33">
      <c r="AG6981" s="8"/>
    </row>
    <row r="6982" s="7" customFormat="1" spans="33:33">
      <c r="AG6982" s="8"/>
    </row>
    <row r="6983" s="7" customFormat="1" spans="33:33">
      <c r="AG6983" s="8"/>
    </row>
    <row r="6984" s="7" customFormat="1" spans="33:33">
      <c r="AG6984" s="8"/>
    </row>
    <row r="6985" s="7" customFormat="1" spans="33:33">
      <c r="AG6985" s="8"/>
    </row>
    <row r="6986" s="7" customFormat="1" spans="33:33">
      <c r="AG6986" s="8"/>
    </row>
    <row r="6987" s="7" customFormat="1" spans="33:33">
      <c r="AG6987" s="8"/>
    </row>
    <row r="6988" s="7" customFormat="1" spans="33:33">
      <c r="AG6988" s="8"/>
    </row>
    <row r="6989" s="7" customFormat="1" spans="33:33">
      <c r="AG6989" s="8"/>
    </row>
    <row r="6990" s="7" customFormat="1" spans="33:33">
      <c r="AG6990" s="8"/>
    </row>
    <row r="6991" s="7" customFormat="1" spans="33:33">
      <c r="AG6991" s="8"/>
    </row>
    <row r="6992" s="7" customFormat="1" spans="33:33">
      <c r="AG6992" s="8"/>
    </row>
    <row r="6993" s="7" customFormat="1" spans="33:33">
      <c r="AG6993" s="8"/>
    </row>
    <row r="6994" s="7" customFormat="1" spans="33:33">
      <c r="AG6994" s="8"/>
    </row>
    <row r="6995" s="7" customFormat="1" spans="33:33">
      <c r="AG6995" s="8"/>
    </row>
    <row r="6996" s="7" customFormat="1" spans="33:33">
      <c r="AG6996" s="8"/>
    </row>
    <row r="6997" s="7" customFormat="1" spans="33:33">
      <c r="AG6997" s="8"/>
    </row>
    <row r="6998" s="7" customFormat="1" spans="33:33">
      <c r="AG6998" s="8"/>
    </row>
    <row r="6999" s="7" customFormat="1" spans="33:33">
      <c r="AG6999" s="8"/>
    </row>
    <row r="7000" s="7" customFormat="1" spans="33:33">
      <c r="AG7000" s="8"/>
    </row>
    <row r="7001" s="7" customFormat="1" spans="33:33">
      <c r="AG7001" s="8"/>
    </row>
    <row r="7002" s="7" customFormat="1" spans="33:33">
      <c r="AG7002" s="8"/>
    </row>
    <row r="7003" s="7" customFormat="1" spans="33:33">
      <c r="AG7003" s="8"/>
    </row>
    <row r="7004" s="7" customFormat="1" spans="33:33">
      <c r="AG7004" s="8"/>
    </row>
    <row r="7005" s="7" customFormat="1" spans="33:33">
      <c r="AG7005" s="8"/>
    </row>
    <row r="7006" s="7" customFormat="1" spans="33:33">
      <c r="AG7006" s="8"/>
    </row>
    <row r="7007" s="7" customFormat="1" spans="33:33">
      <c r="AG7007" s="8"/>
    </row>
    <row r="7008" s="7" customFormat="1" spans="33:33">
      <c r="AG7008" s="8"/>
    </row>
    <row r="7009" s="7" customFormat="1" spans="33:33">
      <c r="AG7009" s="8"/>
    </row>
    <row r="7010" s="7" customFormat="1" spans="33:33">
      <c r="AG7010" s="8"/>
    </row>
    <row r="7011" s="7" customFormat="1" spans="33:33">
      <c r="AG7011" s="8"/>
    </row>
    <row r="7012" s="7" customFormat="1" spans="33:33">
      <c r="AG7012" s="8"/>
    </row>
    <row r="7013" s="7" customFormat="1" spans="33:33">
      <c r="AG7013" s="8"/>
    </row>
    <row r="7014" s="7" customFormat="1" spans="33:33">
      <c r="AG7014" s="8"/>
    </row>
    <row r="7015" s="7" customFormat="1" spans="33:33">
      <c r="AG7015" s="8"/>
    </row>
    <row r="7016" s="7" customFormat="1" spans="33:33">
      <c r="AG7016" s="8"/>
    </row>
    <row r="7017" s="7" customFormat="1" spans="33:33">
      <c r="AG7017" s="8"/>
    </row>
    <row r="7018" s="7" customFormat="1" spans="33:33">
      <c r="AG7018" s="8"/>
    </row>
    <row r="7019" s="7" customFormat="1" spans="33:33">
      <c r="AG7019" s="8"/>
    </row>
    <row r="7020" s="7" customFormat="1" spans="33:33">
      <c r="AG7020" s="8"/>
    </row>
    <row r="7021" s="7" customFormat="1" spans="33:33">
      <c r="AG7021" s="8"/>
    </row>
    <row r="7022" s="7" customFormat="1" spans="33:33">
      <c r="AG7022" s="8"/>
    </row>
    <row r="7023" s="7" customFormat="1" spans="33:33">
      <c r="AG7023" s="8"/>
    </row>
    <row r="7024" s="7" customFormat="1" spans="33:33">
      <c r="AG7024" s="8"/>
    </row>
    <row r="7025" s="7" customFormat="1" spans="33:33">
      <c r="AG7025" s="8"/>
    </row>
    <row r="7026" s="7" customFormat="1" spans="33:33">
      <c r="AG7026" s="8"/>
    </row>
    <row r="7027" s="7" customFormat="1" spans="33:33">
      <c r="AG7027" s="8"/>
    </row>
    <row r="7028" s="7" customFormat="1" spans="33:33">
      <c r="AG7028" s="8"/>
    </row>
    <row r="7029" s="7" customFormat="1" spans="33:33">
      <c r="AG7029" s="8"/>
    </row>
    <row r="7030" s="7" customFormat="1" spans="33:33">
      <c r="AG7030" s="8"/>
    </row>
    <row r="7031" s="7" customFormat="1" spans="33:33">
      <c r="AG7031" s="8"/>
    </row>
    <row r="7032" s="7" customFormat="1" spans="33:33">
      <c r="AG7032" s="8"/>
    </row>
    <row r="7033" s="7" customFormat="1" spans="33:33">
      <c r="AG7033" s="8"/>
    </row>
    <row r="7034" s="7" customFormat="1" spans="33:33">
      <c r="AG7034" s="8"/>
    </row>
    <row r="7035" s="7" customFormat="1" spans="33:33">
      <c r="AG7035" s="8"/>
    </row>
    <row r="7036" s="7" customFormat="1" spans="33:33">
      <c r="AG7036" s="8"/>
    </row>
    <row r="7037" s="7" customFormat="1" spans="33:33">
      <c r="AG7037" s="8"/>
    </row>
    <row r="7038" s="7" customFormat="1" spans="33:33">
      <c r="AG7038" s="8"/>
    </row>
    <row r="7039" s="7" customFormat="1" spans="33:33">
      <c r="AG7039" s="8"/>
    </row>
    <row r="7040" s="7" customFormat="1" spans="33:33">
      <c r="AG7040" s="8"/>
    </row>
    <row r="7041" s="7" customFormat="1" spans="33:33">
      <c r="AG7041" s="8"/>
    </row>
    <row r="7042" s="7" customFormat="1" spans="33:33">
      <c r="AG7042" s="8"/>
    </row>
    <row r="7043" s="7" customFormat="1" spans="33:33">
      <c r="AG7043" s="8"/>
    </row>
    <row r="7044" s="7" customFormat="1" spans="33:33">
      <c r="AG7044" s="8"/>
    </row>
    <row r="7045" s="7" customFormat="1" spans="33:33">
      <c r="AG7045" s="8"/>
    </row>
    <row r="7046" s="7" customFormat="1" spans="33:33">
      <c r="AG7046" s="8"/>
    </row>
    <row r="7047" s="7" customFormat="1" spans="33:33">
      <c r="AG7047" s="8"/>
    </row>
    <row r="7048" s="7" customFormat="1" spans="33:33">
      <c r="AG7048" s="8"/>
    </row>
    <row r="7049" s="7" customFormat="1" spans="33:33">
      <c r="AG7049" s="8"/>
    </row>
    <row r="7050" s="7" customFormat="1" spans="33:33">
      <c r="AG7050" s="8"/>
    </row>
    <row r="7051" s="7" customFormat="1" spans="33:33">
      <c r="AG7051" s="8"/>
    </row>
    <row r="7052" s="7" customFormat="1" spans="33:33">
      <c r="AG7052" s="8"/>
    </row>
    <row r="7053" s="7" customFormat="1" spans="33:33">
      <c r="AG7053" s="8"/>
    </row>
    <row r="7054" s="7" customFormat="1" spans="33:33">
      <c r="AG7054" s="8"/>
    </row>
    <row r="7055" s="7" customFormat="1" spans="33:33">
      <c r="AG7055" s="8"/>
    </row>
    <row r="7056" s="7" customFormat="1" spans="33:33">
      <c r="AG7056" s="8"/>
    </row>
    <row r="7057" s="7" customFormat="1" spans="33:33">
      <c r="AG7057" s="8"/>
    </row>
    <row r="7058" s="7" customFormat="1" spans="33:33">
      <c r="AG7058" s="8"/>
    </row>
    <row r="7059" s="7" customFormat="1" spans="33:33">
      <c r="AG7059" s="8"/>
    </row>
    <row r="7060" s="7" customFormat="1" spans="33:33">
      <c r="AG7060" s="8"/>
    </row>
    <row r="7061" s="7" customFormat="1" spans="33:33">
      <c r="AG7061" s="8"/>
    </row>
    <row r="7062" s="7" customFormat="1" spans="33:33">
      <c r="AG7062" s="8"/>
    </row>
    <row r="7063" s="7" customFormat="1" spans="33:33">
      <c r="AG7063" s="8"/>
    </row>
    <row r="7064" s="7" customFormat="1" spans="33:33">
      <c r="AG7064" s="8"/>
    </row>
    <row r="7065" s="7" customFormat="1" spans="33:33">
      <c r="AG7065" s="8"/>
    </row>
    <row r="7066" s="7" customFormat="1" spans="33:33">
      <c r="AG7066" s="8"/>
    </row>
    <row r="7067" s="7" customFormat="1" spans="33:33">
      <c r="AG7067" s="8"/>
    </row>
    <row r="7068" s="7" customFormat="1" spans="33:33">
      <c r="AG7068" s="8"/>
    </row>
    <row r="7069" s="7" customFormat="1" spans="33:33">
      <c r="AG7069" s="8"/>
    </row>
    <row r="7070" s="7" customFormat="1" spans="33:33">
      <c r="AG7070" s="8"/>
    </row>
    <row r="7071" s="7" customFormat="1" spans="33:33">
      <c r="AG7071" s="8"/>
    </row>
    <row r="7072" s="7" customFormat="1" spans="33:33">
      <c r="AG7072" s="8"/>
    </row>
    <row r="7073" s="7" customFormat="1" spans="33:33">
      <c r="AG7073" s="8"/>
    </row>
    <row r="7074" s="7" customFormat="1" spans="33:33">
      <c r="AG7074" s="8"/>
    </row>
    <row r="7075" s="7" customFormat="1" spans="33:33">
      <c r="AG7075" s="8"/>
    </row>
    <row r="7076" s="7" customFormat="1" spans="33:33">
      <c r="AG7076" s="8"/>
    </row>
    <row r="7077" s="7" customFormat="1" spans="33:33">
      <c r="AG7077" s="8"/>
    </row>
    <row r="7078" s="7" customFormat="1" spans="33:33">
      <c r="AG7078" s="8"/>
    </row>
    <row r="7079" s="7" customFormat="1" spans="33:33">
      <c r="AG7079" s="8"/>
    </row>
    <row r="7080" s="7" customFormat="1" spans="33:33">
      <c r="AG7080" s="8"/>
    </row>
    <row r="7081" s="7" customFormat="1" spans="33:33">
      <c r="AG7081" s="8"/>
    </row>
    <row r="7082" s="7" customFormat="1" spans="33:33">
      <c r="AG7082" s="8"/>
    </row>
    <row r="7083" s="7" customFormat="1" spans="33:33">
      <c r="AG7083" s="8"/>
    </row>
    <row r="7084" s="7" customFormat="1" spans="33:33">
      <c r="AG7084" s="8"/>
    </row>
    <row r="7085" s="7" customFormat="1" spans="33:33">
      <c r="AG7085" s="8"/>
    </row>
    <row r="7086" s="7" customFormat="1" spans="33:33">
      <c r="AG7086" s="8"/>
    </row>
    <row r="7087" s="7" customFormat="1" spans="33:33">
      <c r="AG7087" s="8"/>
    </row>
    <row r="7088" s="7" customFormat="1" spans="33:33">
      <c r="AG7088" s="8"/>
    </row>
    <row r="7089" s="7" customFormat="1" spans="33:33">
      <c r="AG7089" s="8"/>
    </row>
    <row r="7090" s="7" customFormat="1" spans="33:33">
      <c r="AG7090" s="8"/>
    </row>
    <row r="7091" s="7" customFormat="1" spans="33:33">
      <c r="AG7091" s="8"/>
    </row>
    <row r="7092" s="7" customFormat="1" spans="33:33">
      <c r="AG7092" s="8"/>
    </row>
    <row r="7093" s="7" customFormat="1" spans="33:33">
      <c r="AG7093" s="8"/>
    </row>
    <row r="7094" s="7" customFormat="1" spans="33:33">
      <c r="AG7094" s="8"/>
    </row>
    <row r="7095" s="7" customFormat="1" spans="33:33">
      <c r="AG7095" s="8"/>
    </row>
    <row r="7096" s="7" customFormat="1" spans="33:33">
      <c r="AG7096" s="8"/>
    </row>
    <row r="7097" s="7" customFormat="1" spans="33:33">
      <c r="AG7097" s="8"/>
    </row>
    <row r="7098" s="7" customFormat="1" spans="33:33">
      <c r="AG7098" s="8"/>
    </row>
    <row r="7099" s="7" customFormat="1" spans="33:33">
      <c r="AG7099" s="8"/>
    </row>
    <row r="7100" s="7" customFormat="1" spans="33:33">
      <c r="AG7100" s="8"/>
    </row>
    <row r="7101" s="7" customFormat="1" spans="33:33">
      <c r="AG7101" s="8"/>
    </row>
    <row r="7102" s="7" customFormat="1" spans="33:33">
      <c r="AG7102" s="8"/>
    </row>
    <row r="7103" s="7" customFormat="1" spans="33:33">
      <c r="AG7103" s="8"/>
    </row>
    <row r="7104" s="7" customFormat="1" spans="33:33">
      <c r="AG7104" s="8"/>
    </row>
    <row r="7105" s="7" customFormat="1" spans="33:33">
      <c r="AG7105" s="8"/>
    </row>
    <row r="7106" s="7" customFormat="1" spans="33:33">
      <c r="AG7106" s="8"/>
    </row>
    <row r="7107" s="7" customFormat="1" spans="33:33">
      <c r="AG7107" s="8"/>
    </row>
    <row r="7108" s="7" customFormat="1" spans="33:33">
      <c r="AG7108" s="8"/>
    </row>
    <row r="7109" s="7" customFormat="1" spans="33:33">
      <c r="AG7109" s="8"/>
    </row>
    <row r="7110" s="7" customFormat="1" spans="33:33">
      <c r="AG7110" s="8"/>
    </row>
    <row r="7111" s="7" customFormat="1" spans="33:33">
      <c r="AG7111" s="8"/>
    </row>
    <row r="7112" s="7" customFormat="1" spans="33:33">
      <c r="AG7112" s="8"/>
    </row>
    <row r="7113" s="7" customFormat="1" spans="33:33">
      <c r="AG7113" s="8"/>
    </row>
    <row r="7114" s="7" customFormat="1" spans="33:33">
      <c r="AG7114" s="8"/>
    </row>
    <row r="7115" s="7" customFormat="1" spans="33:33">
      <c r="AG7115" s="8"/>
    </row>
    <row r="7116" s="7" customFormat="1" spans="33:33">
      <c r="AG7116" s="8"/>
    </row>
    <row r="7117" s="7" customFormat="1" spans="33:33">
      <c r="AG7117" s="8"/>
    </row>
    <row r="7118" s="7" customFormat="1" spans="33:33">
      <c r="AG7118" s="8"/>
    </row>
    <row r="7119" s="7" customFormat="1" spans="33:33">
      <c r="AG7119" s="8"/>
    </row>
    <row r="7120" s="7" customFormat="1" spans="33:33">
      <c r="AG7120" s="8"/>
    </row>
    <row r="7121" s="7" customFormat="1" spans="33:33">
      <c r="AG7121" s="8"/>
    </row>
    <row r="7122" s="7" customFormat="1" spans="33:33">
      <c r="AG7122" s="8"/>
    </row>
    <row r="7123" s="7" customFormat="1" spans="33:33">
      <c r="AG7123" s="8"/>
    </row>
    <row r="7124" s="7" customFormat="1" spans="33:33">
      <c r="AG7124" s="8"/>
    </row>
    <row r="7125" s="7" customFormat="1" spans="33:33">
      <c r="AG7125" s="8"/>
    </row>
    <row r="7126" s="7" customFormat="1" spans="33:33">
      <c r="AG7126" s="8"/>
    </row>
    <row r="7127" s="7" customFormat="1" spans="33:33">
      <c r="AG7127" s="8"/>
    </row>
    <row r="7128" s="7" customFormat="1" spans="33:33">
      <c r="AG7128" s="8"/>
    </row>
    <row r="7129" s="7" customFormat="1" spans="33:33">
      <c r="AG7129" s="8"/>
    </row>
    <row r="7130" s="7" customFormat="1" spans="33:33">
      <c r="AG7130" s="8"/>
    </row>
    <row r="7131" s="7" customFormat="1" spans="33:33">
      <c r="AG7131" s="8"/>
    </row>
    <row r="7132" s="7" customFormat="1" spans="33:33">
      <c r="AG7132" s="8"/>
    </row>
    <row r="7133" s="7" customFormat="1" spans="33:33">
      <c r="AG7133" s="8"/>
    </row>
    <row r="7134" s="7" customFormat="1" spans="33:33">
      <c r="AG7134" s="8"/>
    </row>
    <row r="7135" s="7" customFormat="1" spans="33:33">
      <c r="AG7135" s="8"/>
    </row>
    <row r="7136" s="7" customFormat="1" spans="33:33">
      <c r="AG7136" s="8"/>
    </row>
    <row r="7137" s="7" customFormat="1" spans="33:33">
      <c r="AG7137" s="8"/>
    </row>
    <row r="7138" s="7" customFormat="1" spans="33:33">
      <c r="AG7138" s="8"/>
    </row>
    <row r="7139" s="7" customFormat="1" spans="33:33">
      <c r="AG7139" s="8"/>
    </row>
    <row r="7140" s="7" customFormat="1" spans="33:33">
      <c r="AG7140" s="8"/>
    </row>
    <row r="7141" s="7" customFormat="1" spans="33:33">
      <c r="AG7141" s="8"/>
    </row>
    <row r="7142" s="7" customFormat="1" spans="33:33">
      <c r="AG7142" s="8"/>
    </row>
    <row r="7143" s="7" customFormat="1" spans="33:33">
      <c r="AG7143" s="8"/>
    </row>
    <row r="7144" s="7" customFormat="1" spans="33:33">
      <c r="AG7144" s="8"/>
    </row>
    <row r="7145" s="7" customFormat="1" spans="33:33">
      <c r="AG7145" s="8"/>
    </row>
    <row r="7146" s="7" customFormat="1" spans="33:33">
      <c r="AG7146" s="8"/>
    </row>
    <row r="7147" s="7" customFormat="1" spans="33:33">
      <c r="AG7147" s="8"/>
    </row>
    <row r="7148" s="7" customFormat="1" spans="33:33">
      <c r="AG7148" s="8"/>
    </row>
    <row r="7149" s="7" customFormat="1" spans="33:33">
      <c r="AG7149" s="8"/>
    </row>
    <row r="7150" s="7" customFormat="1" spans="33:33">
      <c r="AG7150" s="8"/>
    </row>
    <row r="7151" s="7" customFormat="1" spans="33:33">
      <c r="AG7151" s="8"/>
    </row>
    <row r="7152" s="7" customFormat="1" spans="33:33">
      <c r="AG7152" s="8"/>
    </row>
    <row r="7153" s="7" customFormat="1" spans="33:33">
      <c r="AG7153" s="8"/>
    </row>
    <row r="7154" s="7" customFormat="1" spans="33:33">
      <c r="AG7154" s="8"/>
    </row>
    <row r="7155" s="7" customFormat="1" spans="33:33">
      <c r="AG7155" s="8"/>
    </row>
    <row r="7156" s="7" customFormat="1" spans="33:33">
      <c r="AG7156" s="8"/>
    </row>
    <row r="7157" s="7" customFormat="1" spans="33:33">
      <c r="AG7157" s="8"/>
    </row>
    <row r="7158" s="7" customFormat="1" spans="33:33">
      <c r="AG7158" s="8"/>
    </row>
    <row r="7159" s="7" customFormat="1" spans="33:33">
      <c r="AG7159" s="8"/>
    </row>
    <row r="7160" s="7" customFormat="1" spans="33:33">
      <c r="AG7160" s="8"/>
    </row>
    <row r="7161" s="7" customFormat="1" spans="33:33">
      <c r="AG7161" s="8"/>
    </row>
    <row r="7162" s="7" customFormat="1" spans="33:33">
      <c r="AG7162" s="8"/>
    </row>
    <row r="7163" s="7" customFormat="1" spans="33:33">
      <c r="AG7163" s="8"/>
    </row>
    <row r="7164" s="7" customFormat="1" spans="33:33">
      <c r="AG7164" s="8"/>
    </row>
    <row r="7165" s="7" customFormat="1" spans="33:33">
      <c r="AG7165" s="8"/>
    </row>
    <row r="7166" s="7" customFormat="1" spans="33:33">
      <c r="AG7166" s="8"/>
    </row>
    <row r="7167" s="7" customFormat="1" spans="33:33">
      <c r="AG7167" s="8"/>
    </row>
    <row r="7168" s="7" customFormat="1" spans="33:33">
      <c r="AG7168" s="8"/>
    </row>
    <row r="7169" s="7" customFormat="1" spans="33:33">
      <c r="AG7169" s="8"/>
    </row>
    <row r="7170" s="7" customFormat="1" spans="33:33">
      <c r="AG7170" s="8"/>
    </row>
    <row r="7171" s="7" customFormat="1" spans="33:33">
      <c r="AG7171" s="8"/>
    </row>
    <row r="7172" s="7" customFormat="1" spans="33:33">
      <c r="AG7172" s="8"/>
    </row>
    <row r="7173" s="7" customFormat="1" spans="33:33">
      <c r="AG7173" s="8"/>
    </row>
    <row r="7174" s="7" customFormat="1" spans="33:33">
      <c r="AG7174" s="8"/>
    </row>
    <row r="7175" s="7" customFormat="1" spans="33:33">
      <c r="AG7175" s="8"/>
    </row>
    <row r="7176" s="7" customFormat="1" spans="33:33">
      <c r="AG7176" s="8"/>
    </row>
    <row r="7177" s="7" customFormat="1" spans="33:33">
      <c r="AG7177" s="8"/>
    </row>
    <row r="7178" s="7" customFormat="1" spans="33:33">
      <c r="AG7178" s="8"/>
    </row>
    <row r="7179" s="7" customFormat="1" spans="33:33">
      <c r="AG7179" s="8"/>
    </row>
    <row r="7180" s="7" customFormat="1" spans="33:33">
      <c r="AG7180" s="8"/>
    </row>
    <row r="7181" s="7" customFormat="1" spans="33:33">
      <c r="AG7181" s="8"/>
    </row>
    <row r="7182" s="7" customFormat="1" spans="33:33">
      <c r="AG7182" s="8"/>
    </row>
    <row r="7183" s="7" customFormat="1" spans="33:33">
      <c r="AG7183" s="8"/>
    </row>
    <row r="7184" s="7" customFormat="1" spans="33:33">
      <c r="AG7184" s="8"/>
    </row>
    <row r="7185" s="7" customFormat="1" spans="33:33">
      <c r="AG7185" s="8"/>
    </row>
    <row r="7186" s="7" customFormat="1" spans="33:33">
      <c r="AG7186" s="8"/>
    </row>
    <row r="7187" s="7" customFormat="1" spans="33:33">
      <c r="AG7187" s="8"/>
    </row>
    <row r="7188" s="7" customFormat="1" spans="33:33">
      <c r="AG7188" s="8"/>
    </row>
    <row r="7189" s="7" customFormat="1" spans="33:33">
      <c r="AG7189" s="8"/>
    </row>
    <row r="7190" s="7" customFormat="1" spans="33:33">
      <c r="AG7190" s="8"/>
    </row>
    <row r="7191" s="7" customFormat="1" spans="33:33">
      <c r="AG7191" s="8"/>
    </row>
    <row r="7192" s="7" customFormat="1" spans="33:33">
      <c r="AG7192" s="8"/>
    </row>
    <row r="7193" s="7" customFormat="1" spans="33:33">
      <c r="AG7193" s="8"/>
    </row>
    <row r="7194" s="7" customFormat="1" spans="33:33">
      <c r="AG7194" s="8"/>
    </row>
    <row r="7195" s="7" customFormat="1" spans="33:33">
      <c r="AG7195" s="8"/>
    </row>
    <row r="7196" s="7" customFormat="1" spans="33:33">
      <c r="AG7196" s="8"/>
    </row>
    <row r="7197" s="7" customFormat="1" spans="33:33">
      <c r="AG7197" s="8"/>
    </row>
    <row r="7198" s="7" customFormat="1" spans="33:33">
      <c r="AG7198" s="8"/>
    </row>
    <row r="7199" s="7" customFormat="1" spans="33:33">
      <c r="AG7199" s="8"/>
    </row>
    <row r="7200" s="7" customFormat="1" spans="33:33">
      <c r="AG7200" s="8"/>
    </row>
    <row r="7201" s="7" customFormat="1" spans="33:33">
      <c r="AG7201" s="8"/>
    </row>
    <row r="7202" s="7" customFormat="1" spans="33:33">
      <c r="AG7202" s="8"/>
    </row>
    <row r="7203" s="7" customFormat="1" spans="33:33">
      <c r="AG7203" s="8"/>
    </row>
    <row r="7204" s="7" customFormat="1" spans="33:33">
      <c r="AG7204" s="8"/>
    </row>
    <row r="7205" s="7" customFormat="1" spans="33:33">
      <c r="AG7205" s="8"/>
    </row>
    <row r="7206" s="7" customFormat="1" spans="33:33">
      <c r="AG7206" s="8"/>
    </row>
    <row r="7207" s="7" customFormat="1" spans="33:33">
      <c r="AG7207" s="8"/>
    </row>
    <row r="7208" s="7" customFormat="1" spans="33:33">
      <c r="AG7208" s="8"/>
    </row>
    <row r="7209" s="7" customFormat="1" spans="33:33">
      <c r="AG7209" s="8"/>
    </row>
    <row r="7210" s="7" customFormat="1" spans="33:33">
      <c r="AG7210" s="8"/>
    </row>
    <row r="7211" s="7" customFormat="1" spans="33:33">
      <c r="AG7211" s="8"/>
    </row>
    <row r="7212" s="7" customFormat="1" spans="33:33">
      <c r="AG7212" s="8"/>
    </row>
    <row r="7213" s="7" customFormat="1" spans="33:33">
      <c r="AG7213" s="8"/>
    </row>
    <row r="7214" s="7" customFormat="1" spans="33:33">
      <c r="AG7214" s="8"/>
    </row>
    <row r="7215" s="7" customFormat="1" spans="33:33">
      <c r="AG7215" s="8"/>
    </row>
    <row r="7216" s="7" customFormat="1" spans="33:33">
      <c r="AG7216" s="8"/>
    </row>
    <row r="7217" s="7" customFormat="1" spans="33:33">
      <c r="AG7217" s="8"/>
    </row>
    <row r="7218" s="7" customFormat="1" spans="33:33">
      <c r="AG7218" s="8"/>
    </row>
    <row r="7219" s="7" customFormat="1" spans="33:33">
      <c r="AG7219" s="8"/>
    </row>
    <row r="7220" s="7" customFormat="1" spans="33:33">
      <c r="AG7220" s="8"/>
    </row>
    <row r="7221" s="7" customFormat="1" spans="33:33">
      <c r="AG7221" s="8"/>
    </row>
    <row r="7222" s="7" customFormat="1" spans="33:33">
      <c r="AG7222" s="8"/>
    </row>
    <row r="7223" s="7" customFormat="1" spans="33:33">
      <c r="AG7223" s="8"/>
    </row>
    <row r="7224" s="7" customFormat="1" spans="33:33">
      <c r="AG7224" s="8"/>
    </row>
    <row r="7225" s="7" customFormat="1" spans="33:33">
      <c r="AG7225" s="8"/>
    </row>
    <row r="7226" s="7" customFormat="1" spans="33:33">
      <c r="AG7226" s="8"/>
    </row>
    <row r="7227" s="7" customFormat="1" spans="33:33">
      <c r="AG7227" s="8"/>
    </row>
    <row r="7228" s="7" customFormat="1" spans="33:33">
      <c r="AG7228" s="8"/>
    </row>
    <row r="7229" s="7" customFormat="1" spans="33:33">
      <c r="AG7229" s="8"/>
    </row>
    <row r="7230" s="7" customFormat="1" spans="33:33">
      <c r="AG7230" s="8"/>
    </row>
    <row r="7231" s="7" customFormat="1" spans="33:33">
      <c r="AG7231" s="8"/>
    </row>
    <row r="7232" s="7" customFormat="1" spans="33:33">
      <c r="AG7232" s="8"/>
    </row>
    <row r="7233" s="7" customFormat="1" spans="33:33">
      <c r="AG7233" s="8"/>
    </row>
    <row r="7234" s="7" customFormat="1" spans="33:33">
      <c r="AG7234" s="8"/>
    </row>
    <row r="7235" s="7" customFormat="1" spans="33:33">
      <c r="AG7235" s="8"/>
    </row>
    <row r="7236" s="7" customFormat="1" spans="33:33">
      <c r="AG7236" s="8"/>
    </row>
    <row r="7237" s="7" customFormat="1" spans="33:33">
      <c r="AG7237" s="8"/>
    </row>
    <row r="7238" s="7" customFormat="1" spans="33:33">
      <c r="AG7238" s="8"/>
    </row>
    <row r="7239" s="7" customFormat="1" spans="33:33">
      <c r="AG7239" s="8"/>
    </row>
    <row r="7240" s="7" customFormat="1" spans="33:33">
      <c r="AG7240" s="8"/>
    </row>
    <row r="7241" s="7" customFormat="1" spans="33:33">
      <c r="AG7241" s="8"/>
    </row>
    <row r="7242" s="7" customFormat="1" spans="33:33">
      <c r="AG7242" s="8"/>
    </row>
    <row r="7243" s="7" customFormat="1" spans="33:33">
      <c r="AG7243" s="8"/>
    </row>
    <row r="7244" s="7" customFormat="1" spans="33:33">
      <c r="AG7244" s="8"/>
    </row>
    <row r="7245" s="7" customFormat="1" spans="33:33">
      <c r="AG7245" s="8"/>
    </row>
    <row r="7246" s="7" customFormat="1" spans="33:33">
      <c r="AG7246" s="8"/>
    </row>
    <row r="7247" s="7" customFormat="1" spans="33:33">
      <c r="AG7247" s="8"/>
    </row>
    <row r="7248" s="7" customFormat="1" spans="33:33">
      <c r="AG7248" s="8"/>
    </row>
    <row r="7249" s="7" customFormat="1" spans="33:33">
      <c r="AG7249" s="8"/>
    </row>
    <row r="7250" s="7" customFormat="1" spans="33:33">
      <c r="AG7250" s="8"/>
    </row>
    <row r="7251" s="7" customFormat="1" spans="33:33">
      <c r="AG7251" s="8"/>
    </row>
    <row r="7252" s="7" customFormat="1" spans="33:33">
      <c r="AG7252" s="8"/>
    </row>
    <row r="7253" s="7" customFormat="1" spans="33:33">
      <c r="AG7253" s="8"/>
    </row>
    <row r="7254" s="7" customFormat="1" spans="33:33">
      <c r="AG7254" s="8"/>
    </row>
    <row r="7255" s="7" customFormat="1" spans="33:33">
      <c r="AG7255" s="8"/>
    </row>
    <row r="7256" s="7" customFormat="1" spans="33:33">
      <c r="AG7256" s="8"/>
    </row>
    <row r="7257" s="7" customFormat="1" spans="33:33">
      <c r="AG7257" s="8"/>
    </row>
    <row r="7258" s="7" customFormat="1" spans="33:33">
      <c r="AG7258" s="8"/>
    </row>
    <row r="7259" s="7" customFormat="1" spans="33:33">
      <c r="AG7259" s="8"/>
    </row>
    <row r="7260" s="7" customFormat="1" spans="33:33">
      <c r="AG7260" s="8"/>
    </row>
    <row r="7261" s="7" customFormat="1" spans="33:33">
      <c r="AG7261" s="8"/>
    </row>
    <row r="7262" s="7" customFormat="1" spans="33:33">
      <c r="AG7262" s="8"/>
    </row>
    <row r="7263" s="7" customFormat="1" spans="33:33">
      <c r="AG7263" s="8"/>
    </row>
    <row r="7264" s="7" customFormat="1" spans="33:33">
      <c r="AG7264" s="8"/>
    </row>
    <row r="7265" s="7" customFormat="1" spans="33:33">
      <c r="AG7265" s="8"/>
    </row>
    <row r="7266" s="7" customFormat="1" spans="33:33">
      <c r="AG7266" s="8"/>
    </row>
    <row r="7267" s="7" customFormat="1" spans="33:33">
      <c r="AG7267" s="8"/>
    </row>
    <row r="7268" s="7" customFormat="1" spans="33:33">
      <c r="AG7268" s="8"/>
    </row>
    <row r="7269" s="7" customFormat="1" spans="33:33">
      <c r="AG7269" s="8"/>
    </row>
    <row r="7270" s="7" customFormat="1" spans="33:33">
      <c r="AG7270" s="8"/>
    </row>
    <row r="7271" s="7" customFormat="1" spans="33:33">
      <c r="AG7271" s="8"/>
    </row>
    <row r="7272" s="7" customFormat="1" spans="33:33">
      <c r="AG7272" s="8"/>
    </row>
    <row r="7273" s="7" customFormat="1" spans="33:33">
      <c r="AG7273" s="8"/>
    </row>
    <row r="7274" s="7" customFormat="1" spans="33:33">
      <c r="AG7274" s="8"/>
    </row>
    <row r="7275" s="7" customFormat="1" spans="33:33">
      <c r="AG7275" s="8"/>
    </row>
    <row r="7276" s="7" customFormat="1" spans="33:33">
      <c r="AG7276" s="8"/>
    </row>
    <row r="7277" s="7" customFormat="1" spans="33:33">
      <c r="AG7277" s="8"/>
    </row>
    <row r="7278" s="7" customFormat="1" spans="33:33">
      <c r="AG7278" s="8"/>
    </row>
    <row r="7279" s="7" customFormat="1" spans="33:33">
      <c r="AG7279" s="8"/>
    </row>
    <row r="7280" s="7" customFormat="1" spans="33:33">
      <c r="AG7280" s="8"/>
    </row>
    <row r="7281" s="7" customFormat="1" spans="33:33">
      <c r="AG7281" s="8"/>
    </row>
    <row r="7282" s="7" customFormat="1" spans="33:33">
      <c r="AG7282" s="8"/>
    </row>
    <row r="7283" s="7" customFormat="1" spans="33:33">
      <c r="AG7283" s="8"/>
    </row>
    <row r="7284" s="7" customFormat="1" spans="33:33">
      <c r="AG7284" s="8"/>
    </row>
    <row r="7285" s="7" customFormat="1" spans="33:33">
      <c r="AG7285" s="8"/>
    </row>
    <row r="7286" s="7" customFormat="1" spans="33:33">
      <c r="AG7286" s="8"/>
    </row>
    <row r="7287" s="7" customFormat="1" spans="33:33">
      <c r="AG7287" s="8"/>
    </row>
    <row r="7288" s="7" customFormat="1" spans="33:33">
      <c r="AG7288" s="8"/>
    </row>
    <row r="7289" s="7" customFormat="1" spans="33:33">
      <c r="AG7289" s="8"/>
    </row>
    <row r="7290" s="7" customFormat="1" spans="33:33">
      <c r="AG7290" s="8"/>
    </row>
    <row r="7291" s="7" customFormat="1" spans="33:33">
      <c r="AG7291" s="8"/>
    </row>
    <row r="7292" s="7" customFormat="1" spans="33:33">
      <c r="AG7292" s="8"/>
    </row>
    <row r="7293" s="7" customFormat="1" spans="33:33">
      <c r="AG7293" s="8"/>
    </row>
    <row r="7294" s="7" customFormat="1" spans="33:33">
      <c r="AG7294" s="8"/>
    </row>
    <row r="7295" s="7" customFormat="1" spans="33:33">
      <c r="AG7295" s="8"/>
    </row>
    <row r="7296" s="7" customFormat="1" spans="33:33">
      <c r="AG7296" s="8"/>
    </row>
    <row r="7297" s="7" customFormat="1" spans="33:33">
      <c r="AG7297" s="8"/>
    </row>
    <row r="7298" s="7" customFormat="1" spans="33:33">
      <c r="AG7298" s="8"/>
    </row>
    <row r="7299" s="7" customFormat="1" spans="33:33">
      <c r="AG7299" s="8"/>
    </row>
    <row r="7300" s="7" customFormat="1" spans="33:33">
      <c r="AG7300" s="8"/>
    </row>
    <row r="7301" s="7" customFormat="1" spans="33:33">
      <c r="AG7301" s="8"/>
    </row>
    <row r="7302" s="7" customFormat="1" spans="33:33">
      <c r="AG7302" s="8"/>
    </row>
    <row r="7303" s="7" customFormat="1" spans="33:33">
      <c r="AG7303" s="8"/>
    </row>
    <row r="7304" s="7" customFormat="1" spans="33:33">
      <c r="AG7304" s="8"/>
    </row>
    <row r="7305" s="7" customFormat="1" spans="33:33">
      <c r="AG7305" s="8"/>
    </row>
    <row r="7306" s="7" customFormat="1" spans="33:33">
      <c r="AG7306" s="8"/>
    </row>
    <row r="7307" s="7" customFormat="1" spans="33:33">
      <c r="AG7307" s="8"/>
    </row>
    <row r="7308" s="7" customFormat="1" spans="33:33">
      <c r="AG7308" s="8"/>
    </row>
    <row r="7309" s="7" customFormat="1" spans="33:33">
      <c r="AG7309" s="8"/>
    </row>
    <row r="7310" s="7" customFormat="1" spans="33:33">
      <c r="AG7310" s="8"/>
    </row>
    <row r="7311" s="7" customFormat="1" spans="33:33">
      <c r="AG7311" s="8"/>
    </row>
    <row r="7312" s="7" customFormat="1" spans="33:33">
      <c r="AG7312" s="8"/>
    </row>
    <row r="7313" s="7" customFormat="1" spans="33:33">
      <c r="AG7313" s="8"/>
    </row>
    <row r="7314" s="7" customFormat="1" spans="33:33">
      <c r="AG7314" s="8"/>
    </row>
    <row r="7315" s="7" customFormat="1" spans="33:33">
      <c r="AG7315" s="8"/>
    </row>
    <row r="7316" s="7" customFormat="1" spans="33:33">
      <c r="AG7316" s="8"/>
    </row>
    <row r="7317" s="7" customFormat="1" spans="33:33">
      <c r="AG7317" s="8"/>
    </row>
    <row r="7318" s="7" customFormat="1" spans="33:33">
      <c r="AG7318" s="8"/>
    </row>
    <row r="7319" s="7" customFormat="1" spans="33:33">
      <c r="AG7319" s="8"/>
    </row>
    <row r="7320" s="7" customFormat="1" spans="33:33">
      <c r="AG7320" s="8"/>
    </row>
    <row r="7321" s="7" customFormat="1" spans="33:33">
      <c r="AG7321" s="8"/>
    </row>
    <row r="7322" s="7" customFormat="1" spans="33:33">
      <c r="AG7322" s="8"/>
    </row>
    <row r="7323" s="7" customFormat="1" spans="33:33">
      <c r="AG7323" s="8"/>
    </row>
    <row r="7324" s="7" customFormat="1" spans="33:33">
      <c r="AG7324" s="8"/>
    </row>
    <row r="7325" s="7" customFormat="1" spans="33:33">
      <c r="AG7325" s="8"/>
    </row>
    <row r="7326" s="7" customFormat="1" spans="33:33">
      <c r="AG7326" s="8"/>
    </row>
    <row r="7327" s="7" customFormat="1" spans="33:33">
      <c r="AG7327" s="8"/>
    </row>
    <row r="7328" s="7" customFormat="1" spans="33:33">
      <c r="AG7328" s="8"/>
    </row>
    <row r="7329" s="7" customFormat="1" spans="33:33">
      <c r="AG7329" s="8"/>
    </row>
    <row r="7330" s="7" customFormat="1" spans="33:33">
      <c r="AG7330" s="8"/>
    </row>
    <row r="7331" s="7" customFormat="1" spans="33:33">
      <c r="AG7331" s="8"/>
    </row>
    <row r="7332" s="7" customFormat="1" spans="33:33">
      <c r="AG7332" s="8"/>
    </row>
    <row r="7333" s="7" customFormat="1" spans="33:33">
      <c r="AG7333" s="8"/>
    </row>
    <row r="7334" s="7" customFormat="1" spans="33:33">
      <c r="AG7334" s="8"/>
    </row>
    <row r="7335" s="7" customFormat="1" spans="33:33">
      <c r="AG7335" s="8"/>
    </row>
    <row r="7336" s="7" customFormat="1" spans="33:33">
      <c r="AG7336" s="8"/>
    </row>
    <row r="7337" s="7" customFormat="1" spans="33:33">
      <c r="AG7337" s="8"/>
    </row>
    <row r="7338" s="7" customFormat="1" spans="33:33">
      <c r="AG7338" s="8"/>
    </row>
    <row r="7339" s="7" customFormat="1" spans="33:33">
      <c r="AG7339" s="8"/>
    </row>
    <row r="7340" s="7" customFormat="1" spans="33:33">
      <c r="AG7340" s="8"/>
    </row>
    <row r="7341" s="7" customFormat="1" spans="33:33">
      <c r="AG7341" s="8"/>
    </row>
    <row r="7342" s="7" customFormat="1" spans="33:33">
      <c r="AG7342" s="8"/>
    </row>
    <row r="7343" s="7" customFormat="1" spans="33:33">
      <c r="AG7343" s="8"/>
    </row>
    <row r="7344" s="7" customFormat="1" spans="33:33">
      <c r="AG7344" s="8"/>
    </row>
    <row r="7345" s="7" customFormat="1" spans="33:33">
      <c r="AG7345" s="8"/>
    </row>
    <row r="7346" s="7" customFormat="1" spans="33:33">
      <c r="AG7346" s="8"/>
    </row>
    <row r="7347" s="7" customFormat="1" spans="33:33">
      <c r="AG7347" s="8"/>
    </row>
    <row r="7348" s="7" customFormat="1" spans="33:33">
      <c r="AG7348" s="8"/>
    </row>
    <row r="7349" s="7" customFormat="1" spans="33:33">
      <c r="AG7349" s="8"/>
    </row>
    <row r="7350" s="7" customFormat="1" spans="33:33">
      <c r="AG7350" s="8"/>
    </row>
    <row r="7351" s="7" customFormat="1" spans="33:33">
      <c r="AG7351" s="8"/>
    </row>
    <row r="7352" s="7" customFormat="1" spans="33:33">
      <c r="AG7352" s="8"/>
    </row>
    <row r="7353" s="7" customFormat="1" spans="33:33">
      <c r="AG7353" s="8"/>
    </row>
    <row r="7354" s="7" customFormat="1" spans="33:33">
      <c r="AG7354" s="8"/>
    </row>
    <row r="7355" s="7" customFormat="1" spans="33:33">
      <c r="AG7355" s="8"/>
    </row>
    <row r="7356" s="7" customFormat="1" spans="33:33">
      <c r="AG7356" s="8"/>
    </row>
    <row r="7357" s="7" customFormat="1" spans="33:33">
      <c r="AG7357" s="8"/>
    </row>
    <row r="7358" s="7" customFormat="1" spans="33:33">
      <c r="AG7358" s="8"/>
    </row>
    <row r="7359" s="7" customFormat="1" spans="33:33">
      <c r="AG7359" s="8"/>
    </row>
    <row r="7360" s="7" customFormat="1" spans="33:33">
      <c r="AG7360" s="8"/>
    </row>
    <row r="7361" s="7" customFormat="1" spans="33:33">
      <c r="AG7361" s="8"/>
    </row>
    <row r="7362" s="7" customFormat="1" spans="33:33">
      <c r="AG7362" s="8"/>
    </row>
    <row r="7363" s="7" customFormat="1" spans="33:33">
      <c r="AG7363" s="8"/>
    </row>
    <row r="7364" s="7" customFormat="1" spans="33:33">
      <c r="AG7364" s="8"/>
    </row>
    <row r="7365" s="7" customFormat="1" spans="33:33">
      <c r="AG7365" s="8"/>
    </row>
    <row r="7366" s="7" customFormat="1" spans="33:33">
      <c r="AG7366" s="8"/>
    </row>
    <row r="7367" s="7" customFormat="1" spans="33:33">
      <c r="AG7367" s="8"/>
    </row>
    <row r="7368" s="7" customFormat="1" spans="33:33">
      <c r="AG7368" s="8"/>
    </row>
    <row r="7369" s="7" customFormat="1" spans="33:33">
      <c r="AG7369" s="8"/>
    </row>
    <row r="7370" s="7" customFormat="1" spans="33:33">
      <c r="AG7370" s="8"/>
    </row>
    <row r="7371" s="7" customFormat="1" spans="33:33">
      <c r="AG7371" s="8"/>
    </row>
    <row r="7372" s="7" customFormat="1" spans="33:33">
      <c r="AG7372" s="8"/>
    </row>
    <row r="7373" s="7" customFormat="1" spans="33:33">
      <c r="AG7373" s="8"/>
    </row>
    <row r="7374" s="7" customFormat="1" spans="33:33">
      <c r="AG7374" s="8"/>
    </row>
    <row r="7375" s="7" customFormat="1" spans="33:33">
      <c r="AG7375" s="8"/>
    </row>
    <row r="7376" s="7" customFormat="1" spans="33:33">
      <c r="AG7376" s="8"/>
    </row>
    <row r="7377" s="7" customFormat="1" spans="33:33">
      <c r="AG7377" s="8"/>
    </row>
    <row r="7378" s="7" customFormat="1" spans="33:33">
      <c r="AG7378" s="8"/>
    </row>
    <row r="7379" s="7" customFormat="1" spans="33:33">
      <c r="AG7379" s="8"/>
    </row>
    <row r="7380" s="7" customFormat="1" spans="33:33">
      <c r="AG7380" s="8"/>
    </row>
    <row r="7381" s="7" customFormat="1" spans="33:33">
      <c r="AG7381" s="8"/>
    </row>
    <row r="7382" s="7" customFormat="1" spans="33:33">
      <c r="AG7382" s="8"/>
    </row>
    <row r="7383" s="7" customFormat="1" spans="33:33">
      <c r="AG7383" s="8"/>
    </row>
    <row r="7384" s="7" customFormat="1" spans="33:33">
      <c r="AG7384" s="8"/>
    </row>
    <row r="7385" s="7" customFormat="1" spans="33:33">
      <c r="AG7385" s="8"/>
    </row>
    <row r="7386" s="7" customFormat="1" spans="33:33">
      <c r="AG7386" s="8"/>
    </row>
    <row r="7387" s="7" customFormat="1" spans="33:33">
      <c r="AG7387" s="8"/>
    </row>
    <row r="7388" s="7" customFormat="1" spans="33:33">
      <c r="AG7388" s="8"/>
    </row>
    <row r="7389" s="7" customFormat="1" spans="33:33">
      <c r="AG7389" s="8"/>
    </row>
    <row r="7390" s="7" customFormat="1" spans="33:33">
      <c r="AG7390" s="8"/>
    </row>
    <row r="7391" s="7" customFormat="1" spans="33:33">
      <c r="AG7391" s="8"/>
    </row>
    <row r="7392" s="7" customFormat="1" spans="33:33">
      <c r="AG7392" s="8"/>
    </row>
    <row r="7393" s="7" customFormat="1" spans="33:33">
      <c r="AG7393" s="8"/>
    </row>
    <row r="7394" s="7" customFormat="1" spans="33:33">
      <c r="AG7394" s="8"/>
    </row>
    <row r="7395" s="7" customFormat="1" spans="33:33">
      <c r="AG7395" s="8"/>
    </row>
    <row r="7396" s="7" customFormat="1" spans="33:33">
      <c r="AG7396" s="8"/>
    </row>
    <row r="7397" s="7" customFormat="1" spans="33:33">
      <c r="AG7397" s="8"/>
    </row>
    <row r="7398" s="7" customFormat="1" spans="33:33">
      <c r="AG7398" s="8"/>
    </row>
    <row r="7399" s="7" customFormat="1" spans="33:33">
      <c r="AG7399" s="8"/>
    </row>
    <row r="7400" s="7" customFormat="1" spans="33:33">
      <c r="AG7400" s="8"/>
    </row>
    <row r="7401" s="7" customFormat="1" spans="33:33">
      <c r="AG7401" s="8"/>
    </row>
    <row r="7402" s="7" customFormat="1" spans="33:33">
      <c r="AG7402" s="8"/>
    </row>
    <row r="7403" s="7" customFormat="1" spans="33:33">
      <c r="AG7403" s="8"/>
    </row>
    <row r="7404" s="7" customFormat="1" spans="33:33">
      <c r="AG7404" s="8"/>
    </row>
    <row r="7405" s="7" customFormat="1" spans="33:33">
      <c r="AG7405" s="8"/>
    </row>
    <row r="7406" s="7" customFormat="1" spans="33:33">
      <c r="AG7406" s="8"/>
    </row>
    <row r="7407" s="7" customFormat="1" spans="33:33">
      <c r="AG7407" s="8"/>
    </row>
    <row r="7408" s="7" customFormat="1" spans="33:33">
      <c r="AG7408" s="8"/>
    </row>
    <row r="7409" s="7" customFormat="1" spans="33:33">
      <c r="AG7409" s="8"/>
    </row>
    <row r="7410" s="7" customFormat="1" spans="33:33">
      <c r="AG7410" s="8"/>
    </row>
    <row r="7411" s="7" customFormat="1" spans="33:33">
      <c r="AG7411" s="8"/>
    </row>
    <row r="7412" s="7" customFormat="1" spans="33:33">
      <c r="AG7412" s="8"/>
    </row>
    <row r="7413" s="7" customFormat="1" spans="33:33">
      <c r="AG7413" s="8"/>
    </row>
    <row r="7414" s="7" customFormat="1" spans="33:33">
      <c r="AG7414" s="8"/>
    </row>
    <row r="7415" s="7" customFormat="1" spans="33:33">
      <c r="AG7415" s="8"/>
    </row>
    <row r="7416" s="7" customFormat="1" spans="33:33">
      <c r="AG7416" s="8"/>
    </row>
    <row r="7417" s="7" customFormat="1" spans="33:33">
      <c r="AG7417" s="8"/>
    </row>
    <row r="7418" s="7" customFormat="1" spans="33:33">
      <c r="AG7418" s="8"/>
    </row>
    <row r="7419" s="7" customFormat="1" spans="33:33">
      <c r="AG7419" s="8"/>
    </row>
    <row r="7420" s="7" customFormat="1" spans="33:33">
      <c r="AG7420" s="8"/>
    </row>
    <row r="7421" s="7" customFormat="1" spans="33:33">
      <c r="AG7421" s="8"/>
    </row>
    <row r="7422" s="7" customFormat="1" spans="33:33">
      <c r="AG7422" s="8"/>
    </row>
    <row r="7423" s="7" customFormat="1" spans="33:33">
      <c r="AG7423" s="8"/>
    </row>
    <row r="7424" s="7" customFormat="1" spans="33:33">
      <c r="AG7424" s="8"/>
    </row>
    <row r="7425" s="7" customFormat="1" spans="33:33">
      <c r="AG7425" s="8"/>
    </row>
    <row r="7426" s="7" customFormat="1" spans="33:33">
      <c r="AG7426" s="8"/>
    </row>
    <row r="7427" s="7" customFormat="1" spans="33:33">
      <c r="AG7427" s="8"/>
    </row>
    <row r="7428" s="7" customFormat="1" spans="33:33">
      <c r="AG7428" s="8"/>
    </row>
    <row r="7429" s="7" customFormat="1" spans="33:33">
      <c r="AG7429" s="8"/>
    </row>
    <row r="7430" s="7" customFormat="1" spans="33:33">
      <c r="AG7430" s="8"/>
    </row>
    <row r="7431" s="7" customFormat="1" spans="33:33">
      <c r="AG7431" s="8"/>
    </row>
    <row r="7432" s="7" customFormat="1" spans="33:33">
      <c r="AG7432" s="8"/>
    </row>
    <row r="7433" s="7" customFormat="1" spans="33:33">
      <c r="AG7433" s="8"/>
    </row>
    <row r="7434" s="7" customFormat="1" spans="33:33">
      <c r="AG7434" s="8"/>
    </row>
    <row r="7435" s="7" customFormat="1" spans="33:33">
      <c r="AG7435" s="8"/>
    </row>
    <row r="7436" s="7" customFormat="1" spans="33:33">
      <c r="AG7436" s="8"/>
    </row>
    <row r="7437" s="7" customFormat="1" spans="33:33">
      <c r="AG7437" s="8"/>
    </row>
    <row r="7438" s="7" customFormat="1" spans="33:33">
      <c r="AG7438" s="8"/>
    </row>
    <row r="7439" s="7" customFormat="1" spans="33:33">
      <c r="AG7439" s="8"/>
    </row>
    <row r="7440" s="7" customFormat="1" spans="33:33">
      <c r="AG7440" s="8"/>
    </row>
    <row r="7441" s="7" customFormat="1" spans="33:33">
      <c r="AG7441" s="8"/>
    </row>
    <row r="7442" s="7" customFormat="1" spans="33:33">
      <c r="AG7442" s="8"/>
    </row>
    <row r="7443" s="7" customFormat="1" spans="33:33">
      <c r="AG7443" s="8"/>
    </row>
    <row r="7444" s="7" customFormat="1" spans="33:33">
      <c r="AG7444" s="8"/>
    </row>
    <row r="7445" s="7" customFormat="1" spans="33:33">
      <c r="AG7445" s="8"/>
    </row>
    <row r="7446" s="7" customFormat="1" spans="33:33">
      <c r="AG7446" s="8"/>
    </row>
    <row r="7447" s="7" customFormat="1" spans="33:33">
      <c r="AG7447" s="8"/>
    </row>
    <row r="7448" s="7" customFormat="1" spans="33:33">
      <c r="AG7448" s="8"/>
    </row>
    <row r="7449" s="7" customFormat="1" spans="33:33">
      <c r="AG7449" s="8"/>
    </row>
    <row r="7450" s="7" customFormat="1" spans="33:33">
      <c r="AG7450" s="8"/>
    </row>
    <row r="7451" s="7" customFormat="1" spans="33:33">
      <c r="AG7451" s="8"/>
    </row>
    <row r="7452" s="7" customFormat="1" spans="33:33">
      <c r="AG7452" s="8"/>
    </row>
    <row r="7453" s="7" customFormat="1" spans="33:33">
      <c r="AG7453" s="8"/>
    </row>
    <row r="7454" s="7" customFormat="1" spans="33:33">
      <c r="AG7454" s="8"/>
    </row>
    <row r="7455" s="7" customFormat="1" spans="33:33">
      <c r="AG7455" s="8"/>
    </row>
    <row r="7456" s="7" customFormat="1" spans="33:33">
      <c r="AG7456" s="8"/>
    </row>
    <row r="7457" s="7" customFormat="1" spans="33:33">
      <c r="AG7457" s="8"/>
    </row>
    <row r="7458" s="7" customFormat="1" spans="33:33">
      <c r="AG7458" s="8"/>
    </row>
    <row r="7459" s="7" customFormat="1" spans="33:33">
      <c r="AG7459" s="8"/>
    </row>
    <row r="7460" s="7" customFormat="1" spans="33:33">
      <c r="AG7460" s="8"/>
    </row>
    <row r="7461" s="7" customFormat="1" spans="33:33">
      <c r="AG7461" s="8"/>
    </row>
    <row r="7462" s="7" customFormat="1" spans="33:33">
      <c r="AG7462" s="8"/>
    </row>
    <row r="7463" s="7" customFormat="1" spans="33:33">
      <c r="AG7463" s="8"/>
    </row>
    <row r="7464" s="7" customFormat="1" spans="33:33">
      <c r="AG7464" s="8"/>
    </row>
    <row r="7465" s="7" customFormat="1" spans="33:33">
      <c r="AG7465" s="8"/>
    </row>
    <row r="7466" s="7" customFormat="1" spans="33:33">
      <c r="AG7466" s="8"/>
    </row>
    <row r="7467" s="7" customFormat="1" spans="33:33">
      <c r="AG7467" s="8"/>
    </row>
    <row r="7468" s="7" customFormat="1" spans="33:33">
      <c r="AG7468" s="8"/>
    </row>
    <row r="7469" s="7" customFormat="1" spans="33:33">
      <c r="AG7469" s="8"/>
    </row>
    <row r="7470" s="7" customFormat="1" spans="33:33">
      <c r="AG7470" s="8"/>
    </row>
    <row r="7471" s="7" customFormat="1" spans="33:33">
      <c r="AG7471" s="8"/>
    </row>
    <row r="7472" s="7" customFormat="1" spans="33:33">
      <c r="AG7472" s="8"/>
    </row>
    <row r="7473" s="7" customFormat="1" spans="33:33">
      <c r="AG7473" s="8"/>
    </row>
    <row r="7474" s="7" customFormat="1" spans="33:33">
      <c r="AG7474" s="8"/>
    </row>
    <row r="7475" s="7" customFormat="1" spans="33:33">
      <c r="AG7475" s="8"/>
    </row>
    <row r="7476" s="7" customFormat="1" spans="33:33">
      <c r="AG7476" s="8"/>
    </row>
    <row r="7477" s="7" customFormat="1" spans="33:33">
      <c r="AG7477" s="8"/>
    </row>
    <row r="7478" s="7" customFormat="1" spans="33:33">
      <c r="AG7478" s="8"/>
    </row>
    <row r="7479" s="7" customFormat="1" spans="33:33">
      <c r="AG7479" s="8"/>
    </row>
    <row r="7480" s="7" customFormat="1" spans="33:33">
      <c r="AG7480" s="8"/>
    </row>
    <row r="7481" s="7" customFormat="1" spans="33:33">
      <c r="AG7481" s="8"/>
    </row>
    <row r="7482" s="7" customFormat="1" spans="33:33">
      <c r="AG7482" s="8"/>
    </row>
    <row r="7483" s="7" customFormat="1" spans="33:33">
      <c r="AG7483" s="8"/>
    </row>
    <row r="7484" s="7" customFormat="1" spans="33:33">
      <c r="AG7484" s="8"/>
    </row>
    <row r="7485" s="7" customFormat="1" spans="33:33">
      <c r="AG7485" s="8"/>
    </row>
    <row r="7486" s="7" customFormat="1" spans="33:33">
      <c r="AG7486" s="8"/>
    </row>
    <row r="7487" s="7" customFormat="1" spans="33:33">
      <c r="AG7487" s="8"/>
    </row>
    <row r="7488" s="7" customFormat="1" spans="33:33">
      <c r="AG7488" s="8"/>
    </row>
    <row r="7489" s="7" customFormat="1" spans="33:33">
      <c r="AG7489" s="8"/>
    </row>
    <row r="7490" s="7" customFormat="1" spans="33:33">
      <c r="AG7490" s="8"/>
    </row>
    <row r="7491" s="7" customFormat="1" spans="33:33">
      <c r="AG7491" s="8"/>
    </row>
    <row r="7492" s="7" customFormat="1" spans="33:33">
      <c r="AG7492" s="8"/>
    </row>
    <row r="7493" s="7" customFormat="1" spans="33:33">
      <c r="AG7493" s="8"/>
    </row>
    <row r="7494" s="7" customFormat="1" spans="33:33">
      <c r="AG7494" s="8"/>
    </row>
    <row r="7495" s="7" customFormat="1" spans="33:33">
      <c r="AG7495" s="8"/>
    </row>
    <row r="7496" s="7" customFormat="1" spans="33:33">
      <c r="AG7496" s="8"/>
    </row>
    <row r="7497" s="7" customFormat="1" spans="33:33">
      <c r="AG7497" s="8"/>
    </row>
    <row r="7498" s="7" customFormat="1" spans="33:33">
      <c r="AG7498" s="8"/>
    </row>
    <row r="7499" s="7" customFormat="1" spans="33:33">
      <c r="AG7499" s="8"/>
    </row>
    <row r="7500" s="7" customFormat="1" spans="33:33">
      <c r="AG7500" s="8"/>
    </row>
    <row r="7501" s="7" customFormat="1" spans="33:33">
      <c r="AG7501" s="8"/>
    </row>
    <row r="7502" s="7" customFormat="1" spans="33:33">
      <c r="AG7502" s="8"/>
    </row>
    <row r="7503" s="7" customFormat="1" spans="33:33">
      <c r="AG7503" s="8"/>
    </row>
    <row r="7504" s="7" customFormat="1" spans="33:33">
      <c r="AG7504" s="8"/>
    </row>
    <row r="7505" s="7" customFormat="1" spans="33:33">
      <c r="AG7505" s="8"/>
    </row>
    <row r="7506" s="7" customFormat="1" spans="33:33">
      <c r="AG7506" s="8"/>
    </row>
    <row r="7507" s="7" customFormat="1" spans="33:33">
      <c r="AG7507" s="8"/>
    </row>
    <row r="7508" s="7" customFormat="1" spans="33:33">
      <c r="AG7508" s="8"/>
    </row>
    <row r="7509" s="7" customFormat="1" spans="33:33">
      <c r="AG7509" s="8"/>
    </row>
    <row r="7510" s="7" customFormat="1" spans="33:33">
      <c r="AG7510" s="8"/>
    </row>
    <row r="7511" s="7" customFormat="1" spans="33:33">
      <c r="AG7511" s="8"/>
    </row>
    <row r="7512" s="7" customFormat="1" spans="33:33">
      <c r="AG7512" s="8"/>
    </row>
    <row r="7513" s="7" customFormat="1" spans="33:33">
      <c r="AG7513" s="8"/>
    </row>
    <row r="7514" s="7" customFormat="1" spans="33:33">
      <c r="AG7514" s="8"/>
    </row>
    <row r="7515" s="7" customFormat="1" spans="33:33">
      <c r="AG7515" s="8"/>
    </row>
    <row r="7516" s="7" customFormat="1" spans="33:33">
      <c r="AG7516" s="8"/>
    </row>
    <row r="7517" s="7" customFormat="1" spans="33:33">
      <c r="AG7517" s="8"/>
    </row>
    <row r="7518" s="7" customFormat="1" spans="33:33">
      <c r="AG7518" s="8"/>
    </row>
    <row r="7519" s="7" customFormat="1" spans="33:33">
      <c r="AG7519" s="8"/>
    </row>
    <row r="7520" s="7" customFormat="1" spans="33:33">
      <c r="AG7520" s="8"/>
    </row>
    <row r="7521" s="7" customFormat="1" spans="33:33">
      <c r="AG7521" s="8"/>
    </row>
    <row r="7522" s="7" customFormat="1" spans="33:33">
      <c r="AG7522" s="8"/>
    </row>
    <row r="7523" s="7" customFormat="1" spans="33:33">
      <c r="AG7523" s="8"/>
    </row>
    <row r="7524" s="7" customFormat="1" spans="33:33">
      <c r="AG7524" s="8"/>
    </row>
    <row r="7525" s="7" customFormat="1" spans="33:33">
      <c r="AG7525" s="8"/>
    </row>
    <row r="7526" s="7" customFormat="1" spans="33:33">
      <c r="AG7526" s="8"/>
    </row>
    <row r="7527" s="7" customFormat="1" spans="33:33">
      <c r="AG7527" s="8"/>
    </row>
    <row r="7528" s="7" customFormat="1" spans="33:33">
      <c r="AG7528" s="8"/>
    </row>
    <row r="7529" s="7" customFormat="1" spans="33:33">
      <c r="AG7529" s="8"/>
    </row>
    <row r="7530" s="7" customFormat="1" spans="33:33">
      <c r="AG7530" s="8"/>
    </row>
    <row r="7531" s="7" customFormat="1" spans="33:33">
      <c r="AG7531" s="8"/>
    </row>
    <row r="7532" s="7" customFormat="1" spans="33:33">
      <c r="AG7532" s="8"/>
    </row>
    <row r="7533" s="7" customFormat="1" spans="33:33">
      <c r="AG7533" s="8"/>
    </row>
    <row r="7534" s="7" customFormat="1" spans="33:33">
      <c r="AG7534" s="8"/>
    </row>
    <row r="7535" s="7" customFormat="1" spans="33:33">
      <c r="AG7535" s="8"/>
    </row>
    <row r="7536" s="7" customFormat="1" spans="33:33">
      <c r="AG7536" s="8"/>
    </row>
    <row r="7537" s="7" customFormat="1" spans="33:33">
      <c r="AG7537" s="8"/>
    </row>
    <row r="7538" s="7" customFormat="1" spans="33:33">
      <c r="AG7538" s="8"/>
    </row>
    <row r="7539" s="7" customFormat="1" spans="33:33">
      <c r="AG7539" s="8"/>
    </row>
    <row r="7540" s="7" customFormat="1" spans="33:33">
      <c r="AG7540" s="8"/>
    </row>
    <row r="7541" s="7" customFormat="1" spans="33:33">
      <c r="AG7541" s="8"/>
    </row>
    <row r="7542" s="7" customFormat="1" spans="33:33">
      <c r="AG7542" s="8"/>
    </row>
    <row r="7543" s="7" customFormat="1" spans="33:33">
      <c r="AG7543" s="8"/>
    </row>
    <row r="7544" s="7" customFormat="1" spans="33:33">
      <c r="AG7544" s="8"/>
    </row>
    <row r="7545" s="7" customFormat="1" spans="33:33">
      <c r="AG7545" s="8"/>
    </row>
    <row r="7546" s="7" customFormat="1" spans="33:33">
      <c r="AG7546" s="8"/>
    </row>
    <row r="7547" s="7" customFormat="1" spans="33:33">
      <c r="AG7547" s="3"/>
    </row>
    <row r="7548" s="7" customFormat="1" spans="33:33">
      <c r="AG7548" s="3"/>
    </row>
    <row r="7549" s="7" customFormat="1" spans="33:33">
      <c r="AG7549" s="3"/>
    </row>
    <row r="7550" s="7" customFormat="1" spans="33:33">
      <c r="AG7550" s="3"/>
    </row>
    <row r="7551" s="7" customFormat="1" spans="33:33">
      <c r="AG7551" s="3"/>
    </row>
    <row r="7552" s="7" customFormat="1" spans="33:33">
      <c r="AG7552" s="3"/>
    </row>
    <row r="7553" s="7" customFormat="1" spans="33:33">
      <c r="AG7553" s="3"/>
    </row>
    <row r="7554" s="7" customFormat="1" spans="33:33">
      <c r="AG7554" s="3"/>
    </row>
    <row r="7555" s="7" customFormat="1" spans="33:33">
      <c r="AG7555" s="3"/>
    </row>
    <row r="7556" s="7" customFormat="1" spans="33:33">
      <c r="AG7556" s="3"/>
    </row>
    <row r="7557" s="7" customFormat="1" spans="33:33">
      <c r="AG7557" s="3"/>
    </row>
    <row r="7558" s="7" customFormat="1" spans="33:33">
      <c r="AG7558" s="3"/>
    </row>
    <row r="7559" s="7" customFormat="1" spans="33:33">
      <c r="AG7559" s="3"/>
    </row>
    <row r="7560" s="7" customFormat="1" spans="33:33">
      <c r="AG7560" s="3"/>
    </row>
    <row r="7561" s="7" customFormat="1" spans="33:33">
      <c r="AG7561" s="3"/>
    </row>
    <row r="7562" s="7" customFormat="1" spans="33:33">
      <c r="AG7562" s="3"/>
    </row>
    <row r="7563" s="7" customFormat="1" spans="33:33">
      <c r="AG7563" s="3"/>
    </row>
    <row r="7564" s="7" customFormat="1" spans="33:33">
      <c r="AG7564" s="3"/>
    </row>
    <row r="7565" s="7" customFormat="1" spans="33:33">
      <c r="AG7565" s="3"/>
    </row>
    <row r="7566" s="7" customFormat="1" spans="33:33">
      <c r="AG7566" s="3"/>
    </row>
    <row r="7567" s="7" customFormat="1" spans="33:33">
      <c r="AG7567" s="3"/>
    </row>
    <row r="7568" s="7" customFormat="1" spans="33:33">
      <c r="AG7568" s="3"/>
    </row>
    <row r="7569" s="7" customFormat="1" spans="33:33">
      <c r="AG7569" s="3"/>
    </row>
    <row r="7570" s="7" customFormat="1" spans="33:33">
      <c r="AG7570" s="3"/>
    </row>
    <row r="7571" s="7" customFormat="1" spans="33:33">
      <c r="AG7571" s="3"/>
    </row>
    <row r="7572" s="7" customFormat="1" spans="33:33">
      <c r="AG7572" s="3"/>
    </row>
    <row r="7573" s="7" customFormat="1" spans="33:33">
      <c r="AG7573" s="3"/>
    </row>
    <row r="7574" s="7" customFormat="1" spans="33:33">
      <c r="AG7574" s="3"/>
    </row>
    <row r="7575" s="7" customFormat="1" spans="33:33">
      <c r="AG7575" s="3"/>
    </row>
    <row r="7576" s="7" customFormat="1" spans="33:33">
      <c r="AG7576" s="3"/>
    </row>
    <row r="7577" s="7" customFormat="1" spans="33:33">
      <c r="AG7577" s="3"/>
    </row>
    <row r="7578" s="7" customFormat="1" spans="33:33">
      <c r="AG7578" s="3"/>
    </row>
    <row r="7579" s="7" customFormat="1" spans="33:33">
      <c r="AG7579" s="3"/>
    </row>
    <row r="7580" s="7" customFormat="1" spans="33:33">
      <c r="AG7580" s="3"/>
    </row>
    <row r="7581" s="7" customFormat="1" spans="33:33">
      <c r="AG7581" s="3"/>
    </row>
    <row r="7582" s="7" customFormat="1" spans="33:33">
      <c r="AG7582" s="3"/>
    </row>
    <row r="7583" s="7" customFormat="1" spans="33:33">
      <c r="AG7583" s="3"/>
    </row>
    <row r="7584" s="7" customFormat="1" spans="33:33">
      <c r="AG7584" s="3"/>
    </row>
    <row r="7585" s="7" customFormat="1" spans="33:33">
      <c r="AG7585" s="3"/>
    </row>
    <row r="7586" s="7" customFormat="1" spans="33:33">
      <c r="AG7586" s="3"/>
    </row>
    <row r="7587" s="7" customFormat="1" spans="33:33">
      <c r="AG7587" s="3"/>
    </row>
    <row r="7588" s="7" customFormat="1" spans="33:33">
      <c r="AG7588" s="3"/>
    </row>
    <row r="7589" s="7" customFormat="1" spans="33:33">
      <c r="AG7589" s="3"/>
    </row>
    <row r="7590" s="7" customFormat="1" spans="33:33">
      <c r="AG7590" s="3"/>
    </row>
    <row r="7591" s="7" customFormat="1" spans="33:33">
      <c r="AG7591" s="3"/>
    </row>
    <row r="7592" s="7" customFormat="1" spans="33:33">
      <c r="AG7592" s="3"/>
    </row>
    <row r="7593" s="7" customFormat="1" spans="33:33">
      <c r="AG7593" s="3"/>
    </row>
    <row r="7594" s="7" customFormat="1" spans="33:33">
      <c r="AG7594" s="3"/>
    </row>
    <row r="7595" s="7" customFormat="1" spans="33:33">
      <c r="AG7595" s="3"/>
    </row>
    <row r="7596" s="7" customFormat="1" spans="33:33">
      <c r="AG7596" s="3"/>
    </row>
    <row r="7597" s="7" customFormat="1" spans="33:33">
      <c r="AG7597" s="3"/>
    </row>
    <row r="7598" s="7" customFormat="1" spans="33:33">
      <c r="AG7598" s="3"/>
    </row>
    <row r="7599" s="7" customFormat="1" spans="33:33">
      <c r="AG7599" s="3"/>
    </row>
    <row r="7600" s="7" customFormat="1" spans="33:33">
      <c r="AG7600" s="3"/>
    </row>
    <row r="7601" s="7" customFormat="1" spans="33:33">
      <c r="AG7601" s="3"/>
    </row>
    <row r="7602" s="7" customFormat="1" spans="33:33">
      <c r="AG7602" s="3"/>
    </row>
    <row r="7603" s="7" customFormat="1" spans="33:33">
      <c r="AG7603" s="3"/>
    </row>
    <row r="7604" s="7" customFormat="1" spans="33:33">
      <c r="AG7604" s="3"/>
    </row>
    <row r="7605" s="7" customFormat="1" spans="33:33">
      <c r="AG7605" s="3"/>
    </row>
    <row r="7606" s="7" customFormat="1" spans="33:33">
      <c r="AG7606" s="3"/>
    </row>
    <row r="7607" s="7" customFormat="1" spans="33:33">
      <c r="AG7607" s="3"/>
    </row>
    <row r="7608" s="7" customFormat="1" spans="33:33">
      <c r="AG7608" s="3"/>
    </row>
    <row r="7609" s="7" customFormat="1" spans="33:33">
      <c r="AG7609" s="3"/>
    </row>
    <row r="7610" s="7" customFormat="1" spans="33:33">
      <c r="AG7610" s="3"/>
    </row>
    <row r="7611" s="7" customFormat="1" spans="33:33">
      <c r="AG7611" s="3"/>
    </row>
    <row r="7612" s="7" customFormat="1" spans="33:33">
      <c r="AG7612" s="3"/>
    </row>
    <row r="7613" s="7" customFormat="1" spans="33:33">
      <c r="AG7613" s="3"/>
    </row>
    <row r="7614" s="7" customFormat="1" spans="33:33">
      <c r="AG7614" s="3"/>
    </row>
    <row r="7615" s="7" customFormat="1" spans="33:33">
      <c r="AG7615" s="3"/>
    </row>
    <row r="7616" s="7" customFormat="1" spans="33:33">
      <c r="AG7616" s="3"/>
    </row>
    <row r="7617" s="7" customFormat="1" spans="33:33">
      <c r="AG7617" s="3"/>
    </row>
    <row r="7618" s="7" customFormat="1" spans="33:33">
      <c r="AG7618" s="3"/>
    </row>
    <row r="7619" s="7" customFormat="1" spans="33:33">
      <c r="AG7619" s="3"/>
    </row>
    <row r="7620" s="7" customFormat="1" spans="33:33">
      <c r="AG7620" s="3"/>
    </row>
    <row r="7621" s="7" customFormat="1" spans="33:33">
      <c r="AG7621" s="3"/>
    </row>
    <row r="7622" s="7" customFormat="1" spans="33:33">
      <c r="AG7622" s="3"/>
    </row>
    <row r="7623" s="7" customFormat="1" spans="33:33">
      <c r="AG7623" s="3"/>
    </row>
    <row r="7624" s="7" customFormat="1" spans="33:33">
      <c r="AG7624" s="3"/>
    </row>
    <row r="7625" s="7" customFormat="1" spans="33:33">
      <c r="AG7625" s="3"/>
    </row>
    <row r="7626" s="7" customFormat="1" spans="33:33">
      <c r="AG7626" s="3"/>
    </row>
    <row r="7627" s="7" customFormat="1" spans="33:33">
      <c r="AG7627" s="3"/>
    </row>
    <row r="7628" s="7" customFormat="1" spans="33:33">
      <c r="AG7628" s="3"/>
    </row>
    <row r="7629" s="7" customFormat="1" spans="33:33">
      <c r="AG7629" s="3"/>
    </row>
    <row r="7630" s="7" customFormat="1" spans="33:33">
      <c r="AG7630" s="3"/>
    </row>
    <row r="7631" s="7" customFormat="1" spans="33:33">
      <c r="AG7631" s="3"/>
    </row>
    <row r="7632" s="7" customFormat="1" spans="33:33">
      <c r="AG7632" s="3"/>
    </row>
    <row r="7633" s="7" customFormat="1" spans="33:33">
      <c r="AG7633" s="3"/>
    </row>
    <row r="7634" s="7" customFormat="1" spans="33:33">
      <c r="AG7634" s="3"/>
    </row>
    <row r="7635" s="7" customFormat="1" spans="33:33">
      <c r="AG7635" s="3"/>
    </row>
    <row r="7636" s="7" customFormat="1" spans="33:33">
      <c r="AG7636" s="3"/>
    </row>
    <row r="7637" s="7" customFormat="1" spans="33:33">
      <c r="AG7637" s="3"/>
    </row>
    <row r="7638" s="7" customFormat="1" spans="33:33">
      <c r="AG7638" s="3"/>
    </row>
    <row r="7639" s="7" customFormat="1" spans="33:33">
      <c r="AG7639" s="3"/>
    </row>
    <row r="7640" s="7" customFormat="1" spans="33:33">
      <c r="AG7640" s="3"/>
    </row>
    <row r="7641" s="7" customFormat="1" spans="33:33">
      <c r="AG7641" s="3"/>
    </row>
    <row r="7642" s="7" customFormat="1" spans="33:33">
      <c r="AG7642" s="3"/>
    </row>
    <row r="7643" s="7" customFormat="1" spans="33:33">
      <c r="AG7643" s="3"/>
    </row>
    <row r="7644" s="7" customFormat="1" spans="33:33">
      <c r="AG7644" s="3"/>
    </row>
    <row r="7645" s="7" customFormat="1" spans="33:33">
      <c r="AG7645" s="3"/>
    </row>
    <row r="7646" s="7" customFormat="1" spans="33:33">
      <c r="AG7646" s="3"/>
    </row>
    <row r="7647" s="7" customFormat="1" spans="33:33">
      <c r="AG7647" s="3"/>
    </row>
    <row r="7648" s="7" customFormat="1" spans="33:33">
      <c r="AG7648" s="3"/>
    </row>
    <row r="7649" s="7" customFormat="1" spans="33:33">
      <c r="AG7649" s="3"/>
    </row>
    <row r="7650" s="7" customFormat="1" spans="33:33">
      <c r="AG7650" s="3"/>
    </row>
    <row r="7651" s="7" customFormat="1" spans="33:33">
      <c r="AG7651" s="3"/>
    </row>
    <row r="7652" s="7" customFormat="1" spans="33:33">
      <c r="AG7652" s="3"/>
    </row>
    <row r="7653" s="7" customFormat="1" spans="33:33">
      <c r="AG7653" s="3"/>
    </row>
    <row r="7654" s="7" customFormat="1" spans="33:33">
      <c r="AG7654" s="3"/>
    </row>
    <row r="7655" s="7" customFormat="1" spans="33:33">
      <c r="AG7655" s="3"/>
    </row>
    <row r="7656" s="7" customFormat="1" spans="33:33">
      <c r="AG7656" s="3"/>
    </row>
    <row r="7657" s="7" customFormat="1" spans="33:33">
      <c r="AG7657" s="3"/>
    </row>
    <row r="7658" s="7" customFormat="1" spans="33:33">
      <c r="AG7658" s="3"/>
    </row>
    <row r="7659" s="7" customFormat="1" spans="33:33">
      <c r="AG7659" s="3"/>
    </row>
    <row r="7660" s="7" customFormat="1" spans="33:33">
      <c r="AG7660" s="3"/>
    </row>
    <row r="7661" s="7" customFormat="1" spans="33:33">
      <c r="AG7661" s="3"/>
    </row>
    <row r="7662" s="7" customFormat="1" spans="33:33">
      <c r="AG7662" s="3"/>
    </row>
    <row r="7663" s="7" customFormat="1" spans="33:33">
      <c r="AG7663" s="3"/>
    </row>
    <row r="7664" s="7" customFormat="1" spans="33:33">
      <c r="AG7664" s="3"/>
    </row>
    <row r="7665" s="7" customFormat="1" spans="33:33">
      <c r="AG7665" s="3"/>
    </row>
    <row r="7666" s="7" customFormat="1" spans="33:33">
      <c r="AG7666" s="3"/>
    </row>
    <row r="7667" s="7" customFormat="1" spans="33:33">
      <c r="AG7667" s="3"/>
    </row>
    <row r="7668" s="7" customFormat="1" spans="33:33">
      <c r="AG7668" s="3"/>
    </row>
    <row r="7669" s="7" customFormat="1" spans="33:33">
      <c r="AG7669" s="3"/>
    </row>
    <row r="7670" s="7" customFormat="1" spans="33:33">
      <c r="AG7670" s="3"/>
    </row>
    <row r="7671" s="7" customFormat="1" spans="33:33">
      <c r="AG7671" s="3"/>
    </row>
    <row r="7672" s="7" customFormat="1" spans="33:33">
      <c r="AG7672" s="3"/>
    </row>
    <row r="7673" s="7" customFormat="1" spans="33:33">
      <c r="AG7673" s="3"/>
    </row>
    <row r="7674" s="7" customFormat="1" spans="33:33">
      <c r="AG7674" s="3"/>
    </row>
    <row r="7675" s="7" customFormat="1" spans="33:33">
      <c r="AG7675" s="3"/>
    </row>
    <row r="7676" s="7" customFormat="1" spans="33:33">
      <c r="AG7676" s="3"/>
    </row>
    <row r="7677" s="7" customFormat="1" spans="33:33">
      <c r="AG7677" s="3"/>
    </row>
    <row r="7678" s="7" customFormat="1" spans="33:33">
      <c r="AG7678" s="3"/>
    </row>
    <row r="7679" s="7" customFormat="1" spans="33:33">
      <c r="AG7679" s="3"/>
    </row>
    <row r="7680" s="7" customFormat="1" spans="33:33">
      <c r="AG7680" s="3"/>
    </row>
    <row r="7681" s="7" customFormat="1" spans="33:33">
      <c r="AG7681" s="3"/>
    </row>
    <row r="7682" s="7" customFormat="1" spans="33:33">
      <c r="AG7682" s="3"/>
    </row>
    <row r="7683" s="7" customFormat="1" spans="33:33">
      <c r="AG7683" s="3"/>
    </row>
    <row r="7684" s="7" customFormat="1" spans="33:33">
      <c r="AG7684" s="3"/>
    </row>
    <row r="7685" s="7" customFormat="1" spans="33:33">
      <c r="AG7685" s="3"/>
    </row>
    <row r="7686" s="7" customFormat="1" spans="33:33">
      <c r="AG7686" s="3"/>
    </row>
    <row r="7687" s="7" customFormat="1" spans="33:33">
      <c r="AG7687" s="3"/>
    </row>
    <row r="7688" s="7" customFormat="1" spans="33:33">
      <c r="AG7688" s="3"/>
    </row>
    <row r="7689" s="7" customFormat="1" spans="33:33">
      <c r="AG7689" s="3"/>
    </row>
    <row r="7690" s="7" customFormat="1" spans="33:33">
      <c r="AG7690" s="3"/>
    </row>
    <row r="7691" s="7" customFormat="1" spans="33:33">
      <c r="AG7691" s="3"/>
    </row>
    <row r="7692" s="7" customFormat="1" spans="33:33">
      <c r="AG7692" s="3"/>
    </row>
    <row r="7693" s="7" customFormat="1" spans="33:33">
      <c r="AG7693" s="3"/>
    </row>
    <row r="7694" s="7" customFormat="1" spans="33:33">
      <c r="AG7694" s="3"/>
    </row>
    <row r="7695" s="7" customFormat="1" spans="33:33">
      <c r="AG7695" s="3"/>
    </row>
    <row r="7696" s="7" customFormat="1" spans="33:33">
      <c r="AG7696" s="3"/>
    </row>
    <row r="7697" s="7" customFormat="1" spans="33:33">
      <c r="AG7697" s="3"/>
    </row>
    <row r="7698" s="7" customFormat="1" spans="33:33">
      <c r="AG7698" s="3"/>
    </row>
    <row r="7699" s="7" customFormat="1" spans="33:33">
      <c r="AG7699" s="3"/>
    </row>
    <row r="7700" s="7" customFormat="1" spans="33:33">
      <c r="AG7700" s="3"/>
    </row>
    <row r="7701" s="7" customFormat="1" spans="33:33">
      <c r="AG7701" s="3"/>
    </row>
    <row r="7702" s="7" customFormat="1" spans="33:33">
      <c r="AG7702" s="3"/>
    </row>
    <row r="7703" s="7" customFormat="1" spans="33:33">
      <c r="AG7703" s="3"/>
    </row>
    <row r="7704" s="7" customFormat="1" spans="33:33">
      <c r="AG7704" s="3"/>
    </row>
    <row r="7705" s="7" customFormat="1" spans="33:33">
      <c r="AG7705" s="3"/>
    </row>
    <row r="7706" s="7" customFormat="1" spans="33:33">
      <c r="AG7706" s="3"/>
    </row>
    <row r="7707" s="7" customFormat="1" spans="33:33">
      <c r="AG7707" s="3"/>
    </row>
    <row r="7708" s="7" customFormat="1" spans="33:33">
      <c r="AG7708" s="3"/>
    </row>
    <row r="7709" s="7" customFormat="1" spans="33:33">
      <c r="AG7709" s="3"/>
    </row>
    <row r="7710" s="7" customFormat="1" spans="33:33">
      <c r="AG7710" s="3"/>
    </row>
    <row r="7711" s="7" customFormat="1" spans="33:33">
      <c r="AG7711" s="3"/>
    </row>
    <row r="7712" s="7" customFormat="1" spans="33:33">
      <c r="AG7712" s="3"/>
    </row>
    <row r="7713" s="7" customFormat="1" spans="33:33">
      <c r="AG7713" s="3"/>
    </row>
    <row r="7714" s="7" customFormat="1" spans="33:33">
      <c r="AG7714" s="3"/>
    </row>
    <row r="7715" s="7" customFormat="1" spans="33:33">
      <c r="AG7715" s="3"/>
    </row>
    <row r="7716" s="7" customFormat="1" spans="33:33">
      <c r="AG7716" s="3"/>
    </row>
    <row r="7717" s="7" customFormat="1" spans="33:33">
      <c r="AG7717" s="3"/>
    </row>
    <row r="7718" s="7" customFormat="1" spans="33:33">
      <c r="AG7718" s="3"/>
    </row>
    <row r="7719" s="7" customFormat="1" spans="33:33">
      <c r="AG7719" s="3"/>
    </row>
    <row r="7720" s="7" customFormat="1" spans="33:33">
      <c r="AG7720" s="3"/>
    </row>
    <row r="7721" s="7" customFormat="1" spans="33:33">
      <c r="AG7721" s="3"/>
    </row>
    <row r="7722" s="7" customFormat="1" spans="33:33">
      <c r="AG7722" s="3"/>
    </row>
    <row r="7723" s="7" customFormat="1" spans="33:33">
      <c r="AG7723" s="3"/>
    </row>
    <row r="7724" s="7" customFormat="1" spans="33:33">
      <c r="AG7724" s="3"/>
    </row>
    <row r="7725" s="7" customFormat="1" spans="33:33">
      <c r="AG7725" s="3"/>
    </row>
    <row r="7726" s="7" customFormat="1" spans="33:33">
      <c r="AG7726" s="3"/>
    </row>
    <row r="7727" s="7" customFormat="1" spans="33:33">
      <c r="AG7727" s="3"/>
    </row>
    <row r="7728" s="7" customFormat="1" spans="33:33">
      <c r="AG7728" s="3"/>
    </row>
    <row r="7729" s="7" customFormat="1" spans="33:33">
      <c r="AG7729" s="3"/>
    </row>
    <row r="7730" s="7" customFormat="1" spans="33:33">
      <c r="AG7730" s="3"/>
    </row>
    <row r="7731" s="7" customFormat="1" spans="33:33">
      <c r="AG7731" s="3"/>
    </row>
    <row r="7732" s="7" customFormat="1" spans="33:33">
      <c r="AG7732" s="3"/>
    </row>
    <row r="7733" s="7" customFormat="1" spans="33:33">
      <c r="AG7733" s="3"/>
    </row>
    <row r="7734" s="7" customFormat="1" spans="33:33">
      <c r="AG7734" s="3"/>
    </row>
    <row r="7735" s="7" customFormat="1" spans="33:33">
      <c r="AG7735" s="3"/>
    </row>
    <row r="7736" s="7" customFormat="1" spans="33:33">
      <c r="AG7736" s="3"/>
    </row>
    <row r="7737" s="7" customFormat="1" spans="33:33">
      <c r="AG7737" s="3"/>
    </row>
    <row r="7738" s="7" customFormat="1" spans="33:33">
      <c r="AG7738" s="3"/>
    </row>
    <row r="7739" s="7" customFormat="1" spans="33:33">
      <c r="AG7739" s="3"/>
    </row>
    <row r="7740" s="7" customFormat="1" spans="33:33">
      <c r="AG7740" s="3"/>
    </row>
    <row r="7741" s="7" customFormat="1" spans="33:33">
      <c r="AG7741" s="3"/>
    </row>
    <row r="7742" s="7" customFormat="1" spans="33:33">
      <c r="AG7742" s="3"/>
    </row>
    <row r="7743" s="7" customFormat="1" spans="33:33">
      <c r="AG7743" s="3"/>
    </row>
    <row r="7744" s="7" customFormat="1" spans="33:33">
      <c r="AG7744" s="3"/>
    </row>
    <row r="7745" s="7" customFormat="1" spans="33:33">
      <c r="AG7745" s="3"/>
    </row>
    <row r="7746" s="7" customFormat="1" spans="33:33">
      <c r="AG7746" s="3"/>
    </row>
    <row r="7747" s="7" customFormat="1" spans="33:33">
      <c r="AG7747" s="3"/>
    </row>
    <row r="7748" s="7" customFormat="1" spans="33:33">
      <c r="AG7748" s="3"/>
    </row>
    <row r="7749" s="7" customFormat="1" spans="33:33">
      <c r="AG7749" s="3"/>
    </row>
    <row r="7750" s="7" customFormat="1" spans="33:33">
      <c r="AG7750" s="3"/>
    </row>
    <row r="7751" s="7" customFormat="1" spans="33:33">
      <c r="AG7751" s="3"/>
    </row>
    <row r="7752" s="7" customFormat="1" spans="33:33">
      <c r="AG7752" s="3"/>
    </row>
    <row r="7753" s="7" customFormat="1" spans="33:33">
      <c r="AG7753" s="3"/>
    </row>
    <row r="7754" s="7" customFormat="1" spans="33:33">
      <c r="AG7754" s="3"/>
    </row>
    <row r="7755" s="7" customFormat="1" spans="33:33">
      <c r="AG7755" s="3"/>
    </row>
    <row r="7756" s="7" customFormat="1" spans="33:33">
      <c r="AG7756" s="3"/>
    </row>
    <row r="7757" s="7" customFormat="1" spans="33:33">
      <c r="AG7757" s="3"/>
    </row>
    <row r="7758" s="7" customFormat="1" spans="33:33">
      <c r="AG7758" s="3"/>
    </row>
    <row r="7759" s="7" customFormat="1" spans="33:33">
      <c r="AG7759" s="3"/>
    </row>
    <row r="7760" s="7" customFormat="1" spans="33:33">
      <c r="AG7760" s="3"/>
    </row>
    <row r="7761" s="7" customFormat="1" spans="33:33">
      <c r="AG7761" s="3"/>
    </row>
    <row r="7762" s="7" customFormat="1" spans="33:33">
      <c r="AG7762" s="3"/>
    </row>
    <row r="7763" s="7" customFormat="1" spans="33:33">
      <c r="AG7763" s="3"/>
    </row>
    <row r="7764" s="7" customFormat="1" spans="33:33">
      <c r="AG7764" s="3"/>
    </row>
    <row r="7765" s="7" customFormat="1" spans="33:33">
      <c r="AG7765" s="3"/>
    </row>
    <row r="7766" s="7" customFormat="1" spans="33:33">
      <c r="AG7766" s="3"/>
    </row>
    <row r="7767" s="7" customFormat="1" spans="33:33">
      <c r="AG7767" s="3"/>
    </row>
    <row r="7768" s="7" customFormat="1" spans="33:33">
      <c r="AG7768" s="3"/>
    </row>
    <row r="7769" s="7" customFormat="1" spans="33:33">
      <c r="AG7769" s="3"/>
    </row>
    <row r="7770" s="7" customFormat="1" spans="33:33">
      <c r="AG7770" s="3"/>
    </row>
    <row r="7771" s="7" customFormat="1" spans="33:33">
      <c r="AG7771" s="3"/>
    </row>
    <row r="7772" s="7" customFormat="1" spans="33:33">
      <c r="AG7772" s="3"/>
    </row>
    <row r="7773" s="7" customFormat="1" spans="33:33">
      <c r="AG7773" s="3"/>
    </row>
    <row r="7774" s="7" customFormat="1" spans="33:33">
      <c r="AG7774" s="3"/>
    </row>
    <row r="7775" s="7" customFormat="1" spans="33:33">
      <c r="AG7775" s="3"/>
    </row>
    <row r="7776" s="7" customFormat="1" spans="33:33">
      <c r="AG7776" s="3"/>
    </row>
    <row r="7777" s="7" customFormat="1" spans="33:33">
      <c r="AG7777" s="3"/>
    </row>
    <row r="7778" s="7" customFormat="1" spans="33:33">
      <c r="AG7778" s="3"/>
    </row>
    <row r="7779" s="7" customFormat="1" spans="33:33">
      <c r="AG7779" s="3"/>
    </row>
    <row r="7780" s="7" customFormat="1" spans="33:33">
      <c r="AG7780" s="3"/>
    </row>
    <row r="7781" s="7" customFormat="1" spans="33:33">
      <c r="AG7781" s="3"/>
    </row>
    <row r="7782" s="7" customFormat="1" spans="33:33">
      <c r="AG7782" s="3"/>
    </row>
    <row r="7783" s="7" customFormat="1" spans="33:33">
      <c r="AG7783" s="3"/>
    </row>
    <row r="7784" s="7" customFormat="1" spans="33:33">
      <c r="AG7784" s="3"/>
    </row>
    <row r="7785" s="7" customFormat="1" spans="33:33">
      <c r="AG7785" s="3"/>
    </row>
    <row r="7786" s="7" customFormat="1" spans="33:33">
      <c r="AG7786" s="3"/>
    </row>
    <row r="7787" s="7" customFormat="1" spans="33:33">
      <c r="AG7787" s="3"/>
    </row>
    <row r="7788" s="7" customFormat="1" spans="33:33">
      <c r="AG7788" s="3"/>
    </row>
    <row r="7789" s="7" customFormat="1" spans="33:33">
      <c r="AG7789" s="3"/>
    </row>
    <row r="7790" s="7" customFormat="1" spans="33:33">
      <c r="AG7790" s="3"/>
    </row>
    <row r="7791" s="7" customFormat="1" spans="33:33">
      <c r="AG7791" s="3"/>
    </row>
    <row r="7792" s="7" customFormat="1" spans="33:33">
      <c r="AG7792" s="3"/>
    </row>
    <row r="7793" s="7" customFormat="1" spans="33:33">
      <c r="AG7793" s="3"/>
    </row>
    <row r="7794" s="7" customFormat="1" spans="33:33">
      <c r="AG7794" s="3"/>
    </row>
    <row r="7795" s="7" customFormat="1" spans="33:33">
      <c r="AG7795" s="3"/>
    </row>
    <row r="7796" s="7" customFormat="1" spans="33:33">
      <c r="AG7796" s="3"/>
    </row>
    <row r="7797" s="7" customFormat="1" spans="33:33">
      <c r="AG7797" s="3"/>
    </row>
    <row r="7798" s="7" customFormat="1" spans="33:33">
      <c r="AG7798" s="3"/>
    </row>
    <row r="7799" s="7" customFormat="1" spans="33:33">
      <c r="AG7799" s="3"/>
    </row>
    <row r="7800" s="7" customFormat="1" spans="33:33">
      <c r="AG7800" s="3"/>
    </row>
    <row r="7801" s="7" customFormat="1" spans="33:33">
      <c r="AG7801" s="3"/>
    </row>
    <row r="7802" s="7" customFormat="1" spans="33:33">
      <c r="AG7802" s="3"/>
    </row>
    <row r="7803" s="7" customFormat="1" spans="33:33">
      <c r="AG7803" s="3"/>
    </row>
    <row r="7804" s="7" customFormat="1" spans="33:33">
      <c r="AG7804" s="3"/>
    </row>
    <row r="7805" s="7" customFormat="1" spans="33:33">
      <c r="AG7805" s="3"/>
    </row>
    <row r="7806" s="7" customFormat="1" spans="33:33">
      <c r="AG7806" s="3"/>
    </row>
    <row r="7807" s="7" customFormat="1" spans="33:33">
      <c r="AG7807" s="3"/>
    </row>
    <row r="7808" s="7" customFormat="1" spans="33:33">
      <c r="AG7808" s="3"/>
    </row>
    <row r="7809" s="7" customFormat="1" spans="33:33">
      <c r="AG7809" s="3"/>
    </row>
    <row r="7810" s="7" customFormat="1" spans="33:33">
      <c r="AG7810" s="3"/>
    </row>
    <row r="7811" s="7" customFormat="1" spans="33:33">
      <c r="AG7811" s="3"/>
    </row>
    <row r="7812" s="7" customFormat="1" spans="33:33">
      <c r="AG7812" s="3"/>
    </row>
    <row r="7813" s="7" customFormat="1" spans="33:33">
      <c r="AG7813" s="3"/>
    </row>
    <row r="7814" s="7" customFormat="1" spans="33:33">
      <c r="AG7814" s="3"/>
    </row>
    <row r="7815" s="7" customFormat="1" spans="33:33">
      <c r="AG7815" s="3"/>
    </row>
    <row r="7816" s="7" customFormat="1" spans="33:33">
      <c r="AG7816" s="3"/>
    </row>
    <row r="7817" s="7" customFormat="1" spans="33:33">
      <c r="AG7817" s="3"/>
    </row>
    <row r="7818" s="7" customFormat="1" spans="33:33">
      <c r="AG7818" s="3"/>
    </row>
    <row r="7819" s="7" customFormat="1" spans="33:33">
      <c r="AG7819" s="3"/>
    </row>
    <row r="7820" s="7" customFormat="1" spans="33:33">
      <c r="AG7820" s="3"/>
    </row>
    <row r="7821" s="7" customFormat="1" spans="33:33">
      <c r="AG7821" s="3"/>
    </row>
    <row r="7822" s="7" customFormat="1" spans="33:33">
      <c r="AG7822" s="3"/>
    </row>
    <row r="7823" s="7" customFormat="1" spans="33:33">
      <c r="AG7823" s="3"/>
    </row>
    <row r="7824" s="7" customFormat="1" spans="33:33">
      <c r="AG7824" s="3"/>
    </row>
    <row r="7825" s="7" customFormat="1" spans="33:33">
      <c r="AG7825" s="3"/>
    </row>
    <row r="7826" s="7" customFormat="1" spans="33:33">
      <c r="AG7826" s="3"/>
    </row>
    <row r="7827" s="7" customFormat="1" spans="33:33">
      <c r="AG7827" s="3"/>
    </row>
    <row r="7828" s="7" customFormat="1" spans="33:33">
      <c r="AG7828" s="3"/>
    </row>
    <row r="7829" s="7" customFormat="1" spans="33:33">
      <c r="AG7829" s="3"/>
    </row>
    <row r="7830" s="7" customFormat="1" spans="33:33">
      <c r="AG7830" s="3"/>
    </row>
    <row r="7831" s="7" customFormat="1" spans="33:33">
      <c r="AG7831" s="3"/>
    </row>
    <row r="7832" s="7" customFormat="1" spans="33:33">
      <c r="AG7832" s="3"/>
    </row>
    <row r="7833" s="7" customFormat="1" spans="33:33">
      <c r="AG7833" s="3"/>
    </row>
    <row r="7834" s="7" customFormat="1" spans="33:33">
      <c r="AG7834" s="3"/>
    </row>
    <row r="7835" s="7" customFormat="1" spans="33:33">
      <c r="AG7835" s="3"/>
    </row>
    <row r="7836" s="7" customFormat="1" spans="33:33">
      <c r="AG7836" s="3"/>
    </row>
    <row r="7837" s="7" customFormat="1" spans="33:33">
      <c r="AG7837" s="3"/>
    </row>
    <row r="7838" s="7" customFormat="1" spans="33:33">
      <c r="AG7838" s="3"/>
    </row>
    <row r="7839" s="7" customFormat="1" spans="33:33">
      <c r="AG7839" s="3"/>
    </row>
    <row r="7840" s="7" customFormat="1" spans="33:33">
      <c r="AG7840" s="3"/>
    </row>
    <row r="7841" s="7" customFormat="1" spans="33:33">
      <c r="AG7841" s="3"/>
    </row>
    <row r="7842" s="7" customFormat="1" spans="33:33">
      <c r="AG7842" s="3"/>
    </row>
    <row r="7843" s="7" customFormat="1" spans="33:33">
      <c r="AG7843" s="3"/>
    </row>
    <row r="7844" s="7" customFormat="1" spans="33:33">
      <c r="AG7844" s="3"/>
    </row>
    <row r="7845" s="7" customFormat="1" spans="33:33">
      <c r="AG7845" s="3"/>
    </row>
    <row r="7846" s="7" customFormat="1" spans="33:33">
      <c r="AG7846" s="3"/>
    </row>
    <row r="7847" s="7" customFormat="1" spans="33:33">
      <c r="AG7847" s="3"/>
    </row>
    <row r="7848" s="7" customFormat="1" spans="33:33">
      <c r="AG7848" s="3"/>
    </row>
    <row r="7849" s="7" customFormat="1" spans="33:33">
      <c r="AG7849" s="3"/>
    </row>
    <row r="7850" s="7" customFormat="1" spans="33:33">
      <c r="AG7850" s="3"/>
    </row>
    <row r="7851" s="7" customFormat="1" spans="33:33">
      <c r="AG7851" s="3"/>
    </row>
    <row r="7852" s="7" customFormat="1" spans="33:33">
      <c r="AG7852" s="3"/>
    </row>
    <row r="7853" s="7" customFormat="1" spans="33:33">
      <c r="AG7853" s="3"/>
    </row>
    <row r="7854" s="7" customFormat="1" spans="33:33">
      <c r="AG7854" s="3"/>
    </row>
    <row r="7855" s="7" customFormat="1" spans="33:33">
      <c r="AG7855" s="3"/>
    </row>
    <row r="7856" s="7" customFormat="1" spans="33:33">
      <c r="AG7856" s="3"/>
    </row>
    <row r="7857" s="7" customFormat="1" spans="33:33">
      <c r="AG7857" s="3"/>
    </row>
    <row r="7858" s="7" customFormat="1" spans="33:33">
      <c r="AG7858" s="3"/>
    </row>
    <row r="7859" s="7" customFormat="1" spans="33:33">
      <c r="AG7859" s="3"/>
    </row>
    <row r="7860" s="7" customFormat="1" spans="33:33">
      <c r="AG7860" s="3"/>
    </row>
    <row r="7861" s="7" customFormat="1" spans="33:33">
      <c r="AG7861" s="3"/>
    </row>
    <row r="7862" s="7" customFormat="1" spans="33:33">
      <c r="AG7862" s="3"/>
    </row>
    <row r="7863" s="7" customFormat="1" spans="33:33">
      <c r="AG7863" s="3"/>
    </row>
    <row r="7864" s="7" customFormat="1" spans="33:33">
      <c r="AG7864" s="3"/>
    </row>
    <row r="7865" s="7" customFormat="1" spans="33:33">
      <c r="AG7865" s="3"/>
    </row>
    <row r="7866" s="7" customFormat="1" spans="33:33">
      <c r="AG7866" s="3"/>
    </row>
    <row r="7867" s="7" customFormat="1" spans="33:33">
      <c r="AG7867" s="3"/>
    </row>
    <row r="7868" s="7" customFormat="1" spans="33:33">
      <c r="AG7868" s="3"/>
    </row>
    <row r="7869" s="7" customFormat="1" spans="33:33">
      <c r="AG7869" s="3"/>
    </row>
    <row r="7870" s="7" customFormat="1" spans="33:33">
      <c r="AG7870" s="3"/>
    </row>
    <row r="7871" s="7" customFormat="1" spans="33:33">
      <c r="AG7871" s="3"/>
    </row>
    <row r="7872" s="7" customFormat="1" spans="33:33">
      <c r="AG7872" s="3"/>
    </row>
    <row r="7873" s="7" customFormat="1" spans="33:33">
      <c r="AG7873" s="3"/>
    </row>
    <row r="7874" s="7" customFormat="1" spans="33:33">
      <c r="AG7874" s="3"/>
    </row>
    <row r="7875" s="7" customFormat="1" spans="33:33">
      <c r="AG7875" s="3"/>
    </row>
    <row r="7876" s="7" customFormat="1" spans="33:33">
      <c r="AG7876" s="3"/>
    </row>
    <row r="7877" s="7" customFormat="1" spans="33:33">
      <c r="AG7877" s="3"/>
    </row>
    <row r="7878" s="7" customFormat="1" spans="33:33">
      <c r="AG7878" s="3"/>
    </row>
    <row r="7879" s="7" customFormat="1" spans="33:33">
      <c r="AG7879" s="3"/>
    </row>
    <row r="7880" s="7" customFormat="1" spans="33:33">
      <c r="AG7880" s="3"/>
    </row>
    <row r="7881" s="7" customFormat="1" spans="33:33">
      <c r="AG7881" s="3"/>
    </row>
    <row r="7882" s="7" customFormat="1" spans="33:33">
      <c r="AG7882" s="3"/>
    </row>
    <row r="7883" s="7" customFormat="1" spans="33:33">
      <c r="AG7883" s="3"/>
    </row>
    <row r="7884" s="7" customFormat="1" spans="33:33">
      <c r="AG7884" s="3"/>
    </row>
    <row r="7885" s="7" customFormat="1" spans="33:33">
      <c r="AG7885" s="3"/>
    </row>
    <row r="7886" s="7" customFormat="1" spans="33:33">
      <c r="AG7886" s="3"/>
    </row>
    <row r="7887" s="7" customFormat="1" spans="33:33">
      <c r="AG7887" s="3"/>
    </row>
    <row r="7888" s="7" customFormat="1" spans="33:33">
      <c r="AG7888" s="3"/>
    </row>
    <row r="7889" s="7" customFormat="1" spans="33:33">
      <c r="AG7889" s="3"/>
    </row>
    <row r="7890" s="7" customFormat="1" spans="33:33">
      <c r="AG7890" s="3"/>
    </row>
    <row r="7891" s="7" customFormat="1" spans="33:33">
      <c r="AG7891" s="3"/>
    </row>
    <row r="7892" s="7" customFormat="1" spans="33:33">
      <c r="AG7892" s="3"/>
    </row>
    <row r="7893" s="7" customFormat="1" spans="33:33">
      <c r="AG7893" s="3"/>
    </row>
    <row r="7894" s="7" customFormat="1" spans="33:33">
      <c r="AG7894" s="3"/>
    </row>
    <row r="7895" s="7" customFormat="1" spans="33:33">
      <c r="AG7895" s="3"/>
    </row>
    <row r="7896" s="7" customFormat="1" spans="33:33">
      <c r="AG7896" s="3"/>
    </row>
    <row r="7897" s="7" customFormat="1" spans="33:33">
      <c r="AG7897" s="3"/>
    </row>
    <row r="7898" s="7" customFormat="1" spans="33:33">
      <c r="AG7898" s="3"/>
    </row>
    <row r="7899" s="7" customFormat="1" spans="33:33">
      <c r="AG7899" s="3"/>
    </row>
    <row r="7900" s="7" customFormat="1" spans="33:33">
      <c r="AG7900" s="3"/>
    </row>
    <row r="7901" s="7" customFormat="1" spans="33:33">
      <c r="AG7901" s="3"/>
    </row>
    <row r="7902" s="7" customFormat="1" spans="33:33">
      <c r="AG7902" s="3"/>
    </row>
    <row r="7903" s="7" customFormat="1" spans="33:33">
      <c r="AG7903" s="3"/>
    </row>
    <row r="7904" s="7" customFormat="1" spans="33:33">
      <c r="AG7904" s="3"/>
    </row>
    <row r="7905" s="7" customFormat="1" spans="33:33">
      <c r="AG7905" s="3"/>
    </row>
    <row r="7906" s="7" customFormat="1" spans="33:33">
      <c r="AG7906" s="3"/>
    </row>
    <row r="7907" s="7" customFormat="1" spans="33:33">
      <c r="AG7907" s="3"/>
    </row>
    <row r="7908" s="7" customFormat="1" spans="33:33">
      <c r="AG7908" s="3"/>
    </row>
    <row r="7909" s="7" customFormat="1" spans="33:33">
      <c r="AG7909" s="3"/>
    </row>
    <row r="7910" s="7" customFormat="1" spans="33:33">
      <c r="AG7910" s="3"/>
    </row>
    <row r="7911" s="7" customFormat="1" spans="33:33">
      <c r="AG7911" s="3"/>
    </row>
    <row r="7912" s="7" customFormat="1" spans="33:33">
      <c r="AG7912" s="3"/>
    </row>
    <row r="7913" s="7" customFormat="1" spans="33:33">
      <c r="AG7913" s="3"/>
    </row>
    <row r="7914" s="7" customFormat="1" spans="33:33">
      <c r="AG7914" s="3"/>
    </row>
    <row r="7915" s="7" customFormat="1" spans="33:33">
      <c r="AG7915" s="3"/>
    </row>
    <row r="7916" s="7" customFormat="1" spans="33:33">
      <c r="AG7916" s="3"/>
    </row>
    <row r="7917" s="7" customFormat="1" spans="33:33">
      <c r="AG7917" s="3"/>
    </row>
    <row r="7918" s="7" customFormat="1" spans="33:33">
      <c r="AG7918" s="3"/>
    </row>
    <row r="7919" s="7" customFormat="1" spans="33:33">
      <c r="AG7919" s="3"/>
    </row>
    <row r="7920" s="7" customFormat="1" spans="33:33">
      <c r="AG7920" s="3"/>
    </row>
    <row r="7921" s="7" customFormat="1" spans="33:33">
      <c r="AG7921" s="3"/>
    </row>
    <row r="7922" s="7" customFormat="1" spans="33:33">
      <c r="AG7922" s="3"/>
    </row>
    <row r="7923" s="7" customFormat="1" spans="33:33">
      <c r="AG7923" s="3"/>
    </row>
    <row r="7924" s="7" customFormat="1" spans="33:33">
      <c r="AG7924" s="3"/>
    </row>
    <row r="7925" s="7" customFormat="1" spans="33:33">
      <c r="AG7925" s="3"/>
    </row>
    <row r="7926" s="7" customFormat="1" spans="33:33">
      <c r="AG7926" s="3"/>
    </row>
    <row r="7927" s="7" customFormat="1" spans="33:33">
      <c r="AG7927" s="3"/>
    </row>
    <row r="7928" s="7" customFormat="1" spans="33:33">
      <c r="AG7928" s="3"/>
    </row>
    <row r="7929" s="7" customFormat="1" spans="33:33">
      <c r="AG7929" s="3"/>
    </row>
    <row r="7930" s="7" customFormat="1" spans="33:33">
      <c r="AG7930" s="3"/>
    </row>
    <row r="7931" s="7" customFormat="1" spans="33:33">
      <c r="AG7931" s="3"/>
    </row>
    <row r="7932" s="7" customFormat="1" spans="33:33">
      <c r="AG7932" s="3"/>
    </row>
    <row r="7933" s="7" customFormat="1" spans="33:33">
      <c r="AG7933" s="3"/>
    </row>
    <row r="7934" s="7" customFormat="1" spans="33:33">
      <c r="AG7934" s="3"/>
    </row>
    <row r="7935" s="7" customFormat="1" spans="33:33">
      <c r="AG7935" s="3"/>
    </row>
    <row r="7936" s="7" customFormat="1" spans="33:33">
      <c r="AG7936" s="3"/>
    </row>
    <row r="7937" s="7" customFormat="1" spans="33:33">
      <c r="AG7937" s="3"/>
    </row>
    <row r="7938" s="7" customFormat="1" spans="33:33">
      <c r="AG7938" s="3"/>
    </row>
    <row r="7939" s="7" customFormat="1" spans="33:33">
      <c r="AG7939" s="3"/>
    </row>
    <row r="7940" s="7" customFormat="1" spans="33:33">
      <c r="AG7940" s="3"/>
    </row>
    <row r="7941" s="7" customFormat="1" spans="33:33">
      <c r="AG7941" s="3"/>
    </row>
    <row r="7942" s="7" customFormat="1" spans="33:33">
      <c r="AG7942" s="3"/>
    </row>
    <row r="7943" s="7" customFormat="1" spans="33:33">
      <c r="AG7943" s="3"/>
    </row>
    <row r="7944" s="7" customFormat="1" spans="33:33">
      <c r="AG7944" s="3"/>
    </row>
    <row r="7945" s="7" customFormat="1" spans="33:33">
      <c r="AG7945" s="3"/>
    </row>
    <row r="7946" s="7" customFormat="1" spans="33:33">
      <c r="AG7946" s="3"/>
    </row>
    <row r="7947" s="7" customFormat="1" spans="33:33">
      <c r="AG7947" s="3"/>
    </row>
    <row r="7948" s="7" customFormat="1" spans="33:33">
      <c r="AG7948" s="3"/>
    </row>
    <row r="7949" s="7" customFormat="1" spans="33:33">
      <c r="AG7949" s="3"/>
    </row>
    <row r="7950" s="7" customFormat="1" spans="33:33">
      <c r="AG7950" s="3"/>
    </row>
    <row r="7951" s="7" customFormat="1" spans="33:33">
      <c r="AG7951" s="3"/>
    </row>
    <row r="7952" s="7" customFormat="1" spans="33:33">
      <c r="AG7952" s="3"/>
    </row>
    <row r="7953" s="7" customFormat="1" spans="33:33">
      <c r="AG7953" s="3"/>
    </row>
    <row r="7954" s="7" customFormat="1" spans="33:33">
      <c r="AG7954" s="3"/>
    </row>
    <row r="7955" s="7" customFormat="1" spans="33:33">
      <c r="AG7955" s="3"/>
    </row>
    <row r="7956" s="7" customFormat="1" spans="33:33">
      <c r="AG7956" s="3"/>
    </row>
    <row r="7957" s="7" customFormat="1" spans="33:33">
      <c r="AG7957" s="3"/>
    </row>
    <row r="7958" s="7" customFormat="1" spans="33:33">
      <c r="AG7958" s="3"/>
    </row>
    <row r="7959" s="7" customFormat="1" spans="33:33">
      <c r="AG7959" s="3"/>
    </row>
    <row r="7960" s="7" customFormat="1" spans="33:33">
      <c r="AG7960" s="3"/>
    </row>
    <row r="7961" s="7" customFormat="1" spans="33:33">
      <c r="AG7961" s="3"/>
    </row>
    <row r="7962" s="7" customFormat="1" spans="33:33">
      <c r="AG7962" s="3"/>
    </row>
    <row r="7963" s="7" customFormat="1" spans="33:33">
      <c r="AG7963" s="3"/>
    </row>
    <row r="7964" s="7" customFormat="1" spans="33:33">
      <c r="AG7964" s="3"/>
    </row>
    <row r="7965" s="7" customFormat="1" spans="33:33">
      <c r="AG7965" s="3"/>
    </row>
    <row r="7966" s="7" customFormat="1" spans="33:33">
      <c r="AG7966" s="3"/>
    </row>
    <row r="7967" s="7" customFormat="1" spans="33:33">
      <c r="AG7967" s="3"/>
    </row>
    <row r="7968" s="7" customFormat="1" spans="33:33">
      <c r="AG7968" s="3"/>
    </row>
    <row r="7969" s="7" customFormat="1" spans="33:33">
      <c r="AG7969" s="3"/>
    </row>
    <row r="7970" s="7" customFormat="1" spans="33:33">
      <c r="AG7970" s="3"/>
    </row>
    <row r="7971" s="7" customFormat="1" spans="33:33">
      <c r="AG7971" s="3"/>
    </row>
    <row r="7972" s="7" customFormat="1" spans="33:33">
      <c r="AG7972" s="3"/>
    </row>
    <row r="7973" s="7" customFormat="1" spans="33:33">
      <c r="AG7973" s="3"/>
    </row>
    <row r="7974" s="7" customFormat="1" spans="33:33">
      <c r="AG7974" s="3"/>
    </row>
    <row r="7975" s="7" customFormat="1" spans="33:33">
      <c r="AG7975" s="3"/>
    </row>
    <row r="7976" s="7" customFormat="1" spans="33:33">
      <c r="AG7976" s="3"/>
    </row>
    <row r="7977" s="7" customFormat="1" spans="33:33">
      <c r="AG7977" s="3"/>
    </row>
    <row r="7978" s="7" customFormat="1" spans="33:33">
      <c r="AG7978" s="3"/>
    </row>
    <row r="7979" s="7" customFormat="1" spans="33:33">
      <c r="AG7979" s="3"/>
    </row>
    <row r="7980" s="7" customFormat="1" spans="33:33">
      <c r="AG7980" s="3"/>
    </row>
    <row r="7981" s="7" customFormat="1" spans="33:33">
      <c r="AG7981" s="3"/>
    </row>
    <row r="7982" s="7" customFormat="1" spans="33:33">
      <c r="AG7982" s="3"/>
    </row>
    <row r="7983" s="7" customFormat="1" spans="33:33">
      <c r="AG7983" s="3"/>
    </row>
    <row r="7984" s="7" customFormat="1" spans="33:33">
      <c r="AG7984" s="3"/>
    </row>
    <row r="7985" s="7" customFormat="1" spans="33:33">
      <c r="AG7985" s="3"/>
    </row>
    <row r="7986" s="7" customFormat="1" spans="33:33">
      <c r="AG7986" s="3"/>
    </row>
    <row r="7987" s="7" customFormat="1" spans="33:33">
      <c r="AG7987" s="3"/>
    </row>
    <row r="7988" s="7" customFormat="1" spans="33:33">
      <c r="AG7988" s="3"/>
    </row>
    <row r="7989" s="7" customFormat="1" spans="33:33">
      <c r="AG7989" s="3"/>
    </row>
    <row r="7990" s="7" customFormat="1" spans="33:33">
      <c r="AG7990" s="3"/>
    </row>
    <row r="7991" s="7" customFormat="1" spans="33:33">
      <c r="AG7991" s="3"/>
    </row>
    <row r="7992" s="7" customFormat="1" spans="33:33">
      <c r="AG7992" s="3"/>
    </row>
    <row r="7993" s="7" customFormat="1" spans="33:33">
      <c r="AG7993" s="3"/>
    </row>
    <row r="7994" s="7" customFormat="1" spans="33:33">
      <c r="AG7994" s="3"/>
    </row>
    <row r="7995" s="7" customFormat="1" spans="33:33">
      <c r="AG7995" s="3"/>
    </row>
    <row r="7996" s="7" customFormat="1" spans="33:33">
      <c r="AG7996" s="3"/>
    </row>
    <row r="7997" s="7" customFormat="1" spans="33:33">
      <c r="AG7997" s="3"/>
    </row>
    <row r="7998" s="7" customFormat="1" spans="33:33">
      <c r="AG7998" s="3"/>
    </row>
    <row r="7999" s="7" customFormat="1" spans="33:33">
      <c r="AG7999" s="3"/>
    </row>
    <row r="8000" s="7" customFormat="1" spans="33:33">
      <c r="AG8000" s="3"/>
    </row>
    <row r="8001" s="7" customFormat="1" spans="33:33">
      <c r="AG8001" s="3"/>
    </row>
    <row r="8002" s="7" customFormat="1" spans="33:33">
      <c r="AG8002" s="3"/>
    </row>
    <row r="8003" s="7" customFormat="1" spans="33:33">
      <c r="AG8003" s="3"/>
    </row>
    <row r="8004" s="7" customFormat="1" spans="33:33">
      <c r="AG8004" s="3"/>
    </row>
    <row r="8005" s="7" customFormat="1" spans="33:33">
      <c r="AG8005" s="3"/>
    </row>
    <row r="8006" s="7" customFormat="1" spans="33:33">
      <c r="AG8006" s="3"/>
    </row>
    <row r="8007" s="7" customFormat="1" spans="33:33">
      <c r="AG8007" s="3"/>
    </row>
    <row r="8008" s="7" customFormat="1" spans="33:33">
      <c r="AG8008" s="3"/>
    </row>
    <row r="8009" s="7" customFormat="1" spans="33:33">
      <c r="AG8009" s="3"/>
    </row>
    <row r="8010" s="7" customFormat="1" spans="33:33">
      <c r="AG8010" s="3"/>
    </row>
    <row r="8011" s="7" customFormat="1" spans="33:33">
      <c r="AG8011" s="3"/>
    </row>
    <row r="8012" s="7" customFormat="1" spans="33:33">
      <c r="AG8012" s="3"/>
    </row>
    <row r="8013" s="7" customFormat="1" spans="33:33">
      <c r="AG8013" s="3"/>
    </row>
    <row r="8014" s="7" customFormat="1" spans="33:33">
      <c r="AG8014" s="3"/>
    </row>
    <row r="8015" s="7" customFormat="1" spans="33:33">
      <c r="AG8015" s="3"/>
    </row>
    <row r="8016" s="7" customFormat="1" spans="33:33">
      <c r="AG8016" s="3"/>
    </row>
    <row r="8017" s="7" customFormat="1" spans="33:33">
      <c r="AG8017" s="3"/>
    </row>
    <row r="8018" s="7" customFormat="1" spans="33:33">
      <c r="AG8018" s="3"/>
    </row>
    <row r="8019" s="7" customFormat="1" spans="33:33">
      <c r="AG8019" s="3"/>
    </row>
    <row r="8020" s="7" customFormat="1" spans="33:33">
      <c r="AG8020" s="3"/>
    </row>
    <row r="8021" s="7" customFormat="1" spans="33:33">
      <c r="AG8021" s="3"/>
    </row>
    <row r="8022" s="7" customFormat="1" spans="33:33">
      <c r="AG8022" s="3"/>
    </row>
    <row r="8023" s="7" customFormat="1" spans="33:33">
      <c r="AG8023" s="3"/>
    </row>
    <row r="8024" s="7" customFormat="1" spans="33:33">
      <c r="AG8024" s="3"/>
    </row>
    <row r="8025" s="7" customFormat="1" spans="33:33">
      <c r="AG8025" s="3"/>
    </row>
    <row r="8026" s="7" customFormat="1" spans="33:33">
      <c r="AG8026" s="3"/>
    </row>
    <row r="8027" s="7" customFormat="1" spans="33:33">
      <c r="AG8027" s="3"/>
    </row>
    <row r="8028" s="7" customFormat="1" spans="33:33">
      <c r="AG8028" s="3"/>
    </row>
    <row r="8029" s="7" customFormat="1" spans="33:33">
      <c r="AG8029" s="3"/>
    </row>
    <row r="8030" s="7" customFormat="1" spans="33:33">
      <c r="AG8030" s="3"/>
    </row>
    <row r="8031" s="7" customFormat="1" spans="33:33">
      <c r="AG8031" s="3"/>
    </row>
    <row r="8032" s="7" customFormat="1" spans="33:33">
      <c r="AG8032" s="3"/>
    </row>
    <row r="8033" s="7" customFormat="1" spans="33:33">
      <c r="AG8033" s="3"/>
    </row>
    <row r="8034" s="7" customFormat="1" spans="33:33">
      <c r="AG8034" s="3"/>
    </row>
    <row r="8035" s="7" customFormat="1" spans="33:33">
      <c r="AG8035" s="3"/>
    </row>
    <row r="8036" s="7" customFormat="1" spans="33:33">
      <c r="AG8036" s="3"/>
    </row>
    <row r="8037" s="7" customFormat="1" spans="33:33">
      <c r="AG8037" s="3"/>
    </row>
    <row r="8038" s="7" customFormat="1" spans="33:33">
      <c r="AG8038" s="3"/>
    </row>
    <row r="8039" s="7" customFormat="1" spans="33:33">
      <c r="AG8039" s="3"/>
    </row>
    <row r="8040" s="7" customFormat="1" spans="33:33">
      <c r="AG8040" s="3"/>
    </row>
    <row r="8041" s="7" customFormat="1" spans="33:33">
      <c r="AG8041" s="3"/>
    </row>
    <row r="8042" s="7" customFormat="1" spans="33:33">
      <c r="AG8042" s="3"/>
    </row>
    <row r="8043" s="7" customFormat="1" spans="33:33">
      <c r="AG8043" s="3"/>
    </row>
    <row r="8044" s="7" customFormat="1" spans="33:33">
      <c r="AG8044" s="3"/>
    </row>
    <row r="8045" s="7" customFormat="1" spans="33:33">
      <c r="AG8045" s="3"/>
    </row>
    <row r="8046" s="7" customFormat="1" spans="33:33">
      <c r="AG8046" s="3"/>
    </row>
    <row r="8047" s="7" customFormat="1" spans="33:33">
      <c r="AG8047" s="3"/>
    </row>
    <row r="8048" s="7" customFormat="1" spans="33:33">
      <c r="AG8048" s="3"/>
    </row>
    <row r="8049" s="7" customFormat="1" spans="33:33">
      <c r="AG8049" s="3"/>
    </row>
    <row r="8050" s="7" customFormat="1" spans="33:33">
      <c r="AG8050" s="3"/>
    </row>
    <row r="8051" s="7" customFormat="1" spans="33:33">
      <c r="AG8051" s="3"/>
    </row>
    <row r="8052" s="7" customFormat="1" spans="33:33">
      <c r="AG8052" s="3"/>
    </row>
    <row r="8053" s="7" customFormat="1" spans="33:33">
      <c r="AG8053" s="3"/>
    </row>
    <row r="8054" s="7" customFormat="1" spans="33:33">
      <c r="AG8054" s="3"/>
    </row>
    <row r="8055" s="7" customFormat="1" spans="33:33">
      <c r="AG8055" s="3"/>
    </row>
    <row r="8056" s="7" customFormat="1" spans="33:33">
      <c r="AG8056" s="3"/>
    </row>
    <row r="8057" s="7" customFormat="1" spans="33:33">
      <c r="AG8057" s="3"/>
    </row>
    <row r="8058" s="7" customFormat="1" spans="33:33">
      <c r="AG8058" s="3"/>
    </row>
    <row r="8059" s="7" customFormat="1" spans="33:33">
      <c r="AG8059" s="3"/>
    </row>
    <row r="8060" s="7" customFormat="1" spans="33:33">
      <c r="AG8060" s="3"/>
    </row>
    <row r="8061" s="7" customFormat="1" spans="33:33">
      <c r="AG8061" s="3"/>
    </row>
    <row r="8062" s="7" customFormat="1" spans="33:33">
      <c r="AG8062" s="3"/>
    </row>
    <row r="8063" s="7" customFormat="1" spans="33:33">
      <c r="AG8063" s="3"/>
    </row>
    <row r="8064" s="7" customFormat="1" spans="33:33">
      <c r="AG8064" s="3"/>
    </row>
    <row r="8065" s="7" customFormat="1" spans="33:33">
      <c r="AG8065" s="3"/>
    </row>
    <row r="8066" s="7" customFormat="1" spans="33:33">
      <c r="AG8066" s="3"/>
    </row>
    <row r="8067" s="7" customFormat="1" spans="33:33">
      <c r="AG8067" s="3"/>
    </row>
    <row r="8068" s="7" customFormat="1" spans="33:33">
      <c r="AG8068" s="3"/>
    </row>
    <row r="8069" s="7" customFormat="1" spans="33:33">
      <c r="AG8069" s="3"/>
    </row>
    <row r="8070" s="7" customFormat="1" spans="33:33">
      <c r="AG8070" s="3"/>
    </row>
    <row r="8071" s="7" customFormat="1" spans="33:33">
      <c r="AG8071" s="3"/>
    </row>
    <row r="8072" s="7" customFormat="1" spans="33:33">
      <c r="AG8072" s="3"/>
    </row>
    <row r="8073" s="7" customFormat="1" spans="33:33">
      <c r="AG8073" s="3"/>
    </row>
    <row r="8074" s="7" customFormat="1" spans="33:33">
      <c r="AG8074" s="3"/>
    </row>
    <row r="8075" s="7" customFormat="1" spans="33:33">
      <c r="AG8075" s="3"/>
    </row>
    <row r="8076" s="7" customFormat="1" spans="33:33">
      <c r="AG8076" s="3"/>
    </row>
    <row r="8077" s="7" customFormat="1" spans="33:33">
      <c r="AG8077" s="3"/>
    </row>
    <row r="8078" s="7" customFormat="1" spans="33:33">
      <c r="AG8078" s="3"/>
    </row>
    <row r="8079" s="7" customFormat="1" spans="33:33">
      <c r="AG8079" s="3"/>
    </row>
    <row r="8080" s="7" customFormat="1" spans="33:33">
      <c r="AG8080" s="3"/>
    </row>
    <row r="8081" s="7" customFormat="1" spans="33:33">
      <c r="AG8081" s="3"/>
    </row>
    <row r="8082" s="7" customFormat="1" spans="33:33">
      <c r="AG8082" s="3"/>
    </row>
    <row r="8083" s="7" customFormat="1" spans="33:33">
      <c r="AG8083" s="3"/>
    </row>
    <row r="8084" s="7" customFormat="1" spans="33:33">
      <c r="AG8084" s="3"/>
    </row>
    <row r="8085" s="7" customFormat="1" spans="33:33">
      <c r="AG8085" s="3"/>
    </row>
    <row r="8086" s="7" customFormat="1" spans="33:33">
      <c r="AG8086" s="3"/>
    </row>
    <row r="8087" s="7" customFormat="1" spans="33:33">
      <c r="AG8087" s="3"/>
    </row>
    <row r="8088" s="7" customFormat="1" spans="33:33">
      <c r="AG8088" s="3"/>
    </row>
    <row r="8089" s="7" customFormat="1" spans="33:33">
      <c r="AG8089" s="3"/>
    </row>
    <row r="8090" s="7" customFormat="1" spans="33:33">
      <c r="AG8090" s="3"/>
    </row>
    <row r="8091" s="7" customFormat="1" spans="33:33">
      <c r="AG8091" s="3"/>
    </row>
    <row r="8092" s="7" customFormat="1" spans="33:33">
      <c r="AG8092" s="3"/>
    </row>
    <row r="8093" s="7" customFormat="1" spans="33:33">
      <c r="AG8093" s="3"/>
    </row>
    <row r="8094" s="7" customFormat="1" spans="33:33">
      <c r="AG8094" s="3"/>
    </row>
    <row r="8095" s="7" customFormat="1" spans="33:33">
      <c r="AG8095" s="3"/>
    </row>
    <row r="8096" s="7" customFormat="1" spans="33:33">
      <c r="AG8096" s="3"/>
    </row>
    <row r="8097" s="7" customFormat="1" spans="33:33">
      <c r="AG8097" s="3"/>
    </row>
    <row r="8098" s="7" customFormat="1" spans="33:33">
      <c r="AG8098" s="3"/>
    </row>
    <row r="8099" s="7" customFormat="1" spans="33:33">
      <c r="AG8099" s="3"/>
    </row>
    <row r="8100" s="7" customFormat="1" spans="33:33">
      <c r="AG8100" s="3"/>
    </row>
    <row r="8101" s="7" customFormat="1" spans="33:33">
      <c r="AG8101" s="3"/>
    </row>
    <row r="8102" s="7" customFormat="1" spans="33:33">
      <c r="AG8102" s="3"/>
    </row>
    <row r="8103" s="7" customFormat="1" spans="33:33">
      <c r="AG8103" s="3"/>
    </row>
    <row r="8104" s="7" customFormat="1" spans="33:33">
      <c r="AG8104" s="3"/>
    </row>
    <row r="8105" s="7" customFormat="1" spans="33:33">
      <c r="AG8105" s="3"/>
    </row>
    <row r="8106" s="7" customFormat="1" spans="33:33">
      <c r="AG8106" s="3"/>
    </row>
    <row r="8107" s="7" customFormat="1" spans="33:33">
      <c r="AG8107" s="3"/>
    </row>
    <row r="8108" s="7" customFormat="1" spans="33:33">
      <c r="AG8108" s="3"/>
    </row>
    <row r="8109" s="7" customFormat="1" spans="33:33">
      <c r="AG8109" s="3"/>
    </row>
    <row r="8110" s="7" customFormat="1" spans="33:33">
      <c r="AG8110" s="3"/>
    </row>
    <row r="8111" s="7" customFormat="1" spans="33:33">
      <c r="AG8111" s="3"/>
    </row>
    <row r="8112" s="7" customFormat="1" spans="33:33">
      <c r="AG8112" s="3"/>
    </row>
    <row r="8113" s="7" customFormat="1" spans="33:33">
      <c r="AG8113" s="3"/>
    </row>
    <row r="8114" s="7" customFormat="1" spans="33:33">
      <c r="AG8114" s="3"/>
    </row>
    <row r="8115" s="7" customFormat="1" spans="33:33">
      <c r="AG8115" s="3"/>
    </row>
    <row r="8116" s="7" customFormat="1" spans="33:33">
      <c r="AG8116" s="3"/>
    </row>
    <row r="8117" s="7" customFormat="1" spans="33:33">
      <c r="AG8117" s="3"/>
    </row>
    <row r="8118" s="7" customFormat="1" spans="33:33">
      <c r="AG8118" s="3"/>
    </row>
    <row r="8119" s="7" customFormat="1" spans="33:33">
      <c r="AG8119" s="3"/>
    </row>
    <row r="8120" s="7" customFormat="1" spans="33:33">
      <c r="AG8120" s="3"/>
    </row>
    <row r="8121" s="7" customFormat="1" spans="33:33">
      <c r="AG8121" s="3"/>
    </row>
    <row r="8122" s="7" customFormat="1" spans="33:33">
      <c r="AG8122" s="3"/>
    </row>
    <row r="8123" s="7" customFormat="1" spans="33:33">
      <c r="AG8123" s="3"/>
    </row>
    <row r="8124" s="7" customFormat="1" spans="33:33">
      <c r="AG8124" s="3"/>
    </row>
    <row r="8125" s="7" customFormat="1" spans="33:33">
      <c r="AG8125" s="3"/>
    </row>
    <row r="8126" s="7" customFormat="1" spans="33:33">
      <c r="AG8126" s="3"/>
    </row>
    <row r="8127" s="7" customFormat="1" spans="33:33">
      <c r="AG8127" s="3"/>
    </row>
    <row r="8128" s="7" customFormat="1" spans="33:33">
      <c r="AG8128" s="3"/>
    </row>
    <row r="8129" s="7" customFormat="1" spans="33:33">
      <c r="AG8129" s="3"/>
    </row>
    <row r="8130" s="7" customFormat="1" spans="33:33">
      <c r="AG8130" s="3"/>
    </row>
    <row r="8131" s="7" customFormat="1" spans="33:33">
      <c r="AG8131" s="3"/>
    </row>
    <row r="8132" s="7" customFormat="1" spans="33:33">
      <c r="AG8132" s="3"/>
    </row>
    <row r="8133" s="7" customFormat="1" spans="33:33">
      <c r="AG8133" s="3"/>
    </row>
    <row r="8134" s="7" customFormat="1" spans="33:33">
      <c r="AG8134" s="3"/>
    </row>
    <row r="8135" s="7" customFormat="1" spans="33:33">
      <c r="AG8135" s="3"/>
    </row>
    <row r="8136" s="7" customFormat="1" spans="33:33">
      <c r="AG8136" s="3"/>
    </row>
    <row r="8137" s="7" customFormat="1" spans="33:33">
      <c r="AG8137" s="3"/>
    </row>
    <row r="8138" s="7" customFormat="1" spans="33:33">
      <c r="AG8138" s="3"/>
    </row>
    <row r="8139" s="7" customFormat="1" spans="33:33">
      <c r="AG8139" s="3"/>
    </row>
    <row r="8140" s="7" customFormat="1" spans="33:33">
      <c r="AG8140" s="3"/>
    </row>
    <row r="8141" s="7" customFormat="1" spans="33:33">
      <c r="AG8141" s="3"/>
    </row>
    <row r="8142" s="7" customFormat="1" spans="33:33">
      <c r="AG8142" s="3"/>
    </row>
    <row r="8143" s="7" customFormat="1" spans="33:33">
      <c r="AG8143" s="3"/>
    </row>
    <row r="8144" s="7" customFormat="1" spans="33:33">
      <c r="AG8144" s="3"/>
    </row>
    <row r="8145" s="7" customFormat="1" spans="33:33">
      <c r="AG8145" s="3"/>
    </row>
    <row r="8146" s="7" customFormat="1" spans="33:33">
      <c r="AG8146" s="3"/>
    </row>
    <row r="8147" s="7" customFormat="1" spans="33:33">
      <c r="AG8147" s="3"/>
    </row>
    <row r="8148" s="7" customFormat="1" spans="33:33">
      <c r="AG8148" s="3"/>
    </row>
    <row r="8149" s="7" customFormat="1" spans="33:33">
      <c r="AG8149" s="3"/>
    </row>
    <row r="8150" s="7" customFormat="1" spans="33:33">
      <c r="AG8150" s="3"/>
    </row>
    <row r="8151" s="7" customFormat="1" spans="33:33">
      <c r="AG8151" s="3"/>
    </row>
    <row r="8152" s="7" customFormat="1" spans="33:33">
      <c r="AG8152" s="3"/>
    </row>
    <row r="8153" s="7" customFormat="1" spans="33:33">
      <c r="AG8153" s="3"/>
    </row>
    <row r="8154" s="7" customFormat="1" spans="33:33">
      <c r="AG8154" s="3"/>
    </row>
    <row r="8155" s="7" customFormat="1" spans="33:33">
      <c r="AG8155" s="3"/>
    </row>
    <row r="8156" s="7" customFormat="1" spans="33:33">
      <c r="AG8156" s="3"/>
    </row>
    <row r="8157" s="7" customFormat="1" spans="33:33">
      <c r="AG8157" s="3"/>
    </row>
    <row r="8158" s="7" customFormat="1" spans="33:33">
      <c r="AG8158" s="3"/>
    </row>
    <row r="8159" s="7" customFormat="1" spans="33:33">
      <c r="AG8159" s="3"/>
    </row>
    <row r="8160" s="7" customFormat="1" spans="33:33">
      <c r="AG8160" s="3"/>
    </row>
    <row r="8161" s="7" customFormat="1" spans="33:33">
      <c r="AG8161" s="3"/>
    </row>
    <row r="8162" s="7" customFormat="1" spans="33:33">
      <c r="AG8162" s="3"/>
    </row>
    <row r="8163" s="7" customFormat="1" spans="33:33">
      <c r="AG8163" s="3"/>
    </row>
    <row r="8164" s="7" customFormat="1" spans="33:33">
      <c r="AG8164" s="3"/>
    </row>
    <row r="8165" s="7" customFormat="1" spans="33:33">
      <c r="AG8165" s="3"/>
    </row>
    <row r="8166" s="7" customFormat="1" spans="33:33">
      <c r="AG8166" s="3"/>
    </row>
    <row r="8167" s="7" customFormat="1" spans="33:33">
      <c r="AG8167" s="3"/>
    </row>
    <row r="8168" s="7" customFormat="1" spans="33:33">
      <c r="AG8168" s="3"/>
    </row>
    <row r="8169" s="7" customFormat="1" spans="33:33">
      <c r="AG8169" s="3"/>
    </row>
    <row r="8170" s="7" customFormat="1" spans="33:33">
      <c r="AG8170" s="3"/>
    </row>
    <row r="8171" s="7" customFormat="1" spans="33:33">
      <c r="AG8171" s="3"/>
    </row>
    <row r="8172" s="7" customFormat="1" spans="33:33">
      <c r="AG8172" s="3"/>
    </row>
    <row r="8173" s="7" customFormat="1" spans="33:33">
      <c r="AG8173" s="3"/>
    </row>
    <row r="8174" s="7" customFormat="1" spans="33:33">
      <c r="AG8174" s="3"/>
    </row>
    <row r="8175" s="7" customFormat="1" spans="33:33">
      <c r="AG8175" s="3"/>
    </row>
    <row r="8176" s="7" customFormat="1" spans="33:33">
      <c r="AG8176" s="3"/>
    </row>
    <row r="8177" s="7" customFormat="1" spans="33:33">
      <c r="AG8177" s="3"/>
    </row>
    <row r="8178" s="7" customFormat="1" spans="33:33">
      <c r="AG8178" s="3"/>
    </row>
    <row r="8179" s="7" customFormat="1" spans="33:33">
      <c r="AG8179" s="3"/>
    </row>
    <row r="8180" s="7" customFormat="1" spans="33:33">
      <c r="AG8180" s="3"/>
    </row>
    <row r="8181" s="7" customFormat="1" spans="33:33">
      <c r="AG8181" s="3"/>
    </row>
    <row r="8182" s="7" customFormat="1" spans="33:33">
      <c r="AG8182" s="3"/>
    </row>
    <row r="8183" s="7" customFormat="1" spans="33:33">
      <c r="AG8183" s="3"/>
    </row>
    <row r="8184" s="7" customFormat="1" spans="33:33">
      <c r="AG8184" s="3"/>
    </row>
    <row r="8185" s="7" customFormat="1" spans="33:33">
      <c r="AG8185" s="3"/>
    </row>
    <row r="8186" s="7" customFormat="1" spans="33:33">
      <c r="AG8186" s="3"/>
    </row>
    <row r="8187" s="7" customFormat="1" spans="33:33">
      <c r="AG8187" s="3"/>
    </row>
    <row r="8188" s="7" customFormat="1" spans="33:33">
      <c r="AG8188" s="3"/>
    </row>
    <row r="8189" s="7" customFormat="1" spans="33:33">
      <c r="AG8189" s="3"/>
    </row>
    <row r="8190" s="7" customFormat="1" spans="33:33">
      <c r="AG8190" s="3"/>
    </row>
    <row r="8191" s="7" customFormat="1" spans="33:33">
      <c r="AG8191" s="3"/>
    </row>
    <row r="8192" s="7" customFormat="1" spans="33:33">
      <c r="AG8192" s="3"/>
    </row>
    <row r="8193" s="7" customFormat="1" spans="33:33">
      <c r="AG8193" s="3"/>
    </row>
    <row r="8194" s="7" customFormat="1" spans="33:33">
      <c r="AG8194" s="3"/>
    </row>
    <row r="8195" s="7" customFormat="1" spans="33:33">
      <c r="AG8195" s="3"/>
    </row>
    <row r="8196" s="7" customFormat="1" spans="33:33">
      <c r="AG8196" s="3"/>
    </row>
    <row r="8197" s="7" customFormat="1" spans="33:33">
      <c r="AG8197" s="3"/>
    </row>
    <row r="8198" s="7" customFormat="1" spans="33:33">
      <c r="AG8198" s="3"/>
    </row>
    <row r="8199" s="7" customFormat="1" spans="33:33">
      <c r="AG8199" s="3"/>
    </row>
    <row r="8200" s="7" customFormat="1" spans="33:33">
      <c r="AG8200" s="3"/>
    </row>
    <row r="8201" s="7" customFormat="1" spans="33:33">
      <c r="AG8201" s="3"/>
    </row>
    <row r="8202" s="7" customFormat="1" spans="33:33">
      <c r="AG8202" s="3"/>
    </row>
    <row r="8203" s="7" customFormat="1" spans="33:33">
      <c r="AG8203" s="3"/>
    </row>
    <row r="8204" s="7" customFormat="1" spans="33:33">
      <c r="AG8204" s="3"/>
    </row>
    <row r="8205" s="7" customFormat="1" spans="33:33">
      <c r="AG8205" s="3"/>
    </row>
    <row r="8206" s="7" customFormat="1" spans="33:33">
      <c r="AG8206" s="3"/>
    </row>
    <row r="8207" s="7" customFormat="1" spans="33:33">
      <c r="AG8207" s="3"/>
    </row>
    <row r="8208" s="7" customFormat="1" spans="33:33">
      <c r="AG8208" s="3"/>
    </row>
    <row r="8209" s="7" customFormat="1" spans="33:33">
      <c r="AG8209" s="3"/>
    </row>
    <row r="8210" s="7" customFormat="1" spans="33:33">
      <c r="AG8210" s="3"/>
    </row>
    <row r="8211" s="7" customFormat="1" spans="33:33">
      <c r="AG8211" s="3"/>
    </row>
    <row r="8212" s="7" customFormat="1" spans="33:33">
      <c r="AG8212" s="3"/>
    </row>
    <row r="8213" s="7" customFormat="1" spans="33:33">
      <c r="AG8213" s="3"/>
    </row>
    <row r="8214" s="7" customFormat="1" spans="33:33">
      <c r="AG8214" s="3"/>
    </row>
    <row r="8215" s="7" customFormat="1" spans="33:33">
      <c r="AG8215" s="3"/>
    </row>
    <row r="8216" s="7" customFormat="1" spans="33:33">
      <c r="AG8216" s="3"/>
    </row>
    <row r="8217" s="7" customFormat="1" spans="33:33">
      <c r="AG8217" s="3"/>
    </row>
    <row r="8218" s="7" customFormat="1" spans="33:33">
      <c r="AG8218" s="3"/>
    </row>
    <row r="8219" s="7" customFormat="1" spans="33:33">
      <c r="AG8219" s="3"/>
    </row>
    <row r="8220" s="7" customFormat="1" spans="33:33">
      <c r="AG8220" s="3"/>
    </row>
    <row r="8221" s="7" customFormat="1" spans="33:33">
      <c r="AG8221" s="3"/>
    </row>
    <row r="8222" s="7" customFormat="1" spans="33:33">
      <c r="AG8222" s="3"/>
    </row>
    <row r="8223" s="7" customFormat="1" spans="33:33">
      <c r="AG8223" s="3"/>
    </row>
    <row r="8224" s="7" customFormat="1" spans="33:33">
      <c r="AG8224" s="3"/>
    </row>
    <row r="8225" s="7" customFormat="1" spans="33:33">
      <c r="AG8225" s="3"/>
    </row>
    <row r="8226" s="7" customFormat="1" spans="33:33">
      <c r="AG8226" s="3"/>
    </row>
    <row r="8227" s="7" customFormat="1" spans="33:33">
      <c r="AG8227" s="3"/>
    </row>
    <row r="8228" s="7" customFormat="1" spans="33:33">
      <c r="AG8228" s="3"/>
    </row>
    <row r="8229" s="7" customFormat="1" spans="33:33">
      <c r="AG8229" s="3"/>
    </row>
    <row r="8230" s="7" customFormat="1" spans="33:33">
      <c r="AG8230" s="3"/>
    </row>
    <row r="8231" s="7" customFormat="1" spans="33:33">
      <c r="AG8231" s="3"/>
    </row>
    <row r="8232" s="7" customFormat="1" spans="33:33">
      <c r="AG8232" s="3"/>
    </row>
    <row r="8233" s="7" customFormat="1" spans="33:33">
      <c r="AG8233" s="3"/>
    </row>
    <row r="8234" s="7" customFormat="1" spans="33:33">
      <c r="AG8234" s="3"/>
    </row>
    <row r="8235" s="7" customFormat="1" spans="33:33">
      <c r="AG8235" s="3"/>
    </row>
    <row r="8236" s="7" customFormat="1" spans="33:33">
      <c r="AG8236" s="3"/>
    </row>
    <row r="8237" s="7" customFormat="1" spans="33:33">
      <c r="AG8237" s="3"/>
    </row>
    <row r="8238" s="7" customFormat="1" spans="33:33">
      <c r="AG8238" s="3"/>
    </row>
    <row r="8239" s="7" customFormat="1" spans="33:33">
      <c r="AG8239" s="3"/>
    </row>
    <row r="8240" s="7" customFormat="1" spans="33:33">
      <c r="AG8240" s="3"/>
    </row>
    <row r="8241" s="7" customFormat="1" spans="33:33">
      <c r="AG8241" s="3"/>
    </row>
    <row r="8242" s="7" customFormat="1" spans="33:33">
      <c r="AG8242" s="3"/>
    </row>
    <row r="8243" s="7" customFormat="1" spans="33:33">
      <c r="AG8243" s="3"/>
    </row>
    <row r="8244" s="7" customFormat="1" spans="33:33">
      <c r="AG8244" s="3"/>
    </row>
    <row r="8245" s="7" customFormat="1" spans="33:33">
      <c r="AG8245" s="3"/>
    </row>
    <row r="8246" s="7" customFormat="1" spans="33:33">
      <c r="AG8246" s="3"/>
    </row>
    <row r="8247" s="7" customFormat="1" spans="33:33">
      <c r="AG8247" s="3"/>
    </row>
    <row r="8248" s="7" customFormat="1" spans="33:33">
      <c r="AG8248" s="3"/>
    </row>
    <row r="8249" s="7" customFormat="1" spans="33:33">
      <c r="AG8249" s="3"/>
    </row>
    <row r="8250" s="7" customFormat="1" spans="33:33">
      <c r="AG8250" s="3"/>
    </row>
    <row r="8251" s="7" customFormat="1" spans="33:33">
      <c r="AG8251" s="3"/>
    </row>
    <row r="8252" s="7" customFormat="1" spans="33:33">
      <c r="AG8252" s="3"/>
    </row>
    <row r="8253" s="7" customFormat="1" spans="33:33">
      <c r="AG8253" s="3"/>
    </row>
    <row r="8254" s="7" customFormat="1" spans="33:33">
      <c r="AG8254" s="3"/>
    </row>
    <row r="8255" s="7" customFormat="1" spans="33:33">
      <c r="AG8255" s="3"/>
    </row>
    <row r="8256" s="7" customFormat="1" spans="33:33">
      <c r="AG8256" s="3"/>
    </row>
    <row r="8257" s="7" customFormat="1" spans="33:33">
      <c r="AG8257" s="3"/>
    </row>
    <row r="8258" s="7" customFormat="1" spans="33:33">
      <c r="AG8258" s="3"/>
    </row>
    <row r="8259" s="7" customFormat="1" spans="33:33">
      <c r="AG8259" s="3"/>
    </row>
    <row r="8260" s="7" customFormat="1" spans="33:33">
      <c r="AG8260" s="3"/>
    </row>
    <row r="8261" s="7" customFormat="1" spans="33:33">
      <c r="AG8261" s="3"/>
    </row>
    <row r="8262" s="7" customFormat="1" spans="33:33">
      <c r="AG8262" s="3"/>
    </row>
    <row r="8263" s="7" customFormat="1" spans="33:33">
      <c r="AG8263" s="3"/>
    </row>
    <row r="8264" s="7" customFormat="1" spans="33:33">
      <c r="AG8264" s="3"/>
    </row>
    <row r="8265" s="7" customFormat="1" spans="33:33">
      <c r="AG8265" s="3"/>
    </row>
    <row r="8266" s="7" customFormat="1" spans="33:33">
      <c r="AG8266" s="3"/>
    </row>
    <row r="8267" s="7" customFormat="1" spans="33:33">
      <c r="AG8267" s="3"/>
    </row>
    <row r="8268" s="7" customFormat="1" spans="33:33">
      <c r="AG8268" s="3"/>
    </row>
    <row r="8269" s="7" customFormat="1" spans="33:33">
      <c r="AG8269" s="3"/>
    </row>
    <row r="8270" s="7" customFormat="1" spans="33:33">
      <c r="AG8270" s="3"/>
    </row>
    <row r="8271" s="7" customFormat="1" spans="33:33">
      <c r="AG8271" s="3"/>
    </row>
    <row r="8272" s="7" customFormat="1" spans="33:33">
      <c r="AG8272" s="3"/>
    </row>
    <row r="8273" s="7" customFormat="1" spans="33:33">
      <c r="AG8273" s="3"/>
    </row>
    <row r="8274" s="7" customFormat="1" spans="33:33">
      <c r="AG8274" s="3"/>
    </row>
    <row r="8275" s="7" customFormat="1" spans="33:33">
      <c r="AG8275" s="3"/>
    </row>
    <row r="8276" s="7" customFormat="1" spans="33:33">
      <c r="AG8276" s="3"/>
    </row>
    <row r="8277" s="7" customFormat="1" spans="33:33">
      <c r="AG8277" s="3"/>
    </row>
    <row r="8278" s="7" customFormat="1" spans="33:33">
      <c r="AG8278" s="3"/>
    </row>
    <row r="8279" s="7" customFormat="1" spans="33:33">
      <c r="AG8279" s="3"/>
    </row>
    <row r="8280" s="7" customFormat="1" spans="33:33">
      <c r="AG8280" s="3"/>
    </row>
    <row r="8281" s="7" customFormat="1" spans="33:33">
      <c r="AG8281" s="3"/>
    </row>
    <row r="8282" s="7" customFormat="1" spans="33:33">
      <c r="AG8282" s="3"/>
    </row>
    <row r="8283" s="7" customFormat="1" spans="33:33">
      <c r="AG8283" s="3"/>
    </row>
    <row r="8284" s="7" customFormat="1" spans="33:33">
      <c r="AG8284" s="3"/>
    </row>
    <row r="8285" s="7" customFormat="1" spans="33:33">
      <c r="AG8285" s="3"/>
    </row>
    <row r="8286" s="7" customFormat="1" spans="33:33">
      <c r="AG8286" s="3"/>
    </row>
    <row r="8287" s="7" customFormat="1" spans="33:33">
      <c r="AG8287" s="3"/>
    </row>
    <row r="8288" s="7" customFormat="1" spans="33:33">
      <c r="AG8288" s="3"/>
    </row>
    <row r="8289" s="7" customFormat="1" spans="33:33">
      <c r="AG8289" s="3"/>
    </row>
    <row r="8290" s="7" customFormat="1" spans="33:33">
      <c r="AG8290" s="3"/>
    </row>
    <row r="8291" s="7" customFormat="1" spans="33:33">
      <c r="AG8291" s="3"/>
    </row>
    <row r="8292" s="7" customFormat="1" spans="33:33">
      <c r="AG8292" s="3"/>
    </row>
    <row r="8293" s="7" customFormat="1" spans="33:33">
      <c r="AG8293" s="3"/>
    </row>
    <row r="8294" s="7" customFormat="1" spans="33:33">
      <c r="AG8294" s="3"/>
    </row>
    <row r="8295" s="7" customFormat="1" spans="33:33">
      <c r="AG8295" s="3"/>
    </row>
    <row r="8296" s="7" customFormat="1" spans="33:33">
      <c r="AG8296" s="3"/>
    </row>
    <row r="8297" s="7" customFormat="1" spans="33:33">
      <c r="AG8297" s="3"/>
    </row>
    <row r="8298" s="7" customFormat="1" spans="33:33">
      <c r="AG8298" s="3"/>
    </row>
    <row r="8299" s="7" customFormat="1" spans="33:33">
      <c r="AG8299" s="3"/>
    </row>
    <row r="8300" s="7" customFormat="1" spans="33:33">
      <c r="AG8300" s="3"/>
    </row>
    <row r="8301" s="7" customFormat="1" spans="33:33">
      <c r="AG8301" s="3"/>
    </row>
    <row r="8302" s="7" customFormat="1" spans="33:33">
      <c r="AG8302" s="3"/>
    </row>
    <row r="8303" s="7" customFormat="1" spans="33:33">
      <c r="AG8303" s="3"/>
    </row>
    <row r="8304" s="7" customFormat="1" spans="33:33">
      <c r="AG8304" s="3"/>
    </row>
    <row r="8305" s="7" customFormat="1" spans="33:33">
      <c r="AG8305" s="3"/>
    </row>
    <row r="8306" s="7" customFormat="1" spans="33:33">
      <c r="AG8306" s="3"/>
    </row>
    <row r="8307" s="7" customFormat="1" spans="33:33">
      <c r="AG8307" s="3"/>
    </row>
    <row r="8308" s="7" customFormat="1" spans="33:33">
      <c r="AG8308" s="3"/>
    </row>
    <row r="8309" s="7" customFormat="1" spans="33:33">
      <c r="AG8309" s="3"/>
    </row>
    <row r="8310" s="7" customFormat="1" spans="33:33">
      <c r="AG8310" s="3"/>
    </row>
    <row r="8311" s="7" customFormat="1" spans="33:33">
      <c r="AG8311" s="3"/>
    </row>
    <row r="8312" s="7" customFormat="1" spans="33:33">
      <c r="AG8312" s="3"/>
    </row>
    <row r="8313" s="7" customFormat="1" spans="33:33">
      <c r="AG8313" s="3"/>
    </row>
    <row r="8314" s="7" customFormat="1" spans="33:33">
      <c r="AG8314" s="3"/>
    </row>
    <row r="8315" s="7" customFormat="1" spans="33:33">
      <c r="AG8315" s="3"/>
    </row>
    <row r="8316" s="7" customFormat="1" spans="33:33">
      <c r="AG8316" s="3"/>
    </row>
    <row r="8317" s="7" customFormat="1" spans="33:33">
      <c r="AG8317" s="3"/>
    </row>
    <row r="8318" s="7" customFormat="1" spans="33:33">
      <c r="AG8318" s="3"/>
    </row>
    <row r="8319" s="7" customFormat="1" spans="33:33">
      <c r="AG8319" s="3"/>
    </row>
    <row r="8320" s="7" customFormat="1" spans="33:33">
      <c r="AG8320" s="3"/>
    </row>
    <row r="8321" s="7" customFormat="1" spans="33:33">
      <c r="AG8321" s="3"/>
    </row>
    <row r="8322" s="7" customFormat="1" spans="33:33">
      <c r="AG8322" s="3"/>
    </row>
    <row r="8323" s="7" customFormat="1" spans="33:33">
      <c r="AG8323" s="3"/>
    </row>
    <row r="8324" s="7" customFormat="1" spans="33:33">
      <c r="AG8324" s="3"/>
    </row>
    <row r="8325" s="7" customFormat="1" spans="33:33">
      <c r="AG8325" s="3"/>
    </row>
    <row r="8326" s="7" customFormat="1" spans="33:33">
      <c r="AG8326" s="3"/>
    </row>
    <row r="8327" s="7" customFormat="1" spans="33:33">
      <c r="AG8327" s="3"/>
    </row>
    <row r="8328" s="7" customFormat="1" spans="33:33">
      <c r="AG8328" s="3"/>
    </row>
    <row r="8329" s="7" customFormat="1" spans="33:33">
      <c r="AG8329" s="3"/>
    </row>
    <row r="8330" s="7" customFormat="1" spans="33:33">
      <c r="AG8330" s="3"/>
    </row>
    <row r="8331" s="7" customFormat="1" spans="33:33">
      <c r="AG8331" s="3"/>
    </row>
    <row r="8332" s="7" customFormat="1" spans="33:33">
      <c r="AG8332" s="3"/>
    </row>
    <row r="8333" s="7" customFormat="1" spans="33:33">
      <c r="AG8333" s="3"/>
    </row>
    <row r="8334" s="7" customFormat="1" spans="33:33">
      <c r="AG8334" s="3"/>
    </row>
    <row r="8335" s="7" customFormat="1" spans="33:33">
      <c r="AG8335" s="3"/>
    </row>
    <row r="8336" s="7" customFormat="1" spans="33:33">
      <c r="AG8336" s="3"/>
    </row>
    <row r="8337" s="7" customFormat="1" spans="33:33">
      <c r="AG8337" s="3"/>
    </row>
    <row r="8338" s="7" customFormat="1" spans="33:33">
      <c r="AG8338" s="3"/>
    </row>
    <row r="8339" s="7" customFormat="1" spans="33:33">
      <c r="AG8339" s="3"/>
    </row>
    <row r="8340" s="7" customFormat="1" spans="33:33">
      <c r="AG8340" s="3"/>
    </row>
    <row r="8341" s="7" customFormat="1" spans="33:33">
      <c r="AG8341" s="3"/>
    </row>
    <row r="8342" s="7" customFormat="1" spans="33:33">
      <c r="AG8342" s="3"/>
    </row>
    <row r="8343" s="7" customFormat="1" spans="33:33">
      <c r="AG8343" s="3"/>
    </row>
    <row r="8344" s="7" customFormat="1" spans="33:33">
      <c r="AG8344" s="3"/>
    </row>
    <row r="8345" s="7" customFormat="1" spans="33:33">
      <c r="AG8345" s="3"/>
    </row>
    <row r="8346" s="7" customFormat="1" spans="33:33">
      <c r="AG8346" s="3"/>
    </row>
    <row r="8347" s="7" customFormat="1" spans="33:33">
      <c r="AG8347" s="3"/>
    </row>
    <row r="8348" s="7" customFormat="1" spans="33:33">
      <c r="AG8348" s="3"/>
    </row>
    <row r="8349" s="7" customFormat="1" spans="33:33">
      <c r="AG8349" s="3"/>
    </row>
    <row r="8350" s="7" customFormat="1" spans="33:33">
      <c r="AG8350" s="3"/>
    </row>
    <row r="8351" s="7" customFormat="1" spans="33:33">
      <c r="AG8351" s="3"/>
    </row>
    <row r="8352" s="7" customFormat="1" spans="33:33">
      <c r="AG8352" s="3"/>
    </row>
    <row r="8353" s="7" customFormat="1" spans="33:33">
      <c r="AG8353" s="3"/>
    </row>
    <row r="8354" s="7" customFormat="1" spans="33:33">
      <c r="AG8354" s="3"/>
    </row>
    <row r="8355" s="7" customFormat="1" spans="33:33">
      <c r="AG8355" s="3"/>
    </row>
    <row r="8356" s="7" customFormat="1" spans="33:33">
      <c r="AG8356" s="3"/>
    </row>
    <row r="8357" s="7" customFormat="1" spans="33:33">
      <c r="AG8357" s="3"/>
    </row>
    <row r="8358" s="7" customFormat="1" spans="33:33">
      <c r="AG8358" s="3"/>
    </row>
    <row r="8359" s="7" customFormat="1" spans="33:33">
      <c r="AG8359" s="3"/>
    </row>
    <row r="8360" s="7" customFormat="1" spans="33:33">
      <c r="AG8360" s="3"/>
    </row>
    <row r="8361" s="7" customFormat="1" spans="33:33">
      <c r="AG8361" s="3"/>
    </row>
    <row r="8362" s="7" customFormat="1" spans="33:33">
      <c r="AG8362" s="3"/>
    </row>
    <row r="8363" s="7" customFormat="1" spans="33:33">
      <c r="AG8363" s="3"/>
    </row>
    <row r="8364" s="7" customFormat="1" spans="33:33">
      <c r="AG8364" s="3"/>
    </row>
    <row r="8365" s="7" customFormat="1" spans="33:33">
      <c r="AG8365" s="3"/>
    </row>
    <row r="8366" s="7" customFormat="1" spans="33:33">
      <c r="AG8366" s="3"/>
    </row>
    <row r="8367" s="7" customFormat="1" spans="33:33">
      <c r="AG8367" s="3"/>
    </row>
    <row r="8368" s="7" customFormat="1" spans="33:33">
      <c r="AG8368" s="3"/>
    </row>
    <row r="8369" s="7" customFormat="1" spans="33:33">
      <c r="AG8369" s="3"/>
    </row>
    <row r="8370" s="7" customFormat="1" spans="33:33">
      <c r="AG8370" s="3"/>
    </row>
    <row r="8371" s="7" customFormat="1" spans="33:33">
      <c r="AG8371" s="3"/>
    </row>
    <row r="8372" s="7" customFormat="1" spans="33:33">
      <c r="AG8372" s="3"/>
    </row>
    <row r="8373" s="7" customFormat="1" spans="33:33">
      <c r="AG8373" s="3"/>
    </row>
    <row r="8374" s="7" customFormat="1" spans="33:33">
      <c r="AG8374" s="3"/>
    </row>
    <row r="8375" s="7" customFormat="1" spans="33:33">
      <c r="AG8375" s="3"/>
    </row>
    <row r="8376" s="7" customFormat="1" spans="33:33">
      <c r="AG8376" s="3"/>
    </row>
    <row r="8377" s="7" customFormat="1" spans="33:33">
      <c r="AG8377" s="3"/>
    </row>
    <row r="8378" s="7" customFormat="1" spans="33:33">
      <c r="AG8378" s="3"/>
    </row>
    <row r="8379" s="7" customFormat="1" spans="33:33">
      <c r="AG8379" s="3"/>
    </row>
    <row r="8380" s="7" customFormat="1" spans="33:33">
      <c r="AG8380" s="3"/>
    </row>
    <row r="8381" s="7" customFormat="1" spans="33:33">
      <c r="AG8381" s="3"/>
    </row>
    <row r="8382" s="7" customFormat="1" spans="33:33">
      <c r="AG8382" s="3"/>
    </row>
    <row r="8383" s="7" customFormat="1" spans="33:33">
      <c r="AG8383" s="3"/>
    </row>
    <row r="8384" s="7" customFormat="1" spans="33:33">
      <c r="AG8384" s="3"/>
    </row>
    <row r="8385" s="7" customFormat="1" spans="33:33">
      <c r="AG8385" s="3"/>
    </row>
    <row r="8386" s="7" customFormat="1" spans="33:33">
      <c r="AG8386" s="3"/>
    </row>
    <row r="8387" s="7" customFormat="1" spans="33:33">
      <c r="AG8387" s="3"/>
    </row>
    <row r="8388" s="7" customFormat="1" spans="33:33">
      <c r="AG8388" s="3"/>
    </row>
    <row r="8389" s="7" customFormat="1" spans="33:33">
      <c r="AG8389" s="3"/>
    </row>
    <row r="8390" s="7" customFormat="1" spans="33:33">
      <c r="AG8390" s="3"/>
    </row>
    <row r="8391" s="7" customFormat="1" spans="33:33">
      <c r="AG8391" s="3"/>
    </row>
    <row r="8392" s="7" customFormat="1" spans="33:33">
      <c r="AG8392" s="3"/>
    </row>
    <row r="8393" s="7" customFormat="1" spans="33:33">
      <c r="AG8393" s="3"/>
    </row>
    <row r="8394" s="7" customFormat="1" spans="33:33">
      <c r="AG8394" s="3"/>
    </row>
    <row r="8395" s="7" customFormat="1" spans="33:33">
      <c r="AG8395" s="3"/>
    </row>
    <row r="8396" s="7" customFormat="1" spans="33:33">
      <c r="AG8396" s="3"/>
    </row>
    <row r="8397" s="7" customFormat="1" spans="33:33">
      <c r="AG8397" s="3"/>
    </row>
    <row r="8398" s="7" customFormat="1" spans="33:33">
      <c r="AG8398" s="3"/>
    </row>
    <row r="8399" s="7" customFormat="1" spans="33:33">
      <c r="AG8399" s="3"/>
    </row>
    <row r="8400" s="7" customFormat="1" spans="33:33">
      <c r="AG8400" s="3"/>
    </row>
    <row r="8401" s="7" customFormat="1" spans="33:33">
      <c r="AG8401" s="3"/>
    </row>
    <row r="8402" s="7" customFormat="1" spans="33:33">
      <c r="AG8402" s="3"/>
    </row>
    <row r="8403" s="7" customFormat="1" spans="33:33">
      <c r="AG8403" s="3"/>
    </row>
    <row r="8404" s="7" customFormat="1" spans="33:33">
      <c r="AG8404" s="3"/>
    </row>
    <row r="8405" s="7" customFormat="1" spans="33:33">
      <c r="AG8405" s="3"/>
    </row>
    <row r="8406" s="7" customFormat="1" spans="33:33">
      <c r="AG8406" s="3"/>
    </row>
    <row r="8407" s="7" customFormat="1" spans="33:33">
      <c r="AG8407" s="3"/>
    </row>
    <row r="8408" s="7" customFormat="1" spans="33:33">
      <c r="AG8408" s="3"/>
    </row>
    <row r="8409" s="7" customFormat="1" spans="33:33">
      <c r="AG8409" s="3"/>
    </row>
    <row r="8410" s="7" customFormat="1" spans="33:33">
      <c r="AG8410" s="3"/>
    </row>
    <row r="8411" s="7" customFormat="1" spans="33:33">
      <c r="AG8411" s="3"/>
    </row>
    <row r="8412" s="7" customFormat="1" spans="33:33">
      <c r="AG8412" s="3"/>
    </row>
    <row r="8413" s="7" customFormat="1" spans="33:33">
      <c r="AG8413" s="3"/>
    </row>
    <row r="8414" s="7" customFormat="1" spans="33:33">
      <c r="AG8414" s="3"/>
    </row>
    <row r="8415" s="7" customFormat="1" spans="33:33">
      <c r="AG8415" s="3"/>
    </row>
    <row r="8416" s="7" customFormat="1" spans="33:33">
      <c r="AG8416" s="3"/>
    </row>
    <row r="8417" s="7" customFormat="1" spans="33:33">
      <c r="AG8417" s="3"/>
    </row>
    <row r="8418" s="7" customFormat="1" spans="33:33">
      <c r="AG8418" s="3"/>
    </row>
    <row r="8419" s="7" customFormat="1" spans="33:33">
      <c r="AG8419" s="3"/>
    </row>
    <row r="8420" s="7" customFormat="1" spans="33:33">
      <c r="AG8420" s="3"/>
    </row>
    <row r="8421" s="7" customFormat="1" spans="33:33">
      <c r="AG8421" s="3"/>
    </row>
    <row r="8422" s="7" customFormat="1" spans="33:33">
      <c r="AG8422" s="3"/>
    </row>
    <row r="8423" s="7" customFormat="1" spans="33:33">
      <c r="AG8423" s="3"/>
    </row>
    <row r="8424" s="7" customFormat="1" spans="33:33">
      <c r="AG8424" s="3"/>
    </row>
    <row r="8425" s="7" customFormat="1" spans="33:33">
      <c r="AG8425" s="3"/>
    </row>
    <row r="8426" s="7" customFormat="1" spans="33:33">
      <c r="AG8426" s="3"/>
    </row>
    <row r="8427" s="7" customFormat="1" spans="33:33">
      <c r="AG8427" s="3"/>
    </row>
    <row r="8428" s="7" customFormat="1" spans="33:33">
      <c r="AG8428" s="3"/>
    </row>
    <row r="8429" s="7" customFormat="1" spans="33:33">
      <c r="AG8429" s="3"/>
    </row>
    <row r="8430" s="7" customFormat="1" spans="33:33">
      <c r="AG8430" s="3"/>
    </row>
    <row r="8431" s="7" customFormat="1" spans="33:33">
      <c r="AG8431" s="3"/>
    </row>
    <row r="8432" s="7" customFormat="1" spans="33:33">
      <c r="AG8432" s="3"/>
    </row>
    <row r="8433" s="7" customFormat="1" spans="33:33">
      <c r="AG8433" s="3"/>
    </row>
    <row r="8434" s="7" customFormat="1" spans="33:33">
      <c r="AG8434" s="3"/>
    </row>
    <row r="8435" s="7" customFormat="1" spans="33:33">
      <c r="AG8435" s="3"/>
    </row>
    <row r="8436" s="7" customFormat="1" spans="33:33">
      <c r="AG8436" s="3"/>
    </row>
    <row r="8437" s="7" customFormat="1" spans="33:33">
      <c r="AG8437" s="3"/>
    </row>
    <row r="8438" s="7" customFormat="1" spans="33:33">
      <c r="AG8438" s="3"/>
    </row>
    <row r="8439" s="7" customFormat="1" spans="33:33">
      <c r="AG8439" s="3"/>
    </row>
    <row r="8440" s="7" customFormat="1" spans="33:33">
      <c r="AG8440" s="3"/>
    </row>
    <row r="8441" s="7" customFormat="1" spans="33:33">
      <c r="AG8441" s="3"/>
    </row>
    <row r="8442" s="7" customFormat="1" spans="33:33">
      <c r="AG8442" s="3"/>
    </row>
    <row r="8443" s="7" customFormat="1" spans="33:33">
      <c r="AG8443" s="3"/>
    </row>
    <row r="8444" s="7" customFormat="1" spans="33:33">
      <c r="AG8444" s="3"/>
    </row>
    <row r="8445" s="7" customFormat="1" spans="33:33">
      <c r="AG8445" s="3"/>
    </row>
    <row r="8446" s="7" customFormat="1" spans="33:33">
      <c r="AG8446" s="3"/>
    </row>
    <row r="8447" s="7" customFormat="1" spans="33:33">
      <c r="AG8447" s="3"/>
    </row>
    <row r="8448" s="7" customFormat="1" spans="33:33">
      <c r="AG8448" s="3"/>
    </row>
    <row r="8449" s="7" customFormat="1" spans="33:33">
      <c r="AG8449" s="3"/>
    </row>
    <row r="8450" s="7" customFormat="1" spans="33:33">
      <c r="AG8450" s="3"/>
    </row>
    <row r="8451" s="7" customFormat="1" spans="33:33">
      <c r="AG8451" s="3"/>
    </row>
    <row r="8452" s="7" customFormat="1" spans="33:33">
      <c r="AG8452" s="3"/>
    </row>
    <row r="8453" s="7" customFormat="1" spans="33:33">
      <c r="AG8453" s="3"/>
    </row>
    <row r="8454" s="7" customFormat="1" spans="33:33">
      <c r="AG8454" s="3"/>
    </row>
    <row r="8455" s="7" customFormat="1" spans="33:33">
      <c r="AG8455" s="3"/>
    </row>
    <row r="8456" s="7" customFormat="1" spans="33:33">
      <c r="AG8456" s="3"/>
    </row>
    <row r="8457" s="7" customFormat="1" spans="33:33">
      <c r="AG8457" s="3"/>
    </row>
    <row r="8458" s="7" customFormat="1" spans="33:33">
      <c r="AG8458" s="3"/>
    </row>
    <row r="8459" s="7" customFormat="1" spans="33:33">
      <c r="AG8459" s="3"/>
    </row>
    <row r="8460" s="7" customFormat="1" spans="33:33">
      <c r="AG8460" s="3"/>
    </row>
    <row r="8461" s="7" customFormat="1" spans="33:33">
      <c r="AG8461" s="3"/>
    </row>
    <row r="8462" s="7" customFormat="1" spans="33:33">
      <c r="AG8462" s="3"/>
    </row>
    <row r="8463" s="7" customFormat="1" spans="33:33">
      <c r="AG8463" s="3"/>
    </row>
    <row r="8464" s="7" customFormat="1" spans="33:33">
      <c r="AG8464" s="3"/>
    </row>
    <row r="8465" s="7" customFormat="1" spans="33:33">
      <c r="AG8465" s="3"/>
    </row>
    <row r="8466" s="7" customFormat="1" spans="33:33">
      <c r="AG8466" s="3"/>
    </row>
    <row r="8467" s="7" customFormat="1" spans="33:33">
      <c r="AG8467" s="3"/>
    </row>
    <row r="8468" s="7" customFormat="1" spans="33:33">
      <c r="AG8468" s="3"/>
    </row>
    <row r="8469" s="7" customFormat="1" spans="33:33">
      <c r="AG8469" s="3"/>
    </row>
    <row r="8470" s="7" customFormat="1" spans="33:33">
      <c r="AG8470" s="3"/>
    </row>
    <row r="8471" s="7" customFormat="1" spans="33:33">
      <c r="AG8471" s="3"/>
    </row>
    <row r="8472" s="7" customFormat="1" spans="33:33">
      <c r="AG8472" s="3"/>
    </row>
    <row r="8473" s="7" customFormat="1" spans="33:33">
      <c r="AG8473" s="3"/>
    </row>
    <row r="8474" s="7" customFormat="1" spans="33:33">
      <c r="AG8474" s="3"/>
    </row>
    <row r="8475" s="7" customFormat="1" spans="33:33">
      <c r="AG8475" s="3"/>
    </row>
    <row r="8476" s="7" customFormat="1" spans="33:33">
      <c r="AG8476" s="3"/>
    </row>
    <row r="8477" s="7" customFormat="1" spans="33:33">
      <c r="AG8477" s="3"/>
    </row>
    <row r="8478" s="7" customFormat="1" spans="33:33">
      <c r="AG8478" s="3"/>
    </row>
    <row r="8479" s="7" customFormat="1" spans="33:33">
      <c r="AG8479" s="3"/>
    </row>
    <row r="8480" s="7" customFormat="1" spans="33:33">
      <c r="AG8480" s="3"/>
    </row>
    <row r="8481" s="7" customFormat="1" spans="33:33">
      <c r="AG8481" s="3"/>
    </row>
    <row r="8482" s="7" customFormat="1" spans="33:33">
      <c r="AG8482" s="3"/>
    </row>
    <row r="8483" s="7" customFormat="1" spans="33:33">
      <c r="AG8483" s="3"/>
    </row>
    <row r="8484" s="7" customFormat="1" spans="33:33">
      <c r="AG8484" s="3"/>
    </row>
    <row r="8485" s="7" customFormat="1" spans="33:33">
      <c r="AG8485" s="3"/>
    </row>
    <row r="8486" s="7" customFormat="1" spans="33:33">
      <c r="AG8486" s="3"/>
    </row>
    <row r="8487" s="7" customFormat="1" spans="33:33">
      <c r="AG8487" s="3"/>
    </row>
    <row r="8488" s="7" customFormat="1" spans="33:33">
      <c r="AG8488" s="3"/>
    </row>
    <row r="8489" s="7" customFormat="1" spans="33:33">
      <c r="AG8489" s="3"/>
    </row>
    <row r="8490" s="7" customFormat="1" spans="33:33">
      <c r="AG8490" s="3"/>
    </row>
    <row r="8491" s="7" customFormat="1" spans="33:33">
      <c r="AG8491" s="3"/>
    </row>
    <row r="8492" s="7" customFormat="1" spans="33:33">
      <c r="AG8492" s="3"/>
    </row>
    <row r="8493" s="7" customFormat="1" spans="33:33">
      <c r="AG8493" s="3"/>
    </row>
    <row r="8494" s="7" customFormat="1" spans="33:33">
      <c r="AG8494" s="3"/>
    </row>
    <row r="8495" s="7" customFormat="1" spans="33:33">
      <c r="AG8495" s="3"/>
    </row>
    <row r="8496" s="7" customFormat="1" spans="33:33">
      <c r="AG8496" s="3"/>
    </row>
    <row r="8497" s="7" customFormat="1" spans="33:33">
      <c r="AG8497" s="3"/>
    </row>
    <row r="8498" s="7" customFormat="1" spans="33:33">
      <c r="AG8498" s="3"/>
    </row>
    <row r="8499" s="7" customFormat="1" spans="33:33">
      <c r="AG8499" s="3"/>
    </row>
    <row r="8500" s="7" customFormat="1" spans="33:33">
      <c r="AG8500" s="3"/>
    </row>
    <row r="8501" s="7" customFormat="1" spans="33:33">
      <c r="AG8501" s="3"/>
    </row>
    <row r="8502" s="7" customFormat="1" spans="33:33">
      <c r="AG8502" s="3"/>
    </row>
    <row r="8503" s="7" customFormat="1" spans="33:33">
      <c r="AG8503" s="3"/>
    </row>
    <row r="8504" s="7" customFormat="1" spans="33:33">
      <c r="AG8504" s="3"/>
    </row>
    <row r="8505" s="7" customFormat="1" spans="33:33">
      <c r="AG8505" s="3"/>
    </row>
    <row r="8506" s="7" customFormat="1" spans="33:33">
      <c r="AG8506" s="3"/>
    </row>
    <row r="8507" s="7" customFormat="1" spans="33:33">
      <c r="AG8507" s="3"/>
    </row>
    <row r="8508" s="7" customFormat="1" spans="33:33">
      <c r="AG8508" s="3"/>
    </row>
    <row r="8509" s="7" customFormat="1" spans="33:33">
      <c r="AG8509" s="3"/>
    </row>
    <row r="8510" s="7" customFormat="1" spans="33:33">
      <c r="AG8510" s="3"/>
    </row>
    <row r="8511" s="7" customFormat="1" spans="33:33">
      <c r="AG8511" s="3"/>
    </row>
    <row r="8512" s="7" customFormat="1" spans="33:33">
      <c r="AG8512" s="3"/>
    </row>
    <row r="8513" s="7" customFormat="1" spans="33:33">
      <c r="AG8513" s="3"/>
    </row>
    <row r="8514" s="7" customFormat="1" spans="33:33">
      <c r="AG8514" s="3"/>
    </row>
    <row r="8515" s="7" customFormat="1" spans="33:33">
      <c r="AG8515" s="3"/>
    </row>
    <row r="8516" s="7" customFormat="1" spans="33:33">
      <c r="AG8516" s="3"/>
    </row>
    <row r="8517" s="7" customFormat="1" spans="33:33">
      <c r="AG8517" s="3"/>
    </row>
    <row r="8518" s="7" customFormat="1" spans="33:33">
      <c r="AG8518" s="3"/>
    </row>
    <row r="8519" s="7" customFormat="1" spans="33:33">
      <c r="AG8519" s="3"/>
    </row>
    <row r="8520" s="7" customFormat="1" spans="33:33">
      <c r="AG8520" s="3"/>
    </row>
    <row r="8521" s="7" customFormat="1" spans="33:33">
      <c r="AG8521" s="3"/>
    </row>
    <row r="8522" s="7" customFormat="1" spans="33:33">
      <c r="AG8522" s="3"/>
    </row>
    <row r="8523" s="7" customFormat="1" spans="33:33">
      <c r="AG8523" s="3"/>
    </row>
    <row r="8524" s="7" customFormat="1" spans="33:33">
      <c r="AG8524" s="3"/>
    </row>
    <row r="8525" s="7" customFormat="1" spans="33:33">
      <c r="AG8525" s="3"/>
    </row>
    <row r="8526" s="7" customFormat="1" spans="33:33">
      <c r="AG8526" s="3"/>
    </row>
    <row r="8527" s="7" customFormat="1" spans="33:33">
      <c r="AG8527" s="3"/>
    </row>
    <row r="8528" s="7" customFormat="1" spans="33:33">
      <c r="AG8528" s="3"/>
    </row>
    <row r="8529" s="7" customFormat="1" spans="33:33">
      <c r="AG8529" s="3"/>
    </row>
    <row r="8530" s="7" customFormat="1" spans="33:33">
      <c r="AG8530" s="3"/>
    </row>
    <row r="8531" s="7" customFormat="1" spans="33:33">
      <c r="AG8531" s="3"/>
    </row>
    <row r="8532" s="7" customFormat="1" spans="33:33">
      <c r="AG8532" s="3"/>
    </row>
    <row r="8533" s="7" customFormat="1" spans="33:33">
      <c r="AG8533" s="3"/>
    </row>
    <row r="8534" s="7" customFormat="1" spans="33:33">
      <c r="AG8534" s="3"/>
    </row>
    <row r="8535" s="7" customFormat="1" spans="33:33">
      <c r="AG8535" s="3"/>
    </row>
    <row r="8536" s="7" customFormat="1" spans="33:33">
      <c r="AG8536" s="3"/>
    </row>
    <row r="8537" s="7" customFormat="1" spans="33:33">
      <c r="AG8537" s="3"/>
    </row>
    <row r="8538" s="7" customFormat="1" spans="33:33">
      <c r="AG8538" s="3"/>
    </row>
    <row r="8539" s="7" customFormat="1" spans="33:33">
      <c r="AG8539" s="3"/>
    </row>
    <row r="8540" s="7" customFormat="1" spans="33:33">
      <c r="AG8540" s="3"/>
    </row>
    <row r="8541" s="7" customFormat="1" spans="33:33">
      <c r="AG8541" s="3"/>
    </row>
    <row r="8542" s="7" customFormat="1" spans="33:33">
      <c r="AG8542" s="3"/>
    </row>
    <row r="8543" s="7" customFormat="1" spans="33:33">
      <c r="AG8543" s="3"/>
    </row>
    <row r="8544" s="7" customFormat="1" spans="33:33">
      <c r="AG8544" s="3"/>
    </row>
    <row r="8545" s="7" customFormat="1" spans="33:33">
      <c r="AG8545" s="3"/>
    </row>
    <row r="8546" s="7" customFormat="1" spans="33:33">
      <c r="AG8546" s="3"/>
    </row>
    <row r="8547" s="7" customFormat="1" spans="33:33">
      <c r="AG8547" s="3"/>
    </row>
    <row r="8548" s="7" customFormat="1" spans="33:33">
      <c r="AG8548" s="3"/>
    </row>
    <row r="8549" s="7" customFormat="1" spans="33:33">
      <c r="AG8549" s="3"/>
    </row>
    <row r="8550" s="7" customFormat="1" spans="33:33">
      <c r="AG8550" s="3"/>
    </row>
    <row r="8551" s="7" customFormat="1" spans="33:33">
      <c r="AG8551" s="3"/>
    </row>
    <row r="8552" s="7" customFormat="1" spans="33:33">
      <c r="AG8552" s="3"/>
    </row>
    <row r="8553" s="7" customFormat="1" spans="33:33">
      <c r="AG8553" s="3"/>
    </row>
    <row r="8554" s="7" customFormat="1" spans="33:33">
      <c r="AG8554" s="3"/>
    </row>
    <row r="8555" s="7" customFormat="1" spans="33:33">
      <c r="AG8555" s="3"/>
    </row>
    <row r="8556" s="7" customFormat="1" spans="33:33">
      <c r="AG8556" s="3"/>
    </row>
    <row r="8557" s="7" customFormat="1" spans="33:33">
      <c r="AG8557" s="3"/>
    </row>
    <row r="8558" s="7" customFormat="1" spans="33:33">
      <c r="AG8558" s="3"/>
    </row>
    <row r="8559" s="7" customFormat="1" spans="33:33">
      <c r="AG8559" s="3"/>
    </row>
    <row r="8560" s="7" customFormat="1" spans="33:33">
      <c r="AG8560" s="3"/>
    </row>
    <row r="8561" s="7" customFormat="1" spans="33:33">
      <c r="AG8561" s="3"/>
    </row>
    <row r="8562" s="7" customFormat="1" spans="33:33">
      <c r="AG8562" s="3"/>
    </row>
    <row r="8563" s="7" customFormat="1" spans="33:33">
      <c r="AG8563" s="3"/>
    </row>
    <row r="8564" s="7" customFormat="1" spans="33:33">
      <c r="AG8564" s="3"/>
    </row>
    <row r="8565" s="7" customFormat="1" spans="33:33">
      <c r="AG8565" s="3"/>
    </row>
    <row r="8566" s="7" customFormat="1" spans="33:33">
      <c r="AG8566" s="3"/>
    </row>
    <row r="8567" s="7" customFormat="1" spans="33:33">
      <c r="AG8567" s="3"/>
    </row>
    <row r="8568" s="7" customFormat="1" spans="33:33">
      <c r="AG8568" s="3"/>
    </row>
    <row r="8569" s="7" customFormat="1" spans="33:33">
      <c r="AG8569" s="3"/>
    </row>
    <row r="8570" s="7" customFormat="1" spans="33:33">
      <c r="AG8570" s="3"/>
    </row>
    <row r="8571" s="7" customFormat="1" spans="33:33">
      <c r="AG8571" s="3"/>
    </row>
    <row r="8572" s="7" customFormat="1" spans="33:33">
      <c r="AG8572" s="3"/>
    </row>
    <row r="8573" s="7" customFormat="1" spans="33:33">
      <c r="AG8573" s="3"/>
    </row>
    <row r="8574" s="7" customFormat="1" spans="33:33">
      <c r="AG8574" s="3"/>
    </row>
    <row r="8575" s="7" customFormat="1" spans="33:33">
      <c r="AG8575" s="3"/>
    </row>
    <row r="8576" s="7" customFormat="1" spans="33:33">
      <c r="AG8576" s="3"/>
    </row>
    <row r="8577" s="7" customFormat="1" spans="33:33">
      <c r="AG8577" s="3"/>
    </row>
    <row r="8578" s="7" customFormat="1" spans="33:33">
      <c r="AG8578" s="3"/>
    </row>
    <row r="8579" s="7" customFormat="1" spans="33:33">
      <c r="AG8579" s="3"/>
    </row>
    <row r="8580" s="7" customFormat="1" spans="33:33">
      <c r="AG8580" s="3"/>
    </row>
    <row r="8581" s="7" customFormat="1" spans="33:33">
      <c r="AG8581" s="3"/>
    </row>
    <row r="8582" s="7" customFormat="1" spans="33:33">
      <c r="AG8582" s="3"/>
    </row>
    <row r="8583" s="7" customFormat="1" spans="33:33">
      <c r="AG8583" s="3"/>
    </row>
    <row r="8584" s="7" customFormat="1" spans="33:33">
      <c r="AG8584" s="3"/>
    </row>
    <row r="8585" s="7" customFormat="1" spans="33:33">
      <c r="AG8585" s="3"/>
    </row>
    <row r="8586" s="7" customFormat="1" spans="33:33">
      <c r="AG8586" s="3"/>
    </row>
    <row r="8587" s="7" customFormat="1" spans="33:33">
      <c r="AG8587" s="3"/>
    </row>
    <row r="8588" s="7" customFormat="1" spans="33:33">
      <c r="AG8588" s="3"/>
    </row>
    <row r="8589" s="7" customFormat="1" spans="33:33">
      <c r="AG8589" s="3"/>
    </row>
    <row r="8590" s="7" customFormat="1" spans="33:33">
      <c r="AG8590" s="3"/>
    </row>
    <row r="8591" s="7" customFormat="1" spans="33:33">
      <c r="AG8591" s="3"/>
    </row>
    <row r="8592" s="7" customFormat="1" spans="33:33">
      <c r="AG8592" s="3"/>
    </row>
    <row r="8593" s="7" customFormat="1" spans="33:33">
      <c r="AG8593" s="3"/>
    </row>
    <row r="8594" s="7" customFormat="1" spans="33:33">
      <c r="AG8594" s="3"/>
    </row>
    <row r="8595" s="7" customFormat="1" spans="33:33">
      <c r="AG8595" s="3"/>
    </row>
    <row r="8596" s="7" customFormat="1" spans="33:33">
      <c r="AG8596" s="3"/>
    </row>
    <row r="8597" s="7" customFormat="1" spans="33:33">
      <c r="AG8597" s="3"/>
    </row>
    <row r="8598" s="7" customFormat="1" spans="33:33">
      <c r="AG8598" s="3"/>
    </row>
    <row r="8599" s="7" customFormat="1" spans="33:33">
      <c r="AG8599" s="3"/>
    </row>
    <row r="8600" s="7" customFormat="1" spans="33:33">
      <c r="AG8600" s="3"/>
    </row>
    <row r="8601" s="7" customFormat="1" spans="33:33">
      <c r="AG8601" s="3"/>
    </row>
    <row r="8602" s="7" customFormat="1" spans="33:33">
      <c r="AG8602" s="3"/>
    </row>
    <row r="8603" s="7" customFormat="1" spans="33:33">
      <c r="AG8603" s="3"/>
    </row>
    <row r="8604" s="7" customFormat="1" spans="33:33">
      <c r="AG8604" s="3"/>
    </row>
    <row r="8605" s="7" customFormat="1" spans="33:33">
      <c r="AG8605" s="3"/>
    </row>
    <row r="8606" s="7" customFormat="1" spans="33:33">
      <c r="AG8606" s="3"/>
    </row>
    <row r="8607" s="7" customFormat="1" spans="33:33">
      <c r="AG8607" s="3"/>
    </row>
    <row r="8608" s="7" customFormat="1" spans="33:33">
      <c r="AG8608" s="3"/>
    </row>
    <row r="8609" s="7" customFormat="1" spans="33:33">
      <c r="AG8609" s="3"/>
    </row>
    <row r="8610" s="7" customFormat="1" spans="33:33">
      <c r="AG8610" s="3"/>
    </row>
    <row r="8611" s="7" customFormat="1" spans="33:33">
      <c r="AG8611" s="3"/>
    </row>
    <row r="8612" s="7" customFormat="1" spans="33:33">
      <c r="AG8612" s="3"/>
    </row>
    <row r="8613" s="7" customFormat="1" spans="33:33">
      <c r="AG8613" s="3"/>
    </row>
    <row r="8614" s="7" customFormat="1" spans="33:33">
      <c r="AG8614" s="3"/>
    </row>
    <row r="8615" s="7" customFormat="1" spans="33:33">
      <c r="AG8615" s="3"/>
    </row>
    <row r="8616" s="7" customFormat="1" spans="33:33">
      <c r="AG8616" s="3"/>
    </row>
    <row r="8617" s="7" customFormat="1" spans="33:33">
      <c r="AG8617" s="3"/>
    </row>
    <row r="8618" s="7" customFormat="1" spans="33:33">
      <c r="AG8618" s="3"/>
    </row>
    <row r="8619" s="7" customFormat="1" spans="33:33">
      <c r="AG8619" s="3"/>
    </row>
    <row r="8620" s="7" customFormat="1" spans="33:33">
      <c r="AG8620" s="3"/>
    </row>
    <row r="8621" s="7" customFormat="1" spans="33:33">
      <c r="AG8621" s="3"/>
    </row>
    <row r="8622" s="7" customFormat="1" spans="33:33">
      <c r="AG8622" s="3"/>
    </row>
    <row r="8623" s="7" customFormat="1" spans="33:33">
      <c r="AG8623" s="3"/>
    </row>
    <row r="8624" s="7" customFormat="1" spans="33:33">
      <c r="AG8624" s="3"/>
    </row>
    <row r="8625" s="7" customFormat="1" spans="33:33">
      <c r="AG8625" s="3"/>
    </row>
    <row r="8626" s="7" customFormat="1" spans="33:33">
      <c r="AG8626" s="3"/>
    </row>
    <row r="8627" s="7" customFormat="1" spans="33:33">
      <c r="AG8627" s="3"/>
    </row>
    <row r="8628" s="7" customFormat="1" spans="33:33">
      <c r="AG8628" s="3"/>
    </row>
    <row r="8629" s="7" customFormat="1" spans="33:33">
      <c r="AG8629" s="3"/>
    </row>
    <row r="8630" s="7" customFormat="1" spans="33:33">
      <c r="AG8630" s="3"/>
    </row>
    <row r="8631" s="7" customFormat="1" spans="33:33">
      <c r="AG8631" s="3"/>
    </row>
    <row r="8632" s="7" customFormat="1" spans="33:33">
      <c r="AG8632" s="3"/>
    </row>
    <row r="8633" s="7" customFormat="1" spans="33:33">
      <c r="AG8633" s="3"/>
    </row>
    <row r="8634" s="7" customFormat="1" spans="33:33">
      <c r="AG8634" s="3"/>
    </row>
    <row r="8635" s="7" customFormat="1" spans="33:33">
      <c r="AG8635" s="3"/>
    </row>
    <row r="8636" s="7" customFormat="1" spans="33:33">
      <c r="AG8636" s="3"/>
    </row>
    <row r="8637" s="7" customFormat="1" spans="33:33">
      <c r="AG8637" s="3"/>
    </row>
    <row r="8638" s="7" customFormat="1" spans="33:33">
      <c r="AG8638" s="3"/>
    </row>
    <row r="8639" s="7" customFormat="1" spans="33:33">
      <c r="AG8639" s="3"/>
    </row>
    <row r="8640" s="7" customFormat="1" spans="33:33">
      <c r="AG8640" s="3"/>
    </row>
    <row r="8641" s="7" customFormat="1" spans="33:33">
      <c r="AG8641" s="3"/>
    </row>
    <row r="8642" s="7" customFormat="1" spans="33:33">
      <c r="AG8642" s="3"/>
    </row>
    <row r="8643" s="7" customFormat="1" spans="33:33">
      <c r="AG8643" s="3"/>
    </row>
    <row r="8644" s="7" customFormat="1" spans="33:33">
      <c r="AG8644" s="3"/>
    </row>
    <row r="8645" s="7" customFormat="1" spans="33:33">
      <c r="AG8645" s="3"/>
    </row>
    <row r="8646" s="7" customFormat="1" spans="33:33">
      <c r="AG8646" s="3"/>
    </row>
    <row r="8647" s="7" customFormat="1" spans="33:33">
      <c r="AG8647" s="3"/>
    </row>
    <row r="8648" s="7" customFormat="1" spans="33:33">
      <c r="AG8648" s="3"/>
    </row>
    <row r="8649" s="7" customFormat="1" spans="33:33">
      <c r="AG8649" s="3"/>
    </row>
    <row r="8650" s="7" customFormat="1" spans="33:33">
      <c r="AG8650" s="3"/>
    </row>
    <row r="8651" s="7" customFormat="1" spans="33:33">
      <c r="AG8651" s="3"/>
    </row>
    <row r="8652" s="7" customFormat="1" spans="33:33">
      <c r="AG8652" s="3"/>
    </row>
    <row r="8653" s="7" customFormat="1" spans="33:33">
      <c r="AG8653" s="3"/>
    </row>
    <row r="8654" s="7" customFormat="1" spans="33:33">
      <c r="AG8654" s="3"/>
    </row>
    <row r="8655" s="7" customFormat="1" spans="33:33">
      <c r="AG8655" s="3"/>
    </row>
    <row r="8656" s="7" customFormat="1" spans="33:33">
      <c r="AG8656" s="3"/>
    </row>
    <row r="8657" s="7" customFormat="1" spans="33:33">
      <c r="AG8657" s="3"/>
    </row>
    <row r="8658" s="7" customFormat="1" spans="33:33">
      <c r="AG8658" s="3"/>
    </row>
    <row r="8659" s="7" customFormat="1" spans="33:33">
      <c r="AG8659" s="3"/>
    </row>
    <row r="8660" s="7" customFormat="1" spans="33:33">
      <c r="AG8660" s="3"/>
    </row>
    <row r="8661" s="7" customFormat="1" spans="33:33">
      <c r="AG8661" s="3"/>
    </row>
    <row r="8662" s="7" customFormat="1" spans="33:33">
      <c r="AG8662" s="3"/>
    </row>
    <row r="8663" s="7" customFormat="1" spans="33:33">
      <c r="AG8663" s="3"/>
    </row>
    <row r="8664" s="7" customFormat="1" spans="33:33">
      <c r="AG8664" s="3"/>
    </row>
    <row r="8665" s="7" customFormat="1" spans="33:33">
      <c r="AG8665" s="3"/>
    </row>
    <row r="8666" s="7" customFormat="1" spans="33:33">
      <c r="AG8666" s="3"/>
    </row>
    <row r="8667" s="7" customFormat="1" spans="33:33">
      <c r="AG8667" s="3"/>
    </row>
    <row r="8668" s="7" customFormat="1" spans="33:33">
      <c r="AG8668" s="3"/>
    </row>
    <row r="8669" s="7" customFormat="1" spans="33:33">
      <c r="AG8669" s="3"/>
    </row>
    <row r="8670" s="7" customFormat="1" spans="33:33">
      <c r="AG8670" s="3"/>
    </row>
    <row r="8671" s="7" customFormat="1" spans="33:33">
      <c r="AG8671" s="3"/>
    </row>
    <row r="8672" s="7" customFormat="1" spans="33:33">
      <c r="AG8672" s="3"/>
    </row>
    <row r="8673" s="7" customFormat="1" spans="33:33">
      <c r="AG8673" s="3"/>
    </row>
    <row r="8674" s="7" customFormat="1" spans="33:33">
      <c r="AG8674" s="3"/>
    </row>
    <row r="8675" s="7" customFormat="1" spans="33:33">
      <c r="AG8675" s="3"/>
    </row>
    <row r="8676" s="7" customFormat="1" spans="33:33">
      <c r="AG8676" s="3"/>
    </row>
    <row r="8677" s="7" customFormat="1" spans="33:33">
      <c r="AG8677" s="3"/>
    </row>
    <row r="8678" s="7" customFormat="1" spans="33:33">
      <c r="AG8678" s="3"/>
    </row>
    <row r="8679" s="7" customFormat="1" spans="33:33">
      <c r="AG8679" s="3"/>
    </row>
    <row r="8680" s="7" customFormat="1" spans="33:33">
      <c r="AG8680" s="3"/>
    </row>
    <row r="8681" s="7" customFormat="1" spans="33:33">
      <c r="AG8681" s="3"/>
    </row>
    <row r="8682" s="7" customFormat="1" spans="33:33">
      <c r="AG8682" s="3"/>
    </row>
    <row r="8683" s="7" customFormat="1" spans="33:33">
      <c r="AG8683" s="3"/>
    </row>
    <row r="8684" s="7" customFormat="1" spans="33:33">
      <c r="AG8684" s="3"/>
    </row>
    <row r="8685" s="7" customFormat="1" spans="33:33">
      <c r="AG8685" s="3"/>
    </row>
    <row r="8686" s="7" customFormat="1" spans="33:33">
      <c r="AG8686" s="3"/>
    </row>
    <row r="8687" s="7" customFormat="1" spans="33:33">
      <c r="AG8687" s="3"/>
    </row>
    <row r="8688" s="7" customFormat="1" spans="33:33">
      <c r="AG8688" s="3"/>
    </row>
    <row r="8689" s="7" customFormat="1" spans="33:33">
      <c r="AG8689" s="3"/>
    </row>
    <row r="8690" s="7" customFormat="1" spans="33:33">
      <c r="AG8690" s="3"/>
    </row>
    <row r="8691" s="7" customFormat="1" spans="33:33">
      <c r="AG8691" s="3"/>
    </row>
    <row r="8692" s="7" customFormat="1" spans="33:33">
      <c r="AG8692" s="3"/>
    </row>
    <row r="8693" s="7" customFormat="1" spans="33:33">
      <c r="AG8693" s="3"/>
    </row>
    <row r="8694" s="7" customFormat="1" spans="33:33">
      <c r="AG8694" s="3"/>
    </row>
    <row r="8695" s="7" customFormat="1" spans="33:33">
      <c r="AG8695" s="3"/>
    </row>
    <row r="8696" s="7" customFormat="1" spans="33:33">
      <c r="AG8696" s="3"/>
    </row>
    <row r="8697" s="7" customFormat="1" spans="33:33">
      <c r="AG8697" s="3"/>
    </row>
    <row r="8698" s="7" customFormat="1" spans="33:33">
      <c r="AG8698" s="3"/>
    </row>
    <row r="8699" s="7" customFormat="1" spans="33:33">
      <c r="AG8699" s="3"/>
    </row>
    <row r="8700" s="7" customFormat="1" spans="33:33">
      <c r="AG8700" s="3"/>
    </row>
    <row r="8701" s="7" customFormat="1" spans="33:33">
      <c r="AG8701" s="3"/>
    </row>
    <row r="8702" s="7" customFormat="1" spans="33:33">
      <c r="AG8702" s="3"/>
    </row>
    <row r="8703" s="7" customFormat="1" spans="33:33">
      <c r="AG8703" s="3"/>
    </row>
    <row r="8704" s="7" customFormat="1" spans="33:33">
      <c r="AG8704" s="3"/>
    </row>
    <row r="8705" s="7" customFormat="1" spans="33:33">
      <c r="AG8705" s="3"/>
    </row>
    <row r="8706" s="7" customFormat="1" spans="33:33">
      <c r="AG8706" s="3"/>
    </row>
    <row r="8707" s="7" customFormat="1" spans="33:33">
      <c r="AG8707" s="3"/>
    </row>
    <row r="8708" s="7" customFormat="1" spans="33:33">
      <c r="AG8708" s="3"/>
    </row>
    <row r="8709" s="7" customFormat="1" spans="33:33">
      <c r="AG8709" s="3"/>
    </row>
    <row r="8710" s="7" customFormat="1" spans="33:33">
      <c r="AG8710" s="3"/>
    </row>
    <row r="8711" s="7" customFormat="1" spans="33:33">
      <c r="AG8711" s="3"/>
    </row>
    <row r="8712" s="7" customFormat="1" spans="33:33">
      <c r="AG8712" s="3"/>
    </row>
    <row r="8713" s="7" customFormat="1" spans="33:33">
      <c r="AG8713" s="3"/>
    </row>
    <row r="8714" s="7" customFormat="1" spans="33:33">
      <c r="AG8714" s="3"/>
    </row>
    <row r="8715" s="7" customFormat="1" spans="33:33">
      <c r="AG8715" s="3"/>
    </row>
    <row r="8716" s="7" customFormat="1" spans="33:33">
      <c r="AG8716" s="3"/>
    </row>
    <row r="8717" s="7" customFormat="1" spans="33:33">
      <c r="AG8717" s="3"/>
    </row>
    <row r="8718" s="7" customFormat="1" spans="33:33">
      <c r="AG8718" s="3"/>
    </row>
    <row r="8719" s="7" customFormat="1" spans="33:33">
      <c r="AG8719" s="3"/>
    </row>
    <row r="8720" s="7" customFormat="1" spans="33:33">
      <c r="AG8720" s="3"/>
    </row>
    <row r="8721" s="7" customFormat="1" spans="33:33">
      <c r="AG8721" s="3"/>
    </row>
    <row r="8722" s="7" customFormat="1" spans="33:33">
      <c r="AG8722" s="3"/>
    </row>
    <row r="8723" s="7" customFormat="1" spans="33:33">
      <c r="AG8723" s="3"/>
    </row>
    <row r="8724" s="7" customFormat="1" spans="33:33">
      <c r="AG8724" s="3"/>
    </row>
    <row r="8725" s="7" customFormat="1" spans="33:33">
      <c r="AG8725" s="3"/>
    </row>
    <row r="8726" s="7" customFormat="1" spans="33:33">
      <c r="AG8726" s="3"/>
    </row>
    <row r="8727" s="7" customFormat="1" spans="33:33">
      <c r="AG8727" s="3"/>
    </row>
    <row r="8728" s="7" customFormat="1" spans="33:33">
      <c r="AG8728" s="3"/>
    </row>
    <row r="8729" s="7" customFormat="1" spans="33:33">
      <c r="AG8729" s="3"/>
    </row>
    <row r="8730" s="7" customFormat="1" spans="33:33">
      <c r="AG8730" s="3"/>
    </row>
    <row r="8731" s="7" customFormat="1" spans="33:33">
      <c r="AG8731" s="3"/>
    </row>
    <row r="8732" s="7" customFormat="1" spans="33:33">
      <c r="AG8732" s="3"/>
    </row>
    <row r="8733" s="7" customFormat="1" spans="33:33">
      <c r="AG8733" s="3"/>
    </row>
    <row r="8734" s="7" customFormat="1" spans="33:33">
      <c r="AG8734" s="3"/>
    </row>
    <row r="8735" s="7" customFormat="1" spans="33:33">
      <c r="AG8735" s="3"/>
    </row>
    <row r="8736" s="7" customFormat="1" spans="33:33">
      <c r="AG8736" s="3"/>
    </row>
    <row r="8737" s="7" customFormat="1" spans="33:33">
      <c r="AG8737" s="3"/>
    </row>
    <row r="8738" s="7" customFormat="1" spans="33:33">
      <c r="AG8738" s="3"/>
    </row>
    <row r="8739" s="7" customFormat="1" spans="33:33">
      <c r="AG8739" s="3"/>
    </row>
    <row r="8740" s="7" customFormat="1" spans="33:33">
      <c r="AG8740" s="3"/>
    </row>
    <row r="8741" s="7" customFormat="1" spans="33:33">
      <c r="AG8741" s="3"/>
    </row>
    <row r="8742" s="7" customFormat="1" spans="33:33">
      <c r="AG8742" s="3"/>
    </row>
    <row r="8743" s="7" customFormat="1" spans="33:33">
      <c r="AG8743" s="3"/>
    </row>
    <row r="8744" s="7" customFormat="1" spans="33:33">
      <c r="AG8744" s="3"/>
    </row>
    <row r="8745" s="7" customFormat="1" spans="33:33">
      <c r="AG8745" s="3"/>
    </row>
    <row r="8746" s="7" customFormat="1" spans="33:33">
      <c r="AG8746" s="3"/>
    </row>
    <row r="8747" s="7" customFormat="1" spans="33:33">
      <c r="AG8747" s="3"/>
    </row>
    <row r="8748" s="7" customFormat="1" spans="33:33">
      <c r="AG8748" s="3"/>
    </row>
    <row r="8749" s="7" customFormat="1" spans="33:33">
      <c r="AG8749" s="3"/>
    </row>
    <row r="8750" s="7" customFormat="1" spans="33:33">
      <c r="AG8750" s="3"/>
    </row>
    <row r="8751" s="7" customFormat="1" spans="33:33">
      <c r="AG8751" s="3"/>
    </row>
    <row r="8752" s="7" customFormat="1" spans="33:33">
      <c r="AG8752" s="3"/>
    </row>
    <row r="8753" s="7" customFormat="1" spans="33:33">
      <c r="AG8753" s="3"/>
    </row>
    <row r="8754" s="7" customFormat="1" spans="33:33">
      <c r="AG8754" s="3"/>
    </row>
    <row r="8755" s="7" customFormat="1" spans="33:33">
      <c r="AG8755" s="3"/>
    </row>
    <row r="8756" s="7" customFormat="1" spans="33:33">
      <c r="AG8756" s="3"/>
    </row>
    <row r="8757" s="7" customFormat="1" spans="33:33">
      <c r="AG8757" s="3"/>
    </row>
    <row r="8758" s="7" customFormat="1" spans="33:33">
      <c r="AG8758" s="3"/>
    </row>
    <row r="8759" s="7" customFormat="1" spans="33:33">
      <c r="AG8759" s="3"/>
    </row>
    <row r="8760" s="7" customFormat="1" spans="33:33">
      <c r="AG8760" s="3"/>
    </row>
    <row r="8761" s="7" customFormat="1" spans="33:33">
      <c r="AG8761" s="3"/>
    </row>
    <row r="8762" s="7" customFormat="1" spans="33:33">
      <c r="AG8762" s="3"/>
    </row>
    <row r="8763" s="7" customFormat="1" spans="33:33">
      <c r="AG8763" s="3"/>
    </row>
    <row r="8764" s="7" customFormat="1" spans="33:33">
      <c r="AG8764" s="3"/>
    </row>
    <row r="8765" s="7" customFormat="1" spans="33:33">
      <c r="AG8765" s="3"/>
    </row>
    <row r="8766" s="7" customFormat="1" spans="33:33">
      <c r="AG8766" s="3"/>
    </row>
    <row r="8767" s="7" customFormat="1" spans="33:33">
      <c r="AG8767" s="3"/>
    </row>
    <row r="8768" s="7" customFormat="1" spans="33:33">
      <c r="AG8768" s="3"/>
    </row>
    <row r="8769" s="7" customFormat="1" spans="33:33">
      <c r="AG8769" s="3"/>
    </row>
    <row r="8770" s="7" customFormat="1" spans="33:33">
      <c r="AG8770" s="3"/>
    </row>
    <row r="8771" s="7" customFormat="1" spans="33:33">
      <c r="AG8771" s="3"/>
    </row>
    <row r="8772" s="7" customFormat="1" spans="33:33">
      <c r="AG8772" s="3"/>
    </row>
    <row r="8773" s="7" customFormat="1" spans="33:33">
      <c r="AG8773" s="3"/>
    </row>
    <row r="8774" s="7" customFormat="1" spans="33:33">
      <c r="AG8774" s="3"/>
    </row>
    <row r="8775" s="7" customFormat="1" spans="33:33">
      <c r="AG8775" s="3"/>
    </row>
    <row r="8776" s="7" customFormat="1" spans="33:33">
      <c r="AG8776" s="3"/>
    </row>
    <row r="8777" s="7" customFormat="1" spans="33:33">
      <c r="AG8777" s="3"/>
    </row>
    <row r="8778" s="7" customFormat="1" spans="33:33">
      <c r="AG8778" s="3"/>
    </row>
    <row r="8779" s="7" customFormat="1" spans="33:33">
      <c r="AG8779" s="3"/>
    </row>
    <row r="8780" s="7" customFormat="1" spans="33:33">
      <c r="AG8780" s="3"/>
    </row>
    <row r="8781" s="7" customFormat="1" spans="33:33">
      <c r="AG8781" s="3"/>
    </row>
    <row r="8782" s="7" customFormat="1" spans="33:33">
      <c r="AG8782" s="3"/>
    </row>
    <row r="8783" s="7" customFormat="1" spans="33:33">
      <c r="AG8783" s="3"/>
    </row>
    <row r="8784" s="7" customFormat="1" spans="33:33">
      <c r="AG8784" s="3"/>
    </row>
    <row r="8785" s="7" customFormat="1" spans="33:33">
      <c r="AG8785" s="3"/>
    </row>
    <row r="8786" s="7" customFormat="1" spans="33:33">
      <c r="AG8786" s="3"/>
    </row>
    <row r="8787" s="7" customFormat="1" spans="33:33">
      <c r="AG8787" s="3"/>
    </row>
    <row r="8788" s="7" customFormat="1" spans="33:33">
      <c r="AG8788" s="3"/>
    </row>
    <row r="8789" s="7" customFormat="1" spans="33:33">
      <c r="AG8789" s="3"/>
    </row>
    <row r="8790" s="7" customFormat="1" spans="33:33">
      <c r="AG8790" s="3"/>
    </row>
    <row r="8791" s="7" customFormat="1" spans="33:33">
      <c r="AG8791" s="3"/>
    </row>
    <row r="8792" s="7" customFormat="1" spans="33:33">
      <c r="AG8792" s="3"/>
    </row>
    <row r="8793" s="7" customFormat="1" spans="33:33">
      <c r="AG8793" s="3"/>
    </row>
    <row r="8794" s="7" customFormat="1" spans="33:33">
      <c r="AG8794" s="3"/>
    </row>
    <row r="8795" s="7" customFormat="1" spans="33:33">
      <c r="AG8795" s="3"/>
    </row>
    <row r="8796" s="7" customFormat="1" spans="33:33">
      <c r="AG8796" s="3"/>
    </row>
    <row r="8797" s="7" customFormat="1" spans="33:33">
      <c r="AG8797" s="3"/>
    </row>
    <row r="8798" s="7" customFormat="1" spans="33:33">
      <c r="AG8798" s="3"/>
    </row>
    <row r="8799" s="7" customFormat="1" spans="33:33">
      <c r="AG8799" s="3"/>
    </row>
    <row r="8800" s="7" customFormat="1" spans="33:33">
      <c r="AG8800" s="3"/>
    </row>
    <row r="8801" s="7" customFormat="1" spans="33:33">
      <c r="AG8801" s="3"/>
    </row>
    <row r="8802" s="7" customFormat="1" spans="33:33">
      <c r="AG8802" s="3"/>
    </row>
    <row r="8803" s="7" customFormat="1" spans="33:33">
      <c r="AG8803" s="3"/>
    </row>
    <row r="8804" s="7" customFormat="1" spans="33:33">
      <c r="AG8804" s="3"/>
    </row>
    <row r="8805" s="7" customFormat="1" spans="33:33">
      <c r="AG8805" s="3"/>
    </row>
    <row r="8806" s="7" customFormat="1" spans="33:33">
      <c r="AG8806" s="3"/>
    </row>
    <row r="8807" s="7" customFormat="1" spans="33:33">
      <c r="AG8807" s="3"/>
    </row>
    <row r="8808" s="7" customFormat="1" spans="33:33">
      <c r="AG8808" s="3"/>
    </row>
    <row r="8809" s="7" customFormat="1" spans="33:33">
      <c r="AG8809" s="3"/>
    </row>
    <row r="8810" s="7" customFormat="1" spans="33:33">
      <c r="AG8810" s="3"/>
    </row>
    <row r="8811" s="7" customFormat="1" spans="33:33">
      <c r="AG8811" s="3"/>
    </row>
    <row r="8812" s="7" customFormat="1" spans="33:33">
      <c r="AG8812" s="3"/>
    </row>
    <row r="8813" s="7" customFormat="1" spans="33:33">
      <c r="AG8813" s="3"/>
    </row>
    <row r="8814" s="7" customFormat="1" spans="33:33">
      <c r="AG8814" s="3"/>
    </row>
    <row r="8815" s="7" customFormat="1" spans="33:33">
      <c r="AG8815" s="3"/>
    </row>
    <row r="8816" s="7" customFormat="1" spans="33:33">
      <c r="AG8816" s="3"/>
    </row>
    <row r="8817" s="7" customFormat="1" spans="33:33">
      <c r="AG8817" s="3"/>
    </row>
    <row r="8818" s="7" customFormat="1" spans="33:33">
      <c r="AG8818" s="3"/>
    </row>
    <row r="8819" s="7" customFormat="1" spans="33:33">
      <c r="AG8819" s="3"/>
    </row>
    <row r="8820" s="7" customFormat="1" spans="33:33">
      <c r="AG8820" s="3"/>
    </row>
    <row r="8821" s="7" customFormat="1" spans="33:33">
      <c r="AG8821" s="3"/>
    </row>
    <row r="8822" s="7" customFormat="1" spans="33:33">
      <c r="AG8822" s="3"/>
    </row>
    <row r="8823" s="7" customFormat="1" spans="33:33">
      <c r="AG8823" s="3"/>
    </row>
    <row r="8824" s="7" customFormat="1" spans="33:33">
      <c r="AG8824" s="3"/>
    </row>
    <row r="8825" s="7" customFormat="1" spans="33:33">
      <c r="AG8825" s="3"/>
    </row>
    <row r="8826" s="7" customFormat="1" spans="33:33">
      <c r="AG8826" s="3"/>
    </row>
    <row r="8827" s="7" customFormat="1" spans="33:33">
      <c r="AG8827" s="3"/>
    </row>
    <row r="8828" s="7" customFormat="1" spans="33:33">
      <c r="AG8828" s="3"/>
    </row>
    <row r="8829" s="7" customFormat="1" spans="33:33">
      <c r="AG8829" s="3"/>
    </row>
    <row r="8830" s="7" customFormat="1" spans="33:33">
      <c r="AG8830" s="3"/>
    </row>
    <row r="8831" s="7" customFormat="1" spans="33:33">
      <c r="AG8831" s="3"/>
    </row>
    <row r="8832" s="7" customFormat="1" spans="33:33">
      <c r="AG8832" s="3"/>
    </row>
    <row r="8833" s="7" customFormat="1" spans="33:33">
      <c r="AG8833" s="3"/>
    </row>
    <row r="8834" s="7" customFormat="1" spans="33:33">
      <c r="AG8834" s="3"/>
    </row>
    <row r="8835" s="7" customFormat="1" spans="33:33">
      <c r="AG8835" s="3"/>
    </row>
    <row r="8836" s="7" customFormat="1" spans="33:33">
      <c r="AG8836" s="3"/>
    </row>
    <row r="8837" s="7" customFormat="1" spans="33:33">
      <c r="AG8837" s="3"/>
    </row>
    <row r="8838" s="7" customFormat="1" spans="33:33">
      <c r="AG8838" s="3"/>
    </row>
    <row r="8839" s="7" customFormat="1" spans="33:33">
      <c r="AG8839" s="3"/>
    </row>
    <row r="8840" s="7" customFormat="1" spans="33:33">
      <c r="AG8840" s="3"/>
    </row>
    <row r="8841" s="7" customFormat="1" spans="33:33">
      <c r="AG8841" s="3"/>
    </row>
    <row r="8842" s="7" customFormat="1" spans="33:33">
      <c r="AG8842" s="3"/>
    </row>
    <row r="8843" s="7" customFormat="1" spans="33:33">
      <c r="AG8843" s="3"/>
    </row>
    <row r="8844" s="7" customFormat="1" spans="33:33">
      <c r="AG8844" s="3"/>
    </row>
    <row r="8845" s="7" customFormat="1" spans="33:33">
      <c r="AG8845" s="3"/>
    </row>
    <row r="8846" s="7" customFormat="1" spans="33:33">
      <c r="AG8846" s="3"/>
    </row>
    <row r="8847" s="7" customFormat="1" spans="33:33">
      <c r="AG8847" s="3"/>
    </row>
    <row r="8848" s="7" customFormat="1" spans="33:33">
      <c r="AG8848" s="3"/>
    </row>
    <row r="8849" s="7" customFormat="1" spans="33:33">
      <c r="AG8849" s="3"/>
    </row>
    <row r="8850" s="7" customFormat="1" spans="33:33">
      <c r="AG8850" s="3"/>
    </row>
    <row r="8851" s="7" customFormat="1" spans="33:33">
      <c r="AG8851" s="3"/>
    </row>
    <row r="8852" s="7" customFormat="1" spans="33:33">
      <c r="AG8852" s="3"/>
    </row>
    <row r="8853" s="7" customFormat="1" spans="33:33">
      <c r="AG8853" s="3"/>
    </row>
    <row r="8854" s="7" customFormat="1" spans="33:33">
      <c r="AG8854" s="3"/>
    </row>
    <row r="8855" s="7" customFormat="1" spans="33:33">
      <c r="AG8855" s="3"/>
    </row>
    <row r="8856" s="7" customFormat="1" spans="33:33">
      <c r="AG8856" s="3"/>
    </row>
    <row r="8857" s="7" customFormat="1" spans="33:33">
      <c r="AG8857" s="3"/>
    </row>
    <row r="8858" s="7" customFormat="1" spans="33:33">
      <c r="AG8858" s="3"/>
    </row>
    <row r="8859" s="7" customFormat="1" spans="33:33">
      <c r="AG8859" s="3"/>
    </row>
    <row r="8860" s="7" customFormat="1" spans="33:33">
      <c r="AG8860" s="3"/>
    </row>
    <row r="8861" s="7" customFormat="1" spans="33:33">
      <c r="AG8861" s="3"/>
    </row>
    <row r="8862" s="7" customFormat="1" spans="33:33">
      <c r="AG8862" s="3"/>
    </row>
    <row r="8863" s="7" customFormat="1" spans="33:33">
      <c r="AG8863" s="3"/>
    </row>
    <row r="8864" s="7" customFormat="1" spans="33:33">
      <c r="AG8864" s="3"/>
    </row>
    <row r="8865" s="7" customFormat="1" spans="33:33">
      <c r="AG8865" s="3"/>
    </row>
    <row r="8866" s="7" customFormat="1" spans="33:33">
      <c r="AG8866" s="3"/>
    </row>
    <row r="8867" s="7" customFormat="1" spans="33:33">
      <c r="AG8867" s="3"/>
    </row>
    <row r="8868" s="7" customFormat="1" spans="33:33">
      <c r="AG8868" s="3"/>
    </row>
    <row r="8869" s="7" customFormat="1" spans="33:33">
      <c r="AG8869" s="3"/>
    </row>
    <row r="8870" s="7" customFormat="1" spans="33:33">
      <c r="AG8870" s="3"/>
    </row>
    <row r="8871" s="7" customFormat="1" spans="33:33">
      <c r="AG8871" s="3"/>
    </row>
    <row r="8872" s="7" customFormat="1" spans="33:33">
      <c r="AG8872" s="3"/>
    </row>
    <row r="8873" s="7" customFormat="1" spans="33:33">
      <c r="AG8873" s="3"/>
    </row>
    <row r="8874" s="7" customFormat="1" spans="33:33">
      <c r="AG8874" s="3"/>
    </row>
    <row r="8875" s="7" customFormat="1" spans="33:33">
      <c r="AG8875" s="3"/>
    </row>
    <row r="8876" s="7" customFormat="1" spans="33:33">
      <c r="AG8876" s="3"/>
    </row>
    <row r="8877" s="7" customFormat="1" spans="33:33">
      <c r="AG8877" s="3"/>
    </row>
    <row r="8878" s="7" customFormat="1" spans="33:33">
      <c r="AG8878" s="3"/>
    </row>
    <row r="8879" s="7" customFormat="1" spans="33:33">
      <c r="AG8879" s="3"/>
    </row>
    <row r="8880" s="7" customFormat="1" spans="33:33">
      <c r="AG8880" s="3"/>
    </row>
    <row r="8881" s="7" customFormat="1" spans="33:33">
      <c r="AG8881" s="3"/>
    </row>
    <row r="8882" s="7" customFormat="1" spans="33:33">
      <c r="AG8882" s="3"/>
    </row>
    <row r="8883" s="7" customFormat="1" spans="33:33">
      <c r="AG8883" s="3"/>
    </row>
    <row r="8884" s="7" customFormat="1" spans="33:33">
      <c r="AG8884" s="3"/>
    </row>
    <row r="8885" s="7" customFormat="1" spans="33:33">
      <c r="AG8885" s="3"/>
    </row>
    <row r="8886" s="7" customFormat="1" spans="33:33">
      <c r="AG8886" s="3"/>
    </row>
    <row r="8887" s="7" customFormat="1" spans="33:33">
      <c r="AG8887" s="3"/>
    </row>
    <row r="8888" s="7" customFormat="1" spans="33:33">
      <c r="AG8888" s="3"/>
    </row>
    <row r="8889" s="7" customFormat="1" spans="33:33">
      <c r="AG8889" s="3"/>
    </row>
    <row r="8890" s="7" customFormat="1" spans="33:33">
      <c r="AG8890" s="3"/>
    </row>
    <row r="8891" s="7" customFormat="1" spans="33:33">
      <c r="AG8891" s="3"/>
    </row>
    <row r="8892" s="7" customFormat="1" spans="33:33">
      <c r="AG8892" s="3"/>
    </row>
    <row r="8893" s="7" customFormat="1" spans="33:33">
      <c r="AG8893" s="3"/>
    </row>
    <row r="8894" s="7" customFormat="1" spans="33:33">
      <c r="AG8894" s="3"/>
    </row>
    <row r="8895" s="7" customFormat="1" spans="33:33">
      <c r="AG8895" s="3"/>
    </row>
    <row r="8896" s="7" customFormat="1" spans="33:33">
      <c r="AG8896" s="3"/>
    </row>
    <row r="8897" s="7" customFormat="1" spans="33:33">
      <c r="AG8897" s="3"/>
    </row>
    <row r="8898" s="7" customFormat="1" spans="33:33">
      <c r="AG8898" s="3"/>
    </row>
    <row r="8899" s="7" customFormat="1" spans="33:33">
      <c r="AG8899" s="3"/>
    </row>
    <row r="8900" s="7" customFormat="1" spans="33:33">
      <c r="AG8900" s="3"/>
    </row>
    <row r="8901" s="7" customFormat="1" spans="33:33">
      <c r="AG8901" s="3"/>
    </row>
    <row r="8902" s="7" customFormat="1" spans="33:33">
      <c r="AG8902" s="3"/>
    </row>
    <row r="8903" s="7" customFormat="1" spans="33:33">
      <c r="AG8903" s="3"/>
    </row>
    <row r="8904" s="7" customFormat="1" spans="33:33">
      <c r="AG8904" s="3"/>
    </row>
    <row r="8905" s="7" customFormat="1" spans="33:33">
      <c r="AG8905" s="3"/>
    </row>
    <row r="8906" s="7" customFormat="1" spans="33:33">
      <c r="AG8906" s="3"/>
    </row>
    <row r="8907" s="7" customFormat="1" spans="33:33">
      <c r="AG8907" s="3"/>
    </row>
    <row r="8908" s="7" customFormat="1" spans="33:33">
      <c r="AG8908" s="3"/>
    </row>
    <row r="8909" s="7" customFormat="1" spans="33:33">
      <c r="AG8909" s="3"/>
    </row>
    <row r="8910" s="7" customFormat="1" spans="33:33">
      <c r="AG8910" s="3"/>
    </row>
    <row r="8911" s="7" customFormat="1" spans="33:33">
      <c r="AG8911" s="3"/>
    </row>
    <row r="8912" s="7" customFormat="1" spans="33:33">
      <c r="AG8912" s="3"/>
    </row>
    <row r="8913" s="7" customFormat="1" spans="33:33">
      <c r="AG8913" s="3"/>
    </row>
    <row r="8914" s="7" customFormat="1" spans="33:33">
      <c r="AG8914" s="3"/>
    </row>
    <row r="8915" s="7" customFormat="1" spans="33:33">
      <c r="AG8915" s="3"/>
    </row>
    <row r="8916" s="7" customFormat="1" spans="33:33">
      <c r="AG8916" s="3"/>
    </row>
    <row r="8917" s="7" customFormat="1" spans="33:33">
      <c r="AG8917" s="3"/>
    </row>
    <row r="8918" s="7" customFormat="1" spans="33:33">
      <c r="AG8918" s="3"/>
    </row>
    <row r="8919" s="7" customFormat="1" spans="33:33">
      <c r="AG8919" s="3"/>
    </row>
    <row r="8920" s="7" customFormat="1" spans="33:33">
      <c r="AG8920" s="3"/>
    </row>
    <row r="8921" s="7" customFormat="1" spans="33:33">
      <c r="AG8921" s="3"/>
    </row>
    <row r="8922" s="7" customFormat="1" spans="33:33">
      <c r="AG8922" s="3"/>
    </row>
    <row r="8923" s="7" customFormat="1" spans="33:33">
      <c r="AG8923" s="3"/>
    </row>
    <row r="8924" s="7" customFormat="1" spans="33:33">
      <c r="AG8924" s="3"/>
    </row>
    <row r="8925" s="7" customFormat="1" spans="33:33">
      <c r="AG8925" s="3"/>
    </row>
    <row r="8926" s="7" customFormat="1" spans="33:33">
      <c r="AG8926" s="3"/>
    </row>
    <row r="8927" s="7" customFormat="1" spans="33:33">
      <c r="AG8927" s="3"/>
    </row>
    <row r="8928" s="7" customFormat="1" spans="33:33">
      <c r="AG8928" s="3"/>
    </row>
    <row r="8929" s="7" customFormat="1" spans="33:33">
      <c r="AG8929" s="3"/>
    </row>
    <row r="8930" s="7" customFormat="1" spans="33:33">
      <c r="AG8930" s="3"/>
    </row>
    <row r="8931" s="7" customFormat="1" spans="33:33">
      <c r="AG8931" s="3"/>
    </row>
    <row r="8932" s="7" customFormat="1" spans="33:33">
      <c r="AG8932" s="3"/>
    </row>
    <row r="8933" s="7" customFormat="1" spans="33:33">
      <c r="AG8933" s="3"/>
    </row>
    <row r="8934" s="7" customFormat="1" spans="33:33">
      <c r="AG8934" s="3"/>
    </row>
    <row r="8935" s="7" customFormat="1" spans="33:33">
      <c r="AG8935" s="3"/>
    </row>
    <row r="8936" s="7" customFormat="1" spans="33:33">
      <c r="AG8936" s="3"/>
    </row>
    <row r="8937" s="7" customFormat="1" spans="33:33">
      <c r="AG8937" s="3"/>
    </row>
    <row r="8938" s="7" customFormat="1" spans="33:33">
      <c r="AG8938" s="3"/>
    </row>
    <row r="8939" s="7" customFormat="1" spans="33:33">
      <c r="AG8939" s="3"/>
    </row>
    <row r="8940" s="7" customFormat="1" spans="33:33">
      <c r="AG8940" s="3"/>
    </row>
    <row r="8941" s="7" customFormat="1" spans="33:33">
      <c r="AG8941" s="3"/>
    </row>
    <row r="8942" s="7" customFormat="1" spans="33:33">
      <c r="AG8942" s="3"/>
    </row>
    <row r="8943" s="7" customFormat="1" spans="33:33">
      <c r="AG8943" s="3"/>
    </row>
    <row r="8944" s="7" customFormat="1" spans="33:33">
      <c r="AG8944" s="3"/>
    </row>
    <row r="8945" s="7" customFormat="1" spans="33:33">
      <c r="AG8945" s="3"/>
    </row>
    <row r="8946" s="7" customFormat="1" spans="33:33">
      <c r="AG8946" s="3"/>
    </row>
    <row r="8947" s="7" customFormat="1" spans="33:33">
      <c r="AG8947" s="3"/>
    </row>
    <row r="8948" s="7" customFormat="1" spans="33:33">
      <c r="AG8948" s="3"/>
    </row>
    <row r="8949" s="7" customFormat="1" spans="33:33">
      <c r="AG8949" s="3"/>
    </row>
    <row r="8950" s="7" customFormat="1" spans="33:33">
      <c r="AG8950" s="3"/>
    </row>
    <row r="8951" s="7" customFormat="1" spans="33:33">
      <c r="AG8951" s="3"/>
    </row>
    <row r="8952" s="7" customFormat="1" spans="33:33">
      <c r="AG8952" s="3"/>
    </row>
    <row r="8953" s="7" customFormat="1" spans="33:33">
      <c r="AG8953" s="3"/>
    </row>
    <row r="8954" s="7" customFormat="1" spans="33:33">
      <c r="AG8954" s="3"/>
    </row>
    <row r="8955" s="7" customFormat="1" spans="33:33">
      <c r="AG8955" s="3"/>
    </row>
    <row r="8956" s="7" customFormat="1" spans="33:33">
      <c r="AG8956" s="3"/>
    </row>
    <row r="8957" s="7" customFormat="1" spans="33:33">
      <c r="AG8957" s="3"/>
    </row>
    <row r="8958" s="7" customFormat="1" spans="33:33">
      <c r="AG8958" s="3"/>
    </row>
    <row r="8959" s="7" customFormat="1" spans="33:33">
      <c r="AG8959" s="3"/>
    </row>
    <row r="8960" s="7" customFormat="1" spans="33:33">
      <c r="AG8960" s="3"/>
    </row>
    <row r="8961" s="7" customFormat="1" spans="33:33">
      <c r="AG8961" s="3"/>
    </row>
    <row r="8962" s="7" customFormat="1" spans="33:33">
      <c r="AG8962" s="3"/>
    </row>
    <row r="8963" s="7" customFormat="1" spans="33:33">
      <c r="AG8963" s="3"/>
    </row>
    <row r="8964" s="7" customFormat="1" spans="33:33">
      <c r="AG8964" s="3"/>
    </row>
    <row r="8965" s="7" customFormat="1" spans="33:33">
      <c r="AG8965" s="3"/>
    </row>
    <row r="8966" s="7" customFormat="1" spans="33:33">
      <c r="AG8966" s="3"/>
    </row>
    <row r="8967" s="7" customFormat="1" spans="33:33">
      <c r="AG8967" s="3"/>
    </row>
    <row r="8968" s="7" customFormat="1" spans="33:33">
      <c r="AG8968" s="3"/>
    </row>
    <row r="8969" s="7" customFormat="1" spans="33:33">
      <c r="AG8969" s="3"/>
    </row>
    <row r="8970" s="7" customFormat="1" spans="33:33">
      <c r="AG8970" s="3"/>
    </row>
    <row r="8971" s="7" customFormat="1" spans="33:33">
      <c r="AG8971" s="3"/>
    </row>
    <row r="8972" s="7" customFormat="1" spans="33:33">
      <c r="AG8972" s="3"/>
    </row>
    <row r="8973" s="7" customFormat="1" spans="33:33">
      <c r="AG8973" s="3"/>
    </row>
    <row r="8974" s="7" customFormat="1" spans="33:33">
      <c r="AG8974" s="3"/>
    </row>
    <row r="8975" s="7" customFormat="1" spans="33:33">
      <c r="AG8975" s="3"/>
    </row>
    <row r="8976" s="7" customFormat="1" spans="33:33">
      <c r="AG8976" s="3"/>
    </row>
    <row r="8977" s="7" customFormat="1" spans="33:33">
      <c r="AG8977" s="3"/>
    </row>
    <row r="8978" s="7" customFormat="1" spans="33:33">
      <c r="AG8978" s="3"/>
    </row>
    <row r="8979" s="7" customFormat="1" spans="33:33">
      <c r="AG8979" s="3"/>
    </row>
    <row r="8980" s="7" customFormat="1" spans="33:33">
      <c r="AG8980" s="3"/>
    </row>
    <row r="8981" s="7" customFormat="1" spans="33:33">
      <c r="AG8981" s="3"/>
    </row>
    <row r="8982" s="7" customFormat="1" spans="33:33">
      <c r="AG8982" s="3"/>
    </row>
    <row r="8983" s="7" customFormat="1" spans="33:33">
      <c r="AG8983" s="3"/>
    </row>
    <row r="8984" s="7" customFormat="1" spans="33:33">
      <c r="AG8984" s="3"/>
    </row>
    <row r="8985" s="7" customFormat="1" spans="33:33">
      <c r="AG8985" s="3"/>
    </row>
    <row r="8986" s="7" customFormat="1" spans="33:33">
      <c r="AG8986" s="3"/>
    </row>
    <row r="8987" s="7" customFormat="1" spans="33:33">
      <c r="AG8987" s="3"/>
    </row>
    <row r="8988" s="7" customFormat="1" spans="33:33">
      <c r="AG8988" s="3"/>
    </row>
    <row r="8989" s="7" customFormat="1" spans="33:33">
      <c r="AG8989" s="3"/>
    </row>
    <row r="8990" s="7" customFormat="1" spans="33:33">
      <c r="AG8990" s="3"/>
    </row>
    <row r="8991" s="7" customFormat="1" spans="33:33">
      <c r="AG8991" s="3"/>
    </row>
    <row r="8992" s="7" customFormat="1" spans="33:33">
      <c r="AG8992" s="3"/>
    </row>
    <row r="8993" s="7" customFormat="1" spans="33:33">
      <c r="AG8993" s="3"/>
    </row>
    <row r="8994" s="7" customFormat="1" spans="33:33">
      <c r="AG8994" s="3"/>
    </row>
    <row r="8995" s="7" customFormat="1" spans="33:33">
      <c r="AG8995" s="3"/>
    </row>
    <row r="8996" s="7" customFormat="1" spans="33:33">
      <c r="AG8996" s="3"/>
    </row>
    <row r="8997" s="7" customFormat="1" spans="33:33">
      <c r="AG8997" s="3"/>
    </row>
    <row r="8998" s="7" customFormat="1" spans="33:33">
      <c r="AG8998" s="3"/>
    </row>
    <row r="8999" s="7" customFormat="1" spans="33:33">
      <c r="AG8999" s="3"/>
    </row>
    <row r="9000" s="7" customFormat="1" spans="33:33">
      <c r="AG9000" s="3"/>
    </row>
    <row r="9001" s="7" customFormat="1" spans="33:33">
      <c r="AG9001" s="3"/>
    </row>
    <row r="9002" s="7" customFormat="1" spans="33:33">
      <c r="AG9002" s="3"/>
    </row>
    <row r="9003" s="7" customFormat="1" spans="33:33">
      <c r="AG9003" s="3"/>
    </row>
    <row r="9004" s="7" customFormat="1" spans="33:33">
      <c r="AG9004" s="3"/>
    </row>
    <row r="9005" s="7" customFormat="1" spans="33:33">
      <c r="AG9005" s="3"/>
    </row>
    <row r="9006" s="7" customFormat="1" spans="33:33">
      <c r="AG9006" s="3"/>
    </row>
    <row r="9007" s="7" customFormat="1" spans="33:33">
      <c r="AG9007" s="3"/>
    </row>
    <row r="9008" s="7" customFormat="1" spans="33:33">
      <c r="AG9008" s="3"/>
    </row>
    <row r="9009" s="7" customFormat="1" spans="33:33">
      <c r="AG9009" s="3"/>
    </row>
    <row r="9010" s="7" customFormat="1" spans="33:33">
      <c r="AG9010" s="3"/>
    </row>
    <row r="9011" s="7" customFormat="1" spans="33:33">
      <c r="AG9011" s="3"/>
    </row>
    <row r="9012" s="7" customFormat="1" spans="33:33">
      <c r="AG9012" s="3"/>
    </row>
    <row r="9013" s="7" customFormat="1" spans="33:33">
      <c r="AG9013" s="3"/>
    </row>
    <row r="9014" s="7" customFormat="1" spans="33:33">
      <c r="AG9014" s="3"/>
    </row>
    <row r="9015" s="7" customFormat="1" spans="33:33">
      <c r="AG9015" s="3"/>
    </row>
    <row r="9016" s="7" customFormat="1" spans="33:33">
      <c r="AG9016" s="3"/>
    </row>
    <row r="9017" s="7" customFormat="1" spans="33:33">
      <c r="AG9017" s="3"/>
    </row>
    <row r="9018" s="7" customFormat="1" spans="33:33">
      <c r="AG9018" s="3"/>
    </row>
    <row r="9019" s="7" customFormat="1" spans="33:33">
      <c r="AG9019" s="3"/>
    </row>
    <row r="9020" s="7" customFormat="1" spans="33:33">
      <c r="AG9020" s="3"/>
    </row>
    <row r="9021" s="7" customFormat="1" spans="33:33">
      <c r="AG9021" s="3"/>
    </row>
    <row r="9022" s="7" customFormat="1" spans="33:33">
      <c r="AG9022" s="3"/>
    </row>
    <row r="9023" s="7" customFormat="1" spans="33:33">
      <c r="AG9023" s="3"/>
    </row>
    <row r="9024" s="7" customFormat="1" spans="33:33">
      <c r="AG9024" s="3"/>
    </row>
    <row r="9025" s="7" customFormat="1" spans="33:33">
      <c r="AG9025" s="3"/>
    </row>
    <row r="9026" s="7" customFormat="1" spans="33:33">
      <c r="AG9026" s="3"/>
    </row>
    <row r="9027" s="7" customFormat="1" spans="33:33">
      <c r="AG9027" s="3"/>
    </row>
    <row r="9028" s="7" customFormat="1" spans="33:33">
      <c r="AG9028" s="3"/>
    </row>
    <row r="9029" s="7" customFormat="1" spans="33:33">
      <c r="AG9029" s="3"/>
    </row>
    <row r="9030" s="7" customFormat="1" spans="33:33">
      <c r="AG9030" s="3"/>
    </row>
    <row r="9031" s="7" customFormat="1" spans="33:33">
      <c r="AG9031" s="3"/>
    </row>
    <row r="9032" s="7" customFormat="1" spans="33:33">
      <c r="AG9032" s="3"/>
    </row>
    <row r="9033" s="7" customFormat="1" spans="33:33">
      <c r="AG9033" s="3"/>
    </row>
    <row r="9034" s="7" customFormat="1" spans="33:33">
      <c r="AG9034" s="3"/>
    </row>
    <row r="9035" s="7" customFormat="1" spans="33:33">
      <c r="AG9035" s="3"/>
    </row>
    <row r="9036" s="7" customFormat="1" spans="33:33">
      <c r="AG9036" s="3"/>
    </row>
    <row r="9037" s="7" customFormat="1" spans="33:33">
      <c r="AG9037" s="3"/>
    </row>
    <row r="9038" s="7" customFormat="1" spans="33:33">
      <c r="AG9038" s="3"/>
    </row>
    <row r="9039" s="7" customFormat="1" spans="33:33">
      <c r="AG9039" s="3"/>
    </row>
    <row r="9040" s="7" customFormat="1" spans="33:33">
      <c r="AG9040" s="3"/>
    </row>
    <row r="9041" s="7" customFormat="1" spans="33:33">
      <c r="AG9041" s="3"/>
    </row>
    <row r="9042" s="7" customFormat="1" spans="33:33">
      <c r="AG9042" s="3"/>
    </row>
    <row r="9043" s="7" customFormat="1" spans="33:33">
      <c r="AG9043" s="3"/>
    </row>
    <row r="9044" s="7" customFormat="1" spans="33:33">
      <c r="AG9044" s="3"/>
    </row>
    <row r="9045" s="7" customFormat="1" spans="33:33">
      <c r="AG9045" s="3"/>
    </row>
    <row r="9046" s="7" customFormat="1" spans="33:33">
      <c r="AG9046" s="3"/>
    </row>
    <row r="9047" s="7" customFormat="1" spans="33:33">
      <c r="AG9047" s="3"/>
    </row>
    <row r="9048" s="7" customFormat="1" spans="33:33">
      <c r="AG9048" s="3"/>
    </row>
    <row r="9049" s="7" customFormat="1" spans="33:33">
      <c r="AG9049" s="3"/>
    </row>
    <row r="9050" s="7" customFormat="1" spans="33:33">
      <c r="AG9050" s="3"/>
    </row>
    <row r="9051" s="7" customFormat="1" spans="33:33">
      <c r="AG9051" s="3"/>
    </row>
    <row r="9052" s="7" customFormat="1" spans="33:33">
      <c r="AG9052" s="3"/>
    </row>
    <row r="9053" s="7" customFormat="1" spans="33:33">
      <c r="AG9053" s="3"/>
    </row>
    <row r="9054" s="7" customFormat="1" spans="33:33">
      <c r="AG9054" s="3"/>
    </row>
    <row r="9055" s="7" customFormat="1" spans="33:33">
      <c r="AG9055" s="3"/>
    </row>
    <row r="9056" s="7" customFormat="1" spans="33:33">
      <c r="AG9056" s="3"/>
    </row>
    <row r="9057" s="7" customFormat="1" spans="33:33">
      <c r="AG9057" s="3"/>
    </row>
    <row r="9058" s="7" customFormat="1" spans="33:33">
      <c r="AG9058" s="3"/>
    </row>
    <row r="9059" s="7" customFormat="1" spans="33:33">
      <c r="AG9059" s="3"/>
    </row>
    <row r="9060" s="7" customFormat="1" spans="33:33">
      <c r="AG9060" s="3"/>
    </row>
    <row r="9061" s="7" customFormat="1" spans="33:33">
      <c r="AG9061" s="3"/>
    </row>
    <row r="9062" s="7" customFormat="1" spans="33:33">
      <c r="AG9062" s="3"/>
    </row>
    <row r="9063" s="7" customFormat="1" spans="33:33">
      <c r="AG9063" s="3"/>
    </row>
    <row r="9064" s="7" customFormat="1" spans="33:33">
      <c r="AG9064" s="3"/>
    </row>
    <row r="9065" s="7" customFormat="1" spans="33:33">
      <c r="AG9065" s="3"/>
    </row>
    <row r="9066" s="7" customFormat="1" spans="33:33">
      <c r="AG9066" s="3"/>
    </row>
    <row r="9067" s="7" customFormat="1" spans="33:33">
      <c r="AG9067" s="3"/>
    </row>
    <row r="9068" s="7" customFormat="1" spans="33:33">
      <c r="AG9068" s="3"/>
    </row>
    <row r="9069" s="7" customFormat="1" spans="33:33">
      <c r="AG9069" s="3"/>
    </row>
    <row r="9070" s="7" customFormat="1" spans="33:33">
      <c r="AG9070" s="3"/>
    </row>
    <row r="9071" s="7" customFormat="1" spans="33:33">
      <c r="AG9071" s="3"/>
    </row>
    <row r="9072" s="7" customFormat="1" spans="33:33">
      <c r="AG9072" s="3"/>
    </row>
    <row r="9073" s="7" customFormat="1" spans="33:33">
      <c r="AG9073" s="3"/>
    </row>
    <row r="9074" s="7" customFormat="1" spans="33:33">
      <c r="AG9074" s="3"/>
    </row>
    <row r="9075" s="7" customFormat="1" spans="33:33">
      <c r="AG9075" s="3"/>
    </row>
    <row r="9076" s="7" customFormat="1" spans="33:33">
      <c r="AG9076" s="3"/>
    </row>
    <row r="9077" s="7" customFormat="1" spans="33:33">
      <c r="AG9077" s="3"/>
    </row>
    <row r="9078" s="7" customFormat="1" spans="33:33">
      <c r="AG9078" s="3"/>
    </row>
    <row r="9079" s="7" customFormat="1" spans="33:33">
      <c r="AG9079" s="3"/>
    </row>
    <row r="9080" s="7" customFormat="1" spans="33:33">
      <c r="AG9080" s="3"/>
    </row>
    <row r="9081" s="7" customFormat="1" spans="33:33">
      <c r="AG9081" s="3"/>
    </row>
    <row r="9082" s="7" customFormat="1" spans="33:33">
      <c r="AG9082" s="3"/>
    </row>
    <row r="9083" s="7" customFormat="1" spans="33:33">
      <c r="AG9083" s="3"/>
    </row>
    <row r="9084" s="7" customFormat="1" spans="33:33">
      <c r="AG9084" s="3"/>
    </row>
    <row r="9085" s="7" customFormat="1" spans="33:33">
      <c r="AG9085" s="3"/>
    </row>
    <row r="9086" s="7" customFormat="1" spans="33:33">
      <c r="AG9086" s="3"/>
    </row>
    <row r="9087" s="7" customFormat="1" spans="33:33">
      <c r="AG9087" s="3"/>
    </row>
    <row r="9088" s="7" customFormat="1" spans="33:33">
      <c r="AG9088" s="3"/>
    </row>
    <row r="9089" s="7" customFormat="1" spans="33:33">
      <c r="AG9089" s="3"/>
    </row>
    <row r="9090" s="7" customFormat="1" spans="33:33">
      <c r="AG9090" s="3"/>
    </row>
    <row r="9091" s="7" customFormat="1" spans="33:33">
      <c r="AG9091" s="3"/>
    </row>
    <row r="9092" s="7" customFormat="1" spans="33:33">
      <c r="AG9092" s="3"/>
    </row>
    <row r="9093" s="7" customFormat="1" spans="33:33">
      <c r="AG9093" s="3"/>
    </row>
    <row r="9094" s="7" customFormat="1" spans="33:33">
      <c r="AG9094" s="3"/>
    </row>
    <row r="9095" s="7" customFormat="1" spans="33:33">
      <c r="AG9095" s="3"/>
    </row>
    <row r="9096" s="7" customFormat="1" spans="33:33">
      <c r="AG9096" s="3"/>
    </row>
    <row r="9097" s="7" customFormat="1" spans="33:33">
      <c r="AG9097" s="3"/>
    </row>
    <row r="9098" s="7" customFormat="1" spans="33:33">
      <c r="AG9098" s="3"/>
    </row>
    <row r="9099" s="7" customFormat="1" spans="33:33">
      <c r="AG9099" s="3"/>
    </row>
    <row r="9100" s="7" customFormat="1" spans="33:33">
      <c r="AG9100" s="3"/>
    </row>
    <row r="9101" s="7" customFormat="1" spans="33:33">
      <c r="AG9101" s="3"/>
    </row>
    <row r="9102" s="7" customFormat="1" spans="33:33">
      <c r="AG9102" s="3"/>
    </row>
    <row r="9103" s="7" customFormat="1" spans="33:33">
      <c r="AG9103" s="3"/>
    </row>
    <row r="9104" s="7" customFormat="1" spans="33:33">
      <c r="AG9104" s="3"/>
    </row>
    <row r="9105" s="7" customFormat="1" spans="33:33">
      <c r="AG9105" s="3"/>
    </row>
    <row r="9106" s="7" customFormat="1" spans="33:33">
      <c r="AG9106" s="3"/>
    </row>
    <row r="9107" s="7" customFormat="1" spans="33:33">
      <c r="AG9107" s="3"/>
    </row>
    <row r="9108" s="7" customFormat="1" spans="33:33">
      <c r="AG9108" s="3"/>
    </row>
    <row r="9109" s="7" customFormat="1" spans="33:33">
      <c r="AG9109" s="3"/>
    </row>
    <row r="9110" s="7" customFormat="1" spans="33:33">
      <c r="AG9110" s="3"/>
    </row>
    <row r="9111" s="7" customFormat="1" spans="33:33">
      <c r="AG9111" s="3"/>
    </row>
    <row r="9112" s="7" customFormat="1" spans="33:33">
      <c r="AG9112" s="3"/>
    </row>
    <row r="9113" s="7" customFormat="1" spans="33:33">
      <c r="AG9113" s="3"/>
    </row>
    <row r="9114" s="7" customFormat="1" spans="33:33">
      <c r="AG9114" s="3"/>
    </row>
    <row r="9115" s="7" customFormat="1" spans="33:33">
      <c r="AG9115" s="3"/>
    </row>
    <row r="9116" s="7" customFormat="1" spans="33:33">
      <c r="AG9116" s="3"/>
    </row>
    <row r="9117" s="7" customFormat="1" spans="33:33">
      <c r="AG9117" s="3"/>
    </row>
    <row r="9118" s="7" customFormat="1" spans="33:33">
      <c r="AG9118" s="3"/>
    </row>
    <row r="9119" s="7" customFormat="1" spans="33:33">
      <c r="AG9119" s="3"/>
    </row>
    <row r="9120" s="7" customFormat="1" spans="33:33">
      <c r="AG9120" s="3"/>
    </row>
    <row r="9121" s="7" customFormat="1" spans="33:33">
      <c r="AG9121" s="3"/>
    </row>
    <row r="9122" s="7" customFormat="1" spans="33:33">
      <c r="AG9122" s="3"/>
    </row>
    <row r="9123" s="7" customFormat="1" spans="33:33">
      <c r="AG9123" s="3"/>
    </row>
    <row r="9124" s="7" customFormat="1" spans="33:33">
      <c r="AG9124" s="3"/>
    </row>
    <row r="9125" s="7" customFormat="1" spans="33:33">
      <c r="AG9125" s="3"/>
    </row>
    <row r="9126" s="7" customFormat="1" spans="33:33">
      <c r="AG9126" s="3"/>
    </row>
    <row r="9127" s="7" customFormat="1" spans="33:33">
      <c r="AG9127" s="3"/>
    </row>
    <row r="9128" s="7" customFormat="1" spans="33:33">
      <c r="AG9128" s="3"/>
    </row>
    <row r="9129" s="7" customFormat="1" spans="33:33">
      <c r="AG9129" s="3"/>
    </row>
    <row r="9130" s="7" customFormat="1" spans="33:33">
      <c r="AG9130" s="3"/>
    </row>
    <row r="9131" s="7" customFormat="1" spans="33:33">
      <c r="AG9131" s="3"/>
    </row>
    <row r="9132" s="7" customFormat="1" spans="33:33">
      <c r="AG9132" s="3"/>
    </row>
    <row r="9133" s="7" customFormat="1" spans="33:33">
      <c r="AG9133" s="3"/>
    </row>
    <row r="9134" s="7" customFormat="1" spans="33:33">
      <c r="AG9134" s="3"/>
    </row>
    <row r="9135" s="7" customFormat="1" spans="33:33">
      <c r="AG9135" s="3"/>
    </row>
    <row r="9136" s="7" customFormat="1" spans="33:33">
      <c r="AG9136" s="3"/>
    </row>
    <row r="9137" s="7" customFormat="1" spans="33:33">
      <c r="AG9137" s="3"/>
    </row>
    <row r="9138" s="7" customFormat="1" spans="33:33">
      <c r="AG9138" s="3"/>
    </row>
    <row r="9139" s="7" customFormat="1" spans="33:33">
      <c r="AG9139" s="3"/>
    </row>
    <row r="9140" s="7" customFormat="1" spans="33:33">
      <c r="AG9140" s="3"/>
    </row>
    <row r="9141" s="7" customFormat="1" spans="33:33">
      <c r="AG9141" s="3"/>
    </row>
    <row r="9142" s="7" customFormat="1" spans="33:33">
      <c r="AG9142" s="3"/>
    </row>
    <row r="9143" s="7" customFormat="1" spans="33:33">
      <c r="AG9143" s="3"/>
    </row>
    <row r="9144" s="7" customFormat="1" spans="33:33">
      <c r="AG9144" s="3"/>
    </row>
    <row r="9145" s="7" customFormat="1" spans="33:33">
      <c r="AG9145" s="3"/>
    </row>
    <row r="9146" s="7" customFormat="1" spans="33:33">
      <c r="AG9146" s="3"/>
    </row>
    <row r="9147" s="7" customFormat="1" spans="33:33">
      <c r="AG9147" s="3"/>
    </row>
    <row r="9148" s="7" customFormat="1" spans="33:33">
      <c r="AG9148" s="3"/>
    </row>
    <row r="9149" s="7" customFormat="1" spans="33:33">
      <c r="AG9149" s="3"/>
    </row>
    <row r="9150" s="7" customFormat="1" spans="33:33">
      <c r="AG9150" s="3"/>
    </row>
    <row r="9151" s="7" customFormat="1" spans="33:33">
      <c r="AG9151" s="3"/>
    </row>
    <row r="9152" s="7" customFormat="1" spans="33:33">
      <c r="AG9152" s="3"/>
    </row>
    <row r="9153" s="7" customFormat="1" spans="33:33">
      <c r="AG9153" s="3"/>
    </row>
    <row r="9154" s="7" customFormat="1" spans="33:33">
      <c r="AG9154" s="3"/>
    </row>
    <row r="9155" s="7" customFormat="1" spans="33:33">
      <c r="AG9155" s="3"/>
    </row>
    <row r="9156" s="7" customFormat="1" spans="33:33">
      <c r="AG9156" s="3"/>
    </row>
    <row r="9157" s="7" customFormat="1" spans="33:33">
      <c r="AG9157" s="3"/>
    </row>
    <row r="9158" s="7" customFormat="1" spans="33:33">
      <c r="AG9158" s="3"/>
    </row>
    <row r="9159" s="7" customFormat="1" spans="33:33">
      <c r="AG9159" s="3"/>
    </row>
    <row r="9160" s="7" customFormat="1" spans="33:33">
      <c r="AG9160" s="3"/>
    </row>
    <row r="9161" s="7" customFormat="1" spans="33:33">
      <c r="AG9161" s="3"/>
    </row>
    <row r="9162" s="7" customFormat="1" spans="33:33">
      <c r="AG9162" s="3"/>
    </row>
    <row r="9163" s="7" customFormat="1" spans="33:33">
      <c r="AG9163" s="3"/>
    </row>
    <row r="9164" s="7" customFormat="1" spans="33:33">
      <c r="AG9164" s="3"/>
    </row>
    <row r="9165" s="7" customFormat="1" spans="33:33">
      <c r="AG9165" s="3"/>
    </row>
    <row r="9166" s="7" customFormat="1" spans="33:33">
      <c r="AG9166" s="3"/>
    </row>
    <row r="9167" s="7" customFormat="1" spans="33:33">
      <c r="AG9167" s="3"/>
    </row>
    <row r="9168" s="7" customFormat="1" spans="33:33">
      <c r="AG9168" s="3"/>
    </row>
    <row r="9169" s="7" customFormat="1" spans="33:33">
      <c r="AG9169" s="3"/>
    </row>
    <row r="9170" s="7" customFormat="1" spans="33:33">
      <c r="AG9170" s="3"/>
    </row>
    <row r="9171" s="7" customFormat="1" spans="33:33">
      <c r="AG9171" s="3"/>
    </row>
    <row r="9172" s="7" customFormat="1" spans="33:33">
      <c r="AG9172" s="3"/>
    </row>
    <row r="9173" s="7" customFormat="1" spans="33:33">
      <c r="AG9173" s="3"/>
    </row>
    <row r="9174" s="7" customFormat="1" spans="33:33">
      <c r="AG9174" s="3"/>
    </row>
    <row r="9175" s="7" customFormat="1" spans="33:33">
      <c r="AG9175" s="3"/>
    </row>
    <row r="9176" s="7" customFormat="1" spans="33:33">
      <c r="AG9176" s="3"/>
    </row>
    <row r="9177" s="7" customFormat="1" spans="33:33">
      <c r="AG9177" s="3"/>
    </row>
    <row r="9178" s="7" customFormat="1" spans="33:33">
      <c r="AG9178" s="3"/>
    </row>
    <row r="9179" s="7" customFormat="1" spans="33:33">
      <c r="AG9179" s="3"/>
    </row>
    <row r="9180" s="7" customFormat="1" spans="33:33">
      <c r="AG9180" s="3"/>
    </row>
    <row r="9181" s="7" customFormat="1" spans="33:33">
      <c r="AG9181" s="3"/>
    </row>
    <row r="9182" s="7" customFormat="1" spans="33:33">
      <c r="AG9182" s="3"/>
    </row>
    <row r="9183" s="7" customFormat="1" spans="33:33">
      <c r="AG9183" s="3"/>
    </row>
    <row r="9184" s="7" customFormat="1" spans="33:33">
      <c r="AG9184" s="3"/>
    </row>
    <row r="9185" s="7" customFormat="1" spans="33:33">
      <c r="AG9185" s="3"/>
    </row>
    <row r="9186" s="7" customFormat="1" spans="33:33">
      <c r="AG9186" s="3"/>
    </row>
    <row r="9187" s="7" customFormat="1" spans="33:33">
      <c r="AG9187" s="3"/>
    </row>
    <row r="9188" s="7" customFormat="1" spans="33:33">
      <c r="AG9188" s="3"/>
    </row>
    <row r="9189" s="7" customFormat="1" spans="33:33">
      <c r="AG9189" s="3"/>
    </row>
    <row r="9190" s="7" customFormat="1" spans="33:33">
      <c r="AG9190" s="3"/>
    </row>
    <row r="9191" s="7" customFormat="1" spans="33:33">
      <c r="AG9191" s="3"/>
    </row>
    <row r="9192" s="7" customFormat="1" spans="33:33">
      <c r="AG9192" s="3"/>
    </row>
    <row r="9193" s="7" customFormat="1" spans="33:33">
      <c r="AG9193" s="3"/>
    </row>
    <row r="9194" s="7" customFormat="1" spans="33:33">
      <c r="AG9194" s="3"/>
    </row>
    <row r="9195" s="7" customFormat="1" spans="33:33">
      <c r="AG9195" s="3"/>
    </row>
    <row r="9196" s="7" customFormat="1" spans="33:33">
      <c r="AG9196" s="3"/>
    </row>
    <row r="9197" s="7" customFormat="1" spans="33:33">
      <c r="AG9197" s="3"/>
    </row>
    <row r="9198" s="7" customFormat="1" spans="33:33">
      <c r="AG9198" s="3"/>
    </row>
    <row r="9199" s="7" customFormat="1" spans="33:33">
      <c r="AG9199" s="3"/>
    </row>
    <row r="9200" s="7" customFormat="1" spans="33:33">
      <c r="AG9200" s="3"/>
    </row>
    <row r="9201" s="7" customFormat="1" spans="33:33">
      <c r="AG9201" s="3"/>
    </row>
    <row r="9202" s="7" customFormat="1" spans="33:33">
      <c r="AG9202" s="3"/>
    </row>
    <row r="9203" s="7" customFormat="1" spans="33:33">
      <c r="AG9203" s="3"/>
    </row>
    <row r="9204" s="7" customFormat="1" spans="33:33">
      <c r="AG9204" s="3"/>
    </row>
    <row r="9205" s="7" customFormat="1" spans="33:33">
      <c r="AG9205" s="3"/>
    </row>
    <row r="9206" s="7" customFormat="1" spans="33:33">
      <c r="AG9206" s="3"/>
    </row>
    <row r="9207" s="7" customFormat="1" spans="33:33">
      <c r="AG9207" s="3"/>
    </row>
    <row r="9208" s="7" customFormat="1" spans="33:33">
      <c r="AG9208" s="3"/>
    </row>
    <row r="9209" s="7" customFormat="1" spans="33:33">
      <c r="AG9209" s="3"/>
    </row>
    <row r="9210" s="7" customFormat="1" spans="33:33">
      <c r="AG9210" s="3"/>
    </row>
    <row r="9211" s="7" customFormat="1" spans="33:33">
      <c r="AG9211" s="3"/>
    </row>
    <row r="9212" s="7" customFormat="1" spans="33:33">
      <c r="AG9212" s="3"/>
    </row>
    <row r="9213" s="7" customFormat="1" spans="33:33">
      <c r="AG9213" s="3"/>
    </row>
    <row r="9214" s="7" customFormat="1" spans="33:33">
      <c r="AG9214" s="3"/>
    </row>
    <row r="9215" s="7" customFormat="1" spans="33:33">
      <c r="AG9215" s="3"/>
    </row>
    <row r="9216" s="7" customFormat="1" spans="33:33">
      <c r="AG9216" s="3"/>
    </row>
    <row r="9217" s="7" customFormat="1" spans="33:33">
      <c r="AG9217" s="3"/>
    </row>
    <row r="9218" s="7" customFormat="1" spans="33:33">
      <c r="AG9218" s="3"/>
    </row>
    <row r="9219" s="7" customFormat="1" spans="33:33">
      <c r="AG9219" s="3"/>
    </row>
    <row r="9220" s="7" customFormat="1" spans="33:33">
      <c r="AG9220" s="3"/>
    </row>
    <row r="9221" s="7" customFormat="1" spans="33:33">
      <c r="AG9221" s="3"/>
    </row>
    <row r="9222" s="7" customFormat="1" spans="33:33">
      <c r="AG9222" s="3"/>
    </row>
    <row r="9223" s="7" customFormat="1" spans="33:33">
      <c r="AG9223" s="3"/>
    </row>
    <row r="9224" s="7" customFormat="1" spans="33:33">
      <c r="AG9224" s="3"/>
    </row>
    <row r="9225" s="7" customFormat="1" spans="33:33">
      <c r="AG9225" s="3"/>
    </row>
    <row r="9226" s="7" customFormat="1" spans="33:33">
      <c r="AG9226" s="3"/>
    </row>
    <row r="9227" s="7" customFormat="1" spans="33:33">
      <c r="AG9227" s="3"/>
    </row>
    <row r="9228" s="7" customFormat="1" spans="33:33">
      <c r="AG9228" s="3"/>
    </row>
    <row r="9229" s="7" customFormat="1" spans="33:33">
      <c r="AG9229" s="3"/>
    </row>
    <row r="9230" s="7" customFormat="1" spans="33:33">
      <c r="AG9230" s="3"/>
    </row>
    <row r="9231" s="7" customFormat="1" spans="33:33">
      <c r="AG9231" s="3"/>
    </row>
    <row r="9232" s="7" customFormat="1" spans="33:33">
      <c r="AG9232" s="3"/>
    </row>
    <row r="9233" s="7" customFormat="1" spans="33:33">
      <c r="AG9233" s="3"/>
    </row>
    <row r="9234" s="7" customFormat="1" spans="33:33">
      <c r="AG9234" s="3"/>
    </row>
    <row r="9235" s="7" customFormat="1" spans="33:33">
      <c r="AG9235" s="3"/>
    </row>
    <row r="9236" s="7" customFormat="1" spans="33:33">
      <c r="AG9236" s="3"/>
    </row>
    <row r="9237" s="7" customFormat="1" spans="33:33">
      <c r="AG9237" s="3"/>
    </row>
    <row r="9238" s="7" customFormat="1" spans="33:33">
      <c r="AG9238" s="3"/>
    </row>
    <row r="9239" s="7" customFormat="1" spans="33:33">
      <c r="AG9239" s="3"/>
    </row>
    <row r="9240" s="7" customFormat="1" spans="33:33">
      <c r="AG9240" s="3"/>
    </row>
    <row r="9241" s="7" customFormat="1" spans="33:33">
      <c r="AG9241" s="3"/>
    </row>
    <row r="9242" s="7" customFormat="1" spans="33:33">
      <c r="AG9242" s="3"/>
    </row>
    <row r="9243" s="7" customFormat="1" spans="33:33">
      <c r="AG9243" s="3"/>
    </row>
    <row r="9244" s="7" customFormat="1" spans="33:33">
      <c r="AG9244" s="3"/>
    </row>
    <row r="9245" s="7" customFormat="1" spans="33:33">
      <c r="AG9245" s="3"/>
    </row>
    <row r="9246" s="7" customFormat="1" spans="33:33">
      <c r="AG9246" s="3"/>
    </row>
    <row r="9247" s="7" customFormat="1" spans="33:33">
      <c r="AG9247" s="3"/>
    </row>
    <row r="9248" s="7" customFormat="1" spans="33:33">
      <c r="AG9248" s="3"/>
    </row>
    <row r="9249" s="7" customFormat="1" spans="33:33">
      <c r="AG9249" s="3"/>
    </row>
    <row r="9250" s="7" customFormat="1" spans="33:33">
      <c r="AG9250" s="3"/>
    </row>
    <row r="9251" s="7" customFormat="1" spans="33:33">
      <c r="AG9251" s="3"/>
    </row>
    <row r="9252" s="7" customFormat="1" spans="33:33">
      <c r="AG9252" s="3"/>
    </row>
    <row r="9253" s="7" customFormat="1" spans="33:33">
      <c r="AG9253" s="3"/>
    </row>
    <row r="9254" s="7" customFormat="1" spans="33:33">
      <c r="AG9254" s="3"/>
    </row>
    <row r="9255" s="7" customFormat="1" spans="33:33">
      <c r="AG9255" s="3"/>
    </row>
    <row r="9256" s="7" customFormat="1" spans="33:33">
      <c r="AG9256" s="3"/>
    </row>
    <row r="9257" s="7" customFormat="1" spans="33:33">
      <c r="AG9257" s="3"/>
    </row>
    <row r="9258" s="7" customFormat="1" spans="33:33">
      <c r="AG9258" s="3"/>
    </row>
    <row r="9259" s="7" customFormat="1" spans="33:33">
      <c r="AG9259" s="3"/>
    </row>
    <row r="9260" s="7" customFormat="1" spans="33:33">
      <c r="AG9260" s="3"/>
    </row>
    <row r="9261" s="7" customFormat="1" spans="33:33">
      <c r="AG9261" s="3"/>
    </row>
    <row r="9262" s="7" customFormat="1" spans="33:33">
      <c r="AG9262" s="3"/>
    </row>
    <row r="9263" s="7" customFormat="1" spans="33:33">
      <c r="AG9263" s="3"/>
    </row>
    <row r="9264" s="7" customFormat="1" spans="33:33">
      <c r="AG9264" s="3"/>
    </row>
    <row r="9265" s="7" customFormat="1" spans="33:33">
      <c r="AG9265" s="3"/>
    </row>
    <row r="9266" s="7" customFormat="1" spans="33:33">
      <c r="AG9266" s="3"/>
    </row>
    <row r="9267" s="7" customFormat="1" spans="33:33">
      <c r="AG9267" s="3"/>
    </row>
    <row r="9268" s="7" customFormat="1" spans="33:33">
      <c r="AG9268" s="3"/>
    </row>
    <row r="9269" s="7" customFormat="1" spans="33:33">
      <c r="AG9269" s="3"/>
    </row>
    <row r="9270" s="7" customFormat="1" spans="33:33">
      <c r="AG9270" s="3"/>
    </row>
    <row r="9271" s="7" customFormat="1" spans="33:33">
      <c r="AG9271" s="3"/>
    </row>
    <row r="9272" s="7" customFormat="1" spans="33:33">
      <c r="AG9272" s="3"/>
    </row>
    <row r="9273" s="7" customFormat="1" spans="33:33">
      <c r="AG9273" s="3"/>
    </row>
    <row r="9274" s="7" customFormat="1" spans="33:33">
      <c r="AG9274" s="3"/>
    </row>
    <row r="9275" s="7" customFormat="1" spans="33:33">
      <c r="AG9275" s="3"/>
    </row>
    <row r="9276" s="7" customFormat="1" spans="33:33">
      <c r="AG9276" s="3"/>
    </row>
    <row r="9277" s="7" customFormat="1" spans="33:33">
      <c r="AG9277" s="3"/>
    </row>
    <row r="9278" s="7" customFormat="1" spans="33:33">
      <c r="AG9278" s="3"/>
    </row>
    <row r="9279" s="7" customFormat="1" spans="33:33">
      <c r="AG9279" s="3"/>
    </row>
    <row r="9280" s="7" customFormat="1" spans="33:33">
      <c r="AG9280" s="3"/>
    </row>
    <row r="9281" s="7" customFormat="1" spans="33:33">
      <c r="AG9281" s="3"/>
    </row>
    <row r="9282" s="7" customFormat="1" spans="33:33">
      <c r="AG9282" s="3"/>
    </row>
    <row r="9283" s="7" customFormat="1" spans="33:33">
      <c r="AG9283" s="3"/>
    </row>
    <row r="9284" s="7" customFormat="1" spans="33:33">
      <c r="AG9284" s="3"/>
    </row>
    <row r="9285" s="7" customFormat="1" spans="33:33">
      <c r="AG9285" s="3"/>
    </row>
    <row r="9286" s="7" customFormat="1" spans="33:33">
      <c r="AG9286" s="3"/>
    </row>
    <row r="9287" s="7" customFormat="1" spans="33:33">
      <c r="AG9287" s="3"/>
    </row>
    <row r="9288" s="7" customFormat="1" spans="33:33">
      <c r="AG9288" s="3"/>
    </row>
    <row r="9289" s="7" customFormat="1" spans="33:33">
      <c r="AG9289" s="3"/>
    </row>
    <row r="9290" s="7" customFormat="1" spans="33:33">
      <c r="AG9290" s="3"/>
    </row>
    <row r="9291" s="7" customFormat="1" spans="33:33">
      <c r="AG9291" s="3"/>
    </row>
    <row r="9292" s="7" customFormat="1" spans="33:33">
      <c r="AG9292" s="3"/>
    </row>
    <row r="9293" s="7" customFormat="1" spans="33:33">
      <c r="AG9293" s="3"/>
    </row>
    <row r="9294" s="7" customFormat="1" spans="33:33">
      <c r="AG9294" s="3"/>
    </row>
    <row r="9295" s="7" customFormat="1" spans="33:33">
      <c r="AG9295" s="3"/>
    </row>
    <row r="9296" s="7" customFormat="1" spans="33:33">
      <c r="AG9296" s="3"/>
    </row>
    <row r="9297" s="7" customFormat="1" spans="33:33">
      <c r="AG9297" s="3"/>
    </row>
    <row r="9298" s="7" customFormat="1" spans="33:33">
      <c r="AG9298" s="3"/>
    </row>
    <row r="9299" s="7" customFormat="1" spans="33:33">
      <c r="AG9299" s="3"/>
    </row>
    <row r="9300" s="7" customFormat="1" spans="33:33">
      <c r="AG9300" s="3"/>
    </row>
    <row r="9301" s="7" customFormat="1" spans="33:33">
      <c r="AG9301" s="3"/>
    </row>
    <row r="9302" s="7" customFormat="1" spans="33:33">
      <c r="AG9302" s="3"/>
    </row>
    <row r="9303" s="7" customFormat="1" spans="33:33">
      <c r="AG9303" s="3"/>
    </row>
    <row r="9304" s="7" customFormat="1" spans="33:33">
      <c r="AG9304" s="3"/>
    </row>
    <row r="9305" s="7" customFormat="1" spans="33:33">
      <c r="AG9305" s="3"/>
    </row>
    <row r="9306" s="7" customFormat="1" spans="33:33">
      <c r="AG9306" s="3"/>
    </row>
    <row r="9307" s="7" customFormat="1" spans="33:33">
      <c r="AG9307" s="3"/>
    </row>
    <row r="9308" s="7" customFormat="1" spans="33:33">
      <c r="AG9308" s="3"/>
    </row>
    <row r="9309" s="7" customFormat="1" spans="33:33">
      <c r="AG9309" s="3"/>
    </row>
    <row r="9310" s="7" customFormat="1" spans="33:33">
      <c r="AG9310" s="3"/>
    </row>
    <row r="9311" s="7" customFormat="1" spans="33:33">
      <c r="AG9311" s="3"/>
    </row>
    <row r="9312" s="7" customFormat="1" spans="33:33">
      <c r="AG9312" s="3"/>
    </row>
    <row r="9313" s="7" customFormat="1" spans="33:33">
      <c r="AG9313" s="3"/>
    </row>
    <row r="9314" s="7" customFormat="1" spans="33:33">
      <c r="AG9314" s="3"/>
    </row>
    <row r="9315" s="7" customFormat="1" spans="33:33">
      <c r="AG9315" s="3"/>
    </row>
    <row r="9316" s="7" customFormat="1" spans="33:33">
      <c r="AG9316" s="3"/>
    </row>
    <row r="9317" s="7" customFormat="1" spans="33:33">
      <c r="AG9317" s="3"/>
    </row>
    <row r="9318" s="7" customFormat="1" spans="33:33">
      <c r="AG9318" s="3"/>
    </row>
    <row r="9319" s="7" customFormat="1" spans="33:33">
      <c r="AG9319" s="3"/>
    </row>
    <row r="9320" s="7" customFormat="1" spans="33:33">
      <c r="AG9320" s="3"/>
    </row>
    <row r="9321" s="7" customFormat="1" spans="33:33">
      <c r="AG9321" s="3"/>
    </row>
    <row r="9322" s="7" customFormat="1" spans="33:33">
      <c r="AG9322" s="3"/>
    </row>
    <row r="9323" s="7" customFormat="1" spans="33:33">
      <c r="AG9323" s="3"/>
    </row>
    <row r="9324" s="7" customFormat="1" spans="33:33">
      <c r="AG9324" s="3"/>
    </row>
    <row r="9325" s="7" customFormat="1" spans="33:33">
      <c r="AG9325" s="3"/>
    </row>
    <row r="9326" s="7" customFormat="1" spans="33:33">
      <c r="AG9326" s="3"/>
    </row>
    <row r="9327" s="7" customFormat="1" spans="33:33">
      <c r="AG9327" s="3"/>
    </row>
    <row r="9328" s="7" customFormat="1" spans="33:33">
      <c r="AG9328" s="3"/>
    </row>
    <row r="9329" s="7" customFormat="1" spans="33:33">
      <c r="AG9329" s="3"/>
    </row>
    <row r="9330" s="7" customFormat="1" spans="33:33">
      <c r="AG9330" s="3"/>
    </row>
    <row r="9331" s="7" customFormat="1" spans="33:33">
      <c r="AG9331" s="3"/>
    </row>
    <row r="9332" s="7" customFormat="1" spans="33:33">
      <c r="AG9332" s="3"/>
    </row>
    <row r="9333" s="7" customFormat="1" spans="33:33">
      <c r="AG9333" s="3"/>
    </row>
    <row r="9334" s="7" customFormat="1" spans="33:33">
      <c r="AG9334" s="3"/>
    </row>
    <row r="9335" s="7" customFormat="1" spans="33:33">
      <c r="AG9335" s="3"/>
    </row>
    <row r="9336" s="7" customFormat="1" spans="33:33">
      <c r="AG9336" s="3"/>
    </row>
    <row r="9337" s="7" customFormat="1" spans="33:33">
      <c r="AG9337" s="3"/>
    </row>
    <row r="9338" s="7" customFormat="1" spans="33:33">
      <c r="AG9338" s="3"/>
    </row>
    <row r="9339" s="7" customFormat="1" spans="33:33">
      <c r="AG9339" s="3"/>
    </row>
    <row r="9340" s="7" customFormat="1" spans="33:33">
      <c r="AG9340" s="3"/>
    </row>
    <row r="9341" s="7" customFormat="1" spans="33:33">
      <c r="AG9341" s="3"/>
    </row>
    <row r="9342" s="7" customFormat="1" spans="33:33">
      <c r="AG9342" s="3"/>
    </row>
    <row r="9343" s="7" customFormat="1" spans="33:33">
      <c r="AG9343" s="3"/>
    </row>
    <row r="9344" s="7" customFormat="1" spans="33:33">
      <c r="AG9344" s="3"/>
    </row>
    <row r="9345" s="7" customFormat="1" spans="33:33">
      <c r="AG9345" s="3"/>
    </row>
    <row r="9346" s="7" customFormat="1" spans="33:33">
      <c r="AG9346" s="3"/>
    </row>
    <row r="9347" s="7" customFormat="1" spans="33:33">
      <c r="AG9347" s="3"/>
    </row>
    <row r="9348" s="7" customFormat="1" spans="33:33">
      <c r="AG9348" s="3"/>
    </row>
    <row r="9349" s="7" customFormat="1" spans="33:33">
      <c r="AG9349" s="3"/>
    </row>
    <row r="9350" s="7" customFormat="1" spans="33:33">
      <c r="AG9350" s="3"/>
    </row>
    <row r="9351" s="7" customFormat="1" spans="33:33">
      <c r="AG9351" s="3"/>
    </row>
    <row r="9352" s="7" customFormat="1" spans="33:33">
      <c r="AG9352" s="3"/>
    </row>
    <row r="9353" s="7" customFormat="1" spans="33:33">
      <c r="AG9353" s="3"/>
    </row>
    <row r="9354" s="7" customFormat="1" spans="33:33">
      <c r="AG9354" s="3"/>
    </row>
    <row r="9355" s="7" customFormat="1" spans="33:33">
      <c r="AG9355" s="3"/>
    </row>
    <row r="9356" s="7" customFormat="1" spans="33:33">
      <c r="AG9356" s="3"/>
    </row>
    <row r="9357" s="7" customFormat="1" spans="33:33">
      <c r="AG9357" s="3"/>
    </row>
    <row r="9358" s="7" customFormat="1" spans="33:33">
      <c r="AG9358" s="3"/>
    </row>
    <row r="9359" s="7" customFormat="1" spans="33:33">
      <c r="AG9359" s="3"/>
    </row>
    <row r="9360" s="7" customFormat="1" spans="33:33">
      <c r="AG9360" s="3"/>
    </row>
    <row r="9361" s="7" customFormat="1" spans="33:33">
      <c r="AG9361" s="3"/>
    </row>
    <row r="9362" s="7" customFormat="1" spans="33:33">
      <c r="AG9362" s="3"/>
    </row>
    <row r="9363" s="7" customFormat="1" spans="33:33">
      <c r="AG9363" s="3"/>
    </row>
    <row r="9364" s="7" customFormat="1" spans="33:33">
      <c r="AG9364" s="3"/>
    </row>
    <row r="9365" s="7" customFormat="1" spans="33:33">
      <c r="AG9365" s="3"/>
    </row>
    <row r="9366" s="7" customFormat="1" spans="33:33">
      <c r="AG9366" s="3"/>
    </row>
    <row r="9367" s="7" customFormat="1" spans="33:33">
      <c r="AG9367" s="3"/>
    </row>
    <row r="9368" s="7" customFormat="1" spans="33:33">
      <c r="AG9368" s="3"/>
    </row>
    <row r="9369" s="7" customFormat="1" spans="33:33">
      <c r="AG9369" s="3"/>
    </row>
    <row r="9370" s="7" customFormat="1" spans="33:33">
      <c r="AG9370" s="3"/>
    </row>
    <row r="9371" s="7" customFormat="1" spans="33:33">
      <c r="AG9371" s="3"/>
    </row>
    <row r="9372" s="7" customFormat="1" spans="33:33">
      <c r="AG9372" s="3"/>
    </row>
    <row r="9373" s="7" customFormat="1" spans="33:33">
      <c r="AG9373" s="3"/>
    </row>
    <row r="9374" s="7" customFormat="1" spans="33:33">
      <c r="AG9374" s="3"/>
    </row>
    <row r="9375" s="7" customFormat="1" spans="33:33">
      <c r="AG9375" s="3"/>
    </row>
    <row r="9376" s="7" customFormat="1" spans="33:33">
      <c r="AG9376" s="3"/>
    </row>
    <row r="9377" s="7" customFormat="1" spans="33:33">
      <c r="AG9377" s="3"/>
    </row>
    <row r="9378" s="7" customFormat="1" spans="33:33">
      <c r="AG9378" s="3"/>
    </row>
    <row r="9379" s="7" customFormat="1" spans="33:33">
      <c r="AG9379" s="3"/>
    </row>
    <row r="9380" s="7" customFormat="1" spans="33:33">
      <c r="AG9380" s="3"/>
    </row>
    <row r="9381" s="7" customFormat="1" spans="33:33">
      <c r="AG9381" s="3"/>
    </row>
    <row r="9382" s="7" customFormat="1" spans="33:33">
      <c r="AG9382" s="3"/>
    </row>
    <row r="9383" s="7" customFormat="1" spans="33:33">
      <c r="AG9383" s="3"/>
    </row>
    <row r="9384" s="7" customFormat="1" spans="33:33">
      <c r="AG9384" s="3"/>
    </row>
    <row r="9385" s="7" customFormat="1" spans="33:33">
      <c r="AG9385" s="3"/>
    </row>
    <row r="9386" s="7" customFormat="1" spans="33:33">
      <c r="AG9386" s="3"/>
    </row>
    <row r="9387" s="7" customFormat="1" spans="33:33">
      <c r="AG9387" s="3"/>
    </row>
    <row r="9388" s="7" customFormat="1" spans="33:33">
      <c r="AG9388" s="3"/>
    </row>
    <row r="9389" s="7" customFormat="1" spans="33:33">
      <c r="AG9389" s="3"/>
    </row>
    <row r="9390" s="7" customFormat="1" spans="33:33">
      <c r="AG9390" s="3"/>
    </row>
    <row r="9391" s="7" customFormat="1" spans="33:33">
      <c r="AG9391" s="3"/>
    </row>
    <row r="9392" s="7" customFormat="1" spans="33:33">
      <c r="AG9392" s="3"/>
    </row>
    <row r="9393" s="7" customFormat="1" spans="33:33">
      <c r="AG9393" s="3"/>
    </row>
    <row r="9394" s="7" customFormat="1" spans="33:33">
      <c r="AG9394" s="3"/>
    </row>
    <row r="9395" s="7" customFormat="1" spans="33:33">
      <c r="AG9395" s="3"/>
    </row>
    <row r="9396" s="7" customFormat="1" spans="33:33">
      <c r="AG9396" s="3"/>
    </row>
    <row r="9397" s="7" customFormat="1" spans="33:33">
      <c r="AG9397" s="3"/>
    </row>
    <row r="9398" s="7" customFormat="1" spans="33:33">
      <c r="AG9398" s="3"/>
    </row>
    <row r="9399" s="7" customFormat="1" spans="33:33">
      <c r="AG9399" s="3"/>
    </row>
    <row r="9400" s="7" customFormat="1" spans="33:33">
      <c r="AG9400" s="3"/>
    </row>
    <row r="9401" s="7" customFormat="1" spans="33:33">
      <c r="AG9401" s="3"/>
    </row>
    <row r="9402" s="7" customFormat="1" spans="33:33">
      <c r="AG9402" s="3"/>
    </row>
    <row r="9403" s="7" customFormat="1" spans="33:33">
      <c r="AG9403" s="3"/>
    </row>
    <row r="9404" s="7" customFormat="1" spans="33:33">
      <c r="AG9404" s="3"/>
    </row>
    <row r="9405" s="7" customFormat="1" spans="33:33">
      <c r="AG9405" s="3"/>
    </row>
    <row r="9406" s="7" customFormat="1" spans="33:33">
      <c r="AG9406" s="3"/>
    </row>
    <row r="9407" s="7" customFormat="1" spans="33:33">
      <c r="AG9407" s="3"/>
    </row>
    <row r="9408" s="7" customFormat="1" spans="33:33">
      <c r="AG9408" s="3"/>
    </row>
    <row r="9409" s="7" customFormat="1" spans="33:33">
      <c r="AG9409" s="3"/>
    </row>
    <row r="9410" s="7" customFormat="1" spans="33:33">
      <c r="AG9410" s="3"/>
    </row>
    <row r="9411" s="7" customFormat="1" spans="33:33">
      <c r="AG9411" s="3"/>
    </row>
    <row r="9412" s="7" customFormat="1" spans="33:33">
      <c r="AG9412" s="3"/>
    </row>
    <row r="9413" s="7" customFormat="1" spans="33:33">
      <c r="AG9413" s="3"/>
    </row>
    <row r="9414" s="7" customFormat="1" spans="33:33">
      <c r="AG9414" s="3"/>
    </row>
    <row r="9415" s="7" customFormat="1" spans="33:33">
      <c r="AG9415" s="3"/>
    </row>
    <row r="9416" s="7" customFormat="1" spans="33:33">
      <c r="AG9416" s="3"/>
    </row>
    <row r="9417" s="7" customFormat="1" spans="33:33">
      <c r="AG9417" s="3"/>
    </row>
    <row r="9418" s="7" customFormat="1" spans="33:33">
      <c r="AG9418" s="3"/>
    </row>
    <row r="9419" s="7" customFormat="1" spans="33:33">
      <c r="AG9419" s="3"/>
    </row>
    <row r="9420" s="7" customFormat="1" spans="33:33">
      <c r="AG9420" s="3"/>
    </row>
    <row r="9421" s="7" customFormat="1" spans="33:33">
      <c r="AG9421" s="3"/>
    </row>
    <row r="9422" s="7" customFormat="1" spans="33:33">
      <c r="AG9422" s="3"/>
    </row>
    <row r="9423" s="7" customFormat="1" spans="33:33">
      <c r="AG9423" s="3"/>
    </row>
    <row r="9424" s="7" customFormat="1" spans="33:33">
      <c r="AG9424" s="3"/>
    </row>
    <row r="9425" s="7" customFormat="1" spans="33:33">
      <c r="AG9425" s="3"/>
    </row>
    <row r="9426" s="7" customFormat="1" spans="33:33">
      <c r="AG9426" s="3"/>
    </row>
    <row r="9427" s="7" customFormat="1" spans="33:33">
      <c r="AG9427" s="3"/>
    </row>
    <row r="9428" s="7" customFormat="1" spans="33:33">
      <c r="AG9428" s="3"/>
    </row>
    <row r="9429" s="7" customFormat="1" spans="33:33">
      <c r="AG9429" s="3"/>
    </row>
    <row r="9430" s="7" customFormat="1" spans="33:33">
      <c r="AG9430" s="3"/>
    </row>
    <row r="9431" s="7" customFormat="1" spans="33:33">
      <c r="AG9431" s="3"/>
    </row>
    <row r="9432" s="7" customFormat="1" spans="33:33">
      <c r="AG9432" s="3"/>
    </row>
    <row r="9433" s="7" customFormat="1" spans="33:33">
      <c r="AG9433" s="3"/>
    </row>
    <row r="9434" s="7" customFormat="1" spans="33:33">
      <c r="AG9434" s="3"/>
    </row>
    <row r="9435" s="7" customFormat="1" spans="33:33">
      <c r="AG9435" s="3"/>
    </row>
    <row r="9436" s="7" customFormat="1" spans="33:33">
      <c r="AG9436" s="3"/>
    </row>
    <row r="9437" s="7" customFormat="1" spans="33:33">
      <c r="AG9437" s="3"/>
    </row>
    <row r="9438" s="7" customFormat="1" spans="33:33">
      <c r="AG9438" s="3"/>
    </row>
    <row r="9439" s="7" customFormat="1" spans="33:33">
      <c r="AG9439" s="3"/>
    </row>
    <row r="9440" s="7" customFormat="1" spans="33:33">
      <c r="AG9440" s="3"/>
    </row>
    <row r="9441" s="7" customFormat="1" spans="33:33">
      <c r="AG9441" s="3"/>
    </row>
    <row r="9442" s="7" customFormat="1" spans="33:33">
      <c r="AG9442" s="3"/>
    </row>
    <row r="9443" s="7" customFormat="1" spans="33:33">
      <c r="AG9443" s="3"/>
    </row>
    <row r="9444" s="7" customFormat="1" spans="33:33">
      <c r="AG9444" s="3"/>
    </row>
    <row r="9445" s="7" customFormat="1" spans="33:33">
      <c r="AG9445" s="3"/>
    </row>
    <row r="9446" s="7" customFormat="1" spans="33:33">
      <c r="AG9446" s="3"/>
    </row>
    <row r="9447" s="7" customFormat="1" spans="33:33">
      <c r="AG9447" s="3"/>
    </row>
    <row r="9448" s="7" customFormat="1" spans="33:33">
      <c r="AG9448" s="3"/>
    </row>
    <row r="9449" s="7" customFormat="1" spans="33:33">
      <c r="AG9449" s="3"/>
    </row>
    <row r="9450" s="7" customFormat="1" spans="33:33">
      <c r="AG9450" s="3"/>
    </row>
    <row r="9451" s="7" customFormat="1" spans="33:33">
      <c r="AG9451" s="3"/>
    </row>
    <row r="9452" s="7" customFormat="1" spans="33:33">
      <c r="AG9452" s="3"/>
    </row>
    <row r="9453" s="7" customFormat="1" spans="33:33">
      <c r="AG9453" s="3"/>
    </row>
    <row r="9454" s="7" customFormat="1" spans="33:33">
      <c r="AG9454" s="3"/>
    </row>
    <row r="9455" s="7" customFormat="1" spans="33:33">
      <c r="AG9455" s="3"/>
    </row>
    <row r="9456" s="7" customFormat="1" spans="33:33">
      <c r="AG9456" s="3"/>
    </row>
    <row r="9457" s="7" customFormat="1" spans="33:33">
      <c r="AG9457" s="3"/>
    </row>
    <row r="9458" s="7" customFormat="1" spans="33:33">
      <c r="AG9458" s="3"/>
    </row>
    <row r="9459" s="7" customFormat="1" spans="33:33">
      <c r="AG9459" s="3"/>
    </row>
    <row r="9460" s="7" customFormat="1" spans="33:33">
      <c r="AG9460" s="3"/>
    </row>
    <row r="9461" s="7" customFormat="1" spans="33:33">
      <c r="AG9461" s="3"/>
    </row>
    <row r="9462" s="7" customFormat="1" spans="33:33">
      <c r="AG9462" s="3"/>
    </row>
    <row r="9463" s="7" customFormat="1" spans="33:33">
      <c r="AG9463" s="3"/>
    </row>
    <row r="9464" s="7" customFormat="1" spans="33:33">
      <c r="AG9464" s="3"/>
    </row>
    <row r="9465" s="7" customFormat="1" spans="33:33">
      <c r="AG9465" s="3"/>
    </row>
    <row r="9466" s="7" customFormat="1" spans="33:33">
      <c r="AG9466" s="3"/>
    </row>
    <row r="9467" s="7" customFormat="1" spans="33:33">
      <c r="AG9467" s="3"/>
    </row>
    <row r="9468" s="7" customFormat="1" spans="33:33">
      <c r="AG9468" s="3"/>
    </row>
    <row r="9469" s="7" customFormat="1" spans="33:33">
      <c r="AG9469" s="3"/>
    </row>
    <row r="9470" s="7" customFormat="1" spans="33:33">
      <c r="AG9470" s="3"/>
    </row>
    <row r="9471" s="7" customFormat="1" spans="33:33">
      <c r="AG9471" s="3"/>
    </row>
    <row r="9472" s="7" customFormat="1" spans="33:33">
      <c r="AG9472" s="3"/>
    </row>
    <row r="9473" s="7" customFormat="1" spans="33:33">
      <c r="AG9473" s="3"/>
    </row>
    <row r="9474" s="7" customFormat="1" spans="33:33">
      <c r="AG9474" s="3"/>
    </row>
    <row r="9475" s="7" customFormat="1" spans="33:33">
      <c r="AG9475" s="3"/>
    </row>
    <row r="9476" s="7" customFormat="1" spans="33:33">
      <c r="AG9476" s="3"/>
    </row>
    <row r="9477" s="7" customFormat="1" spans="33:33">
      <c r="AG9477" s="3"/>
    </row>
    <row r="9478" s="7" customFormat="1" spans="33:33">
      <c r="AG9478" s="3"/>
    </row>
    <row r="9479" s="7" customFormat="1" spans="33:33">
      <c r="AG9479" s="3"/>
    </row>
    <row r="9480" s="7" customFormat="1" spans="33:33">
      <c r="AG9480" s="3"/>
    </row>
    <row r="9481" s="7" customFormat="1" spans="33:33">
      <c r="AG9481" s="3"/>
    </row>
    <row r="9482" s="7" customFormat="1" spans="33:33">
      <c r="AG9482" s="3"/>
    </row>
    <row r="9483" s="7" customFormat="1" spans="33:33">
      <c r="AG9483" s="3"/>
    </row>
    <row r="9484" s="7" customFormat="1" spans="33:33">
      <c r="AG9484" s="3"/>
    </row>
    <row r="9485" s="7" customFormat="1" spans="33:33">
      <c r="AG9485" s="3"/>
    </row>
    <row r="9486" s="7" customFormat="1" spans="33:33">
      <c r="AG9486" s="3"/>
    </row>
    <row r="9487" s="7" customFormat="1" spans="33:33">
      <c r="AG9487" s="3"/>
    </row>
    <row r="9488" s="7" customFormat="1" spans="33:33">
      <c r="AG9488" s="3"/>
    </row>
    <row r="9489" s="7" customFormat="1" spans="33:33">
      <c r="AG9489" s="3"/>
    </row>
    <row r="9490" s="7" customFormat="1" spans="33:33">
      <c r="AG9490" s="3"/>
    </row>
    <row r="9491" s="7" customFormat="1" spans="33:33">
      <c r="AG9491" s="3"/>
    </row>
    <row r="9492" s="7" customFormat="1" spans="33:33">
      <c r="AG9492" s="3"/>
    </row>
    <row r="9493" s="7" customFormat="1" spans="33:33">
      <c r="AG9493" s="3"/>
    </row>
    <row r="9494" s="7" customFormat="1" spans="33:33">
      <c r="AG9494" s="3"/>
    </row>
    <row r="9495" s="7" customFormat="1" spans="33:33">
      <c r="AG9495" s="3"/>
    </row>
    <row r="9496" s="7" customFormat="1" spans="33:33">
      <c r="AG9496" s="3"/>
    </row>
    <row r="9497" s="7" customFormat="1" spans="33:33">
      <c r="AG9497" s="3"/>
    </row>
    <row r="9498" s="7" customFormat="1" spans="33:33">
      <c r="AG9498" s="3"/>
    </row>
    <row r="9499" s="7" customFormat="1" spans="33:33">
      <c r="AG9499" s="3"/>
    </row>
    <row r="9500" s="7" customFormat="1" spans="33:33">
      <c r="AG9500" s="3"/>
    </row>
    <row r="9501" s="7" customFormat="1" spans="33:33">
      <c r="AG9501" s="3"/>
    </row>
    <row r="9502" s="7" customFormat="1" spans="33:33">
      <c r="AG9502" s="3"/>
    </row>
    <row r="9503" s="7" customFormat="1" spans="33:33">
      <c r="AG9503" s="3"/>
    </row>
    <row r="9504" s="7" customFormat="1" spans="33:33">
      <c r="AG9504" s="3"/>
    </row>
    <row r="9505" s="7" customFormat="1" spans="33:33">
      <c r="AG9505" s="3"/>
    </row>
    <row r="9506" s="7" customFormat="1" spans="33:33">
      <c r="AG9506" s="3"/>
    </row>
    <row r="9507" s="7" customFormat="1" spans="33:33">
      <c r="AG9507" s="3"/>
    </row>
    <row r="9508" s="7" customFormat="1" spans="33:33">
      <c r="AG9508" s="3"/>
    </row>
    <row r="9509" s="7" customFormat="1" spans="33:33">
      <c r="AG9509" s="3"/>
    </row>
    <row r="9510" s="7" customFormat="1" spans="33:33">
      <c r="AG9510" s="3"/>
    </row>
    <row r="9511" s="7" customFormat="1" spans="33:33">
      <c r="AG9511" s="3"/>
    </row>
    <row r="9512" s="7" customFormat="1" spans="33:33">
      <c r="AG9512" s="3"/>
    </row>
    <row r="9513" s="7" customFormat="1" spans="33:33">
      <c r="AG9513" s="3"/>
    </row>
    <row r="9514" s="7" customFormat="1" spans="33:33">
      <c r="AG9514" s="3"/>
    </row>
    <row r="9515" s="7" customFormat="1" spans="33:33">
      <c r="AG9515" s="3"/>
    </row>
    <row r="9516" s="7" customFormat="1" spans="33:33">
      <c r="AG9516" s="3"/>
    </row>
    <row r="9517" s="7" customFormat="1" spans="33:33">
      <c r="AG9517" s="3"/>
    </row>
    <row r="9518" s="7" customFormat="1" spans="33:33">
      <c r="AG9518" s="3"/>
    </row>
    <row r="9519" s="7" customFormat="1" spans="33:33">
      <c r="AG9519" s="3"/>
    </row>
    <row r="9520" s="7" customFormat="1" spans="33:33">
      <c r="AG9520" s="3"/>
    </row>
    <row r="9521" s="7" customFormat="1" spans="33:33">
      <c r="AG9521" s="3"/>
    </row>
    <row r="9522" s="7" customFormat="1" spans="33:33">
      <c r="AG9522" s="3"/>
    </row>
    <row r="9523" s="7" customFormat="1" spans="33:33">
      <c r="AG9523" s="3"/>
    </row>
    <row r="9524" s="7" customFormat="1" spans="33:33">
      <c r="AG9524" s="3"/>
    </row>
    <row r="9525" s="7" customFormat="1" spans="33:33">
      <c r="AG9525" s="3"/>
    </row>
    <row r="9526" s="7" customFormat="1" spans="33:33">
      <c r="AG9526" s="3"/>
    </row>
    <row r="9527" s="7" customFormat="1" spans="33:33">
      <c r="AG9527" s="3"/>
    </row>
    <row r="9528" s="7" customFormat="1" spans="33:33">
      <c r="AG9528" s="3"/>
    </row>
    <row r="9529" s="7" customFormat="1" spans="33:33">
      <c r="AG9529" s="3"/>
    </row>
    <row r="9530" s="7" customFormat="1" spans="33:33">
      <c r="AG9530" s="3"/>
    </row>
    <row r="9531" s="7" customFormat="1" spans="33:33">
      <c r="AG9531" s="3"/>
    </row>
    <row r="9532" s="7" customFormat="1" spans="33:33">
      <c r="AG9532" s="3"/>
    </row>
    <row r="9533" s="7" customFormat="1" spans="33:33">
      <c r="AG9533" s="3"/>
    </row>
    <row r="9534" s="7" customFormat="1" spans="33:33">
      <c r="AG9534" s="3"/>
    </row>
    <row r="9535" s="7" customFormat="1" spans="33:33">
      <c r="AG9535" s="3"/>
    </row>
    <row r="9536" s="7" customFormat="1" spans="33:33">
      <c r="AG9536" s="3"/>
    </row>
    <row r="9537" s="7" customFormat="1" spans="33:33">
      <c r="AG9537" s="3"/>
    </row>
    <row r="9538" s="7" customFormat="1" spans="33:33">
      <c r="AG9538" s="3"/>
    </row>
    <row r="9539" s="7" customFormat="1" spans="33:33">
      <c r="AG9539" s="3"/>
    </row>
    <row r="9540" s="7" customFormat="1" spans="33:33">
      <c r="AG9540" s="3"/>
    </row>
    <row r="9541" s="7" customFormat="1" spans="33:33">
      <c r="AG9541" s="3"/>
    </row>
    <row r="9542" s="7" customFormat="1" spans="33:33">
      <c r="AG9542" s="3"/>
    </row>
    <row r="9543" s="7" customFormat="1" spans="33:33">
      <c r="AG9543" s="3"/>
    </row>
    <row r="9544" s="7" customFormat="1" spans="33:33">
      <c r="AG9544" s="3"/>
    </row>
    <row r="9545" s="7" customFormat="1" spans="33:33">
      <c r="AG9545" s="3"/>
    </row>
    <row r="9546" s="7" customFormat="1" spans="33:33">
      <c r="AG9546" s="3"/>
    </row>
    <row r="9547" s="7" customFormat="1" spans="33:33">
      <c r="AG9547" s="3"/>
    </row>
    <row r="9548" s="7" customFormat="1" spans="33:33">
      <c r="AG9548" s="3"/>
    </row>
    <row r="9549" s="7" customFormat="1" spans="33:33">
      <c r="AG9549" s="3"/>
    </row>
    <row r="9550" s="7" customFormat="1" spans="33:33">
      <c r="AG9550" s="3"/>
    </row>
    <row r="9551" s="7" customFormat="1" spans="33:33">
      <c r="AG9551" s="3"/>
    </row>
    <row r="9552" s="7" customFormat="1" spans="33:33">
      <c r="AG9552" s="3"/>
    </row>
    <row r="9553" s="7" customFormat="1" spans="33:33">
      <c r="AG9553" s="3"/>
    </row>
    <row r="9554" s="7" customFormat="1" spans="33:33">
      <c r="AG9554" s="3"/>
    </row>
    <row r="9555" s="7" customFormat="1" spans="33:33">
      <c r="AG9555" s="3"/>
    </row>
    <row r="9556" s="7" customFormat="1" spans="33:33">
      <c r="AG9556" s="3"/>
    </row>
    <row r="9557" s="7" customFormat="1" spans="33:33">
      <c r="AG9557" s="3"/>
    </row>
    <row r="9558" s="7" customFormat="1" spans="33:33">
      <c r="AG9558" s="3"/>
    </row>
    <row r="9559" s="7" customFormat="1" spans="33:33">
      <c r="AG9559" s="3"/>
    </row>
    <row r="9560" s="7" customFormat="1" spans="33:33">
      <c r="AG9560" s="3"/>
    </row>
    <row r="9561" s="7" customFormat="1" spans="33:33">
      <c r="AG9561" s="3"/>
    </row>
    <row r="9562" s="7" customFormat="1" spans="33:33">
      <c r="AG9562" s="3"/>
    </row>
    <row r="9563" s="7" customFormat="1" spans="33:33">
      <c r="AG9563" s="3"/>
    </row>
    <row r="9564" s="7" customFormat="1" spans="33:33">
      <c r="AG9564" s="3"/>
    </row>
    <row r="9565" s="7" customFormat="1" spans="33:33">
      <c r="AG9565" s="3"/>
    </row>
    <row r="9566" s="7" customFormat="1" spans="33:33">
      <c r="AG9566" s="3"/>
    </row>
    <row r="9567" s="7" customFormat="1" spans="33:33">
      <c r="AG9567" s="3"/>
    </row>
    <row r="9568" s="7" customFormat="1" spans="33:33">
      <c r="AG9568" s="3"/>
    </row>
    <row r="9569" s="7" customFormat="1" spans="33:33">
      <c r="AG9569" s="3"/>
    </row>
    <row r="9570" s="7" customFormat="1" spans="33:33">
      <c r="AG9570" s="3"/>
    </row>
    <row r="9571" s="7" customFormat="1" spans="33:33">
      <c r="AG9571" s="3"/>
    </row>
    <row r="9572" s="7" customFormat="1" spans="33:33">
      <c r="AG9572" s="3"/>
    </row>
    <row r="9573" s="7" customFormat="1" spans="33:33">
      <c r="AG9573" s="3"/>
    </row>
    <row r="9574" s="7" customFormat="1" spans="33:33">
      <c r="AG9574" s="3"/>
    </row>
    <row r="9575" s="7" customFormat="1" spans="33:33">
      <c r="AG9575" s="3"/>
    </row>
    <row r="9576" s="7" customFormat="1" spans="33:33">
      <c r="AG9576" s="3"/>
    </row>
    <row r="9577" s="7" customFormat="1" spans="33:33">
      <c r="AG9577" s="3"/>
    </row>
    <row r="9578" s="7" customFormat="1" spans="33:33">
      <c r="AG9578" s="3"/>
    </row>
    <row r="9579" s="7" customFormat="1" spans="33:33">
      <c r="AG9579" s="3"/>
    </row>
    <row r="9580" s="7" customFormat="1" spans="33:33">
      <c r="AG9580" s="3"/>
    </row>
    <row r="9581" s="7" customFormat="1" spans="33:33">
      <c r="AG9581" s="3"/>
    </row>
    <row r="9582" s="7" customFormat="1" spans="33:33">
      <c r="AG9582" s="3"/>
    </row>
    <row r="9583" s="7" customFormat="1" spans="33:33">
      <c r="AG9583" s="3"/>
    </row>
    <row r="9584" s="7" customFormat="1" spans="33:33">
      <c r="AG9584" s="3"/>
    </row>
    <row r="9585" s="7" customFormat="1" spans="33:33">
      <c r="AG9585" s="3"/>
    </row>
    <row r="9586" s="7" customFormat="1" spans="33:33">
      <c r="AG9586" s="3"/>
    </row>
    <row r="9587" s="7" customFormat="1" spans="33:33">
      <c r="AG9587" s="3"/>
    </row>
    <row r="9588" s="7" customFormat="1" spans="33:33">
      <c r="AG9588" s="3"/>
    </row>
    <row r="9589" s="7" customFormat="1" spans="33:33">
      <c r="AG9589" s="3"/>
    </row>
    <row r="9590" s="7" customFormat="1" spans="33:33">
      <c r="AG9590" s="3"/>
    </row>
    <row r="9591" s="7" customFormat="1" spans="33:33">
      <c r="AG9591" s="3"/>
    </row>
    <row r="9592" s="7" customFormat="1" spans="33:33">
      <c r="AG9592" s="3"/>
    </row>
    <row r="9593" s="7" customFormat="1" spans="33:33">
      <c r="AG9593" s="3"/>
    </row>
    <row r="9594" s="7" customFormat="1" spans="33:33">
      <c r="AG9594" s="3"/>
    </row>
    <row r="9595" s="7" customFormat="1" spans="33:33">
      <c r="AG9595" s="3"/>
    </row>
    <row r="9596" s="7" customFormat="1" spans="33:33">
      <c r="AG9596" s="3"/>
    </row>
    <row r="9597" s="7" customFormat="1" spans="33:33">
      <c r="AG9597" s="3"/>
    </row>
    <row r="9598" s="7" customFormat="1" spans="33:33">
      <c r="AG9598" s="3"/>
    </row>
    <row r="9599" s="7" customFormat="1" spans="33:33">
      <c r="AG9599" s="3"/>
    </row>
    <row r="9600" s="7" customFormat="1" spans="33:33">
      <c r="AG9600" s="3"/>
    </row>
    <row r="9601" s="7" customFormat="1" spans="33:33">
      <c r="AG9601" s="3"/>
    </row>
    <row r="9602" s="7" customFormat="1" spans="33:33">
      <c r="AG9602" s="3"/>
    </row>
    <row r="9603" s="7" customFormat="1" spans="33:33">
      <c r="AG9603" s="3"/>
    </row>
    <row r="9604" s="7" customFormat="1" spans="33:33">
      <c r="AG9604" s="3"/>
    </row>
    <row r="9605" s="7" customFormat="1" spans="33:33">
      <c r="AG9605" s="3"/>
    </row>
    <row r="9606" s="7" customFormat="1" spans="33:33">
      <c r="AG9606" s="3"/>
    </row>
    <row r="9607" s="7" customFormat="1" spans="33:33">
      <c r="AG9607" s="3"/>
    </row>
    <row r="9608" s="7" customFormat="1" spans="33:33">
      <c r="AG9608" s="3"/>
    </row>
    <row r="9609" s="7" customFormat="1" spans="33:33">
      <c r="AG9609" s="3"/>
    </row>
    <row r="9610" s="7" customFormat="1" spans="33:33">
      <c r="AG9610" s="3"/>
    </row>
    <row r="9611" s="7" customFormat="1" spans="33:33">
      <c r="AG9611" s="3"/>
    </row>
    <row r="9612" s="7" customFormat="1" spans="33:33">
      <c r="AG9612" s="3"/>
    </row>
    <row r="9613" s="7" customFormat="1" spans="33:33">
      <c r="AG9613" s="3"/>
    </row>
    <row r="9614" s="7" customFormat="1" spans="33:33">
      <c r="AG9614" s="3"/>
    </row>
    <row r="9615" s="7" customFormat="1" spans="33:33">
      <c r="AG9615" s="3"/>
    </row>
    <row r="9616" s="7" customFormat="1" spans="33:33">
      <c r="AG9616" s="3"/>
    </row>
    <row r="9617" s="7" customFormat="1" spans="33:33">
      <c r="AG9617" s="3"/>
    </row>
    <row r="9618" s="7" customFormat="1" spans="33:33">
      <c r="AG9618" s="3"/>
    </row>
    <row r="9619" s="7" customFormat="1" spans="33:33">
      <c r="AG9619" s="3"/>
    </row>
    <row r="9620" s="7" customFormat="1" spans="33:33">
      <c r="AG9620" s="3"/>
    </row>
    <row r="9621" s="7" customFormat="1" spans="33:33">
      <c r="AG9621" s="3"/>
    </row>
    <row r="9622" s="7" customFormat="1" spans="33:33">
      <c r="AG9622" s="3"/>
    </row>
    <row r="9623" s="7" customFormat="1" spans="33:33">
      <c r="AG9623" s="3"/>
    </row>
    <row r="9624" s="7" customFormat="1" spans="33:33">
      <c r="AG9624" s="3"/>
    </row>
    <row r="9625" s="7" customFormat="1" spans="33:33">
      <c r="AG9625" s="3"/>
    </row>
    <row r="9626" s="7" customFormat="1" spans="33:33">
      <c r="AG9626" s="3"/>
    </row>
    <row r="9627" s="7" customFormat="1" spans="33:33">
      <c r="AG9627" s="3"/>
    </row>
    <row r="9628" s="7" customFormat="1" spans="33:33">
      <c r="AG9628" s="3"/>
    </row>
    <row r="9629" s="7" customFormat="1" spans="33:33">
      <c r="AG9629" s="3"/>
    </row>
    <row r="9630" s="7" customFormat="1" spans="33:33">
      <c r="AG9630" s="3"/>
    </row>
    <row r="9631" s="7" customFormat="1" spans="33:33">
      <c r="AG9631" s="3"/>
    </row>
    <row r="9632" s="7" customFormat="1" spans="33:33">
      <c r="AG9632" s="3"/>
    </row>
    <row r="9633" s="7" customFormat="1" spans="33:33">
      <c r="AG9633" s="3"/>
    </row>
    <row r="9634" s="7" customFormat="1" spans="33:33">
      <c r="AG9634" s="3"/>
    </row>
    <row r="9635" s="7" customFormat="1" spans="33:33">
      <c r="AG9635" s="3"/>
    </row>
    <row r="9636" s="7" customFormat="1" spans="33:33">
      <c r="AG9636" s="3"/>
    </row>
    <row r="9637" s="7" customFormat="1" spans="33:33">
      <c r="AG9637" s="3"/>
    </row>
    <row r="9638" s="7" customFormat="1" spans="33:33">
      <c r="AG9638" s="3"/>
    </row>
    <row r="9639" s="7" customFormat="1" spans="33:33">
      <c r="AG9639" s="3"/>
    </row>
    <row r="9640" s="7" customFormat="1" spans="33:33">
      <c r="AG9640" s="3"/>
    </row>
    <row r="9641" s="7" customFormat="1" spans="33:33">
      <c r="AG9641" s="3"/>
    </row>
    <row r="9642" s="7" customFormat="1" spans="33:33">
      <c r="AG9642" s="3"/>
    </row>
    <row r="9643" s="7" customFormat="1" spans="33:33">
      <c r="AG9643" s="3"/>
    </row>
    <row r="9644" s="7" customFormat="1" spans="33:33">
      <c r="AG9644" s="3"/>
    </row>
    <row r="9645" s="7" customFormat="1" spans="33:33">
      <c r="AG9645" s="3"/>
    </row>
    <row r="9646" s="7" customFormat="1" spans="33:33">
      <c r="AG9646" s="3"/>
    </row>
    <row r="9647" s="7" customFormat="1" spans="33:33">
      <c r="AG9647" s="3"/>
    </row>
    <row r="9648" s="7" customFormat="1" spans="33:33">
      <c r="AG9648" s="3"/>
    </row>
    <row r="9649" s="7" customFormat="1" spans="33:33">
      <c r="AG9649" s="3"/>
    </row>
    <row r="9650" s="7" customFormat="1" spans="33:33">
      <c r="AG9650" s="3"/>
    </row>
    <row r="9651" s="7" customFormat="1" spans="33:33">
      <c r="AG9651" s="3"/>
    </row>
    <row r="9652" s="7" customFormat="1" spans="33:33">
      <c r="AG9652" s="3"/>
    </row>
    <row r="9653" s="7" customFormat="1" spans="33:33">
      <c r="AG9653" s="3"/>
    </row>
    <row r="9654" s="7" customFormat="1" spans="33:33">
      <c r="AG9654" s="3"/>
    </row>
    <row r="9655" s="7" customFormat="1" spans="33:33">
      <c r="AG9655" s="3"/>
    </row>
    <row r="9656" s="7" customFormat="1" spans="33:33">
      <c r="AG9656" s="3"/>
    </row>
    <row r="9657" s="7" customFormat="1" spans="33:33">
      <c r="AG9657" s="3"/>
    </row>
    <row r="9658" s="7" customFormat="1" spans="33:33">
      <c r="AG9658" s="3"/>
    </row>
    <row r="9659" s="7" customFormat="1" spans="33:33">
      <c r="AG9659" s="3"/>
    </row>
    <row r="9660" s="7" customFormat="1" spans="33:33">
      <c r="AG9660" s="3"/>
    </row>
    <row r="9661" s="7" customFormat="1" spans="33:33">
      <c r="AG9661" s="3"/>
    </row>
    <row r="9662" s="7" customFormat="1" spans="33:33">
      <c r="AG9662" s="3"/>
    </row>
    <row r="9663" s="7" customFormat="1" spans="33:33">
      <c r="AG9663" s="3"/>
    </row>
    <row r="9664" s="7" customFormat="1" spans="33:33">
      <c r="AG9664" s="3"/>
    </row>
    <row r="9665" s="7" customFormat="1" spans="33:33">
      <c r="AG9665" s="3"/>
    </row>
    <row r="9666" s="7" customFormat="1" spans="33:33">
      <c r="AG9666" s="3"/>
    </row>
    <row r="9667" s="7" customFormat="1" spans="33:33">
      <c r="AG9667" s="3"/>
    </row>
    <row r="9668" s="7" customFormat="1" spans="33:33">
      <c r="AG9668" s="3"/>
    </row>
    <row r="9669" s="7" customFormat="1" spans="33:33">
      <c r="AG9669" s="3"/>
    </row>
    <row r="9670" s="7" customFormat="1" spans="33:33">
      <c r="AG9670" s="3"/>
    </row>
    <row r="9671" s="7" customFormat="1" spans="33:33">
      <c r="AG9671" s="3"/>
    </row>
    <row r="9672" s="7" customFormat="1" spans="33:33">
      <c r="AG9672" s="3"/>
    </row>
    <row r="9673" s="7" customFormat="1" spans="33:33">
      <c r="AG9673" s="3"/>
    </row>
    <row r="9674" s="7" customFormat="1" spans="33:33">
      <c r="AG9674" s="3"/>
    </row>
    <row r="9675" s="7" customFormat="1" spans="33:33">
      <c r="AG9675" s="3"/>
    </row>
    <row r="9676" s="7" customFormat="1" spans="33:33">
      <c r="AG9676" s="3"/>
    </row>
    <row r="9677" s="7" customFormat="1" spans="33:33">
      <c r="AG9677" s="3"/>
    </row>
    <row r="9678" s="7" customFormat="1" spans="33:33">
      <c r="AG9678" s="3"/>
    </row>
    <row r="9679" s="7" customFormat="1" spans="33:33">
      <c r="AG9679" s="3"/>
    </row>
    <row r="9680" s="7" customFormat="1" spans="33:33">
      <c r="AG9680" s="3"/>
    </row>
    <row r="9681" s="7" customFormat="1" spans="33:33">
      <c r="AG9681" s="3"/>
    </row>
    <row r="9682" s="7" customFormat="1" spans="33:33">
      <c r="AG9682" s="3"/>
    </row>
    <row r="9683" s="7" customFormat="1" spans="33:33">
      <c r="AG9683" s="3"/>
    </row>
    <row r="9684" s="7" customFormat="1" spans="33:33">
      <c r="AG9684" s="3"/>
    </row>
    <row r="9685" s="7" customFormat="1" spans="33:33">
      <c r="AG9685" s="3"/>
    </row>
    <row r="9686" s="7" customFormat="1" spans="33:33">
      <c r="AG9686" s="3"/>
    </row>
    <row r="9687" s="7" customFormat="1" spans="33:33">
      <c r="AG9687" s="3"/>
    </row>
    <row r="9688" s="7" customFormat="1" spans="33:33">
      <c r="AG9688" s="3"/>
    </row>
    <row r="9689" s="7" customFormat="1" spans="33:33">
      <c r="AG9689" s="3"/>
    </row>
    <row r="9690" s="7" customFormat="1" spans="33:33">
      <c r="AG9690" s="3"/>
    </row>
    <row r="9691" s="7" customFormat="1" spans="33:33">
      <c r="AG9691" s="3"/>
    </row>
    <row r="9692" s="7" customFormat="1" spans="33:33">
      <c r="AG9692" s="3"/>
    </row>
    <row r="9693" s="7" customFormat="1" spans="33:33">
      <c r="AG9693" s="3"/>
    </row>
    <row r="9694" s="7" customFormat="1" spans="33:33">
      <c r="AG9694" s="3"/>
    </row>
    <row r="9695" s="7" customFormat="1" spans="33:33">
      <c r="AG9695" s="3"/>
    </row>
    <row r="9696" s="7" customFormat="1" spans="33:33">
      <c r="AG9696" s="3"/>
    </row>
    <row r="9697" s="7" customFormat="1" spans="33:33">
      <c r="AG9697" s="3"/>
    </row>
    <row r="9698" s="7" customFormat="1" spans="33:33">
      <c r="AG9698" s="3"/>
    </row>
    <row r="9699" s="7" customFormat="1" spans="33:33">
      <c r="AG9699" s="3"/>
    </row>
    <row r="9700" s="7" customFormat="1" spans="33:33">
      <c r="AG9700" s="3"/>
    </row>
    <row r="9701" s="7" customFormat="1" spans="33:33">
      <c r="AG9701" s="3"/>
    </row>
    <row r="9702" s="7" customFormat="1" spans="33:33">
      <c r="AG9702" s="3"/>
    </row>
    <row r="9703" s="7" customFormat="1" spans="33:33">
      <c r="AG9703" s="3"/>
    </row>
    <row r="9704" s="7" customFormat="1" spans="33:33">
      <c r="AG9704" s="3"/>
    </row>
    <row r="9705" s="7" customFormat="1" spans="33:33">
      <c r="AG9705" s="3"/>
    </row>
    <row r="9706" s="7" customFormat="1" spans="33:33">
      <c r="AG9706" s="3"/>
    </row>
    <row r="9707" s="7" customFormat="1" spans="33:33">
      <c r="AG9707" s="3"/>
    </row>
    <row r="9708" s="7" customFormat="1" spans="33:33">
      <c r="AG9708" s="3"/>
    </row>
    <row r="9709" s="7" customFormat="1" spans="33:33">
      <c r="AG9709" s="3"/>
    </row>
    <row r="9710" s="7" customFormat="1" spans="33:33">
      <c r="AG9710" s="3"/>
    </row>
    <row r="9711" s="7" customFormat="1" spans="33:33">
      <c r="AG9711" s="3"/>
    </row>
    <row r="9712" s="7" customFormat="1" spans="33:33">
      <c r="AG9712" s="3"/>
    </row>
    <row r="9713" s="7" customFormat="1" spans="33:33">
      <c r="AG9713" s="3"/>
    </row>
    <row r="9714" s="7" customFormat="1" spans="33:33">
      <c r="AG9714" s="3"/>
    </row>
    <row r="9715" s="7" customFormat="1" spans="33:33">
      <c r="AG9715" s="3"/>
    </row>
    <row r="9716" s="7" customFormat="1" spans="33:33">
      <c r="AG9716" s="3"/>
    </row>
    <row r="9717" s="7" customFormat="1" spans="33:33">
      <c r="AG9717" s="3"/>
    </row>
    <row r="9718" s="7" customFormat="1" spans="33:33">
      <c r="AG9718" s="3"/>
    </row>
    <row r="9719" s="7" customFormat="1" spans="33:33">
      <c r="AG9719" s="3"/>
    </row>
    <row r="9720" s="7" customFormat="1" spans="33:33">
      <c r="AG9720" s="3"/>
    </row>
    <row r="9721" s="7" customFormat="1" spans="33:33">
      <c r="AG9721" s="3"/>
    </row>
    <row r="9722" s="7" customFormat="1" spans="33:33">
      <c r="AG9722" s="3"/>
    </row>
    <row r="9723" s="7" customFormat="1" spans="33:33">
      <c r="AG9723" s="3"/>
    </row>
    <row r="9724" s="7" customFormat="1" spans="33:33">
      <c r="AG9724" s="3"/>
    </row>
    <row r="9725" s="7" customFormat="1" spans="33:33">
      <c r="AG9725" s="3"/>
    </row>
    <row r="9726" s="7" customFormat="1" spans="33:33">
      <c r="AG9726" s="3"/>
    </row>
    <row r="9727" s="7" customFormat="1" spans="33:33">
      <c r="AG9727" s="3"/>
    </row>
    <row r="9728" s="7" customFormat="1" spans="33:33">
      <c r="AG9728" s="3"/>
    </row>
    <row r="9729" s="7" customFormat="1" spans="33:33">
      <c r="AG9729" s="3"/>
    </row>
    <row r="9730" s="7" customFormat="1" spans="33:33">
      <c r="AG9730" s="3"/>
    </row>
    <row r="9731" s="7" customFormat="1" spans="33:33">
      <c r="AG9731" s="3"/>
    </row>
    <row r="9732" s="7" customFormat="1" spans="33:33">
      <c r="AG9732" s="3"/>
    </row>
    <row r="9733" s="7" customFormat="1" spans="33:33">
      <c r="AG9733" s="3"/>
    </row>
    <row r="9734" s="7" customFormat="1" spans="33:33">
      <c r="AG9734" s="3"/>
    </row>
    <row r="9735" s="7" customFormat="1" spans="33:33">
      <c r="AG9735" s="3"/>
    </row>
    <row r="9736" s="7" customFormat="1" spans="33:33">
      <c r="AG9736" s="3"/>
    </row>
    <row r="9737" s="7" customFormat="1" spans="33:33">
      <c r="AG9737" s="3"/>
    </row>
    <row r="9738" s="7" customFormat="1" spans="33:33">
      <c r="AG9738" s="3"/>
    </row>
    <row r="9739" s="7" customFormat="1" spans="33:33">
      <c r="AG9739" s="3"/>
    </row>
    <row r="9740" s="7" customFormat="1" spans="33:33">
      <c r="AG9740" s="3"/>
    </row>
    <row r="9741" s="7" customFormat="1" spans="33:33">
      <c r="AG9741" s="3"/>
    </row>
    <row r="9742" s="7" customFormat="1" spans="33:33">
      <c r="AG9742" s="3"/>
    </row>
    <row r="9743" s="7" customFormat="1" spans="33:33">
      <c r="AG9743" s="3"/>
    </row>
    <row r="9744" s="7" customFormat="1" spans="33:33">
      <c r="AG9744" s="3"/>
    </row>
    <row r="9745" s="7" customFormat="1" spans="33:33">
      <c r="AG9745" s="3"/>
    </row>
    <row r="9746" s="7" customFormat="1" spans="33:33">
      <c r="AG9746" s="3"/>
    </row>
    <row r="9747" s="7" customFormat="1" spans="33:33">
      <c r="AG9747" s="3"/>
    </row>
    <row r="9748" s="7" customFormat="1" spans="33:33">
      <c r="AG9748" s="3"/>
    </row>
    <row r="9749" s="7" customFormat="1" spans="33:33">
      <c r="AG9749" s="3"/>
    </row>
    <row r="9750" s="7" customFormat="1" spans="33:33">
      <c r="AG9750" s="3"/>
    </row>
    <row r="9751" s="7" customFormat="1" spans="33:33">
      <c r="AG9751" s="3"/>
    </row>
    <row r="9752" s="7" customFormat="1" spans="33:33">
      <c r="AG9752" s="3"/>
    </row>
    <row r="9753" s="7" customFormat="1" spans="33:33">
      <c r="AG9753" s="3"/>
    </row>
    <row r="9754" s="7" customFormat="1" spans="33:33">
      <c r="AG9754" s="3"/>
    </row>
    <row r="9755" s="7" customFormat="1" spans="33:33">
      <c r="AG9755" s="3"/>
    </row>
    <row r="9756" s="7" customFormat="1" spans="33:33">
      <c r="AG9756" s="3"/>
    </row>
    <row r="9757" s="7" customFormat="1" spans="33:33">
      <c r="AG9757" s="3"/>
    </row>
    <row r="9758" s="7" customFormat="1" spans="33:33">
      <c r="AG9758" s="3"/>
    </row>
    <row r="9759" s="7" customFormat="1" spans="33:33">
      <c r="AG9759" s="3"/>
    </row>
    <row r="9760" s="7" customFormat="1" spans="33:33">
      <c r="AG9760" s="3"/>
    </row>
    <row r="9761" s="7" customFormat="1" spans="33:33">
      <c r="AG9761" s="3"/>
    </row>
    <row r="9762" s="7" customFormat="1" spans="33:33">
      <c r="AG9762" s="3"/>
    </row>
    <row r="9763" s="7" customFormat="1" spans="33:33">
      <c r="AG9763" s="3"/>
    </row>
    <row r="9764" s="7" customFormat="1" spans="33:33">
      <c r="AG9764" s="3"/>
    </row>
    <row r="9765" s="7" customFormat="1" spans="33:33">
      <c r="AG9765" s="3"/>
    </row>
    <row r="9766" s="7" customFormat="1" spans="33:33">
      <c r="AG9766" s="3"/>
    </row>
    <row r="9767" s="7" customFormat="1" spans="33:33">
      <c r="AG9767" s="3"/>
    </row>
    <row r="9768" s="7" customFormat="1" spans="33:33">
      <c r="AG9768" s="3"/>
    </row>
    <row r="9769" s="7" customFormat="1" spans="33:33">
      <c r="AG9769" s="3"/>
    </row>
    <row r="9770" s="7" customFormat="1" spans="33:33">
      <c r="AG9770" s="3"/>
    </row>
    <row r="9771" s="7" customFormat="1" spans="33:33">
      <c r="AG9771" s="3"/>
    </row>
    <row r="9772" s="7" customFormat="1" spans="33:33">
      <c r="AG9772" s="3"/>
    </row>
    <row r="9773" s="7" customFormat="1" spans="33:33">
      <c r="AG9773" s="3"/>
    </row>
    <row r="9774" s="7" customFormat="1" spans="33:33">
      <c r="AG9774" s="3"/>
    </row>
    <row r="9775" s="7" customFormat="1" spans="33:33">
      <c r="AG9775" s="3"/>
    </row>
    <row r="9776" s="7" customFormat="1" spans="33:33">
      <c r="AG9776" s="3"/>
    </row>
    <row r="9777" s="7" customFormat="1" spans="33:33">
      <c r="AG9777" s="3"/>
    </row>
    <row r="9778" s="7" customFormat="1" spans="33:33">
      <c r="AG9778" s="3"/>
    </row>
    <row r="9779" s="7" customFormat="1" spans="33:33">
      <c r="AG9779" s="3"/>
    </row>
    <row r="9780" s="7" customFormat="1" spans="33:33">
      <c r="AG9780" s="3"/>
    </row>
    <row r="9781" s="7" customFormat="1" spans="33:33">
      <c r="AG9781" s="3"/>
    </row>
    <row r="9782" s="7" customFormat="1" spans="33:33">
      <c r="AG9782" s="3"/>
    </row>
    <row r="9783" s="7" customFormat="1" spans="33:33">
      <c r="AG9783" s="3"/>
    </row>
    <row r="9784" s="7" customFormat="1" spans="33:33">
      <c r="AG9784" s="3"/>
    </row>
    <row r="9785" s="7" customFormat="1" spans="33:33">
      <c r="AG9785" s="3"/>
    </row>
    <row r="9786" s="7" customFormat="1" spans="33:33">
      <c r="AG9786" s="3"/>
    </row>
    <row r="9787" s="7" customFormat="1" spans="33:33">
      <c r="AG9787" s="3"/>
    </row>
    <row r="9788" s="7" customFormat="1" spans="33:33">
      <c r="AG9788" s="3"/>
    </row>
    <row r="9789" s="7" customFormat="1" spans="33:33">
      <c r="AG9789" s="3"/>
    </row>
    <row r="9790" s="7" customFormat="1" spans="33:33">
      <c r="AG9790" s="3"/>
    </row>
    <row r="9791" s="7" customFormat="1" spans="33:33">
      <c r="AG9791" s="3"/>
    </row>
    <row r="9792" s="7" customFormat="1" spans="33:33">
      <c r="AG9792" s="3"/>
    </row>
    <row r="9793" s="7" customFormat="1" spans="33:33">
      <c r="AG9793" s="3"/>
    </row>
    <row r="9794" s="7" customFormat="1" spans="33:33">
      <c r="AG9794" s="3"/>
    </row>
    <row r="9795" s="7" customFormat="1" spans="33:33">
      <c r="AG9795" s="3"/>
    </row>
    <row r="9796" s="7" customFormat="1" spans="33:33">
      <c r="AG9796" s="3"/>
    </row>
    <row r="9797" s="7" customFormat="1" spans="33:33">
      <c r="AG9797" s="3"/>
    </row>
    <row r="9798" s="7" customFormat="1" spans="33:33">
      <c r="AG9798" s="3"/>
    </row>
    <row r="9799" s="7" customFormat="1" spans="33:33">
      <c r="AG9799" s="3"/>
    </row>
    <row r="9800" s="7" customFormat="1" spans="33:33">
      <c r="AG9800" s="3"/>
    </row>
    <row r="9801" s="7" customFormat="1" spans="33:33">
      <c r="AG9801" s="3"/>
    </row>
    <row r="9802" s="7" customFormat="1" spans="33:33">
      <c r="AG9802" s="3"/>
    </row>
    <row r="9803" s="7" customFormat="1" spans="33:33">
      <c r="AG9803" s="3"/>
    </row>
    <row r="9804" s="7" customFormat="1" spans="33:33">
      <c r="AG9804" s="3"/>
    </row>
    <row r="9805" s="7" customFormat="1" spans="33:33">
      <c r="AG9805" s="3"/>
    </row>
    <row r="9806" s="7" customFormat="1" spans="33:33">
      <c r="AG9806" s="3"/>
    </row>
    <row r="9807" s="7" customFormat="1" spans="33:33">
      <c r="AG9807" s="3"/>
    </row>
    <row r="9808" s="7" customFormat="1" spans="33:33">
      <c r="AG9808" s="3"/>
    </row>
    <row r="9809" s="7" customFormat="1" spans="33:33">
      <c r="AG9809" s="3"/>
    </row>
    <row r="9810" s="7" customFormat="1" spans="33:33">
      <c r="AG9810" s="3"/>
    </row>
    <row r="9811" s="7" customFormat="1" spans="33:33">
      <c r="AG9811" s="3"/>
    </row>
    <row r="9812" s="7" customFormat="1" spans="33:33">
      <c r="AG9812" s="3"/>
    </row>
    <row r="9813" s="7" customFormat="1" spans="33:33">
      <c r="AG9813" s="3"/>
    </row>
    <row r="9814" s="7" customFormat="1" spans="33:33">
      <c r="AG9814" s="3"/>
    </row>
    <row r="9815" s="7" customFormat="1" spans="33:33">
      <c r="AG9815" s="3"/>
    </row>
    <row r="9816" s="7" customFormat="1" spans="33:33">
      <c r="AG9816" s="3"/>
    </row>
    <row r="9817" s="7" customFormat="1" spans="33:33">
      <c r="AG9817" s="3"/>
    </row>
    <row r="9818" s="7" customFormat="1" spans="33:33">
      <c r="AG9818" s="3"/>
    </row>
    <row r="9819" s="7" customFormat="1" spans="33:33">
      <c r="AG9819" s="3"/>
    </row>
    <row r="9820" s="7" customFormat="1" spans="33:33">
      <c r="AG9820" s="3"/>
    </row>
    <row r="9821" s="7" customFormat="1" spans="33:33">
      <c r="AG9821" s="3"/>
    </row>
    <row r="9822" s="7" customFormat="1" spans="33:33">
      <c r="AG9822" s="3"/>
    </row>
    <row r="9823" s="7" customFormat="1" spans="33:33">
      <c r="AG9823" s="3"/>
    </row>
    <row r="9824" s="7" customFormat="1" spans="33:33">
      <c r="AG9824" s="3"/>
    </row>
    <row r="9825" s="7" customFormat="1" spans="33:33">
      <c r="AG9825" s="3"/>
    </row>
    <row r="9826" s="7" customFormat="1" spans="33:33">
      <c r="AG9826" s="3"/>
    </row>
    <row r="9827" s="7" customFormat="1" spans="33:33">
      <c r="AG9827" s="3"/>
    </row>
    <row r="9828" s="7" customFormat="1" spans="33:33">
      <c r="AG9828" s="3"/>
    </row>
    <row r="9829" s="7" customFormat="1" spans="33:33">
      <c r="AG9829" s="3"/>
    </row>
    <row r="9830" s="7" customFormat="1" spans="33:33">
      <c r="AG9830" s="3"/>
    </row>
    <row r="9831" s="7" customFormat="1" spans="33:33">
      <c r="AG9831" s="3"/>
    </row>
    <row r="9832" s="7" customFormat="1" spans="33:33">
      <c r="AG9832" s="3"/>
    </row>
    <row r="9833" s="7" customFormat="1" spans="33:33">
      <c r="AG9833" s="3"/>
    </row>
    <row r="9834" s="7" customFormat="1" spans="33:33">
      <c r="AG9834" s="3"/>
    </row>
    <row r="9835" s="7" customFormat="1" spans="33:33">
      <c r="AG9835" s="3"/>
    </row>
    <row r="9836" s="7" customFormat="1" spans="33:33">
      <c r="AG9836" s="3"/>
    </row>
    <row r="9837" s="7" customFormat="1" spans="33:33">
      <c r="AG9837" s="3"/>
    </row>
    <row r="9838" s="7" customFormat="1" spans="33:33">
      <c r="AG9838" s="3"/>
    </row>
    <row r="9839" s="7" customFormat="1" spans="33:33">
      <c r="AG9839" s="3"/>
    </row>
    <row r="9840" s="7" customFormat="1" spans="33:33">
      <c r="AG9840" s="3"/>
    </row>
    <row r="9841" s="7" customFormat="1" spans="33:33">
      <c r="AG9841" s="3"/>
    </row>
    <row r="9842" s="7" customFormat="1" spans="33:33">
      <c r="AG9842" s="3"/>
    </row>
    <row r="9843" s="7" customFormat="1" spans="33:33">
      <c r="AG9843" s="3"/>
    </row>
    <row r="9844" s="7" customFormat="1" spans="33:33">
      <c r="AG9844" s="3"/>
    </row>
    <row r="9845" s="7" customFormat="1" spans="33:33">
      <c r="AG9845" s="3"/>
    </row>
    <row r="9846" s="7" customFormat="1" spans="33:33">
      <c r="AG9846" s="3"/>
    </row>
    <row r="9847" s="7" customFormat="1" spans="33:33">
      <c r="AG9847" s="3"/>
    </row>
    <row r="9848" s="7" customFormat="1" spans="33:33">
      <c r="AG9848" s="3"/>
    </row>
    <row r="9849" s="7" customFormat="1" spans="33:33">
      <c r="AG9849" s="3"/>
    </row>
    <row r="9850" s="7" customFormat="1" spans="33:33">
      <c r="AG9850" s="3"/>
    </row>
    <row r="9851" s="7" customFormat="1" spans="33:33">
      <c r="AG9851" s="3"/>
    </row>
    <row r="9852" s="7" customFormat="1" spans="33:33">
      <c r="AG9852" s="3"/>
    </row>
    <row r="9853" s="7" customFormat="1" spans="33:33">
      <c r="AG9853" s="3"/>
    </row>
    <row r="9854" s="7" customFormat="1" spans="33:33">
      <c r="AG9854" s="3"/>
    </row>
    <row r="9855" s="7" customFormat="1" spans="33:33">
      <c r="AG9855" s="3"/>
    </row>
    <row r="9856" s="7" customFormat="1" spans="33:33">
      <c r="AG9856" s="3"/>
    </row>
    <row r="9857" s="7" customFormat="1" spans="33:33">
      <c r="AG9857" s="3"/>
    </row>
    <row r="9858" s="7" customFormat="1" spans="33:33">
      <c r="AG9858" s="3"/>
    </row>
    <row r="9859" s="7" customFormat="1" spans="33:33">
      <c r="AG9859" s="3"/>
    </row>
    <row r="9860" s="7" customFormat="1" spans="33:33">
      <c r="AG9860" s="3"/>
    </row>
    <row r="9861" s="7" customFormat="1" spans="33:33">
      <c r="AG9861" s="3"/>
    </row>
    <row r="9862" s="7" customFormat="1" spans="33:33">
      <c r="AG9862" s="3"/>
    </row>
    <row r="9863" s="7" customFormat="1" spans="33:33">
      <c r="AG9863" s="3"/>
    </row>
    <row r="9864" s="7" customFormat="1" spans="33:33">
      <c r="AG9864" s="3"/>
    </row>
    <row r="9865" s="7" customFormat="1" spans="33:33">
      <c r="AG9865" s="3"/>
    </row>
    <row r="9866" s="7" customFormat="1" spans="33:33">
      <c r="AG9866" s="3"/>
    </row>
    <row r="9867" s="7" customFormat="1" spans="33:33">
      <c r="AG9867" s="3"/>
    </row>
    <row r="9868" s="7" customFormat="1" spans="33:33">
      <c r="AG9868" s="3"/>
    </row>
    <row r="9869" s="7" customFormat="1" spans="33:33">
      <c r="AG9869" s="3"/>
    </row>
    <row r="9870" s="7" customFormat="1" spans="33:33">
      <c r="AG9870" s="3"/>
    </row>
    <row r="9871" s="7" customFormat="1" spans="33:33">
      <c r="AG9871" s="3"/>
    </row>
    <row r="9872" s="7" customFormat="1" spans="33:33">
      <c r="AG9872" s="3"/>
    </row>
    <row r="9873" s="7" customFormat="1" spans="33:33">
      <c r="AG9873" s="3"/>
    </row>
    <row r="9874" s="7" customFormat="1" spans="33:33">
      <c r="AG9874" s="3"/>
    </row>
    <row r="9875" s="7" customFormat="1" spans="33:33">
      <c r="AG9875" s="3"/>
    </row>
    <row r="9876" s="7" customFormat="1" spans="33:33">
      <c r="AG9876" s="3"/>
    </row>
    <row r="9877" s="7" customFormat="1" spans="33:33">
      <c r="AG9877" s="3"/>
    </row>
    <row r="9878" s="7" customFormat="1" spans="33:33">
      <c r="AG9878" s="3"/>
    </row>
    <row r="9879" s="7" customFormat="1" spans="33:33">
      <c r="AG9879" s="3"/>
    </row>
    <row r="9880" s="7" customFormat="1" spans="33:33">
      <c r="AG9880" s="3"/>
    </row>
    <row r="9881" s="7" customFormat="1" spans="33:33">
      <c r="AG9881" s="3"/>
    </row>
    <row r="9882" s="7" customFormat="1" spans="33:33">
      <c r="AG9882" s="3"/>
    </row>
    <row r="9883" s="7" customFormat="1" spans="33:33">
      <c r="AG9883" s="3"/>
    </row>
    <row r="9884" s="7" customFormat="1" spans="33:33">
      <c r="AG9884" s="3"/>
    </row>
    <row r="9885" s="7" customFormat="1" spans="33:33">
      <c r="AG9885" s="3"/>
    </row>
    <row r="9886" s="7" customFormat="1" spans="33:33">
      <c r="AG9886" s="3"/>
    </row>
    <row r="9887" s="7" customFormat="1" spans="33:33">
      <c r="AG9887" s="3"/>
    </row>
    <row r="9888" s="7" customFormat="1" spans="33:33">
      <c r="AG9888" s="3"/>
    </row>
    <row r="9889" s="7" customFormat="1" spans="33:33">
      <c r="AG9889" s="3"/>
    </row>
    <row r="9890" s="7" customFormat="1" spans="33:33">
      <c r="AG9890" s="3"/>
    </row>
    <row r="9891" s="7" customFormat="1" spans="33:33">
      <c r="AG9891" s="3"/>
    </row>
    <row r="9892" s="7" customFormat="1" spans="33:33">
      <c r="AG9892" s="3"/>
    </row>
    <row r="9893" s="7" customFormat="1" spans="33:33">
      <c r="AG9893" s="3"/>
    </row>
    <row r="9894" s="7" customFormat="1" spans="33:33">
      <c r="AG9894" s="3"/>
    </row>
    <row r="9895" s="7" customFormat="1" spans="33:33">
      <c r="AG9895" s="3"/>
    </row>
    <row r="9896" s="7" customFormat="1" spans="33:33">
      <c r="AG9896" s="3"/>
    </row>
    <row r="9897" s="7" customFormat="1" spans="33:33">
      <c r="AG9897" s="3"/>
    </row>
    <row r="9898" s="7" customFormat="1" spans="33:33">
      <c r="AG9898" s="3"/>
    </row>
    <row r="9899" s="7" customFormat="1" spans="33:33">
      <c r="AG9899" s="3"/>
    </row>
    <row r="9900" s="7" customFormat="1" spans="33:33">
      <c r="AG9900" s="3"/>
    </row>
    <row r="9901" s="7" customFormat="1" spans="33:33">
      <c r="AG9901" s="3"/>
    </row>
    <row r="9902" s="7" customFormat="1" spans="33:33">
      <c r="AG9902" s="3"/>
    </row>
    <row r="9903" s="7" customFormat="1" spans="33:33">
      <c r="AG9903" s="3"/>
    </row>
    <row r="9904" s="7" customFormat="1" spans="33:33">
      <c r="AG9904" s="3"/>
    </row>
    <row r="9905" s="7" customFormat="1" spans="33:33">
      <c r="AG9905" s="3"/>
    </row>
    <row r="9906" s="7" customFormat="1" spans="33:33">
      <c r="AG9906" s="3"/>
    </row>
    <row r="9907" s="7" customFormat="1" spans="33:33">
      <c r="AG9907" s="3"/>
    </row>
    <row r="9908" s="7" customFormat="1" spans="33:33">
      <c r="AG9908" s="3"/>
    </row>
    <row r="9909" s="7" customFormat="1" spans="33:33">
      <c r="AG9909" s="3"/>
    </row>
    <row r="9910" s="7" customFormat="1" spans="33:33">
      <c r="AG9910" s="3"/>
    </row>
    <row r="9911" s="7" customFormat="1" spans="33:33">
      <c r="AG9911" s="3"/>
    </row>
    <row r="9912" s="7" customFormat="1" spans="33:33">
      <c r="AG9912" s="3"/>
    </row>
    <row r="9913" s="7" customFormat="1" spans="33:33">
      <c r="AG9913" s="3"/>
    </row>
    <row r="9914" s="7" customFormat="1" spans="33:33">
      <c r="AG9914" s="3"/>
    </row>
    <row r="9915" s="7" customFormat="1" spans="33:33">
      <c r="AG9915" s="3"/>
    </row>
    <row r="9916" s="7" customFormat="1" spans="33:33">
      <c r="AG9916" s="3"/>
    </row>
    <row r="9917" s="7" customFormat="1" spans="33:33">
      <c r="AG9917" s="3"/>
    </row>
    <row r="9918" s="7" customFormat="1" spans="33:33">
      <c r="AG9918" s="3"/>
    </row>
    <row r="9919" s="7" customFormat="1" spans="33:33">
      <c r="AG9919" s="3"/>
    </row>
    <row r="9920" s="7" customFormat="1" spans="33:33">
      <c r="AG9920" s="3"/>
    </row>
    <row r="9921" s="7" customFormat="1" spans="33:33">
      <c r="AG9921" s="3"/>
    </row>
    <row r="9922" s="7" customFormat="1" spans="33:33">
      <c r="AG9922" s="3"/>
    </row>
    <row r="9923" s="7" customFormat="1" spans="33:33">
      <c r="AG9923" s="3"/>
    </row>
    <row r="9924" s="7" customFormat="1" spans="33:33">
      <c r="AG9924" s="3"/>
    </row>
    <row r="9925" s="7" customFormat="1" spans="33:33">
      <c r="AG9925" s="3"/>
    </row>
    <row r="9926" s="7" customFormat="1" spans="33:33">
      <c r="AG9926" s="3"/>
    </row>
    <row r="9927" s="7" customFormat="1" spans="33:33">
      <c r="AG9927" s="3"/>
    </row>
    <row r="9928" s="7" customFormat="1" spans="33:33">
      <c r="AG9928" s="3"/>
    </row>
    <row r="9929" s="7" customFormat="1" spans="33:33">
      <c r="AG9929" s="3"/>
    </row>
    <row r="9930" s="7" customFormat="1" spans="33:33">
      <c r="AG9930" s="3"/>
    </row>
    <row r="9931" s="7" customFormat="1" spans="33:33">
      <c r="AG9931" s="3"/>
    </row>
    <row r="9932" s="7" customFormat="1" spans="33:33">
      <c r="AG9932" s="3"/>
    </row>
    <row r="9933" s="7" customFormat="1" spans="33:33">
      <c r="AG9933" s="3"/>
    </row>
    <row r="9934" s="7" customFormat="1" spans="33:33">
      <c r="AG9934" s="3"/>
    </row>
    <row r="9935" s="7" customFormat="1" spans="33:33">
      <c r="AG9935" s="3"/>
    </row>
    <row r="9936" s="7" customFormat="1" spans="33:33">
      <c r="AG9936" s="3"/>
    </row>
    <row r="9937" s="7" customFormat="1" spans="33:33">
      <c r="AG9937" s="3"/>
    </row>
    <row r="9938" s="7" customFormat="1" spans="33:33">
      <c r="AG9938" s="3"/>
    </row>
    <row r="9939" s="7" customFormat="1" spans="33:33">
      <c r="AG9939" s="3"/>
    </row>
    <row r="9940" s="7" customFormat="1" spans="33:33">
      <c r="AG9940" s="3"/>
    </row>
    <row r="9941" s="7" customFormat="1" spans="33:33">
      <c r="AG9941" s="3"/>
    </row>
    <row r="9942" s="7" customFormat="1" spans="33:33">
      <c r="AG9942" s="3"/>
    </row>
    <row r="9943" s="7" customFormat="1" spans="33:33">
      <c r="AG9943" s="3"/>
    </row>
    <row r="9944" s="7" customFormat="1" spans="33:33">
      <c r="AG9944" s="3"/>
    </row>
    <row r="9945" s="7" customFormat="1" spans="33:33">
      <c r="AG9945" s="3"/>
    </row>
    <row r="9946" s="7" customFormat="1" spans="33:33">
      <c r="AG9946" s="3"/>
    </row>
    <row r="9947" s="7" customFormat="1" spans="33:33">
      <c r="AG9947" s="3"/>
    </row>
    <row r="9948" s="7" customFormat="1" spans="33:33">
      <c r="AG9948" s="3"/>
    </row>
    <row r="9949" s="7" customFormat="1" spans="33:33">
      <c r="AG9949" s="3"/>
    </row>
    <row r="9950" s="7" customFormat="1" spans="33:33">
      <c r="AG9950" s="3"/>
    </row>
    <row r="9951" s="7" customFormat="1" spans="33:33">
      <c r="AG9951" s="3"/>
    </row>
    <row r="9952" s="7" customFormat="1" spans="33:33">
      <c r="AG9952" s="3"/>
    </row>
    <row r="9953" s="7" customFormat="1" spans="33:33">
      <c r="AG9953" s="3"/>
    </row>
    <row r="9954" s="7" customFormat="1" spans="33:33">
      <c r="AG9954" s="3"/>
    </row>
    <row r="9955" s="7" customFormat="1" spans="33:33">
      <c r="AG9955" s="3"/>
    </row>
    <row r="9956" s="7" customFormat="1" spans="33:33">
      <c r="AG9956" s="3"/>
    </row>
    <row r="9957" s="7" customFormat="1" spans="33:33">
      <c r="AG9957" s="3"/>
    </row>
    <row r="9958" s="7" customFormat="1" spans="33:33">
      <c r="AG9958" s="3"/>
    </row>
    <row r="9959" s="7" customFormat="1" spans="33:33">
      <c r="AG9959" s="3"/>
    </row>
    <row r="9960" s="7" customFormat="1" spans="33:33">
      <c r="AG9960" s="3"/>
    </row>
    <row r="9961" s="7" customFormat="1" spans="33:33">
      <c r="AG9961" s="3"/>
    </row>
    <row r="9962" s="7" customFormat="1" spans="33:33">
      <c r="AG9962" s="3"/>
    </row>
    <row r="9963" s="7" customFormat="1" spans="33:33">
      <c r="AG9963" s="3"/>
    </row>
    <row r="9964" s="7" customFormat="1" spans="33:33">
      <c r="AG9964" s="3"/>
    </row>
    <row r="9965" s="7" customFormat="1" spans="33:33">
      <c r="AG9965" s="3"/>
    </row>
    <row r="9966" s="7" customFormat="1" spans="33:33">
      <c r="AG9966" s="3"/>
    </row>
    <row r="9967" s="7" customFormat="1" spans="33:33">
      <c r="AG9967" s="3"/>
    </row>
    <row r="9968" s="7" customFormat="1" spans="33:33">
      <c r="AG9968" s="3"/>
    </row>
    <row r="9969" s="7" customFormat="1" spans="33:33">
      <c r="AG9969" s="3"/>
    </row>
    <row r="9970" s="7" customFormat="1" spans="33:33">
      <c r="AG9970" s="3"/>
    </row>
    <row r="9971" s="7" customFormat="1" spans="33:33">
      <c r="AG9971" s="3"/>
    </row>
    <row r="9972" s="7" customFormat="1" spans="33:33">
      <c r="AG9972" s="3"/>
    </row>
    <row r="9973" s="7" customFormat="1" spans="33:33">
      <c r="AG9973" s="3"/>
    </row>
    <row r="9974" s="7" customFormat="1" spans="33:33">
      <c r="AG9974" s="3"/>
    </row>
    <row r="9975" s="7" customFormat="1" spans="33:33">
      <c r="AG9975" s="3"/>
    </row>
    <row r="9976" s="7" customFormat="1" spans="33:33">
      <c r="AG9976" s="3"/>
    </row>
    <row r="9977" s="7" customFormat="1" spans="33:33">
      <c r="AG9977" s="3"/>
    </row>
    <row r="9978" s="7" customFormat="1" spans="33:33">
      <c r="AG9978" s="3"/>
    </row>
    <row r="9979" s="7" customFormat="1" spans="33:33">
      <c r="AG9979" s="3"/>
    </row>
    <row r="9980" s="7" customFormat="1" spans="33:33">
      <c r="AG9980" s="3"/>
    </row>
    <row r="9981" s="7" customFormat="1" spans="33:33">
      <c r="AG9981" s="3"/>
    </row>
    <row r="9982" s="7" customFormat="1" spans="33:33">
      <c r="AG9982" s="3"/>
    </row>
    <row r="9983" s="7" customFormat="1" spans="33:33">
      <c r="AG9983" s="3"/>
    </row>
    <row r="9984" s="7" customFormat="1" spans="33:33">
      <c r="AG9984" s="3"/>
    </row>
    <row r="9985" s="7" customFormat="1" spans="33:33">
      <c r="AG9985" s="3"/>
    </row>
    <row r="9986" s="7" customFormat="1" spans="33:33">
      <c r="AG9986" s="3"/>
    </row>
    <row r="9987" s="7" customFormat="1" spans="33:33">
      <c r="AG9987" s="3"/>
    </row>
    <row r="9988" s="7" customFormat="1" spans="33:33">
      <c r="AG9988" s="3"/>
    </row>
    <row r="9989" s="7" customFormat="1" spans="33:33">
      <c r="AG9989" s="3"/>
    </row>
    <row r="9990" s="7" customFormat="1" spans="33:33">
      <c r="AG9990" s="3"/>
    </row>
    <row r="9991" s="7" customFormat="1" spans="33:33">
      <c r="AG9991" s="3"/>
    </row>
    <row r="9992" s="7" customFormat="1" spans="33:33">
      <c r="AG9992" s="3"/>
    </row>
    <row r="9993" s="7" customFormat="1" spans="33:33">
      <c r="AG9993" s="3"/>
    </row>
    <row r="9994" s="7" customFormat="1" spans="33:33">
      <c r="AG9994" s="3"/>
    </row>
    <row r="9995" s="7" customFormat="1" spans="33:33">
      <c r="AG9995" s="3"/>
    </row>
    <row r="9996" s="7" customFormat="1" spans="33:33">
      <c r="AG9996" s="3"/>
    </row>
    <row r="9997" s="7" customFormat="1" spans="33:33">
      <c r="AG9997" s="3"/>
    </row>
    <row r="9998" s="7" customFormat="1" spans="33:33">
      <c r="AG9998" s="3"/>
    </row>
    <row r="9999" s="7" customFormat="1" spans="33:33">
      <c r="AG9999" s="3"/>
    </row>
    <row r="10000" s="7" customFormat="1" spans="33:33">
      <c r="AG10000" s="3"/>
    </row>
    <row r="10001" s="7" customFormat="1" spans="33:33">
      <c r="AG10001" s="3"/>
    </row>
    <row r="10002" s="7" customFormat="1" spans="33:33">
      <c r="AG10002" s="3"/>
    </row>
    <row r="10003" s="7" customFormat="1" spans="33:33">
      <c r="AG10003" s="3"/>
    </row>
    <row r="10004" s="7" customFormat="1" spans="33:33">
      <c r="AG10004" s="3"/>
    </row>
    <row r="10005" s="7" customFormat="1" spans="33:33">
      <c r="AG10005" s="3"/>
    </row>
    <row r="10006" s="7" customFormat="1" spans="33:33">
      <c r="AG10006" s="3"/>
    </row>
    <row r="10007" s="7" customFormat="1" spans="33:33">
      <c r="AG10007" s="3"/>
    </row>
    <row r="10008" s="7" customFormat="1" spans="33:33">
      <c r="AG10008" s="3"/>
    </row>
    <row r="10009" s="7" customFormat="1" spans="33:33">
      <c r="AG10009" s="3"/>
    </row>
    <row r="10010" s="7" customFormat="1" spans="33:33">
      <c r="AG10010" s="3"/>
    </row>
    <row r="10011" s="7" customFormat="1" spans="33:33">
      <c r="AG10011" s="3"/>
    </row>
    <row r="10012" s="7" customFormat="1" spans="33:33">
      <c r="AG10012" s="3"/>
    </row>
    <row r="10013" s="7" customFormat="1" spans="33:33">
      <c r="AG10013" s="3"/>
    </row>
    <row r="10014" s="7" customFormat="1" spans="33:33">
      <c r="AG10014" s="3"/>
    </row>
    <row r="10015" s="7" customFormat="1" spans="33:33">
      <c r="AG10015" s="3"/>
    </row>
    <row r="10016" s="7" customFormat="1" spans="33:33">
      <c r="AG10016" s="3"/>
    </row>
    <row r="10017" s="7" customFormat="1" spans="33:33">
      <c r="AG10017" s="3"/>
    </row>
    <row r="10018" s="7" customFormat="1" spans="33:33">
      <c r="AG10018" s="3"/>
    </row>
    <row r="10019" s="7" customFormat="1" spans="33:33">
      <c r="AG10019" s="3"/>
    </row>
    <row r="10020" s="7" customFormat="1" spans="33:33">
      <c r="AG10020" s="3"/>
    </row>
    <row r="10021" s="7" customFormat="1" spans="33:33">
      <c r="AG10021" s="3"/>
    </row>
    <row r="10022" s="7" customFormat="1" spans="33:33">
      <c r="AG10022" s="3"/>
    </row>
    <row r="10023" s="7" customFormat="1" spans="33:33">
      <c r="AG10023" s="3"/>
    </row>
    <row r="10024" s="7" customFormat="1" spans="33:33">
      <c r="AG10024" s="3"/>
    </row>
    <row r="10025" s="7" customFormat="1" spans="33:33">
      <c r="AG10025" s="3"/>
    </row>
    <row r="10026" s="7" customFormat="1" spans="33:33">
      <c r="AG10026" s="3"/>
    </row>
    <row r="10027" s="7" customFormat="1" spans="33:33">
      <c r="AG10027" s="3"/>
    </row>
    <row r="10028" s="7" customFormat="1" spans="33:33">
      <c r="AG10028" s="3"/>
    </row>
    <row r="10029" s="7" customFormat="1" spans="33:33">
      <c r="AG10029" s="3"/>
    </row>
    <row r="10030" s="7" customFormat="1" spans="33:33">
      <c r="AG10030" s="3"/>
    </row>
    <row r="10031" s="7" customFormat="1" spans="33:33">
      <c r="AG10031" s="3"/>
    </row>
    <row r="10032" s="7" customFormat="1" spans="33:33">
      <c r="AG10032" s="3"/>
    </row>
    <row r="10033" s="7" customFormat="1" spans="33:33">
      <c r="AG10033" s="3"/>
    </row>
    <row r="10034" s="7" customFormat="1" spans="33:33">
      <c r="AG10034" s="3"/>
    </row>
    <row r="10035" s="7" customFormat="1" spans="33:33">
      <c r="AG10035" s="3"/>
    </row>
    <row r="10036" s="7" customFormat="1" spans="33:33">
      <c r="AG10036" s="3"/>
    </row>
    <row r="10037" s="7" customFormat="1" spans="33:33">
      <c r="AG10037" s="3"/>
    </row>
    <row r="10038" s="7" customFormat="1" spans="33:33">
      <c r="AG10038" s="3"/>
    </row>
    <row r="10039" s="7" customFormat="1" spans="33:33">
      <c r="AG10039" s="3"/>
    </row>
    <row r="10040" s="7" customFormat="1" spans="33:33">
      <c r="AG10040" s="3"/>
    </row>
    <row r="10041" s="7" customFormat="1" spans="33:33">
      <c r="AG10041" s="3"/>
    </row>
    <row r="10042" s="7" customFormat="1" spans="33:33">
      <c r="AG10042" s="3"/>
    </row>
    <row r="10043" s="7" customFormat="1" spans="33:33">
      <c r="AG10043" s="3"/>
    </row>
    <row r="10044" s="7" customFormat="1" spans="33:33">
      <c r="AG10044" s="3"/>
    </row>
    <row r="10045" s="7" customFormat="1" spans="33:33">
      <c r="AG10045" s="3"/>
    </row>
    <row r="10046" s="7" customFormat="1" spans="33:33">
      <c r="AG10046" s="3"/>
    </row>
    <row r="10047" s="7" customFormat="1" spans="33:33">
      <c r="AG10047" s="3"/>
    </row>
    <row r="10048" s="7" customFormat="1" spans="33:33">
      <c r="AG10048" s="3"/>
    </row>
    <row r="10049" s="7" customFormat="1" spans="33:33">
      <c r="AG10049" s="3"/>
    </row>
    <row r="10050" s="7" customFormat="1" spans="33:33">
      <c r="AG10050" s="3"/>
    </row>
    <row r="10051" s="7" customFormat="1" spans="33:33">
      <c r="AG10051" s="3"/>
    </row>
    <row r="10052" s="7" customFormat="1" spans="33:33">
      <c r="AG10052" s="3"/>
    </row>
    <row r="10053" s="7" customFormat="1" spans="33:33">
      <c r="AG10053" s="3"/>
    </row>
    <row r="10054" s="7" customFormat="1" spans="33:33">
      <c r="AG10054" s="3"/>
    </row>
    <row r="10055" s="7" customFormat="1" spans="33:33">
      <c r="AG10055" s="3"/>
    </row>
    <row r="10056" s="7" customFormat="1" spans="33:33">
      <c r="AG10056" s="3"/>
    </row>
    <row r="10057" s="7" customFormat="1" spans="33:33">
      <c r="AG10057" s="3"/>
    </row>
    <row r="10058" s="7" customFormat="1" spans="33:33">
      <c r="AG10058" s="3"/>
    </row>
    <row r="10059" s="7" customFormat="1" spans="33:33">
      <c r="AG10059" s="3"/>
    </row>
    <row r="10060" s="7" customFormat="1" spans="33:33">
      <c r="AG10060" s="3"/>
    </row>
    <row r="10061" s="7" customFormat="1" spans="33:33">
      <c r="AG10061" s="3"/>
    </row>
    <row r="10062" s="7" customFormat="1" spans="33:33">
      <c r="AG10062" s="3"/>
    </row>
    <row r="10063" s="7" customFormat="1" spans="33:33">
      <c r="AG10063" s="3"/>
    </row>
    <row r="10064" s="7" customFormat="1" spans="33:33">
      <c r="AG10064" s="3"/>
    </row>
    <row r="10065" s="7" customFormat="1" spans="33:33">
      <c r="AG10065" s="3"/>
    </row>
    <row r="10066" s="7" customFormat="1" spans="33:33">
      <c r="AG10066" s="3"/>
    </row>
    <row r="10067" s="7" customFormat="1" spans="33:33">
      <c r="AG10067" s="3"/>
    </row>
    <row r="10068" s="7" customFormat="1" spans="33:33">
      <c r="AG10068" s="3"/>
    </row>
    <row r="10069" s="7" customFormat="1" spans="33:33">
      <c r="AG10069" s="3"/>
    </row>
    <row r="10070" s="7" customFormat="1" spans="33:33">
      <c r="AG10070" s="3"/>
    </row>
    <row r="10071" s="7" customFormat="1" spans="33:33">
      <c r="AG10071" s="3"/>
    </row>
    <row r="10072" s="7" customFormat="1" spans="33:33">
      <c r="AG10072" s="3"/>
    </row>
    <row r="10073" s="7" customFormat="1" spans="33:33">
      <c r="AG10073" s="3"/>
    </row>
    <row r="10074" s="7" customFormat="1" spans="33:33">
      <c r="AG10074" s="3"/>
    </row>
    <row r="10075" s="7" customFormat="1" spans="33:33">
      <c r="AG10075" s="3"/>
    </row>
    <row r="10076" s="7" customFormat="1" spans="33:33">
      <c r="AG10076" s="3"/>
    </row>
    <row r="10077" s="7" customFormat="1" spans="33:33">
      <c r="AG10077" s="3"/>
    </row>
    <row r="10078" s="7" customFormat="1" spans="33:33">
      <c r="AG10078" s="3"/>
    </row>
    <row r="10079" s="7" customFormat="1" spans="33:33">
      <c r="AG10079" s="3"/>
    </row>
    <row r="10080" s="7" customFormat="1" spans="33:33">
      <c r="AG10080" s="3"/>
    </row>
    <row r="10081" s="7" customFormat="1" spans="33:33">
      <c r="AG10081" s="3"/>
    </row>
    <row r="10082" s="7" customFormat="1" spans="33:33">
      <c r="AG10082" s="3"/>
    </row>
    <row r="10083" s="7" customFormat="1" spans="33:33">
      <c r="AG10083" s="3"/>
    </row>
    <row r="10084" s="7" customFormat="1" spans="33:33">
      <c r="AG10084" s="3"/>
    </row>
    <row r="10085" s="7" customFormat="1" spans="33:33">
      <c r="AG10085" s="3"/>
    </row>
    <row r="10086" s="7" customFormat="1" spans="33:33">
      <c r="AG10086" s="3"/>
    </row>
    <row r="10087" s="7" customFormat="1" spans="33:33">
      <c r="AG10087" s="3"/>
    </row>
    <row r="10088" s="7" customFormat="1" spans="33:33">
      <c r="AG10088" s="3"/>
    </row>
    <row r="10089" s="7" customFormat="1" spans="33:33">
      <c r="AG10089" s="3"/>
    </row>
    <row r="10090" s="7" customFormat="1" spans="33:33">
      <c r="AG10090" s="3"/>
    </row>
    <row r="10091" s="7" customFormat="1" spans="33:33">
      <c r="AG10091" s="3"/>
    </row>
    <row r="10092" s="7" customFormat="1" spans="33:33">
      <c r="AG10092" s="3"/>
    </row>
    <row r="10093" s="7" customFormat="1" spans="33:33">
      <c r="AG10093" s="3"/>
    </row>
    <row r="10094" s="7" customFormat="1" spans="33:33">
      <c r="AG10094" s="3"/>
    </row>
    <row r="10095" s="7" customFormat="1" spans="33:33">
      <c r="AG10095" s="3"/>
    </row>
    <row r="10096" s="7" customFormat="1" spans="33:33">
      <c r="AG10096" s="3"/>
    </row>
    <row r="10097" s="7" customFormat="1" spans="33:33">
      <c r="AG10097" s="3"/>
    </row>
    <row r="10098" s="7" customFormat="1" spans="33:33">
      <c r="AG10098" s="3"/>
    </row>
    <row r="10099" s="7" customFormat="1" spans="33:33">
      <c r="AG10099" s="3"/>
    </row>
    <row r="10100" s="7" customFormat="1" spans="33:33">
      <c r="AG10100" s="3"/>
    </row>
    <row r="10101" s="7" customFormat="1" spans="33:33">
      <c r="AG10101" s="3"/>
    </row>
    <row r="10102" s="7" customFormat="1" spans="33:33">
      <c r="AG10102" s="3"/>
    </row>
    <row r="10103" s="7" customFormat="1" spans="33:33">
      <c r="AG10103" s="3"/>
    </row>
    <row r="10104" s="7" customFormat="1" spans="33:33">
      <c r="AG10104" s="3"/>
    </row>
    <row r="10105" s="7" customFormat="1" spans="33:33">
      <c r="AG10105" s="3"/>
    </row>
    <row r="10106" s="7" customFormat="1" spans="33:33">
      <c r="AG10106" s="3"/>
    </row>
    <row r="10107" s="7" customFormat="1" spans="33:33">
      <c r="AG10107" s="3"/>
    </row>
    <row r="10108" s="7" customFormat="1" spans="33:33">
      <c r="AG10108" s="3"/>
    </row>
    <row r="10109" s="7" customFormat="1" spans="33:33">
      <c r="AG10109" s="3"/>
    </row>
    <row r="10110" s="7" customFormat="1" spans="33:33">
      <c r="AG10110" s="3"/>
    </row>
    <row r="10111" s="7" customFormat="1" spans="33:33">
      <c r="AG10111" s="3"/>
    </row>
    <row r="10112" s="7" customFormat="1" spans="33:33">
      <c r="AG10112" s="3"/>
    </row>
    <row r="10113" s="7" customFormat="1" spans="33:33">
      <c r="AG10113" s="3"/>
    </row>
    <row r="10114" s="7" customFormat="1" spans="33:33">
      <c r="AG10114" s="3"/>
    </row>
    <row r="10115" s="7" customFormat="1" spans="33:33">
      <c r="AG10115" s="3"/>
    </row>
    <row r="10116" s="7" customFormat="1" spans="33:33">
      <c r="AG10116" s="3"/>
    </row>
    <row r="10117" s="7" customFormat="1" spans="33:33">
      <c r="AG10117" s="3"/>
    </row>
    <row r="10118" s="7" customFormat="1" spans="33:33">
      <c r="AG10118" s="3"/>
    </row>
    <row r="10119" s="7" customFormat="1" spans="33:33">
      <c r="AG10119" s="3"/>
    </row>
    <row r="10120" s="7" customFormat="1" spans="33:33">
      <c r="AG10120" s="3"/>
    </row>
    <row r="10121" s="7" customFormat="1" spans="33:33">
      <c r="AG10121" s="3"/>
    </row>
    <row r="10122" s="7" customFormat="1" spans="33:33">
      <c r="AG10122" s="3"/>
    </row>
    <row r="10123" s="7" customFormat="1" spans="33:33">
      <c r="AG10123" s="3"/>
    </row>
    <row r="10124" s="7" customFormat="1" spans="33:33">
      <c r="AG10124" s="3"/>
    </row>
    <row r="10125" s="7" customFormat="1" spans="33:33">
      <c r="AG10125" s="3"/>
    </row>
    <row r="10126" s="7" customFormat="1" spans="33:33">
      <c r="AG10126" s="3"/>
    </row>
    <row r="10127" s="7" customFormat="1" spans="33:33">
      <c r="AG10127" s="3"/>
    </row>
    <row r="10128" s="7" customFormat="1" spans="33:33">
      <c r="AG10128" s="3"/>
    </row>
    <row r="10129" s="7" customFormat="1" spans="33:33">
      <c r="AG10129" s="3"/>
    </row>
    <row r="10130" s="7" customFormat="1" spans="33:33">
      <c r="AG10130" s="3"/>
    </row>
    <row r="10131" s="7" customFormat="1" spans="33:33">
      <c r="AG10131" s="3"/>
    </row>
    <row r="10132" s="7" customFormat="1" spans="33:33">
      <c r="AG10132" s="3"/>
    </row>
    <row r="10133" s="7" customFormat="1" spans="33:33">
      <c r="AG10133" s="3"/>
    </row>
    <row r="10134" s="7" customFormat="1" spans="33:33">
      <c r="AG10134" s="3"/>
    </row>
    <row r="10135" s="7" customFormat="1" spans="33:33">
      <c r="AG10135" s="3"/>
    </row>
    <row r="10136" s="7" customFormat="1" spans="33:33">
      <c r="AG10136" s="3"/>
    </row>
    <row r="10137" s="7" customFormat="1" spans="33:33">
      <c r="AG10137" s="3"/>
    </row>
    <row r="10138" s="7" customFormat="1" spans="33:33">
      <c r="AG10138" s="3"/>
    </row>
    <row r="10139" s="7" customFormat="1" spans="33:33">
      <c r="AG10139" s="3"/>
    </row>
    <row r="10140" s="7" customFormat="1" spans="33:33">
      <c r="AG10140" s="3"/>
    </row>
    <row r="10141" s="7" customFormat="1" spans="33:33">
      <c r="AG10141" s="3"/>
    </row>
    <row r="10142" s="7" customFormat="1" spans="33:33">
      <c r="AG10142" s="3"/>
    </row>
    <row r="10143" s="7" customFormat="1" spans="33:33">
      <c r="AG10143" s="3"/>
    </row>
    <row r="10144" s="7" customFormat="1" spans="33:33">
      <c r="AG10144" s="3"/>
    </row>
    <row r="10145" s="7" customFormat="1" spans="33:33">
      <c r="AG10145" s="3"/>
    </row>
    <row r="10146" s="7" customFormat="1" spans="33:33">
      <c r="AG10146" s="3"/>
    </row>
    <row r="10147" s="7" customFormat="1" spans="33:33">
      <c r="AG10147" s="3"/>
    </row>
    <row r="10148" s="7" customFormat="1" spans="33:33">
      <c r="AG10148" s="3"/>
    </row>
    <row r="10149" s="7" customFormat="1" spans="33:33">
      <c r="AG10149" s="3"/>
    </row>
    <row r="10150" s="7" customFormat="1" spans="33:33">
      <c r="AG10150" s="3"/>
    </row>
    <row r="10151" s="7" customFormat="1" spans="33:33">
      <c r="AG10151" s="3"/>
    </row>
    <row r="10152" s="7" customFormat="1" spans="33:33">
      <c r="AG10152" s="3"/>
    </row>
    <row r="10153" s="7" customFormat="1" spans="33:33">
      <c r="AG10153" s="3"/>
    </row>
    <row r="10154" s="7" customFormat="1" spans="33:33">
      <c r="AG10154" s="3"/>
    </row>
    <row r="10155" s="7" customFormat="1" spans="33:33">
      <c r="AG10155" s="3"/>
    </row>
    <row r="10156" s="7" customFormat="1" spans="33:33">
      <c r="AG10156" s="3"/>
    </row>
    <row r="10157" s="7" customFormat="1" spans="33:33">
      <c r="AG10157" s="3"/>
    </row>
    <row r="10158" s="7" customFormat="1" spans="33:33">
      <c r="AG10158" s="3"/>
    </row>
    <row r="10159" s="7" customFormat="1" spans="33:33">
      <c r="AG10159" s="3"/>
    </row>
    <row r="10160" s="7" customFormat="1" spans="33:33">
      <c r="AG10160" s="3"/>
    </row>
    <row r="10161" s="7" customFormat="1" spans="33:33">
      <c r="AG10161" s="3"/>
    </row>
    <row r="10162" s="7" customFormat="1" spans="33:33">
      <c r="AG10162" s="3"/>
    </row>
    <row r="10163" s="7" customFormat="1" spans="33:33">
      <c r="AG10163" s="3"/>
    </row>
    <row r="10164" s="7" customFormat="1" spans="33:33">
      <c r="AG10164" s="3"/>
    </row>
    <row r="10165" s="7" customFormat="1" spans="33:33">
      <c r="AG10165" s="3"/>
    </row>
    <row r="10166" s="7" customFormat="1" spans="33:33">
      <c r="AG10166" s="3"/>
    </row>
    <row r="10167" s="7" customFormat="1" spans="33:33">
      <c r="AG10167" s="3"/>
    </row>
    <row r="10168" s="7" customFormat="1" spans="33:33">
      <c r="AG10168" s="3"/>
    </row>
    <row r="10169" s="7" customFormat="1" spans="33:33">
      <c r="AG10169" s="3"/>
    </row>
    <row r="10170" s="7" customFormat="1" spans="33:33">
      <c r="AG10170" s="3"/>
    </row>
    <row r="10171" s="7" customFormat="1" spans="33:33">
      <c r="AG10171" s="3"/>
    </row>
    <row r="10172" s="7" customFormat="1" spans="33:33">
      <c r="AG10172" s="3"/>
    </row>
    <row r="10173" s="7" customFormat="1" spans="33:33">
      <c r="AG10173" s="3"/>
    </row>
    <row r="10174" s="7" customFormat="1" spans="33:33">
      <c r="AG10174" s="3"/>
    </row>
    <row r="10175" s="7" customFormat="1" spans="33:33">
      <c r="AG10175" s="3"/>
    </row>
    <row r="10176" s="7" customFormat="1" spans="33:33">
      <c r="AG10176" s="3"/>
    </row>
    <row r="10177" s="7" customFormat="1" spans="33:33">
      <c r="AG10177" s="3"/>
    </row>
    <row r="10178" s="7" customFormat="1" spans="33:33">
      <c r="AG10178" s="3"/>
    </row>
    <row r="10179" s="7" customFormat="1" spans="33:33">
      <c r="AG10179" s="3"/>
    </row>
    <row r="10180" s="7" customFormat="1" spans="33:33">
      <c r="AG10180" s="3"/>
    </row>
    <row r="10181" s="7" customFormat="1" spans="33:33">
      <c r="AG10181" s="3"/>
    </row>
    <row r="10182" s="7" customFormat="1" spans="33:33">
      <c r="AG10182" s="3"/>
    </row>
    <row r="10183" s="7" customFormat="1" spans="33:33">
      <c r="AG10183" s="3"/>
    </row>
    <row r="10184" s="7" customFormat="1" spans="33:33">
      <c r="AG10184" s="3"/>
    </row>
    <row r="10185" s="7" customFormat="1" spans="33:33">
      <c r="AG10185" s="3"/>
    </row>
    <row r="10186" s="7" customFormat="1" spans="33:33">
      <c r="AG10186" s="3"/>
    </row>
    <row r="10187" s="7" customFormat="1" spans="33:33">
      <c r="AG10187" s="3"/>
    </row>
    <row r="10188" s="7" customFormat="1" spans="33:33">
      <c r="AG10188" s="3"/>
    </row>
    <row r="10189" s="7" customFormat="1" spans="33:33">
      <c r="AG10189" s="3"/>
    </row>
    <row r="10190" s="7" customFormat="1" spans="33:33">
      <c r="AG10190" s="3"/>
    </row>
    <row r="10191" s="7" customFormat="1" spans="33:33">
      <c r="AG10191" s="3"/>
    </row>
    <row r="10192" s="7" customFormat="1" spans="33:33">
      <c r="AG10192" s="3"/>
    </row>
    <row r="10193" s="7" customFormat="1" spans="33:33">
      <c r="AG10193" s="3"/>
    </row>
    <row r="10194" s="7" customFormat="1" spans="33:33">
      <c r="AG10194" s="3"/>
    </row>
    <row r="10195" s="7" customFormat="1" spans="33:33">
      <c r="AG10195" s="3"/>
    </row>
    <row r="10196" s="7" customFormat="1" spans="33:33">
      <c r="AG10196" s="3"/>
    </row>
    <row r="10197" s="7" customFormat="1" spans="33:33">
      <c r="AG10197" s="3"/>
    </row>
    <row r="10198" s="7" customFormat="1" spans="33:33">
      <c r="AG10198" s="3"/>
    </row>
    <row r="10199" s="7" customFormat="1" spans="33:33">
      <c r="AG10199" s="3"/>
    </row>
    <row r="10200" s="7" customFormat="1" spans="33:33">
      <c r="AG10200" s="3"/>
    </row>
    <row r="10201" s="7" customFormat="1" spans="33:33">
      <c r="AG10201" s="3"/>
    </row>
    <row r="10202" s="7" customFormat="1" spans="33:33">
      <c r="AG10202" s="3"/>
    </row>
    <row r="10203" s="7" customFormat="1" spans="33:33">
      <c r="AG10203" s="3"/>
    </row>
    <row r="10204" s="7" customFormat="1" spans="33:33">
      <c r="AG10204" s="3"/>
    </row>
    <row r="10205" s="7" customFormat="1" spans="33:33">
      <c r="AG10205" s="3"/>
    </row>
    <row r="10206" s="7" customFormat="1" spans="33:33">
      <c r="AG10206" s="3"/>
    </row>
    <row r="10207" s="7" customFormat="1" spans="33:33">
      <c r="AG10207" s="3"/>
    </row>
    <row r="10208" s="7" customFormat="1" spans="33:33">
      <c r="AG10208" s="3"/>
    </row>
    <row r="10209" s="7" customFormat="1" spans="33:33">
      <c r="AG10209" s="3"/>
    </row>
    <row r="10210" s="7" customFormat="1" spans="33:33">
      <c r="AG10210" s="3"/>
    </row>
    <row r="10211" s="7" customFormat="1" spans="33:33">
      <c r="AG10211" s="3"/>
    </row>
    <row r="10212" s="7" customFormat="1" spans="33:33">
      <c r="AG10212" s="3"/>
    </row>
    <row r="10213" s="7" customFormat="1" spans="33:33">
      <c r="AG10213" s="3"/>
    </row>
    <row r="10214" s="7" customFormat="1" spans="33:33">
      <c r="AG10214" s="3"/>
    </row>
    <row r="10215" s="7" customFormat="1" spans="33:33">
      <c r="AG10215" s="3"/>
    </row>
    <row r="10216" s="7" customFormat="1" spans="33:33">
      <c r="AG10216" s="3"/>
    </row>
    <row r="10217" s="7" customFormat="1" spans="33:33">
      <c r="AG10217" s="3"/>
    </row>
    <row r="10218" s="7" customFormat="1" spans="33:33">
      <c r="AG10218" s="3"/>
    </row>
    <row r="10219" s="7" customFormat="1" spans="33:33">
      <c r="AG10219" s="3"/>
    </row>
    <row r="10220" s="7" customFormat="1" spans="33:33">
      <c r="AG10220" s="3"/>
    </row>
    <row r="10221" s="7" customFormat="1" spans="33:33">
      <c r="AG10221" s="3"/>
    </row>
    <row r="10222" s="7" customFormat="1" spans="33:33">
      <c r="AG10222" s="3"/>
    </row>
    <row r="10223" s="7" customFormat="1" spans="33:33">
      <c r="AG10223" s="3"/>
    </row>
    <row r="10224" s="7" customFormat="1" spans="33:33">
      <c r="AG10224" s="3"/>
    </row>
    <row r="10225" s="7" customFormat="1" spans="33:33">
      <c r="AG10225" s="3"/>
    </row>
    <row r="10226" s="7" customFormat="1" spans="33:33">
      <c r="AG10226" s="3"/>
    </row>
    <row r="10227" s="7" customFormat="1" spans="33:33">
      <c r="AG10227" s="3"/>
    </row>
    <row r="10228" s="7" customFormat="1" spans="33:33">
      <c r="AG10228" s="3"/>
    </row>
    <row r="10229" s="7" customFormat="1" spans="33:33">
      <c r="AG10229" s="3"/>
    </row>
    <row r="10230" s="7" customFormat="1" spans="33:33">
      <c r="AG10230" s="3"/>
    </row>
    <row r="10231" s="7" customFormat="1" spans="33:33">
      <c r="AG10231" s="3"/>
    </row>
    <row r="10232" s="7" customFormat="1" spans="33:33">
      <c r="AG10232" s="3"/>
    </row>
    <row r="10233" s="7" customFormat="1" spans="33:33">
      <c r="AG10233" s="3"/>
    </row>
    <row r="10234" s="7" customFormat="1" spans="33:33">
      <c r="AG10234" s="3"/>
    </row>
    <row r="10235" s="7" customFormat="1" spans="33:33">
      <c r="AG10235" s="3"/>
    </row>
    <row r="10236" s="7" customFormat="1" spans="33:33">
      <c r="AG10236" s="3"/>
    </row>
    <row r="10237" s="7" customFormat="1" spans="33:33">
      <c r="AG10237" s="3"/>
    </row>
    <row r="10238" s="7" customFormat="1" spans="33:33">
      <c r="AG10238" s="3"/>
    </row>
    <row r="10239" s="7" customFormat="1" spans="33:33">
      <c r="AG10239" s="3"/>
    </row>
    <row r="10240" s="7" customFormat="1" spans="33:33">
      <c r="AG10240" s="3"/>
    </row>
    <row r="10241" s="7" customFormat="1" spans="33:33">
      <c r="AG10241" s="3"/>
    </row>
    <row r="10242" s="7" customFormat="1" spans="33:33">
      <c r="AG10242" s="3"/>
    </row>
    <row r="10243" s="7" customFormat="1" spans="33:33">
      <c r="AG10243" s="3"/>
    </row>
    <row r="10244" s="7" customFormat="1" spans="33:33">
      <c r="AG10244" s="3"/>
    </row>
    <row r="10245" s="7" customFormat="1" spans="33:33">
      <c r="AG10245" s="3"/>
    </row>
    <row r="10246" s="7" customFormat="1" spans="33:33">
      <c r="AG10246" s="3"/>
    </row>
    <row r="10247" s="7" customFormat="1" spans="33:33">
      <c r="AG10247" s="3"/>
    </row>
    <row r="10248" s="7" customFormat="1" spans="33:33">
      <c r="AG10248" s="3"/>
    </row>
    <row r="10249" s="7" customFormat="1" spans="33:33">
      <c r="AG10249" s="3"/>
    </row>
    <row r="10250" s="7" customFormat="1" spans="33:33">
      <c r="AG10250" s="3"/>
    </row>
    <row r="10251" s="7" customFormat="1" spans="33:33">
      <c r="AG10251" s="3"/>
    </row>
    <row r="10252" s="7" customFormat="1" spans="33:33">
      <c r="AG10252" s="3"/>
    </row>
    <row r="10253" s="7" customFormat="1" spans="33:33">
      <c r="AG10253" s="3"/>
    </row>
    <row r="10254" s="7" customFormat="1" spans="33:33">
      <c r="AG10254" s="3"/>
    </row>
    <row r="10255" s="7" customFormat="1" spans="33:33">
      <c r="AG10255" s="3"/>
    </row>
    <row r="10256" s="7" customFormat="1" spans="33:33">
      <c r="AG10256" s="3"/>
    </row>
    <row r="10257" s="7" customFormat="1" spans="33:33">
      <c r="AG10257" s="3"/>
    </row>
    <row r="10258" s="7" customFormat="1" spans="33:33">
      <c r="AG10258" s="3"/>
    </row>
    <row r="10259" s="7" customFormat="1" spans="33:33">
      <c r="AG10259" s="3"/>
    </row>
    <row r="10260" s="7" customFormat="1" spans="33:33">
      <c r="AG10260" s="3"/>
    </row>
    <row r="10261" s="7" customFormat="1" spans="33:33">
      <c r="AG10261" s="3"/>
    </row>
    <row r="10262" s="7" customFormat="1" spans="33:33">
      <c r="AG10262" s="3"/>
    </row>
    <row r="10263" s="7" customFormat="1" spans="33:33">
      <c r="AG10263" s="3"/>
    </row>
    <row r="10264" s="7" customFormat="1" spans="33:33">
      <c r="AG10264" s="3"/>
    </row>
    <row r="10265" s="7" customFormat="1" spans="33:33">
      <c r="AG10265" s="3"/>
    </row>
    <row r="10266" s="7" customFormat="1" spans="33:33">
      <c r="AG10266" s="3"/>
    </row>
    <row r="10267" s="7" customFormat="1" spans="33:33">
      <c r="AG10267" s="3"/>
    </row>
    <row r="10268" s="7" customFormat="1" spans="33:33">
      <c r="AG10268" s="3"/>
    </row>
    <row r="10269" s="7" customFormat="1" spans="33:33">
      <c r="AG10269" s="3"/>
    </row>
    <row r="10270" s="7" customFormat="1" spans="33:33">
      <c r="AG10270" s="3"/>
    </row>
    <row r="10271" s="7" customFormat="1" spans="33:33">
      <c r="AG10271" s="3"/>
    </row>
    <row r="10272" s="7" customFormat="1" spans="33:33">
      <c r="AG10272" s="3"/>
    </row>
    <row r="10273" s="7" customFormat="1" spans="33:33">
      <c r="AG10273" s="3"/>
    </row>
    <row r="10274" s="7" customFormat="1" spans="33:33">
      <c r="AG10274" s="3"/>
    </row>
    <row r="10275" s="7" customFormat="1" spans="33:33">
      <c r="AG10275" s="3"/>
    </row>
    <row r="10276" s="7" customFormat="1" spans="33:33">
      <c r="AG10276" s="3"/>
    </row>
    <row r="10277" s="7" customFormat="1" spans="33:33">
      <c r="AG10277" s="3"/>
    </row>
    <row r="10278" s="7" customFormat="1" spans="33:33">
      <c r="AG10278" s="3"/>
    </row>
    <row r="10279" s="7" customFormat="1" spans="33:33">
      <c r="AG10279" s="3"/>
    </row>
    <row r="10280" s="7" customFormat="1" spans="33:33">
      <c r="AG10280" s="3"/>
    </row>
    <row r="10281" s="7" customFormat="1" spans="33:33">
      <c r="AG10281" s="3"/>
    </row>
    <row r="10282" s="7" customFormat="1" spans="33:33">
      <c r="AG10282" s="3"/>
    </row>
    <row r="10283" s="7" customFormat="1" spans="33:33">
      <c r="AG10283" s="3"/>
    </row>
    <row r="10284" s="7" customFormat="1" spans="33:33">
      <c r="AG10284" s="3"/>
    </row>
    <row r="10285" s="7" customFormat="1" spans="33:33">
      <c r="AG10285" s="3"/>
    </row>
    <row r="10286" s="7" customFormat="1" spans="33:33">
      <c r="AG10286" s="3"/>
    </row>
    <row r="10287" s="7" customFormat="1" spans="33:33">
      <c r="AG10287" s="3"/>
    </row>
    <row r="10288" s="7" customFormat="1" spans="33:33">
      <c r="AG10288" s="3"/>
    </row>
    <row r="10289" s="7" customFormat="1" spans="33:33">
      <c r="AG10289" s="3"/>
    </row>
    <row r="10290" s="7" customFormat="1" spans="33:33">
      <c r="AG10290" s="3"/>
    </row>
    <row r="10291" s="7" customFormat="1" spans="33:33">
      <c r="AG10291" s="3"/>
    </row>
    <row r="10292" s="7" customFormat="1" spans="33:33">
      <c r="AG10292" s="3"/>
    </row>
    <row r="10293" s="7" customFormat="1" spans="33:33">
      <c r="AG10293" s="3"/>
    </row>
    <row r="10294" s="7" customFormat="1" spans="33:33">
      <c r="AG10294" s="3"/>
    </row>
    <row r="10295" s="7" customFormat="1" spans="33:33">
      <c r="AG10295" s="3"/>
    </row>
    <row r="10296" s="7" customFormat="1" spans="33:33">
      <c r="AG10296" s="3"/>
    </row>
    <row r="10297" s="7" customFormat="1" spans="33:33">
      <c r="AG10297" s="3"/>
    </row>
    <row r="10298" s="7" customFormat="1" spans="33:33">
      <c r="AG10298" s="3"/>
    </row>
    <row r="10299" s="7" customFormat="1" spans="33:33">
      <c r="AG10299" s="3"/>
    </row>
    <row r="10300" s="7" customFormat="1" spans="33:33">
      <c r="AG10300" s="3"/>
    </row>
    <row r="10301" s="7" customFormat="1" spans="33:33">
      <c r="AG10301" s="3"/>
    </row>
    <row r="10302" s="7" customFormat="1" spans="33:33">
      <c r="AG10302" s="3"/>
    </row>
    <row r="10303" s="7" customFormat="1" spans="33:33">
      <c r="AG10303" s="3"/>
    </row>
    <row r="10304" s="7" customFormat="1" spans="33:33">
      <c r="AG10304" s="3"/>
    </row>
    <row r="10305" s="7" customFormat="1" spans="33:33">
      <c r="AG10305" s="3"/>
    </row>
    <row r="10306" s="7" customFormat="1" spans="33:33">
      <c r="AG10306" s="3"/>
    </row>
    <row r="10307" s="7" customFormat="1" spans="33:33">
      <c r="AG10307" s="3"/>
    </row>
    <row r="10308" s="7" customFormat="1" spans="33:33">
      <c r="AG10308" s="3"/>
    </row>
    <row r="10309" s="7" customFormat="1" spans="33:33">
      <c r="AG10309" s="3"/>
    </row>
    <row r="10310" s="7" customFormat="1" spans="33:33">
      <c r="AG10310" s="3"/>
    </row>
    <row r="10311" s="7" customFormat="1" spans="33:33">
      <c r="AG10311" s="3"/>
    </row>
    <row r="10312" s="7" customFormat="1" spans="33:33">
      <c r="AG10312" s="3"/>
    </row>
    <row r="10313" s="7" customFormat="1" spans="33:33">
      <c r="AG10313" s="3"/>
    </row>
    <row r="10314" s="7" customFormat="1" spans="33:33">
      <c r="AG10314" s="3"/>
    </row>
    <row r="10315" s="7" customFormat="1" spans="33:33">
      <c r="AG10315" s="3"/>
    </row>
    <row r="10316" s="7" customFormat="1" spans="33:33">
      <c r="AG10316" s="3"/>
    </row>
    <row r="10317" s="7" customFormat="1" spans="33:33">
      <c r="AG10317" s="3"/>
    </row>
    <row r="10318" s="7" customFormat="1" spans="33:33">
      <c r="AG10318" s="3"/>
    </row>
    <row r="10319" s="7" customFormat="1" spans="33:33">
      <c r="AG10319" s="3"/>
    </row>
    <row r="10320" s="7" customFormat="1" spans="33:33">
      <c r="AG10320" s="3"/>
    </row>
    <row r="10321" s="7" customFormat="1" spans="33:33">
      <c r="AG10321" s="3"/>
    </row>
    <row r="10322" s="7" customFormat="1" spans="33:33">
      <c r="AG10322" s="3"/>
    </row>
    <row r="10323" s="7" customFormat="1" spans="33:33">
      <c r="AG10323" s="3"/>
    </row>
    <row r="10324" s="7" customFormat="1" spans="33:33">
      <c r="AG10324" s="3"/>
    </row>
    <row r="10325" s="7" customFormat="1" spans="33:33">
      <c r="AG10325" s="3"/>
    </row>
    <row r="10326" s="7" customFormat="1" spans="33:33">
      <c r="AG10326" s="3"/>
    </row>
    <row r="10327" s="7" customFormat="1" spans="33:33">
      <c r="AG10327" s="3"/>
    </row>
    <row r="10328" s="7" customFormat="1" spans="33:33">
      <c r="AG10328" s="3"/>
    </row>
    <row r="10329" s="7" customFormat="1" spans="33:33">
      <c r="AG10329" s="3"/>
    </row>
    <row r="10330" s="7" customFormat="1" spans="33:33">
      <c r="AG10330" s="3"/>
    </row>
    <row r="10331" s="7" customFormat="1" spans="33:33">
      <c r="AG10331" s="3"/>
    </row>
    <row r="10332" s="7" customFormat="1" spans="33:33">
      <c r="AG10332" s="3"/>
    </row>
    <row r="10333" s="7" customFormat="1" spans="33:33">
      <c r="AG10333" s="3"/>
    </row>
    <row r="10334" s="7" customFormat="1" spans="33:33">
      <c r="AG10334" s="3"/>
    </row>
    <row r="10335" s="7" customFormat="1" spans="33:33">
      <c r="AG10335" s="3"/>
    </row>
    <row r="10336" s="7" customFormat="1" spans="33:33">
      <c r="AG10336" s="3"/>
    </row>
    <row r="10337" s="7" customFormat="1" spans="33:33">
      <c r="AG10337" s="3"/>
    </row>
    <row r="10338" s="7" customFormat="1" spans="33:33">
      <c r="AG10338" s="3"/>
    </row>
    <row r="10339" s="7" customFormat="1" spans="33:33">
      <c r="AG10339" s="3"/>
    </row>
    <row r="10340" s="7" customFormat="1" spans="33:33">
      <c r="AG10340" s="3"/>
    </row>
    <row r="10341" s="7" customFormat="1" spans="33:33">
      <c r="AG10341" s="3"/>
    </row>
    <row r="10342" s="7" customFormat="1" spans="33:33">
      <c r="AG10342" s="3"/>
    </row>
    <row r="10343" s="7" customFormat="1" spans="33:33">
      <c r="AG10343" s="3"/>
    </row>
    <row r="10344" s="7" customFormat="1" spans="33:33">
      <c r="AG10344" s="3"/>
    </row>
    <row r="10345" s="7" customFormat="1" spans="33:33">
      <c r="AG10345" s="3"/>
    </row>
    <row r="10346" s="7" customFormat="1" spans="33:33">
      <c r="AG10346" s="3"/>
    </row>
    <row r="10347" s="7" customFormat="1" spans="33:33">
      <c r="AG10347" s="3"/>
    </row>
    <row r="10348" s="7" customFormat="1" spans="33:33">
      <c r="AG10348" s="3"/>
    </row>
    <row r="10349" s="7" customFormat="1" spans="33:33">
      <c r="AG10349" s="3"/>
    </row>
    <row r="10350" s="7" customFormat="1" spans="33:33">
      <c r="AG10350" s="3"/>
    </row>
    <row r="10351" s="7" customFormat="1" spans="33:33">
      <c r="AG10351" s="3"/>
    </row>
    <row r="10352" s="7" customFormat="1" spans="33:33">
      <c r="AG10352" s="3"/>
    </row>
    <row r="10353" s="7" customFormat="1" spans="33:33">
      <c r="AG10353" s="3"/>
    </row>
    <row r="10354" s="7" customFormat="1" spans="33:33">
      <c r="AG10354" s="3"/>
    </row>
    <row r="10355" s="7" customFormat="1" spans="33:33">
      <c r="AG10355" s="3"/>
    </row>
    <row r="10356" s="7" customFormat="1" spans="33:33">
      <c r="AG10356" s="3"/>
    </row>
    <row r="10357" s="7" customFormat="1" spans="33:33">
      <c r="AG10357" s="3"/>
    </row>
    <row r="10358" s="7" customFormat="1" spans="33:33">
      <c r="AG10358" s="3"/>
    </row>
    <row r="10359" s="7" customFormat="1" spans="33:33">
      <c r="AG10359" s="3"/>
    </row>
    <row r="10360" s="7" customFormat="1" spans="33:33">
      <c r="AG10360" s="3"/>
    </row>
    <row r="10361" s="7" customFormat="1" spans="33:33">
      <c r="AG10361" s="3"/>
    </row>
    <row r="10362" s="7" customFormat="1" spans="33:33">
      <c r="AG10362" s="3"/>
    </row>
    <row r="10363" s="7" customFormat="1" spans="33:33">
      <c r="AG10363" s="3"/>
    </row>
    <row r="10364" s="7" customFormat="1" spans="33:33">
      <c r="AG10364" s="3"/>
    </row>
    <row r="10365" s="7" customFormat="1" spans="33:33">
      <c r="AG10365" s="3"/>
    </row>
    <row r="10366" s="7" customFormat="1" spans="33:33">
      <c r="AG10366" s="3"/>
    </row>
    <row r="10367" s="7" customFormat="1" spans="33:33">
      <c r="AG10367" s="3"/>
    </row>
    <row r="10368" s="7" customFormat="1" spans="33:33">
      <c r="AG10368" s="3"/>
    </row>
    <row r="10369" s="7" customFormat="1" spans="33:33">
      <c r="AG10369" s="3"/>
    </row>
    <row r="10370" s="7" customFormat="1" spans="33:33">
      <c r="AG10370" s="3"/>
    </row>
    <row r="10371" s="7" customFormat="1" spans="33:33">
      <c r="AG10371" s="3"/>
    </row>
    <row r="10372" s="7" customFormat="1" spans="33:33">
      <c r="AG10372" s="3"/>
    </row>
    <row r="10373" s="7" customFormat="1" spans="33:33">
      <c r="AG10373" s="3"/>
    </row>
    <row r="10374" s="7" customFormat="1" spans="33:33">
      <c r="AG10374" s="3"/>
    </row>
    <row r="10375" s="7" customFormat="1" spans="33:33">
      <c r="AG10375" s="3"/>
    </row>
    <row r="10376" s="7" customFormat="1" spans="33:33">
      <c r="AG10376" s="3"/>
    </row>
    <row r="10377" s="7" customFormat="1" spans="33:33">
      <c r="AG10377" s="3"/>
    </row>
    <row r="10378" s="7" customFormat="1" spans="33:33">
      <c r="AG10378" s="3"/>
    </row>
    <row r="10379" s="7" customFormat="1" spans="33:33">
      <c r="AG10379" s="3"/>
    </row>
    <row r="10380" s="7" customFormat="1" spans="33:33">
      <c r="AG10380" s="3"/>
    </row>
    <row r="10381" s="7" customFormat="1" spans="33:33">
      <c r="AG10381" s="3"/>
    </row>
    <row r="10382" s="7" customFormat="1" spans="33:33">
      <c r="AG10382" s="3"/>
    </row>
    <row r="10383" s="7" customFormat="1" spans="33:33">
      <c r="AG10383" s="3"/>
    </row>
    <row r="10384" s="7" customFormat="1" spans="33:33">
      <c r="AG10384" s="3"/>
    </row>
    <row r="10385" s="7" customFormat="1" spans="33:33">
      <c r="AG10385" s="3"/>
    </row>
    <row r="10386" s="7" customFormat="1" spans="33:33">
      <c r="AG10386" s="3"/>
    </row>
    <row r="10387" s="7" customFormat="1" spans="33:33">
      <c r="AG10387" s="3"/>
    </row>
    <row r="10388" s="7" customFormat="1" spans="33:33">
      <c r="AG10388" s="3"/>
    </row>
    <row r="10389" s="7" customFormat="1" spans="33:33">
      <c r="AG10389" s="3"/>
    </row>
    <row r="10390" s="7" customFormat="1" spans="33:33">
      <c r="AG10390" s="3"/>
    </row>
    <row r="10391" s="7" customFormat="1" spans="33:33">
      <c r="AG10391" s="3"/>
    </row>
    <row r="10392" s="7" customFormat="1" spans="33:33">
      <c r="AG10392" s="3"/>
    </row>
    <row r="10393" s="7" customFormat="1" spans="33:33">
      <c r="AG10393" s="3"/>
    </row>
    <row r="10394" s="7" customFormat="1" spans="33:33">
      <c r="AG10394" s="3"/>
    </row>
    <row r="10395" s="7" customFormat="1" spans="33:33">
      <c r="AG10395" s="3"/>
    </row>
    <row r="10396" s="7" customFormat="1" spans="33:33">
      <c r="AG10396" s="3"/>
    </row>
    <row r="10397" s="7" customFormat="1" spans="33:33">
      <c r="AG10397" s="3"/>
    </row>
    <row r="10398" s="7" customFormat="1" spans="33:33">
      <c r="AG10398" s="3"/>
    </row>
    <row r="10399" s="7" customFormat="1" spans="33:33">
      <c r="AG10399" s="3"/>
    </row>
    <row r="10400" s="7" customFormat="1" spans="33:33">
      <c r="AG10400" s="3"/>
    </row>
    <row r="10401" s="7" customFormat="1" spans="33:33">
      <c r="AG10401" s="3"/>
    </row>
    <row r="10402" s="7" customFormat="1" spans="33:33">
      <c r="AG10402" s="3"/>
    </row>
    <row r="10403" s="7" customFormat="1" spans="33:33">
      <c r="AG10403" s="3"/>
    </row>
    <row r="10404" s="7" customFormat="1" spans="33:33">
      <c r="AG10404" s="3"/>
    </row>
    <row r="10405" s="7" customFormat="1" spans="33:33">
      <c r="AG10405" s="3"/>
    </row>
    <row r="10406" s="7" customFormat="1" spans="33:33">
      <c r="AG10406" s="3"/>
    </row>
    <row r="10407" s="7" customFormat="1" spans="33:33">
      <c r="AG10407" s="3"/>
    </row>
    <row r="10408" s="7" customFormat="1" spans="33:33">
      <c r="AG10408" s="3"/>
    </row>
    <row r="10409" s="7" customFormat="1" spans="33:33">
      <c r="AG10409" s="3"/>
    </row>
    <row r="10410" s="7" customFormat="1" spans="33:33">
      <c r="AG10410" s="3"/>
    </row>
    <row r="10411" s="7" customFormat="1" spans="33:33">
      <c r="AG10411" s="3"/>
    </row>
    <row r="10412" s="7" customFormat="1" spans="33:33">
      <c r="AG10412" s="3"/>
    </row>
    <row r="10413" s="7" customFormat="1" spans="33:33">
      <c r="AG10413" s="3"/>
    </row>
    <row r="10414" s="7" customFormat="1" spans="33:33">
      <c r="AG10414" s="3"/>
    </row>
    <row r="10415" s="7" customFormat="1" spans="33:33">
      <c r="AG10415" s="3"/>
    </row>
    <row r="10416" s="7" customFormat="1" spans="33:33">
      <c r="AG10416" s="3"/>
    </row>
    <row r="10417" s="7" customFormat="1" spans="33:33">
      <c r="AG10417" s="3"/>
    </row>
    <row r="10418" s="7" customFormat="1" spans="33:33">
      <c r="AG10418" s="3"/>
    </row>
    <row r="10419" s="7" customFormat="1" spans="33:33">
      <c r="AG10419" s="3"/>
    </row>
    <row r="10420" s="7" customFormat="1" spans="33:33">
      <c r="AG10420" s="3"/>
    </row>
    <row r="10421" s="7" customFormat="1" spans="33:33">
      <c r="AG10421" s="3"/>
    </row>
    <row r="10422" s="7" customFormat="1" spans="33:33">
      <c r="AG10422" s="3"/>
    </row>
    <row r="10423" s="7" customFormat="1" spans="33:33">
      <c r="AG10423" s="3"/>
    </row>
    <row r="10424" s="7" customFormat="1" spans="33:33">
      <c r="AG10424" s="3"/>
    </row>
    <row r="10425" s="7" customFormat="1" spans="33:33">
      <c r="AG10425" s="3"/>
    </row>
    <row r="10426" s="7" customFormat="1" spans="33:33">
      <c r="AG10426" s="3"/>
    </row>
    <row r="10427" s="7" customFormat="1" spans="33:33">
      <c r="AG10427" s="3"/>
    </row>
    <row r="10428" s="7" customFormat="1" spans="33:33">
      <c r="AG10428" s="3"/>
    </row>
    <row r="10429" s="7" customFormat="1" spans="33:33">
      <c r="AG10429" s="3"/>
    </row>
    <row r="10430" s="7" customFormat="1" spans="33:33">
      <c r="AG10430" s="3"/>
    </row>
    <row r="10431" s="7" customFormat="1" spans="33:33">
      <c r="AG10431" s="3"/>
    </row>
    <row r="10432" s="7" customFormat="1" spans="33:33">
      <c r="AG10432" s="3"/>
    </row>
    <row r="10433" s="7" customFormat="1" spans="33:33">
      <c r="AG10433" s="3"/>
    </row>
    <row r="10434" s="7" customFormat="1" spans="33:33">
      <c r="AG10434" s="3"/>
    </row>
    <row r="10435" s="7" customFormat="1" spans="33:33">
      <c r="AG10435" s="3"/>
    </row>
    <row r="10436" s="7" customFormat="1" spans="33:33">
      <c r="AG10436" s="3"/>
    </row>
    <row r="10437" s="7" customFormat="1" spans="33:33">
      <c r="AG10437" s="3"/>
    </row>
    <row r="10438" s="7" customFormat="1" spans="33:33">
      <c r="AG10438" s="3"/>
    </row>
    <row r="10439" s="7" customFormat="1" spans="33:33">
      <c r="AG10439" s="3"/>
    </row>
    <row r="10440" s="7" customFormat="1" spans="33:33">
      <c r="AG10440" s="3"/>
    </row>
    <row r="10441" s="7" customFormat="1" spans="33:33">
      <c r="AG10441" s="3"/>
    </row>
    <row r="10442" s="7" customFormat="1" spans="33:33">
      <c r="AG10442" s="3"/>
    </row>
    <row r="10443" s="7" customFormat="1" spans="33:33">
      <c r="AG10443" s="3"/>
    </row>
    <row r="10444" s="7" customFormat="1" spans="33:33">
      <c r="AG10444" s="3"/>
    </row>
    <row r="10445" s="7" customFormat="1" spans="33:33">
      <c r="AG10445" s="3"/>
    </row>
    <row r="10446" s="7" customFormat="1" spans="33:33">
      <c r="AG10446" s="3"/>
    </row>
    <row r="10447" s="7" customFormat="1" spans="33:33">
      <c r="AG10447" s="3"/>
    </row>
    <row r="10448" s="7" customFormat="1" spans="33:33">
      <c r="AG10448" s="3"/>
    </row>
    <row r="10449" s="7" customFormat="1" spans="33:33">
      <c r="AG10449" s="3"/>
    </row>
    <row r="10450" s="7" customFormat="1" spans="33:33">
      <c r="AG10450" s="3"/>
    </row>
    <row r="10451" s="7" customFormat="1" spans="33:33">
      <c r="AG10451" s="3"/>
    </row>
    <row r="10452" s="7" customFormat="1" spans="33:33">
      <c r="AG10452" s="3"/>
    </row>
    <row r="10453" s="7" customFormat="1" spans="33:33">
      <c r="AG10453" s="3"/>
    </row>
    <row r="10454" s="7" customFormat="1" spans="33:33">
      <c r="AG10454" s="3"/>
    </row>
    <row r="10455" s="7" customFormat="1" spans="33:33">
      <c r="AG10455" s="3"/>
    </row>
    <row r="10456" s="7" customFormat="1" spans="33:33">
      <c r="AG10456" s="3"/>
    </row>
    <row r="10457" s="7" customFormat="1" spans="33:33">
      <c r="AG10457" s="3"/>
    </row>
    <row r="10458" s="7" customFormat="1" spans="33:33">
      <c r="AG10458" s="3"/>
    </row>
    <row r="10459" s="7" customFormat="1" spans="33:33">
      <c r="AG10459" s="3"/>
    </row>
    <row r="10460" s="7" customFormat="1" spans="33:33">
      <c r="AG10460" s="3"/>
    </row>
    <row r="10461" s="7" customFormat="1" spans="33:33">
      <c r="AG10461" s="3"/>
    </row>
    <row r="10462" s="7" customFormat="1" spans="33:33">
      <c r="AG10462" s="3"/>
    </row>
    <row r="10463" s="7" customFormat="1" spans="33:33">
      <c r="AG10463" s="3"/>
    </row>
    <row r="10464" s="7" customFormat="1" spans="33:33">
      <c r="AG10464" s="3"/>
    </row>
    <row r="10465" s="7" customFormat="1" spans="33:33">
      <c r="AG10465" s="3"/>
    </row>
    <row r="10466" s="7" customFormat="1" spans="33:33">
      <c r="AG10466" s="3"/>
    </row>
    <row r="10467" s="7" customFormat="1" spans="33:33">
      <c r="AG10467" s="3"/>
    </row>
    <row r="10468" s="7" customFormat="1" spans="33:33">
      <c r="AG10468" s="3"/>
    </row>
    <row r="10469" s="7" customFormat="1" spans="33:33">
      <c r="AG10469" s="3"/>
    </row>
    <row r="10470" s="7" customFormat="1" spans="33:33">
      <c r="AG10470" s="3"/>
    </row>
    <row r="10471" s="7" customFormat="1" spans="33:33">
      <c r="AG10471" s="3"/>
    </row>
    <row r="10472" s="7" customFormat="1" spans="33:33">
      <c r="AG10472" s="3"/>
    </row>
    <row r="10473" s="7" customFormat="1" spans="33:33">
      <c r="AG10473" s="3"/>
    </row>
    <row r="10474" s="7" customFormat="1" spans="33:33">
      <c r="AG10474" s="3"/>
    </row>
    <row r="10475" s="7" customFormat="1" spans="33:33">
      <c r="AG10475" s="3"/>
    </row>
    <row r="10476" s="7" customFormat="1" spans="33:33">
      <c r="AG10476" s="3"/>
    </row>
    <row r="10477" s="7" customFormat="1" spans="33:33">
      <c r="AG10477" s="3"/>
    </row>
    <row r="10478" s="7" customFormat="1" spans="33:33">
      <c r="AG10478" s="3"/>
    </row>
    <row r="10479" s="7" customFormat="1" spans="33:33">
      <c r="AG10479" s="3"/>
    </row>
    <row r="10480" s="7" customFormat="1" spans="33:33">
      <c r="AG10480" s="3"/>
    </row>
    <row r="10481" s="7" customFormat="1" spans="33:33">
      <c r="AG10481" s="3"/>
    </row>
    <row r="10482" s="7" customFormat="1" spans="33:33">
      <c r="AG10482" s="3"/>
    </row>
    <row r="10483" s="7" customFormat="1" spans="33:33">
      <c r="AG10483" s="3"/>
    </row>
    <row r="10484" s="7" customFormat="1" spans="33:33">
      <c r="AG10484" s="3"/>
    </row>
    <row r="10485" s="7" customFormat="1" spans="33:33">
      <c r="AG10485" s="3"/>
    </row>
    <row r="10486" s="7" customFormat="1" spans="33:33">
      <c r="AG10486" s="3"/>
    </row>
    <row r="10487" s="7" customFormat="1" spans="33:33">
      <c r="AG10487" s="3"/>
    </row>
    <row r="10488" s="7" customFormat="1" spans="33:33">
      <c r="AG10488" s="3"/>
    </row>
    <row r="10489" s="7" customFormat="1" spans="33:33">
      <c r="AG10489" s="3"/>
    </row>
    <row r="10490" s="7" customFormat="1" spans="33:33">
      <c r="AG10490" s="3"/>
    </row>
    <row r="10491" s="7" customFormat="1" spans="33:33">
      <c r="AG10491" s="3"/>
    </row>
    <row r="10492" s="7" customFormat="1" spans="33:33">
      <c r="AG10492" s="3"/>
    </row>
    <row r="10493" s="7" customFormat="1" spans="33:33">
      <c r="AG10493" s="3"/>
    </row>
    <row r="10494" s="7" customFormat="1" spans="33:33">
      <c r="AG10494" s="3"/>
    </row>
    <row r="10495" s="7" customFormat="1" spans="33:33">
      <c r="AG10495" s="3"/>
    </row>
    <row r="10496" s="7" customFormat="1" spans="33:33">
      <c r="AG10496" s="3"/>
    </row>
    <row r="10497" s="7" customFormat="1" spans="33:33">
      <c r="AG10497" s="3"/>
    </row>
    <row r="10498" s="7" customFormat="1" spans="33:33">
      <c r="AG10498" s="3"/>
    </row>
    <row r="10499" s="7" customFormat="1" spans="33:33">
      <c r="AG10499" s="3"/>
    </row>
    <row r="10500" s="7" customFormat="1" spans="33:33">
      <c r="AG10500" s="3"/>
    </row>
    <row r="10501" s="7" customFormat="1" spans="33:33">
      <c r="AG10501" s="3"/>
    </row>
    <row r="10502" s="7" customFormat="1" spans="33:33">
      <c r="AG10502" s="3"/>
    </row>
    <row r="10503" s="7" customFormat="1" spans="33:33">
      <c r="AG10503" s="3"/>
    </row>
    <row r="10504" s="7" customFormat="1" spans="33:33">
      <c r="AG10504" s="3"/>
    </row>
    <row r="10505" s="7" customFormat="1" spans="33:33">
      <c r="AG10505" s="3"/>
    </row>
    <row r="10506" s="7" customFormat="1" spans="33:33">
      <c r="AG10506" s="3"/>
    </row>
    <row r="10507" s="7" customFormat="1" spans="33:33">
      <c r="AG10507" s="3"/>
    </row>
    <row r="10508" s="7" customFormat="1" spans="33:33">
      <c r="AG10508" s="3"/>
    </row>
    <row r="10509" s="7" customFormat="1" spans="33:33">
      <c r="AG10509" s="3"/>
    </row>
    <row r="10510" s="7" customFormat="1" spans="33:33">
      <c r="AG10510" s="3"/>
    </row>
    <row r="10511" s="7" customFormat="1" spans="33:33">
      <c r="AG10511" s="3"/>
    </row>
    <row r="10512" s="7" customFormat="1" spans="33:33">
      <c r="AG10512" s="3"/>
    </row>
    <row r="10513" s="7" customFormat="1" spans="33:33">
      <c r="AG10513" s="3"/>
    </row>
    <row r="10514" s="7" customFormat="1" spans="33:33">
      <c r="AG10514" s="3"/>
    </row>
    <row r="10515" s="7" customFormat="1" spans="33:33">
      <c r="AG10515" s="3"/>
    </row>
    <row r="10516" s="7" customFormat="1" spans="33:33">
      <c r="AG10516" s="3"/>
    </row>
    <row r="10517" s="7" customFormat="1" spans="33:33">
      <c r="AG10517" s="3"/>
    </row>
    <row r="10518" s="7" customFormat="1" spans="33:33">
      <c r="AG10518" s="3"/>
    </row>
    <row r="10519" s="7" customFormat="1" spans="33:33">
      <c r="AG10519" s="3"/>
    </row>
    <row r="10520" s="7" customFormat="1" spans="33:33">
      <c r="AG10520" s="3"/>
    </row>
    <row r="10521" s="7" customFormat="1" spans="33:33">
      <c r="AG10521" s="3"/>
    </row>
    <row r="10522" s="7" customFormat="1" spans="33:33">
      <c r="AG10522" s="3"/>
    </row>
    <row r="10523" s="7" customFormat="1" spans="33:33">
      <c r="AG10523" s="3"/>
    </row>
    <row r="10524" s="7" customFormat="1" spans="33:33">
      <c r="AG10524" s="3"/>
    </row>
    <row r="10525" s="7" customFormat="1" spans="33:33">
      <c r="AG10525" s="3"/>
    </row>
    <row r="10526" s="7" customFormat="1" spans="33:33">
      <c r="AG10526" s="3"/>
    </row>
    <row r="10527" s="7" customFormat="1" spans="33:33">
      <c r="AG10527" s="3"/>
    </row>
    <row r="10528" s="7" customFormat="1" spans="33:33">
      <c r="AG10528" s="3"/>
    </row>
    <row r="10529" s="7" customFormat="1" spans="33:33">
      <c r="AG10529" s="3"/>
    </row>
    <row r="10530" s="7" customFormat="1" spans="33:33">
      <c r="AG10530" s="3"/>
    </row>
    <row r="10531" s="7" customFormat="1" spans="33:33">
      <c r="AG10531" s="3"/>
    </row>
    <row r="10532" s="7" customFormat="1" spans="33:33">
      <c r="AG10532" s="3"/>
    </row>
    <row r="10533" s="7" customFormat="1" spans="33:33">
      <c r="AG10533" s="3"/>
    </row>
    <row r="10534" s="7" customFormat="1" spans="33:33">
      <c r="AG10534" s="3"/>
    </row>
    <row r="10535" s="7" customFormat="1" spans="33:33">
      <c r="AG10535" s="3"/>
    </row>
    <row r="10536" s="7" customFormat="1" spans="33:33">
      <c r="AG10536" s="3"/>
    </row>
    <row r="10537" s="7" customFormat="1" spans="33:33">
      <c r="AG10537" s="3"/>
    </row>
    <row r="10538" s="7" customFormat="1" spans="33:33">
      <c r="AG10538" s="3"/>
    </row>
    <row r="10539" s="7" customFormat="1" spans="33:33">
      <c r="AG10539" s="3"/>
    </row>
    <row r="10540" s="7" customFormat="1" spans="33:33">
      <c r="AG10540" s="3"/>
    </row>
    <row r="10541" s="7" customFormat="1" spans="33:33">
      <c r="AG10541" s="3"/>
    </row>
    <row r="10542" s="7" customFormat="1" spans="33:33">
      <c r="AG10542" s="3"/>
    </row>
    <row r="10543" s="7" customFormat="1" spans="33:33">
      <c r="AG10543" s="3"/>
    </row>
    <row r="10544" s="7" customFormat="1" spans="33:33">
      <c r="AG10544" s="3"/>
    </row>
    <row r="10545" s="7" customFormat="1" spans="33:33">
      <c r="AG10545" s="3"/>
    </row>
    <row r="10546" s="7" customFormat="1" spans="33:33">
      <c r="AG10546" s="3"/>
    </row>
    <row r="10547" s="7" customFormat="1" spans="33:33">
      <c r="AG10547" s="3"/>
    </row>
    <row r="10548" s="7" customFormat="1" spans="33:33">
      <c r="AG10548" s="3"/>
    </row>
    <row r="10549" s="7" customFormat="1" spans="33:33">
      <c r="AG10549" s="3"/>
    </row>
    <row r="10550" s="7" customFormat="1" spans="33:33">
      <c r="AG10550" s="3"/>
    </row>
    <row r="10551" s="7" customFormat="1" spans="33:33">
      <c r="AG10551" s="3"/>
    </row>
    <row r="10552" s="7" customFormat="1" spans="33:33">
      <c r="AG10552" s="3"/>
    </row>
    <row r="10553" s="7" customFormat="1" spans="33:33">
      <c r="AG10553" s="3"/>
    </row>
    <row r="10554" s="7" customFormat="1" spans="33:33">
      <c r="AG10554" s="3"/>
    </row>
    <row r="10555" s="7" customFormat="1" spans="33:33">
      <c r="AG10555" s="3"/>
    </row>
    <row r="10556" s="7" customFormat="1" spans="33:33">
      <c r="AG10556" s="3"/>
    </row>
    <row r="10557" s="7" customFormat="1" spans="33:33">
      <c r="AG10557" s="3"/>
    </row>
    <row r="10558" s="7" customFormat="1" spans="33:33">
      <c r="AG10558" s="3"/>
    </row>
    <row r="10559" s="7" customFormat="1" spans="33:33">
      <c r="AG10559" s="3"/>
    </row>
    <row r="10560" s="7" customFormat="1" spans="33:33">
      <c r="AG10560" s="3"/>
    </row>
    <row r="10561" s="7" customFormat="1" spans="33:33">
      <c r="AG10561" s="3"/>
    </row>
    <row r="10562" s="7" customFormat="1" spans="33:33">
      <c r="AG10562" s="3"/>
    </row>
    <row r="10563" s="7" customFormat="1" spans="33:33">
      <c r="AG10563" s="3"/>
    </row>
    <row r="10564" s="7" customFormat="1" spans="33:33">
      <c r="AG10564" s="3"/>
    </row>
    <row r="10565" s="7" customFormat="1" spans="33:33">
      <c r="AG10565" s="3"/>
    </row>
    <row r="10566" s="7" customFormat="1" spans="33:33">
      <c r="AG10566" s="3"/>
    </row>
    <row r="10567" s="7" customFormat="1" spans="33:33">
      <c r="AG10567" s="3"/>
    </row>
    <row r="10568" s="7" customFormat="1" spans="33:33">
      <c r="AG10568" s="3"/>
    </row>
    <row r="10569" s="7" customFormat="1" spans="33:33">
      <c r="AG10569" s="3"/>
    </row>
    <row r="10570" s="7" customFormat="1" spans="33:33">
      <c r="AG10570" s="3"/>
    </row>
    <row r="10571" s="7" customFormat="1" spans="33:33">
      <c r="AG10571" s="3"/>
    </row>
    <row r="10572" s="7" customFormat="1" spans="33:33">
      <c r="AG10572" s="3"/>
    </row>
    <row r="10573" s="7" customFormat="1" spans="33:33">
      <c r="AG10573" s="3"/>
    </row>
    <row r="10574" s="7" customFormat="1" spans="33:33">
      <c r="AG10574" s="3"/>
    </row>
    <row r="10575" s="7" customFormat="1" spans="33:33">
      <c r="AG10575" s="3"/>
    </row>
    <row r="10576" s="7" customFormat="1" spans="33:33">
      <c r="AG10576" s="3"/>
    </row>
    <row r="10577" s="7" customFormat="1" spans="33:33">
      <c r="AG10577" s="3"/>
    </row>
    <row r="10578" s="7" customFormat="1" spans="33:33">
      <c r="AG10578" s="3"/>
    </row>
    <row r="10579" s="7" customFormat="1" spans="33:33">
      <c r="AG10579" s="3"/>
    </row>
    <row r="10580" s="7" customFormat="1" spans="33:33">
      <c r="AG10580" s="3"/>
    </row>
    <row r="10581" s="7" customFormat="1" spans="33:33">
      <c r="AG10581" s="3"/>
    </row>
    <row r="10582" s="7" customFormat="1" spans="33:33">
      <c r="AG10582" s="3"/>
    </row>
    <row r="10583" s="7" customFormat="1" spans="33:33">
      <c r="AG10583" s="3"/>
    </row>
    <row r="10584" s="7" customFormat="1" spans="33:33">
      <c r="AG10584" s="3"/>
    </row>
    <row r="10585" s="7" customFormat="1" spans="33:33">
      <c r="AG10585" s="3"/>
    </row>
    <row r="10586" s="7" customFormat="1" spans="33:33">
      <c r="AG10586" s="3"/>
    </row>
    <row r="10587" s="7" customFormat="1" spans="33:33">
      <c r="AG10587" s="3"/>
    </row>
    <row r="10588" s="7" customFormat="1" spans="33:33">
      <c r="AG10588" s="3"/>
    </row>
    <row r="10589" s="7" customFormat="1" spans="33:33">
      <c r="AG10589" s="3"/>
    </row>
    <row r="10590" s="7" customFormat="1" spans="33:33">
      <c r="AG10590" s="3"/>
    </row>
    <row r="10591" s="7" customFormat="1" spans="33:33">
      <c r="AG10591" s="3"/>
    </row>
    <row r="10592" s="7" customFormat="1" spans="33:33">
      <c r="AG10592" s="3"/>
    </row>
    <row r="10593" s="7" customFormat="1" spans="33:33">
      <c r="AG10593" s="3"/>
    </row>
    <row r="10594" s="7" customFormat="1" spans="33:33">
      <c r="AG10594" s="3"/>
    </row>
    <row r="10595" s="7" customFormat="1" spans="33:33">
      <c r="AG10595" s="3"/>
    </row>
    <row r="10596" s="7" customFormat="1" spans="33:33">
      <c r="AG10596" s="3"/>
    </row>
    <row r="10597" s="7" customFormat="1" spans="33:33">
      <c r="AG10597" s="3"/>
    </row>
    <row r="10598" s="7" customFormat="1" spans="33:33">
      <c r="AG10598" s="3"/>
    </row>
    <row r="10599" s="7" customFormat="1" spans="33:33">
      <c r="AG10599" s="3"/>
    </row>
    <row r="10600" s="7" customFormat="1" spans="33:33">
      <c r="AG10600" s="3"/>
    </row>
    <row r="10601" s="7" customFormat="1" spans="33:33">
      <c r="AG10601" s="3"/>
    </row>
    <row r="10602" s="7" customFormat="1" spans="33:33">
      <c r="AG10602" s="3"/>
    </row>
    <row r="10603" s="7" customFormat="1" spans="33:33">
      <c r="AG10603" s="3"/>
    </row>
    <row r="10604" s="7" customFormat="1" spans="33:33">
      <c r="AG10604" s="3"/>
    </row>
    <row r="10605" s="7" customFormat="1" spans="33:33">
      <c r="AG10605" s="3"/>
    </row>
    <row r="10606" s="7" customFormat="1" spans="33:33">
      <c r="AG10606" s="3"/>
    </row>
    <row r="10607" s="7" customFormat="1" spans="33:33">
      <c r="AG10607" s="3"/>
    </row>
    <row r="10608" s="7" customFormat="1" spans="33:33">
      <c r="AG10608" s="3"/>
    </row>
    <row r="10609" s="7" customFormat="1" spans="33:33">
      <c r="AG10609" s="3"/>
    </row>
    <row r="10610" s="7" customFormat="1" spans="33:33">
      <c r="AG10610" s="3"/>
    </row>
    <row r="10611" s="7" customFormat="1" spans="33:33">
      <c r="AG10611" s="3"/>
    </row>
    <row r="10612" s="7" customFormat="1" spans="33:33">
      <c r="AG10612" s="3"/>
    </row>
    <row r="10613" s="7" customFormat="1" spans="33:33">
      <c r="AG10613" s="3"/>
    </row>
    <row r="10614" s="7" customFormat="1" spans="33:33">
      <c r="AG10614" s="3"/>
    </row>
    <row r="10615" s="7" customFormat="1" spans="33:33">
      <c r="AG10615" s="3"/>
    </row>
    <row r="10616" s="7" customFormat="1" spans="33:33">
      <c r="AG10616" s="3"/>
    </row>
    <row r="10617" s="7" customFormat="1" spans="33:33">
      <c r="AG10617" s="3"/>
    </row>
    <row r="10618" s="7" customFormat="1" spans="33:33">
      <c r="AG10618" s="3"/>
    </row>
    <row r="10619" s="7" customFormat="1" spans="33:33">
      <c r="AG10619" s="3"/>
    </row>
    <row r="10620" s="7" customFormat="1" spans="33:33">
      <c r="AG10620" s="3"/>
    </row>
    <row r="10621" s="7" customFormat="1" spans="33:33">
      <c r="AG10621" s="3"/>
    </row>
    <row r="10622" s="7" customFormat="1" spans="33:33">
      <c r="AG10622" s="3"/>
    </row>
    <row r="10623" s="7" customFormat="1" spans="33:33">
      <c r="AG10623" s="3"/>
    </row>
    <row r="10624" s="7" customFormat="1" spans="33:33">
      <c r="AG10624" s="3"/>
    </row>
    <row r="10625" s="7" customFormat="1" spans="33:33">
      <c r="AG10625" s="3"/>
    </row>
    <row r="10626" s="7" customFormat="1" spans="33:33">
      <c r="AG10626" s="3"/>
    </row>
    <row r="10627" s="7" customFormat="1" spans="33:33">
      <c r="AG10627" s="3"/>
    </row>
    <row r="10628" s="7" customFormat="1" spans="33:33">
      <c r="AG10628" s="3"/>
    </row>
    <row r="10629" s="7" customFormat="1" spans="33:33">
      <c r="AG10629" s="3"/>
    </row>
    <row r="10630" s="7" customFormat="1" spans="33:33">
      <c r="AG10630" s="3"/>
    </row>
    <row r="10631" s="7" customFormat="1" spans="33:33">
      <c r="AG10631" s="3"/>
    </row>
    <row r="10632" s="7" customFormat="1" spans="33:33">
      <c r="AG10632" s="3"/>
    </row>
    <row r="10633" s="7" customFormat="1" spans="33:33">
      <c r="AG10633" s="3"/>
    </row>
    <row r="10634" s="7" customFormat="1" spans="33:33">
      <c r="AG10634" s="3"/>
    </row>
    <row r="10635" s="7" customFormat="1" spans="33:33">
      <c r="AG10635" s="3"/>
    </row>
    <row r="10636" s="7" customFormat="1" spans="33:33">
      <c r="AG10636" s="3"/>
    </row>
    <row r="10637" s="7" customFormat="1" spans="33:33">
      <c r="AG10637" s="3"/>
    </row>
    <row r="10638" s="7" customFormat="1" spans="33:33">
      <c r="AG10638" s="3"/>
    </row>
    <row r="10639" s="7" customFormat="1" spans="33:33">
      <c r="AG10639" s="3"/>
    </row>
    <row r="10640" s="7" customFormat="1" spans="33:33">
      <c r="AG10640" s="3"/>
    </row>
    <row r="10641" s="7" customFormat="1" spans="33:33">
      <c r="AG10641" s="3"/>
    </row>
    <row r="10642" s="7" customFormat="1" spans="33:33">
      <c r="AG10642" s="3"/>
    </row>
    <row r="10643" s="7" customFormat="1" spans="33:33">
      <c r="AG10643" s="3"/>
    </row>
    <row r="10644" s="7" customFormat="1" spans="33:33">
      <c r="AG10644" s="3"/>
    </row>
    <row r="10645" s="7" customFormat="1" spans="33:33">
      <c r="AG10645" s="3"/>
    </row>
    <row r="10646" s="7" customFormat="1" spans="33:33">
      <c r="AG10646" s="3"/>
    </row>
    <row r="10647" s="7" customFormat="1" spans="33:33">
      <c r="AG10647" s="3"/>
    </row>
    <row r="10648" s="7" customFormat="1" spans="33:33">
      <c r="AG10648" s="3"/>
    </row>
    <row r="10649" s="7" customFormat="1" spans="33:33">
      <c r="AG10649" s="3"/>
    </row>
    <row r="10650" s="7" customFormat="1" spans="33:33">
      <c r="AG10650" s="3"/>
    </row>
    <row r="10651" s="7" customFormat="1" spans="33:33">
      <c r="AG10651" s="3"/>
    </row>
    <row r="10652" s="7" customFormat="1" spans="33:33">
      <c r="AG10652" s="3"/>
    </row>
    <row r="10653" s="7" customFormat="1" spans="33:33">
      <c r="AG10653" s="3"/>
    </row>
    <row r="10654" s="7" customFormat="1" spans="33:33">
      <c r="AG10654" s="3"/>
    </row>
    <row r="10655" s="7" customFormat="1" spans="33:33">
      <c r="AG10655" s="3"/>
    </row>
    <row r="10656" s="7" customFormat="1" spans="33:33">
      <c r="AG10656" s="3"/>
    </row>
    <row r="10657" s="7" customFormat="1" spans="33:33">
      <c r="AG10657" s="3"/>
    </row>
    <row r="10658" s="7" customFormat="1" spans="33:33">
      <c r="AG10658" s="3"/>
    </row>
    <row r="10659" s="7" customFormat="1" spans="33:33">
      <c r="AG10659" s="3"/>
    </row>
    <row r="10660" s="7" customFormat="1" spans="33:33">
      <c r="AG10660" s="3"/>
    </row>
    <row r="10661" s="7" customFormat="1" spans="33:33">
      <c r="AG10661" s="3"/>
    </row>
    <row r="10662" s="7" customFormat="1" spans="33:33">
      <c r="AG10662" s="3"/>
    </row>
    <row r="10663" s="7" customFormat="1" spans="33:33">
      <c r="AG10663" s="3"/>
    </row>
    <row r="10664" s="7" customFormat="1" spans="33:33">
      <c r="AG10664" s="3"/>
    </row>
    <row r="10665" s="7" customFormat="1" spans="33:33">
      <c r="AG10665" s="3"/>
    </row>
    <row r="10666" s="7" customFormat="1" spans="33:33">
      <c r="AG10666" s="3"/>
    </row>
    <row r="10667" s="7" customFormat="1" spans="33:33">
      <c r="AG10667" s="3"/>
    </row>
    <row r="10668" s="7" customFormat="1" spans="33:33">
      <c r="AG10668" s="3"/>
    </row>
    <row r="10669" s="7" customFormat="1" spans="33:33">
      <c r="AG10669" s="3"/>
    </row>
    <row r="10670" s="7" customFormat="1" spans="33:33">
      <c r="AG10670" s="3"/>
    </row>
    <row r="10671" s="7" customFormat="1" spans="33:33">
      <c r="AG10671" s="3"/>
    </row>
    <row r="10672" s="7" customFormat="1" spans="33:33">
      <c r="AG10672" s="3"/>
    </row>
    <row r="10673" s="7" customFormat="1" spans="33:33">
      <c r="AG10673" s="3"/>
    </row>
    <row r="10674" s="7" customFormat="1" spans="33:33">
      <c r="AG10674" s="3"/>
    </row>
    <row r="10675" s="7" customFormat="1" spans="33:33">
      <c r="AG10675" s="3"/>
    </row>
    <row r="10676" s="7" customFormat="1" spans="33:33">
      <c r="AG10676" s="3"/>
    </row>
    <row r="10677" s="7" customFormat="1" spans="33:33">
      <c r="AG10677" s="3"/>
    </row>
    <row r="10678" s="7" customFormat="1" spans="33:33">
      <c r="AG10678" s="3"/>
    </row>
    <row r="10679" s="7" customFormat="1" spans="33:33">
      <c r="AG10679" s="3"/>
    </row>
    <row r="10680" s="7" customFormat="1" spans="33:33">
      <c r="AG10680" s="3"/>
    </row>
    <row r="10681" s="7" customFormat="1" spans="33:33">
      <c r="AG10681" s="3"/>
    </row>
    <row r="10682" s="7" customFormat="1" spans="33:33">
      <c r="AG10682" s="3"/>
    </row>
    <row r="10683" s="7" customFormat="1" spans="33:33">
      <c r="AG10683" s="3"/>
    </row>
    <row r="10684" s="7" customFormat="1" spans="33:33">
      <c r="AG10684" s="3"/>
    </row>
    <row r="10685" s="7" customFormat="1" spans="33:33">
      <c r="AG10685" s="3"/>
    </row>
    <row r="10686" s="7" customFormat="1" spans="33:33">
      <c r="AG10686" s="3"/>
    </row>
    <row r="10687" s="7" customFormat="1" spans="33:33">
      <c r="AG10687" s="3"/>
    </row>
    <row r="10688" s="7" customFormat="1" spans="33:33">
      <c r="AG10688" s="3"/>
    </row>
    <row r="10689" s="7" customFormat="1" spans="33:33">
      <c r="AG10689" s="3"/>
    </row>
    <row r="10690" s="7" customFormat="1" spans="33:33">
      <c r="AG10690" s="3"/>
    </row>
    <row r="10691" s="7" customFormat="1" spans="33:33">
      <c r="AG10691" s="3"/>
    </row>
    <row r="10692" s="7" customFormat="1" spans="33:33">
      <c r="AG10692" s="3"/>
    </row>
    <row r="10693" s="7" customFormat="1" spans="33:33">
      <c r="AG10693" s="3"/>
    </row>
    <row r="10694" s="7" customFormat="1" spans="33:33">
      <c r="AG10694" s="3"/>
    </row>
    <row r="10695" s="7" customFormat="1" spans="33:33">
      <c r="AG10695" s="3"/>
    </row>
    <row r="10696" s="7" customFormat="1" spans="33:33">
      <c r="AG10696" s="3"/>
    </row>
    <row r="10697" s="7" customFormat="1" spans="33:33">
      <c r="AG10697" s="3"/>
    </row>
    <row r="10698" s="7" customFormat="1" spans="33:33">
      <c r="AG10698" s="3"/>
    </row>
    <row r="10699" s="7" customFormat="1" spans="33:33">
      <c r="AG10699" s="3"/>
    </row>
    <row r="10700" s="7" customFormat="1" spans="33:33">
      <c r="AG10700" s="3"/>
    </row>
    <row r="10701" s="7" customFormat="1" spans="33:33">
      <c r="AG10701" s="3"/>
    </row>
    <row r="10702" s="7" customFormat="1" spans="33:33">
      <c r="AG10702" s="3"/>
    </row>
    <row r="10703" s="7" customFormat="1" spans="33:33">
      <c r="AG10703" s="3"/>
    </row>
    <row r="10704" s="7" customFormat="1" spans="33:33">
      <c r="AG10704" s="3"/>
    </row>
    <row r="10705" s="7" customFormat="1" spans="33:33">
      <c r="AG10705" s="3"/>
    </row>
    <row r="10706" s="7" customFormat="1" spans="33:33">
      <c r="AG10706" s="3"/>
    </row>
    <row r="10707" s="7" customFormat="1" spans="33:33">
      <c r="AG10707" s="3"/>
    </row>
    <row r="10708" s="7" customFormat="1" spans="33:33">
      <c r="AG10708" s="3"/>
    </row>
    <row r="10709" s="7" customFormat="1" spans="33:33">
      <c r="AG10709" s="3"/>
    </row>
    <row r="10710" s="7" customFormat="1" spans="33:33">
      <c r="AG10710" s="3"/>
    </row>
    <row r="10711" s="7" customFormat="1" spans="33:33">
      <c r="AG10711" s="3"/>
    </row>
    <row r="10712" s="7" customFormat="1" spans="33:33">
      <c r="AG10712" s="3"/>
    </row>
    <row r="10713" s="7" customFormat="1" spans="33:33">
      <c r="AG10713" s="3"/>
    </row>
    <row r="10714" s="7" customFormat="1" spans="33:33">
      <c r="AG10714" s="3"/>
    </row>
    <row r="10715" s="7" customFormat="1" spans="33:33">
      <c r="AG10715" s="3"/>
    </row>
    <row r="10716" s="7" customFormat="1" spans="33:33">
      <c r="AG10716" s="3"/>
    </row>
    <row r="10717" s="7" customFormat="1" spans="33:33">
      <c r="AG10717" s="3"/>
    </row>
    <row r="10718" s="7" customFormat="1" spans="33:33">
      <c r="AG10718" s="3"/>
    </row>
    <row r="10719" s="7" customFormat="1" spans="33:33">
      <c r="AG10719" s="3"/>
    </row>
    <row r="10720" s="7" customFormat="1" spans="33:33">
      <c r="AG10720" s="3"/>
    </row>
    <row r="10721" s="7" customFormat="1" spans="33:33">
      <c r="AG10721" s="3"/>
    </row>
    <row r="10722" s="7" customFormat="1" spans="33:33">
      <c r="AG10722" s="3"/>
    </row>
    <row r="10723" s="7" customFormat="1" spans="33:33">
      <c r="AG10723" s="3"/>
    </row>
    <row r="10724" s="7" customFormat="1" spans="33:33">
      <c r="AG10724" s="3"/>
    </row>
    <row r="10725" s="7" customFormat="1" spans="33:33">
      <c r="AG10725" s="3"/>
    </row>
    <row r="10726" s="7" customFormat="1" spans="33:33">
      <c r="AG10726" s="3"/>
    </row>
    <row r="10727" s="7" customFormat="1" spans="33:33">
      <c r="AG10727" s="3"/>
    </row>
    <row r="10728" s="7" customFormat="1" spans="33:33">
      <c r="AG10728" s="3"/>
    </row>
    <row r="10729" s="7" customFormat="1" spans="33:33">
      <c r="AG10729" s="3"/>
    </row>
    <row r="10730" s="7" customFormat="1" spans="33:33">
      <c r="AG10730" s="3"/>
    </row>
    <row r="10731" s="7" customFormat="1" spans="33:33">
      <c r="AG10731" s="3"/>
    </row>
    <row r="10732" s="7" customFormat="1" spans="33:33">
      <c r="AG10732" s="3"/>
    </row>
    <row r="10733" s="7" customFormat="1" spans="33:33">
      <c r="AG10733" s="3"/>
    </row>
    <row r="10734" s="7" customFormat="1" spans="33:33">
      <c r="AG10734" s="3"/>
    </row>
    <row r="10735" s="7" customFormat="1" spans="33:33">
      <c r="AG10735" s="3"/>
    </row>
    <row r="10736" s="7" customFormat="1" spans="33:33">
      <c r="AG10736" s="3"/>
    </row>
    <row r="10737" s="7" customFormat="1" spans="33:33">
      <c r="AG10737" s="3"/>
    </row>
    <row r="10738" s="7" customFormat="1" spans="33:33">
      <c r="AG10738" s="3"/>
    </row>
    <row r="10739" s="7" customFormat="1" spans="33:33">
      <c r="AG10739" s="3"/>
    </row>
    <row r="10740" s="7" customFormat="1" spans="33:33">
      <c r="AG10740" s="3"/>
    </row>
    <row r="10741" s="7" customFormat="1" spans="33:33">
      <c r="AG10741" s="3"/>
    </row>
    <row r="10742" s="7" customFormat="1" spans="33:33">
      <c r="AG10742" s="3"/>
    </row>
    <row r="10743" s="7" customFormat="1" spans="33:33">
      <c r="AG10743" s="3"/>
    </row>
    <row r="10744" s="7" customFormat="1" spans="33:33">
      <c r="AG10744" s="3"/>
    </row>
    <row r="10745" s="7" customFormat="1" spans="33:33">
      <c r="AG10745" s="3"/>
    </row>
    <row r="10746" s="7" customFormat="1" spans="33:33">
      <c r="AG10746" s="3"/>
    </row>
    <row r="10747" s="7" customFormat="1" spans="33:33">
      <c r="AG10747" s="3"/>
    </row>
    <row r="10748" s="7" customFormat="1" spans="33:33">
      <c r="AG10748" s="3"/>
    </row>
    <row r="10749" s="7" customFormat="1" spans="33:33">
      <c r="AG10749" s="3"/>
    </row>
    <row r="10750" s="7" customFormat="1" spans="33:33">
      <c r="AG10750" s="3"/>
    </row>
    <row r="10751" s="7" customFormat="1" spans="33:33">
      <c r="AG10751" s="3"/>
    </row>
    <row r="10752" s="7" customFormat="1" spans="33:33">
      <c r="AG10752" s="3"/>
    </row>
    <row r="10753" s="7" customFormat="1" spans="33:33">
      <c r="AG10753" s="3"/>
    </row>
    <row r="10754" s="7" customFormat="1" spans="33:33">
      <c r="AG10754" s="3"/>
    </row>
    <row r="10755" s="7" customFormat="1" spans="33:33">
      <c r="AG10755" s="3"/>
    </row>
    <row r="10756" s="7" customFormat="1" spans="33:33">
      <c r="AG10756" s="3"/>
    </row>
    <row r="10757" s="7" customFormat="1" spans="33:33">
      <c r="AG10757" s="3"/>
    </row>
    <row r="10758" s="7" customFormat="1" spans="33:33">
      <c r="AG10758" s="3"/>
    </row>
    <row r="10759" s="7" customFormat="1" spans="33:33">
      <c r="AG10759" s="3"/>
    </row>
    <row r="10760" s="7" customFormat="1" spans="33:33">
      <c r="AG10760" s="3"/>
    </row>
    <row r="10761" s="7" customFormat="1" spans="33:33">
      <c r="AG10761" s="3"/>
    </row>
    <row r="10762" s="7" customFormat="1" spans="33:33">
      <c r="AG10762" s="3"/>
    </row>
    <row r="10763" s="7" customFormat="1" spans="33:33">
      <c r="AG10763" s="3"/>
    </row>
    <row r="10764" s="7" customFormat="1" spans="33:33">
      <c r="AG10764" s="3"/>
    </row>
    <row r="10765" s="7" customFormat="1" spans="33:33">
      <c r="AG10765" s="3"/>
    </row>
    <row r="10766" s="7" customFormat="1" spans="33:33">
      <c r="AG10766" s="3"/>
    </row>
    <row r="10767" s="7" customFormat="1" spans="33:33">
      <c r="AG10767" s="3"/>
    </row>
    <row r="10768" s="7" customFormat="1" spans="33:33">
      <c r="AG10768" s="3"/>
    </row>
    <row r="10769" s="7" customFormat="1" spans="33:33">
      <c r="AG10769" s="3"/>
    </row>
    <row r="10770" s="7" customFormat="1" spans="33:33">
      <c r="AG10770" s="3"/>
    </row>
    <row r="10771" s="7" customFormat="1" spans="33:33">
      <c r="AG10771" s="3"/>
    </row>
    <row r="10772" s="7" customFormat="1" spans="33:33">
      <c r="AG10772" s="3"/>
    </row>
    <row r="10773" s="7" customFormat="1" spans="33:33">
      <c r="AG10773" s="3"/>
    </row>
    <row r="10774" s="7" customFormat="1" spans="33:33">
      <c r="AG10774" s="3"/>
    </row>
    <row r="10775" s="7" customFormat="1" spans="33:33">
      <c r="AG10775" s="3"/>
    </row>
    <row r="10776" s="7" customFormat="1" spans="33:33">
      <c r="AG10776" s="3"/>
    </row>
    <row r="10777" s="7" customFormat="1" spans="33:33">
      <c r="AG10777" s="3"/>
    </row>
    <row r="10778" s="7" customFormat="1" spans="33:33">
      <c r="AG10778" s="3"/>
    </row>
    <row r="10779" s="7" customFormat="1" spans="33:33">
      <c r="AG10779" s="3"/>
    </row>
    <row r="10780" s="7" customFormat="1" spans="33:33">
      <c r="AG10780" s="3"/>
    </row>
    <row r="10781" s="7" customFormat="1" spans="33:33">
      <c r="AG10781" s="3"/>
    </row>
    <row r="10782" s="7" customFormat="1" spans="33:33">
      <c r="AG10782" s="3"/>
    </row>
    <row r="10783" s="7" customFormat="1" spans="33:33">
      <c r="AG10783" s="3"/>
    </row>
    <row r="10784" s="7" customFormat="1" spans="33:33">
      <c r="AG10784" s="3"/>
    </row>
    <row r="10785" s="7" customFormat="1" spans="33:33">
      <c r="AG10785" s="3"/>
    </row>
    <row r="10786" s="7" customFormat="1" spans="33:33">
      <c r="AG10786" s="3"/>
    </row>
    <row r="10787" s="7" customFormat="1" spans="33:33">
      <c r="AG10787" s="3"/>
    </row>
    <row r="10788" s="7" customFormat="1" spans="33:33">
      <c r="AG10788" s="3"/>
    </row>
    <row r="10789" s="7" customFormat="1" spans="33:33">
      <c r="AG10789" s="3"/>
    </row>
    <row r="10790" s="7" customFormat="1" spans="33:33">
      <c r="AG10790" s="3"/>
    </row>
    <row r="10791" s="7" customFormat="1" spans="33:33">
      <c r="AG10791" s="3"/>
    </row>
    <row r="10792" s="7" customFormat="1" spans="33:33">
      <c r="AG10792" s="3"/>
    </row>
    <row r="10793" s="7" customFormat="1" spans="33:33">
      <c r="AG10793" s="3"/>
    </row>
    <row r="10794" s="7" customFormat="1" spans="33:33">
      <c r="AG10794" s="3"/>
    </row>
    <row r="10795" s="7" customFormat="1" spans="33:33">
      <c r="AG10795" s="3"/>
    </row>
    <row r="10796" s="7" customFormat="1" spans="33:33">
      <c r="AG10796" s="3"/>
    </row>
    <row r="10797" s="7" customFormat="1" spans="33:33">
      <c r="AG10797" s="3"/>
    </row>
    <row r="10798" s="7" customFormat="1" spans="33:33">
      <c r="AG10798" s="3"/>
    </row>
    <row r="10799" s="7" customFormat="1" spans="33:33">
      <c r="AG10799" s="3"/>
    </row>
    <row r="10800" s="7" customFormat="1" spans="33:33">
      <c r="AG10800" s="3"/>
    </row>
    <row r="10801" s="7" customFormat="1" spans="33:33">
      <c r="AG10801" s="3"/>
    </row>
    <row r="10802" s="7" customFormat="1" spans="33:33">
      <c r="AG10802" s="3"/>
    </row>
    <row r="10803" s="7" customFormat="1" spans="33:33">
      <c r="AG10803" s="3"/>
    </row>
    <row r="10804" s="7" customFormat="1" spans="33:33">
      <c r="AG10804" s="3"/>
    </row>
    <row r="10805" s="7" customFormat="1" spans="33:33">
      <c r="AG10805" s="3"/>
    </row>
    <row r="10806" s="7" customFormat="1" spans="33:33">
      <c r="AG10806" s="3"/>
    </row>
    <row r="10807" s="7" customFormat="1" spans="33:33">
      <c r="AG10807" s="3"/>
    </row>
    <row r="10808" s="7" customFormat="1" spans="33:33">
      <c r="AG10808" s="3"/>
    </row>
    <row r="10809" s="7" customFormat="1" spans="33:33">
      <c r="AG10809" s="3"/>
    </row>
    <row r="10810" s="7" customFormat="1" spans="33:33">
      <c r="AG10810" s="3"/>
    </row>
    <row r="10811" s="7" customFormat="1" spans="33:33">
      <c r="AG10811" s="3"/>
    </row>
    <row r="10812" s="7" customFormat="1" spans="33:33">
      <c r="AG10812" s="3"/>
    </row>
    <row r="10813" s="7" customFormat="1" spans="33:33">
      <c r="AG10813" s="3"/>
    </row>
    <row r="10814" s="7" customFormat="1" spans="33:33">
      <c r="AG10814" s="3"/>
    </row>
    <row r="10815" s="7" customFormat="1" spans="33:33">
      <c r="AG10815" s="3"/>
    </row>
    <row r="10816" s="7" customFormat="1" spans="33:33">
      <c r="AG10816" s="3"/>
    </row>
    <row r="10817" s="7" customFormat="1" spans="33:33">
      <c r="AG10817" s="3"/>
    </row>
    <row r="10818" s="7" customFormat="1" spans="33:33">
      <c r="AG10818" s="3"/>
    </row>
    <row r="10819" s="7" customFormat="1" spans="33:33">
      <c r="AG10819" s="3"/>
    </row>
    <row r="10820" s="7" customFormat="1" spans="33:33">
      <c r="AG10820" s="3"/>
    </row>
    <row r="10821" s="7" customFormat="1" spans="33:33">
      <c r="AG10821" s="3"/>
    </row>
    <row r="10822" s="7" customFormat="1" spans="33:33">
      <c r="AG10822" s="3"/>
    </row>
    <row r="10823" s="7" customFormat="1" spans="33:33">
      <c r="AG10823" s="3"/>
    </row>
    <row r="10824" s="7" customFormat="1" spans="33:33">
      <c r="AG10824" s="3"/>
    </row>
    <row r="10825" s="7" customFormat="1" spans="33:33">
      <c r="AG10825" s="3"/>
    </row>
    <row r="10826" s="7" customFormat="1" spans="33:33">
      <c r="AG10826" s="3"/>
    </row>
    <row r="10827" s="7" customFormat="1" spans="33:33">
      <c r="AG10827" s="3"/>
    </row>
    <row r="10828" s="7" customFormat="1" spans="33:33">
      <c r="AG10828" s="3"/>
    </row>
    <row r="10829" s="7" customFormat="1" spans="33:33">
      <c r="AG10829" s="3"/>
    </row>
    <row r="10830" s="7" customFormat="1" spans="33:33">
      <c r="AG10830" s="3"/>
    </row>
    <row r="10831" s="7" customFormat="1" spans="33:33">
      <c r="AG10831" s="3"/>
    </row>
    <row r="10832" s="7" customFormat="1" spans="33:33">
      <c r="AG10832" s="3"/>
    </row>
    <row r="10833" s="7" customFormat="1" spans="33:33">
      <c r="AG10833" s="3"/>
    </row>
    <row r="10834" s="7" customFormat="1" spans="33:33">
      <c r="AG10834" s="3"/>
    </row>
    <row r="10835" s="7" customFormat="1" spans="33:33">
      <c r="AG10835" s="3"/>
    </row>
    <row r="10836" s="7" customFormat="1" spans="33:33">
      <c r="AG10836" s="3"/>
    </row>
    <row r="10837" s="7" customFormat="1" spans="33:33">
      <c r="AG10837" s="3"/>
    </row>
    <row r="10838" s="7" customFormat="1" spans="33:33">
      <c r="AG10838" s="3"/>
    </row>
    <row r="10839" s="7" customFormat="1" spans="33:33">
      <c r="AG10839" s="3"/>
    </row>
    <row r="10840" s="7" customFormat="1" spans="33:33">
      <c r="AG10840" s="3"/>
    </row>
    <row r="10841" s="7" customFormat="1" spans="33:33">
      <c r="AG10841" s="3"/>
    </row>
    <row r="10842" s="7" customFormat="1" spans="33:33">
      <c r="AG10842" s="3"/>
    </row>
    <row r="10843" s="7" customFormat="1" spans="33:33">
      <c r="AG10843" s="3"/>
    </row>
    <row r="10844" s="7" customFormat="1" spans="33:33">
      <c r="AG10844" s="3"/>
    </row>
    <row r="10845" s="7" customFormat="1" spans="33:33">
      <c r="AG10845" s="3"/>
    </row>
    <row r="10846" s="7" customFormat="1" spans="33:33">
      <c r="AG10846" s="3"/>
    </row>
    <row r="10847" s="7" customFormat="1" spans="33:33">
      <c r="AG10847" s="3"/>
    </row>
    <row r="10848" s="7" customFormat="1" spans="33:33">
      <c r="AG10848" s="3"/>
    </row>
    <row r="10849" s="7" customFormat="1" spans="33:33">
      <c r="AG10849" s="3"/>
    </row>
    <row r="10850" s="7" customFormat="1" spans="33:33">
      <c r="AG10850" s="3"/>
    </row>
    <row r="10851" s="7" customFormat="1" spans="33:33">
      <c r="AG10851" s="3"/>
    </row>
    <row r="10852" s="7" customFormat="1" spans="33:33">
      <c r="AG10852" s="3"/>
    </row>
    <row r="10853" s="7" customFormat="1" spans="33:33">
      <c r="AG10853" s="3"/>
    </row>
    <row r="10854" s="7" customFormat="1" spans="33:33">
      <c r="AG10854" s="3"/>
    </row>
    <row r="10855" s="7" customFormat="1" spans="33:33">
      <c r="AG10855" s="3"/>
    </row>
    <row r="10856" s="7" customFormat="1" spans="33:33">
      <c r="AG10856" s="3"/>
    </row>
    <row r="10857" s="7" customFormat="1" spans="33:33">
      <c r="AG10857" s="3"/>
    </row>
    <row r="10858" s="7" customFormat="1" spans="33:33">
      <c r="AG10858" s="3"/>
    </row>
    <row r="10859" s="7" customFormat="1" spans="33:33">
      <c r="AG10859" s="3"/>
    </row>
    <row r="10860" s="7" customFormat="1" spans="33:33">
      <c r="AG10860" s="3"/>
    </row>
    <row r="10861" s="7" customFormat="1" spans="33:33">
      <c r="AG10861" s="3"/>
    </row>
    <row r="10862" s="7" customFormat="1" spans="33:33">
      <c r="AG10862" s="3"/>
    </row>
    <row r="10863" s="7" customFormat="1" spans="33:33">
      <c r="AG10863" s="3"/>
    </row>
    <row r="10864" s="7" customFormat="1" spans="33:33">
      <c r="AG10864" s="3"/>
    </row>
    <row r="10865" s="7" customFormat="1" spans="33:33">
      <c r="AG10865" s="3"/>
    </row>
    <row r="10866" s="7" customFormat="1" spans="33:33">
      <c r="AG10866" s="3"/>
    </row>
    <row r="10867" s="7" customFormat="1" spans="33:33">
      <c r="AG10867" s="3"/>
    </row>
    <row r="10868" s="7" customFormat="1" spans="33:33">
      <c r="AG10868" s="3"/>
    </row>
    <row r="10869" s="7" customFormat="1" spans="33:33">
      <c r="AG10869" s="3"/>
    </row>
    <row r="10870" s="7" customFormat="1" spans="33:33">
      <c r="AG10870" s="3"/>
    </row>
    <row r="10871" s="7" customFormat="1" spans="33:33">
      <c r="AG10871" s="3"/>
    </row>
    <row r="10872" s="7" customFormat="1" spans="33:33">
      <c r="AG10872" s="3"/>
    </row>
    <row r="10873" s="7" customFormat="1" spans="33:33">
      <c r="AG10873" s="3"/>
    </row>
    <row r="10874" s="7" customFormat="1" spans="33:33">
      <c r="AG10874" s="3"/>
    </row>
    <row r="10875" s="7" customFormat="1" spans="33:33">
      <c r="AG10875" s="3"/>
    </row>
    <row r="10876" s="7" customFormat="1" spans="33:33">
      <c r="AG10876" s="3"/>
    </row>
    <row r="10877" s="7" customFormat="1" spans="33:33">
      <c r="AG10877" s="3"/>
    </row>
    <row r="10878" s="7" customFormat="1" spans="33:33">
      <c r="AG10878" s="3"/>
    </row>
    <row r="10879" s="7" customFormat="1" spans="33:33">
      <c r="AG10879" s="3"/>
    </row>
    <row r="10880" s="7" customFormat="1" spans="33:33">
      <c r="AG10880" s="3"/>
    </row>
    <row r="10881" s="7" customFormat="1" spans="33:33">
      <c r="AG10881" s="3"/>
    </row>
    <row r="10882" s="7" customFormat="1" spans="33:33">
      <c r="AG10882" s="3"/>
    </row>
    <row r="10883" s="7" customFormat="1" spans="33:33">
      <c r="AG10883" s="3"/>
    </row>
    <row r="10884" s="7" customFormat="1" spans="33:33">
      <c r="AG10884" s="3"/>
    </row>
    <row r="10885" s="7" customFormat="1" spans="33:33">
      <c r="AG10885" s="3"/>
    </row>
    <row r="10886" s="7" customFormat="1" spans="33:33">
      <c r="AG10886" s="3"/>
    </row>
    <row r="10887" s="7" customFormat="1" spans="33:33">
      <c r="AG10887" s="3"/>
    </row>
    <row r="10888" s="7" customFormat="1" spans="33:33">
      <c r="AG10888" s="3"/>
    </row>
    <row r="10889" s="7" customFormat="1" spans="33:33">
      <c r="AG10889" s="3"/>
    </row>
    <row r="10890" s="7" customFormat="1" spans="33:33">
      <c r="AG10890" s="3"/>
    </row>
    <row r="10891" s="7" customFormat="1" spans="33:33">
      <c r="AG10891" s="3"/>
    </row>
    <row r="10892" s="7" customFormat="1" spans="33:33">
      <c r="AG10892" s="3"/>
    </row>
    <row r="10893" s="7" customFormat="1" spans="33:33">
      <c r="AG10893" s="3"/>
    </row>
    <row r="10894" s="7" customFormat="1" spans="33:33">
      <c r="AG10894" s="3"/>
    </row>
    <row r="10895" s="7" customFormat="1" spans="33:33">
      <c r="AG10895" s="3"/>
    </row>
    <row r="10896" s="7" customFormat="1" spans="33:33">
      <c r="AG10896" s="3"/>
    </row>
    <row r="10897" s="7" customFormat="1" spans="33:33">
      <c r="AG10897" s="3"/>
    </row>
    <row r="10898" s="7" customFormat="1" spans="33:33">
      <c r="AG10898" s="3"/>
    </row>
    <row r="10899" s="7" customFormat="1" spans="33:33">
      <c r="AG10899" s="3"/>
    </row>
    <row r="10900" s="7" customFormat="1" spans="33:33">
      <c r="AG10900" s="3"/>
    </row>
    <row r="10901" s="7" customFormat="1" spans="33:33">
      <c r="AG10901" s="3"/>
    </row>
    <row r="10902" s="7" customFormat="1" spans="33:33">
      <c r="AG10902" s="3"/>
    </row>
    <row r="10903" s="7" customFormat="1" spans="33:33">
      <c r="AG10903" s="3"/>
    </row>
    <row r="10904" s="7" customFormat="1" spans="33:33">
      <c r="AG10904" s="3"/>
    </row>
    <row r="10905" s="7" customFormat="1" spans="33:33">
      <c r="AG10905" s="3"/>
    </row>
    <row r="10906" s="7" customFormat="1" spans="33:33">
      <c r="AG10906" s="3"/>
    </row>
    <row r="10907" s="7" customFormat="1" spans="33:33">
      <c r="AG10907" s="3"/>
    </row>
    <row r="10908" s="7" customFormat="1" spans="33:33">
      <c r="AG10908" s="3"/>
    </row>
    <row r="10909" s="7" customFormat="1" spans="33:33">
      <c r="AG10909" s="3"/>
    </row>
    <row r="10910" s="7" customFormat="1" spans="33:33">
      <c r="AG10910" s="3"/>
    </row>
    <row r="10911" s="7" customFormat="1" spans="33:33">
      <c r="AG10911" s="3"/>
    </row>
    <row r="10912" s="7" customFormat="1" spans="33:33">
      <c r="AG10912" s="3"/>
    </row>
    <row r="10913" s="7" customFormat="1" spans="33:33">
      <c r="AG10913" s="3"/>
    </row>
    <row r="10914" s="7" customFormat="1" spans="33:33">
      <c r="AG10914" s="3"/>
    </row>
    <row r="10915" s="7" customFormat="1" spans="33:33">
      <c r="AG10915" s="3"/>
    </row>
    <row r="10916" s="7" customFormat="1" spans="33:33">
      <c r="AG10916" s="3"/>
    </row>
    <row r="10917" s="7" customFormat="1" spans="33:33">
      <c r="AG10917" s="3"/>
    </row>
    <row r="10918" s="7" customFormat="1" spans="33:33">
      <c r="AG10918" s="3"/>
    </row>
    <row r="10919" s="7" customFormat="1" spans="33:33">
      <c r="AG10919" s="3"/>
    </row>
    <row r="10920" s="7" customFormat="1" spans="33:33">
      <c r="AG10920" s="3"/>
    </row>
    <row r="10921" s="7" customFormat="1" spans="33:33">
      <c r="AG10921" s="3"/>
    </row>
    <row r="10922" s="7" customFormat="1" spans="33:33">
      <c r="AG10922" s="3"/>
    </row>
    <row r="10923" s="7" customFormat="1" spans="33:33">
      <c r="AG10923" s="3"/>
    </row>
    <row r="10924" s="7" customFormat="1" spans="33:33">
      <c r="AG10924" s="3"/>
    </row>
    <row r="10925" s="7" customFormat="1" spans="33:33">
      <c r="AG10925" s="3"/>
    </row>
    <row r="10926" s="7" customFormat="1" spans="33:33">
      <c r="AG10926" s="3"/>
    </row>
    <row r="10927" s="7" customFormat="1" spans="33:33">
      <c r="AG10927" s="3"/>
    </row>
    <row r="10928" s="7" customFormat="1" spans="33:33">
      <c r="AG10928" s="3"/>
    </row>
    <row r="10929" s="7" customFormat="1" spans="33:33">
      <c r="AG10929" s="3"/>
    </row>
    <row r="10930" s="7" customFormat="1" spans="33:33">
      <c r="AG10930" s="3"/>
    </row>
    <row r="10931" s="7" customFormat="1" spans="33:33">
      <c r="AG10931" s="3"/>
    </row>
    <row r="10932" s="7" customFormat="1" spans="33:33">
      <c r="AG10932" s="3"/>
    </row>
    <row r="10933" s="7" customFormat="1" spans="33:33">
      <c r="AG10933" s="3"/>
    </row>
    <row r="10934" s="7" customFormat="1" spans="33:33">
      <c r="AG10934" s="3"/>
    </row>
    <row r="10935" s="7" customFormat="1" spans="33:33">
      <c r="AG10935" s="3"/>
    </row>
    <row r="10936" s="7" customFormat="1" spans="33:33">
      <c r="AG10936" s="3"/>
    </row>
    <row r="10937" s="7" customFormat="1" spans="33:33">
      <c r="AG10937" s="3"/>
    </row>
    <row r="10938" s="7" customFormat="1" spans="33:33">
      <c r="AG10938" s="3"/>
    </row>
    <row r="10939" s="7" customFormat="1" spans="33:33">
      <c r="AG10939" s="3"/>
    </row>
    <row r="10940" s="7" customFormat="1" spans="33:33">
      <c r="AG10940" s="3"/>
    </row>
    <row r="10941" s="7" customFormat="1" spans="33:33">
      <c r="AG10941" s="3"/>
    </row>
    <row r="10942" s="7" customFormat="1" spans="33:33">
      <c r="AG10942" s="3"/>
    </row>
    <row r="10943" s="7" customFormat="1" spans="33:33">
      <c r="AG10943" s="3"/>
    </row>
    <row r="10944" s="7" customFormat="1" spans="33:33">
      <c r="AG10944" s="3"/>
    </row>
    <row r="10945" s="7" customFormat="1" spans="33:33">
      <c r="AG10945" s="3"/>
    </row>
    <row r="10946" s="7" customFormat="1" spans="33:33">
      <c r="AG10946" s="3"/>
    </row>
    <row r="10947" s="7" customFormat="1" spans="33:33">
      <c r="AG10947" s="3"/>
    </row>
    <row r="10948" s="7" customFormat="1" spans="33:33">
      <c r="AG10948" s="3"/>
    </row>
    <row r="10949" s="7" customFormat="1" spans="33:33">
      <c r="AG10949" s="3"/>
    </row>
    <row r="10950" s="7" customFormat="1" spans="33:33">
      <c r="AG10950" s="3"/>
    </row>
    <row r="10951" s="7" customFormat="1" spans="33:33">
      <c r="AG10951" s="3"/>
    </row>
    <row r="10952" s="7" customFormat="1" spans="33:33">
      <c r="AG10952" s="3"/>
    </row>
    <row r="10953" s="7" customFormat="1" spans="33:33">
      <c r="AG10953" s="3"/>
    </row>
    <row r="10954" s="7" customFormat="1" spans="33:33">
      <c r="AG10954" s="3"/>
    </row>
    <row r="10955" s="7" customFormat="1" spans="33:33">
      <c r="AG10955" s="3"/>
    </row>
    <row r="10956" s="7" customFormat="1" spans="33:33">
      <c r="AG10956" s="3"/>
    </row>
    <row r="10957" s="7" customFormat="1" spans="33:33">
      <c r="AG10957" s="3"/>
    </row>
    <row r="10958" s="7" customFormat="1" spans="33:33">
      <c r="AG10958" s="3"/>
    </row>
    <row r="10959" s="7" customFormat="1" spans="33:33">
      <c r="AG10959" s="3"/>
    </row>
    <row r="10960" s="7" customFormat="1" spans="33:33">
      <c r="AG10960" s="3"/>
    </row>
    <row r="10961" s="7" customFormat="1" spans="33:33">
      <c r="AG10961" s="3"/>
    </row>
    <row r="10962" s="7" customFormat="1" spans="33:33">
      <c r="AG10962" s="3"/>
    </row>
    <row r="10963" s="7" customFormat="1" spans="33:33">
      <c r="AG10963" s="3"/>
    </row>
    <row r="10964" s="7" customFormat="1" spans="33:33">
      <c r="AG10964" s="3"/>
    </row>
    <row r="10965" s="7" customFormat="1" spans="33:33">
      <c r="AG10965" s="3"/>
    </row>
    <row r="10966" s="7" customFormat="1" spans="33:33">
      <c r="AG10966" s="3"/>
    </row>
    <row r="10967" s="7" customFormat="1" spans="33:33">
      <c r="AG10967" s="3"/>
    </row>
    <row r="10968" s="7" customFormat="1" spans="33:33">
      <c r="AG10968" s="3"/>
    </row>
    <row r="10969" s="7" customFormat="1" spans="33:33">
      <c r="AG10969" s="3"/>
    </row>
    <row r="10970" s="7" customFormat="1" spans="33:33">
      <c r="AG10970" s="3"/>
    </row>
    <row r="10971" s="7" customFormat="1" spans="33:33">
      <c r="AG10971" s="3"/>
    </row>
    <row r="10972" s="7" customFormat="1" spans="33:33">
      <c r="AG10972" s="3"/>
    </row>
    <row r="10973" s="7" customFormat="1" spans="33:33">
      <c r="AG10973" s="3"/>
    </row>
    <row r="10974" s="7" customFormat="1" spans="33:33">
      <c r="AG10974" s="3"/>
    </row>
    <row r="10975" s="7" customFormat="1" spans="33:33">
      <c r="AG10975" s="3"/>
    </row>
    <row r="10976" s="7" customFormat="1" spans="33:33">
      <c r="AG10976" s="3"/>
    </row>
    <row r="10977" s="7" customFormat="1" spans="33:33">
      <c r="AG10977" s="3"/>
    </row>
    <row r="10978" s="7" customFormat="1" spans="33:33">
      <c r="AG10978" s="3"/>
    </row>
    <row r="10979" s="7" customFormat="1" spans="33:33">
      <c r="AG10979" s="3"/>
    </row>
    <row r="10980" s="7" customFormat="1" spans="33:33">
      <c r="AG10980" s="3"/>
    </row>
    <row r="10981" s="7" customFormat="1" spans="33:33">
      <c r="AG10981" s="3"/>
    </row>
    <row r="10982" s="7" customFormat="1" spans="33:33">
      <c r="AG10982" s="3"/>
    </row>
    <row r="10983" s="7" customFormat="1" spans="33:33">
      <c r="AG10983" s="3"/>
    </row>
    <row r="10984" s="7" customFormat="1" spans="33:33">
      <c r="AG10984" s="3"/>
    </row>
    <row r="10985" s="7" customFormat="1" spans="33:33">
      <c r="AG10985" s="3"/>
    </row>
    <row r="10986" s="7" customFormat="1" spans="33:33">
      <c r="AG10986" s="3"/>
    </row>
    <row r="10987" s="7" customFormat="1" spans="33:33">
      <c r="AG10987" s="3"/>
    </row>
    <row r="10988" s="7" customFormat="1" spans="33:33">
      <c r="AG10988" s="3"/>
    </row>
    <row r="10989" s="7" customFormat="1" spans="33:33">
      <c r="AG10989" s="3"/>
    </row>
    <row r="10990" s="7" customFormat="1" spans="33:33">
      <c r="AG10990" s="3"/>
    </row>
    <row r="10991" s="7" customFormat="1" spans="33:33">
      <c r="AG10991" s="3"/>
    </row>
    <row r="10992" s="7" customFormat="1" spans="33:33">
      <c r="AG10992" s="3"/>
    </row>
    <row r="10993" s="7" customFormat="1" spans="33:33">
      <c r="AG10993" s="3"/>
    </row>
    <row r="10994" s="7" customFormat="1" spans="33:33">
      <c r="AG10994" s="3"/>
    </row>
    <row r="10995" s="7" customFormat="1" spans="33:33">
      <c r="AG10995" s="3"/>
    </row>
    <row r="10996" s="7" customFormat="1" spans="33:33">
      <c r="AG10996" s="3"/>
    </row>
    <row r="10997" s="7" customFormat="1" spans="33:33">
      <c r="AG10997" s="3"/>
    </row>
    <row r="10998" s="7" customFormat="1" spans="33:33">
      <c r="AG10998" s="3"/>
    </row>
    <row r="10999" s="7" customFormat="1" spans="33:33">
      <c r="AG10999" s="3"/>
    </row>
    <row r="11000" s="7" customFormat="1" spans="33:33">
      <c r="AG11000" s="3"/>
    </row>
    <row r="11001" s="7" customFormat="1" spans="33:33">
      <c r="AG11001" s="3"/>
    </row>
    <row r="11002" s="7" customFormat="1" spans="33:33">
      <c r="AG11002" s="3"/>
    </row>
    <row r="11003" s="7" customFormat="1" spans="33:33">
      <c r="AG11003" s="3"/>
    </row>
    <row r="11004" s="7" customFormat="1" spans="33:33">
      <c r="AG11004" s="3"/>
    </row>
    <row r="11005" s="7" customFormat="1" spans="33:33">
      <c r="AG11005" s="3"/>
    </row>
    <row r="11006" s="7" customFormat="1" spans="33:33">
      <c r="AG11006" s="3"/>
    </row>
    <row r="11007" s="7" customFormat="1" spans="33:33">
      <c r="AG11007" s="3"/>
    </row>
    <row r="11008" s="7" customFormat="1" spans="33:33">
      <c r="AG11008" s="3"/>
    </row>
    <row r="11009" s="7" customFormat="1" spans="33:33">
      <c r="AG11009" s="3"/>
    </row>
    <row r="11010" s="7" customFormat="1" spans="33:33">
      <c r="AG11010" s="3"/>
    </row>
    <row r="11011" s="7" customFormat="1" spans="33:33">
      <c r="AG11011" s="3"/>
    </row>
    <row r="11012" s="7" customFormat="1" spans="33:33">
      <c r="AG11012" s="3"/>
    </row>
    <row r="11013" s="7" customFormat="1" spans="33:33">
      <c r="AG11013" s="3"/>
    </row>
    <row r="11014" s="7" customFormat="1" spans="33:33">
      <c r="AG11014" s="3"/>
    </row>
    <row r="11015" s="7" customFormat="1" spans="33:33">
      <c r="AG11015" s="3"/>
    </row>
    <row r="11016" s="7" customFormat="1" spans="33:33">
      <c r="AG11016" s="3"/>
    </row>
    <row r="11017" s="7" customFormat="1" spans="33:33">
      <c r="AG11017" s="3"/>
    </row>
    <row r="11018" s="7" customFormat="1" spans="33:33">
      <c r="AG11018" s="3"/>
    </row>
    <row r="11019" s="7" customFormat="1" spans="33:33">
      <c r="AG11019" s="3"/>
    </row>
    <row r="11020" s="7" customFormat="1" spans="33:33">
      <c r="AG11020" s="3"/>
    </row>
    <row r="11021" s="7" customFormat="1" spans="33:33">
      <c r="AG11021" s="3"/>
    </row>
    <row r="11022" s="7" customFormat="1" spans="33:33">
      <c r="AG11022" s="3"/>
    </row>
    <row r="11023" s="7" customFormat="1" spans="33:33">
      <c r="AG11023" s="3"/>
    </row>
    <row r="11024" s="7" customFormat="1" spans="33:33">
      <c r="AG11024" s="3"/>
    </row>
    <row r="11025" s="7" customFormat="1" spans="33:33">
      <c r="AG11025" s="3"/>
    </row>
    <row r="11026" s="7" customFormat="1" spans="33:33">
      <c r="AG11026" s="3"/>
    </row>
    <row r="11027" s="7" customFormat="1" spans="33:33">
      <c r="AG11027" s="3"/>
    </row>
    <row r="11028" s="7" customFormat="1" spans="33:33">
      <c r="AG11028" s="3"/>
    </row>
    <row r="11029" s="7" customFormat="1" spans="33:33">
      <c r="AG11029" s="3"/>
    </row>
    <row r="11030" s="7" customFormat="1" spans="33:33">
      <c r="AG11030" s="3"/>
    </row>
    <row r="11031" s="7" customFormat="1" spans="33:33">
      <c r="AG11031" s="3"/>
    </row>
    <row r="11032" s="7" customFormat="1" spans="33:33">
      <c r="AG11032" s="3"/>
    </row>
    <row r="11033" s="7" customFormat="1" spans="33:33">
      <c r="AG11033" s="3"/>
    </row>
    <row r="11034" s="7" customFormat="1" spans="33:33">
      <c r="AG11034" s="3"/>
    </row>
    <row r="11035" s="7" customFormat="1" spans="33:33">
      <c r="AG11035" s="3"/>
    </row>
    <row r="11036" s="7" customFormat="1" spans="33:33">
      <c r="AG11036" s="3"/>
    </row>
    <row r="11037" s="7" customFormat="1" spans="33:33">
      <c r="AG11037" s="3"/>
    </row>
    <row r="11038" s="7" customFormat="1" spans="33:33">
      <c r="AG11038" s="3"/>
    </row>
    <row r="11039" s="7" customFormat="1" spans="33:33">
      <c r="AG11039" s="3"/>
    </row>
    <row r="11040" s="7" customFormat="1" spans="33:33">
      <c r="AG11040" s="3"/>
    </row>
    <row r="11041" s="7" customFormat="1" spans="33:33">
      <c r="AG11041" s="3"/>
    </row>
    <row r="11042" s="7" customFormat="1" spans="33:33">
      <c r="AG11042" s="3"/>
    </row>
    <row r="11043" s="7" customFormat="1" spans="33:33">
      <c r="AG11043" s="3"/>
    </row>
    <row r="11044" s="7" customFormat="1" spans="33:33">
      <c r="AG11044" s="3"/>
    </row>
    <row r="11045" s="7" customFormat="1" spans="33:33">
      <c r="AG11045" s="3"/>
    </row>
    <row r="11046" s="7" customFormat="1" spans="33:33">
      <c r="AG11046" s="3"/>
    </row>
    <row r="11047" s="7" customFormat="1" spans="33:33">
      <c r="AG11047" s="3"/>
    </row>
    <row r="11048" s="7" customFormat="1" spans="33:33">
      <c r="AG11048" s="3"/>
    </row>
    <row r="11049" s="7" customFormat="1" spans="33:33">
      <c r="AG11049" s="3"/>
    </row>
    <row r="11050" s="7" customFormat="1" spans="33:33">
      <c r="AG11050" s="3"/>
    </row>
    <row r="11051" s="7" customFormat="1" spans="33:33">
      <c r="AG11051" s="3"/>
    </row>
    <row r="11052" s="7" customFormat="1" spans="33:33">
      <c r="AG11052" s="3"/>
    </row>
    <row r="11053" s="7" customFormat="1" spans="33:33">
      <c r="AG11053" s="3"/>
    </row>
    <row r="11054" s="7" customFormat="1" spans="33:33">
      <c r="AG11054" s="3"/>
    </row>
    <row r="11055" s="7" customFormat="1" spans="33:33">
      <c r="AG11055" s="3"/>
    </row>
    <row r="11056" s="7" customFormat="1" spans="33:33">
      <c r="AG11056" s="3"/>
    </row>
    <row r="11057" s="7" customFormat="1" spans="33:33">
      <c r="AG11057" s="3"/>
    </row>
    <row r="11058" s="7" customFormat="1" spans="33:33">
      <c r="AG11058" s="3"/>
    </row>
    <row r="11059" s="7" customFormat="1" spans="33:33">
      <c r="AG11059" s="3"/>
    </row>
    <row r="11060" s="7" customFormat="1" spans="33:33">
      <c r="AG11060" s="3"/>
    </row>
    <row r="11061" s="7" customFormat="1" spans="33:33">
      <c r="AG11061" s="3"/>
    </row>
    <row r="11062" s="7" customFormat="1" spans="33:33">
      <c r="AG11062" s="3"/>
    </row>
    <row r="11063" s="7" customFormat="1" spans="33:33">
      <c r="AG11063" s="3"/>
    </row>
    <row r="11064" s="7" customFormat="1" spans="33:33">
      <c r="AG11064" s="3"/>
    </row>
    <row r="11065" s="7" customFormat="1" spans="33:33">
      <c r="AG11065" s="3"/>
    </row>
    <row r="11066" s="7" customFormat="1" spans="33:33">
      <c r="AG11066" s="3"/>
    </row>
    <row r="11067" s="7" customFormat="1" spans="33:33">
      <c r="AG11067" s="3"/>
    </row>
    <row r="11068" s="7" customFormat="1" spans="33:33">
      <c r="AG11068" s="3"/>
    </row>
    <row r="11069" s="7" customFormat="1" spans="33:33">
      <c r="AG11069" s="3"/>
    </row>
    <row r="11070" s="7" customFormat="1" spans="33:33">
      <c r="AG11070" s="3"/>
    </row>
    <row r="11071" s="7" customFormat="1" spans="33:33">
      <c r="AG11071" s="3"/>
    </row>
    <row r="11072" s="7" customFormat="1" spans="33:33">
      <c r="AG11072" s="3"/>
    </row>
    <row r="11073" s="7" customFormat="1" spans="33:33">
      <c r="AG11073" s="3"/>
    </row>
    <row r="11074" s="7" customFormat="1" spans="33:33">
      <c r="AG11074" s="3"/>
    </row>
    <row r="11075" s="7" customFormat="1" spans="33:33">
      <c r="AG11075" s="3"/>
    </row>
    <row r="11076" s="7" customFormat="1" spans="33:33">
      <c r="AG11076" s="3"/>
    </row>
    <row r="11077" s="7" customFormat="1" spans="33:33">
      <c r="AG11077" s="3"/>
    </row>
    <row r="11078" s="7" customFormat="1" spans="33:33">
      <c r="AG11078" s="3"/>
    </row>
    <row r="11079" s="7" customFormat="1" spans="33:33">
      <c r="AG11079" s="3"/>
    </row>
    <row r="11080" s="7" customFormat="1" spans="33:33">
      <c r="AG11080" s="3"/>
    </row>
    <row r="11081" s="7" customFormat="1" spans="33:33">
      <c r="AG11081" s="3"/>
    </row>
    <row r="11082" s="7" customFormat="1" spans="33:33">
      <c r="AG11082" s="3"/>
    </row>
    <row r="11083" s="7" customFormat="1" spans="33:33">
      <c r="AG11083" s="3"/>
    </row>
    <row r="11084" s="7" customFormat="1" spans="33:33">
      <c r="AG11084" s="3"/>
    </row>
    <row r="11085" s="7" customFormat="1" spans="33:33">
      <c r="AG11085" s="3"/>
    </row>
    <row r="11086" s="7" customFormat="1" spans="33:33">
      <c r="AG11086" s="3"/>
    </row>
    <row r="11087" s="7" customFormat="1" spans="33:33">
      <c r="AG11087" s="3"/>
    </row>
    <row r="11088" s="7" customFormat="1" spans="33:33">
      <c r="AG11088" s="3"/>
    </row>
    <row r="11089" s="7" customFormat="1" spans="33:33">
      <c r="AG11089" s="3"/>
    </row>
    <row r="11090" s="7" customFormat="1" spans="33:33">
      <c r="AG11090" s="3"/>
    </row>
    <row r="11091" s="7" customFormat="1" spans="33:33">
      <c r="AG11091" s="3"/>
    </row>
    <row r="11092" s="7" customFormat="1" spans="33:33">
      <c r="AG11092" s="3"/>
    </row>
    <row r="11093" s="7" customFormat="1" spans="33:33">
      <c r="AG11093" s="3"/>
    </row>
    <row r="11094" s="7" customFormat="1" spans="33:33">
      <c r="AG11094" s="3"/>
    </row>
    <row r="11095" s="7" customFormat="1" spans="33:33">
      <c r="AG11095" s="3"/>
    </row>
    <row r="11096" s="7" customFormat="1" spans="33:33">
      <c r="AG11096" s="3"/>
    </row>
    <row r="11097" s="7" customFormat="1" spans="33:33">
      <c r="AG11097" s="3"/>
    </row>
    <row r="11098" s="7" customFormat="1" spans="33:33">
      <c r="AG11098" s="3"/>
    </row>
    <row r="11099" s="7" customFormat="1" spans="33:33">
      <c r="AG11099" s="3"/>
    </row>
    <row r="11100" s="7" customFormat="1" spans="33:33">
      <c r="AG11100" s="3"/>
    </row>
    <row r="11101" s="7" customFormat="1" spans="33:33">
      <c r="AG11101" s="3"/>
    </row>
    <row r="11102" s="7" customFormat="1" spans="33:33">
      <c r="AG11102" s="3"/>
    </row>
    <row r="11103" s="7" customFormat="1" spans="33:33">
      <c r="AG11103" s="3"/>
    </row>
    <row r="11104" s="7" customFormat="1" spans="33:33">
      <c r="AG11104" s="3"/>
    </row>
    <row r="11105" s="7" customFormat="1" spans="33:33">
      <c r="AG11105" s="3"/>
    </row>
    <row r="11106" s="7" customFormat="1" spans="33:33">
      <c r="AG11106" s="3"/>
    </row>
    <row r="11107" s="7" customFormat="1" spans="33:33">
      <c r="AG11107" s="3"/>
    </row>
    <row r="11108" s="7" customFormat="1" spans="33:33">
      <c r="AG11108" s="3"/>
    </row>
    <row r="11109" s="7" customFormat="1" spans="33:33">
      <c r="AG11109" s="3"/>
    </row>
    <row r="11110" s="7" customFormat="1" spans="33:33">
      <c r="AG11110" s="3"/>
    </row>
    <row r="11111" s="7" customFormat="1" spans="33:33">
      <c r="AG11111" s="3"/>
    </row>
    <row r="11112" s="7" customFormat="1" spans="33:33">
      <c r="AG11112" s="3"/>
    </row>
    <row r="11113" s="7" customFormat="1" spans="33:33">
      <c r="AG11113" s="3"/>
    </row>
    <row r="11114" s="7" customFormat="1" spans="33:33">
      <c r="AG11114" s="3"/>
    </row>
    <row r="11115" s="7" customFormat="1" spans="33:33">
      <c r="AG11115" s="3"/>
    </row>
    <row r="11116" s="7" customFormat="1" spans="33:33">
      <c r="AG11116" s="3"/>
    </row>
    <row r="11117" s="7" customFormat="1" spans="33:33">
      <c r="AG11117" s="3"/>
    </row>
    <row r="11118" s="7" customFormat="1" spans="33:33">
      <c r="AG11118" s="3"/>
    </row>
    <row r="11119" s="7" customFormat="1" spans="33:33">
      <c r="AG11119" s="3"/>
    </row>
    <row r="11120" s="7" customFormat="1" spans="33:33">
      <c r="AG11120" s="3"/>
    </row>
    <row r="11121" s="7" customFormat="1" spans="33:33">
      <c r="AG11121" s="3"/>
    </row>
    <row r="11122" s="7" customFormat="1" spans="33:33">
      <c r="AG11122" s="3"/>
    </row>
    <row r="11123" s="7" customFormat="1" spans="33:33">
      <c r="AG11123" s="3"/>
    </row>
    <row r="11124" s="7" customFormat="1" spans="33:33">
      <c r="AG11124" s="3"/>
    </row>
    <row r="11125" s="7" customFormat="1" spans="33:33">
      <c r="AG11125" s="3"/>
    </row>
    <row r="11126" s="7" customFormat="1" spans="33:33">
      <c r="AG11126" s="3"/>
    </row>
    <row r="11127" s="7" customFormat="1" spans="33:33">
      <c r="AG11127" s="3"/>
    </row>
    <row r="11128" s="7" customFormat="1" spans="33:33">
      <c r="AG11128" s="3"/>
    </row>
    <row r="11129" s="7" customFormat="1" spans="33:33">
      <c r="AG11129" s="3"/>
    </row>
    <row r="11130" s="7" customFormat="1" spans="33:33">
      <c r="AG11130" s="3"/>
    </row>
    <row r="11131" s="7" customFormat="1" spans="33:33">
      <c r="AG11131" s="3"/>
    </row>
    <row r="11132" s="7" customFormat="1" spans="33:33">
      <c r="AG11132" s="3"/>
    </row>
    <row r="11133" s="7" customFormat="1" spans="33:33">
      <c r="AG11133" s="3"/>
    </row>
    <row r="11134" s="7" customFormat="1" spans="33:33">
      <c r="AG11134" s="3"/>
    </row>
    <row r="11135" s="7" customFormat="1" spans="33:33">
      <c r="AG11135" s="3"/>
    </row>
    <row r="11136" s="7" customFormat="1" spans="33:33">
      <c r="AG11136" s="3"/>
    </row>
    <row r="11137" s="7" customFormat="1" spans="33:33">
      <c r="AG11137" s="3"/>
    </row>
    <row r="11138" s="7" customFormat="1" spans="33:33">
      <c r="AG11138" s="3"/>
    </row>
    <row r="11139" s="7" customFormat="1" spans="33:33">
      <c r="AG11139" s="3"/>
    </row>
    <row r="11140" s="7" customFormat="1" spans="33:33">
      <c r="AG11140" s="3"/>
    </row>
    <row r="11141" s="7" customFormat="1" spans="33:33">
      <c r="AG11141" s="3"/>
    </row>
    <row r="11142" s="7" customFormat="1" spans="33:33">
      <c r="AG11142" s="3"/>
    </row>
    <row r="11143" s="7" customFormat="1" spans="33:33">
      <c r="AG11143" s="3"/>
    </row>
    <row r="11144" s="7" customFormat="1" spans="33:33">
      <c r="AG11144" s="3"/>
    </row>
    <row r="11145" s="7" customFormat="1" spans="33:33">
      <c r="AG11145" s="3"/>
    </row>
    <row r="11146" s="7" customFormat="1" spans="33:33">
      <c r="AG11146" s="3"/>
    </row>
    <row r="11147" s="7" customFormat="1" spans="33:33">
      <c r="AG11147" s="3"/>
    </row>
    <row r="11148" s="7" customFormat="1" spans="33:33">
      <c r="AG11148" s="3"/>
    </row>
    <row r="11149" s="7" customFormat="1" spans="33:33">
      <c r="AG11149" s="3"/>
    </row>
    <row r="11150" s="7" customFormat="1" spans="33:33">
      <c r="AG11150" s="3"/>
    </row>
    <row r="11151" s="7" customFormat="1" spans="33:33">
      <c r="AG11151" s="3"/>
    </row>
    <row r="11152" s="7" customFormat="1" spans="33:33">
      <c r="AG11152" s="3"/>
    </row>
    <row r="11153" s="7" customFormat="1" spans="33:33">
      <c r="AG11153" s="3"/>
    </row>
    <row r="11154" s="7" customFormat="1" spans="33:33">
      <c r="AG11154" s="3"/>
    </row>
    <row r="11155" s="7" customFormat="1" spans="33:33">
      <c r="AG11155" s="3"/>
    </row>
    <row r="11156" s="7" customFormat="1" spans="33:33">
      <c r="AG11156" s="3"/>
    </row>
    <row r="11157" s="7" customFormat="1" spans="33:33">
      <c r="AG11157" s="3"/>
    </row>
    <row r="11158" s="7" customFormat="1" spans="33:33">
      <c r="AG11158" s="3"/>
    </row>
    <row r="11159" s="7" customFormat="1" spans="33:33">
      <c r="AG11159" s="3"/>
    </row>
    <row r="11160" s="7" customFormat="1" spans="33:33">
      <c r="AG11160" s="3"/>
    </row>
    <row r="11161" s="7" customFormat="1" spans="33:33">
      <c r="AG11161" s="3"/>
    </row>
    <row r="11162" s="7" customFormat="1" spans="33:33">
      <c r="AG11162" s="3"/>
    </row>
    <row r="11163" s="7" customFormat="1" spans="33:33">
      <c r="AG11163" s="3"/>
    </row>
    <row r="11164" s="7" customFormat="1" spans="33:33">
      <c r="AG11164" s="3"/>
    </row>
    <row r="11165" s="7" customFormat="1" spans="33:33">
      <c r="AG11165" s="3"/>
    </row>
    <row r="11166" s="7" customFormat="1" spans="33:33">
      <c r="AG11166" s="3"/>
    </row>
    <row r="11167" s="7" customFormat="1" spans="33:33">
      <c r="AG11167" s="3"/>
    </row>
    <row r="11168" s="7" customFormat="1" spans="33:33">
      <c r="AG11168" s="3"/>
    </row>
    <row r="11169" s="7" customFormat="1" spans="33:33">
      <c r="AG11169" s="3"/>
    </row>
    <row r="11170" s="7" customFormat="1" spans="33:33">
      <c r="AG11170" s="3"/>
    </row>
    <row r="11171" s="7" customFormat="1" spans="33:33">
      <c r="AG11171" s="3"/>
    </row>
    <row r="11172" s="7" customFormat="1" spans="33:33">
      <c r="AG11172" s="3"/>
    </row>
    <row r="11173" s="7" customFormat="1" spans="33:33">
      <c r="AG11173" s="3"/>
    </row>
    <row r="11174" s="7" customFormat="1" spans="33:33">
      <c r="AG11174" s="3"/>
    </row>
    <row r="11175" s="7" customFormat="1" spans="33:33">
      <c r="AG11175" s="3"/>
    </row>
    <row r="11176" s="7" customFormat="1" spans="33:33">
      <c r="AG11176" s="3"/>
    </row>
    <row r="11177" s="7" customFormat="1" spans="33:33">
      <c r="AG11177" s="3"/>
    </row>
    <row r="11178" s="7" customFormat="1" spans="33:33">
      <c r="AG11178" s="3"/>
    </row>
    <row r="11179" s="7" customFormat="1" spans="33:33">
      <c r="AG11179" s="3"/>
    </row>
    <row r="11180" s="7" customFormat="1" spans="33:33">
      <c r="AG11180" s="3"/>
    </row>
    <row r="11181" s="7" customFormat="1" spans="33:33">
      <c r="AG11181" s="3"/>
    </row>
    <row r="11182" s="7" customFormat="1" spans="33:33">
      <c r="AG11182" s="3"/>
    </row>
    <row r="11183" s="7" customFormat="1" spans="33:33">
      <c r="AG11183" s="3"/>
    </row>
    <row r="11184" s="7" customFormat="1" spans="33:33">
      <c r="AG11184" s="3"/>
    </row>
    <row r="11185" s="7" customFormat="1" spans="33:33">
      <c r="AG11185" s="3"/>
    </row>
    <row r="11186" s="7" customFormat="1" spans="33:33">
      <c r="AG11186" s="3"/>
    </row>
    <row r="11187" s="7" customFormat="1" spans="33:33">
      <c r="AG11187" s="3"/>
    </row>
    <row r="11188" s="7" customFormat="1" spans="33:33">
      <c r="AG11188" s="3"/>
    </row>
    <row r="11189" s="7" customFormat="1" spans="33:33">
      <c r="AG11189" s="3"/>
    </row>
    <row r="11190" s="7" customFormat="1" spans="33:33">
      <c r="AG11190" s="3"/>
    </row>
    <row r="11191" s="7" customFormat="1" spans="33:33">
      <c r="AG11191" s="3"/>
    </row>
    <row r="11192" s="7" customFormat="1" spans="33:33">
      <c r="AG11192" s="3"/>
    </row>
    <row r="11193" s="7" customFormat="1" spans="33:33">
      <c r="AG11193" s="3"/>
    </row>
    <row r="11194" s="7" customFormat="1" spans="33:33">
      <c r="AG11194" s="3"/>
    </row>
    <row r="11195" s="7" customFormat="1" spans="33:33">
      <c r="AG11195" s="3"/>
    </row>
    <row r="11196" s="7" customFormat="1" spans="33:33">
      <c r="AG11196" s="3"/>
    </row>
    <row r="11197" s="7" customFormat="1" spans="33:33">
      <c r="AG11197" s="3"/>
    </row>
    <row r="11198" s="7" customFormat="1" spans="33:33">
      <c r="AG11198" s="3"/>
    </row>
    <row r="11199" s="7" customFormat="1" spans="33:33">
      <c r="AG11199" s="3"/>
    </row>
    <row r="11200" s="7" customFormat="1" spans="33:33">
      <c r="AG11200" s="3"/>
    </row>
    <row r="11201" s="7" customFormat="1" spans="33:33">
      <c r="AG11201" s="3"/>
    </row>
    <row r="11202" s="7" customFormat="1" spans="33:33">
      <c r="AG11202" s="3"/>
    </row>
    <row r="11203" s="7" customFormat="1" spans="33:33">
      <c r="AG11203" s="3"/>
    </row>
    <row r="11204" s="7" customFormat="1" spans="33:33">
      <c r="AG11204" s="3"/>
    </row>
    <row r="11205" s="7" customFormat="1" spans="33:33">
      <c r="AG11205" s="3"/>
    </row>
    <row r="11206" s="7" customFormat="1" spans="33:33">
      <c r="AG11206" s="3"/>
    </row>
    <row r="11207" s="7" customFormat="1" spans="33:33">
      <c r="AG11207" s="3"/>
    </row>
    <row r="11208" s="7" customFormat="1" spans="33:33">
      <c r="AG11208" s="3"/>
    </row>
    <row r="11209" s="7" customFormat="1" spans="33:33">
      <c r="AG11209" s="3"/>
    </row>
    <row r="11210" s="7" customFormat="1" spans="33:33">
      <c r="AG11210" s="3"/>
    </row>
    <row r="11211" s="7" customFormat="1" spans="33:33">
      <c r="AG11211" s="3"/>
    </row>
    <row r="11212" s="7" customFormat="1" spans="33:33">
      <c r="AG11212" s="3"/>
    </row>
    <row r="11213" s="7" customFormat="1" spans="33:33">
      <c r="AG11213" s="3"/>
    </row>
    <row r="11214" s="7" customFormat="1" spans="33:33">
      <c r="AG11214" s="3"/>
    </row>
    <row r="11215" s="7" customFormat="1" spans="33:33">
      <c r="AG11215" s="3"/>
    </row>
    <row r="11216" s="7" customFormat="1" spans="33:33">
      <c r="AG11216" s="3"/>
    </row>
    <row r="11217" s="7" customFormat="1" spans="33:33">
      <c r="AG11217" s="3"/>
    </row>
    <row r="11218" s="7" customFormat="1" spans="33:33">
      <c r="AG11218" s="3"/>
    </row>
    <row r="11219" s="7" customFormat="1" spans="33:33">
      <c r="AG11219" s="3"/>
    </row>
    <row r="11220" s="7" customFormat="1" spans="33:33">
      <c r="AG11220" s="3"/>
    </row>
    <row r="11221" s="7" customFormat="1" spans="33:33">
      <c r="AG11221" s="3"/>
    </row>
    <row r="11222" s="7" customFormat="1" spans="33:33">
      <c r="AG11222" s="3"/>
    </row>
    <row r="11223" s="7" customFormat="1" spans="33:33">
      <c r="AG11223" s="3"/>
    </row>
    <row r="11224" s="7" customFormat="1" spans="33:33">
      <c r="AG11224" s="3"/>
    </row>
    <row r="11225" s="7" customFormat="1" spans="33:33">
      <c r="AG11225" s="3"/>
    </row>
    <row r="11226" s="7" customFormat="1" spans="33:33">
      <c r="AG11226" s="3"/>
    </row>
    <row r="11227" s="7" customFormat="1" spans="33:33">
      <c r="AG11227" s="3"/>
    </row>
    <row r="11228" s="7" customFormat="1" spans="33:33">
      <c r="AG11228" s="3"/>
    </row>
    <row r="11229" s="7" customFormat="1" spans="33:33">
      <c r="AG11229" s="3"/>
    </row>
    <row r="11230" s="7" customFormat="1" spans="33:33">
      <c r="AG11230" s="3"/>
    </row>
    <row r="11231" s="7" customFormat="1" spans="33:33">
      <c r="AG11231" s="3"/>
    </row>
    <row r="11232" s="7" customFormat="1" spans="33:33">
      <c r="AG11232" s="3"/>
    </row>
    <row r="11233" s="7" customFormat="1" spans="33:33">
      <c r="AG11233" s="3"/>
    </row>
    <row r="11234" s="7" customFormat="1" spans="33:33">
      <c r="AG11234" s="3"/>
    </row>
    <row r="11235" s="7" customFormat="1" spans="33:33">
      <c r="AG11235" s="3"/>
    </row>
    <row r="11236" s="7" customFormat="1" spans="33:33">
      <c r="AG11236" s="3"/>
    </row>
    <row r="11237" s="7" customFormat="1" spans="33:33">
      <c r="AG11237" s="3"/>
    </row>
    <row r="11238" s="7" customFormat="1" spans="33:33">
      <c r="AG11238" s="3"/>
    </row>
    <row r="11239" s="7" customFormat="1" spans="33:33">
      <c r="AG11239" s="3"/>
    </row>
    <row r="11240" s="7" customFormat="1" spans="33:33">
      <c r="AG11240" s="3"/>
    </row>
    <row r="11241" s="7" customFormat="1" spans="33:33">
      <c r="AG11241" s="3"/>
    </row>
    <row r="11242" s="7" customFormat="1" spans="33:33">
      <c r="AG11242" s="3"/>
    </row>
    <row r="11243" s="7" customFormat="1" spans="33:33">
      <c r="AG11243" s="3"/>
    </row>
    <row r="11244" s="7" customFormat="1" spans="33:33">
      <c r="AG11244" s="3"/>
    </row>
    <row r="11245" s="7" customFormat="1" spans="33:33">
      <c r="AG11245" s="3"/>
    </row>
    <row r="11246" s="7" customFormat="1" spans="33:33">
      <c r="AG11246" s="3"/>
    </row>
    <row r="11247" s="7" customFormat="1" spans="33:33">
      <c r="AG11247" s="3"/>
    </row>
    <row r="11248" s="7" customFormat="1" spans="33:33">
      <c r="AG11248" s="3"/>
    </row>
    <row r="11249" s="7" customFormat="1" spans="33:33">
      <c r="AG11249" s="3"/>
    </row>
    <row r="11250" s="7" customFormat="1" spans="33:33">
      <c r="AG11250" s="3"/>
    </row>
    <row r="11251" s="7" customFormat="1" spans="33:33">
      <c r="AG11251" s="3"/>
    </row>
    <row r="11252" s="7" customFormat="1" spans="33:33">
      <c r="AG11252" s="3"/>
    </row>
    <row r="11253" s="7" customFormat="1" spans="33:33">
      <c r="AG11253" s="3"/>
    </row>
    <row r="11254" s="7" customFormat="1" spans="33:33">
      <c r="AG11254" s="3"/>
    </row>
    <row r="11255" s="7" customFormat="1" spans="33:33">
      <c r="AG11255" s="3"/>
    </row>
    <row r="11256" s="7" customFormat="1" spans="33:33">
      <c r="AG11256" s="3"/>
    </row>
    <row r="11257" s="7" customFormat="1" spans="33:33">
      <c r="AG11257" s="3"/>
    </row>
    <row r="11258" s="7" customFormat="1" spans="33:33">
      <c r="AG11258" s="3"/>
    </row>
    <row r="11259" s="7" customFormat="1" spans="33:33">
      <c r="AG11259" s="3"/>
    </row>
    <row r="11260" s="7" customFormat="1" spans="33:33">
      <c r="AG11260" s="3"/>
    </row>
    <row r="11261" s="7" customFormat="1" spans="33:33">
      <c r="AG11261" s="3"/>
    </row>
    <row r="11262" s="7" customFormat="1" spans="33:33">
      <c r="AG11262" s="3"/>
    </row>
    <row r="11263" s="7" customFormat="1" spans="33:33">
      <c r="AG11263" s="3"/>
    </row>
    <row r="11264" s="7" customFormat="1" spans="33:33">
      <c r="AG11264" s="3"/>
    </row>
    <row r="11265" s="7" customFormat="1" spans="33:33">
      <c r="AG11265" s="3"/>
    </row>
    <row r="11266" s="7" customFormat="1" spans="33:33">
      <c r="AG11266" s="3"/>
    </row>
    <row r="11267" s="7" customFormat="1" spans="33:33">
      <c r="AG11267" s="3"/>
    </row>
    <row r="11268" s="7" customFormat="1" spans="33:33">
      <c r="AG11268" s="3"/>
    </row>
    <row r="11269" s="7" customFormat="1" spans="33:33">
      <c r="AG11269" s="3"/>
    </row>
    <row r="11270" s="7" customFormat="1" spans="33:33">
      <c r="AG11270" s="3"/>
    </row>
    <row r="11271" s="7" customFormat="1" spans="33:33">
      <c r="AG11271" s="3"/>
    </row>
    <row r="11272" s="7" customFormat="1" spans="33:33">
      <c r="AG11272" s="3"/>
    </row>
    <row r="11273" s="7" customFormat="1" spans="33:33">
      <c r="AG11273" s="3"/>
    </row>
    <row r="11274" s="7" customFormat="1" spans="33:33">
      <c r="AG11274" s="3"/>
    </row>
    <row r="11275" s="7" customFormat="1" spans="33:33">
      <c r="AG11275" s="3"/>
    </row>
    <row r="11276" s="7" customFormat="1" spans="33:33">
      <c r="AG11276" s="3"/>
    </row>
    <row r="11277" s="7" customFormat="1" spans="33:33">
      <c r="AG11277" s="3"/>
    </row>
    <row r="11278" s="7" customFormat="1" spans="33:33">
      <c r="AG11278" s="3"/>
    </row>
    <row r="11279" s="7" customFormat="1" spans="33:33">
      <c r="AG11279" s="3"/>
    </row>
    <row r="11280" s="7" customFormat="1" spans="33:33">
      <c r="AG11280" s="3"/>
    </row>
    <row r="11281" s="7" customFormat="1" spans="33:33">
      <c r="AG11281" s="3"/>
    </row>
    <row r="11282" s="7" customFormat="1" spans="33:33">
      <c r="AG11282" s="3"/>
    </row>
    <row r="11283" s="7" customFormat="1" spans="33:33">
      <c r="AG11283" s="3"/>
    </row>
    <row r="11284" s="7" customFormat="1" spans="33:33">
      <c r="AG11284" s="3"/>
    </row>
    <row r="11285" s="7" customFormat="1" spans="33:33">
      <c r="AG11285" s="3"/>
    </row>
    <row r="11286" s="7" customFormat="1" spans="33:33">
      <c r="AG11286" s="3"/>
    </row>
    <row r="11287" s="7" customFormat="1" spans="33:33">
      <c r="AG11287" s="3"/>
    </row>
    <row r="11288" s="7" customFormat="1" spans="33:33">
      <c r="AG11288" s="3"/>
    </row>
    <row r="11289" s="7" customFormat="1" spans="33:33">
      <c r="AG11289" s="3"/>
    </row>
    <row r="11290" s="7" customFormat="1" spans="33:33">
      <c r="AG11290" s="3"/>
    </row>
    <row r="11291" s="7" customFormat="1" spans="33:33">
      <c r="AG11291" s="3"/>
    </row>
    <row r="11292" s="7" customFormat="1" spans="33:33">
      <c r="AG11292" s="3"/>
    </row>
    <row r="11293" s="7" customFormat="1" spans="33:33">
      <c r="AG11293" s="3"/>
    </row>
    <row r="11294" s="7" customFormat="1" spans="33:33">
      <c r="AG11294" s="3"/>
    </row>
    <row r="11295" s="7" customFormat="1" spans="33:33">
      <c r="AG11295" s="3"/>
    </row>
    <row r="11296" s="7" customFormat="1" spans="33:33">
      <c r="AG11296" s="3"/>
    </row>
    <row r="11297" s="7" customFormat="1" spans="33:33">
      <c r="AG11297" s="3"/>
    </row>
    <row r="11298" s="7" customFormat="1" spans="33:33">
      <c r="AG11298" s="3"/>
    </row>
    <row r="11299" s="7" customFormat="1" spans="33:33">
      <c r="AG11299" s="3"/>
    </row>
    <row r="11300" s="7" customFormat="1" spans="33:33">
      <c r="AG11300" s="3"/>
    </row>
    <row r="11301" s="7" customFormat="1" spans="33:33">
      <c r="AG11301" s="3"/>
    </row>
    <row r="11302" s="7" customFormat="1" spans="33:33">
      <c r="AG11302" s="3"/>
    </row>
    <row r="11303" s="7" customFormat="1" spans="33:33">
      <c r="AG11303" s="3"/>
    </row>
    <row r="11304" s="7" customFormat="1" spans="33:33">
      <c r="AG11304" s="3"/>
    </row>
    <row r="11305" s="7" customFormat="1" spans="33:33">
      <c r="AG11305" s="3"/>
    </row>
    <row r="11306" s="7" customFormat="1" spans="33:33">
      <c r="AG11306" s="3"/>
    </row>
    <row r="11307" s="7" customFormat="1" spans="33:33">
      <c r="AG11307" s="3"/>
    </row>
    <row r="11308" s="7" customFormat="1" spans="33:33">
      <c r="AG11308" s="3"/>
    </row>
    <row r="11309" s="7" customFormat="1" spans="33:33">
      <c r="AG11309" s="3"/>
    </row>
    <row r="11310" s="7" customFormat="1" spans="33:33">
      <c r="AG11310" s="3"/>
    </row>
    <row r="11311" s="7" customFormat="1" spans="33:33">
      <c r="AG11311" s="3"/>
    </row>
    <row r="11312" s="7" customFormat="1" spans="33:33">
      <c r="AG11312" s="3"/>
    </row>
    <row r="11313" s="7" customFormat="1" spans="33:33">
      <c r="AG11313" s="3"/>
    </row>
    <row r="11314" s="7" customFormat="1" spans="33:33">
      <c r="AG11314" s="3"/>
    </row>
    <row r="11315" s="7" customFormat="1" spans="33:33">
      <c r="AG11315" s="3"/>
    </row>
    <row r="11316" s="7" customFormat="1" spans="33:33">
      <c r="AG11316" s="3"/>
    </row>
    <row r="11317" s="7" customFormat="1" spans="33:33">
      <c r="AG11317" s="3"/>
    </row>
    <row r="11318" s="7" customFormat="1" spans="33:33">
      <c r="AG11318" s="3"/>
    </row>
    <row r="11319" s="7" customFormat="1" spans="33:33">
      <c r="AG11319" s="3"/>
    </row>
    <row r="11320" s="7" customFormat="1" spans="33:33">
      <c r="AG11320" s="3"/>
    </row>
    <row r="11321" s="7" customFormat="1" spans="33:33">
      <c r="AG11321" s="3"/>
    </row>
    <row r="11322" s="7" customFormat="1" spans="33:33">
      <c r="AG11322" s="3"/>
    </row>
    <row r="11323" s="7" customFormat="1" spans="33:33">
      <c r="AG11323" s="3"/>
    </row>
    <row r="11324" s="7" customFormat="1" spans="33:33">
      <c r="AG11324" s="3"/>
    </row>
    <row r="11325" s="7" customFormat="1" spans="33:33">
      <c r="AG11325" s="3"/>
    </row>
    <row r="11326" s="7" customFormat="1" spans="33:33">
      <c r="AG11326" s="3"/>
    </row>
    <row r="11327" s="7" customFormat="1" spans="33:33">
      <c r="AG11327" s="3"/>
    </row>
    <row r="11328" s="7" customFormat="1" spans="33:33">
      <c r="AG11328" s="3"/>
    </row>
    <row r="11329" s="7" customFormat="1" spans="33:33">
      <c r="AG11329" s="3"/>
    </row>
    <row r="11330" s="7" customFormat="1" spans="33:33">
      <c r="AG11330" s="3"/>
    </row>
    <row r="11331" s="7" customFormat="1" spans="33:33">
      <c r="AG11331" s="3"/>
    </row>
    <row r="11332" s="7" customFormat="1" spans="33:33">
      <c r="AG11332" s="3"/>
    </row>
    <row r="11333" s="7" customFormat="1" spans="33:33">
      <c r="AG11333" s="3"/>
    </row>
    <row r="11334" s="7" customFormat="1" spans="33:33">
      <c r="AG11334" s="3"/>
    </row>
    <row r="11335" s="7" customFormat="1" spans="33:33">
      <c r="AG11335" s="3"/>
    </row>
    <row r="11336" s="7" customFormat="1" spans="33:33">
      <c r="AG11336" s="3"/>
    </row>
    <row r="11337" s="7" customFormat="1" spans="33:33">
      <c r="AG11337" s="3"/>
    </row>
    <row r="11338" s="7" customFormat="1" spans="33:33">
      <c r="AG11338" s="3"/>
    </row>
    <row r="11339" s="7" customFormat="1" spans="33:33">
      <c r="AG11339" s="3"/>
    </row>
    <row r="11340" s="7" customFormat="1" spans="33:33">
      <c r="AG11340" s="3"/>
    </row>
    <row r="11341" s="7" customFormat="1" spans="33:33">
      <c r="AG11341" s="3"/>
    </row>
    <row r="11342" s="7" customFormat="1" spans="33:33">
      <c r="AG11342" s="3"/>
    </row>
    <row r="11343" s="7" customFormat="1" spans="33:33">
      <c r="AG11343" s="3"/>
    </row>
    <row r="11344" s="7" customFormat="1" spans="33:33">
      <c r="AG11344" s="3"/>
    </row>
    <row r="11345" s="7" customFormat="1" spans="33:33">
      <c r="AG11345" s="3"/>
    </row>
    <row r="11346" s="7" customFormat="1" spans="33:33">
      <c r="AG11346" s="3"/>
    </row>
    <row r="11347" s="7" customFormat="1" spans="33:33">
      <c r="AG11347" s="3"/>
    </row>
    <row r="11348" s="7" customFormat="1" spans="33:33">
      <c r="AG11348" s="3"/>
    </row>
    <row r="11349" s="7" customFormat="1" spans="33:33">
      <c r="AG11349" s="3"/>
    </row>
    <row r="11350" s="7" customFormat="1" spans="33:33">
      <c r="AG11350" s="3"/>
    </row>
    <row r="11351" s="7" customFormat="1" spans="33:33">
      <c r="AG11351" s="3"/>
    </row>
    <row r="11352" s="7" customFormat="1" spans="33:33">
      <c r="AG11352" s="3"/>
    </row>
    <row r="11353" s="7" customFormat="1" spans="33:33">
      <c r="AG11353" s="3"/>
    </row>
    <row r="11354" s="7" customFormat="1" spans="33:33">
      <c r="AG11354" s="3"/>
    </row>
    <row r="11355" s="7" customFormat="1" spans="33:33">
      <c r="AG11355" s="3"/>
    </row>
    <row r="11356" s="7" customFormat="1" spans="33:33">
      <c r="AG11356" s="3"/>
    </row>
    <row r="11357" s="7" customFormat="1" spans="33:33">
      <c r="AG11357" s="3"/>
    </row>
    <row r="11358" s="7" customFormat="1" spans="33:33">
      <c r="AG11358" s="3"/>
    </row>
    <row r="11359" s="7" customFormat="1" spans="33:33">
      <c r="AG11359" s="3"/>
    </row>
    <row r="11360" s="7" customFormat="1" spans="33:33">
      <c r="AG11360" s="3"/>
    </row>
    <row r="11361" s="7" customFormat="1" spans="33:33">
      <c r="AG11361" s="3"/>
    </row>
    <row r="11362" s="7" customFormat="1" spans="33:33">
      <c r="AG11362" s="3"/>
    </row>
    <row r="11363" s="7" customFormat="1" spans="33:33">
      <c r="AG11363" s="3"/>
    </row>
    <row r="11364" s="7" customFormat="1" spans="33:33">
      <c r="AG11364" s="3"/>
    </row>
    <row r="11365" s="7" customFormat="1" spans="33:33">
      <c r="AG11365" s="3"/>
    </row>
    <row r="11366" s="7" customFormat="1" spans="33:33">
      <c r="AG11366" s="3"/>
    </row>
    <row r="11367" s="7" customFormat="1" spans="33:33">
      <c r="AG11367" s="3"/>
    </row>
    <row r="11368" s="7" customFormat="1" spans="33:33">
      <c r="AG11368" s="3"/>
    </row>
    <row r="11369" s="7" customFormat="1" spans="33:33">
      <c r="AG11369" s="3"/>
    </row>
    <row r="11370" s="7" customFormat="1" spans="33:33">
      <c r="AG11370" s="3"/>
    </row>
    <row r="11371" s="7" customFormat="1" spans="33:33">
      <c r="AG11371" s="3"/>
    </row>
    <row r="11372" s="7" customFormat="1" spans="33:33">
      <c r="AG11372" s="3"/>
    </row>
    <row r="11373" s="7" customFormat="1" spans="33:33">
      <c r="AG11373" s="3"/>
    </row>
    <row r="11374" s="7" customFormat="1" spans="33:33">
      <c r="AG11374" s="3"/>
    </row>
    <row r="11375" s="7" customFormat="1" spans="33:33">
      <c r="AG11375" s="3"/>
    </row>
    <row r="11376" s="7" customFormat="1" spans="33:33">
      <c r="AG11376" s="3"/>
    </row>
    <row r="11377" s="7" customFormat="1" spans="33:33">
      <c r="AG11377" s="3"/>
    </row>
    <row r="11378" s="7" customFormat="1" spans="33:33">
      <c r="AG11378" s="3"/>
    </row>
    <row r="11379" s="7" customFormat="1" spans="33:33">
      <c r="AG11379" s="3"/>
    </row>
    <row r="11380" s="7" customFormat="1" spans="33:33">
      <c r="AG11380" s="3"/>
    </row>
    <row r="11381" s="7" customFormat="1" spans="33:33">
      <c r="AG11381" s="3"/>
    </row>
    <row r="11382" s="7" customFormat="1" spans="33:33">
      <c r="AG11382" s="3"/>
    </row>
    <row r="11383" s="7" customFormat="1" spans="33:33">
      <c r="AG11383" s="3"/>
    </row>
    <row r="11384" s="7" customFormat="1" spans="33:33">
      <c r="AG11384" s="3"/>
    </row>
    <row r="11385" s="7" customFormat="1" spans="33:33">
      <c r="AG11385" s="3"/>
    </row>
    <row r="11386" s="7" customFormat="1" spans="33:33">
      <c r="AG11386" s="3"/>
    </row>
    <row r="11387" s="7" customFormat="1" spans="33:33">
      <c r="AG11387" s="3"/>
    </row>
    <row r="11388" s="7" customFormat="1" spans="33:33">
      <c r="AG11388" s="3"/>
    </row>
    <row r="11389" s="7" customFormat="1" spans="33:33">
      <c r="AG11389" s="3"/>
    </row>
    <row r="11390" s="7" customFormat="1" spans="33:33">
      <c r="AG11390" s="3"/>
    </row>
    <row r="11391" s="7" customFormat="1" spans="33:33">
      <c r="AG11391" s="3"/>
    </row>
    <row r="11392" s="7" customFormat="1" spans="33:33">
      <c r="AG11392" s="3"/>
    </row>
    <row r="11393" s="7" customFormat="1" spans="33:33">
      <c r="AG11393" s="3"/>
    </row>
    <row r="11394" s="7" customFormat="1" spans="33:33">
      <c r="AG11394" s="3"/>
    </row>
    <row r="11395" s="7" customFormat="1" spans="33:33">
      <c r="AG11395" s="3"/>
    </row>
    <row r="11396" s="7" customFormat="1" spans="33:33">
      <c r="AG11396" s="3"/>
    </row>
    <row r="11397" s="7" customFormat="1" spans="33:33">
      <c r="AG11397" s="3"/>
    </row>
    <row r="11398" s="7" customFormat="1" spans="33:33">
      <c r="AG11398" s="3"/>
    </row>
    <row r="11399" s="7" customFormat="1" spans="33:33">
      <c r="AG11399" s="3"/>
    </row>
    <row r="11400" s="7" customFormat="1" spans="33:33">
      <c r="AG11400" s="3"/>
    </row>
    <row r="11401" s="7" customFormat="1" spans="33:33">
      <c r="AG11401" s="3"/>
    </row>
    <row r="11402" s="7" customFormat="1" spans="33:33">
      <c r="AG11402" s="3"/>
    </row>
    <row r="11403" s="7" customFormat="1" spans="33:33">
      <c r="AG11403" s="3"/>
    </row>
    <row r="11404" s="7" customFormat="1" spans="33:33">
      <c r="AG11404" s="3"/>
    </row>
    <row r="11405" s="7" customFormat="1" spans="33:33">
      <c r="AG11405" s="3"/>
    </row>
    <row r="11406" s="7" customFormat="1" spans="33:33">
      <c r="AG11406" s="3"/>
    </row>
    <row r="11407" s="7" customFormat="1" spans="33:33">
      <c r="AG11407" s="3"/>
    </row>
    <row r="11408" s="7" customFormat="1" spans="33:33">
      <c r="AG11408" s="3"/>
    </row>
    <row r="11409" s="7" customFormat="1" spans="33:33">
      <c r="AG11409" s="3"/>
    </row>
    <row r="11410" s="7" customFormat="1" spans="33:33">
      <c r="AG11410" s="3"/>
    </row>
    <row r="11411" s="7" customFormat="1" spans="33:33">
      <c r="AG11411" s="3"/>
    </row>
    <row r="11412" s="7" customFormat="1" spans="33:33">
      <c r="AG11412" s="3"/>
    </row>
    <row r="11413" s="7" customFormat="1" spans="33:33">
      <c r="AG11413" s="3"/>
    </row>
    <row r="11414" s="7" customFormat="1" spans="33:33">
      <c r="AG11414" s="3"/>
    </row>
    <row r="11415" s="7" customFormat="1" spans="33:33">
      <c r="AG11415" s="3"/>
    </row>
    <row r="11416" s="7" customFormat="1" spans="33:33">
      <c r="AG11416" s="3"/>
    </row>
    <row r="11417" s="7" customFormat="1" spans="33:33">
      <c r="AG11417" s="3"/>
    </row>
    <row r="11418" s="7" customFormat="1" spans="33:33">
      <c r="AG11418" s="3"/>
    </row>
    <row r="11419" s="7" customFormat="1" spans="33:33">
      <c r="AG11419" s="3"/>
    </row>
    <row r="11420" s="7" customFormat="1" spans="33:33">
      <c r="AG11420" s="3"/>
    </row>
    <row r="11421" s="7" customFormat="1" spans="33:33">
      <c r="AG11421" s="3"/>
    </row>
    <row r="11422" s="7" customFormat="1" spans="33:33">
      <c r="AG11422" s="3"/>
    </row>
    <row r="11423" s="7" customFormat="1" spans="33:33">
      <c r="AG11423" s="3"/>
    </row>
    <row r="11424" s="7" customFormat="1" spans="33:33">
      <c r="AG11424" s="3"/>
    </row>
    <row r="11425" s="7" customFormat="1" spans="33:33">
      <c r="AG11425" s="3"/>
    </row>
    <row r="11426" s="7" customFormat="1" spans="33:33">
      <c r="AG11426" s="3"/>
    </row>
    <row r="11427" s="7" customFormat="1" spans="33:33">
      <c r="AG11427" s="3"/>
    </row>
    <row r="11428" s="7" customFormat="1" spans="33:33">
      <c r="AG11428" s="3"/>
    </row>
    <row r="11429" s="7" customFormat="1" spans="33:33">
      <c r="AG11429" s="3"/>
    </row>
    <row r="11430" s="7" customFormat="1" spans="33:33">
      <c r="AG11430" s="3"/>
    </row>
    <row r="11431" s="7" customFormat="1" spans="33:33">
      <c r="AG11431" s="3"/>
    </row>
    <row r="11432" s="7" customFormat="1" spans="33:33">
      <c r="AG11432" s="3"/>
    </row>
    <row r="11433" s="7" customFormat="1" spans="33:33">
      <c r="AG11433" s="3"/>
    </row>
    <row r="11434" s="7" customFormat="1" spans="33:33">
      <c r="AG11434" s="3"/>
    </row>
    <row r="11435" s="7" customFormat="1" spans="33:33">
      <c r="AG11435" s="3"/>
    </row>
    <row r="11436" s="7" customFormat="1" spans="33:33">
      <c r="AG11436" s="3"/>
    </row>
    <row r="11437" s="7" customFormat="1" spans="33:33">
      <c r="AG11437" s="3"/>
    </row>
    <row r="11438" s="7" customFormat="1" spans="33:33">
      <c r="AG11438" s="3"/>
    </row>
    <row r="11439" s="7" customFormat="1" spans="33:33">
      <c r="AG11439" s="3"/>
    </row>
    <row r="11440" s="7" customFormat="1" spans="33:33">
      <c r="AG11440" s="3"/>
    </row>
    <row r="11441" s="7" customFormat="1" spans="33:33">
      <c r="AG11441" s="3"/>
    </row>
    <row r="11442" s="7" customFormat="1" spans="33:33">
      <c r="AG11442" s="3"/>
    </row>
    <row r="11443" s="7" customFormat="1" spans="33:33">
      <c r="AG11443" s="3"/>
    </row>
    <row r="11444" s="7" customFormat="1" spans="33:33">
      <c r="AG11444" s="3"/>
    </row>
    <row r="11445" s="7" customFormat="1" spans="33:33">
      <c r="AG11445" s="3"/>
    </row>
    <row r="11446" s="7" customFormat="1" spans="33:33">
      <c r="AG11446" s="3"/>
    </row>
    <row r="11447" s="7" customFormat="1" spans="33:33">
      <c r="AG11447" s="3"/>
    </row>
    <row r="11448" s="7" customFormat="1" spans="33:33">
      <c r="AG11448" s="3"/>
    </row>
    <row r="11449" s="7" customFormat="1" spans="33:33">
      <c r="AG11449" s="3"/>
    </row>
    <row r="11450" s="7" customFormat="1" spans="33:33">
      <c r="AG11450" s="3"/>
    </row>
    <row r="11451" s="7" customFormat="1" spans="33:33">
      <c r="AG11451" s="3"/>
    </row>
    <row r="11452" s="7" customFormat="1" spans="33:33">
      <c r="AG11452" s="3"/>
    </row>
    <row r="11453" s="7" customFormat="1" spans="33:33">
      <c r="AG11453" s="3"/>
    </row>
    <row r="11454" s="7" customFormat="1" spans="33:33">
      <c r="AG11454" s="3"/>
    </row>
    <row r="11455" s="7" customFormat="1" spans="33:33">
      <c r="AG11455" s="3"/>
    </row>
    <row r="11456" s="7" customFormat="1" spans="33:33">
      <c r="AG11456" s="3"/>
    </row>
    <row r="11457" s="7" customFormat="1" spans="33:33">
      <c r="AG11457" s="3"/>
    </row>
    <row r="11458" s="7" customFormat="1" spans="33:33">
      <c r="AG11458" s="3"/>
    </row>
    <row r="11459" s="7" customFormat="1" spans="33:33">
      <c r="AG11459" s="3"/>
    </row>
    <row r="11460" s="7" customFormat="1" spans="33:33">
      <c r="AG11460" s="3"/>
    </row>
    <row r="11461" s="7" customFormat="1" spans="33:33">
      <c r="AG11461" s="3"/>
    </row>
    <row r="11462" s="7" customFormat="1" spans="33:33">
      <c r="AG11462" s="3"/>
    </row>
    <row r="11463" s="7" customFormat="1" spans="33:33">
      <c r="AG11463" s="3"/>
    </row>
    <row r="11464" s="7" customFormat="1" spans="33:33">
      <c r="AG11464" s="3"/>
    </row>
    <row r="11465" s="7" customFormat="1" spans="33:33">
      <c r="AG11465" s="3"/>
    </row>
    <row r="11466" s="7" customFormat="1" spans="33:33">
      <c r="AG11466" s="3"/>
    </row>
    <row r="11467" s="7" customFormat="1" spans="33:33">
      <c r="AG11467" s="3"/>
    </row>
    <row r="11468" s="7" customFormat="1" spans="33:33">
      <c r="AG11468" s="3"/>
    </row>
    <row r="11469" s="7" customFormat="1" spans="33:33">
      <c r="AG11469" s="3"/>
    </row>
    <row r="11470" s="7" customFormat="1" spans="33:33">
      <c r="AG11470" s="3"/>
    </row>
    <row r="11471" s="7" customFormat="1" spans="33:33">
      <c r="AG11471" s="3"/>
    </row>
    <row r="11472" s="7" customFormat="1" spans="33:33">
      <c r="AG11472" s="3"/>
    </row>
    <row r="11473" s="7" customFormat="1" spans="33:33">
      <c r="AG11473" s="3"/>
    </row>
    <row r="11474" s="7" customFormat="1" spans="33:33">
      <c r="AG11474" s="3"/>
    </row>
    <row r="11475" s="7" customFormat="1" spans="33:33">
      <c r="AG11475" s="3"/>
    </row>
    <row r="11476" s="7" customFormat="1" spans="33:33">
      <c r="AG11476" s="3"/>
    </row>
    <row r="11477" s="7" customFormat="1" spans="33:33">
      <c r="AG11477" s="3"/>
    </row>
    <row r="11478" s="7" customFormat="1" spans="33:33">
      <c r="AG11478" s="3"/>
    </row>
    <row r="11479" s="7" customFormat="1" spans="33:33">
      <c r="AG11479" s="3"/>
    </row>
    <row r="11480" s="7" customFormat="1" spans="33:33">
      <c r="AG11480" s="3"/>
    </row>
    <row r="11481" s="7" customFormat="1" spans="33:33">
      <c r="AG11481" s="3"/>
    </row>
    <row r="11482" s="7" customFormat="1" spans="33:33">
      <c r="AG11482" s="3"/>
    </row>
    <row r="11483" s="7" customFormat="1" spans="33:33">
      <c r="AG11483" s="3"/>
    </row>
    <row r="11484" s="7" customFormat="1" spans="33:33">
      <c r="AG11484" s="3"/>
    </row>
    <row r="11485" s="7" customFormat="1" spans="33:33">
      <c r="AG11485" s="3"/>
    </row>
    <row r="11486" s="7" customFormat="1" spans="33:33">
      <c r="AG11486" s="3"/>
    </row>
    <row r="11487" s="7" customFormat="1" spans="33:33">
      <c r="AG11487" s="3"/>
    </row>
    <row r="11488" s="7" customFormat="1" spans="33:33">
      <c r="AG11488" s="3"/>
    </row>
    <row r="11489" s="7" customFormat="1" spans="33:33">
      <c r="AG11489" s="3"/>
    </row>
    <row r="11490" s="7" customFormat="1" spans="33:33">
      <c r="AG11490" s="3"/>
    </row>
    <row r="11491" s="7" customFormat="1" spans="33:33">
      <c r="AG11491" s="3"/>
    </row>
    <row r="11492" s="7" customFormat="1" spans="33:33">
      <c r="AG11492" s="3"/>
    </row>
    <row r="11493" s="7" customFormat="1" spans="33:33">
      <c r="AG11493" s="3"/>
    </row>
    <row r="11494" s="7" customFormat="1" spans="33:33">
      <c r="AG11494" s="3"/>
    </row>
    <row r="11495" s="7" customFormat="1" spans="33:33">
      <c r="AG11495" s="3"/>
    </row>
    <row r="11496" s="7" customFormat="1" spans="33:33">
      <c r="AG11496" s="3"/>
    </row>
    <row r="11497" s="7" customFormat="1" spans="33:33">
      <c r="AG11497" s="3"/>
    </row>
    <row r="11498" s="7" customFormat="1" spans="33:33">
      <c r="AG11498" s="3"/>
    </row>
    <row r="11499" s="7" customFormat="1" spans="33:33">
      <c r="AG11499" s="3"/>
    </row>
    <row r="11500" s="7" customFormat="1" spans="33:33">
      <c r="AG11500" s="3"/>
    </row>
    <row r="11501" s="7" customFormat="1" spans="33:33">
      <c r="AG11501" s="3"/>
    </row>
    <row r="11502" s="7" customFormat="1" spans="33:33">
      <c r="AG11502" s="3"/>
    </row>
    <row r="11503" s="7" customFormat="1" spans="33:33">
      <c r="AG11503" s="3"/>
    </row>
    <row r="11504" s="7" customFormat="1" spans="33:33">
      <c r="AG11504" s="3"/>
    </row>
    <row r="11505" s="7" customFormat="1" spans="33:33">
      <c r="AG11505" s="3"/>
    </row>
    <row r="11506" s="7" customFormat="1" spans="33:33">
      <c r="AG11506" s="3"/>
    </row>
    <row r="11507" s="7" customFormat="1" spans="33:33">
      <c r="AG11507" s="3"/>
    </row>
    <row r="11508" s="7" customFormat="1" spans="33:33">
      <c r="AG11508" s="3"/>
    </row>
    <row r="11509" s="7" customFormat="1" spans="33:33">
      <c r="AG11509" s="3"/>
    </row>
    <row r="11510" s="7" customFormat="1" spans="33:33">
      <c r="AG11510" s="3"/>
    </row>
    <row r="11511" s="7" customFormat="1" spans="33:33">
      <c r="AG11511" s="3"/>
    </row>
    <row r="11512" s="7" customFormat="1" spans="33:33">
      <c r="AG11512" s="3"/>
    </row>
    <row r="11513" s="7" customFormat="1" spans="33:33">
      <c r="AG11513" s="3"/>
    </row>
    <row r="11514" s="7" customFormat="1" spans="33:33">
      <c r="AG11514" s="3"/>
    </row>
    <row r="11515" s="7" customFormat="1" spans="33:33">
      <c r="AG11515" s="3"/>
    </row>
    <row r="11516" s="7" customFormat="1" spans="33:33">
      <c r="AG11516" s="3"/>
    </row>
    <row r="11517" s="7" customFormat="1" spans="33:33">
      <c r="AG11517" s="3"/>
    </row>
    <row r="11518" s="7" customFormat="1" spans="33:33">
      <c r="AG11518" s="3"/>
    </row>
    <row r="11519" s="7" customFormat="1" spans="33:33">
      <c r="AG11519" s="3"/>
    </row>
    <row r="11520" s="7" customFormat="1" spans="33:33">
      <c r="AG11520" s="3"/>
    </row>
    <row r="11521" s="7" customFormat="1" spans="33:33">
      <c r="AG11521" s="3"/>
    </row>
    <row r="11522" s="7" customFormat="1" spans="33:33">
      <c r="AG11522" s="3"/>
    </row>
    <row r="11523" s="7" customFormat="1" spans="33:33">
      <c r="AG11523" s="3"/>
    </row>
    <row r="11524" s="7" customFormat="1" spans="33:33">
      <c r="AG11524" s="3"/>
    </row>
    <row r="11525" s="7" customFormat="1" spans="33:33">
      <c r="AG11525" s="3"/>
    </row>
    <row r="11526" s="7" customFormat="1" spans="33:33">
      <c r="AG11526" s="3"/>
    </row>
    <row r="11527" s="7" customFormat="1" spans="33:33">
      <c r="AG11527" s="3"/>
    </row>
    <row r="11528" s="7" customFormat="1" spans="33:33">
      <c r="AG11528" s="3"/>
    </row>
    <row r="11529" s="7" customFormat="1" spans="33:33">
      <c r="AG11529" s="3"/>
    </row>
    <row r="11530" s="7" customFormat="1" spans="33:33">
      <c r="AG11530" s="3"/>
    </row>
    <row r="11531" s="7" customFormat="1" spans="33:33">
      <c r="AG11531" s="3"/>
    </row>
    <row r="11532" s="7" customFormat="1" spans="33:33">
      <c r="AG11532" s="3"/>
    </row>
    <row r="11533" s="7" customFormat="1" spans="33:33">
      <c r="AG11533" s="3"/>
    </row>
    <row r="11534" s="7" customFormat="1" spans="33:33">
      <c r="AG11534" s="3"/>
    </row>
    <row r="11535" s="7" customFormat="1" spans="33:33">
      <c r="AG11535" s="3"/>
    </row>
    <row r="11536" s="7" customFormat="1" spans="33:33">
      <c r="AG11536" s="3"/>
    </row>
    <row r="11537" s="7" customFormat="1" spans="33:33">
      <c r="AG11537" s="3"/>
    </row>
    <row r="11538" s="7" customFormat="1" spans="33:33">
      <c r="AG11538" s="3"/>
    </row>
    <row r="11539" s="7" customFormat="1" spans="33:33">
      <c r="AG11539" s="3"/>
    </row>
    <row r="11540" s="7" customFormat="1" spans="33:33">
      <c r="AG11540" s="3"/>
    </row>
    <row r="11541" s="7" customFormat="1" spans="33:33">
      <c r="AG11541" s="3"/>
    </row>
    <row r="11542" s="7" customFormat="1" spans="33:33">
      <c r="AG11542" s="3"/>
    </row>
    <row r="11543" s="7" customFormat="1" spans="33:33">
      <c r="AG11543" s="3"/>
    </row>
    <row r="11544" s="7" customFormat="1" spans="33:33">
      <c r="AG11544" s="3"/>
    </row>
    <row r="11545" s="7" customFormat="1" spans="33:33">
      <c r="AG11545" s="3"/>
    </row>
    <row r="11546" s="7" customFormat="1" spans="33:33">
      <c r="AG11546" s="3"/>
    </row>
    <row r="11547" s="7" customFormat="1" spans="33:33">
      <c r="AG11547" s="3"/>
    </row>
    <row r="11548" s="7" customFormat="1" spans="33:33">
      <c r="AG11548" s="3"/>
    </row>
    <row r="11549" s="7" customFormat="1" spans="33:33">
      <c r="AG11549" s="3"/>
    </row>
    <row r="11550" s="7" customFormat="1" spans="33:33">
      <c r="AG11550" s="3"/>
    </row>
    <row r="11551" s="7" customFormat="1" spans="33:33">
      <c r="AG11551" s="3"/>
    </row>
    <row r="11552" s="7" customFormat="1" spans="33:33">
      <c r="AG11552" s="3"/>
    </row>
    <row r="11553" s="7" customFormat="1" spans="33:33">
      <c r="AG11553" s="3"/>
    </row>
    <row r="11554" s="7" customFormat="1" spans="33:33">
      <c r="AG11554" s="3"/>
    </row>
    <row r="11555" s="7" customFormat="1" spans="33:33">
      <c r="AG11555" s="3"/>
    </row>
    <row r="11556" s="7" customFormat="1" spans="33:33">
      <c r="AG11556" s="3"/>
    </row>
    <row r="11557" s="7" customFormat="1" spans="33:33">
      <c r="AG11557" s="3"/>
    </row>
    <row r="11558" s="7" customFormat="1" spans="33:33">
      <c r="AG11558" s="3"/>
    </row>
    <row r="11559" s="7" customFormat="1" spans="33:33">
      <c r="AG11559" s="3"/>
    </row>
    <row r="11560" s="7" customFormat="1" spans="33:33">
      <c r="AG11560" s="3"/>
    </row>
    <row r="11561" s="7" customFormat="1" spans="33:33">
      <c r="AG11561" s="3"/>
    </row>
    <row r="11562" s="7" customFormat="1" spans="33:33">
      <c r="AG11562" s="3"/>
    </row>
    <row r="11563" s="7" customFormat="1" spans="33:33">
      <c r="AG11563" s="3"/>
    </row>
    <row r="11564" s="7" customFormat="1" spans="33:33">
      <c r="AG11564" s="3"/>
    </row>
    <row r="11565" s="7" customFormat="1" spans="33:33">
      <c r="AG11565" s="3"/>
    </row>
    <row r="11566" s="7" customFormat="1" spans="33:33">
      <c r="AG11566" s="3"/>
    </row>
    <row r="11567" s="7" customFormat="1" spans="33:33">
      <c r="AG11567" s="3"/>
    </row>
    <row r="11568" s="7" customFormat="1" spans="33:33">
      <c r="AG11568" s="3"/>
    </row>
    <row r="11569" s="7" customFormat="1" spans="33:33">
      <c r="AG11569" s="3"/>
    </row>
    <row r="11570" s="7" customFormat="1" spans="33:33">
      <c r="AG11570" s="3"/>
    </row>
    <row r="11571" s="7" customFormat="1" spans="33:33">
      <c r="AG11571" s="3"/>
    </row>
    <row r="11572" s="7" customFormat="1" spans="33:33">
      <c r="AG11572" s="3"/>
    </row>
    <row r="11573" s="7" customFormat="1" spans="33:33">
      <c r="AG11573" s="3"/>
    </row>
    <row r="11574" s="7" customFormat="1" spans="33:33">
      <c r="AG11574" s="3"/>
    </row>
    <row r="11575" s="7" customFormat="1" spans="33:33">
      <c r="AG11575" s="3"/>
    </row>
    <row r="11576" s="7" customFormat="1" spans="33:33">
      <c r="AG11576" s="3"/>
    </row>
    <row r="11577" s="7" customFormat="1" spans="33:33">
      <c r="AG11577" s="3"/>
    </row>
    <row r="11578" s="7" customFormat="1" spans="33:33">
      <c r="AG11578" s="3"/>
    </row>
    <row r="11579" s="7" customFormat="1" spans="33:33">
      <c r="AG11579" s="3"/>
    </row>
    <row r="11580" s="7" customFormat="1" spans="33:33">
      <c r="AG11580" s="3"/>
    </row>
    <row r="11581" s="7" customFormat="1" spans="33:33">
      <c r="AG11581" s="3"/>
    </row>
    <row r="11582" s="7" customFormat="1" spans="33:33">
      <c r="AG11582" s="3"/>
    </row>
    <row r="11583" s="7" customFormat="1" spans="33:33">
      <c r="AG11583" s="3"/>
    </row>
    <row r="11584" s="7" customFormat="1" spans="33:33">
      <c r="AG11584" s="3"/>
    </row>
    <row r="11585" s="7" customFormat="1" spans="33:33">
      <c r="AG11585" s="3"/>
    </row>
    <row r="11586" s="7" customFormat="1" spans="33:33">
      <c r="AG11586" s="3"/>
    </row>
    <row r="11587" s="7" customFormat="1" spans="33:33">
      <c r="AG11587" s="3"/>
    </row>
    <row r="11588" s="7" customFormat="1" spans="33:33">
      <c r="AG11588" s="3"/>
    </row>
    <row r="11589" s="7" customFormat="1" spans="33:33">
      <c r="AG11589" s="3"/>
    </row>
    <row r="11590" s="7" customFormat="1" spans="33:33">
      <c r="AG11590" s="3"/>
    </row>
    <row r="11591" s="7" customFormat="1" spans="33:33">
      <c r="AG11591" s="3"/>
    </row>
    <row r="11592" s="7" customFormat="1" spans="33:33">
      <c r="AG11592" s="3"/>
    </row>
    <row r="11593" s="7" customFormat="1" spans="33:33">
      <c r="AG11593" s="3"/>
    </row>
    <row r="11594" s="7" customFormat="1" spans="33:33">
      <c r="AG11594" s="3"/>
    </row>
    <row r="11595" s="7" customFormat="1" spans="33:33">
      <c r="AG11595" s="3"/>
    </row>
    <row r="11596" s="7" customFormat="1" spans="33:33">
      <c r="AG11596" s="3"/>
    </row>
    <row r="11597" s="7" customFormat="1" spans="33:33">
      <c r="AG11597" s="3"/>
    </row>
    <row r="11598" s="7" customFormat="1" spans="33:33">
      <c r="AG11598" s="3"/>
    </row>
    <row r="11599" s="7" customFormat="1" spans="33:33">
      <c r="AG11599" s="3"/>
    </row>
    <row r="11600" s="7" customFormat="1" spans="33:33">
      <c r="AG11600" s="3"/>
    </row>
    <row r="11601" s="7" customFormat="1" spans="33:33">
      <c r="AG11601" s="3"/>
    </row>
    <row r="11602" s="7" customFormat="1" spans="33:33">
      <c r="AG11602" s="3"/>
    </row>
    <row r="11603" s="7" customFormat="1" spans="33:33">
      <c r="AG11603" s="3"/>
    </row>
    <row r="11604" s="7" customFormat="1" spans="33:33">
      <c r="AG11604" s="3"/>
    </row>
    <row r="11605" s="7" customFormat="1" spans="33:33">
      <c r="AG11605" s="3"/>
    </row>
    <row r="11606" s="7" customFormat="1" spans="33:33">
      <c r="AG11606" s="3"/>
    </row>
    <row r="11607" s="7" customFormat="1" spans="33:33">
      <c r="AG11607" s="3"/>
    </row>
    <row r="11608" s="7" customFormat="1" spans="33:33">
      <c r="AG11608" s="3"/>
    </row>
    <row r="11609" s="7" customFormat="1" spans="33:33">
      <c r="AG11609" s="3"/>
    </row>
    <row r="11610" s="7" customFormat="1" spans="33:33">
      <c r="AG11610" s="3"/>
    </row>
    <row r="11611" s="7" customFormat="1" spans="33:33">
      <c r="AG11611" s="3"/>
    </row>
    <row r="11612" s="7" customFormat="1" spans="33:33">
      <c r="AG11612" s="3"/>
    </row>
    <row r="11613" s="7" customFormat="1" spans="33:33">
      <c r="AG11613" s="3"/>
    </row>
    <row r="11614" s="7" customFormat="1" spans="33:33">
      <c r="AG11614" s="3"/>
    </row>
    <row r="11615" s="7" customFormat="1" spans="33:33">
      <c r="AG11615" s="3"/>
    </row>
    <row r="11616" s="7" customFormat="1" spans="33:33">
      <c r="AG11616" s="3"/>
    </row>
    <row r="11617" s="7" customFormat="1" spans="33:33">
      <c r="AG11617" s="3"/>
    </row>
    <row r="11618" s="7" customFormat="1" spans="33:33">
      <c r="AG11618" s="3"/>
    </row>
    <row r="11619" s="7" customFormat="1" spans="33:33">
      <c r="AG11619" s="3"/>
    </row>
    <row r="11620" s="7" customFormat="1" spans="33:33">
      <c r="AG11620" s="3"/>
    </row>
    <row r="11621" s="7" customFormat="1" spans="33:33">
      <c r="AG11621" s="3"/>
    </row>
    <row r="11622" s="7" customFormat="1" spans="33:33">
      <c r="AG11622" s="3"/>
    </row>
    <row r="11623" s="7" customFormat="1" spans="33:33">
      <c r="AG11623" s="3"/>
    </row>
    <row r="11624" s="7" customFormat="1" spans="33:33">
      <c r="AG11624" s="3"/>
    </row>
    <row r="11625" s="7" customFormat="1" spans="33:33">
      <c r="AG11625" s="3"/>
    </row>
    <row r="11626" s="7" customFormat="1" spans="33:33">
      <c r="AG11626" s="3"/>
    </row>
    <row r="11627" s="7" customFormat="1" spans="33:33">
      <c r="AG11627" s="3"/>
    </row>
    <row r="11628" s="7" customFormat="1" spans="33:33">
      <c r="AG11628" s="3"/>
    </row>
    <row r="11629" s="7" customFormat="1" spans="33:33">
      <c r="AG11629" s="3"/>
    </row>
    <row r="11630" s="7" customFormat="1" spans="33:33">
      <c r="AG11630" s="3"/>
    </row>
    <row r="11631" s="7" customFormat="1" spans="33:33">
      <c r="AG11631" s="3"/>
    </row>
    <row r="11632" s="7" customFormat="1" spans="33:33">
      <c r="AG11632" s="3"/>
    </row>
    <row r="11633" s="7" customFormat="1" spans="33:33">
      <c r="AG11633" s="3"/>
    </row>
    <row r="11634" s="7" customFormat="1" spans="33:33">
      <c r="AG11634" s="3"/>
    </row>
    <row r="11635" s="7" customFormat="1" spans="33:33">
      <c r="AG11635" s="3"/>
    </row>
    <row r="11636" s="7" customFormat="1" spans="33:33">
      <c r="AG11636" s="3"/>
    </row>
    <row r="11637" s="7" customFormat="1" spans="33:33">
      <c r="AG11637" s="3"/>
    </row>
    <row r="11638" s="7" customFormat="1" spans="33:33">
      <c r="AG11638" s="3"/>
    </row>
    <row r="11639" s="7" customFormat="1" spans="33:33">
      <c r="AG11639" s="3"/>
    </row>
    <row r="11640" s="7" customFormat="1" spans="33:33">
      <c r="AG11640" s="3"/>
    </row>
    <row r="11641" s="7" customFormat="1" spans="33:33">
      <c r="AG11641" s="3"/>
    </row>
    <row r="11642" s="7" customFormat="1" spans="33:33">
      <c r="AG11642" s="3"/>
    </row>
    <row r="11643" s="7" customFormat="1" spans="33:33">
      <c r="AG11643" s="3"/>
    </row>
    <row r="11644" s="7" customFormat="1" spans="33:33">
      <c r="AG11644" s="3"/>
    </row>
    <row r="11645" s="7" customFormat="1" spans="33:33">
      <c r="AG11645" s="3"/>
    </row>
    <row r="11646" s="7" customFormat="1" spans="33:33">
      <c r="AG11646" s="3"/>
    </row>
    <row r="11647" s="7" customFormat="1" spans="33:33">
      <c r="AG11647" s="3"/>
    </row>
    <row r="11648" s="7" customFormat="1" spans="33:33">
      <c r="AG11648" s="3"/>
    </row>
    <row r="11649" s="7" customFormat="1" spans="33:33">
      <c r="AG11649" s="3"/>
    </row>
    <row r="11650" s="7" customFormat="1" spans="33:33">
      <c r="AG11650" s="3"/>
    </row>
    <row r="11651" s="7" customFormat="1" spans="33:33">
      <c r="AG11651" s="3"/>
    </row>
    <row r="11652" s="7" customFormat="1" spans="33:33">
      <c r="AG11652" s="3"/>
    </row>
    <row r="11653" s="7" customFormat="1" spans="33:33">
      <c r="AG11653" s="3"/>
    </row>
    <row r="11654" s="7" customFormat="1" spans="33:33">
      <c r="AG11654" s="3"/>
    </row>
    <row r="11655" s="7" customFormat="1" spans="33:33">
      <c r="AG11655" s="3"/>
    </row>
    <row r="11656" s="7" customFormat="1" spans="33:33">
      <c r="AG11656" s="3"/>
    </row>
    <row r="11657" s="7" customFormat="1" spans="33:33">
      <c r="AG11657" s="3"/>
    </row>
    <row r="11658" s="7" customFormat="1" spans="33:33">
      <c r="AG11658" s="3"/>
    </row>
    <row r="11659" s="7" customFormat="1" spans="33:33">
      <c r="AG11659" s="3"/>
    </row>
    <row r="11660" s="7" customFormat="1" spans="33:33">
      <c r="AG11660" s="3"/>
    </row>
    <row r="11661" s="7" customFormat="1" spans="33:33">
      <c r="AG11661" s="3"/>
    </row>
    <row r="11662" s="7" customFormat="1" spans="33:33">
      <c r="AG11662" s="3"/>
    </row>
    <row r="11663" s="7" customFormat="1" spans="33:33">
      <c r="AG11663" s="3"/>
    </row>
    <row r="11664" s="7" customFormat="1" spans="33:33">
      <c r="AG11664" s="3"/>
    </row>
    <row r="11665" s="7" customFormat="1" spans="33:33">
      <c r="AG11665" s="3"/>
    </row>
    <row r="11666" s="7" customFormat="1" spans="33:33">
      <c r="AG11666" s="3"/>
    </row>
    <row r="11667" s="7" customFormat="1" spans="33:33">
      <c r="AG11667" s="3"/>
    </row>
    <row r="11668" s="7" customFormat="1" spans="33:33">
      <c r="AG11668" s="3"/>
    </row>
    <row r="11669" s="7" customFormat="1" spans="33:33">
      <c r="AG11669" s="3"/>
    </row>
    <row r="11670" s="7" customFormat="1" spans="33:33">
      <c r="AG11670" s="3"/>
    </row>
    <row r="11671" s="7" customFormat="1" spans="33:33">
      <c r="AG11671" s="3"/>
    </row>
    <row r="11672" s="7" customFormat="1" spans="33:33">
      <c r="AG11672" s="3"/>
    </row>
    <row r="11673" s="7" customFormat="1" spans="33:33">
      <c r="AG11673" s="3"/>
    </row>
    <row r="11674" s="7" customFormat="1" spans="33:33">
      <c r="AG11674" s="3"/>
    </row>
    <row r="11675" s="7" customFormat="1" spans="33:33">
      <c r="AG11675" s="3"/>
    </row>
    <row r="11676" s="7" customFormat="1" spans="33:33">
      <c r="AG11676" s="3"/>
    </row>
    <row r="11677" s="7" customFormat="1" spans="33:33">
      <c r="AG11677" s="3"/>
    </row>
    <row r="11678" s="7" customFormat="1" spans="33:33">
      <c r="AG11678" s="3"/>
    </row>
    <row r="11679" s="7" customFormat="1" spans="33:33">
      <c r="AG11679" s="3"/>
    </row>
    <row r="11680" s="7" customFormat="1" spans="33:33">
      <c r="AG11680" s="3"/>
    </row>
    <row r="11681" s="7" customFormat="1" spans="33:33">
      <c r="AG11681" s="3"/>
    </row>
    <row r="11682" s="7" customFormat="1" spans="33:33">
      <c r="AG11682" s="3"/>
    </row>
    <row r="11683" s="7" customFormat="1" spans="33:33">
      <c r="AG11683" s="3"/>
    </row>
    <row r="11684" s="7" customFormat="1" spans="33:33">
      <c r="AG11684" s="3"/>
    </row>
    <row r="11685" s="7" customFormat="1" spans="33:33">
      <c r="AG11685" s="3"/>
    </row>
    <row r="11686" s="7" customFormat="1" spans="33:33">
      <c r="AG11686" s="3"/>
    </row>
    <row r="11687" s="7" customFormat="1" spans="33:33">
      <c r="AG11687" s="3"/>
    </row>
    <row r="11688" s="7" customFormat="1" spans="33:33">
      <c r="AG11688" s="3"/>
    </row>
    <row r="11689" s="7" customFormat="1" spans="33:33">
      <c r="AG11689" s="3"/>
    </row>
    <row r="11690" s="7" customFormat="1" spans="33:33">
      <c r="AG11690" s="3"/>
    </row>
    <row r="11691" s="7" customFormat="1" spans="33:33">
      <c r="AG11691" s="3"/>
    </row>
    <row r="11692" s="7" customFormat="1" spans="33:33">
      <c r="AG11692" s="3"/>
    </row>
    <row r="11693" s="7" customFormat="1" spans="33:33">
      <c r="AG11693" s="3"/>
    </row>
    <row r="11694" s="7" customFormat="1" spans="33:33">
      <c r="AG11694" s="3"/>
    </row>
    <row r="11695" s="7" customFormat="1" spans="33:33">
      <c r="AG11695" s="3"/>
    </row>
    <row r="11696" s="7" customFormat="1" spans="33:33">
      <c r="AG11696" s="3"/>
    </row>
    <row r="11697" s="7" customFormat="1" spans="33:33">
      <c r="AG11697" s="3"/>
    </row>
    <row r="11698" s="7" customFormat="1" spans="33:33">
      <c r="AG11698" s="3"/>
    </row>
    <row r="11699" s="7" customFormat="1" spans="33:33">
      <c r="AG11699" s="3"/>
    </row>
    <row r="11700" s="7" customFormat="1" spans="33:33">
      <c r="AG11700" s="3"/>
    </row>
    <row r="11701" s="7" customFormat="1" spans="33:33">
      <c r="AG11701" s="3"/>
    </row>
    <row r="11702" s="7" customFormat="1" spans="33:33">
      <c r="AG11702" s="3"/>
    </row>
    <row r="11703" s="7" customFormat="1" spans="33:33">
      <c r="AG11703" s="3"/>
    </row>
    <row r="11704" s="7" customFormat="1" spans="33:33">
      <c r="AG11704" s="3"/>
    </row>
    <row r="11705" s="7" customFormat="1" spans="33:33">
      <c r="AG11705" s="3"/>
    </row>
    <row r="11706" s="7" customFormat="1" spans="33:33">
      <c r="AG11706" s="3"/>
    </row>
    <row r="11707" s="7" customFormat="1" spans="33:33">
      <c r="AG11707" s="3"/>
    </row>
    <row r="11708" s="7" customFormat="1" spans="33:33">
      <c r="AG11708" s="3"/>
    </row>
    <row r="11709" s="7" customFormat="1" spans="33:33">
      <c r="AG11709" s="3"/>
    </row>
    <row r="11710" s="7" customFormat="1" spans="33:33">
      <c r="AG11710" s="3"/>
    </row>
    <row r="11711" s="7" customFormat="1" spans="33:33">
      <c r="AG11711" s="3"/>
    </row>
    <row r="11712" s="7" customFormat="1" spans="33:33">
      <c r="AG11712" s="3"/>
    </row>
    <row r="11713" s="7" customFormat="1" spans="33:33">
      <c r="AG11713" s="3"/>
    </row>
    <row r="11714" s="7" customFormat="1" spans="33:33">
      <c r="AG11714" s="3"/>
    </row>
    <row r="11715" s="7" customFormat="1" spans="33:33">
      <c r="AG11715" s="3"/>
    </row>
    <row r="11716" s="7" customFormat="1" spans="33:33">
      <c r="AG11716" s="3"/>
    </row>
    <row r="11717" s="7" customFormat="1" spans="33:33">
      <c r="AG11717" s="3"/>
    </row>
    <row r="11718" s="7" customFormat="1" spans="33:33">
      <c r="AG11718" s="3"/>
    </row>
    <row r="11719" s="7" customFormat="1" spans="33:33">
      <c r="AG11719" s="3"/>
    </row>
    <row r="11720" s="7" customFormat="1" spans="33:33">
      <c r="AG11720" s="3"/>
    </row>
    <row r="11721" s="7" customFormat="1" spans="33:33">
      <c r="AG11721" s="3"/>
    </row>
    <row r="11722" s="7" customFormat="1" spans="33:33">
      <c r="AG11722" s="3"/>
    </row>
    <row r="11723" s="7" customFormat="1" spans="33:33">
      <c r="AG11723" s="3"/>
    </row>
    <row r="11724" s="7" customFormat="1" spans="33:33">
      <c r="AG11724" s="3"/>
    </row>
    <row r="11725" s="7" customFormat="1" spans="33:33">
      <c r="AG11725" s="3"/>
    </row>
    <row r="11726" s="7" customFormat="1" spans="33:33">
      <c r="AG11726" s="3"/>
    </row>
    <row r="11727" s="7" customFormat="1" spans="33:33">
      <c r="AG11727" s="3"/>
    </row>
    <row r="11728" s="7" customFormat="1" spans="33:33">
      <c r="AG11728" s="3"/>
    </row>
    <row r="11729" s="7" customFormat="1" spans="33:33">
      <c r="AG11729" s="3"/>
    </row>
    <row r="11730" s="7" customFormat="1" spans="33:33">
      <c r="AG11730" s="3"/>
    </row>
    <row r="11731" s="7" customFormat="1" spans="33:33">
      <c r="AG11731" s="3"/>
    </row>
    <row r="11732" s="7" customFormat="1" spans="33:33">
      <c r="AG11732" s="3"/>
    </row>
    <row r="11733" s="7" customFormat="1" spans="33:33">
      <c r="AG11733" s="3"/>
    </row>
    <row r="11734" s="7" customFormat="1" spans="33:33">
      <c r="AG11734" s="3"/>
    </row>
    <row r="11735" s="7" customFormat="1" spans="33:33">
      <c r="AG11735" s="3"/>
    </row>
    <row r="11736" s="7" customFormat="1" spans="33:33">
      <c r="AG11736" s="3"/>
    </row>
    <row r="11737" s="7" customFormat="1" spans="33:33">
      <c r="AG11737" s="3"/>
    </row>
    <row r="11738" s="7" customFormat="1" spans="33:33">
      <c r="AG11738" s="3"/>
    </row>
    <row r="11739" s="7" customFormat="1" spans="33:33">
      <c r="AG11739" s="3"/>
    </row>
    <row r="11740" s="7" customFormat="1" spans="33:33">
      <c r="AG11740" s="3"/>
    </row>
    <row r="11741" s="7" customFormat="1" spans="33:33">
      <c r="AG11741" s="3"/>
    </row>
    <row r="11742" s="7" customFormat="1" spans="33:33">
      <c r="AG11742" s="3"/>
    </row>
    <row r="11743" s="7" customFormat="1" spans="33:33">
      <c r="AG11743" s="3"/>
    </row>
    <row r="11744" s="7" customFormat="1" spans="33:33">
      <c r="AG11744" s="3"/>
    </row>
    <row r="11745" s="7" customFormat="1" spans="33:33">
      <c r="AG11745" s="3"/>
    </row>
    <row r="11746" s="7" customFormat="1" spans="33:33">
      <c r="AG11746" s="3"/>
    </row>
    <row r="11747" s="7" customFormat="1" spans="33:33">
      <c r="AG11747" s="3"/>
    </row>
    <row r="11748" s="7" customFormat="1" spans="33:33">
      <c r="AG11748" s="3"/>
    </row>
    <row r="11749" s="7" customFormat="1" spans="33:33">
      <c r="AG11749" s="3"/>
    </row>
    <row r="11750" s="7" customFormat="1" spans="33:33">
      <c r="AG11750" s="3"/>
    </row>
    <row r="11751" s="7" customFormat="1" spans="33:33">
      <c r="AG11751" s="3"/>
    </row>
    <row r="11752" s="7" customFormat="1" spans="33:33">
      <c r="AG11752" s="3"/>
    </row>
    <row r="11753" s="7" customFormat="1" spans="33:33">
      <c r="AG11753" s="3"/>
    </row>
    <row r="11754" s="7" customFormat="1" spans="33:33">
      <c r="AG11754" s="3"/>
    </row>
    <row r="11755" s="7" customFormat="1" spans="33:33">
      <c r="AG11755" s="3"/>
    </row>
    <row r="11756" s="7" customFormat="1" spans="33:33">
      <c r="AG11756" s="3"/>
    </row>
    <row r="11757" s="7" customFormat="1" spans="33:33">
      <c r="AG11757" s="3"/>
    </row>
    <row r="11758" s="7" customFormat="1" spans="33:33">
      <c r="AG11758" s="3"/>
    </row>
    <row r="11759" s="7" customFormat="1" spans="33:33">
      <c r="AG11759" s="3"/>
    </row>
    <row r="11760" s="7" customFormat="1" spans="33:33">
      <c r="AG11760" s="3"/>
    </row>
    <row r="11761" s="7" customFormat="1" spans="33:33">
      <c r="AG11761" s="3"/>
    </row>
    <row r="11762" s="7" customFormat="1" spans="33:33">
      <c r="AG11762" s="3"/>
    </row>
    <row r="11763" s="7" customFormat="1" spans="33:33">
      <c r="AG11763" s="3"/>
    </row>
    <row r="11764" s="7" customFormat="1" spans="33:33">
      <c r="AG11764" s="3"/>
    </row>
    <row r="11765" s="7" customFormat="1" spans="33:33">
      <c r="AG11765" s="3"/>
    </row>
    <row r="11766" s="7" customFormat="1" spans="33:33">
      <c r="AG11766" s="3"/>
    </row>
    <row r="11767" s="7" customFormat="1" spans="33:33">
      <c r="AG11767" s="3"/>
    </row>
    <row r="11768" s="7" customFormat="1" spans="33:33">
      <c r="AG11768" s="3"/>
    </row>
    <row r="11769" s="7" customFormat="1" spans="33:33">
      <c r="AG11769" s="3"/>
    </row>
    <row r="11770" s="7" customFormat="1" spans="33:33">
      <c r="AG11770" s="3"/>
    </row>
    <row r="11771" s="7" customFormat="1" spans="33:33">
      <c r="AG11771" s="3"/>
    </row>
    <row r="11772" s="7" customFormat="1" spans="33:33">
      <c r="AG11772" s="3"/>
    </row>
    <row r="11773" s="7" customFormat="1" spans="33:33">
      <c r="AG11773" s="3"/>
    </row>
    <row r="11774" s="7" customFormat="1" spans="33:33">
      <c r="AG11774" s="3"/>
    </row>
    <row r="11775" s="7" customFormat="1" spans="33:33">
      <c r="AG11775" s="3"/>
    </row>
    <row r="11776" s="7" customFormat="1" spans="33:33">
      <c r="AG11776" s="3"/>
    </row>
    <row r="11777" s="7" customFormat="1" spans="33:33">
      <c r="AG11777" s="3"/>
    </row>
    <row r="11778" s="7" customFormat="1" spans="33:33">
      <c r="AG11778" s="3"/>
    </row>
    <row r="11779" s="7" customFormat="1" spans="33:33">
      <c r="AG11779" s="3"/>
    </row>
    <row r="11780" s="7" customFormat="1" spans="33:33">
      <c r="AG11780" s="3"/>
    </row>
    <row r="11781" s="7" customFormat="1" spans="33:33">
      <c r="AG11781" s="3"/>
    </row>
    <row r="11782" s="7" customFormat="1" spans="33:33">
      <c r="AG11782" s="3"/>
    </row>
    <row r="11783" s="7" customFormat="1" spans="33:33">
      <c r="AG11783" s="3"/>
    </row>
    <row r="11784" s="7" customFormat="1" spans="33:33">
      <c r="AG11784" s="3"/>
    </row>
    <row r="11785" s="7" customFormat="1" spans="33:33">
      <c r="AG11785" s="3"/>
    </row>
    <row r="11786" s="7" customFormat="1" spans="33:33">
      <c r="AG11786" s="3"/>
    </row>
    <row r="11787" s="7" customFormat="1" spans="33:33">
      <c r="AG11787" s="3"/>
    </row>
    <row r="11788" s="7" customFormat="1" spans="33:33">
      <c r="AG11788" s="3"/>
    </row>
    <row r="11789" s="7" customFormat="1" spans="33:33">
      <c r="AG11789" s="3"/>
    </row>
    <row r="11790" s="7" customFormat="1" spans="33:33">
      <c r="AG11790" s="3"/>
    </row>
    <row r="11791" s="7" customFormat="1" spans="33:33">
      <c r="AG11791" s="3"/>
    </row>
    <row r="11792" s="7" customFormat="1" spans="33:33">
      <c r="AG11792" s="3"/>
    </row>
    <row r="11793" s="7" customFormat="1" spans="33:33">
      <c r="AG11793" s="3"/>
    </row>
    <row r="11794" s="7" customFormat="1" spans="33:33">
      <c r="AG11794" s="3"/>
    </row>
    <row r="11795" s="7" customFormat="1" spans="33:33">
      <c r="AG11795" s="3"/>
    </row>
    <row r="11796" s="7" customFormat="1" spans="33:33">
      <c r="AG11796" s="3"/>
    </row>
    <row r="11797" s="7" customFormat="1" spans="33:33">
      <c r="AG11797" s="3"/>
    </row>
    <row r="11798" s="7" customFormat="1" spans="33:33">
      <c r="AG11798" s="3"/>
    </row>
    <row r="11799" s="7" customFormat="1" spans="33:33">
      <c r="AG11799" s="3"/>
    </row>
    <row r="11800" s="7" customFormat="1" spans="33:33">
      <c r="AG11800" s="3"/>
    </row>
    <row r="11801" s="7" customFormat="1" spans="33:33">
      <c r="AG11801" s="3"/>
    </row>
    <row r="11802" s="7" customFormat="1" spans="33:33">
      <c r="AG11802" s="3"/>
    </row>
    <row r="11803" s="7" customFormat="1" spans="33:33">
      <c r="AG11803" s="3"/>
    </row>
    <row r="11804" s="7" customFormat="1" spans="33:33">
      <c r="AG11804" s="3"/>
    </row>
    <row r="11805" s="7" customFormat="1" spans="33:33">
      <c r="AG11805" s="3"/>
    </row>
    <row r="11806" s="7" customFormat="1" spans="33:33">
      <c r="AG11806" s="3"/>
    </row>
    <row r="11807" s="7" customFormat="1" spans="33:33">
      <c r="AG11807" s="3"/>
    </row>
    <row r="11808" s="7" customFormat="1" spans="33:33">
      <c r="AG11808" s="3"/>
    </row>
    <row r="11809" s="7" customFormat="1" spans="33:33">
      <c r="AG11809" s="3"/>
    </row>
    <row r="11810" s="7" customFormat="1" spans="33:33">
      <c r="AG11810" s="3"/>
    </row>
    <row r="11811" s="7" customFormat="1" spans="33:33">
      <c r="AG11811" s="3"/>
    </row>
    <row r="11812" s="7" customFormat="1" spans="33:33">
      <c r="AG11812" s="3"/>
    </row>
    <row r="11813" s="7" customFormat="1" spans="33:33">
      <c r="AG11813" s="3"/>
    </row>
    <row r="11814" s="7" customFormat="1" spans="33:33">
      <c r="AG11814" s="3"/>
    </row>
    <row r="11815" s="7" customFormat="1" spans="33:33">
      <c r="AG11815" s="3"/>
    </row>
    <row r="11816" s="7" customFormat="1" spans="33:33">
      <c r="AG11816" s="3"/>
    </row>
    <row r="11817" s="7" customFormat="1" spans="33:33">
      <c r="AG11817" s="3"/>
    </row>
    <row r="11818" s="7" customFormat="1" spans="33:33">
      <c r="AG11818" s="3"/>
    </row>
    <row r="11819" s="7" customFormat="1" spans="33:33">
      <c r="AG11819" s="3"/>
    </row>
    <row r="11820" s="7" customFormat="1" spans="33:33">
      <c r="AG11820" s="3"/>
    </row>
    <row r="11821" s="7" customFormat="1" spans="33:33">
      <c r="AG11821" s="3"/>
    </row>
    <row r="11822" s="7" customFormat="1" spans="33:33">
      <c r="AG11822" s="3"/>
    </row>
    <row r="11823" s="7" customFormat="1" spans="33:33">
      <c r="AG11823" s="3"/>
    </row>
    <row r="11824" s="7" customFormat="1" spans="33:33">
      <c r="AG11824" s="3"/>
    </row>
    <row r="11825" s="7" customFormat="1" spans="33:33">
      <c r="AG11825" s="3"/>
    </row>
    <row r="11826" s="7" customFormat="1" spans="33:33">
      <c r="AG11826" s="3"/>
    </row>
    <row r="11827" s="7" customFormat="1" spans="33:33">
      <c r="AG11827" s="3"/>
    </row>
    <row r="11828" s="7" customFormat="1" spans="33:33">
      <c r="AG11828" s="3"/>
    </row>
    <row r="11829" s="7" customFormat="1" spans="33:33">
      <c r="AG11829" s="3"/>
    </row>
    <row r="11830" s="7" customFormat="1" spans="33:33">
      <c r="AG11830" s="3"/>
    </row>
    <row r="11831" s="7" customFormat="1" spans="33:33">
      <c r="AG11831" s="3"/>
    </row>
    <row r="11832" s="7" customFormat="1" spans="33:33">
      <c r="AG11832" s="3"/>
    </row>
    <row r="11833" s="7" customFormat="1" spans="33:33">
      <c r="AG11833" s="3"/>
    </row>
    <row r="11834" s="7" customFormat="1" spans="33:33">
      <c r="AG11834" s="3"/>
    </row>
    <row r="11835" s="7" customFormat="1" spans="33:33">
      <c r="AG11835" s="3"/>
    </row>
    <row r="11836" s="7" customFormat="1" spans="33:33">
      <c r="AG11836" s="3"/>
    </row>
    <row r="11837" s="7" customFormat="1" spans="33:33">
      <c r="AG11837" s="3"/>
    </row>
    <row r="11838" s="7" customFormat="1" spans="33:33">
      <c r="AG11838" s="3"/>
    </row>
    <row r="11839" s="7" customFormat="1" spans="33:33">
      <c r="AG11839" s="3"/>
    </row>
    <row r="11840" s="7" customFormat="1" spans="33:33">
      <c r="AG11840" s="3"/>
    </row>
    <row r="11841" s="7" customFormat="1" spans="33:33">
      <c r="AG11841" s="3"/>
    </row>
    <row r="11842" s="7" customFormat="1" spans="33:33">
      <c r="AG11842" s="3"/>
    </row>
    <row r="11843" s="7" customFormat="1" spans="33:33">
      <c r="AG11843" s="3"/>
    </row>
    <row r="11844" s="7" customFormat="1" spans="33:33">
      <c r="AG11844" s="3"/>
    </row>
    <row r="11845" s="7" customFormat="1" spans="33:33">
      <c r="AG11845" s="3"/>
    </row>
    <row r="11846" s="7" customFormat="1" spans="33:33">
      <c r="AG11846" s="3"/>
    </row>
    <row r="11847" s="7" customFormat="1" spans="33:33">
      <c r="AG11847" s="3"/>
    </row>
    <row r="11848" s="7" customFormat="1" spans="33:33">
      <c r="AG11848" s="3"/>
    </row>
    <row r="11849" s="7" customFormat="1" spans="33:33">
      <c r="AG11849" s="3"/>
    </row>
    <row r="11850" s="7" customFormat="1" spans="33:33">
      <c r="AG11850" s="3"/>
    </row>
    <row r="11851" s="7" customFormat="1" spans="33:33">
      <c r="AG11851" s="3"/>
    </row>
    <row r="11852" s="7" customFormat="1" spans="33:33">
      <c r="AG11852" s="3"/>
    </row>
    <row r="11853" s="7" customFormat="1" spans="33:33">
      <c r="AG11853" s="3"/>
    </row>
    <row r="11854" s="7" customFormat="1" spans="33:33">
      <c r="AG11854" s="3"/>
    </row>
    <row r="11855" s="7" customFormat="1" spans="33:33">
      <c r="AG11855" s="3"/>
    </row>
    <row r="11856" s="7" customFormat="1" spans="33:33">
      <c r="AG11856" s="3"/>
    </row>
    <row r="11857" s="7" customFormat="1" spans="33:33">
      <c r="AG11857" s="3"/>
    </row>
    <row r="11858" s="7" customFormat="1" spans="33:33">
      <c r="AG11858" s="3"/>
    </row>
    <row r="11859" s="7" customFormat="1" spans="33:33">
      <c r="AG11859" s="3"/>
    </row>
    <row r="11860" s="7" customFormat="1" spans="33:33">
      <c r="AG11860" s="3"/>
    </row>
    <row r="11861" s="7" customFormat="1" spans="33:33">
      <c r="AG11861" s="3"/>
    </row>
    <row r="11862" s="7" customFormat="1" spans="33:33">
      <c r="AG11862" s="3"/>
    </row>
    <row r="11863" s="7" customFormat="1" spans="33:33">
      <c r="AG11863" s="3"/>
    </row>
    <row r="11864" s="7" customFormat="1" spans="33:33">
      <c r="AG11864" s="3"/>
    </row>
    <row r="11865" s="7" customFormat="1" spans="33:33">
      <c r="AG11865" s="3"/>
    </row>
    <row r="11866" s="7" customFormat="1" spans="33:33">
      <c r="AG11866" s="3"/>
    </row>
    <row r="11867" s="7" customFormat="1" spans="33:33">
      <c r="AG11867" s="3"/>
    </row>
    <row r="11868" s="7" customFormat="1" spans="33:33">
      <c r="AG11868" s="3"/>
    </row>
    <row r="11869" s="7" customFormat="1" spans="33:33">
      <c r="AG11869" s="3"/>
    </row>
    <row r="11870" s="7" customFormat="1" spans="33:33">
      <c r="AG11870" s="3"/>
    </row>
    <row r="11871" s="7" customFormat="1" spans="33:33">
      <c r="AG11871" s="3"/>
    </row>
    <row r="11872" s="7" customFormat="1" spans="33:33">
      <c r="AG11872" s="3"/>
    </row>
    <row r="11873" s="7" customFormat="1" spans="33:33">
      <c r="AG11873" s="3"/>
    </row>
    <row r="11874" s="7" customFormat="1" spans="33:33">
      <c r="AG11874" s="3"/>
    </row>
    <row r="11875" s="7" customFormat="1" spans="33:33">
      <c r="AG11875" s="3"/>
    </row>
    <row r="11876" s="7" customFormat="1" spans="33:33">
      <c r="AG11876" s="3"/>
    </row>
    <row r="11877" s="7" customFormat="1" spans="33:33">
      <c r="AG11877" s="3"/>
    </row>
    <row r="11878" s="7" customFormat="1" spans="33:33">
      <c r="AG11878" s="3"/>
    </row>
    <row r="11879" s="7" customFormat="1" spans="33:33">
      <c r="AG11879" s="3"/>
    </row>
    <row r="11880" s="7" customFormat="1" spans="33:33">
      <c r="AG11880" s="3"/>
    </row>
    <row r="11881" s="7" customFormat="1" spans="33:33">
      <c r="AG11881" s="3"/>
    </row>
    <row r="11882" s="7" customFormat="1" spans="33:33">
      <c r="AG11882" s="3"/>
    </row>
    <row r="11883" s="7" customFormat="1" spans="33:33">
      <c r="AG11883" s="3"/>
    </row>
    <row r="11884" s="7" customFormat="1" spans="33:33">
      <c r="AG11884" s="3"/>
    </row>
    <row r="11885" s="7" customFormat="1" spans="33:33">
      <c r="AG11885" s="3"/>
    </row>
    <row r="11886" s="7" customFormat="1" spans="33:33">
      <c r="AG11886" s="3"/>
    </row>
    <row r="11887" s="7" customFormat="1" spans="33:33">
      <c r="AG11887" s="3"/>
    </row>
    <row r="11888" s="7" customFormat="1" spans="33:33">
      <c r="AG11888" s="3"/>
    </row>
    <row r="11889" s="7" customFormat="1" spans="33:33">
      <c r="AG11889" s="3"/>
    </row>
    <row r="11890" s="7" customFormat="1" spans="33:33">
      <c r="AG11890" s="3"/>
    </row>
    <row r="11891" s="7" customFormat="1" spans="33:33">
      <c r="AG11891" s="3"/>
    </row>
    <row r="11892" s="7" customFormat="1" spans="33:33">
      <c r="AG11892" s="3"/>
    </row>
    <row r="11893" s="7" customFormat="1" spans="33:33">
      <c r="AG11893" s="3"/>
    </row>
    <row r="11894" s="7" customFormat="1" spans="33:33">
      <c r="AG11894" s="3"/>
    </row>
    <row r="11895" s="7" customFormat="1" spans="33:33">
      <c r="AG11895" s="3"/>
    </row>
    <row r="11896" s="7" customFormat="1" spans="33:33">
      <c r="AG11896" s="3"/>
    </row>
    <row r="11897" s="7" customFormat="1" spans="33:33">
      <c r="AG11897" s="3"/>
    </row>
    <row r="11898" s="7" customFormat="1" spans="33:33">
      <c r="AG11898" s="3"/>
    </row>
    <row r="11899" s="7" customFormat="1" spans="33:33">
      <c r="AG11899" s="3"/>
    </row>
    <row r="11900" s="7" customFormat="1" spans="33:33">
      <c r="AG11900" s="3"/>
    </row>
    <row r="11901" s="7" customFormat="1" spans="33:33">
      <c r="AG11901" s="3"/>
    </row>
    <row r="11902" s="7" customFormat="1" spans="33:33">
      <c r="AG11902" s="3"/>
    </row>
    <row r="11903" s="7" customFormat="1" spans="33:33">
      <c r="AG11903" s="3"/>
    </row>
    <row r="11904" s="7" customFormat="1" spans="33:33">
      <c r="AG11904" s="3"/>
    </row>
    <row r="11905" s="7" customFormat="1" spans="33:33">
      <c r="AG11905" s="3"/>
    </row>
    <row r="11906" s="7" customFormat="1" spans="33:33">
      <c r="AG11906" s="3"/>
    </row>
    <row r="11907" s="7" customFormat="1" spans="33:33">
      <c r="AG11907" s="3"/>
    </row>
    <row r="11908" s="7" customFormat="1" spans="33:33">
      <c r="AG11908" s="3"/>
    </row>
    <row r="11909" s="7" customFormat="1" spans="33:33">
      <c r="AG11909" s="3"/>
    </row>
    <row r="11910" s="7" customFormat="1" spans="33:33">
      <c r="AG11910" s="3"/>
    </row>
    <row r="11911" s="7" customFormat="1" spans="33:33">
      <c r="AG11911" s="3"/>
    </row>
    <row r="11912" s="7" customFormat="1" spans="33:33">
      <c r="AG11912" s="3"/>
    </row>
    <row r="11913" s="7" customFormat="1" spans="33:33">
      <c r="AG11913" s="3"/>
    </row>
    <row r="11914" s="7" customFormat="1" spans="33:33">
      <c r="AG11914" s="3"/>
    </row>
    <row r="11915" s="7" customFormat="1" spans="33:33">
      <c r="AG11915" s="3"/>
    </row>
    <row r="11916" s="7" customFormat="1" spans="33:33">
      <c r="AG11916" s="3"/>
    </row>
    <row r="11917" s="7" customFormat="1" spans="33:33">
      <c r="AG11917" s="3"/>
    </row>
    <row r="11918" s="7" customFormat="1" spans="33:33">
      <c r="AG11918" s="3"/>
    </row>
    <row r="11919" s="7" customFormat="1" spans="33:33">
      <c r="AG11919" s="3"/>
    </row>
    <row r="11920" s="7" customFormat="1" spans="33:33">
      <c r="AG11920" s="3"/>
    </row>
    <row r="11921" s="7" customFormat="1" spans="33:33">
      <c r="AG11921" s="3"/>
    </row>
    <row r="11922" s="7" customFormat="1" spans="33:33">
      <c r="AG11922" s="3"/>
    </row>
    <row r="11923" s="7" customFormat="1" spans="33:33">
      <c r="AG11923" s="3"/>
    </row>
    <row r="11924" s="7" customFormat="1" spans="33:33">
      <c r="AG11924" s="3"/>
    </row>
    <row r="11925" s="7" customFormat="1" spans="33:33">
      <c r="AG11925" s="3"/>
    </row>
    <row r="11926" s="7" customFormat="1" spans="33:33">
      <c r="AG11926" s="3"/>
    </row>
    <row r="11927" s="7" customFormat="1" spans="33:33">
      <c r="AG11927" s="3"/>
    </row>
    <row r="11928" s="7" customFormat="1" spans="33:33">
      <c r="AG11928" s="3"/>
    </row>
    <row r="11929" s="7" customFormat="1" spans="33:33">
      <c r="AG11929" s="3"/>
    </row>
    <row r="11930" s="7" customFormat="1" spans="33:33">
      <c r="AG11930" s="3"/>
    </row>
    <row r="11931" s="7" customFormat="1" spans="33:33">
      <c r="AG11931" s="3"/>
    </row>
    <row r="11932" s="7" customFormat="1" spans="33:33">
      <c r="AG11932" s="3"/>
    </row>
    <row r="11933" s="7" customFormat="1" spans="33:33">
      <c r="AG11933" s="3"/>
    </row>
    <row r="11934" s="7" customFormat="1" spans="33:33">
      <c r="AG11934" s="3"/>
    </row>
    <row r="11935" s="7" customFormat="1" spans="33:33">
      <c r="AG11935" s="3"/>
    </row>
    <row r="11936" s="7" customFormat="1" spans="33:33">
      <c r="AG11936" s="3"/>
    </row>
    <row r="11937" s="7" customFormat="1" spans="33:33">
      <c r="AG11937" s="3"/>
    </row>
    <row r="11938" s="7" customFormat="1" spans="33:33">
      <c r="AG11938" s="3"/>
    </row>
    <row r="11939" s="7" customFormat="1" spans="33:33">
      <c r="AG11939" s="3"/>
    </row>
    <row r="11940" s="7" customFormat="1" spans="33:33">
      <c r="AG11940" s="3"/>
    </row>
    <row r="11941" s="7" customFormat="1" spans="33:33">
      <c r="AG11941" s="3"/>
    </row>
    <row r="11942" s="7" customFormat="1" spans="33:33">
      <c r="AG11942" s="3"/>
    </row>
    <row r="11943" s="7" customFormat="1" spans="33:33">
      <c r="AG11943" s="3"/>
    </row>
    <row r="11944" s="7" customFormat="1" spans="33:33">
      <c r="AG11944" s="3"/>
    </row>
    <row r="11945" s="7" customFormat="1" spans="33:33">
      <c r="AG11945" s="3"/>
    </row>
    <row r="11946" s="7" customFormat="1" spans="33:33">
      <c r="AG11946" s="3"/>
    </row>
    <row r="11947" s="7" customFormat="1" spans="33:33">
      <c r="AG11947" s="3"/>
    </row>
    <row r="11948" s="7" customFormat="1" spans="33:33">
      <c r="AG11948" s="3"/>
    </row>
    <row r="11949" s="7" customFormat="1" spans="33:33">
      <c r="AG11949" s="3"/>
    </row>
    <row r="11950" s="7" customFormat="1" spans="33:33">
      <c r="AG11950" s="3"/>
    </row>
    <row r="11951" s="7" customFormat="1" spans="33:33">
      <c r="AG11951" s="3"/>
    </row>
    <row r="11952" s="7" customFormat="1" spans="33:33">
      <c r="AG11952" s="3"/>
    </row>
    <row r="11953" s="7" customFormat="1" spans="33:33">
      <c r="AG11953" s="3"/>
    </row>
    <row r="11954" s="7" customFormat="1" spans="33:33">
      <c r="AG11954" s="3"/>
    </row>
    <row r="11955" s="7" customFormat="1" spans="33:33">
      <c r="AG11955" s="3"/>
    </row>
    <row r="11956" s="7" customFormat="1" spans="33:33">
      <c r="AG11956" s="3"/>
    </row>
    <row r="11957" s="7" customFormat="1" spans="33:33">
      <c r="AG11957" s="3"/>
    </row>
    <row r="11958" s="7" customFormat="1" spans="33:33">
      <c r="AG11958" s="3"/>
    </row>
    <row r="11959" s="7" customFormat="1" spans="33:33">
      <c r="AG11959" s="3"/>
    </row>
    <row r="11960" s="7" customFormat="1" spans="33:33">
      <c r="AG11960" s="3"/>
    </row>
    <row r="11961" s="7" customFormat="1" spans="33:33">
      <c r="AG11961" s="3"/>
    </row>
    <row r="11962" s="7" customFormat="1" spans="33:33">
      <c r="AG11962" s="3"/>
    </row>
    <row r="11963" s="7" customFormat="1" spans="33:33">
      <c r="AG11963" s="3"/>
    </row>
    <row r="11964" s="7" customFormat="1" spans="33:33">
      <c r="AG11964" s="3"/>
    </row>
    <row r="11965" s="7" customFormat="1" spans="33:33">
      <c r="AG11965" s="3"/>
    </row>
    <row r="11966" s="7" customFormat="1" spans="33:33">
      <c r="AG11966" s="3"/>
    </row>
    <row r="11967" s="7" customFormat="1" spans="33:33">
      <c r="AG11967" s="3"/>
    </row>
    <row r="11968" s="7" customFormat="1" spans="33:33">
      <c r="AG11968" s="3"/>
    </row>
    <row r="11969" s="7" customFormat="1" spans="33:33">
      <c r="AG11969" s="3"/>
    </row>
    <row r="11970" s="7" customFormat="1" spans="33:33">
      <c r="AG11970" s="3"/>
    </row>
    <row r="11971" s="7" customFormat="1" spans="33:33">
      <c r="AG11971" s="3"/>
    </row>
    <row r="11972" s="7" customFormat="1" spans="33:33">
      <c r="AG11972" s="3"/>
    </row>
    <row r="11973" s="7" customFormat="1" spans="33:33">
      <c r="AG11973" s="3"/>
    </row>
    <row r="11974" s="7" customFormat="1" spans="33:33">
      <c r="AG11974" s="3"/>
    </row>
    <row r="11975" s="7" customFormat="1" spans="33:33">
      <c r="AG11975" s="3"/>
    </row>
    <row r="11976" s="7" customFormat="1" spans="33:33">
      <c r="AG11976" s="3"/>
    </row>
    <row r="11977" s="7" customFormat="1" spans="33:33">
      <c r="AG11977" s="3"/>
    </row>
    <row r="11978" s="7" customFormat="1" spans="33:33">
      <c r="AG11978" s="3"/>
    </row>
    <row r="11979" s="7" customFormat="1" spans="33:33">
      <c r="AG11979" s="3"/>
    </row>
    <row r="11980" s="7" customFormat="1" spans="33:33">
      <c r="AG11980" s="3"/>
    </row>
    <row r="11981" s="7" customFormat="1" spans="33:33">
      <c r="AG11981" s="3"/>
    </row>
    <row r="11982" s="7" customFormat="1" spans="33:33">
      <c r="AG11982" s="3"/>
    </row>
    <row r="11983" s="7" customFormat="1" spans="33:33">
      <c r="AG11983" s="3"/>
    </row>
    <row r="11984" s="7" customFormat="1" spans="33:33">
      <c r="AG11984" s="3"/>
    </row>
    <row r="11985" s="7" customFormat="1" spans="33:33">
      <c r="AG11985" s="3"/>
    </row>
    <row r="11986" s="7" customFormat="1" spans="33:33">
      <c r="AG11986" s="3"/>
    </row>
    <row r="11987" s="7" customFormat="1" spans="33:33">
      <c r="AG11987" s="3"/>
    </row>
    <row r="11988" s="7" customFormat="1" spans="33:33">
      <c r="AG11988" s="3"/>
    </row>
    <row r="11989" s="7" customFormat="1" spans="33:33">
      <c r="AG11989" s="3"/>
    </row>
    <row r="11990" s="7" customFormat="1" spans="33:33">
      <c r="AG11990" s="3"/>
    </row>
    <row r="11991" s="7" customFormat="1" spans="33:33">
      <c r="AG11991" s="3"/>
    </row>
    <row r="11992" s="7" customFormat="1" spans="33:33">
      <c r="AG11992" s="3"/>
    </row>
    <row r="11993" s="7" customFormat="1" spans="33:33">
      <c r="AG11993" s="3"/>
    </row>
    <row r="11994" s="7" customFormat="1" spans="33:33">
      <c r="AG11994" s="3"/>
    </row>
    <row r="11995" s="7" customFormat="1" spans="33:33">
      <c r="AG11995" s="3"/>
    </row>
    <row r="11996" s="7" customFormat="1" spans="33:33">
      <c r="AG11996" s="3"/>
    </row>
    <row r="11997" s="7" customFormat="1" spans="33:33">
      <c r="AG11997" s="3"/>
    </row>
    <row r="11998" s="7" customFormat="1" spans="33:33">
      <c r="AG11998" s="3"/>
    </row>
    <row r="11999" s="7" customFormat="1" spans="33:33">
      <c r="AG11999" s="3"/>
    </row>
    <row r="12000" s="7" customFormat="1" spans="33:33">
      <c r="AG12000" s="3"/>
    </row>
    <row r="12001" s="7" customFormat="1" spans="33:33">
      <c r="AG12001" s="3"/>
    </row>
    <row r="12002" s="7" customFormat="1" spans="33:33">
      <c r="AG12002" s="3"/>
    </row>
    <row r="12003" s="7" customFormat="1" spans="33:33">
      <c r="AG12003" s="3"/>
    </row>
    <row r="12004" s="7" customFormat="1" spans="33:33">
      <c r="AG12004" s="3"/>
    </row>
    <row r="12005" s="7" customFormat="1" spans="33:33">
      <c r="AG12005" s="3"/>
    </row>
    <row r="12006" s="7" customFormat="1" spans="33:33">
      <c r="AG12006" s="3"/>
    </row>
    <row r="12007" s="7" customFormat="1" spans="33:33">
      <c r="AG12007" s="3"/>
    </row>
    <row r="12008" s="7" customFormat="1" spans="33:33">
      <c r="AG12008" s="3"/>
    </row>
    <row r="12009" s="7" customFormat="1" spans="33:33">
      <c r="AG12009" s="3"/>
    </row>
    <row r="12010" s="7" customFormat="1" spans="33:33">
      <c r="AG12010" s="3"/>
    </row>
    <row r="12011" s="7" customFormat="1" spans="33:33">
      <c r="AG12011" s="3"/>
    </row>
    <row r="12012" s="7" customFormat="1" spans="33:33">
      <c r="AG12012" s="3"/>
    </row>
    <row r="12013" s="7" customFormat="1" spans="33:33">
      <c r="AG12013" s="3"/>
    </row>
    <row r="12014" s="7" customFormat="1" spans="33:33">
      <c r="AG12014" s="3"/>
    </row>
    <row r="12015" s="7" customFormat="1" spans="33:33">
      <c r="AG12015" s="3"/>
    </row>
    <row r="12016" s="7" customFormat="1" spans="33:33">
      <c r="AG12016" s="3"/>
    </row>
    <row r="12017" s="7" customFormat="1" spans="33:33">
      <c r="AG12017" s="3"/>
    </row>
    <row r="12018" s="7" customFormat="1" spans="33:33">
      <c r="AG12018" s="3"/>
    </row>
    <row r="12019" s="7" customFormat="1" spans="33:33">
      <c r="AG12019" s="3"/>
    </row>
    <row r="12020" s="7" customFormat="1" spans="33:33">
      <c r="AG12020" s="3"/>
    </row>
    <row r="12021" s="7" customFormat="1" spans="33:33">
      <c r="AG12021" s="3"/>
    </row>
    <row r="12022" s="7" customFormat="1" spans="33:33">
      <c r="AG12022" s="3"/>
    </row>
    <row r="12023" s="7" customFormat="1" spans="33:33">
      <c r="AG12023" s="3"/>
    </row>
    <row r="12024" s="7" customFormat="1" spans="33:33">
      <c r="AG12024" s="3"/>
    </row>
    <row r="12025" s="7" customFormat="1" spans="33:33">
      <c r="AG12025" s="3"/>
    </row>
    <row r="12026" s="7" customFormat="1" spans="33:33">
      <c r="AG12026" s="3"/>
    </row>
    <row r="12027" s="7" customFormat="1" spans="33:33">
      <c r="AG12027" s="3"/>
    </row>
    <row r="12028" s="7" customFormat="1" spans="33:33">
      <c r="AG12028" s="3"/>
    </row>
    <row r="12029" s="7" customFormat="1" spans="33:33">
      <c r="AG12029" s="3"/>
    </row>
    <row r="12030" s="7" customFormat="1" spans="33:33">
      <c r="AG12030" s="3"/>
    </row>
    <row r="12031" s="7" customFormat="1" spans="33:33">
      <c r="AG12031" s="3"/>
    </row>
    <row r="12032" s="7" customFormat="1" spans="33:33">
      <c r="AG12032" s="3"/>
    </row>
    <row r="12033" s="7" customFormat="1" spans="33:33">
      <c r="AG12033" s="3"/>
    </row>
    <row r="12034" s="7" customFormat="1" spans="33:33">
      <c r="AG12034" s="3"/>
    </row>
    <row r="12035" s="7" customFormat="1" spans="33:33">
      <c r="AG12035" s="3"/>
    </row>
    <row r="12036" s="7" customFormat="1" spans="33:33">
      <c r="AG12036" s="3"/>
    </row>
    <row r="12037" s="7" customFormat="1" spans="33:33">
      <c r="AG12037" s="3"/>
    </row>
    <row r="12038" s="7" customFormat="1" spans="33:33">
      <c r="AG12038" s="3"/>
    </row>
    <row r="12039" s="7" customFormat="1" spans="33:33">
      <c r="AG12039" s="3"/>
    </row>
    <row r="12040" s="7" customFormat="1" spans="33:33">
      <c r="AG12040" s="3"/>
    </row>
    <row r="12041" s="7" customFormat="1" spans="33:33">
      <c r="AG12041" s="3"/>
    </row>
    <row r="12042" s="7" customFormat="1" spans="33:33">
      <c r="AG12042" s="3"/>
    </row>
    <row r="12043" s="7" customFormat="1" spans="33:33">
      <c r="AG12043" s="3"/>
    </row>
    <row r="12044" s="7" customFormat="1" spans="33:33">
      <c r="AG12044" s="3"/>
    </row>
    <row r="12045" s="7" customFormat="1" spans="33:33">
      <c r="AG12045" s="3"/>
    </row>
    <row r="12046" s="7" customFormat="1" spans="33:33">
      <c r="AG12046" s="3"/>
    </row>
    <row r="12047" s="7" customFormat="1" spans="33:33">
      <c r="AG12047" s="3"/>
    </row>
    <row r="12048" s="7" customFormat="1" spans="33:33">
      <c r="AG12048" s="3"/>
    </row>
    <row r="12049" s="7" customFormat="1" spans="33:33">
      <c r="AG12049" s="3"/>
    </row>
    <row r="12050" s="7" customFormat="1" spans="33:33">
      <c r="AG12050" s="3"/>
    </row>
    <row r="12051" s="7" customFormat="1" spans="33:33">
      <c r="AG12051" s="3"/>
    </row>
    <row r="12052" s="7" customFormat="1" spans="33:33">
      <c r="AG12052" s="3"/>
    </row>
    <row r="12053" s="7" customFormat="1" spans="33:33">
      <c r="AG12053" s="3"/>
    </row>
    <row r="12054" s="7" customFormat="1" spans="33:33">
      <c r="AG12054" s="3"/>
    </row>
    <row r="12055" s="7" customFormat="1" spans="33:33">
      <c r="AG12055" s="3"/>
    </row>
    <row r="12056" s="7" customFormat="1" spans="33:33">
      <c r="AG12056" s="3"/>
    </row>
    <row r="12057" s="7" customFormat="1" spans="33:33">
      <c r="AG12057" s="3"/>
    </row>
    <row r="12058" s="7" customFormat="1" spans="33:33">
      <c r="AG12058" s="3"/>
    </row>
    <row r="12059" s="7" customFormat="1" spans="33:33">
      <c r="AG12059" s="3"/>
    </row>
    <row r="12060" s="7" customFormat="1" spans="33:33">
      <c r="AG12060" s="3"/>
    </row>
    <row r="12061" s="7" customFormat="1" spans="33:33">
      <c r="AG12061" s="3"/>
    </row>
    <row r="12062" s="7" customFormat="1" spans="33:33">
      <c r="AG12062" s="3"/>
    </row>
    <row r="12063" s="7" customFormat="1" spans="33:33">
      <c r="AG12063" s="3"/>
    </row>
    <row r="12064" s="7" customFormat="1" spans="33:33">
      <c r="AG12064" s="3"/>
    </row>
    <row r="12065" s="7" customFormat="1" spans="33:33">
      <c r="AG12065" s="3"/>
    </row>
    <row r="12066" s="7" customFormat="1" spans="33:33">
      <c r="AG12066" s="3"/>
    </row>
    <row r="12067" s="7" customFormat="1" spans="33:33">
      <c r="AG12067" s="3"/>
    </row>
    <row r="12068" s="7" customFormat="1" spans="33:33">
      <c r="AG12068" s="3"/>
    </row>
    <row r="12069" s="7" customFormat="1" spans="33:33">
      <c r="AG12069" s="3"/>
    </row>
    <row r="12070" s="7" customFormat="1" spans="33:33">
      <c r="AG12070" s="3"/>
    </row>
    <row r="12071" s="7" customFormat="1" spans="33:33">
      <c r="AG12071" s="3"/>
    </row>
    <row r="12072" s="7" customFormat="1" spans="33:33">
      <c r="AG12072" s="3"/>
    </row>
    <row r="12073" s="7" customFormat="1" spans="33:33">
      <c r="AG12073" s="3"/>
    </row>
    <row r="12074" s="7" customFormat="1" spans="33:33">
      <c r="AG12074" s="3"/>
    </row>
    <row r="12075" s="7" customFormat="1" spans="33:33">
      <c r="AG12075" s="3"/>
    </row>
    <row r="12076" s="7" customFormat="1" spans="33:33">
      <c r="AG12076" s="3"/>
    </row>
    <row r="12077" s="7" customFormat="1" spans="33:33">
      <c r="AG12077" s="3"/>
    </row>
    <row r="12078" s="7" customFormat="1" spans="33:33">
      <c r="AG12078" s="3"/>
    </row>
    <row r="12079" s="7" customFormat="1" spans="33:33">
      <c r="AG12079" s="3"/>
    </row>
    <row r="12080" s="7" customFormat="1" spans="33:33">
      <c r="AG12080" s="3"/>
    </row>
    <row r="12081" s="7" customFormat="1" spans="33:33">
      <c r="AG12081" s="3"/>
    </row>
    <row r="12082" s="7" customFormat="1" spans="33:33">
      <c r="AG12082" s="3"/>
    </row>
    <row r="12083" s="7" customFormat="1" spans="33:33">
      <c r="AG12083" s="3"/>
    </row>
    <row r="12084" s="7" customFormat="1" spans="33:33">
      <c r="AG12084" s="3"/>
    </row>
    <row r="12085" s="7" customFormat="1" spans="33:33">
      <c r="AG12085" s="3"/>
    </row>
    <row r="12086" s="7" customFormat="1" spans="33:33">
      <c r="AG12086" s="3"/>
    </row>
    <row r="12087" s="7" customFormat="1" spans="33:33">
      <c r="AG12087" s="3"/>
    </row>
    <row r="12088" s="7" customFormat="1" spans="33:33">
      <c r="AG12088" s="3"/>
    </row>
    <row r="12089" s="7" customFormat="1" spans="33:33">
      <c r="AG12089" s="3"/>
    </row>
    <row r="12090" s="7" customFormat="1" spans="33:33">
      <c r="AG12090" s="3"/>
    </row>
    <row r="12091" s="7" customFormat="1" spans="33:33">
      <c r="AG12091" s="3"/>
    </row>
    <row r="12092" s="7" customFormat="1" spans="33:33">
      <c r="AG12092" s="3"/>
    </row>
    <row r="12093" s="7" customFormat="1" spans="33:33">
      <c r="AG12093" s="3"/>
    </row>
    <row r="12094" s="7" customFormat="1" spans="33:33">
      <c r="AG12094" s="3"/>
    </row>
    <row r="12095" s="7" customFormat="1" spans="33:33">
      <c r="AG12095" s="3"/>
    </row>
    <row r="12096" s="7" customFormat="1" spans="33:33">
      <c r="AG12096" s="3"/>
    </row>
    <row r="12097" s="7" customFormat="1" spans="33:33">
      <c r="AG12097" s="3"/>
    </row>
    <row r="12098" s="7" customFormat="1" spans="33:33">
      <c r="AG12098" s="3"/>
    </row>
    <row r="12099" s="7" customFormat="1" spans="33:33">
      <c r="AG12099" s="3"/>
    </row>
    <row r="12100" s="7" customFormat="1" spans="33:33">
      <c r="AG12100" s="3"/>
    </row>
    <row r="12101" s="7" customFormat="1" spans="33:33">
      <c r="AG12101" s="3"/>
    </row>
    <row r="12102" s="7" customFormat="1" spans="33:33">
      <c r="AG12102" s="3"/>
    </row>
    <row r="12103" s="7" customFormat="1" spans="33:33">
      <c r="AG12103" s="3"/>
    </row>
    <row r="12104" s="7" customFormat="1" spans="33:33">
      <c r="AG12104" s="3"/>
    </row>
    <row r="12105" s="7" customFormat="1" spans="33:33">
      <c r="AG12105" s="3"/>
    </row>
    <row r="12106" s="7" customFormat="1" spans="33:33">
      <c r="AG12106" s="3"/>
    </row>
    <row r="12107" s="7" customFormat="1" spans="33:33">
      <c r="AG12107" s="3"/>
    </row>
    <row r="12108" s="7" customFormat="1" spans="33:33">
      <c r="AG12108" s="3"/>
    </row>
    <row r="12109" s="7" customFormat="1" spans="33:33">
      <c r="AG12109" s="3"/>
    </row>
    <row r="12110" s="7" customFormat="1" spans="33:33">
      <c r="AG12110" s="3"/>
    </row>
    <row r="12111" s="7" customFormat="1" spans="33:33">
      <c r="AG12111" s="3"/>
    </row>
    <row r="12112" s="7" customFormat="1" spans="33:33">
      <c r="AG12112" s="3"/>
    </row>
    <row r="12113" s="7" customFormat="1" spans="33:33">
      <c r="AG12113" s="3"/>
    </row>
    <row r="12114" s="7" customFormat="1" spans="33:33">
      <c r="AG12114" s="3"/>
    </row>
    <row r="12115" s="7" customFormat="1" spans="33:33">
      <c r="AG12115" s="3"/>
    </row>
    <row r="12116" s="7" customFormat="1" spans="33:33">
      <c r="AG12116" s="3"/>
    </row>
    <row r="12117" s="7" customFormat="1" spans="33:33">
      <c r="AG12117" s="3"/>
    </row>
    <row r="12118" s="7" customFormat="1" spans="33:33">
      <c r="AG12118" s="3"/>
    </row>
    <row r="12119" s="7" customFormat="1" spans="33:33">
      <c r="AG12119" s="3"/>
    </row>
    <row r="12120" s="7" customFormat="1" spans="33:33">
      <c r="AG12120" s="3"/>
    </row>
    <row r="12121" s="7" customFormat="1" spans="33:33">
      <c r="AG12121" s="3"/>
    </row>
    <row r="12122" s="7" customFormat="1" spans="33:33">
      <c r="AG12122" s="3"/>
    </row>
    <row r="12123" s="7" customFormat="1" spans="33:33">
      <c r="AG12123" s="3"/>
    </row>
    <row r="12124" s="7" customFormat="1" spans="33:33">
      <c r="AG12124" s="3"/>
    </row>
    <row r="12125" s="7" customFormat="1" spans="33:33">
      <c r="AG12125" s="3"/>
    </row>
    <row r="12126" s="7" customFormat="1" spans="33:33">
      <c r="AG12126" s="3"/>
    </row>
    <row r="12127" s="7" customFormat="1" spans="33:33">
      <c r="AG12127" s="3"/>
    </row>
    <row r="12128" s="7" customFormat="1" spans="33:33">
      <c r="AG12128" s="3"/>
    </row>
    <row r="12129" s="7" customFormat="1" spans="33:33">
      <c r="AG12129" s="3"/>
    </row>
    <row r="12130" s="7" customFormat="1" spans="33:33">
      <c r="AG12130" s="3"/>
    </row>
    <row r="12131" s="7" customFormat="1" spans="33:33">
      <c r="AG12131" s="3"/>
    </row>
    <row r="12132" s="7" customFormat="1" spans="33:33">
      <c r="AG12132" s="3"/>
    </row>
    <row r="12133" s="7" customFormat="1" spans="33:33">
      <c r="AG12133" s="3"/>
    </row>
    <row r="12134" s="7" customFormat="1" spans="33:33">
      <c r="AG12134" s="3"/>
    </row>
    <row r="12135" s="7" customFormat="1" spans="33:33">
      <c r="AG12135" s="3"/>
    </row>
    <row r="12136" s="7" customFormat="1" spans="33:33">
      <c r="AG12136" s="3"/>
    </row>
    <row r="12137" s="7" customFormat="1" spans="33:33">
      <c r="AG12137" s="3"/>
    </row>
    <row r="12138" s="7" customFormat="1" spans="33:33">
      <c r="AG12138" s="3"/>
    </row>
    <row r="12139" s="7" customFormat="1" spans="33:33">
      <c r="AG12139" s="3"/>
    </row>
    <row r="12140" s="7" customFormat="1" spans="33:33">
      <c r="AG12140" s="3"/>
    </row>
    <row r="12141" s="7" customFormat="1" spans="33:33">
      <c r="AG12141" s="3"/>
    </row>
    <row r="12142" s="7" customFormat="1" spans="33:33">
      <c r="AG12142" s="3"/>
    </row>
    <row r="12143" s="7" customFormat="1" spans="33:33">
      <c r="AG12143" s="3"/>
    </row>
    <row r="12144" s="7" customFormat="1" spans="33:33">
      <c r="AG12144" s="3"/>
    </row>
    <row r="12145" s="7" customFormat="1" spans="33:33">
      <c r="AG12145" s="3"/>
    </row>
    <row r="12146" s="7" customFormat="1" spans="33:33">
      <c r="AG12146" s="3"/>
    </row>
    <row r="12147" s="7" customFormat="1" spans="33:33">
      <c r="AG12147" s="3"/>
    </row>
    <row r="12148" s="7" customFormat="1" spans="33:33">
      <c r="AG12148" s="3"/>
    </row>
    <row r="12149" s="7" customFormat="1" spans="33:33">
      <c r="AG12149" s="3"/>
    </row>
    <row r="12150" s="7" customFormat="1" spans="33:33">
      <c r="AG12150" s="3"/>
    </row>
    <row r="12151" s="7" customFormat="1" spans="33:33">
      <c r="AG12151" s="3"/>
    </row>
    <row r="12152" s="7" customFormat="1" spans="33:33">
      <c r="AG12152" s="3"/>
    </row>
    <row r="12153" s="7" customFormat="1" spans="33:33">
      <c r="AG12153" s="3"/>
    </row>
    <row r="12154" s="7" customFormat="1" spans="33:33">
      <c r="AG12154" s="3"/>
    </row>
    <row r="12155" s="7" customFormat="1" spans="33:33">
      <c r="AG12155" s="3"/>
    </row>
    <row r="12156" s="7" customFormat="1" spans="33:33">
      <c r="AG12156" s="3"/>
    </row>
    <row r="12157" s="7" customFormat="1" spans="33:33">
      <c r="AG12157" s="3"/>
    </row>
    <row r="12158" s="7" customFormat="1" spans="33:33">
      <c r="AG12158" s="3"/>
    </row>
    <row r="12159" s="7" customFormat="1" spans="33:33">
      <c r="AG12159" s="3"/>
    </row>
    <row r="12160" s="7" customFormat="1" spans="33:33">
      <c r="AG12160" s="3"/>
    </row>
    <row r="12161" s="7" customFormat="1" spans="33:33">
      <c r="AG12161" s="3"/>
    </row>
    <row r="12162" s="7" customFormat="1" spans="33:33">
      <c r="AG12162" s="3"/>
    </row>
    <row r="12163" s="7" customFormat="1" spans="33:33">
      <c r="AG12163" s="3"/>
    </row>
    <row r="12164" s="7" customFormat="1" spans="33:33">
      <c r="AG12164" s="3"/>
    </row>
    <row r="12165" s="7" customFormat="1" spans="33:33">
      <c r="AG12165" s="3"/>
    </row>
    <row r="12166" s="7" customFormat="1" spans="33:33">
      <c r="AG12166" s="3"/>
    </row>
    <row r="12167" s="7" customFormat="1" spans="33:33">
      <c r="AG12167" s="3"/>
    </row>
    <row r="12168" s="7" customFormat="1" spans="33:33">
      <c r="AG12168" s="3"/>
    </row>
    <row r="12169" s="7" customFormat="1" spans="33:33">
      <c r="AG12169" s="3"/>
    </row>
    <row r="12170" s="7" customFormat="1" spans="33:33">
      <c r="AG12170" s="3"/>
    </row>
    <row r="12171" s="7" customFormat="1" spans="33:33">
      <c r="AG12171" s="3"/>
    </row>
    <row r="12172" s="7" customFormat="1" spans="33:33">
      <c r="AG12172" s="3"/>
    </row>
    <row r="12173" s="7" customFormat="1" spans="33:33">
      <c r="AG12173" s="3"/>
    </row>
    <row r="12174" s="7" customFormat="1" spans="33:33">
      <c r="AG12174" s="3"/>
    </row>
    <row r="12175" s="7" customFormat="1" spans="33:33">
      <c r="AG12175" s="3"/>
    </row>
    <row r="12176" s="7" customFormat="1" spans="33:33">
      <c r="AG12176" s="3"/>
    </row>
    <row r="12177" s="7" customFormat="1" spans="33:33">
      <c r="AG12177" s="3"/>
    </row>
    <row r="12178" s="7" customFormat="1" spans="33:33">
      <c r="AG12178" s="3"/>
    </row>
    <row r="12179" s="7" customFormat="1" spans="33:33">
      <c r="AG12179" s="3"/>
    </row>
    <row r="12180" s="7" customFormat="1" spans="33:33">
      <c r="AG12180" s="3"/>
    </row>
    <row r="12181" s="7" customFormat="1" spans="33:33">
      <c r="AG12181" s="3"/>
    </row>
    <row r="12182" s="7" customFormat="1" spans="33:33">
      <c r="AG12182" s="3"/>
    </row>
    <row r="12183" s="7" customFormat="1" spans="33:33">
      <c r="AG12183" s="3"/>
    </row>
    <row r="12184" s="7" customFormat="1" spans="33:33">
      <c r="AG12184" s="3"/>
    </row>
    <row r="12185" s="7" customFormat="1" spans="33:33">
      <c r="AG12185" s="3"/>
    </row>
    <row r="12186" s="7" customFormat="1" spans="33:33">
      <c r="AG12186" s="3"/>
    </row>
    <row r="12187" s="7" customFormat="1" spans="33:33">
      <c r="AG12187" s="3"/>
    </row>
    <row r="12188" s="7" customFormat="1" spans="33:33">
      <c r="AG12188" s="3"/>
    </row>
    <row r="12189" s="7" customFormat="1" spans="33:33">
      <c r="AG12189" s="3"/>
    </row>
    <row r="12190" s="7" customFormat="1" spans="33:33">
      <c r="AG12190" s="3"/>
    </row>
    <row r="12191" s="7" customFormat="1" spans="33:33">
      <c r="AG12191" s="3"/>
    </row>
    <row r="12192" s="7" customFormat="1" spans="33:33">
      <c r="AG12192" s="3"/>
    </row>
    <row r="12193" s="7" customFormat="1" spans="33:33">
      <c r="AG12193" s="3"/>
    </row>
    <row r="12194" s="7" customFormat="1" spans="33:33">
      <c r="AG12194" s="3"/>
    </row>
    <row r="12195" s="7" customFormat="1" spans="33:33">
      <c r="AG12195" s="3"/>
    </row>
    <row r="12196" s="7" customFormat="1" spans="33:33">
      <c r="AG12196" s="3"/>
    </row>
    <row r="12197" s="7" customFormat="1" spans="33:33">
      <c r="AG12197" s="3"/>
    </row>
    <row r="12198" s="7" customFormat="1" spans="33:33">
      <c r="AG12198" s="3"/>
    </row>
    <row r="12199" s="7" customFormat="1" spans="33:33">
      <c r="AG12199" s="3"/>
    </row>
    <row r="12200" s="7" customFormat="1" spans="33:33">
      <c r="AG12200" s="3"/>
    </row>
    <row r="12201" s="7" customFormat="1" spans="33:33">
      <c r="AG12201" s="3"/>
    </row>
    <row r="12202" s="7" customFormat="1" spans="33:33">
      <c r="AG12202" s="3"/>
    </row>
    <row r="12203" s="7" customFormat="1" spans="33:33">
      <c r="AG12203" s="3"/>
    </row>
    <row r="12204" s="7" customFormat="1" spans="33:33">
      <c r="AG12204" s="3"/>
    </row>
    <row r="12205" s="7" customFormat="1" spans="33:33">
      <c r="AG12205" s="3"/>
    </row>
    <row r="12206" s="7" customFormat="1" spans="33:33">
      <c r="AG12206" s="3"/>
    </row>
    <row r="12207" s="7" customFormat="1" spans="33:33">
      <c r="AG12207" s="3"/>
    </row>
    <row r="12208" s="7" customFormat="1" spans="33:33">
      <c r="AG12208" s="3"/>
    </row>
    <row r="12209" s="7" customFormat="1" spans="33:33">
      <c r="AG12209" s="3"/>
    </row>
    <row r="12210" s="7" customFormat="1" spans="33:33">
      <c r="AG12210" s="3"/>
    </row>
    <row r="12211" s="7" customFormat="1" spans="33:33">
      <c r="AG12211" s="3"/>
    </row>
    <row r="12212" s="7" customFormat="1" spans="33:33">
      <c r="AG12212" s="3"/>
    </row>
    <row r="12213" s="7" customFormat="1" spans="33:33">
      <c r="AG12213" s="3"/>
    </row>
    <row r="12214" s="7" customFormat="1" spans="33:33">
      <c r="AG12214" s="3"/>
    </row>
    <row r="12215" s="7" customFormat="1" spans="33:33">
      <c r="AG12215" s="3"/>
    </row>
    <row r="12216" s="7" customFormat="1" spans="33:33">
      <c r="AG12216" s="3"/>
    </row>
    <row r="12217" s="7" customFormat="1" spans="33:33">
      <c r="AG12217" s="3"/>
    </row>
    <row r="12218" s="7" customFormat="1" spans="33:33">
      <c r="AG12218" s="3"/>
    </row>
    <row r="12219" s="7" customFormat="1" spans="33:33">
      <c r="AG12219" s="3"/>
    </row>
    <row r="12220" s="7" customFormat="1" spans="33:33">
      <c r="AG12220" s="3"/>
    </row>
    <row r="12221" s="7" customFormat="1" spans="33:33">
      <c r="AG12221" s="3"/>
    </row>
    <row r="12222" s="7" customFormat="1" spans="33:33">
      <c r="AG12222" s="3"/>
    </row>
    <row r="12223" s="7" customFormat="1" spans="33:33">
      <c r="AG12223" s="3"/>
    </row>
    <row r="12224" s="7" customFormat="1" spans="33:33">
      <c r="AG12224" s="3"/>
    </row>
    <row r="12225" s="7" customFormat="1" spans="33:33">
      <c r="AG12225" s="3"/>
    </row>
    <row r="12226" s="7" customFormat="1" spans="33:33">
      <c r="AG12226" s="3"/>
    </row>
    <row r="12227" s="7" customFormat="1" spans="33:33">
      <c r="AG12227" s="3"/>
    </row>
    <row r="12228" s="7" customFormat="1" spans="33:33">
      <c r="AG12228" s="3"/>
    </row>
    <row r="12229" s="7" customFormat="1" spans="33:33">
      <c r="AG12229" s="3"/>
    </row>
    <row r="12230" s="7" customFormat="1" spans="33:33">
      <c r="AG12230" s="3"/>
    </row>
    <row r="12231" s="7" customFormat="1" spans="33:33">
      <c r="AG12231" s="3"/>
    </row>
    <row r="12232" s="7" customFormat="1" spans="33:33">
      <c r="AG12232" s="3"/>
    </row>
    <row r="12233" s="7" customFormat="1" spans="33:33">
      <c r="AG12233" s="3"/>
    </row>
    <row r="12234" s="7" customFormat="1" spans="33:33">
      <c r="AG12234" s="3"/>
    </row>
    <row r="12235" s="7" customFormat="1" spans="33:33">
      <c r="AG12235" s="3"/>
    </row>
    <row r="12236" s="7" customFormat="1" spans="33:33">
      <c r="AG12236" s="3"/>
    </row>
    <row r="12237" s="7" customFormat="1" spans="33:33">
      <c r="AG12237" s="3"/>
    </row>
    <row r="12238" s="7" customFormat="1" spans="33:33">
      <c r="AG12238" s="3"/>
    </row>
    <row r="12239" s="7" customFormat="1" spans="33:33">
      <c r="AG12239" s="3"/>
    </row>
    <row r="12240" s="7" customFormat="1" spans="33:33">
      <c r="AG12240" s="3"/>
    </row>
    <row r="12241" s="7" customFormat="1" spans="33:33">
      <c r="AG12241" s="3"/>
    </row>
    <row r="12242" s="7" customFormat="1" spans="33:33">
      <c r="AG12242" s="3"/>
    </row>
    <row r="12243" s="7" customFormat="1" spans="33:33">
      <c r="AG12243" s="3"/>
    </row>
    <row r="12244" s="7" customFormat="1" spans="33:33">
      <c r="AG12244" s="3"/>
    </row>
    <row r="12245" s="7" customFormat="1" spans="33:33">
      <c r="AG12245" s="3"/>
    </row>
    <row r="12246" s="7" customFormat="1" spans="33:33">
      <c r="AG12246" s="3"/>
    </row>
    <row r="12247" s="7" customFormat="1" spans="33:33">
      <c r="AG12247" s="3"/>
    </row>
    <row r="12248" s="7" customFormat="1" spans="33:33">
      <c r="AG12248" s="3"/>
    </row>
    <row r="12249" s="7" customFormat="1" spans="33:33">
      <c r="AG12249" s="3"/>
    </row>
    <row r="12250" s="7" customFormat="1" spans="33:33">
      <c r="AG12250" s="3"/>
    </row>
    <row r="12251" s="7" customFormat="1" spans="33:33">
      <c r="AG12251" s="3"/>
    </row>
    <row r="12252" s="7" customFormat="1" spans="33:33">
      <c r="AG12252" s="3"/>
    </row>
    <row r="12253" s="7" customFormat="1" spans="33:33">
      <c r="AG12253" s="3"/>
    </row>
    <row r="12254" s="7" customFormat="1" spans="33:33">
      <c r="AG12254" s="3"/>
    </row>
    <row r="12255" s="7" customFormat="1" spans="33:33">
      <c r="AG12255" s="3"/>
    </row>
    <row r="12256" s="7" customFormat="1" spans="33:33">
      <c r="AG12256" s="3"/>
    </row>
    <row r="12257" s="7" customFormat="1" spans="33:33">
      <c r="AG12257" s="3"/>
    </row>
    <row r="12258" s="7" customFormat="1" spans="33:33">
      <c r="AG12258" s="3"/>
    </row>
    <row r="12259" s="7" customFormat="1" spans="33:33">
      <c r="AG12259" s="3"/>
    </row>
    <row r="12260" s="7" customFormat="1" spans="33:33">
      <c r="AG12260" s="3"/>
    </row>
    <row r="12261" s="7" customFormat="1" spans="33:33">
      <c r="AG12261" s="3"/>
    </row>
    <row r="12262" s="7" customFormat="1" spans="33:33">
      <c r="AG12262" s="3"/>
    </row>
    <row r="12263" s="7" customFormat="1" spans="33:33">
      <c r="AG12263" s="3"/>
    </row>
    <row r="12264" s="7" customFormat="1" spans="33:33">
      <c r="AG12264" s="3"/>
    </row>
    <row r="12265" s="7" customFormat="1" spans="33:33">
      <c r="AG12265" s="3"/>
    </row>
    <row r="12266" s="7" customFormat="1" spans="33:33">
      <c r="AG12266" s="3"/>
    </row>
    <row r="12267" s="7" customFormat="1" spans="33:33">
      <c r="AG12267" s="3"/>
    </row>
    <row r="12268" s="7" customFormat="1" spans="33:33">
      <c r="AG12268" s="3"/>
    </row>
    <row r="12269" s="7" customFormat="1" spans="33:33">
      <c r="AG12269" s="3"/>
    </row>
    <row r="12270" s="7" customFormat="1" spans="33:33">
      <c r="AG12270" s="3"/>
    </row>
    <row r="12271" s="7" customFormat="1" spans="33:33">
      <c r="AG12271" s="3"/>
    </row>
    <row r="12272" s="7" customFormat="1" spans="33:33">
      <c r="AG12272" s="3"/>
    </row>
    <row r="12273" s="7" customFormat="1" spans="33:33">
      <c r="AG12273" s="3"/>
    </row>
    <row r="12274" s="7" customFormat="1" spans="33:33">
      <c r="AG12274" s="3"/>
    </row>
    <row r="12275" s="7" customFormat="1" spans="33:33">
      <c r="AG12275" s="3"/>
    </row>
    <row r="12276" s="7" customFormat="1" spans="33:33">
      <c r="AG12276" s="3"/>
    </row>
    <row r="12277" s="7" customFormat="1" spans="33:33">
      <c r="AG12277" s="3"/>
    </row>
    <row r="12278" s="7" customFormat="1" spans="33:33">
      <c r="AG12278" s="3"/>
    </row>
    <row r="12279" s="7" customFormat="1" spans="33:33">
      <c r="AG12279" s="3"/>
    </row>
    <row r="12280" s="7" customFormat="1" spans="33:33">
      <c r="AG12280" s="3"/>
    </row>
    <row r="12281" s="7" customFormat="1" spans="33:33">
      <c r="AG12281" s="3"/>
    </row>
    <row r="12282" s="7" customFormat="1" spans="33:33">
      <c r="AG12282" s="3"/>
    </row>
    <row r="12283" s="7" customFormat="1" spans="33:33">
      <c r="AG12283" s="3"/>
    </row>
    <row r="12284" s="7" customFormat="1" spans="33:33">
      <c r="AG12284" s="3"/>
    </row>
    <row r="12285" s="7" customFormat="1" spans="33:33">
      <c r="AG12285" s="3"/>
    </row>
    <row r="12286" s="7" customFormat="1" spans="33:33">
      <c r="AG12286" s="3"/>
    </row>
    <row r="12287" s="7" customFormat="1" spans="33:33">
      <c r="AG12287" s="3"/>
    </row>
    <row r="12288" s="7" customFormat="1" spans="33:33">
      <c r="AG12288" s="3"/>
    </row>
    <row r="12289" s="7" customFormat="1" spans="33:33">
      <c r="AG12289" s="3"/>
    </row>
    <row r="12290" s="7" customFormat="1" spans="33:33">
      <c r="AG12290" s="3"/>
    </row>
    <row r="12291" s="7" customFormat="1" spans="33:33">
      <c r="AG12291" s="3"/>
    </row>
    <row r="12292" s="7" customFormat="1" spans="33:33">
      <c r="AG12292" s="3"/>
    </row>
    <row r="12293" s="7" customFormat="1" spans="33:33">
      <c r="AG12293" s="3"/>
    </row>
    <row r="12294" s="7" customFormat="1" spans="33:33">
      <c r="AG12294" s="3"/>
    </row>
    <row r="12295" s="7" customFormat="1" spans="33:33">
      <c r="AG12295" s="3"/>
    </row>
    <row r="12296" s="7" customFormat="1" spans="33:33">
      <c r="AG12296" s="3"/>
    </row>
    <row r="12297" s="7" customFormat="1" spans="33:33">
      <c r="AG12297" s="3"/>
    </row>
    <row r="12298" s="7" customFormat="1" spans="33:33">
      <c r="AG12298" s="3"/>
    </row>
    <row r="12299" s="7" customFormat="1" spans="33:33">
      <c r="AG12299" s="3"/>
    </row>
    <row r="12300" s="7" customFormat="1" spans="33:33">
      <c r="AG12300" s="3"/>
    </row>
    <row r="12301" s="7" customFormat="1" spans="33:33">
      <c r="AG12301" s="3"/>
    </row>
    <row r="12302" s="7" customFormat="1" spans="33:33">
      <c r="AG12302" s="3"/>
    </row>
    <row r="12303" s="7" customFormat="1" spans="33:33">
      <c r="AG12303" s="3"/>
    </row>
    <row r="12304" s="7" customFormat="1" spans="33:33">
      <c r="AG12304" s="3"/>
    </row>
    <row r="12305" s="7" customFormat="1" spans="33:33">
      <c r="AG12305" s="3"/>
    </row>
    <row r="12306" s="7" customFormat="1" spans="33:33">
      <c r="AG12306" s="3"/>
    </row>
    <row r="12307" s="7" customFormat="1" spans="33:33">
      <c r="AG12307" s="3"/>
    </row>
    <row r="12308" s="7" customFormat="1" spans="33:33">
      <c r="AG12308" s="3"/>
    </row>
    <row r="12309" s="7" customFormat="1" spans="33:33">
      <c r="AG12309" s="3"/>
    </row>
    <row r="12310" s="7" customFormat="1" spans="33:33">
      <c r="AG12310" s="3"/>
    </row>
    <row r="12311" s="7" customFormat="1" spans="33:33">
      <c r="AG12311" s="3"/>
    </row>
    <row r="12312" s="7" customFormat="1" spans="33:33">
      <c r="AG12312" s="3"/>
    </row>
    <row r="12313" s="7" customFormat="1" spans="33:33">
      <c r="AG12313" s="3"/>
    </row>
    <row r="12314" s="7" customFormat="1" spans="33:33">
      <c r="AG12314" s="3"/>
    </row>
    <row r="12315" s="7" customFormat="1" spans="33:33">
      <c r="AG12315" s="3"/>
    </row>
    <row r="12316" s="7" customFormat="1" spans="33:33">
      <c r="AG12316" s="3"/>
    </row>
    <row r="12317" s="7" customFormat="1" spans="33:33">
      <c r="AG12317" s="3"/>
    </row>
    <row r="12318" s="7" customFormat="1" spans="33:33">
      <c r="AG12318" s="3"/>
    </row>
    <row r="12319" s="7" customFormat="1" spans="33:33">
      <c r="AG12319" s="3"/>
    </row>
    <row r="12320" s="7" customFormat="1" spans="33:33">
      <c r="AG12320" s="3"/>
    </row>
    <row r="12321" s="7" customFormat="1" spans="33:33">
      <c r="AG12321" s="3"/>
    </row>
    <row r="12322" s="7" customFormat="1" spans="33:33">
      <c r="AG12322" s="3"/>
    </row>
    <row r="12323" s="7" customFormat="1" spans="33:33">
      <c r="AG12323" s="3"/>
    </row>
    <row r="12324" s="7" customFormat="1" spans="33:33">
      <c r="AG12324" s="3"/>
    </row>
    <row r="12325" s="7" customFormat="1" spans="33:33">
      <c r="AG12325" s="3"/>
    </row>
    <row r="12326" s="7" customFormat="1" spans="33:33">
      <c r="AG12326" s="3"/>
    </row>
    <row r="12327" s="7" customFormat="1" spans="33:33">
      <c r="AG12327" s="3"/>
    </row>
    <row r="12328" s="7" customFormat="1" spans="33:33">
      <c r="AG12328" s="3"/>
    </row>
    <row r="12329" s="7" customFormat="1" spans="33:33">
      <c r="AG12329" s="3"/>
    </row>
    <row r="12330" s="7" customFormat="1" spans="33:33">
      <c r="AG12330" s="3"/>
    </row>
    <row r="12331" s="7" customFormat="1" spans="33:33">
      <c r="AG12331" s="3"/>
    </row>
    <row r="12332" s="7" customFormat="1" spans="33:33">
      <c r="AG12332" s="3"/>
    </row>
    <row r="12333" s="7" customFormat="1" spans="33:33">
      <c r="AG12333" s="3"/>
    </row>
    <row r="12334" s="7" customFormat="1" spans="33:33">
      <c r="AG12334" s="3"/>
    </row>
    <row r="12335" s="7" customFormat="1" spans="33:33">
      <c r="AG12335" s="3"/>
    </row>
    <row r="12336" s="7" customFormat="1" spans="33:33">
      <c r="AG12336" s="3"/>
    </row>
    <row r="12337" s="7" customFormat="1" spans="33:33">
      <c r="AG12337" s="3"/>
    </row>
    <row r="12338" s="7" customFormat="1" spans="33:33">
      <c r="AG12338" s="3"/>
    </row>
    <row r="12339" s="7" customFormat="1" spans="33:33">
      <c r="AG12339" s="3"/>
    </row>
    <row r="12340" s="7" customFormat="1" spans="33:33">
      <c r="AG12340" s="3"/>
    </row>
    <row r="12341" s="7" customFormat="1" spans="33:33">
      <c r="AG12341" s="3"/>
    </row>
    <row r="12342" s="7" customFormat="1" spans="33:33">
      <c r="AG12342" s="3"/>
    </row>
    <row r="12343" s="7" customFormat="1" spans="33:33">
      <c r="AG12343" s="3"/>
    </row>
    <row r="12344" s="7" customFormat="1" spans="33:33">
      <c r="AG12344" s="3"/>
    </row>
    <row r="12345" s="7" customFormat="1" spans="33:33">
      <c r="AG12345" s="3"/>
    </row>
    <row r="12346" s="7" customFormat="1" spans="33:33">
      <c r="AG12346" s="3"/>
    </row>
    <row r="12347" s="7" customFormat="1" spans="33:33">
      <c r="AG12347" s="3"/>
    </row>
    <row r="12348" s="7" customFormat="1" spans="33:33">
      <c r="AG12348" s="3"/>
    </row>
    <row r="12349" s="7" customFormat="1" spans="33:33">
      <c r="AG12349" s="3"/>
    </row>
    <row r="12350" s="7" customFormat="1" spans="33:33">
      <c r="AG12350" s="3"/>
    </row>
    <row r="12351" s="7" customFormat="1" spans="33:33">
      <c r="AG12351" s="3"/>
    </row>
    <row r="12352" s="7" customFormat="1" spans="33:33">
      <c r="AG12352" s="3"/>
    </row>
    <row r="12353" s="7" customFormat="1" spans="33:33">
      <c r="AG12353" s="3"/>
    </row>
    <row r="12354" s="7" customFormat="1" spans="33:33">
      <c r="AG12354" s="3"/>
    </row>
    <row r="12355" s="7" customFormat="1" spans="33:33">
      <c r="AG12355" s="3"/>
    </row>
    <row r="12356" s="7" customFormat="1" spans="33:33">
      <c r="AG12356" s="3"/>
    </row>
    <row r="12357" s="7" customFormat="1" spans="33:33">
      <c r="AG12357" s="3"/>
    </row>
    <row r="12358" s="7" customFormat="1" spans="33:33">
      <c r="AG12358" s="3"/>
    </row>
    <row r="12359" s="7" customFormat="1" spans="33:33">
      <c r="AG12359" s="3"/>
    </row>
    <row r="12360" s="7" customFormat="1" spans="33:33">
      <c r="AG12360" s="3"/>
    </row>
    <row r="12361" s="7" customFormat="1" spans="33:33">
      <c r="AG12361" s="3"/>
    </row>
    <row r="12362" s="7" customFormat="1" spans="33:33">
      <c r="AG12362" s="3"/>
    </row>
    <row r="12363" s="7" customFormat="1" spans="33:33">
      <c r="AG12363" s="3"/>
    </row>
    <row r="12364" s="7" customFormat="1" spans="33:33">
      <c r="AG12364" s="3"/>
    </row>
    <row r="12365" s="7" customFormat="1" spans="33:33">
      <c r="AG12365" s="3"/>
    </row>
    <row r="12366" s="7" customFormat="1" spans="33:33">
      <c r="AG12366" s="3"/>
    </row>
    <row r="12367" s="7" customFormat="1" spans="33:33">
      <c r="AG12367" s="3"/>
    </row>
    <row r="12368" s="7" customFormat="1" spans="33:33">
      <c r="AG12368" s="3"/>
    </row>
    <row r="12369" s="7" customFormat="1" spans="33:33">
      <c r="AG12369" s="3"/>
    </row>
    <row r="12370" s="7" customFormat="1" spans="33:33">
      <c r="AG12370" s="3"/>
    </row>
    <row r="12371" s="7" customFormat="1" spans="33:33">
      <c r="AG12371" s="3"/>
    </row>
    <row r="12372" s="7" customFormat="1" spans="33:33">
      <c r="AG12372" s="3"/>
    </row>
    <row r="12373" s="7" customFormat="1" spans="33:33">
      <c r="AG12373" s="3"/>
    </row>
    <row r="12374" s="7" customFormat="1" spans="33:33">
      <c r="AG12374" s="3"/>
    </row>
    <row r="12375" s="7" customFormat="1" spans="33:33">
      <c r="AG12375" s="3"/>
    </row>
    <row r="12376" s="7" customFormat="1" spans="33:33">
      <c r="AG12376" s="3"/>
    </row>
    <row r="12377" s="7" customFormat="1" spans="33:33">
      <c r="AG12377" s="3"/>
    </row>
    <row r="12378" s="7" customFormat="1" spans="33:33">
      <c r="AG12378" s="3"/>
    </row>
    <row r="12379" s="7" customFormat="1" spans="33:33">
      <c r="AG12379" s="3"/>
    </row>
    <row r="12380" s="7" customFormat="1" spans="33:33">
      <c r="AG12380" s="3"/>
    </row>
    <row r="12381" s="7" customFormat="1" spans="33:33">
      <c r="AG12381" s="3"/>
    </row>
    <row r="12382" s="7" customFormat="1" spans="33:33">
      <c r="AG12382" s="3"/>
    </row>
    <row r="12383" s="7" customFormat="1" spans="33:33">
      <c r="AG12383" s="3"/>
    </row>
    <row r="12384" s="7" customFormat="1" spans="33:33">
      <c r="AG12384" s="3"/>
    </row>
    <row r="12385" s="7" customFormat="1" spans="33:33">
      <c r="AG12385" s="3"/>
    </row>
    <row r="12386" s="7" customFormat="1" spans="33:33">
      <c r="AG12386" s="3"/>
    </row>
    <row r="12387" s="7" customFormat="1" spans="33:33">
      <c r="AG12387" s="3"/>
    </row>
    <row r="12388" s="7" customFormat="1" spans="33:33">
      <c r="AG12388" s="3"/>
    </row>
    <row r="12389" s="7" customFormat="1" spans="33:33">
      <c r="AG12389" s="3"/>
    </row>
    <row r="12390" s="7" customFormat="1" spans="33:33">
      <c r="AG12390" s="3"/>
    </row>
    <row r="12391" s="7" customFormat="1" spans="33:33">
      <c r="AG12391" s="3"/>
    </row>
    <row r="12392" s="7" customFormat="1" spans="33:33">
      <c r="AG12392" s="3"/>
    </row>
    <row r="12393" s="7" customFormat="1" spans="33:33">
      <c r="AG12393" s="3"/>
    </row>
    <row r="12394" s="7" customFormat="1" spans="33:33">
      <c r="AG12394" s="3"/>
    </row>
    <row r="12395" s="7" customFormat="1" spans="33:33">
      <c r="AG12395" s="3"/>
    </row>
    <row r="12396" s="7" customFormat="1" spans="33:33">
      <c r="AG12396" s="3"/>
    </row>
    <row r="12397" s="7" customFormat="1" spans="33:33">
      <c r="AG12397" s="3"/>
    </row>
    <row r="12398" s="7" customFormat="1" spans="33:33">
      <c r="AG12398" s="3"/>
    </row>
    <row r="12399" s="7" customFormat="1" spans="33:33">
      <c r="AG12399" s="3"/>
    </row>
    <row r="12400" s="7" customFormat="1" spans="33:33">
      <c r="AG12400" s="3"/>
    </row>
    <row r="12401" s="7" customFormat="1" spans="33:33">
      <c r="AG12401" s="3"/>
    </row>
    <row r="12402" s="7" customFormat="1" spans="33:33">
      <c r="AG12402" s="3"/>
    </row>
    <row r="12403" s="7" customFormat="1" spans="33:33">
      <c r="AG12403" s="3"/>
    </row>
    <row r="12404" s="7" customFormat="1" spans="33:33">
      <c r="AG12404" s="3"/>
    </row>
    <row r="12405" s="7" customFormat="1" spans="33:33">
      <c r="AG12405" s="3"/>
    </row>
    <row r="12406" s="7" customFormat="1" spans="33:33">
      <c r="AG12406" s="3"/>
    </row>
    <row r="12407" s="7" customFormat="1" spans="33:33">
      <c r="AG12407" s="3"/>
    </row>
    <row r="12408" s="7" customFormat="1" spans="33:33">
      <c r="AG12408" s="3"/>
    </row>
    <row r="12409" s="7" customFormat="1" spans="33:33">
      <c r="AG12409" s="3"/>
    </row>
    <row r="12410" s="7" customFormat="1" spans="33:33">
      <c r="AG12410" s="3"/>
    </row>
    <row r="12411" s="7" customFormat="1" spans="33:33">
      <c r="AG12411" s="3"/>
    </row>
    <row r="12412" s="7" customFormat="1" spans="33:33">
      <c r="AG12412" s="3"/>
    </row>
    <row r="12413" s="7" customFormat="1" spans="33:33">
      <c r="AG12413" s="3"/>
    </row>
    <row r="12414" s="7" customFormat="1" spans="33:33">
      <c r="AG12414" s="3"/>
    </row>
    <row r="12415" s="7" customFormat="1" spans="33:33">
      <c r="AG12415" s="3"/>
    </row>
    <row r="12416" s="7" customFormat="1" spans="33:33">
      <c r="AG12416" s="3"/>
    </row>
    <row r="12417" s="7" customFormat="1" spans="33:33">
      <c r="AG12417" s="3"/>
    </row>
    <row r="12418" s="7" customFormat="1" spans="33:33">
      <c r="AG12418" s="3"/>
    </row>
    <row r="12419" s="7" customFormat="1" spans="33:33">
      <c r="AG12419" s="3"/>
    </row>
    <row r="12420" s="7" customFormat="1" spans="33:33">
      <c r="AG12420" s="3"/>
    </row>
    <row r="12421" s="7" customFormat="1" spans="33:33">
      <c r="AG12421" s="3"/>
    </row>
    <row r="12422" s="7" customFormat="1" spans="33:33">
      <c r="AG12422" s="3"/>
    </row>
    <row r="12423" s="7" customFormat="1" spans="33:33">
      <c r="AG12423" s="3"/>
    </row>
    <row r="12424" s="7" customFormat="1" spans="33:33">
      <c r="AG12424" s="3"/>
    </row>
    <row r="12425" s="7" customFormat="1" spans="33:33">
      <c r="AG12425" s="3"/>
    </row>
    <row r="12426" s="7" customFormat="1" spans="33:33">
      <c r="AG12426" s="3"/>
    </row>
    <row r="12427" s="7" customFormat="1" spans="33:33">
      <c r="AG12427" s="3"/>
    </row>
    <row r="12428" s="7" customFormat="1" spans="33:33">
      <c r="AG12428" s="3"/>
    </row>
    <row r="12429" s="7" customFormat="1" spans="33:33">
      <c r="AG12429" s="3"/>
    </row>
    <row r="12430" s="7" customFormat="1" spans="33:33">
      <c r="AG12430" s="3"/>
    </row>
    <row r="12431" s="7" customFormat="1" spans="33:33">
      <c r="AG12431" s="3"/>
    </row>
    <row r="12432" s="7" customFormat="1" spans="33:33">
      <c r="AG12432" s="3"/>
    </row>
    <row r="12433" s="7" customFormat="1" spans="33:33">
      <c r="AG12433" s="3"/>
    </row>
    <row r="12434" s="7" customFormat="1" spans="33:33">
      <c r="AG12434" s="3"/>
    </row>
    <row r="12435" s="7" customFormat="1" spans="33:33">
      <c r="AG12435" s="3"/>
    </row>
    <row r="12436" s="7" customFormat="1" spans="33:33">
      <c r="AG12436" s="3"/>
    </row>
    <row r="12437" s="7" customFormat="1" spans="33:33">
      <c r="AG12437" s="3"/>
    </row>
    <row r="12438" s="7" customFormat="1" spans="33:33">
      <c r="AG12438" s="3"/>
    </row>
    <row r="12439" s="7" customFormat="1" spans="33:33">
      <c r="AG12439" s="3"/>
    </row>
    <row r="12440" s="7" customFormat="1" spans="33:33">
      <c r="AG12440" s="3"/>
    </row>
    <row r="12441" s="7" customFormat="1" spans="33:33">
      <c r="AG12441" s="3"/>
    </row>
    <row r="12442" s="7" customFormat="1" spans="33:33">
      <c r="AG12442" s="3"/>
    </row>
    <row r="12443" s="7" customFormat="1" spans="33:33">
      <c r="AG12443" s="3"/>
    </row>
    <row r="12444" s="7" customFormat="1" spans="33:33">
      <c r="AG12444" s="3"/>
    </row>
    <row r="12445" s="7" customFormat="1" spans="33:33">
      <c r="AG12445" s="3"/>
    </row>
    <row r="12446" s="7" customFormat="1" spans="33:33">
      <c r="AG12446" s="3"/>
    </row>
    <row r="12447" s="7" customFormat="1" spans="33:33">
      <c r="AG12447" s="3"/>
    </row>
    <row r="12448" s="7" customFormat="1" spans="33:33">
      <c r="AG12448" s="3"/>
    </row>
    <row r="12449" s="7" customFormat="1" spans="33:33">
      <c r="AG12449" s="3"/>
    </row>
    <row r="12450" s="7" customFormat="1" spans="33:33">
      <c r="AG12450" s="3"/>
    </row>
    <row r="12451" s="7" customFormat="1" spans="33:33">
      <c r="AG12451" s="3"/>
    </row>
    <row r="12452" s="7" customFormat="1" spans="33:33">
      <c r="AG12452" s="3"/>
    </row>
    <row r="12453" s="7" customFormat="1" spans="33:33">
      <c r="AG12453" s="3"/>
    </row>
    <row r="12454" s="7" customFormat="1" spans="33:33">
      <c r="AG12454" s="3"/>
    </row>
    <row r="12455" s="7" customFormat="1" spans="33:33">
      <c r="AG12455" s="3"/>
    </row>
    <row r="12456" s="7" customFormat="1" spans="33:33">
      <c r="AG12456" s="3"/>
    </row>
    <row r="12457" s="7" customFormat="1" spans="33:33">
      <c r="AG12457" s="3"/>
    </row>
    <row r="12458" s="7" customFormat="1" spans="33:33">
      <c r="AG12458" s="3"/>
    </row>
    <row r="12459" s="7" customFormat="1" spans="33:33">
      <c r="AG12459" s="3"/>
    </row>
    <row r="12460" s="7" customFormat="1" spans="33:33">
      <c r="AG12460" s="3"/>
    </row>
    <row r="12461" s="7" customFormat="1" spans="33:33">
      <c r="AG12461" s="3"/>
    </row>
    <row r="12462" s="7" customFormat="1" spans="33:33">
      <c r="AG12462" s="3"/>
    </row>
    <row r="12463" s="7" customFormat="1" spans="33:33">
      <c r="AG12463" s="3"/>
    </row>
    <row r="12464" s="7" customFormat="1" spans="33:33">
      <c r="AG12464" s="3"/>
    </row>
    <row r="12465" s="7" customFormat="1" spans="33:33">
      <c r="AG12465" s="3"/>
    </row>
    <row r="12466" s="7" customFormat="1" spans="33:33">
      <c r="AG12466" s="3"/>
    </row>
    <row r="12467" s="7" customFormat="1" spans="33:33">
      <c r="AG12467" s="3"/>
    </row>
    <row r="12468" s="7" customFormat="1" spans="33:33">
      <c r="AG12468" s="3"/>
    </row>
    <row r="12469" s="7" customFormat="1" spans="33:33">
      <c r="AG12469" s="3"/>
    </row>
    <row r="12470" s="7" customFormat="1" spans="33:33">
      <c r="AG12470" s="3"/>
    </row>
    <row r="12471" s="7" customFormat="1" spans="33:33">
      <c r="AG12471" s="3"/>
    </row>
    <row r="12472" s="7" customFormat="1" spans="33:33">
      <c r="AG12472" s="3"/>
    </row>
    <row r="12473" s="7" customFormat="1" spans="33:33">
      <c r="AG12473" s="3"/>
    </row>
    <row r="12474" s="7" customFormat="1" spans="33:33">
      <c r="AG12474" s="3"/>
    </row>
    <row r="12475" s="7" customFormat="1" spans="33:33">
      <c r="AG12475" s="3"/>
    </row>
    <row r="12476" s="7" customFormat="1" spans="33:33">
      <c r="AG12476" s="3"/>
    </row>
    <row r="12477" s="7" customFormat="1" spans="33:33">
      <c r="AG12477" s="3"/>
    </row>
    <row r="12478" s="7" customFormat="1" spans="33:33">
      <c r="AG12478" s="3"/>
    </row>
    <row r="12479" s="7" customFormat="1" spans="33:33">
      <c r="AG12479" s="3"/>
    </row>
    <row r="12480" s="7" customFormat="1" spans="33:33">
      <c r="AG12480" s="3"/>
    </row>
    <row r="12481" s="7" customFormat="1" spans="33:33">
      <c r="AG12481" s="3"/>
    </row>
    <row r="12482" s="7" customFormat="1" spans="33:33">
      <c r="AG12482" s="3"/>
    </row>
    <row r="12483" s="7" customFormat="1" spans="33:33">
      <c r="AG12483" s="3"/>
    </row>
    <row r="12484" s="7" customFormat="1" spans="33:33">
      <c r="AG12484" s="3"/>
    </row>
    <row r="12485" s="7" customFormat="1" spans="33:33">
      <c r="AG12485" s="3"/>
    </row>
    <row r="12486" s="7" customFormat="1" spans="33:33">
      <c r="AG12486" s="3"/>
    </row>
    <row r="12487" s="7" customFormat="1" spans="33:33">
      <c r="AG12487" s="3"/>
    </row>
    <row r="12488" s="7" customFormat="1" spans="33:33">
      <c r="AG12488" s="3"/>
    </row>
    <row r="12489" s="7" customFormat="1" spans="33:33">
      <c r="AG12489" s="3"/>
    </row>
    <row r="12490" s="7" customFormat="1" spans="33:33">
      <c r="AG12490" s="3"/>
    </row>
    <row r="12491" s="7" customFormat="1" spans="33:33">
      <c r="AG12491" s="3"/>
    </row>
    <row r="12492" s="7" customFormat="1" spans="33:33">
      <c r="AG12492" s="3"/>
    </row>
    <row r="12493" s="7" customFormat="1" spans="33:33">
      <c r="AG12493" s="3"/>
    </row>
    <row r="12494" s="7" customFormat="1" spans="33:33">
      <c r="AG12494" s="3"/>
    </row>
    <row r="12495" s="7" customFormat="1" spans="33:33">
      <c r="AG12495" s="3"/>
    </row>
    <row r="12496" s="7" customFormat="1" spans="33:33">
      <c r="AG12496" s="3"/>
    </row>
    <row r="12497" s="7" customFormat="1" spans="33:33">
      <c r="AG12497" s="3"/>
    </row>
    <row r="12498" s="7" customFormat="1" spans="33:33">
      <c r="AG12498" s="3"/>
    </row>
    <row r="12499" s="7" customFormat="1" spans="33:33">
      <c r="AG12499" s="3"/>
    </row>
    <row r="12500" s="7" customFormat="1" spans="33:33">
      <c r="AG12500" s="3"/>
    </row>
    <row r="12501" s="7" customFormat="1" spans="33:33">
      <c r="AG12501" s="3"/>
    </row>
    <row r="12502" s="7" customFormat="1" spans="33:33">
      <c r="AG12502" s="3"/>
    </row>
    <row r="12503" s="7" customFormat="1" spans="33:33">
      <c r="AG12503" s="3"/>
    </row>
    <row r="12504" s="7" customFormat="1" spans="33:33">
      <c r="AG12504" s="3"/>
    </row>
    <row r="12505" s="7" customFormat="1" spans="33:33">
      <c r="AG12505" s="3"/>
    </row>
    <row r="12506" s="7" customFormat="1" spans="33:33">
      <c r="AG12506" s="3"/>
    </row>
    <row r="12507" s="7" customFormat="1" spans="33:33">
      <c r="AG12507" s="3"/>
    </row>
    <row r="12508" s="7" customFormat="1" spans="33:33">
      <c r="AG12508" s="3"/>
    </row>
    <row r="12509" s="7" customFormat="1" spans="33:33">
      <c r="AG12509" s="3"/>
    </row>
    <row r="12510" s="7" customFormat="1" spans="33:33">
      <c r="AG12510" s="3"/>
    </row>
    <row r="12511" s="7" customFormat="1" spans="33:33">
      <c r="AG12511" s="3"/>
    </row>
    <row r="12512" s="7" customFormat="1" spans="33:33">
      <c r="AG12512" s="3"/>
    </row>
    <row r="12513" s="7" customFormat="1" spans="33:33">
      <c r="AG12513" s="3"/>
    </row>
    <row r="12514" s="7" customFormat="1" spans="33:33">
      <c r="AG12514" s="3"/>
    </row>
    <row r="12515" s="7" customFormat="1" spans="33:33">
      <c r="AG12515" s="3"/>
    </row>
    <row r="12516" s="7" customFormat="1" spans="33:33">
      <c r="AG12516" s="3"/>
    </row>
    <row r="12517" s="7" customFormat="1" spans="33:33">
      <c r="AG12517" s="3"/>
    </row>
    <row r="12518" s="7" customFormat="1" spans="33:33">
      <c r="AG12518" s="3"/>
    </row>
    <row r="12519" s="7" customFormat="1" spans="33:33">
      <c r="AG12519" s="3"/>
    </row>
    <row r="12520" s="7" customFormat="1" spans="33:33">
      <c r="AG12520" s="3"/>
    </row>
    <row r="12521" s="7" customFormat="1" spans="33:33">
      <c r="AG12521" s="3"/>
    </row>
    <row r="12522" s="7" customFormat="1" spans="33:33">
      <c r="AG12522" s="3"/>
    </row>
    <row r="12523" s="7" customFormat="1" spans="33:33">
      <c r="AG12523" s="3"/>
    </row>
    <row r="12524" s="7" customFormat="1" spans="33:33">
      <c r="AG12524" s="3"/>
    </row>
    <row r="12525" s="7" customFormat="1" spans="33:33">
      <c r="AG12525" s="3"/>
    </row>
    <row r="12526" s="7" customFormat="1" spans="33:33">
      <c r="AG12526" s="3"/>
    </row>
    <row r="12527" s="7" customFormat="1" spans="33:33">
      <c r="AG12527" s="3"/>
    </row>
    <row r="12528" s="7" customFormat="1" spans="33:33">
      <c r="AG12528" s="3"/>
    </row>
    <row r="12529" s="7" customFormat="1" spans="33:33">
      <c r="AG12529" s="3"/>
    </row>
    <row r="12530" s="7" customFormat="1" spans="33:33">
      <c r="AG12530" s="3"/>
    </row>
    <row r="12531" s="7" customFormat="1" spans="33:33">
      <c r="AG12531" s="3"/>
    </row>
    <row r="12532" s="7" customFormat="1" spans="33:33">
      <c r="AG12532" s="3"/>
    </row>
    <row r="12533" s="7" customFormat="1" spans="33:33">
      <c r="AG12533" s="3"/>
    </row>
    <row r="12534" s="7" customFormat="1" spans="33:33">
      <c r="AG12534" s="3"/>
    </row>
    <row r="12535" s="7" customFormat="1" spans="33:33">
      <c r="AG12535" s="3"/>
    </row>
    <row r="12536" s="7" customFormat="1" spans="33:33">
      <c r="AG12536" s="3"/>
    </row>
    <row r="12537" s="7" customFormat="1" spans="33:33">
      <c r="AG12537" s="3"/>
    </row>
    <row r="12538" s="7" customFormat="1" spans="33:33">
      <c r="AG12538" s="3"/>
    </row>
    <row r="12539" s="7" customFormat="1" spans="33:33">
      <c r="AG12539" s="3"/>
    </row>
    <row r="12540" s="7" customFormat="1" spans="33:33">
      <c r="AG12540" s="3"/>
    </row>
    <row r="12541" s="7" customFormat="1" spans="33:33">
      <c r="AG12541" s="3"/>
    </row>
    <row r="12542" s="7" customFormat="1" spans="33:33">
      <c r="AG12542" s="3"/>
    </row>
    <row r="12543" s="7" customFormat="1" spans="33:33">
      <c r="AG12543" s="3"/>
    </row>
    <row r="12544" s="7" customFormat="1" spans="33:33">
      <c r="AG12544" s="3"/>
    </row>
    <row r="12545" s="7" customFormat="1" spans="33:33">
      <c r="AG12545" s="3"/>
    </row>
    <row r="12546" s="7" customFormat="1" spans="33:33">
      <c r="AG12546" s="3"/>
    </row>
    <row r="12547" s="7" customFormat="1" spans="33:33">
      <c r="AG12547" s="3"/>
    </row>
    <row r="12548" s="7" customFormat="1" spans="33:33">
      <c r="AG12548" s="3"/>
    </row>
    <row r="12549" s="7" customFormat="1" spans="33:33">
      <c r="AG12549" s="3"/>
    </row>
    <row r="12550" s="7" customFormat="1" spans="33:33">
      <c r="AG12550" s="3"/>
    </row>
    <row r="12551" s="7" customFormat="1" spans="33:33">
      <c r="AG12551" s="3"/>
    </row>
    <row r="12552" s="7" customFormat="1" spans="33:33">
      <c r="AG12552" s="3"/>
    </row>
    <row r="12553" s="7" customFormat="1" spans="33:33">
      <c r="AG12553" s="3"/>
    </row>
    <row r="12554" s="7" customFormat="1" spans="33:33">
      <c r="AG12554" s="3"/>
    </row>
    <row r="12555" s="7" customFormat="1" spans="33:33">
      <c r="AG12555" s="3"/>
    </row>
    <row r="12556" s="7" customFormat="1" spans="33:33">
      <c r="AG12556" s="3"/>
    </row>
    <row r="12557" s="7" customFormat="1" spans="33:33">
      <c r="AG12557" s="3"/>
    </row>
    <row r="12558" s="7" customFormat="1" spans="33:33">
      <c r="AG12558" s="3"/>
    </row>
    <row r="12559" s="7" customFormat="1" spans="33:33">
      <c r="AG12559" s="3"/>
    </row>
    <row r="12560" s="7" customFormat="1" spans="33:33">
      <c r="AG12560" s="3"/>
    </row>
    <row r="12561" s="7" customFormat="1" spans="33:33">
      <c r="AG12561" s="3"/>
    </row>
    <row r="12562" s="7" customFormat="1" spans="33:33">
      <c r="AG12562" s="3"/>
    </row>
    <row r="12563" s="7" customFormat="1" spans="33:33">
      <c r="AG12563" s="3"/>
    </row>
    <row r="12564" s="7" customFormat="1" spans="33:33">
      <c r="AG12564" s="3"/>
    </row>
    <row r="12565" s="7" customFormat="1" spans="33:33">
      <c r="AG12565" s="3"/>
    </row>
    <row r="12566" s="7" customFormat="1" spans="33:33">
      <c r="AG12566" s="3"/>
    </row>
    <row r="12567" s="7" customFormat="1" spans="33:33">
      <c r="AG12567" s="3"/>
    </row>
    <row r="12568" s="7" customFormat="1" spans="33:33">
      <c r="AG12568" s="3"/>
    </row>
    <row r="12569" s="7" customFormat="1" spans="33:33">
      <c r="AG12569" s="3"/>
    </row>
    <row r="12570" s="7" customFormat="1" spans="33:33">
      <c r="AG12570" s="3"/>
    </row>
    <row r="12571" s="7" customFormat="1" spans="33:33">
      <c r="AG12571" s="3"/>
    </row>
    <row r="12572" s="7" customFormat="1" spans="33:33">
      <c r="AG12572" s="3"/>
    </row>
    <row r="12573" s="7" customFormat="1" spans="33:33">
      <c r="AG12573" s="3"/>
    </row>
    <row r="12574" s="7" customFormat="1" spans="33:33">
      <c r="AG12574" s="3"/>
    </row>
    <row r="12575" s="7" customFormat="1" spans="33:33">
      <c r="AG12575" s="3"/>
    </row>
    <row r="12576" s="7" customFormat="1" spans="33:33">
      <c r="AG12576" s="3"/>
    </row>
    <row r="12577" s="7" customFormat="1" spans="33:33">
      <c r="AG12577" s="3"/>
    </row>
    <row r="12578" s="7" customFormat="1" spans="33:33">
      <c r="AG12578" s="3"/>
    </row>
    <row r="12579" s="7" customFormat="1" spans="33:33">
      <c r="AG12579" s="3"/>
    </row>
    <row r="12580" s="7" customFormat="1" spans="33:33">
      <c r="AG12580" s="3"/>
    </row>
    <row r="12581" s="7" customFormat="1" spans="33:33">
      <c r="AG12581" s="3"/>
    </row>
    <row r="12582" s="7" customFormat="1" spans="33:33">
      <c r="AG12582" s="3"/>
    </row>
    <row r="12583" s="7" customFormat="1" spans="33:33">
      <c r="AG12583" s="3"/>
    </row>
    <row r="12584" s="7" customFormat="1" spans="33:33">
      <c r="AG12584" s="3"/>
    </row>
    <row r="12585" s="7" customFormat="1" spans="33:33">
      <c r="AG12585" s="3"/>
    </row>
    <row r="12586" s="7" customFormat="1" spans="33:33">
      <c r="AG12586" s="3"/>
    </row>
    <row r="12587" s="7" customFormat="1" spans="33:33">
      <c r="AG12587" s="3"/>
    </row>
    <row r="12588" s="7" customFormat="1" spans="33:33">
      <c r="AG12588" s="3"/>
    </row>
    <row r="12589" s="7" customFormat="1" spans="33:33">
      <c r="AG12589" s="3"/>
    </row>
    <row r="12590" s="7" customFormat="1" spans="33:33">
      <c r="AG12590" s="3"/>
    </row>
    <row r="12591" s="7" customFormat="1" spans="33:33">
      <c r="AG12591" s="3"/>
    </row>
    <row r="12592" s="7" customFormat="1" spans="33:33">
      <c r="AG12592" s="3"/>
    </row>
    <row r="12593" s="7" customFormat="1" spans="33:33">
      <c r="AG12593" s="3"/>
    </row>
    <row r="12594" s="7" customFormat="1" spans="33:33">
      <c r="AG12594" s="3"/>
    </row>
    <row r="12595" s="7" customFormat="1" spans="33:33">
      <c r="AG12595" s="3"/>
    </row>
    <row r="12596" s="7" customFormat="1" spans="33:33">
      <c r="AG12596" s="3"/>
    </row>
    <row r="12597" s="7" customFormat="1" spans="33:33">
      <c r="AG12597" s="3"/>
    </row>
    <row r="12598" s="7" customFormat="1" spans="33:33">
      <c r="AG12598" s="3"/>
    </row>
    <row r="12599" s="7" customFormat="1" spans="33:33">
      <c r="AG12599" s="3"/>
    </row>
    <row r="12600" s="7" customFormat="1" spans="33:33">
      <c r="AG12600" s="3"/>
    </row>
    <row r="12601" s="7" customFormat="1" spans="33:33">
      <c r="AG12601" s="3"/>
    </row>
    <row r="12602" s="7" customFormat="1" spans="33:33">
      <c r="AG12602" s="3"/>
    </row>
    <row r="12603" s="7" customFormat="1" spans="33:33">
      <c r="AG12603" s="3"/>
    </row>
    <row r="12604" s="7" customFormat="1" spans="33:33">
      <c r="AG12604" s="3"/>
    </row>
    <row r="12605" s="7" customFormat="1" spans="33:33">
      <c r="AG12605" s="3"/>
    </row>
    <row r="12606" s="7" customFormat="1" spans="33:33">
      <c r="AG12606" s="3"/>
    </row>
    <row r="12607" s="7" customFormat="1" spans="33:33">
      <c r="AG12607" s="3"/>
    </row>
    <row r="12608" s="7" customFormat="1" spans="33:33">
      <c r="AG12608" s="3"/>
    </row>
    <row r="12609" s="7" customFormat="1" spans="33:33">
      <c r="AG12609" s="3"/>
    </row>
    <row r="12610" s="7" customFormat="1" spans="33:33">
      <c r="AG12610" s="3"/>
    </row>
    <row r="12611" s="7" customFormat="1" spans="33:33">
      <c r="AG12611" s="3"/>
    </row>
    <row r="12612" s="7" customFormat="1" spans="33:33">
      <c r="AG12612" s="3"/>
    </row>
    <row r="12613" s="7" customFormat="1" spans="33:33">
      <c r="AG12613" s="3"/>
    </row>
    <row r="12614" s="7" customFormat="1" spans="33:33">
      <c r="AG12614" s="3"/>
    </row>
    <row r="12615" s="7" customFormat="1" spans="33:33">
      <c r="AG12615" s="3"/>
    </row>
    <row r="12616" s="7" customFormat="1" spans="33:33">
      <c r="AG12616" s="3"/>
    </row>
    <row r="12617" s="7" customFormat="1" spans="33:33">
      <c r="AG12617" s="3"/>
    </row>
    <row r="12618" s="7" customFormat="1" spans="33:33">
      <c r="AG12618" s="3"/>
    </row>
    <row r="12619" s="7" customFormat="1" spans="33:33">
      <c r="AG12619" s="3"/>
    </row>
    <row r="12620" s="7" customFormat="1" spans="33:33">
      <c r="AG12620" s="3"/>
    </row>
    <row r="12621" s="7" customFormat="1" spans="33:33">
      <c r="AG12621" s="3"/>
    </row>
    <row r="12622" s="7" customFormat="1" spans="33:33">
      <c r="AG12622" s="3"/>
    </row>
    <row r="12623" s="7" customFormat="1" spans="33:33">
      <c r="AG12623" s="3"/>
    </row>
    <row r="12624" s="7" customFormat="1" spans="33:33">
      <c r="AG12624" s="3"/>
    </row>
    <row r="12625" s="7" customFormat="1" spans="33:33">
      <c r="AG12625" s="3"/>
    </row>
    <row r="12626" s="7" customFormat="1" spans="33:33">
      <c r="AG12626" s="3"/>
    </row>
    <row r="12627" s="7" customFormat="1" spans="33:33">
      <c r="AG12627" s="3"/>
    </row>
    <row r="12628" s="7" customFormat="1" spans="33:33">
      <c r="AG12628" s="3"/>
    </row>
    <row r="12629" s="7" customFormat="1" spans="33:33">
      <c r="AG12629" s="3"/>
    </row>
    <row r="12630" s="7" customFormat="1" spans="33:33">
      <c r="AG12630" s="3"/>
    </row>
    <row r="12631" s="7" customFormat="1" spans="33:33">
      <c r="AG12631" s="3"/>
    </row>
    <row r="12632" s="7" customFormat="1" spans="33:33">
      <c r="AG12632" s="3"/>
    </row>
    <row r="12633" s="7" customFormat="1" spans="33:33">
      <c r="AG12633" s="3"/>
    </row>
    <row r="12634" s="7" customFormat="1" spans="33:33">
      <c r="AG12634" s="3"/>
    </row>
    <row r="12635" s="7" customFormat="1" spans="33:33">
      <c r="AG12635" s="3"/>
    </row>
    <row r="12636" s="7" customFormat="1" spans="33:33">
      <c r="AG12636" s="3"/>
    </row>
    <row r="12637" s="7" customFormat="1" spans="33:33">
      <c r="AG12637" s="3"/>
    </row>
    <row r="12638" s="7" customFormat="1" spans="33:33">
      <c r="AG12638" s="3"/>
    </row>
    <row r="12639" s="7" customFormat="1" spans="33:33">
      <c r="AG12639" s="3"/>
    </row>
    <row r="12640" s="7" customFormat="1" spans="33:33">
      <c r="AG12640" s="3"/>
    </row>
    <row r="12641" s="7" customFormat="1" spans="33:33">
      <c r="AG12641" s="3"/>
    </row>
    <row r="12642" s="7" customFormat="1" spans="33:33">
      <c r="AG12642" s="3"/>
    </row>
    <row r="12643" s="7" customFormat="1" spans="33:33">
      <c r="AG12643" s="3"/>
    </row>
    <row r="12644" s="7" customFormat="1" spans="33:33">
      <c r="AG12644" s="3"/>
    </row>
    <row r="12645" s="7" customFormat="1" spans="33:33">
      <c r="AG12645" s="3"/>
    </row>
    <row r="12646" s="7" customFormat="1" spans="33:33">
      <c r="AG12646" s="3"/>
    </row>
    <row r="12647" s="7" customFormat="1" spans="33:33">
      <c r="AG12647" s="3"/>
    </row>
    <row r="12648" s="7" customFormat="1" spans="33:33">
      <c r="AG12648" s="3"/>
    </row>
    <row r="12649" s="7" customFormat="1" spans="33:33">
      <c r="AG12649" s="3"/>
    </row>
    <row r="12650" s="7" customFormat="1" spans="33:33">
      <c r="AG12650" s="3"/>
    </row>
    <row r="12651" s="7" customFormat="1" spans="33:33">
      <c r="AG12651" s="3"/>
    </row>
    <row r="12652" s="7" customFormat="1" spans="33:33">
      <c r="AG12652" s="3"/>
    </row>
    <row r="12653" s="7" customFormat="1" spans="33:33">
      <c r="AG12653" s="3"/>
    </row>
    <row r="12654" s="7" customFormat="1" spans="33:33">
      <c r="AG12654" s="3"/>
    </row>
    <row r="12655" s="7" customFormat="1" spans="33:33">
      <c r="AG12655" s="3"/>
    </row>
    <row r="12656" s="7" customFormat="1" spans="33:33">
      <c r="AG12656" s="3"/>
    </row>
    <row r="12657" s="7" customFormat="1" spans="33:33">
      <c r="AG12657" s="3"/>
    </row>
    <row r="12658" s="7" customFormat="1" spans="33:33">
      <c r="AG12658" s="3"/>
    </row>
    <row r="12659" s="7" customFormat="1" spans="33:33">
      <c r="AG12659" s="3"/>
    </row>
    <row r="12660" s="7" customFormat="1" spans="33:33">
      <c r="AG12660" s="3"/>
    </row>
    <row r="12661" s="7" customFormat="1" spans="33:33">
      <c r="AG12661" s="3"/>
    </row>
    <row r="12662" s="7" customFormat="1" spans="33:33">
      <c r="AG12662" s="3"/>
    </row>
    <row r="12663" s="7" customFormat="1" spans="33:33">
      <c r="AG12663" s="3"/>
    </row>
    <row r="12664" s="7" customFormat="1" spans="33:33">
      <c r="AG12664" s="3"/>
    </row>
    <row r="12665" s="7" customFormat="1" spans="33:33">
      <c r="AG12665" s="3"/>
    </row>
    <row r="12666" s="7" customFormat="1" spans="33:33">
      <c r="AG12666" s="3"/>
    </row>
    <row r="12667" s="7" customFormat="1" spans="33:33">
      <c r="AG12667" s="3"/>
    </row>
    <row r="12668" s="7" customFormat="1" spans="33:33">
      <c r="AG12668" s="3"/>
    </row>
    <row r="12669" s="7" customFormat="1" spans="33:33">
      <c r="AG12669" s="3"/>
    </row>
    <row r="12670" s="7" customFormat="1" spans="33:33">
      <c r="AG12670" s="3"/>
    </row>
    <row r="12671" s="7" customFormat="1" spans="33:33">
      <c r="AG12671" s="3"/>
    </row>
    <row r="12672" s="7" customFormat="1" spans="33:33">
      <c r="AG12672" s="3"/>
    </row>
    <row r="12673" s="7" customFormat="1" spans="33:33">
      <c r="AG12673" s="3"/>
    </row>
    <row r="12674" s="7" customFormat="1" spans="33:33">
      <c r="AG12674" s="3"/>
    </row>
    <row r="12675" s="7" customFormat="1" spans="33:33">
      <c r="AG12675" s="3"/>
    </row>
    <row r="12676" s="7" customFormat="1" spans="33:33">
      <c r="AG12676" s="3"/>
    </row>
    <row r="12677" s="7" customFormat="1" spans="33:33">
      <c r="AG12677" s="3"/>
    </row>
    <row r="12678" s="7" customFormat="1" spans="33:33">
      <c r="AG12678" s="3"/>
    </row>
    <row r="12679" s="7" customFormat="1" spans="33:33">
      <c r="AG12679" s="3"/>
    </row>
    <row r="12680" s="7" customFormat="1" spans="33:33">
      <c r="AG12680" s="3"/>
    </row>
    <row r="12681" s="7" customFormat="1" spans="33:33">
      <c r="AG12681" s="3"/>
    </row>
    <row r="12682" s="7" customFormat="1" spans="33:33">
      <c r="AG12682" s="3"/>
    </row>
    <row r="12683" s="7" customFormat="1" spans="33:33">
      <c r="AG12683" s="3"/>
    </row>
    <row r="12684" s="7" customFormat="1" spans="33:33">
      <c r="AG12684" s="3"/>
    </row>
    <row r="12685" s="7" customFormat="1" spans="33:33">
      <c r="AG12685" s="3"/>
    </row>
    <row r="12686" s="7" customFormat="1" spans="33:33">
      <c r="AG12686" s="3"/>
    </row>
    <row r="12687" s="7" customFormat="1" spans="33:33">
      <c r="AG12687" s="3"/>
    </row>
    <row r="12688" s="7" customFormat="1" spans="33:33">
      <c r="AG12688" s="3"/>
    </row>
    <row r="12689" s="7" customFormat="1" spans="33:33">
      <c r="AG12689" s="3"/>
    </row>
    <row r="12690" s="7" customFormat="1" spans="33:33">
      <c r="AG12690" s="3"/>
    </row>
    <row r="12691" s="7" customFormat="1" spans="33:33">
      <c r="AG12691" s="3"/>
    </row>
    <row r="12692" s="7" customFormat="1" spans="33:33">
      <c r="AG12692" s="3"/>
    </row>
    <row r="12693" s="7" customFormat="1" spans="33:33">
      <c r="AG12693" s="3"/>
    </row>
    <row r="12694" s="7" customFormat="1" spans="33:33">
      <c r="AG12694" s="3"/>
    </row>
    <row r="12695" s="7" customFormat="1" spans="33:33">
      <c r="AG12695" s="3"/>
    </row>
    <row r="12696" s="7" customFormat="1" spans="33:33">
      <c r="AG12696" s="3"/>
    </row>
    <row r="12697" s="7" customFormat="1" spans="33:33">
      <c r="AG12697" s="3"/>
    </row>
    <row r="12698" s="7" customFormat="1" spans="33:33">
      <c r="AG12698" s="3"/>
    </row>
    <row r="12699" s="7" customFormat="1" spans="33:33">
      <c r="AG12699" s="3"/>
    </row>
    <row r="12700" s="7" customFormat="1" spans="33:33">
      <c r="AG12700" s="3"/>
    </row>
    <row r="12701" s="7" customFormat="1" spans="33:33">
      <c r="AG12701" s="3"/>
    </row>
    <row r="12702" s="7" customFormat="1" spans="33:33">
      <c r="AG12702" s="3"/>
    </row>
    <row r="12703" s="7" customFormat="1" spans="33:33">
      <c r="AG12703" s="3"/>
    </row>
    <row r="12704" s="7" customFormat="1" spans="33:33">
      <c r="AG12704" s="3"/>
    </row>
    <row r="12705" s="7" customFormat="1" spans="33:33">
      <c r="AG12705" s="3"/>
    </row>
    <row r="12706" s="7" customFormat="1" spans="33:33">
      <c r="AG12706" s="3"/>
    </row>
    <row r="12707" s="7" customFormat="1" spans="33:33">
      <c r="AG12707" s="3"/>
    </row>
    <row r="12708" s="7" customFormat="1" spans="33:33">
      <c r="AG12708" s="3"/>
    </row>
    <row r="12709" s="7" customFormat="1" spans="33:33">
      <c r="AG12709" s="3"/>
    </row>
    <row r="12710" s="7" customFormat="1" spans="33:33">
      <c r="AG12710" s="3"/>
    </row>
    <row r="12711" s="7" customFormat="1" spans="33:33">
      <c r="AG12711" s="3"/>
    </row>
    <row r="12712" s="7" customFormat="1" spans="33:33">
      <c r="AG12712" s="3"/>
    </row>
    <row r="12713" s="7" customFormat="1" spans="33:33">
      <c r="AG12713" s="3"/>
    </row>
    <row r="12714" s="7" customFormat="1" spans="33:33">
      <c r="AG12714" s="3"/>
    </row>
    <row r="12715" s="7" customFormat="1" spans="33:33">
      <c r="AG12715" s="3"/>
    </row>
    <row r="12716" s="7" customFormat="1" spans="33:33">
      <c r="AG12716" s="3"/>
    </row>
    <row r="12717" s="7" customFormat="1" spans="33:33">
      <c r="AG12717" s="3"/>
    </row>
    <row r="12718" s="7" customFormat="1" spans="33:33">
      <c r="AG12718" s="3"/>
    </row>
    <row r="12719" s="7" customFormat="1" spans="33:33">
      <c r="AG12719" s="3"/>
    </row>
    <row r="12720" s="7" customFormat="1" spans="33:33">
      <c r="AG12720" s="3"/>
    </row>
    <row r="12721" s="7" customFormat="1" spans="33:33">
      <c r="AG12721" s="3"/>
    </row>
    <row r="12722" s="7" customFormat="1" spans="33:33">
      <c r="AG12722" s="3"/>
    </row>
    <row r="12723" s="7" customFormat="1" spans="33:33">
      <c r="AG12723" s="3"/>
    </row>
    <row r="12724" s="7" customFormat="1" spans="33:33">
      <c r="AG12724" s="3"/>
    </row>
    <row r="12725" s="7" customFormat="1" spans="33:33">
      <c r="AG12725" s="3"/>
    </row>
    <row r="12726" s="7" customFormat="1" spans="33:33">
      <c r="AG12726" s="3"/>
    </row>
    <row r="12727" s="7" customFormat="1" spans="33:33">
      <c r="AG12727" s="3"/>
    </row>
    <row r="12728" s="7" customFormat="1" spans="33:33">
      <c r="AG12728" s="3"/>
    </row>
    <row r="12729" s="7" customFormat="1" spans="33:33">
      <c r="AG12729" s="3"/>
    </row>
    <row r="12730" s="7" customFormat="1" spans="33:33">
      <c r="AG12730" s="3"/>
    </row>
    <row r="12731" s="7" customFormat="1" spans="33:33">
      <c r="AG12731" s="3"/>
    </row>
    <row r="12732" s="7" customFormat="1" spans="33:33">
      <c r="AG12732" s="3"/>
    </row>
    <row r="12733" s="7" customFormat="1" spans="33:33">
      <c r="AG12733" s="3"/>
    </row>
    <row r="12734" s="7" customFormat="1" spans="33:33">
      <c r="AG12734" s="3"/>
    </row>
    <row r="12735" s="7" customFormat="1" spans="33:33">
      <c r="AG12735" s="3"/>
    </row>
    <row r="12736" s="7" customFormat="1" spans="33:33">
      <c r="AG12736" s="3"/>
    </row>
    <row r="12737" s="7" customFormat="1" spans="33:33">
      <c r="AG12737" s="3"/>
    </row>
    <row r="12738" s="7" customFormat="1" spans="33:33">
      <c r="AG12738" s="3"/>
    </row>
    <row r="12739" s="7" customFormat="1" spans="33:33">
      <c r="AG12739" s="3"/>
    </row>
    <row r="12740" s="7" customFormat="1" spans="33:33">
      <c r="AG12740" s="3"/>
    </row>
    <row r="12741" s="7" customFormat="1" spans="33:33">
      <c r="AG12741" s="3"/>
    </row>
    <row r="12742" s="7" customFormat="1" spans="33:33">
      <c r="AG12742" s="3"/>
    </row>
    <row r="12743" s="7" customFormat="1" spans="33:33">
      <c r="AG12743" s="3"/>
    </row>
    <row r="12744" s="7" customFormat="1" spans="33:33">
      <c r="AG12744" s="3"/>
    </row>
    <row r="12745" s="7" customFormat="1" spans="33:33">
      <c r="AG12745" s="3"/>
    </row>
    <row r="12746" s="7" customFormat="1" spans="33:33">
      <c r="AG12746" s="3"/>
    </row>
    <row r="12747" s="7" customFormat="1" spans="33:33">
      <c r="AG12747" s="3"/>
    </row>
    <row r="12748" s="7" customFormat="1" spans="33:33">
      <c r="AG12748" s="3"/>
    </row>
    <row r="12749" s="7" customFormat="1" spans="33:33">
      <c r="AG12749" s="3"/>
    </row>
    <row r="12750" s="7" customFormat="1" spans="33:33">
      <c r="AG12750" s="3"/>
    </row>
    <row r="12751" s="7" customFormat="1" spans="33:33">
      <c r="AG12751" s="3"/>
    </row>
    <row r="12752" s="7" customFormat="1" spans="33:33">
      <c r="AG12752" s="3"/>
    </row>
    <row r="12753" s="7" customFormat="1" spans="33:33">
      <c r="AG12753" s="3"/>
    </row>
    <row r="12754" s="7" customFormat="1" spans="33:33">
      <c r="AG12754" s="3"/>
    </row>
    <row r="12755" s="7" customFormat="1" spans="33:33">
      <c r="AG12755" s="3"/>
    </row>
    <row r="12756" s="7" customFormat="1" spans="33:33">
      <c r="AG12756" s="3"/>
    </row>
    <row r="12757" s="7" customFormat="1" spans="33:33">
      <c r="AG12757" s="3"/>
    </row>
    <row r="12758" s="7" customFormat="1" spans="33:33">
      <c r="AG12758" s="3"/>
    </row>
    <row r="12759" s="7" customFormat="1" spans="33:33">
      <c r="AG12759" s="3"/>
    </row>
    <row r="12760" s="7" customFormat="1" spans="33:33">
      <c r="AG12760" s="3"/>
    </row>
    <row r="12761" s="7" customFormat="1" spans="33:33">
      <c r="AG12761" s="3"/>
    </row>
    <row r="12762" s="7" customFormat="1" spans="33:33">
      <c r="AG12762" s="3"/>
    </row>
    <row r="12763" s="7" customFormat="1" spans="33:33">
      <c r="AG12763" s="3"/>
    </row>
    <row r="12764" s="7" customFormat="1" spans="33:33">
      <c r="AG12764" s="3"/>
    </row>
    <row r="12765" s="7" customFormat="1" spans="33:33">
      <c r="AG12765" s="3"/>
    </row>
    <row r="12766" s="7" customFormat="1" spans="33:33">
      <c r="AG12766" s="3"/>
    </row>
    <row r="12767" s="7" customFormat="1" spans="33:33">
      <c r="AG12767" s="3"/>
    </row>
    <row r="12768" s="7" customFormat="1" spans="33:33">
      <c r="AG12768" s="3"/>
    </row>
    <row r="12769" s="7" customFormat="1" spans="33:33">
      <c r="AG12769" s="3"/>
    </row>
    <row r="12770" s="7" customFormat="1" spans="33:33">
      <c r="AG12770" s="3"/>
    </row>
    <row r="12771" s="7" customFormat="1" spans="33:33">
      <c r="AG12771" s="3"/>
    </row>
    <row r="12772" s="7" customFormat="1" spans="33:33">
      <c r="AG12772" s="3"/>
    </row>
    <row r="12773" s="7" customFormat="1" spans="33:33">
      <c r="AG12773" s="3"/>
    </row>
    <row r="12774" s="7" customFormat="1" spans="33:33">
      <c r="AG12774" s="3"/>
    </row>
    <row r="12775" s="7" customFormat="1" spans="33:33">
      <c r="AG12775" s="3"/>
    </row>
    <row r="12776" s="7" customFormat="1" spans="33:33">
      <c r="AG12776" s="3"/>
    </row>
    <row r="12777" s="7" customFormat="1" spans="33:33">
      <c r="AG12777" s="3"/>
    </row>
    <row r="12778" s="7" customFormat="1" spans="33:33">
      <c r="AG12778" s="3"/>
    </row>
    <row r="12779" s="7" customFormat="1" spans="33:33">
      <c r="AG12779" s="3"/>
    </row>
    <row r="12780" s="7" customFormat="1" spans="33:33">
      <c r="AG12780" s="3"/>
    </row>
    <row r="12781" s="7" customFormat="1" spans="33:33">
      <c r="AG12781" s="3"/>
    </row>
    <row r="12782" s="7" customFormat="1" spans="33:33">
      <c r="AG12782" s="3"/>
    </row>
    <row r="12783" s="7" customFormat="1" spans="33:33">
      <c r="AG12783" s="3"/>
    </row>
    <row r="12784" s="7" customFormat="1" spans="33:33">
      <c r="AG12784" s="3"/>
    </row>
    <row r="12785" s="7" customFormat="1" spans="33:33">
      <c r="AG12785" s="3"/>
    </row>
    <row r="12786" s="7" customFormat="1" spans="33:33">
      <c r="AG12786" s="3"/>
    </row>
    <row r="12787" s="7" customFormat="1" spans="33:33">
      <c r="AG12787" s="3"/>
    </row>
    <row r="12788" s="7" customFormat="1" spans="33:33">
      <c r="AG12788" s="3"/>
    </row>
    <row r="12789" s="7" customFormat="1" spans="33:33">
      <c r="AG12789" s="3"/>
    </row>
    <row r="12790" s="7" customFormat="1" spans="33:33">
      <c r="AG12790" s="3"/>
    </row>
    <row r="12791" s="7" customFormat="1" spans="33:33">
      <c r="AG12791" s="3"/>
    </row>
    <row r="12792" s="7" customFormat="1" spans="33:33">
      <c r="AG12792" s="3"/>
    </row>
    <row r="12793" s="7" customFormat="1" spans="33:33">
      <c r="AG12793" s="3"/>
    </row>
    <row r="12794" s="7" customFormat="1" spans="33:33">
      <c r="AG12794" s="3"/>
    </row>
    <row r="12795" s="7" customFormat="1" spans="33:33">
      <c r="AG12795" s="3"/>
    </row>
    <row r="12796" s="7" customFormat="1" spans="33:33">
      <c r="AG12796" s="3"/>
    </row>
    <row r="12797" s="7" customFormat="1" spans="33:33">
      <c r="AG12797" s="3"/>
    </row>
    <row r="12798" s="7" customFormat="1" spans="33:33">
      <c r="AG12798" s="3"/>
    </row>
    <row r="12799" s="7" customFormat="1" spans="33:33">
      <c r="AG12799" s="3"/>
    </row>
    <row r="12800" s="7" customFormat="1" spans="33:33">
      <c r="AG12800" s="3"/>
    </row>
    <row r="12801" s="7" customFormat="1" spans="33:33">
      <c r="AG12801" s="3"/>
    </row>
    <row r="12802" s="7" customFormat="1" spans="33:33">
      <c r="AG12802" s="3"/>
    </row>
    <row r="12803" s="7" customFormat="1" spans="33:33">
      <c r="AG12803" s="3"/>
    </row>
    <row r="12804" s="7" customFormat="1" spans="33:33">
      <c r="AG12804" s="3"/>
    </row>
    <row r="12805" s="7" customFormat="1" spans="33:33">
      <c r="AG12805" s="3"/>
    </row>
    <row r="12806" s="7" customFormat="1" spans="33:33">
      <c r="AG12806" s="3"/>
    </row>
    <row r="12807" s="7" customFormat="1" spans="33:33">
      <c r="AG12807" s="3"/>
    </row>
    <row r="12808" s="7" customFormat="1" spans="33:33">
      <c r="AG12808" s="3"/>
    </row>
    <row r="12809" s="7" customFormat="1" spans="33:33">
      <c r="AG12809" s="3"/>
    </row>
    <row r="12810" s="7" customFormat="1" spans="33:33">
      <c r="AG12810" s="3"/>
    </row>
    <row r="12811" s="7" customFormat="1" spans="33:33">
      <c r="AG12811" s="3"/>
    </row>
    <row r="12812" s="7" customFormat="1" spans="33:33">
      <c r="AG12812" s="3"/>
    </row>
    <row r="12813" s="7" customFormat="1" spans="33:33">
      <c r="AG12813" s="3"/>
    </row>
    <row r="12814" s="7" customFormat="1" spans="33:33">
      <c r="AG12814" s="3"/>
    </row>
    <row r="12815" s="7" customFormat="1" spans="33:33">
      <c r="AG12815" s="3"/>
    </row>
    <row r="12816" s="7" customFormat="1" spans="33:33">
      <c r="AG12816" s="3"/>
    </row>
    <row r="12817" s="7" customFormat="1" spans="33:33">
      <c r="AG12817" s="3"/>
    </row>
    <row r="12818" s="7" customFormat="1" spans="33:33">
      <c r="AG12818" s="3"/>
    </row>
    <row r="12819" s="7" customFormat="1" spans="33:33">
      <c r="AG12819" s="3"/>
    </row>
    <row r="12820" s="7" customFormat="1" spans="33:33">
      <c r="AG12820" s="3"/>
    </row>
    <row r="12821" s="7" customFormat="1" spans="33:33">
      <c r="AG12821" s="3"/>
    </row>
    <row r="12822" s="7" customFormat="1" spans="33:33">
      <c r="AG12822" s="3"/>
    </row>
    <row r="12823" s="7" customFormat="1" spans="33:33">
      <c r="AG12823" s="3"/>
    </row>
    <row r="12824" s="7" customFormat="1" spans="33:33">
      <c r="AG12824" s="3"/>
    </row>
    <row r="12825" s="7" customFormat="1" spans="33:33">
      <c r="AG12825" s="3"/>
    </row>
    <row r="12826" s="7" customFormat="1" spans="33:33">
      <c r="AG12826" s="3"/>
    </row>
    <row r="12827" s="7" customFormat="1" spans="33:33">
      <c r="AG12827" s="3"/>
    </row>
    <row r="12828" s="7" customFormat="1" spans="33:33">
      <c r="AG12828" s="3"/>
    </row>
    <row r="12829" s="7" customFormat="1" spans="33:33">
      <c r="AG12829" s="3"/>
    </row>
    <row r="12830" s="7" customFormat="1" spans="33:33">
      <c r="AG12830" s="3"/>
    </row>
    <row r="12831" s="7" customFormat="1" spans="33:33">
      <c r="AG12831" s="3"/>
    </row>
    <row r="12832" s="7" customFormat="1" spans="33:33">
      <c r="AG12832" s="3"/>
    </row>
    <row r="12833" s="7" customFormat="1" spans="33:33">
      <c r="AG12833" s="3"/>
    </row>
    <row r="12834" s="7" customFormat="1" spans="33:33">
      <c r="AG12834" s="3"/>
    </row>
    <row r="12835" s="7" customFormat="1" spans="33:33">
      <c r="AG12835" s="3"/>
    </row>
    <row r="12836" s="7" customFormat="1" spans="33:33">
      <c r="AG12836" s="3"/>
    </row>
    <row r="12837" s="7" customFormat="1" spans="33:33">
      <c r="AG12837" s="3"/>
    </row>
    <row r="12838" s="7" customFormat="1" spans="33:33">
      <c r="AG12838" s="3"/>
    </row>
    <row r="12839" s="7" customFormat="1" spans="33:33">
      <c r="AG12839" s="3"/>
    </row>
    <row r="12840" s="7" customFormat="1" spans="33:33">
      <c r="AG12840" s="3"/>
    </row>
    <row r="12841" s="7" customFormat="1" spans="33:33">
      <c r="AG12841" s="3"/>
    </row>
    <row r="12842" s="7" customFormat="1" spans="33:33">
      <c r="AG12842" s="3"/>
    </row>
    <row r="12843" s="7" customFormat="1" spans="33:33">
      <c r="AG12843" s="3"/>
    </row>
    <row r="12844" s="7" customFormat="1" spans="33:33">
      <c r="AG12844" s="3"/>
    </row>
    <row r="12845" s="7" customFormat="1" spans="33:33">
      <c r="AG12845" s="3"/>
    </row>
    <row r="12846" s="7" customFormat="1" spans="33:33">
      <c r="AG12846" s="3"/>
    </row>
    <row r="12847" s="7" customFormat="1" spans="33:33">
      <c r="AG12847" s="3"/>
    </row>
    <row r="12848" s="7" customFormat="1" spans="33:33">
      <c r="AG12848" s="3"/>
    </row>
    <row r="12849" s="7" customFormat="1" spans="33:33">
      <c r="AG12849" s="3"/>
    </row>
    <row r="12850" s="7" customFormat="1" spans="33:33">
      <c r="AG12850" s="3"/>
    </row>
    <row r="12851" s="7" customFormat="1" spans="33:33">
      <c r="AG12851" s="3"/>
    </row>
    <row r="12852" s="7" customFormat="1" spans="33:33">
      <c r="AG12852" s="3"/>
    </row>
    <row r="12853" s="7" customFormat="1" spans="33:33">
      <c r="AG12853" s="3"/>
    </row>
    <row r="12854" s="7" customFormat="1" spans="33:33">
      <c r="AG12854" s="3"/>
    </row>
    <row r="12855" s="7" customFormat="1" spans="33:33">
      <c r="AG12855" s="3"/>
    </row>
    <row r="12856" s="7" customFormat="1" spans="33:33">
      <c r="AG12856" s="3"/>
    </row>
    <row r="12857" s="7" customFormat="1" spans="33:33">
      <c r="AG12857" s="3"/>
    </row>
    <row r="12858" s="7" customFormat="1" spans="33:33">
      <c r="AG12858" s="3"/>
    </row>
    <row r="12859" s="7" customFormat="1" spans="33:33">
      <c r="AG12859" s="3"/>
    </row>
    <row r="12860" s="7" customFormat="1" spans="33:33">
      <c r="AG12860" s="3"/>
    </row>
    <row r="12861" s="7" customFormat="1" spans="33:33">
      <c r="AG12861" s="3"/>
    </row>
    <row r="12862" s="7" customFormat="1" spans="33:33">
      <c r="AG12862" s="3"/>
    </row>
    <row r="12863" s="7" customFormat="1" spans="33:33">
      <c r="AG12863" s="3"/>
    </row>
    <row r="12864" s="7" customFormat="1" spans="33:33">
      <c r="AG12864" s="3"/>
    </row>
    <row r="12865" s="7" customFormat="1" spans="33:33">
      <c r="AG12865" s="3"/>
    </row>
    <row r="12866" s="7" customFormat="1" spans="33:33">
      <c r="AG12866" s="3"/>
    </row>
    <row r="12867" s="7" customFormat="1" spans="33:33">
      <c r="AG12867" s="3"/>
    </row>
    <row r="12868" s="7" customFormat="1" spans="33:33">
      <c r="AG12868" s="3"/>
    </row>
    <row r="12869" s="7" customFormat="1" spans="33:33">
      <c r="AG12869" s="3"/>
    </row>
    <row r="12870" s="7" customFormat="1" spans="33:33">
      <c r="AG12870" s="3"/>
    </row>
    <row r="12871" s="7" customFormat="1" spans="33:33">
      <c r="AG12871" s="3"/>
    </row>
    <row r="12872" s="7" customFormat="1" spans="33:33">
      <c r="AG12872" s="3"/>
    </row>
    <row r="12873" s="7" customFormat="1" spans="33:33">
      <c r="AG12873" s="3"/>
    </row>
    <row r="12874" s="7" customFormat="1" spans="33:33">
      <c r="AG12874" s="3"/>
    </row>
    <row r="12875" s="7" customFormat="1" spans="33:33">
      <c r="AG12875" s="3"/>
    </row>
    <row r="12876" s="7" customFormat="1" spans="33:33">
      <c r="AG12876" s="3"/>
    </row>
    <row r="12877" s="7" customFormat="1" spans="33:33">
      <c r="AG12877" s="3"/>
    </row>
    <row r="12878" s="7" customFormat="1" spans="33:33">
      <c r="AG12878" s="3"/>
    </row>
    <row r="12879" s="7" customFormat="1" spans="33:33">
      <c r="AG12879" s="3"/>
    </row>
    <row r="12880" s="7" customFormat="1" spans="33:33">
      <c r="AG12880" s="3"/>
    </row>
    <row r="12881" s="7" customFormat="1" spans="33:33">
      <c r="AG12881" s="3"/>
    </row>
    <row r="12882" s="7" customFormat="1" spans="33:33">
      <c r="AG12882" s="3"/>
    </row>
    <row r="12883" s="7" customFormat="1" spans="33:33">
      <c r="AG12883" s="3"/>
    </row>
    <row r="12884" s="7" customFormat="1" spans="33:33">
      <c r="AG12884" s="3"/>
    </row>
    <row r="12885" s="7" customFormat="1" spans="33:33">
      <c r="AG12885" s="3"/>
    </row>
    <row r="12886" s="7" customFormat="1" spans="33:33">
      <c r="AG12886" s="3"/>
    </row>
    <row r="12887" s="7" customFormat="1" spans="33:33">
      <c r="AG12887" s="3"/>
    </row>
    <row r="12888" s="7" customFormat="1" spans="33:33">
      <c r="AG12888" s="3"/>
    </row>
    <row r="12889" s="7" customFormat="1" spans="33:33">
      <c r="AG12889" s="3"/>
    </row>
    <row r="12890" s="7" customFormat="1" spans="33:33">
      <c r="AG12890" s="3"/>
    </row>
    <row r="12891" s="7" customFormat="1" spans="33:33">
      <c r="AG12891" s="3"/>
    </row>
    <row r="12892" s="7" customFormat="1" spans="33:33">
      <c r="AG12892" s="3"/>
    </row>
    <row r="12893" s="7" customFormat="1" spans="33:33">
      <c r="AG12893" s="3"/>
    </row>
    <row r="12894" s="7" customFormat="1" spans="33:33">
      <c r="AG12894" s="3"/>
    </row>
    <row r="12895" s="7" customFormat="1" spans="33:33">
      <c r="AG12895" s="3"/>
    </row>
    <row r="12896" s="7" customFormat="1" spans="33:33">
      <c r="AG12896" s="3"/>
    </row>
    <row r="12897" s="7" customFormat="1" spans="33:33">
      <c r="AG12897" s="3"/>
    </row>
    <row r="12898" s="7" customFormat="1" spans="33:33">
      <c r="AG12898" s="3"/>
    </row>
    <row r="12899" s="7" customFormat="1" spans="33:33">
      <c r="AG12899" s="3"/>
    </row>
    <row r="12900" s="7" customFormat="1" spans="33:33">
      <c r="AG12900" s="3"/>
    </row>
    <row r="12901" s="7" customFormat="1" spans="33:33">
      <c r="AG12901" s="3"/>
    </row>
    <row r="12902" s="7" customFormat="1" spans="33:33">
      <c r="AG12902" s="3"/>
    </row>
    <row r="12903" s="7" customFormat="1" spans="33:33">
      <c r="AG12903" s="3"/>
    </row>
    <row r="12904" s="7" customFormat="1" spans="33:33">
      <c r="AG12904" s="3"/>
    </row>
    <row r="12905" s="7" customFormat="1" spans="33:33">
      <c r="AG12905" s="3"/>
    </row>
    <row r="12906" s="7" customFormat="1" spans="33:33">
      <c r="AG12906" s="3"/>
    </row>
    <row r="12907" s="7" customFormat="1" spans="33:33">
      <c r="AG12907" s="3"/>
    </row>
    <row r="12908" s="7" customFormat="1" spans="33:33">
      <c r="AG12908" s="3"/>
    </row>
    <row r="12909" s="7" customFormat="1" spans="33:33">
      <c r="AG12909" s="3"/>
    </row>
    <row r="12910" s="7" customFormat="1" spans="33:33">
      <c r="AG12910" s="3"/>
    </row>
    <row r="12911" s="7" customFormat="1" spans="33:33">
      <c r="AG12911" s="3"/>
    </row>
    <row r="12912" s="7" customFormat="1" spans="33:33">
      <c r="AG12912" s="3"/>
    </row>
    <row r="12913" s="7" customFormat="1" spans="33:33">
      <c r="AG12913" s="3"/>
    </row>
    <row r="12914" s="7" customFormat="1" spans="33:33">
      <c r="AG12914" s="3"/>
    </row>
    <row r="12915" s="7" customFormat="1" spans="33:33">
      <c r="AG12915" s="3"/>
    </row>
    <row r="12916" s="7" customFormat="1" spans="33:33">
      <c r="AG12916" s="3"/>
    </row>
    <row r="12917" s="7" customFormat="1" spans="33:33">
      <c r="AG12917" s="3"/>
    </row>
    <row r="12918" s="7" customFormat="1" spans="33:33">
      <c r="AG12918" s="3"/>
    </row>
    <row r="12919" s="7" customFormat="1" spans="33:33">
      <c r="AG12919" s="3"/>
    </row>
    <row r="12920" s="7" customFormat="1" spans="33:33">
      <c r="AG12920" s="3"/>
    </row>
    <row r="12921" s="7" customFormat="1" spans="33:33">
      <c r="AG12921" s="3"/>
    </row>
    <row r="12922" s="7" customFormat="1" spans="33:33">
      <c r="AG12922" s="3"/>
    </row>
    <row r="12923" s="7" customFormat="1" spans="33:33">
      <c r="AG12923" s="3"/>
    </row>
    <row r="12924" s="7" customFormat="1" spans="33:33">
      <c r="AG12924" s="3"/>
    </row>
    <row r="12925" s="7" customFormat="1" spans="33:33">
      <c r="AG12925" s="3"/>
    </row>
    <row r="12926" s="7" customFormat="1" spans="33:33">
      <c r="AG12926" s="3"/>
    </row>
    <row r="12927" s="7" customFormat="1" spans="33:33">
      <c r="AG12927" s="3"/>
    </row>
    <row r="12928" s="7" customFormat="1" spans="33:33">
      <c r="AG12928" s="3"/>
    </row>
    <row r="12929" s="7" customFormat="1" spans="33:33">
      <c r="AG12929" s="3"/>
    </row>
    <row r="12930" s="7" customFormat="1" spans="33:33">
      <c r="AG12930" s="3"/>
    </row>
    <row r="12931" s="7" customFormat="1" spans="33:33">
      <c r="AG12931" s="3"/>
    </row>
    <row r="12932" s="7" customFormat="1" spans="33:33">
      <c r="AG12932" s="3"/>
    </row>
    <row r="12933" s="7" customFormat="1" spans="33:33">
      <c r="AG12933" s="3"/>
    </row>
    <row r="12934" s="7" customFormat="1" spans="33:33">
      <c r="AG12934" s="3"/>
    </row>
    <row r="12935" s="7" customFormat="1" spans="33:33">
      <c r="AG12935" s="3"/>
    </row>
    <row r="12936" s="7" customFormat="1" spans="33:33">
      <c r="AG12936" s="3"/>
    </row>
    <row r="12937" s="7" customFormat="1" spans="33:33">
      <c r="AG12937" s="3"/>
    </row>
    <row r="12938" s="7" customFormat="1" spans="33:33">
      <c r="AG12938" s="3"/>
    </row>
    <row r="12939" s="7" customFormat="1" spans="33:33">
      <c r="AG12939" s="3"/>
    </row>
    <row r="12940" s="7" customFormat="1" spans="33:33">
      <c r="AG12940" s="3"/>
    </row>
    <row r="12941" s="7" customFormat="1" spans="33:33">
      <c r="AG12941" s="3"/>
    </row>
    <row r="12942" s="7" customFormat="1" spans="33:33">
      <c r="AG12942" s="3"/>
    </row>
    <row r="12943" s="7" customFormat="1" spans="33:33">
      <c r="AG12943" s="3"/>
    </row>
    <row r="12944" s="7" customFormat="1" spans="33:33">
      <c r="AG12944" s="3"/>
    </row>
    <row r="12945" s="7" customFormat="1" spans="33:33">
      <c r="AG12945" s="3"/>
    </row>
    <row r="12946" s="7" customFormat="1" spans="33:33">
      <c r="AG12946" s="3"/>
    </row>
    <row r="12947" s="7" customFormat="1" spans="33:33">
      <c r="AG12947" s="3"/>
    </row>
    <row r="12948" s="7" customFormat="1" spans="33:33">
      <c r="AG12948" s="3"/>
    </row>
    <row r="12949" s="7" customFormat="1" spans="33:33">
      <c r="AG12949" s="3"/>
    </row>
    <row r="12950" s="7" customFormat="1" spans="33:33">
      <c r="AG12950" s="3"/>
    </row>
    <row r="12951" s="7" customFormat="1" spans="33:33">
      <c r="AG12951" s="3"/>
    </row>
    <row r="12952" s="7" customFormat="1" spans="33:33">
      <c r="AG12952" s="3"/>
    </row>
    <row r="12953" s="7" customFormat="1" spans="33:33">
      <c r="AG12953" s="3"/>
    </row>
    <row r="12954" s="7" customFormat="1" spans="33:33">
      <c r="AG12954" s="3"/>
    </row>
    <row r="12955" s="7" customFormat="1" spans="33:33">
      <c r="AG12955" s="3"/>
    </row>
    <row r="12956" s="7" customFormat="1" spans="33:33">
      <c r="AG12956" s="3"/>
    </row>
    <row r="12957" s="7" customFormat="1" spans="33:33">
      <c r="AG12957" s="3"/>
    </row>
    <row r="12958" s="7" customFormat="1" spans="33:33">
      <c r="AG12958" s="3"/>
    </row>
    <row r="12959" s="7" customFormat="1" spans="33:33">
      <c r="AG12959" s="3"/>
    </row>
    <row r="12960" s="7" customFormat="1" spans="33:33">
      <c r="AG12960" s="3"/>
    </row>
    <row r="12961" s="7" customFormat="1" spans="33:33">
      <c r="AG12961" s="3"/>
    </row>
    <row r="12962" s="7" customFormat="1" spans="33:33">
      <c r="AG12962" s="3"/>
    </row>
    <row r="12963" s="7" customFormat="1" spans="33:33">
      <c r="AG12963" s="3"/>
    </row>
    <row r="12964" s="7" customFormat="1" spans="33:33">
      <c r="AG12964" s="3"/>
    </row>
    <row r="12965" s="7" customFormat="1" spans="33:33">
      <c r="AG12965" s="3"/>
    </row>
    <row r="12966" s="7" customFormat="1" spans="33:33">
      <c r="AG12966" s="3"/>
    </row>
    <row r="12967" s="7" customFormat="1" spans="33:33">
      <c r="AG12967" s="3"/>
    </row>
    <row r="12968" s="7" customFormat="1" spans="33:33">
      <c r="AG12968" s="3"/>
    </row>
    <row r="12969" s="7" customFormat="1" spans="33:33">
      <c r="AG12969" s="3"/>
    </row>
    <row r="12970" s="7" customFormat="1" spans="33:33">
      <c r="AG12970" s="3"/>
    </row>
    <row r="12971" s="7" customFormat="1" spans="33:33">
      <c r="AG12971" s="3"/>
    </row>
    <row r="12972" s="7" customFormat="1" spans="33:33">
      <c r="AG12972" s="3"/>
    </row>
    <row r="12973" s="7" customFormat="1" spans="33:33">
      <c r="AG12973" s="3"/>
    </row>
    <row r="12974" s="7" customFormat="1" spans="33:33">
      <c r="AG12974" s="3"/>
    </row>
    <row r="12975" s="7" customFormat="1" spans="33:33">
      <c r="AG12975" s="3"/>
    </row>
    <row r="12976" s="7" customFormat="1" spans="33:33">
      <c r="AG12976" s="3"/>
    </row>
    <row r="12977" s="7" customFormat="1" spans="33:33">
      <c r="AG12977" s="3"/>
    </row>
    <row r="12978" s="7" customFormat="1" spans="33:33">
      <c r="AG12978" s="3"/>
    </row>
    <row r="12979" s="7" customFormat="1" spans="33:33">
      <c r="AG12979" s="3"/>
    </row>
    <row r="12980" s="7" customFormat="1" spans="33:33">
      <c r="AG12980" s="3"/>
    </row>
    <row r="12981" s="7" customFormat="1" spans="33:33">
      <c r="AG12981" s="3"/>
    </row>
    <row r="12982" s="7" customFormat="1" spans="33:33">
      <c r="AG12982" s="3"/>
    </row>
    <row r="12983" s="7" customFormat="1" spans="33:33">
      <c r="AG12983" s="3"/>
    </row>
    <row r="12984" s="7" customFormat="1" spans="33:33">
      <c r="AG12984" s="3"/>
    </row>
    <row r="12985" s="7" customFormat="1" spans="33:33">
      <c r="AG12985" s="3"/>
    </row>
    <row r="12986" s="7" customFormat="1" spans="33:33">
      <c r="AG12986" s="3"/>
    </row>
    <row r="12987" s="7" customFormat="1" spans="33:33">
      <c r="AG12987" s="3"/>
    </row>
    <row r="12988" s="7" customFormat="1" spans="33:33">
      <c r="AG12988" s="3"/>
    </row>
    <row r="12989" s="7" customFormat="1" spans="33:33">
      <c r="AG12989" s="3"/>
    </row>
    <row r="12990" s="7" customFormat="1" spans="33:33">
      <c r="AG12990" s="3"/>
    </row>
    <row r="12991" s="7" customFormat="1" spans="33:33">
      <c r="AG12991" s="3"/>
    </row>
    <row r="12992" s="7" customFormat="1" spans="33:33">
      <c r="AG12992" s="3"/>
    </row>
    <row r="12993" s="7" customFormat="1" spans="33:33">
      <c r="AG12993" s="3"/>
    </row>
    <row r="12994" s="7" customFormat="1" spans="33:33">
      <c r="AG12994" s="3"/>
    </row>
    <row r="12995" s="7" customFormat="1" spans="33:33">
      <c r="AG12995" s="3"/>
    </row>
    <row r="12996" s="7" customFormat="1" spans="33:33">
      <c r="AG12996" s="3"/>
    </row>
    <row r="12997" s="7" customFormat="1" spans="33:33">
      <c r="AG12997" s="3"/>
    </row>
    <row r="12998" s="7" customFormat="1" spans="33:33">
      <c r="AG12998" s="3"/>
    </row>
    <row r="12999" s="7" customFormat="1" spans="33:33">
      <c r="AG12999" s="3"/>
    </row>
    <row r="13000" s="7" customFormat="1" spans="33:33">
      <c r="AG13000" s="3"/>
    </row>
    <row r="13001" s="7" customFormat="1" spans="33:33">
      <c r="AG13001" s="3"/>
    </row>
    <row r="13002" s="7" customFormat="1" spans="33:33">
      <c r="AG13002" s="3"/>
    </row>
    <row r="13003" s="7" customFormat="1" spans="33:33">
      <c r="AG13003" s="3"/>
    </row>
    <row r="13004" s="7" customFormat="1" spans="33:33">
      <c r="AG13004" s="3"/>
    </row>
    <row r="13005" s="7" customFormat="1" spans="33:33">
      <c r="AG13005" s="3"/>
    </row>
    <row r="13006" s="7" customFormat="1" spans="33:33">
      <c r="AG13006" s="3"/>
    </row>
    <row r="13007" s="7" customFormat="1" spans="33:33">
      <c r="AG13007" s="3"/>
    </row>
    <row r="13008" s="7" customFormat="1" spans="33:33">
      <c r="AG13008" s="3"/>
    </row>
    <row r="13009" s="7" customFormat="1" spans="33:33">
      <c r="AG13009" s="3"/>
    </row>
    <row r="13010" s="7" customFormat="1" spans="33:33">
      <c r="AG13010" s="3"/>
    </row>
    <row r="13011" s="7" customFormat="1" spans="33:33">
      <c r="AG13011" s="3"/>
    </row>
    <row r="13012" s="7" customFormat="1" spans="33:33">
      <c r="AG13012" s="3"/>
    </row>
    <row r="13013" s="7" customFormat="1" spans="33:33">
      <c r="AG13013" s="3"/>
    </row>
    <row r="13014" s="7" customFormat="1" spans="33:33">
      <c r="AG13014" s="3"/>
    </row>
    <row r="13015" s="7" customFormat="1" spans="33:33">
      <c r="AG13015" s="3"/>
    </row>
    <row r="13016" s="7" customFormat="1" spans="33:33">
      <c r="AG13016" s="3"/>
    </row>
    <row r="13017" s="7" customFormat="1" spans="33:33">
      <c r="AG13017" s="3"/>
    </row>
    <row r="13018" s="7" customFormat="1" spans="33:33">
      <c r="AG13018" s="3"/>
    </row>
    <row r="13019" s="7" customFormat="1" spans="33:33">
      <c r="AG13019" s="3"/>
    </row>
    <row r="13020" s="7" customFormat="1" spans="33:33">
      <c r="AG13020" s="3"/>
    </row>
    <row r="13021" s="7" customFormat="1" spans="33:33">
      <c r="AG13021" s="3"/>
    </row>
    <row r="13022" s="7" customFormat="1" spans="33:33">
      <c r="AG13022" s="3"/>
    </row>
    <row r="13023" s="7" customFormat="1" spans="33:33">
      <c r="AG13023" s="3"/>
    </row>
    <row r="13024" s="7" customFormat="1" spans="33:33">
      <c r="AG13024" s="3"/>
    </row>
    <row r="13025" s="7" customFormat="1" spans="33:33">
      <c r="AG13025" s="3"/>
    </row>
    <row r="13026" s="7" customFormat="1" spans="33:33">
      <c r="AG13026" s="3"/>
    </row>
    <row r="13027" s="7" customFormat="1" spans="33:33">
      <c r="AG13027" s="3"/>
    </row>
    <row r="13028" s="7" customFormat="1" spans="33:33">
      <c r="AG13028" s="3"/>
    </row>
    <row r="13029" s="7" customFormat="1" spans="33:33">
      <c r="AG13029" s="3"/>
    </row>
    <row r="13030" s="7" customFormat="1" spans="33:33">
      <c r="AG13030" s="3"/>
    </row>
    <row r="13031" s="7" customFormat="1" spans="33:33">
      <c r="AG13031" s="3"/>
    </row>
    <row r="13032" s="7" customFormat="1" spans="33:33">
      <c r="AG13032" s="3"/>
    </row>
    <row r="13033" s="7" customFormat="1" spans="33:33">
      <c r="AG13033" s="3"/>
    </row>
    <row r="13034" s="7" customFormat="1" spans="33:33">
      <c r="AG13034" s="3"/>
    </row>
    <row r="13035" s="7" customFormat="1" spans="33:33">
      <c r="AG13035" s="3"/>
    </row>
    <row r="13036" s="7" customFormat="1" spans="33:33">
      <c r="AG13036" s="3"/>
    </row>
    <row r="13037" s="7" customFormat="1" spans="33:33">
      <c r="AG13037" s="3"/>
    </row>
    <row r="13038" s="7" customFormat="1" spans="33:33">
      <c r="AG13038" s="3"/>
    </row>
    <row r="13039" s="7" customFormat="1" spans="33:33">
      <c r="AG13039" s="3"/>
    </row>
    <row r="13040" s="7" customFormat="1" spans="33:33">
      <c r="AG13040" s="3"/>
    </row>
    <row r="13041" s="7" customFormat="1" spans="33:33">
      <c r="AG13041" s="3"/>
    </row>
    <row r="13042" s="7" customFormat="1" spans="33:33">
      <c r="AG13042" s="3"/>
    </row>
    <row r="13043" s="7" customFormat="1" spans="33:33">
      <c r="AG13043" s="3"/>
    </row>
    <row r="13044" s="7" customFormat="1" spans="33:33">
      <c r="AG13044" s="3"/>
    </row>
    <row r="13045" s="7" customFormat="1" spans="33:33">
      <c r="AG13045" s="3"/>
    </row>
    <row r="13046" s="7" customFormat="1" spans="33:33">
      <c r="AG13046" s="3"/>
    </row>
    <row r="13047" s="7" customFormat="1" spans="33:33">
      <c r="AG13047" s="3"/>
    </row>
    <row r="13048" s="7" customFormat="1" spans="33:33">
      <c r="AG13048" s="3"/>
    </row>
    <row r="13049" s="7" customFormat="1" spans="33:33">
      <c r="AG13049" s="3"/>
    </row>
    <row r="13050" s="7" customFormat="1" spans="33:33">
      <c r="AG13050" s="3"/>
    </row>
    <row r="13051" s="7" customFormat="1" spans="33:33">
      <c r="AG13051" s="3"/>
    </row>
    <row r="13052" s="7" customFormat="1" spans="33:33">
      <c r="AG13052" s="3"/>
    </row>
    <row r="13053" s="7" customFormat="1" spans="33:33">
      <c r="AG13053" s="3"/>
    </row>
    <row r="13054" s="7" customFormat="1" spans="33:33">
      <c r="AG13054" s="3"/>
    </row>
    <row r="13055" s="7" customFormat="1" spans="33:33">
      <c r="AG13055" s="3"/>
    </row>
    <row r="13056" s="7" customFormat="1" spans="33:33">
      <c r="AG13056" s="3"/>
    </row>
    <row r="13057" s="7" customFormat="1" spans="33:33">
      <c r="AG13057" s="3"/>
    </row>
    <row r="13058" s="7" customFormat="1" spans="33:33">
      <c r="AG13058" s="3"/>
    </row>
    <row r="13059" s="7" customFormat="1" spans="33:33">
      <c r="AG13059" s="3"/>
    </row>
    <row r="13060" s="7" customFormat="1" spans="33:33">
      <c r="AG13060" s="3"/>
    </row>
    <row r="13061" s="7" customFormat="1" spans="33:33">
      <c r="AG13061" s="3"/>
    </row>
    <row r="13062" s="7" customFormat="1" spans="33:33">
      <c r="AG13062" s="3"/>
    </row>
    <row r="13063" s="7" customFormat="1" spans="33:33">
      <c r="AG13063" s="3"/>
    </row>
    <row r="13064" s="7" customFormat="1" spans="33:33">
      <c r="AG13064" s="3"/>
    </row>
    <row r="13065" s="7" customFormat="1" spans="33:33">
      <c r="AG13065" s="3"/>
    </row>
    <row r="13066" s="7" customFormat="1" spans="33:33">
      <c r="AG13066" s="3"/>
    </row>
    <row r="13067" s="7" customFormat="1" spans="33:33">
      <c r="AG13067" s="3"/>
    </row>
    <row r="13068" s="7" customFormat="1" spans="33:33">
      <c r="AG13068" s="3"/>
    </row>
    <row r="13069" s="7" customFormat="1" spans="33:33">
      <c r="AG13069" s="3"/>
    </row>
    <row r="13070" s="7" customFormat="1" spans="33:33">
      <c r="AG13070" s="3"/>
    </row>
    <row r="13071" s="7" customFormat="1" spans="33:33">
      <c r="AG13071" s="3"/>
    </row>
    <row r="13072" s="7" customFormat="1" spans="33:33">
      <c r="AG13072" s="3"/>
    </row>
    <row r="13073" s="7" customFormat="1" spans="33:33">
      <c r="AG13073" s="3"/>
    </row>
    <row r="13074" s="7" customFormat="1" spans="33:33">
      <c r="AG13074" s="3"/>
    </row>
    <row r="13075" s="7" customFormat="1" spans="33:33">
      <c r="AG13075" s="3"/>
    </row>
    <row r="13076" s="7" customFormat="1" spans="33:33">
      <c r="AG13076" s="3"/>
    </row>
    <row r="13077" s="7" customFormat="1" spans="33:33">
      <c r="AG13077" s="3"/>
    </row>
    <row r="13078" s="7" customFormat="1" spans="33:33">
      <c r="AG13078" s="3"/>
    </row>
    <row r="13079" s="7" customFormat="1" spans="33:33">
      <c r="AG13079" s="3"/>
    </row>
    <row r="13080" s="7" customFormat="1" spans="33:33">
      <c r="AG13080" s="3"/>
    </row>
    <row r="13081" s="7" customFormat="1" spans="33:33">
      <c r="AG13081" s="3"/>
    </row>
    <row r="13082" s="7" customFormat="1" spans="33:33">
      <c r="AG13082" s="3"/>
    </row>
    <row r="13083" s="7" customFormat="1" spans="33:33">
      <c r="AG13083" s="3"/>
    </row>
    <row r="13084" s="7" customFormat="1" spans="33:33">
      <c r="AG13084" s="3"/>
    </row>
    <row r="13085" s="7" customFormat="1" spans="33:33">
      <c r="AG13085" s="3"/>
    </row>
    <row r="13086" s="7" customFormat="1" spans="33:33">
      <c r="AG13086" s="3"/>
    </row>
    <row r="13087" s="7" customFormat="1" spans="33:33">
      <c r="AG13087" s="3"/>
    </row>
    <row r="13088" s="7" customFormat="1" spans="33:33">
      <c r="AG13088" s="3"/>
    </row>
    <row r="13089" s="7" customFormat="1" spans="33:33">
      <c r="AG13089" s="3"/>
    </row>
    <row r="13090" s="7" customFormat="1" spans="33:33">
      <c r="AG13090" s="3"/>
    </row>
    <row r="13091" s="7" customFormat="1" spans="33:33">
      <c r="AG13091" s="3"/>
    </row>
    <row r="13092" s="7" customFormat="1" spans="33:33">
      <c r="AG13092" s="3"/>
    </row>
    <row r="13093" s="7" customFormat="1" spans="33:33">
      <c r="AG13093" s="3"/>
    </row>
    <row r="13094" s="7" customFormat="1" spans="33:33">
      <c r="AG13094" s="3"/>
    </row>
    <row r="13095" s="7" customFormat="1" spans="33:33">
      <c r="AG13095" s="3"/>
    </row>
    <row r="13096" s="7" customFormat="1" spans="33:33">
      <c r="AG13096" s="3"/>
    </row>
    <row r="13097" s="7" customFormat="1" spans="33:33">
      <c r="AG13097" s="3"/>
    </row>
    <row r="13098" s="7" customFormat="1" spans="33:33">
      <c r="AG13098" s="3"/>
    </row>
    <row r="13099" s="7" customFormat="1" spans="33:33">
      <c r="AG13099" s="3"/>
    </row>
    <row r="13100" s="7" customFormat="1" spans="33:33">
      <c r="AG13100" s="3"/>
    </row>
    <row r="13101" s="7" customFormat="1" spans="33:33">
      <c r="AG13101" s="3"/>
    </row>
    <row r="13102" s="7" customFormat="1" spans="33:33">
      <c r="AG13102" s="3"/>
    </row>
    <row r="13103" s="7" customFormat="1" spans="33:33">
      <c r="AG13103" s="3"/>
    </row>
    <row r="13104" s="7" customFormat="1" spans="33:33">
      <c r="AG13104" s="3"/>
    </row>
    <row r="13105" s="7" customFormat="1" spans="33:33">
      <c r="AG13105" s="3"/>
    </row>
    <row r="13106" s="7" customFormat="1" spans="33:33">
      <c r="AG13106" s="3"/>
    </row>
    <row r="13107" s="7" customFormat="1" spans="33:33">
      <c r="AG13107" s="3"/>
    </row>
    <row r="13108" s="7" customFormat="1" spans="33:33">
      <c r="AG13108" s="3"/>
    </row>
    <row r="13109" s="7" customFormat="1" spans="33:33">
      <c r="AG13109" s="3"/>
    </row>
    <row r="13110" s="7" customFormat="1" spans="33:33">
      <c r="AG13110" s="3"/>
    </row>
    <row r="13111" s="7" customFormat="1" spans="33:33">
      <c r="AG13111" s="3"/>
    </row>
    <row r="13112" s="7" customFormat="1" spans="33:33">
      <c r="AG13112" s="3"/>
    </row>
    <row r="13113" s="7" customFormat="1" spans="33:33">
      <c r="AG13113" s="3"/>
    </row>
    <row r="13114" s="7" customFormat="1" spans="33:33">
      <c r="AG13114" s="3"/>
    </row>
    <row r="13115" s="7" customFormat="1" spans="33:33">
      <c r="AG13115" s="3"/>
    </row>
    <row r="13116" s="7" customFormat="1" spans="33:33">
      <c r="AG13116" s="3"/>
    </row>
    <row r="13117" s="7" customFormat="1" spans="33:33">
      <c r="AG13117" s="3"/>
    </row>
    <row r="13118" s="7" customFormat="1" spans="33:33">
      <c r="AG13118" s="3"/>
    </row>
    <row r="13119" s="7" customFormat="1" spans="33:33">
      <c r="AG13119" s="3"/>
    </row>
    <row r="13120" s="7" customFormat="1" spans="33:33">
      <c r="AG13120" s="3"/>
    </row>
    <row r="13121" s="7" customFormat="1" spans="33:33">
      <c r="AG13121" s="3"/>
    </row>
    <row r="13122" s="7" customFormat="1" spans="33:33">
      <c r="AG13122" s="3"/>
    </row>
    <row r="13123" s="7" customFormat="1" spans="33:33">
      <c r="AG13123" s="3"/>
    </row>
    <row r="13124" s="7" customFormat="1" spans="33:33">
      <c r="AG13124" s="3"/>
    </row>
    <row r="13125" s="7" customFormat="1" spans="33:33">
      <c r="AG13125" s="3"/>
    </row>
    <row r="13126" s="7" customFormat="1" spans="33:33">
      <c r="AG13126" s="3"/>
    </row>
    <row r="13127" s="7" customFormat="1" spans="33:33">
      <c r="AG13127" s="3"/>
    </row>
    <row r="13128" s="7" customFormat="1" spans="33:33">
      <c r="AG13128" s="3"/>
    </row>
    <row r="13129" s="7" customFormat="1" spans="33:33">
      <c r="AG13129" s="3"/>
    </row>
    <row r="13130" s="7" customFormat="1" spans="33:33">
      <c r="AG13130" s="3"/>
    </row>
    <row r="13131" s="7" customFormat="1" spans="33:33">
      <c r="AG13131" s="3"/>
    </row>
    <row r="13132" s="7" customFormat="1" spans="33:33">
      <c r="AG13132" s="3"/>
    </row>
    <row r="13133" s="7" customFormat="1" spans="33:33">
      <c r="AG13133" s="3"/>
    </row>
    <row r="13134" s="7" customFormat="1" spans="33:33">
      <c r="AG13134" s="3"/>
    </row>
    <row r="13135" s="7" customFormat="1" spans="33:33">
      <c r="AG13135" s="3"/>
    </row>
    <row r="13136" s="7" customFormat="1" spans="33:33">
      <c r="AG13136" s="3"/>
    </row>
    <row r="13137" s="7" customFormat="1" spans="33:33">
      <c r="AG13137" s="3"/>
    </row>
    <row r="13138" s="7" customFormat="1" spans="33:33">
      <c r="AG13138" s="3"/>
    </row>
    <row r="13139" s="7" customFormat="1" spans="33:33">
      <c r="AG13139" s="3"/>
    </row>
    <row r="13140" s="7" customFormat="1" spans="33:33">
      <c r="AG13140" s="3"/>
    </row>
    <row r="13141" s="7" customFormat="1" spans="33:33">
      <c r="AG13141" s="3"/>
    </row>
    <row r="13142" s="7" customFormat="1" spans="33:33">
      <c r="AG13142" s="3"/>
    </row>
    <row r="13143" s="7" customFormat="1" spans="33:33">
      <c r="AG13143" s="3"/>
    </row>
    <row r="13144" s="7" customFormat="1" spans="33:33">
      <c r="AG13144" s="3"/>
    </row>
    <row r="13145" s="7" customFormat="1" spans="33:33">
      <c r="AG13145" s="3"/>
    </row>
    <row r="13146" s="7" customFormat="1" spans="33:33">
      <c r="AG13146" s="3"/>
    </row>
    <row r="13147" s="7" customFormat="1" spans="33:33">
      <c r="AG13147" s="3"/>
    </row>
    <row r="13148" s="7" customFormat="1" spans="33:33">
      <c r="AG13148" s="3"/>
    </row>
    <row r="13149" s="7" customFormat="1" spans="33:33">
      <c r="AG13149" s="3"/>
    </row>
    <row r="13150" s="7" customFormat="1" spans="33:33">
      <c r="AG13150" s="3"/>
    </row>
    <row r="13151" s="7" customFormat="1" spans="33:33">
      <c r="AG13151" s="3"/>
    </row>
    <row r="13152" s="7" customFormat="1" spans="33:33">
      <c r="AG13152" s="3"/>
    </row>
    <row r="13153" s="7" customFormat="1" spans="33:33">
      <c r="AG13153" s="3"/>
    </row>
    <row r="13154" s="7" customFormat="1" spans="33:33">
      <c r="AG13154" s="3"/>
    </row>
    <row r="13155" s="7" customFormat="1" spans="33:33">
      <c r="AG13155" s="3"/>
    </row>
    <row r="13156" s="7" customFormat="1" spans="33:33">
      <c r="AG13156" s="3"/>
    </row>
    <row r="13157" s="7" customFormat="1" spans="33:33">
      <c r="AG13157" s="3"/>
    </row>
    <row r="13158" s="7" customFormat="1" spans="33:33">
      <c r="AG13158" s="3"/>
    </row>
    <row r="13159" s="7" customFormat="1" spans="33:33">
      <c r="AG13159" s="3"/>
    </row>
    <row r="13160" s="7" customFormat="1" spans="33:33">
      <c r="AG13160" s="3"/>
    </row>
    <row r="13161" s="7" customFormat="1" spans="33:33">
      <c r="AG13161" s="3"/>
    </row>
    <row r="13162" s="7" customFormat="1" spans="33:33">
      <c r="AG13162" s="3"/>
    </row>
    <row r="13163" s="7" customFormat="1" spans="33:33">
      <c r="AG13163" s="3"/>
    </row>
    <row r="13164" s="7" customFormat="1" spans="33:33">
      <c r="AG13164" s="3"/>
    </row>
    <row r="13165" s="7" customFormat="1" spans="33:33">
      <c r="AG13165" s="3"/>
    </row>
    <row r="13166" s="7" customFormat="1" spans="33:33">
      <c r="AG13166" s="3"/>
    </row>
    <row r="13167" s="7" customFormat="1" spans="33:33">
      <c r="AG13167" s="3"/>
    </row>
    <row r="13168" s="7" customFormat="1" spans="33:33">
      <c r="AG13168" s="3"/>
    </row>
    <row r="13169" s="7" customFormat="1" spans="33:33">
      <c r="AG13169" s="3"/>
    </row>
    <row r="13170" s="7" customFormat="1" spans="33:33">
      <c r="AG13170" s="3"/>
    </row>
    <row r="13171" s="7" customFormat="1" spans="33:33">
      <c r="AG13171" s="3"/>
    </row>
    <row r="13172" s="7" customFormat="1" spans="33:33">
      <c r="AG13172" s="3"/>
    </row>
    <row r="13173" s="7" customFormat="1" spans="33:33">
      <c r="AG13173" s="3"/>
    </row>
    <row r="13174" s="7" customFormat="1" spans="33:33">
      <c r="AG13174" s="3"/>
    </row>
    <row r="13175" s="7" customFormat="1" spans="33:33">
      <c r="AG13175" s="3"/>
    </row>
    <row r="13176" s="7" customFormat="1" spans="33:33">
      <c r="AG13176" s="3"/>
    </row>
    <row r="13177" s="7" customFormat="1" spans="33:33">
      <c r="AG13177" s="3"/>
    </row>
    <row r="13178" s="7" customFormat="1" spans="33:33">
      <c r="AG13178" s="3"/>
    </row>
    <row r="13179" s="7" customFormat="1" spans="33:33">
      <c r="AG13179" s="3"/>
    </row>
    <row r="13180" s="7" customFormat="1" spans="33:33">
      <c r="AG13180" s="3"/>
    </row>
    <row r="13181" s="7" customFormat="1" spans="33:33">
      <c r="AG13181" s="3"/>
    </row>
    <row r="13182" s="7" customFormat="1" spans="33:33">
      <c r="AG13182" s="3"/>
    </row>
    <row r="13183" s="7" customFormat="1" spans="33:33">
      <c r="AG13183" s="3"/>
    </row>
    <row r="13184" s="7" customFormat="1" spans="33:33">
      <c r="AG13184" s="3"/>
    </row>
    <row r="13185" s="7" customFormat="1" spans="33:33">
      <c r="AG13185" s="3"/>
    </row>
    <row r="13186" s="7" customFormat="1" spans="33:33">
      <c r="AG13186" s="3"/>
    </row>
    <row r="13187" s="7" customFormat="1" spans="33:33">
      <c r="AG13187" s="3"/>
    </row>
    <row r="13188" s="7" customFormat="1" spans="33:33">
      <c r="AG13188" s="3"/>
    </row>
    <row r="13189" s="7" customFormat="1" spans="33:33">
      <c r="AG13189" s="3"/>
    </row>
    <row r="13190" s="7" customFormat="1" spans="33:33">
      <c r="AG13190" s="3"/>
    </row>
    <row r="13191" s="7" customFormat="1" spans="33:33">
      <c r="AG13191" s="3"/>
    </row>
    <row r="13192" s="7" customFormat="1" spans="33:33">
      <c r="AG13192" s="3"/>
    </row>
    <row r="13193" s="7" customFormat="1" spans="33:33">
      <c r="AG13193" s="3"/>
    </row>
    <row r="13194" s="7" customFormat="1" spans="33:33">
      <c r="AG13194" s="3"/>
    </row>
    <row r="13195" s="7" customFormat="1" spans="33:33">
      <c r="AG13195" s="3"/>
    </row>
    <row r="13196" s="7" customFormat="1" spans="33:33">
      <c r="AG13196" s="3"/>
    </row>
    <row r="13197" s="7" customFormat="1" spans="33:33">
      <c r="AG13197" s="3"/>
    </row>
    <row r="13198" s="7" customFormat="1" spans="33:33">
      <c r="AG13198" s="3"/>
    </row>
    <row r="13199" s="7" customFormat="1" spans="33:33">
      <c r="AG13199" s="3"/>
    </row>
    <row r="13200" s="7" customFormat="1" spans="33:33">
      <c r="AG13200" s="3"/>
    </row>
    <row r="13201" s="7" customFormat="1" spans="33:33">
      <c r="AG13201" s="3"/>
    </row>
    <row r="13202" s="7" customFormat="1" spans="33:33">
      <c r="AG13202" s="3"/>
    </row>
    <row r="13203" s="7" customFormat="1" spans="33:33">
      <c r="AG13203" s="3"/>
    </row>
    <row r="13204" s="7" customFormat="1" spans="33:33">
      <c r="AG13204" s="3"/>
    </row>
    <row r="13205" s="7" customFormat="1" spans="33:33">
      <c r="AG13205" s="3"/>
    </row>
    <row r="13206" s="7" customFormat="1" spans="33:33">
      <c r="AG13206" s="3"/>
    </row>
    <row r="13207" s="7" customFormat="1" spans="33:33">
      <c r="AG13207" s="3"/>
    </row>
    <row r="13208" s="7" customFormat="1" spans="33:33">
      <c r="AG13208" s="3"/>
    </row>
    <row r="13209" s="7" customFormat="1" spans="33:33">
      <c r="AG13209" s="3"/>
    </row>
    <row r="13210" s="7" customFormat="1" spans="33:33">
      <c r="AG13210" s="3"/>
    </row>
    <row r="13211" s="7" customFormat="1" spans="33:33">
      <c r="AG13211" s="3"/>
    </row>
    <row r="13212" s="7" customFormat="1" spans="33:33">
      <c r="AG13212" s="3"/>
    </row>
    <row r="13213" s="7" customFormat="1" spans="33:33">
      <c r="AG13213" s="3"/>
    </row>
    <row r="13214" s="7" customFormat="1" spans="33:33">
      <c r="AG13214" s="3"/>
    </row>
    <row r="13215" s="7" customFormat="1" spans="33:33">
      <c r="AG13215" s="3"/>
    </row>
    <row r="13216" s="7" customFormat="1" spans="33:33">
      <c r="AG13216" s="3"/>
    </row>
    <row r="13217" s="7" customFormat="1" spans="33:33">
      <c r="AG13217" s="3"/>
    </row>
    <row r="13218" s="7" customFormat="1" spans="33:33">
      <c r="AG13218" s="3"/>
    </row>
    <row r="13219" s="7" customFormat="1" spans="33:33">
      <c r="AG13219" s="3"/>
    </row>
    <row r="13220" s="7" customFormat="1" spans="33:33">
      <c r="AG13220" s="3"/>
    </row>
    <row r="13221" s="7" customFormat="1" spans="33:33">
      <c r="AG13221" s="3"/>
    </row>
    <row r="13222" s="7" customFormat="1" spans="33:33">
      <c r="AG13222" s="3"/>
    </row>
    <row r="13223" s="7" customFormat="1" spans="33:33">
      <c r="AG13223" s="3"/>
    </row>
    <row r="13224" s="7" customFormat="1" spans="33:33">
      <c r="AG13224" s="3"/>
    </row>
    <row r="13225" s="7" customFormat="1" spans="33:33">
      <c r="AG13225" s="3"/>
    </row>
    <row r="13226" s="7" customFormat="1" spans="33:33">
      <c r="AG13226" s="3"/>
    </row>
    <row r="13227" s="7" customFormat="1" spans="33:33">
      <c r="AG13227" s="3"/>
    </row>
    <row r="13228" s="7" customFormat="1" spans="33:33">
      <c r="AG13228" s="3"/>
    </row>
    <row r="13229" s="7" customFormat="1" spans="33:33">
      <c r="AG13229" s="3"/>
    </row>
    <row r="13230" s="7" customFormat="1" spans="33:33">
      <c r="AG13230" s="3"/>
    </row>
    <row r="13231" s="7" customFormat="1" spans="33:33">
      <c r="AG13231" s="3"/>
    </row>
    <row r="13232" s="7" customFormat="1" spans="33:33">
      <c r="AG13232" s="3"/>
    </row>
    <row r="13233" s="7" customFormat="1" spans="33:33">
      <c r="AG13233" s="3"/>
    </row>
    <row r="13234" s="7" customFormat="1" spans="33:33">
      <c r="AG13234" s="3"/>
    </row>
    <row r="13235" s="7" customFormat="1" spans="33:33">
      <c r="AG13235" s="3"/>
    </row>
    <row r="13236" s="7" customFormat="1" spans="33:33">
      <c r="AG13236" s="3"/>
    </row>
    <row r="13237" s="7" customFormat="1" spans="33:33">
      <c r="AG13237" s="3"/>
    </row>
    <row r="13238" s="7" customFormat="1" spans="33:33">
      <c r="AG13238" s="3"/>
    </row>
    <row r="13239" s="7" customFormat="1" spans="33:33">
      <c r="AG13239" s="3"/>
    </row>
    <row r="13240" s="7" customFormat="1" spans="33:33">
      <c r="AG13240" s="3"/>
    </row>
    <row r="13241" s="7" customFormat="1" spans="33:33">
      <c r="AG13241" s="3"/>
    </row>
    <row r="13242" s="7" customFormat="1" spans="33:33">
      <c r="AG13242" s="3"/>
    </row>
    <row r="13243" s="7" customFormat="1" spans="33:33">
      <c r="AG13243" s="3"/>
    </row>
    <row r="13244" s="7" customFormat="1" spans="33:33">
      <c r="AG13244" s="3"/>
    </row>
    <row r="13245" s="7" customFormat="1" spans="33:33">
      <c r="AG13245" s="3"/>
    </row>
    <row r="13246" s="7" customFormat="1" spans="33:33">
      <c r="AG13246" s="3"/>
    </row>
    <row r="13247" s="7" customFormat="1" spans="33:33">
      <c r="AG13247" s="3"/>
    </row>
    <row r="13248" s="7" customFormat="1" spans="33:33">
      <c r="AG13248" s="3"/>
    </row>
    <row r="13249" s="7" customFormat="1" spans="33:33">
      <c r="AG13249" s="3"/>
    </row>
    <row r="13250" s="7" customFormat="1" spans="33:33">
      <c r="AG13250" s="3"/>
    </row>
    <row r="13251" s="7" customFormat="1" spans="33:33">
      <c r="AG13251" s="3"/>
    </row>
    <row r="13252" s="7" customFormat="1" spans="33:33">
      <c r="AG13252" s="3"/>
    </row>
    <row r="13253" s="7" customFormat="1" spans="33:33">
      <c r="AG13253" s="3"/>
    </row>
    <row r="13254" s="7" customFormat="1" spans="33:33">
      <c r="AG13254" s="3"/>
    </row>
    <row r="13255" s="7" customFormat="1" spans="33:33">
      <c r="AG13255" s="3"/>
    </row>
    <row r="13256" s="7" customFormat="1" spans="33:33">
      <c r="AG13256" s="3"/>
    </row>
    <row r="13257" s="7" customFormat="1" spans="33:33">
      <c r="AG13257" s="3"/>
    </row>
    <row r="13258" s="7" customFormat="1" spans="33:33">
      <c r="AG13258" s="3"/>
    </row>
    <row r="13259" s="7" customFormat="1" spans="33:33">
      <c r="AG13259" s="3"/>
    </row>
    <row r="13260" s="7" customFormat="1" spans="33:33">
      <c r="AG13260" s="3"/>
    </row>
    <row r="13261" s="7" customFormat="1" spans="33:33">
      <c r="AG13261" s="3"/>
    </row>
    <row r="13262" s="7" customFormat="1" spans="33:33">
      <c r="AG13262" s="3"/>
    </row>
    <row r="13263" s="7" customFormat="1" spans="33:33">
      <c r="AG13263" s="3"/>
    </row>
    <row r="13264" s="7" customFormat="1" spans="33:33">
      <c r="AG13264" s="3"/>
    </row>
    <row r="13265" s="7" customFormat="1" spans="33:33">
      <c r="AG13265" s="3"/>
    </row>
    <row r="13266" s="7" customFormat="1" spans="33:33">
      <c r="AG13266" s="3"/>
    </row>
    <row r="13267" s="7" customFormat="1" spans="33:33">
      <c r="AG13267" s="3"/>
    </row>
    <row r="13268" s="7" customFormat="1" spans="33:33">
      <c r="AG13268" s="3"/>
    </row>
    <row r="13269" s="7" customFormat="1" spans="33:33">
      <c r="AG13269" s="3"/>
    </row>
    <row r="13270" s="7" customFormat="1" spans="33:33">
      <c r="AG13270" s="3"/>
    </row>
    <row r="13271" s="7" customFormat="1" spans="33:33">
      <c r="AG13271" s="3"/>
    </row>
    <row r="13272" s="7" customFormat="1" spans="33:33">
      <c r="AG13272" s="3"/>
    </row>
    <row r="13273" s="7" customFormat="1" spans="33:33">
      <c r="AG13273" s="3"/>
    </row>
    <row r="13274" s="7" customFormat="1" spans="33:33">
      <c r="AG13274" s="3"/>
    </row>
    <row r="13275" s="7" customFormat="1" spans="33:33">
      <c r="AG13275" s="3"/>
    </row>
    <row r="13276" s="7" customFormat="1" spans="33:33">
      <c r="AG13276" s="3"/>
    </row>
    <row r="13277" s="7" customFormat="1" spans="33:33">
      <c r="AG13277" s="3"/>
    </row>
    <row r="13278" s="7" customFormat="1" spans="33:33">
      <c r="AG13278" s="3"/>
    </row>
    <row r="13279" s="7" customFormat="1" spans="33:33">
      <c r="AG13279" s="3"/>
    </row>
    <row r="13280" s="7" customFormat="1" spans="33:33">
      <c r="AG13280" s="3"/>
    </row>
    <row r="13281" s="7" customFormat="1" spans="33:33">
      <c r="AG13281" s="3"/>
    </row>
    <row r="13282" s="7" customFormat="1" spans="33:33">
      <c r="AG13282" s="3"/>
    </row>
    <row r="13283" s="7" customFormat="1" spans="33:33">
      <c r="AG13283" s="3"/>
    </row>
    <row r="13284" s="7" customFormat="1" spans="33:33">
      <c r="AG13284" s="3"/>
    </row>
    <row r="13285" s="7" customFormat="1" spans="33:33">
      <c r="AG13285" s="3"/>
    </row>
    <row r="13286" s="7" customFormat="1" spans="33:33">
      <c r="AG13286" s="3"/>
    </row>
    <row r="13287" s="7" customFormat="1" spans="33:33">
      <c r="AG13287" s="3"/>
    </row>
    <row r="13288" s="7" customFormat="1" spans="33:33">
      <c r="AG13288" s="3"/>
    </row>
    <row r="13289" s="7" customFormat="1" spans="33:33">
      <c r="AG13289" s="3"/>
    </row>
    <row r="13290" s="7" customFormat="1" spans="33:33">
      <c r="AG13290" s="3"/>
    </row>
    <row r="13291" s="7" customFormat="1" spans="33:33">
      <c r="AG13291" s="3"/>
    </row>
    <row r="13292" s="7" customFormat="1" spans="33:33">
      <c r="AG13292" s="3"/>
    </row>
    <row r="13293" s="7" customFormat="1" spans="33:33">
      <c r="AG13293" s="3"/>
    </row>
    <row r="13294" s="7" customFormat="1" spans="33:33">
      <c r="AG13294" s="3"/>
    </row>
    <row r="13295" s="7" customFormat="1" spans="33:33">
      <c r="AG13295" s="3"/>
    </row>
    <row r="13296" s="7" customFormat="1" spans="33:33">
      <c r="AG13296" s="3"/>
    </row>
    <row r="13297" s="7" customFormat="1" spans="33:33">
      <c r="AG13297" s="3"/>
    </row>
    <row r="13298" s="7" customFormat="1" spans="33:33">
      <c r="AG13298" s="3"/>
    </row>
    <row r="13299" s="7" customFormat="1" spans="33:33">
      <c r="AG13299" s="3"/>
    </row>
    <row r="13300" s="7" customFormat="1" spans="33:33">
      <c r="AG13300" s="3"/>
    </row>
    <row r="13301" s="7" customFormat="1" spans="33:33">
      <c r="AG13301" s="3"/>
    </row>
    <row r="13302" s="7" customFormat="1" spans="33:33">
      <c r="AG13302" s="3"/>
    </row>
    <row r="13303" s="7" customFormat="1" spans="33:33">
      <c r="AG13303" s="3"/>
    </row>
    <row r="13304" s="7" customFormat="1" spans="33:33">
      <c r="AG13304" s="3"/>
    </row>
    <row r="13305" s="7" customFormat="1" spans="33:33">
      <c r="AG13305" s="3"/>
    </row>
    <row r="13306" s="7" customFormat="1" spans="33:33">
      <c r="AG13306" s="3"/>
    </row>
    <row r="13307" s="7" customFormat="1" spans="33:33">
      <c r="AG13307" s="3"/>
    </row>
    <row r="13308" s="7" customFormat="1" spans="33:33">
      <c r="AG13308" s="3"/>
    </row>
    <row r="13309" s="7" customFormat="1" spans="33:33">
      <c r="AG13309" s="3"/>
    </row>
    <row r="13310" s="7" customFormat="1" spans="33:33">
      <c r="AG13310" s="3"/>
    </row>
    <row r="13311" s="7" customFormat="1" spans="33:33">
      <c r="AG13311" s="3"/>
    </row>
    <row r="13312" s="7" customFormat="1" spans="33:33">
      <c r="AG13312" s="3"/>
    </row>
    <row r="13313" s="7" customFormat="1" spans="33:33">
      <c r="AG13313" s="3"/>
    </row>
    <row r="13314" s="7" customFormat="1" spans="33:33">
      <c r="AG13314" s="3"/>
    </row>
    <row r="13315" s="7" customFormat="1" spans="33:33">
      <c r="AG13315" s="3"/>
    </row>
    <row r="13316" s="7" customFormat="1" spans="33:33">
      <c r="AG13316" s="3"/>
    </row>
    <row r="13317" s="7" customFormat="1" spans="33:33">
      <c r="AG13317" s="3"/>
    </row>
    <row r="13318" s="7" customFormat="1" spans="33:33">
      <c r="AG13318" s="3"/>
    </row>
    <row r="13319" s="7" customFormat="1" spans="33:33">
      <c r="AG13319" s="3"/>
    </row>
    <row r="13320" s="7" customFormat="1" spans="33:33">
      <c r="AG13320" s="3"/>
    </row>
    <row r="13321" s="7" customFormat="1" spans="33:33">
      <c r="AG13321" s="3"/>
    </row>
    <row r="13322" s="7" customFormat="1" spans="33:33">
      <c r="AG13322" s="3"/>
    </row>
    <row r="13323" s="7" customFormat="1" spans="33:33">
      <c r="AG13323" s="3"/>
    </row>
    <row r="13324" s="7" customFormat="1" spans="33:33">
      <c r="AG13324" s="3"/>
    </row>
    <row r="13325" s="7" customFormat="1" spans="33:33">
      <c r="AG13325" s="3"/>
    </row>
    <row r="13326" s="7" customFormat="1" spans="33:33">
      <c r="AG13326" s="3"/>
    </row>
    <row r="13327" s="7" customFormat="1" spans="33:33">
      <c r="AG13327" s="3"/>
    </row>
    <row r="13328" s="7" customFormat="1" spans="33:33">
      <c r="AG13328" s="3"/>
    </row>
    <row r="13329" s="7" customFormat="1" spans="33:33">
      <c r="AG13329" s="3"/>
    </row>
    <row r="13330" s="7" customFormat="1" spans="33:33">
      <c r="AG13330" s="3"/>
    </row>
    <row r="13331" s="7" customFormat="1" spans="33:33">
      <c r="AG13331" s="3"/>
    </row>
    <row r="13332" s="7" customFormat="1" spans="33:33">
      <c r="AG13332" s="3"/>
    </row>
    <row r="13333" s="7" customFormat="1" spans="33:33">
      <c r="AG13333" s="3"/>
    </row>
    <row r="13334" s="7" customFormat="1" spans="33:33">
      <c r="AG13334" s="3"/>
    </row>
    <row r="13335" s="7" customFormat="1" spans="33:33">
      <c r="AG13335" s="3"/>
    </row>
    <row r="13336" s="7" customFormat="1" spans="33:33">
      <c r="AG13336" s="3"/>
    </row>
    <row r="13337" s="7" customFormat="1" spans="33:33">
      <c r="AG13337" s="3"/>
    </row>
    <row r="13338" s="7" customFormat="1" spans="33:33">
      <c r="AG13338" s="3"/>
    </row>
    <row r="13339" s="7" customFormat="1" spans="33:33">
      <c r="AG13339" s="3"/>
    </row>
    <row r="13340" s="7" customFormat="1" spans="33:33">
      <c r="AG13340" s="3"/>
    </row>
    <row r="13341" s="7" customFormat="1" spans="33:33">
      <c r="AG13341" s="3"/>
    </row>
    <row r="13342" s="7" customFormat="1" spans="33:33">
      <c r="AG13342" s="3"/>
    </row>
    <row r="13343" s="7" customFormat="1" spans="33:33">
      <c r="AG13343" s="3"/>
    </row>
    <row r="13344" s="7" customFormat="1" spans="33:33">
      <c r="AG13344" s="3"/>
    </row>
    <row r="13345" s="7" customFormat="1" spans="33:33">
      <c r="AG13345" s="3"/>
    </row>
    <row r="13346" s="7" customFormat="1" spans="33:33">
      <c r="AG13346" s="3"/>
    </row>
    <row r="13347" s="7" customFormat="1" spans="33:33">
      <c r="AG13347" s="3"/>
    </row>
    <row r="13348" s="7" customFormat="1" spans="33:33">
      <c r="AG13348" s="3"/>
    </row>
    <row r="13349" s="7" customFormat="1" spans="33:33">
      <c r="AG13349" s="3"/>
    </row>
    <row r="13350" s="7" customFormat="1" spans="33:33">
      <c r="AG13350" s="3"/>
    </row>
    <row r="13351" s="7" customFormat="1" spans="33:33">
      <c r="AG13351" s="3"/>
    </row>
    <row r="13352" s="7" customFormat="1" spans="33:33">
      <c r="AG13352" s="3"/>
    </row>
    <row r="13353" s="7" customFormat="1" spans="33:33">
      <c r="AG13353" s="3"/>
    </row>
    <row r="13354" s="7" customFormat="1" spans="33:33">
      <c r="AG13354" s="3"/>
    </row>
    <row r="13355" s="7" customFormat="1" spans="33:33">
      <c r="AG13355" s="3"/>
    </row>
    <row r="13356" s="7" customFormat="1" spans="33:33">
      <c r="AG13356" s="3"/>
    </row>
    <row r="13357" s="7" customFormat="1" spans="33:33">
      <c r="AG13357" s="3"/>
    </row>
    <row r="13358" s="7" customFormat="1" spans="33:33">
      <c r="AG13358" s="3"/>
    </row>
    <row r="13359" s="7" customFormat="1" spans="33:33">
      <c r="AG13359" s="3"/>
    </row>
    <row r="13360" s="7" customFormat="1" spans="33:33">
      <c r="AG13360" s="3"/>
    </row>
    <row r="13361" s="7" customFormat="1" spans="33:33">
      <c r="AG13361" s="3"/>
    </row>
    <row r="13362" s="7" customFormat="1" spans="33:33">
      <c r="AG13362" s="3"/>
    </row>
    <row r="13363" s="7" customFormat="1" spans="33:33">
      <c r="AG13363" s="3"/>
    </row>
    <row r="13364" s="7" customFormat="1" spans="33:33">
      <c r="AG13364" s="3"/>
    </row>
    <row r="13365" s="7" customFormat="1" spans="33:33">
      <c r="AG13365" s="3"/>
    </row>
    <row r="13366" s="7" customFormat="1" spans="33:33">
      <c r="AG13366" s="3"/>
    </row>
    <row r="13367" s="7" customFormat="1" spans="33:33">
      <c r="AG13367" s="3"/>
    </row>
    <row r="13368" s="7" customFormat="1" spans="33:33">
      <c r="AG13368" s="3"/>
    </row>
    <row r="13369" s="7" customFormat="1" spans="33:33">
      <c r="AG13369" s="3"/>
    </row>
    <row r="13370" s="7" customFormat="1" spans="33:33">
      <c r="AG13370" s="3"/>
    </row>
    <row r="13371" s="7" customFormat="1" spans="33:33">
      <c r="AG13371" s="3"/>
    </row>
    <row r="13372" s="7" customFormat="1" spans="33:33">
      <c r="AG13372" s="3"/>
    </row>
    <row r="13373" s="7" customFormat="1" spans="33:33">
      <c r="AG13373" s="3"/>
    </row>
    <row r="13374" s="7" customFormat="1" spans="33:33">
      <c r="AG13374" s="3"/>
    </row>
    <row r="13375" s="7" customFormat="1" spans="33:33">
      <c r="AG13375" s="3"/>
    </row>
    <row r="13376" s="7" customFormat="1" spans="33:33">
      <c r="AG13376" s="3"/>
    </row>
    <row r="13377" s="7" customFormat="1" spans="33:33">
      <c r="AG13377" s="3"/>
    </row>
    <row r="13378" s="7" customFormat="1" spans="33:33">
      <c r="AG13378" s="3"/>
    </row>
    <row r="13379" s="7" customFormat="1" spans="33:33">
      <c r="AG13379" s="3"/>
    </row>
    <row r="13380" s="7" customFormat="1" spans="33:33">
      <c r="AG13380" s="3"/>
    </row>
    <row r="13381" s="7" customFormat="1" spans="33:33">
      <c r="AG13381" s="3"/>
    </row>
    <row r="13382" s="7" customFormat="1" spans="33:33">
      <c r="AG13382" s="3"/>
    </row>
    <row r="13383" s="7" customFormat="1" spans="33:33">
      <c r="AG13383" s="3"/>
    </row>
    <row r="13384" s="7" customFormat="1" spans="33:33">
      <c r="AG13384" s="3"/>
    </row>
    <row r="13385" s="7" customFormat="1" spans="33:33">
      <c r="AG13385" s="3"/>
    </row>
    <row r="13386" s="7" customFormat="1" spans="33:33">
      <c r="AG13386" s="3"/>
    </row>
    <row r="13387" s="7" customFormat="1" spans="33:33">
      <c r="AG13387" s="3"/>
    </row>
    <row r="13388" s="7" customFormat="1" spans="33:33">
      <c r="AG13388" s="3"/>
    </row>
    <row r="13389" s="7" customFormat="1" spans="33:33">
      <c r="AG13389" s="3"/>
    </row>
    <row r="13390" s="7" customFormat="1" spans="33:33">
      <c r="AG13390" s="3"/>
    </row>
    <row r="13391" s="7" customFormat="1" spans="33:33">
      <c r="AG13391" s="3"/>
    </row>
    <row r="13392" s="7" customFormat="1" spans="33:33">
      <c r="AG13392" s="3"/>
    </row>
    <row r="13393" s="7" customFormat="1" spans="33:33">
      <c r="AG13393" s="3"/>
    </row>
    <row r="13394" s="7" customFormat="1" spans="33:33">
      <c r="AG13394" s="3"/>
    </row>
    <row r="13395" s="7" customFormat="1" spans="33:33">
      <c r="AG13395" s="3"/>
    </row>
    <row r="13396" s="7" customFormat="1" spans="33:33">
      <c r="AG13396" s="3"/>
    </row>
    <row r="13397" s="7" customFormat="1" spans="33:33">
      <c r="AG13397" s="3"/>
    </row>
    <row r="13398" s="7" customFormat="1" spans="33:33">
      <c r="AG13398" s="3"/>
    </row>
    <row r="13399" s="7" customFormat="1" spans="33:33">
      <c r="AG13399" s="3"/>
    </row>
    <row r="13400" s="7" customFormat="1" spans="33:33">
      <c r="AG13400" s="3"/>
    </row>
    <row r="13401" s="7" customFormat="1" spans="33:33">
      <c r="AG13401" s="3"/>
    </row>
    <row r="13402" s="7" customFormat="1" spans="33:33">
      <c r="AG13402" s="3"/>
    </row>
    <row r="13403" s="7" customFormat="1" spans="33:33">
      <c r="AG13403" s="3"/>
    </row>
    <row r="13404" s="7" customFormat="1" spans="33:33">
      <c r="AG13404" s="3"/>
    </row>
    <row r="13405" s="7" customFormat="1" spans="33:33">
      <c r="AG13405" s="3"/>
    </row>
    <row r="13406" s="7" customFormat="1" spans="33:33">
      <c r="AG13406" s="3"/>
    </row>
    <row r="13407" s="7" customFormat="1" spans="33:33">
      <c r="AG13407" s="3"/>
    </row>
    <row r="13408" s="7" customFormat="1" spans="33:33">
      <c r="AG13408" s="3"/>
    </row>
    <row r="13409" s="7" customFormat="1" spans="33:33">
      <c r="AG13409" s="3"/>
    </row>
    <row r="13410" s="7" customFormat="1" spans="33:33">
      <c r="AG13410" s="3"/>
    </row>
    <row r="13411" s="7" customFormat="1" spans="33:33">
      <c r="AG13411" s="3"/>
    </row>
    <row r="13412" s="7" customFormat="1" spans="33:33">
      <c r="AG13412" s="3"/>
    </row>
    <row r="13413" s="7" customFormat="1" spans="33:33">
      <c r="AG13413" s="3"/>
    </row>
    <row r="13414" s="7" customFormat="1" spans="33:33">
      <c r="AG13414" s="3"/>
    </row>
    <row r="13415" s="7" customFormat="1" spans="33:33">
      <c r="AG13415" s="3"/>
    </row>
    <row r="13416" s="7" customFormat="1" spans="33:33">
      <c r="AG13416" s="3"/>
    </row>
    <row r="13417" s="7" customFormat="1" spans="33:33">
      <c r="AG13417" s="3"/>
    </row>
    <row r="13418" s="7" customFormat="1" spans="33:33">
      <c r="AG13418" s="3"/>
    </row>
    <row r="13419" s="7" customFormat="1" spans="33:33">
      <c r="AG13419" s="3"/>
    </row>
    <row r="13420" s="7" customFormat="1" spans="33:33">
      <c r="AG13420" s="3"/>
    </row>
    <row r="13421" s="7" customFormat="1" spans="33:33">
      <c r="AG13421" s="3"/>
    </row>
    <row r="13422" s="7" customFormat="1" spans="33:33">
      <c r="AG13422" s="3"/>
    </row>
    <row r="13423" s="7" customFormat="1" spans="33:33">
      <c r="AG13423" s="3"/>
    </row>
    <row r="13424" s="7" customFormat="1" spans="33:33">
      <c r="AG13424" s="3"/>
    </row>
    <row r="13425" s="7" customFormat="1" spans="33:33">
      <c r="AG13425" s="3"/>
    </row>
    <row r="13426" s="7" customFormat="1" spans="33:33">
      <c r="AG13426" s="3"/>
    </row>
    <row r="13427" s="7" customFormat="1" spans="33:33">
      <c r="AG13427" s="3"/>
    </row>
    <row r="13428" s="7" customFormat="1" spans="33:33">
      <c r="AG13428" s="3"/>
    </row>
    <row r="13429" s="7" customFormat="1" spans="33:33">
      <c r="AG13429" s="3"/>
    </row>
    <row r="13430" s="7" customFormat="1" spans="33:33">
      <c r="AG13430" s="3"/>
    </row>
    <row r="13431" s="7" customFormat="1" spans="33:33">
      <c r="AG13431" s="3"/>
    </row>
    <row r="13432" s="7" customFormat="1" spans="33:33">
      <c r="AG13432" s="3"/>
    </row>
    <row r="13433" s="7" customFormat="1" spans="33:33">
      <c r="AG13433" s="3"/>
    </row>
    <row r="13434" s="7" customFormat="1" spans="33:33">
      <c r="AG13434" s="3"/>
    </row>
    <row r="13435" s="7" customFormat="1" spans="33:33">
      <c r="AG13435" s="3"/>
    </row>
    <row r="13436" s="7" customFormat="1" spans="33:33">
      <c r="AG13436" s="3"/>
    </row>
    <row r="13437" s="7" customFormat="1" spans="33:33">
      <c r="AG13437" s="3"/>
    </row>
    <row r="13438" s="7" customFormat="1" spans="33:33">
      <c r="AG13438" s="3"/>
    </row>
    <row r="13439" s="7" customFormat="1" spans="33:33">
      <c r="AG13439" s="3"/>
    </row>
    <row r="13440" s="7" customFormat="1" spans="33:33">
      <c r="AG13440" s="3"/>
    </row>
    <row r="13441" s="7" customFormat="1" spans="33:33">
      <c r="AG13441" s="3"/>
    </row>
    <row r="13442" s="7" customFormat="1" spans="33:33">
      <c r="AG13442" s="3"/>
    </row>
    <row r="13443" s="7" customFormat="1" spans="33:33">
      <c r="AG13443" s="3"/>
    </row>
    <row r="13444" s="7" customFormat="1" spans="33:33">
      <c r="AG13444" s="3"/>
    </row>
    <row r="13445" s="7" customFormat="1" spans="33:33">
      <c r="AG13445" s="3"/>
    </row>
    <row r="13446" s="7" customFormat="1" spans="33:33">
      <c r="AG13446" s="3"/>
    </row>
    <row r="13447" s="7" customFormat="1" spans="33:33">
      <c r="AG13447" s="3"/>
    </row>
    <row r="13448" s="7" customFormat="1" spans="33:33">
      <c r="AG13448" s="3"/>
    </row>
    <row r="13449" s="7" customFormat="1" spans="33:33">
      <c r="AG13449" s="3"/>
    </row>
    <row r="13450" s="7" customFormat="1" spans="33:33">
      <c r="AG13450" s="3"/>
    </row>
    <row r="13451" s="7" customFormat="1" spans="33:33">
      <c r="AG13451" s="3"/>
    </row>
    <row r="13452" s="7" customFormat="1" spans="33:33">
      <c r="AG13452" s="3"/>
    </row>
    <row r="13453" s="7" customFormat="1" spans="33:33">
      <c r="AG13453" s="3"/>
    </row>
    <row r="13454" s="7" customFormat="1" spans="33:33">
      <c r="AG13454" s="3"/>
    </row>
    <row r="13455" s="7" customFormat="1" spans="33:33">
      <c r="AG13455" s="3"/>
    </row>
    <row r="13456" s="7" customFormat="1" spans="33:33">
      <c r="AG13456" s="3"/>
    </row>
    <row r="13457" s="7" customFormat="1" spans="33:33">
      <c r="AG13457" s="3"/>
    </row>
    <row r="13458" s="7" customFormat="1" spans="33:33">
      <c r="AG13458" s="3"/>
    </row>
    <row r="13459" s="7" customFormat="1" spans="33:33">
      <c r="AG13459" s="3"/>
    </row>
    <row r="13460" s="7" customFormat="1" spans="33:33">
      <c r="AG13460" s="3"/>
    </row>
    <row r="13461" s="7" customFormat="1" spans="33:33">
      <c r="AG13461" s="3"/>
    </row>
    <row r="13462" s="7" customFormat="1" spans="33:33">
      <c r="AG13462" s="3"/>
    </row>
    <row r="13463" s="7" customFormat="1" spans="33:33">
      <c r="AG13463" s="3"/>
    </row>
    <row r="13464" s="7" customFormat="1" spans="33:33">
      <c r="AG13464" s="3"/>
    </row>
    <row r="13465" s="7" customFormat="1" spans="33:33">
      <c r="AG13465" s="3"/>
    </row>
    <row r="13466" s="7" customFormat="1" spans="33:33">
      <c r="AG13466" s="3"/>
    </row>
    <row r="13467" s="7" customFormat="1" spans="33:33">
      <c r="AG13467" s="3"/>
    </row>
    <row r="13468" s="7" customFormat="1" spans="33:33">
      <c r="AG13468" s="3"/>
    </row>
    <row r="13469" s="7" customFormat="1" spans="33:33">
      <c r="AG13469" s="3"/>
    </row>
    <row r="13470" s="7" customFormat="1" spans="33:33">
      <c r="AG13470" s="3"/>
    </row>
    <row r="13471" s="7" customFormat="1" spans="33:33">
      <c r="AG13471" s="3"/>
    </row>
    <row r="13472" s="7" customFormat="1" spans="33:33">
      <c r="AG13472" s="3"/>
    </row>
    <row r="13473" s="7" customFormat="1" spans="33:33">
      <c r="AG13473" s="3"/>
    </row>
    <row r="13474" s="7" customFormat="1" spans="33:33">
      <c r="AG13474" s="3"/>
    </row>
    <row r="13475" s="7" customFormat="1" spans="33:33">
      <c r="AG13475" s="3"/>
    </row>
    <row r="13476" s="7" customFormat="1" spans="33:33">
      <c r="AG13476" s="3"/>
    </row>
    <row r="13477" s="7" customFormat="1" spans="33:33">
      <c r="AG13477" s="3"/>
    </row>
    <row r="13478" s="7" customFormat="1" spans="33:33">
      <c r="AG13478" s="3"/>
    </row>
    <row r="13479" s="7" customFormat="1" spans="33:33">
      <c r="AG13479" s="3"/>
    </row>
    <row r="13480" s="7" customFormat="1" spans="33:33">
      <c r="AG13480" s="3"/>
    </row>
    <row r="13481" s="7" customFormat="1" spans="33:33">
      <c r="AG13481" s="3"/>
    </row>
    <row r="13482" s="7" customFormat="1" spans="33:33">
      <c r="AG13482" s="3"/>
    </row>
    <row r="13483" s="7" customFormat="1" spans="33:33">
      <c r="AG13483" s="3"/>
    </row>
    <row r="13484" s="7" customFormat="1" spans="33:33">
      <c r="AG13484" s="3"/>
    </row>
    <row r="13485" s="7" customFormat="1" spans="33:33">
      <c r="AG13485" s="3"/>
    </row>
    <row r="13486" s="7" customFormat="1" spans="33:33">
      <c r="AG13486" s="3"/>
    </row>
    <row r="13487" s="7" customFormat="1" spans="33:33">
      <c r="AG13487" s="3"/>
    </row>
    <row r="13488" s="7" customFormat="1" spans="33:33">
      <c r="AG13488" s="3"/>
    </row>
    <row r="13489" s="7" customFormat="1" spans="33:33">
      <c r="AG13489" s="3"/>
    </row>
    <row r="13490" s="7" customFormat="1" spans="33:33">
      <c r="AG13490" s="3"/>
    </row>
    <row r="13491" s="7" customFormat="1" spans="33:33">
      <c r="AG13491" s="3"/>
    </row>
    <row r="13492" s="7" customFormat="1" spans="33:33">
      <c r="AG13492" s="3"/>
    </row>
    <row r="13493" s="7" customFormat="1" spans="33:33">
      <c r="AG13493" s="3"/>
    </row>
    <row r="13494" s="7" customFormat="1" spans="33:33">
      <c r="AG13494" s="3"/>
    </row>
    <row r="13495" s="7" customFormat="1" spans="33:33">
      <c r="AG13495" s="3"/>
    </row>
    <row r="13496" s="7" customFormat="1" spans="33:33">
      <c r="AG13496" s="3"/>
    </row>
    <row r="13497" s="7" customFormat="1" spans="33:33">
      <c r="AG13497" s="3"/>
    </row>
    <row r="13498" s="7" customFormat="1" spans="33:33">
      <c r="AG13498" s="3"/>
    </row>
    <row r="13499" s="7" customFormat="1" spans="33:33">
      <c r="AG13499" s="3"/>
    </row>
    <row r="13500" s="7" customFormat="1" spans="33:33">
      <c r="AG13500" s="3"/>
    </row>
    <row r="13501" s="7" customFormat="1" spans="33:33">
      <c r="AG13501" s="3"/>
    </row>
    <row r="13502" s="7" customFormat="1" spans="33:33">
      <c r="AG13502" s="3"/>
    </row>
    <row r="13503" s="7" customFormat="1" spans="33:33">
      <c r="AG13503" s="3"/>
    </row>
    <row r="13504" s="7" customFormat="1" spans="33:33">
      <c r="AG13504" s="3"/>
    </row>
    <row r="13505" s="7" customFormat="1" spans="33:33">
      <c r="AG13505" s="3"/>
    </row>
    <row r="13506" s="7" customFormat="1" spans="33:33">
      <c r="AG13506" s="3"/>
    </row>
    <row r="13507" s="7" customFormat="1" spans="33:33">
      <c r="AG13507" s="3"/>
    </row>
    <row r="13508" s="7" customFormat="1" spans="33:33">
      <c r="AG13508" s="3"/>
    </row>
    <row r="13509" s="7" customFormat="1" spans="33:33">
      <c r="AG13509" s="3"/>
    </row>
    <row r="13510" s="7" customFormat="1" spans="33:33">
      <c r="AG13510" s="3"/>
    </row>
    <row r="13511" s="7" customFormat="1" spans="33:33">
      <c r="AG13511" s="3"/>
    </row>
    <row r="13512" s="7" customFormat="1" spans="33:33">
      <c r="AG13512" s="3"/>
    </row>
    <row r="13513" s="7" customFormat="1" spans="33:33">
      <c r="AG13513" s="3"/>
    </row>
    <row r="13514" s="7" customFormat="1" spans="33:33">
      <c r="AG13514" s="3"/>
    </row>
    <row r="13515" s="7" customFormat="1" spans="33:33">
      <c r="AG13515" s="3"/>
    </row>
    <row r="13516" s="7" customFormat="1" spans="33:33">
      <c r="AG13516" s="3"/>
    </row>
    <row r="13517" s="7" customFormat="1" spans="33:33">
      <c r="AG13517" s="3"/>
    </row>
    <row r="13518" s="7" customFormat="1" spans="33:33">
      <c r="AG13518" s="3"/>
    </row>
    <row r="13519" s="7" customFormat="1" spans="33:33">
      <c r="AG13519" s="3"/>
    </row>
    <row r="13520" s="7" customFormat="1" spans="33:33">
      <c r="AG13520" s="3"/>
    </row>
    <row r="13521" s="7" customFormat="1" spans="33:33">
      <c r="AG13521" s="3"/>
    </row>
    <row r="13522" s="7" customFormat="1" spans="33:33">
      <c r="AG13522" s="3"/>
    </row>
    <row r="13523" s="7" customFormat="1" spans="33:33">
      <c r="AG13523" s="3"/>
    </row>
    <row r="13524" s="7" customFormat="1" spans="33:33">
      <c r="AG13524" s="3"/>
    </row>
    <row r="13525" s="7" customFormat="1" spans="33:33">
      <c r="AG13525" s="3"/>
    </row>
    <row r="13526" s="7" customFormat="1" spans="33:33">
      <c r="AG13526" s="3"/>
    </row>
    <row r="13527" s="7" customFormat="1" spans="33:33">
      <c r="AG13527" s="3"/>
    </row>
    <row r="13528" s="7" customFormat="1" spans="33:33">
      <c r="AG13528" s="3"/>
    </row>
    <row r="13529" s="7" customFormat="1" spans="33:33">
      <c r="AG13529" s="3"/>
    </row>
    <row r="13530" s="7" customFormat="1" spans="33:33">
      <c r="AG13530" s="3"/>
    </row>
    <row r="13531" s="7" customFormat="1" spans="33:33">
      <c r="AG13531" s="3"/>
    </row>
    <row r="13532" s="7" customFormat="1" spans="33:33">
      <c r="AG13532" s="3"/>
    </row>
    <row r="13533" s="7" customFormat="1" spans="33:33">
      <c r="AG13533" s="3"/>
    </row>
    <row r="13534" s="7" customFormat="1" spans="33:33">
      <c r="AG13534" s="3"/>
    </row>
    <row r="13535" s="7" customFormat="1" spans="33:33">
      <c r="AG13535" s="3"/>
    </row>
    <row r="13536" s="7" customFormat="1" spans="33:33">
      <c r="AG13536" s="3"/>
    </row>
    <row r="13537" s="7" customFormat="1" spans="33:33">
      <c r="AG13537" s="3"/>
    </row>
    <row r="13538" s="7" customFormat="1" spans="33:33">
      <c r="AG13538" s="3"/>
    </row>
    <row r="13539" s="7" customFormat="1" spans="33:33">
      <c r="AG13539" s="3"/>
    </row>
    <row r="13540" s="7" customFormat="1" spans="33:33">
      <c r="AG13540" s="3"/>
    </row>
    <row r="13541" s="7" customFormat="1" spans="33:33">
      <c r="AG13541" s="3"/>
    </row>
    <row r="13542" s="7" customFormat="1" spans="33:33">
      <c r="AG13542" s="3"/>
    </row>
    <row r="13543" s="7" customFormat="1" spans="33:33">
      <c r="AG13543" s="3"/>
    </row>
    <row r="13544" s="7" customFormat="1" spans="33:33">
      <c r="AG13544" s="3"/>
    </row>
    <row r="13545" s="7" customFormat="1" spans="33:33">
      <c r="AG13545" s="3"/>
    </row>
    <row r="13546" s="7" customFormat="1" spans="33:33">
      <c r="AG13546" s="3"/>
    </row>
    <row r="13547" s="7" customFormat="1" spans="33:33">
      <c r="AG13547" s="3"/>
    </row>
    <row r="13548" s="7" customFormat="1" spans="33:33">
      <c r="AG13548" s="3"/>
    </row>
    <row r="13549" s="7" customFormat="1" spans="33:33">
      <c r="AG13549" s="3"/>
    </row>
    <row r="13550" s="7" customFormat="1" spans="33:33">
      <c r="AG13550" s="3"/>
    </row>
    <row r="13551" s="7" customFormat="1" spans="33:33">
      <c r="AG13551" s="3"/>
    </row>
    <row r="13552" s="7" customFormat="1" spans="33:33">
      <c r="AG13552" s="3"/>
    </row>
    <row r="13553" s="7" customFormat="1" spans="33:33">
      <c r="AG13553" s="3"/>
    </row>
    <row r="13554" s="7" customFormat="1" spans="33:33">
      <c r="AG13554" s="3"/>
    </row>
    <row r="13555" s="7" customFormat="1" spans="33:33">
      <c r="AG13555" s="3"/>
    </row>
    <row r="13556" s="7" customFormat="1" spans="33:33">
      <c r="AG13556" s="3"/>
    </row>
    <row r="13557" s="7" customFormat="1" spans="33:33">
      <c r="AG13557" s="3"/>
    </row>
    <row r="13558" s="7" customFormat="1" spans="33:33">
      <c r="AG13558" s="3"/>
    </row>
    <row r="13559" s="7" customFormat="1" spans="33:33">
      <c r="AG13559" s="3"/>
    </row>
    <row r="13560" s="7" customFormat="1" spans="33:33">
      <c r="AG13560" s="3"/>
    </row>
    <row r="13561" s="7" customFormat="1" spans="33:33">
      <c r="AG13561" s="3"/>
    </row>
    <row r="13562" s="7" customFormat="1" spans="33:33">
      <c r="AG13562" s="3"/>
    </row>
    <row r="13563" s="7" customFormat="1" spans="33:33">
      <c r="AG13563" s="3"/>
    </row>
    <row r="13564" s="7" customFormat="1" spans="33:33">
      <c r="AG13564" s="3"/>
    </row>
    <row r="13565" s="7" customFormat="1" spans="33:33">
      <c r="AG13565" s="3"/>
    </row>
    <row r="13566" s="7" customFormat="1" spans="33:33">
      <c r="AG13566" s="3"/>
    </row>
    <row r="13567" s="7" customFormat="1" spans="33:33">
      <c r="AG13567" s="3"/>
    </row>
    <row r="13568" s="7" customFormat="1" spans="33:33">
      <c r="AG13568" s="3"/>
    </row>
    <row r="13569" s="7" customFormat="1" spans="33:33">
      <c r="AG13569" s="3"/>
    </row>
    <row r="13570" s="7" customFormat="1" spans="33:33">
      <c r="AG13570" s="3"/>
    </row>
    <row r="13571" s="7" customFormat="1" spans="33:33">
      <c r="AG13571" s="3"/>
    </row>
    <row r="13572" s="7" customFormat="1" spans="33:33">
      <c r="AG13572" s="3"/>
    </row>
    <row r="13573" s="7" customFormat="1" spans="33:33">
      <c r="AG13573" s="3"/>
    </row>
    <row r="13574" s="7" customFormat="1" spans="33:33">
      <c r="AG13574" s="3"/>
    </row>
    <row r="13575" s="7" customFormat="1" spans="33:33">
      <c r="AG13575" s="3"/>
    </row>
    <row r="13576" s="7" customFormat="1" spans="33:33">
      <c r="AG13576" s="3"/>
    </row>
    <row r="13577" s="7" customFormat="1" spans="33:33">
      <c r="AG13577" s="3"/>
    </row>
    <row r="13578" s="7" customFormat="1" spans="33:33">
      <c r="AG13578" s="3"/>
    </row>
    <row r="13579" s="7" customFormat="1" spans="33:33">
      <c r="AG13579" s="3"/>
    </row>
    <row r="13580" s="7" customFormat="1" spans="33:33">
      <c r="AG13580" s="3"/>
    </row>
    <row r="13581" s="7" customFormat="1" spans="33:33">
      <c r="AG13581" s="3"/>
    </row>
    <row r="13582" s="7" customFormat="1" spans="33:33">
      <c r="AG13582" s="3"/>
    </row>
    <row r="13583" s="7" customFormat="1" spans="33:33">
      <c r="AG13583" s="3"/>
    </row>
    <row r="13584" s="7" customFormat="1" spans="33:33">
      <c r="AG13584" s="3"/>
    </row>
    <row r="13585" s="7" customFormat="1" spans="33:33">
      <c r="AG13585" s="3"/>
    </row>
    <row r="13586" s="7" customFormat="1" spans="33:33">
      <c r="AG13586" s="3"/>
    </row>
    <row r="13587" s="7" customFormat="1" spans="33:33">
      <c r="AG13587" s="3"/>
    </row>
    <row r="13588" s="7" customFormat="1" spans="33:33">
      <c r="AG13588" s="3"/>
    </row>
    <row r="13589" s="7" customFormat="1" spans="33:33">
      <c r="AG13589" s="3"/>
    </row>
    <row r="13590" s="7" customFormat="1" spans="33:33">
      <c r="AG13590" s="3"/>
    </row>
    <row r="13591" s="7" customFormat="1" spans="33:33">
      <c r="AG13591" s="3"/>
    </row>
    <row r="13592" s="7" customFormat="1" spans="33:33">
      <c r="AG13592" s="3"/>
    </row>
    <row r="13593" s="7" customFormat="1" spans="33:33">
      <c r="AG13593" s="3"/>
    </row>
    <row r="13594" s="7" customFormat="1" spans="33:33">
      <c r="AG13594" s="3"/>
    </row>
    <row r="13595" s="7" customFormat="1" spans="33:33">
      <c r="AG13595" s="3"/>
    </row>
    <row r="13596" s="7" customFormat="1" spans="33:33">
      <c r="AG13596" s="3"/>
    </row>
    <row r="13597" s="7" customFormat="1" spans="33:33">
      <c r="AG13597" s="3"/>
    </row>
    <row r="13598" s="7" customFormat="1" spans="33:33">
      <c r="AG13598" s="3"/>
    </row>
    <row r="13599" s="7" customFormat="1" spans="33:33">
      <c r="AG13599" s="3"/>
    </row>
    <row r="13600" s="7" customFormat="1" spans="33:33">
      <c r="AG13600" s="3"/>
    </row>
    <row r="13601" s="7" customFormat="1" spans="33:33">
      <c r="AG13601" s="3"/>
    </row>
    <row r="13602" s="7" customFormat="1" spans="33:33">
      <c r="AG13602" s="3"/>
    </row>
    <row r="13603" s="7" customFormat="1" spans="33:33">
      <c r="AG13603" s="3"/>
    </row>
    <row r="13604" s="7" customFormat="1" spans="33:33">
      <c r="AG13604" s="3"/>
    </row>
    <row r="13605" s="7" customFormat="1" spans="33:33">
      <c r="AG13605" s="3"/>
    </row>
    <row r="13606" s="7" customFormat="1" spans="33:33">
      <c r="AG13606" s="3"/>
    </row>
    <row r="13607" s="7" customFormat="1" spans="33:33">
      <c r="AG13607" s="3"/>
    </row>
    <row r="13608" s="7" customFormat="1" spans="33:33">
      <c r="AG13608" s="3"/>
    </row>
    <row r="13609" s="7" customFormat="1" spans="33:33">
      <c r="AG13609" s="3"/>
    </row>
    <row r="13610" s="7" customFormat="1" spans="33:33">
      <c r="AG13610" s="3"/>
    </row>
    <row r="13611" s="7" customFormat="1" spans="33:33">
      <c r="AG13611" s="3"/>
    </row>
    <row r="13612" s="7" customFormat="1" spans="33:33">
      <c r="AG13612" s="3"/>
    </row>
    <row r="13613" s="7" customFormat="1" spans="33:33">
      <c r="AG13613" s="3"/>
    </row>
    <row r="13614" s="7" customFormat="1" spans="33:33">
      <c r="AG13614" s="3"/>
    </row>
    <row r="13615" s="7" customFormat="1" spans="33:33">
      <c r="AG13615" s="3"/>
    </row>
    <row r="13616" s="7" customFormat="1" spans="33:33">
      <c r="AG13616" s="3"/>
    </row>
    <row r="13617" s="7" customFormat="1" spans="33:33">
      <c r="AG13617" s="3"/>
    </row>
    <row r="13618" s="7" customFormat="1" spans="33:33">
      <c r="AG13618" s="3"/>
    </row>
    <row r="13619" s="7" customFormat="1" spans="33:33">
      <c r="AG13619" s="3"/>
    </row>
    <row r="13620" s="7" customFormat="1" spans="33:33">
      <c r="AG13620" s="3"/>
    </row>
    <row r="13621" s="7" customFormat="1" spans="33:33">
      <c r="AG13621" s="3"/>
    </row>
    <row r="13622" s="7" customFormat="1" spans="33:33">
      <c r="AG13622" s="3"/>
    </row>
    <row r="13623" s="7" customFormat="1" spans="33:33">
      <c r="AG13623" s="3"/>
    </row>
    <row r="13624" s="7" customFormat="1" spans="33:33">
      <c r="AG13624" s="3"/>
    </row>
    <row r="13625" s="7" customFormat="1" spans="33:33">
      <c r="AG13625" s="3"/>
    </row>
    <row r="13626" s="7" customFormat="1" spans="33:33">
      <c r="AG13626" s="3"/>
    </row>
    <row r="13627" s="7" customFormat="1" spans="33:33">
      <c r="AG13627" s="3"/>
    </row>
    <row r="13628" s="7" customFormat="1" spans="33:33">
      <c r="AG13628" s="3"/>
    </row>
    <row r="13629" s="7" customFormat="1" spans="33:33">
      <c r="AG13629" s="3"/>
    </row>
    <row r="13630" s="7" customFormat="1" spans="33:33">
      <c r="AG13630" s="3"/>
    </row>
    <row r="13631" s="7" customFormat="1" spans="33:33">
      <c r="AG13631" s="3"/>
    </row>
    <row r="13632" s="7" customFormat="1" spans="33:33">
      <c r="AG13632" s="3"/>
    </row>
    <row r="13633" s="7" customFormat="1" spans="33:33">
      <c r="AG13633" s="3"/>
    </row>
    <row r="13634" s="7" customFormat="1" spans="33:33">
      <c r="AG13634" s="3"/>
    </row>
    <row r="13635" s="7" customFormat="1" spans="33:33">
      <c r="AG13635" s="3"/>
    </row>
    <row r="13636" s="7" customFormat="1" spans="33:33">
      <c r="AG13636" s="3"/>
    </row>
    <row r="13637" s="7" customFormat="1" spans="33:33">
      <c r="AG13637" s="3"/>
    </row>
    <row r="13638" s="7" customFormat="1" spans="33:33">
      <c r="AG13638" s="3"/>
    </row>
    <row r="13639" s="7" customFormat="1" spans="33:33">
      <c r="AG13639" s="3"/>
    </row>
    <row r="13640" s="7" customFormat="1" spans="33:33">
      <c r="AG13640" s="3"/>
    </row>
    <row r="13641" s="7" customFormat="1" spans="33:33">
      <c r="AG13641" s="3"/>
    </row>
    <row r="13642" s="7" customFormat="1" spans="33:33">
      <c r="AG13642" s="3"/>
    </row>
    <row r="13643" s="7" customFormat="1" spans="33:33">
      <c r="AG13643" s="3"/>
    </row>
    <row r="13644" s="7" customFormat="1" spans="33:33">
      <c r="AG13644" s="3"/>
    </row>
    <row r="13645" s="7" customFormat="1" spans="33:33">
      <c r="AG13645" s="3"/>
    </row>
    <row r="13646" s="7" customFormat="1" spans="33:33">
      <c r="AG13646" s="3"/>
    </row>
    <row r="13647" s="7" customFormat="1" spans="33:33">
      <c r="AG13647" s="3"/>
    </row>
    <row r="13648" s="7" customFormat="1" spans="33:33">
      <c r="AG13648" s="3"/>
    </row>
    <row r="13649" s="7" customFormat="1" spans="33:33">
      <c r="AG13649" s="3"/>
    </row>
    <row r="13650" s="7" customFormat="1" spans="33:33">
      <c r="AG13650" s="3"/>
    </row>
    <row r="13651" s="7" customFormat="1" spans="33:33">
      <c r="AG13651" s="3"/>
    </row>
    <row r="13652" s="7" customFormat="1" spans="33:33">
      <c r="AG13652" s="3"/>
    </row>
    <row r="13653" s="7" customFormat="1" spans="33:33">
      <c r="AG13653" s="3"/>
    </row>
    <row r="13654" s="7" customFormat="1" spans="33:33">
      <c r="AG13654" s="3"/>
    </row>
    <row r="13655" s="7" customFormat="1" spans="33:33">
      <c r="AG13655" s="3"/>
    </row>
    <row r="13656" s="7" customFormat="1" spans="33:33">
      <c r="AG13656" s="3"/>
    </row>
    <row r="13657" s="7" customFormat="1" spans="33:33">
      <c r="AG13657" s="3"/>
    </row>
    <row r="13658" s="7" customFormat="1" spans="33:33">
      <c r="AG13658" s="3"/>
    </row>
    <row r="13659" s="7" customFormat="1" spans="33:33">
      <c r="AG13659" s="3"/>
    </row>
    <row r="13660" s="7" customFormat="1" spans="33:33">
      <c r="AG13660" s="3"/>
    </row>
    <row r="13661" s="7" customFormat="1" spans="33:33">
      <c r="AG13661" s="3"/>
    </row>
    <row r="13662" s="7" customFormat="1" spans="33:33">
      <c r="AG13662" s="3"/>
    </row>
    <row r="13663" s="7" customFormat="1" spans="33:33">
      <c r="AG13663" s="3"/>
    </row>
    <row r="13664" s="7" customFormat="1" spans="33:33">
      <c r="AG13664" s="3"/>
    </row>
    <row r="13665" s="7" customFormat="1" spans="33:33">
      <c r="AG13665" s="3"/>
    </row>
    <row r="13666" s="7" customFormat="1" spans="33:33">
      <c r="AG13666" s="3"/>
    </row>
    <row r="13667" s="7" customFormat="1" spans="33:33">
      <c r="AG13667" s="3"/>
    </row>
    <row r="13668" s="7" customFormat="1" spans="33:33">
      <c r="AG13668" s="3"/>
    </row>
    <row r="13669" s="7" customFormat="1" spans="33:33">
      <c r="AG13669" s="3"/>
    </row>
    <row r="13670" s="7" customFormat="1" spans="33:33">
      <c r="AG13670" s="3"/>
    </row>
    <row r="13671" s="7" customFormat="1" spans="33:33">
      <c r="AG13671" s="3"/>
    </row>
    <row r="13672" s="7" customFormat="1" spans="33:33">
      <c r="AG13672" s="3"/>
    </row>
    <row r="13673" s="7" customFormat="1" spans="33:33">
      <c r="AG13673" s="3"/>
    </row>
    <row r="13674" s="7" customFormat="1" spans="33:33">
      <c r="AG13674" s="3"/>
    </row>
    <row r="13675" s="7" customFormat="1" spans="33:33">
      <c r="AG13675" s="3"/>
    </row>
    <row r="13676" s="7" customFormat="1" spans="33:33">
      <c r="AG13676" s="3"/>
    </row>
    <row r="13677" s="7" customFormat="1" spans="33:33">
      <c r="AG13677" s="3"/>
    </row>
    <row r="13678" s="7" customFormat="1" spans="33:33">
      <c r="AG13678" s="3"/>
    </row>
    <row r="13679" s="7" customFormat="1" spans="33:33">
      <c r="AG13679" s="3"/>
    </row>
    <row r="13680" s="7" customFormat="1" spans="33:33">
      <c r="AG13680" s="3"/>
    </row>
    <row r="13681" s="7" customFormat="1" spans="33:33">
      <c r="AG13681" s="3"/>
    </row>
    <row r="13682" s="7" customFormat="1" spans="33:33">
      <c r="AG13682" s="3"/>
    </row>
    <row r="13683" s="7" customFormat="1" spans="33:33">
      <c r="AG13683" s="3"/>
    </row>
    <row r="13684" s="7" customFormat="1" spans="33:33">
      <c r="AG13684" s="3"/>
    </row>
    <row r="13685" s="7" customFormat="1" spans="33:33">
      <c r="AG13685" s="3"/>
    </row>
    <row r="13686" s="7" customFormat="1" spans="33:33">
      <c r="AG13686" s="3"/>
    </row>
    <row r="13687" s="7" customFormat="1" spans="33:33">
      <c r="AG13687" s="3"/>
    </row>
    <row r="13688" s="7" customFormat="1" spans="33:33">
      <c r="AG13688" s="3"/>
    </row>
    <row r="13689" s="7" customFormat="1" spans="33:33">
      <c r="AG13689" s="3"/>
    </row>
    <row r="13690" s="7" customFormat="1" spans="33:33">
      <c r="AG13690" s="3"/>
    </row>
    <row r="13691" s="7" customFormat="1" spans="33:33">
      <c r="AG13691" s="3"/>
    </row>
    <row r="13692" s="7" customFormat="1" spans="33:33">
      <c r="AG13692" s="3"/>
    </row>
    <row r="13693" s="7" customFormat="1" spans="33:33">
      <c r="AG13693" s="3"/>
    </row>
    <row r="13694" s="7" customFormat="1" spans="33:33">
      <c r="AG13694" s="3"/>
    </row>
    <row r="13695" s="7" customFormat="1" spans="33:33">
      <c r="AG13695" s="3"/>
    </row>
    <row r="13696" s="7" customFormat="1" spans="33:33">
      <c r="AG13696" s="3"/>
    </row>
    <row r="13697" s="7" customFormat="1" spans="33:33">
      <c r="AG13697" s="3"/>
    </row>
    <row r="13698" s="7" customFormat="1" spans="33:33">
      <c r="AG13698" s="3"/>
    </row>
    <row r="13699" s="7" customFormat="1" spans="33:33">
      <c r="AG13699" s="3"/>
    </row>
    <row r="13700" s="7" customFormat="1" spans="33:33">
      <c r="AG13700" s="3"/>
    </row>
    <row r="13701" s="7" customFormat="1" spans="33:33">
      <c r="AG13701" s="3"/>
    </row>
    <row r="13702" s="7" customFormat="1" spans="33:33">
      <c r="AG13702" s="3"/>
    </row>
    <row r="13703" s="7" customFormat="1" spans="33:33">
      <c r="AG13703" s="3"/>
    </row>
    <row r="13704" s="7" customFormat="1" spans="33:33">
      <c r="AG13704" s="3"/>
    </row>
    <row r="13705" s="7" customFormat="1" spans="33:33">
      <c r="AG13705" s="3"/>
    </row>
    <row r="13706" s="7" customFormat="1" spans="33:33">
      <c r="AG13706" s="3"/>
    </row>
    <row r="13707" s="7" customFormat="1" spans="33:33">
      <c r="AG13707" s="3"/>
    </row>
    <row r="13708" s="7" customFormat="1" spans="33:33">
      <c r="AG13708" s="3"/>
    </row>
    <row r="13709" s="7" customFormat="1" spans="33:33">
      <c r="AG13709" s="3"/>
    </row>
    <row r="13710" s="7" customFormat="1" spans="33:33">
      <c r="AG13710" s="3"/>
    </row>
    <row r="13711" s="7" customFormat="1" spans="33:33">
      <c r="AG13711" s="3"/>
    </row>
    <row r="13712" s="7" customFormat="1" spans="33:33">
      <c r="AG13712" s="3"/>
    </row>
    <row r="13713" s="7" customFormat="1" spans="33:33">
      <c r="AG13713" s="3"/>
    </row>
    <row r="13714" s="7" customFormat="1" spans="33:33">
      <c r="AG13714" s="3"/>
    </row>
    <row r="13715" s="7" customFormat="1" spans="33:33">
      <c r="AG13715" s="3"/>
    </row>
    <row r="13716" s="7" customFormat="1" spans="33:33">
      <c r="AG13716" s="3"/>
    </row>
    <row r="13717" s="7" customFormat="1" spans="33:33">
      <c r="AG13717" s="3"/>
    </row>
    <row r="13718" s="7" customFormat="1" spans="33:33">
      <c r="AG13718" s="3"/>
    </row>
    <row r="13719" s="7" customFormat="1" spans="33:33">
      <c r="AG13719" s="3"/>
    </row>
    <row r="13720" s="7" customFormat="1" spans="33:33">
      <c r="AG13720" s="3"/>
    </row>
    <row r="13721" s="7" customFormat="1" spans="33:33">
      <c r="AG13721" s="3"/>
    </row>
    <row r="13722" s="7" customFormat="1" spans="33:33">
      <c r="AG13722" s="3"/>
    </row>
    <row r="13723" s="7" customFormat="1" spans="33:33">
      <c r="AG13723" s="3"/>
    </row>
    <row r="13724" s="7" customFormat="1" spans="33:33">
      <c r="AG13724" s="3"/>
    </row>
    <row r="13725" s="7" customFormat="1" spans="33:33">
      <c r="AG13725" s="3"/>
    </row>
    <row r="13726" s="7" customFormat="1" spans="33:33">
      <c r="AG13726" s="3"/>
    </row>
    <row r="13727" s="7" customFormat="1" spans="33:33">
      <c r="AG13727" s="3"/>
    </row>
    <row r="13728" s="7" customFormat="1" spans="33:33">
      <c r="AG13728" s="3"/>
    </row>
    <row r="13729" s="7" customFormat="1" spans="33:33">
      <c r="AG13729" s="3"/>
    </row>
    <row r="13730" s="7" customFormat="1" spans="33:33">
      <c r="AG13730" s="3"/>
    </row>
    <row r="13731" s="7" customFormat="1" spans="33:33">
      <c r="AG13731" s="3"/>
    </row>
    <row r="13732" s="7" customFormat="1" spans="33:33">
      <c r="AG13732" s="3"/>
    </row>
    <row r="13733" s="7" customFormat="1" spans="33:33">
      <c r="AG13733" s="3"/>
    </row>
    <row r="13734" s="7" customFormat="1" spans="33:33">
      <c r="AG13734" s="3"/>
    </row>
    <row r="13735" s="7" customFormat="1" spans="33:33">
      <c r="AG13735" s="3"/>
    </row>
    <row r="13736" s="7" customFormat="1" spans="33:33">
      <c r="AG13736" s="3"/>
    </row>
    <row r="13737" s="7" customFormat="1" spans="33:33">
      <c r="AG13737" s="3"/>
    </row>
    <row r="13738" s="7" customFormat="1" spans="33:33">
      <c r="AG13738" s="3"/>
    </row>
    <row r="13739" s="7" customFormat="1" spans="33:33">
      <c r="AG13739" s="3"/>
    </row>
    <row r="13740" s="7" customFormat="1" spans="33:33">
      <c r="AG13740" s="3"/>
    </row>
    <row r="13741" s="7" customFormat="1" spans="33:33">
      <c r="AG13741" s="3"/>
    </row>
    <row r="13742" s="7" customFormat="1" spans="33:33">
      <c r="AG13742" s="3"/>
    </row>
    <row r="13743" s="7" customFormat="1" spans="33:33">
      <c r="AG13743" s="3"/>
    </row>
    <row r="13744" s="7" customFormat="1" spans="33:33">
      <c r="AG13744" s="3"/>
    </row>
    <row r="13745" s="7" customFormat="1" spans="33:33">
      <c r="AG13745" s="3"/>
    </row>
    <row r="13746" s="7" customFormat="1" spans="33:33">
      <c r="AG13746" s="3"/>
    </row>
    <row r="13747" s="7" customFormat="1" spans="33:33">
      <c r="AG13747" s="3"/>
    </row>
    <row r="13748" s="7" customFormat="1" spans="33:33">
      <c r="AG13748" s="3"/>
    </row>
    <row r="13749" s="7" customFormat="1" spans="33:33">
      <c r="AG13749" s="3"/>
    </row>
    <row r="13750" s="7" customFormat="1" spans="33:33">
      <c r="AG13750" s="3"/>
    </row>
    <row r="13751" s="7" customFormat="1" spans="33:33">
      <c r="AG13751" s="3"/>
    </row>
    <row r="13752" s="7" customFormat="1" spans="33:33">
      <c r="AG13752" s="3"/>
    </row>
    <row r="13753" s="7" customFormat="1" spans="33:33">
      <c r="AG13753" s="3"/>
    </row>
    <row r="13754" s="7" customFormat="1" spans="33:33">
      <c r="AG13754" s="3"/>
    </row>
    <row r="13755" s="7" customFormat="1" spans="33:33">
      <c r="AG13755" s="3"/>
    </row>
    <row r="13756" s="7" customFormat="1" spans="33:33">
      <c r="AG13756" s="3"/>
    </row>
    <row r="13757" s="7" customFormat="1" spans="33:33">
      <c r="AG13757" s="3"/>
    </row>
    <row r="13758" s="7" customFormat="1" spans="33:33">
      <c r="AG13758" s="3"/>
    </row>
    <row r="13759" s="7" customFormat="1" spans="33:33">
      <c r="AG13759" s="3"/>
    </row>
    <row r="13760" s="7" customFormat="1" spans="33:33">
      <c r="AG13760" s="3"/>
    </row>
    <row r="13761" s="7" customFormat="1" spans="33:33">
      <c r="AG13761" s="3"/>
    </row>
    <row r="13762" s="7" customFormat="1" spans="33:33">
      <c r="AG13762" s="3"/>
    </row>
    <row r="13763" s="7" customFormat="1" spans="33:33">
      <c r="AG13763" s="3"/>
    </row>
    <row r="13764" s="7" customFormat="1" spans="33:33">
      <c r="AG13764" s="3"/>
    </row>
    <row r="13765" s="7" customFormat="1" spans="33:33">
      <c r="AG13765" s="3"/>
    </row>
    <row r="13766" s="7" customFormat="1" spans="33:33">
      <c r="AG13766" s="3"/>
    </row>
    <row r="13767" s="7" customFormat="1" spans="33:33">
      <c r="AG13767" s="3"/>
    </row>
    <row r="13768" s="7" customFormat="1" spans="33:33">
      <c r="AG13768" s="3"/>
    </row>
    <row r="13769" s="7" customFormat="1" spans="33:33">
      <c r="AG13769" s="3"/>
    </row>
    <row r="13770" s="7" customFormat="1" spans="33:33">
      <c r="AG13770" s="3"/>
    </row>
    <row r="13771" s="7" customFormat="1" spans="33:33">
      <c r="AG13771" s="3"/>
    </row>
    <row r="13772" s="7" customFormat="1" spans="33:33">
      <c r="AG13772" s="3"/>
    </row>
    <row r="13773" s="7" customFormat="1" spans="33:33">
      <c r="AG13773" s="3"/>
    </row>
    <row r="13774" s="7" customFormat="1" spans="33:33">
      <c r="AG13774" s="3"/>
    </row>
    <row r="13775" s="7" customFormat="1" spans="33:33">
      <c r="AG13775" s="3"/>
    </row>
    <row r="13776" s="7" customFormat="1" spans="33:33">
      <c r="AG13776" s="3"/>
    </row>
    <row r="13777" s="7" customFormat="1" spans="33:33">
      <c r="AG13777" s="3"/>
    </row>
    <row r="13778" s="7" customFormat="1" spans="33:33">
      <c r="AG13778" s="3"/>
    </row>
    <row r="13779" s="7" customFormat="1" spans="33:33">
      <c r="AG13779" s="3"/>
    </row>
    <row r="13780" s="7" customFormat="1" spans="33:33">
      <c r="AG13780" s="3"/>
    </row>
    <row r="13781" s="7" customFormat="1" spans="33:33">
      <c r="AG13781" s="3"/>
    </row>
    <row r="13782" s="7" customFormat="1" spans="33:33">
      <c r="AG13782" s="3"/>
    </row>
    <row r="13783" s="7" customFormat="1" spans="33:33">
      <c r="AG13783" s="3"/>
    </row>
    <row r="13784" s="7" customFormat="1" spans="33:33">
      <c r="AG13784" s="3"/>
    </row>
    <row r="13785" s="7" customFormat="1" spans="33:33">
      <c r="AG13785" s="3"/>
    </row>
    <row r="13786" s="7" customFormat="1" spans="33:33">
      <c r="AG13786" s="3"/>
    </row>
    <row r="13787" s="7" customFormat="1" spans="33:33">
      <c r="AG13787" s="3"/>
    </row>
    <row r="13788" s="7" customFormat="1" spans="33:33">
      <c r="AG13788" s="3"/>
    </row>
    <row r="13789" s="7" customFormat="1" spans="33:33">
      <c r="AG13789" s="3"/>
    </row>
    <row r="13790" s="7" customFormat="1" spans="33:33">
      <c r="AG13790" s="3"/>
    </row>
    <row r="13791" s="7" customFormat="1" spans="33:33">
      <c r="AG13791" s="3"/>
    </row>
    <row r="13792" s="7" customFormat="1" spans="33:33">
      <c r="AG13792" s="3"/>
    </row>
    <row r="13793" s="7" customFormat="1" spans="33:33">
      <c r="AG13793" s="3"/>
    </row>
    <row r="13794" s="7" customFormat="1" spans="33:33">
      <c r="AG13794" s="3"/>
    </row>
    <row r="13795" s="7" customFormat="1" spans="33:33">
      <c r="AG13795" s="3"/>
    </row>
    <row r="13796" s="7" customFormat="1" spans="33:33">
      <c r="AG13796" s="3"/>
    </row>
    <row r="13797" s="7" customFormat="1" spans="33:33">
      <c r="AG13797" s="3"/>
    </row>
    <row r="13798" s="7" customFormat="1" spans="33:33">
      <c r="AG13798" s="3"/>
    </row>
    <row r="13799" s="7" customFormat="1" spans="33:33">
      <c r="AG13799" s="3"/>
    </row>
    <row r="13800" s="7" customFormat="1" spans="33:33">
      <c r="AG13800" s="3"/>
    </row>
    <row r="13801" s="7" customFormat="1" spans="33:33">
      <c r="AG13801" s="3"/>
    </row>
    <row r="13802" s="7" customFormat="1" spans="33:33">
      <c r="AG13802" s="3"/>
    </row>
    <row r="13803" s="7" customFormat="1" spans="33:33">
      <c r="AG13803" s="3"/>
    </row>
    <row r="13804" s="7" customFormat="1" spans="33:33">
      <c r="AG13804" s="3"/>
    </row>
    <row r="13805" s="7" customFormat="1" spans="33:33">
      <c r="AG13805" s="3"/>
    </row>
    <row r="13806" s="7" customFormat="1" spans="33:33">
      <c r="AG13806" s="3"/>
    </row>
    <row r="13807" s="7" customFormat="1" spans="33:33">
      <c r="AG13807" s="3"/>
    </row>
    <row r="13808" s="7" customFormat="1" spans="33:33">
      <c r="AG13808" s="3"/>
    </row>
    <row r="13809" s="7" customFormat="1" spans="33:33">
      <c r="AG13809" s="3"/>
    </row>
    <row r="13810" s="7" customFormat="1" spans="33:33">
      <c r="AG13810" s="3"/>
    </row>
    <row r="13811" s="7" customFormat="1" spans="33:33">
      <c r="AG13811" s="3"/>
    </row>
    <row r="13812" s="7" customFormat="1" spans="33:33">
      <c r="AG13812" s="3"/>
    </row>
    <row r="13813" s="7" customFormat="1" spans="33:33">
      <c r="AG13813" s="3"/>
    </row>
    <row r="13814" s="7" customFormat="1" spans="33:33">
      <c r="AG13814" s="3"/>
    </row>
    <row r="13815" s="7" customFormat="1" spans="33:33">
      <c r="AG13815" s="3"/>
    </row>
    <row r="13816" s="7" customFormat="1" spans="33:33">
      <c r="AG13816" s="3"/>
    </row>
    <row r="13817" s="7" customFormat="1" spans="33:33">
      <c r="AG13817" s="3"/>
    </row>
    <row r="13818" s="7" customFormat="1" spans="33:33">
      <c r="AG13818" s="3"/>
    </row>
    <row r="13819" s="7" customFormat="1" spans="33:33">
      <c r="AG13819" s="3"/>
    </row>
    <row r="13820" s="7" customFormat="1" spans="33:33">
      <c r="AG13820" s="3"/>
    </row>
    <row r="13821" s="7" customFormat="1" spans="33:33">
      <c r="AG13821" s="3"/>
    </row>
    <row r="13822" s="7" customFormat="1" spans="33:33">
      <c r="AG13822" s="3"/>
    </row>
    <row r="13823" s="7" customFormat="1" spans="33:33">
      <c r="AG13823" s="3"/>
    </row>
    <row r="13824" s="7" customFormat="1" spans="33:33">
      <c r="AG13824" s="3"/>
    </row>
    <row r="13825" s="7" customFormat="1" spans="33:33">
      <c r="AG13825" s="3"/>
    </row>
    <row r="13826" s="7" customFormat="1" spans="33:33">
      <c r="AG13826" s="3"/>
    </row>
    <row r="13827" s="7" customFormat="1" spans="33:33">
      <c r="AG13827" s="3"/>
    </row>
    <row r="13828" s="7" customFormat="1" spans="33:33">
      <c r="AG13828" s="3"/>
    </row>
    <row r="13829" s="7" customFormat="1" spans="33:33">
      <c r="AG13829" s="3"/>
    </row>
    <row r="13830" s="7" customFormat="1" spans="33:33">
      <c r="AG13830" s="3"/>
    </row>
    <row r="13831" s="7" customFormat="1" spans="33:33">
      <c r="AG13831" s="3"/>
    </row>
    <row r="13832" s="7" customFormat="1" spans="33:33">
      <c r="AG13832" s="3"/>
    </row>
    <row r="13833" s="7" customFormat="1" spans="33:33">
      <c r="AG13833" s="3"/>
    </row>
    <row r="13834" s="7" customFormat="1" spans="33:33">
      <c r="AG13834" s="3"/>
    </row>
    <row r="13835" s="7" customFormat="1" spans="33:33">
      <c r="AG13835" s="3"/>
    </row>
    <row r="13836" s="7" customFormat="1" spans="33:33">
      <c r="AG13836" s="3"/>
    </row>
    <row r="13837" s="7" customFormat="1" spans="33:33">
      <c r="AG13837" s="3"/>
    </row>
    <row r="13838" s="7" customFormat="1" spans="33:33">
      <c r="AG13838" s="3"/>
    </row>
    <row r="13839" s="7" customFormat="1" spans="33:33">
      <c r="AG13839" s="3"/>
    </row>
    <row r="13840" s="7" customFormat="1" spans="33:33">
      <c r="AG13840" s="3"/>
    </row>
    <row r="13841" s="7" customFormat="1" spans="33:33">
      <c r="AG13841" s="3"/>
    </row>
    <row r="13842" s="7" customFormat="1" spans="33:33">
      <c r="AG13842" s="3"/>
    </row>
    <row r="13843" s="7" customFormat="1" spans="33:33">
      <c r="AG13843" s="3"/>
    </row>
    <row r="13844" s="7" customFormat="1" spans="33:33">
      <c r="AG13844" s="3"/>
    </row>
    <row r="13845" s="7" customFormat="1" spans="33:33">
      <c r="AG13845" s="3"/>
    </row>
    <row r="13846" s="7" customFormat="1" spans="33:33">
      <c r="AG13846" s="3"/>
    </row>
    <row r="13847" s="7" customFormat="1" spans="33:33">
      <c r="AG13847" s="3"/>
    </row>
    <row r="13848" s="7" customFormat="1" spans="33:33">
      <c r="AG13848" s="3"/>
    </row>
    <row r="13849" s="7" customFormat="1" spans="33:33">
      <c r="AG13849" s="3"/>
    </row>
    <row r="13850" s="7" customFormat="1" spans="33:33">
      <c r="AG13850" s="3"/>
    </row>
    <row r="13851" s="7" customFormat="1" spans="33:33">
      <c r="AG13851" s="3"/>
    </row>
    <row r="13852" s="7" customFormat="1" spans="33:33">
      <c r="AG13852" s="3"/>
    </row>
    <row r="13853" s="7" customFormat="1" spans="33:33">
      <c r="AG13853" s="3"/>
    </row>
    <row r="13854" s="7" customFormat="1" spans="33:33">
      <c r="AG13854" s="3"/>
    </row>
    <row r="13855" s="7" customFormat="1" spans="33:33">
      <c r="AG13855" s="3"/>
    </row>
    <row r="13856" s="7" customFormat="1" spans="33:33">
      <c r="AG13856" s="3"/>
    </row>
    <row r="13857" s="7" customFormat="1" spans="33:33">
      <c r="AG13857" s="3"/>
    </row>
    <row r="13858" s="7" customFormat="1" spans="33:33">
      <c r="AG13858" s="3"/>
    </row>
    <row r="13859" s="7" customFormat="1" spans="33:33">
      <c r="AG13859" s="3"/>
    </row>
    <row r="13860" s="7" customFormat="1" spans="33:33">
      <c r="AG13860" s="3"/>
    </row>
    <row r="13861" s="7" customFormat="1" spans="33:33">
      <c r="AG13861" s="3"/>
    </row>
    <row r="13862" s="7" customFormat="1" spans="33:33">
      <c r="AG13862" s="3"/>
    </row>
    <row r="13863" s="7" customFormat="1" spans="33:33">
      <c r="AG13863" s="3"/>
    </row>
    <row r="13864" s="7" customFormat="1" spans="33:33">
      <c r="AG13864" s="3"/>
    </row>
    <row r="13865" s="7" customFormat="1" spans="33:33">
      <c r="AG13865" s="3"/>
    </row>
    <row r="13866" s="7" customFormat="1" spans="33:33">
      <c r="AG13866" s="3"/>
    </row>
    <row r="13867" s="7" customFormat="1" spans="33:33">
      <c r="AG13867" s="3"/>
    </row>
    <row r="13868" s="7" customFormat="1" spans="33:33">
      <c r="AG13868" s="3"/>
    </row>
    <row r="13869" s="7" customFormat="1" spans="33:33">
      <c r="AG13869" s="3"/>
    </row>
    <row r="13870" s="7" customFormat="1" spans="33:33">
      <c r="AG13870" s="3"/>
    </row>
    <row r="13871" s="7" customFormat="1" spans="33:33">
      <c r="AG13871" s="3"/>
    </row>
    <row r="13872" s="7" customFormat="1" spans="33:33">
      <c r="AG13872" s="3"/>
    </row>
    <row r="13873" s="7" customFormat="1" spans="33:33">
      <c r="AG13873" s="3"/>
    </row>
    <row r="13874" s="7" customFormat="1" spans="33:33">
      <c r="AG13874" s="3"/>
    </row>
    <row r="13875" s="7" customFormat="1" spans="33:33">
      <c r="AG13875" s="3"/>
    </row>
    <row r="13876" s="7" customFormat="1" spans="33:33">
      <c r="AG13876" s="3"/>
    </row>
    <row r="13877" s="7" customFormat="1" spans="33:33">
      <c r="AG13877" s="3"/>
    </row>
    <row r="13878" s="7" customFormat="1" spans="33:33">
      <c r="AG13878" s="3"/>
    </row>
    <row r="13879" s="7" customFormat="1" spans="33:33">
      <c r="AG13879" s="3"/>
    </row>
    <row r="13880" s="7" customFormat="1" spans="33:33">
      <c r="AG13880" s="3"/>
    </row>
    <row r="13881" s="7" customFormat="1" spans="33:33">
      <c r="AG13881" s="3"/>
    </row>
    <row r="13882" s="7" customFormat="1" spans="33:33">
      <c r="AG13882" s="3"/>
    </row>
    <row r="13883" s="7" customFormat="1" spans="33:33">
      <c r="AG13883" s="3"/>
    </row>
    <row r="13884" s="7" customFormat="1" spans="33:33">
      <c r="AG13884" s="3"/>
    </row>
    <row r="13885" s="7" customFormat="1" spans="33:33">
      <c r="AG13885" s="3"/>
    </row>
    <row r="13886" s="7" customFormat="1" spans="33:33">
      <c r="AG13886" s="3"/>
    </row>
    <row r="13887" s="7" customFormat="1" spans="33:33">
      <c r="AG13887" s="3"/>
    </row>
    <row r="13888" s="7" customFormat="1" spans="33:33">
      <c r="AG13888" s="3"/>
    </row>
    <row r="13889" s="7" customFormat="1" spans="33:33">
      <c r="AG13889" s="3"/>
    </row>
    <row r="13890" s="7" customFormat="1" spans="33:33">
      <c r="AG13890" s="3"/>
    </row>
    <row r="13891" s="7" customFormat="1" spans="33:33">
      <c r="AG13891" s="3"/>
    </row>
    <row r="13892" s="7" customFormat="1" spans="33:33">
      <c r="AG13892" s="3"/>
    </row>
    <row r="13893" s="7" customFormat="1" spans="33:33">
      <c r="AG13893" s="3"/>
    </row>
    <row r="13894" s="7" customFormat="1" spans="33:33">
      <c r="AG13894" s="3"/>
    </row>
    <row r="13895" s="7" customFormat="1" spans="33:33">
      <c r="AG13895" s="3"/>
    </row>
    <row r="13896" s="7" customFormat="1" spans="33:33">
      <c r="AG13896" s="3"/>
    </row>
    <row r="13897" s="7" customFormat="1" spans="33:33">
      <c r="AG13897" s="3"/>
    </row>
    <row r="13898" s="7" customFormat="1" spans="33:33">
      <c r="AG13898" s="3"/>
    </row>
    <row r="13899" s="7" customFormat="1" spans="33:33">
      <c r="AG13899" s="3"/>
    </row>
    <row r="13900" s="7" customFormat="1" spans="33:33">
      <c r="AG13900" s="3"/>
    </row>
    <row r="13901" s="7" customFormat="1" spans="33:33">
      <c r="AG13901" s="3"/>
    </row>
    <row r="13902" s="7" customFormat="1" spans="33:33">
      <c r="AG13902" s="3"/>
    </row>
    <row r="13903" s="7" customFormat="1" spans="33:33">
      <c r="AG13903" s="3"/>
    </row>
    <row r="13904" s="7" customFormat="1" spans="33:33">
      <c r="AG13904" s="3"/>
    </row>
    <row r="13905" s="7" customFormat="1" spans="33:33">
      <c r="AG13905" s="3"/>
    </row>
    <row r="13906" s="7" customFormat="1" spans="33:33">
      <c r="AG13906" s="3"/>
    </row>
    <row r="13907" s="7" customFormat="1" spans="33:33">
      <c r="AG13907" s="3"/>
    </row>
    <row r="13908" s="7" customFormat="1" spans="33:33">
      <c r="AG13908" s="3"/>
    </row>
    <row r="13909" s="7" customFormat="1" spans="33:33">
      <c r="AG13909" s="3"/>
    </row>
    <row r="13910" s="7" customFormat="1" spans="33:33">
      <c r="AG13910" s="3"/>
    </row>
    <row r="13911" s="7" customFormat="1" spans="33:33">
      <c r="AG13911" s="3"/>
    </row>
    <row r="13912" s="7" customFormat="1" spans="33:33">
      <c r="AG13912" s="3"/>
    </row>
    <row r="13913" s="7" customFormat="1" spans="33:33">
      <c r="AG13913" s="3"/>
    </row>
    <row r="13914" s="7" customFormat="1" spans="33:33">
      <c r="AG13914" s="3"/>
    </row>
    <row r="13915" s="7" customFormat="1" spans="33:33">
      <c r="AG13915" s="3"/>
    </row>
    <row r="13916" s="7" customFormat="1" spans="33:33">
      <c r="AG13916" s="3"/>
    </row>
    <row r="13917" s="7" customFormat="1" spans="33:33">
      <c r="AG13917" s="3"/>
    </row>
    <row r="13918" s="7" customFormat="1" spans="33:33">
      <c r="AG13918" s="3"/>
    </row>
    <row r="13919" s="7" customFormat="1" spans="33:33">
      <c r="AG13919" s="3"/>
    </row>
    <row r="13920" s="7" customFormat="1" spans="33:33">
      <c r="AG13920" s="3"/>
    </row>
    <row r="13921" s="7" customFormat="1" spans="33:33">
      <c r="AG13921" s="3"/>
    </row>
    <row r="13922" s="7" customFormat="1" spans="33:33">
      <c r="AG13922" s="3"/>
    </row>
    <row r="13923" s="7" customFormat="1" spans="33:33">
      <c r="AG13923" s="3"/>
    </row>
    <row r="13924" s="7" customFormat="1" spans="33:33">
      <c r="AG13924" s="3"/>
    </row>
    <row r="13925" s="7" customFormat="1" spans="33:33">
      <c r="AG13925" s="3"/>
    </row>
    <row r="13926" s="7" customFormat="1" spans="33:33">
      <c r="AG13926" s="3"/>
    </row>
    <row r="13927" s="7" customFormat="1" spans="33:33">
      <c r="AG13927" s="3"/>
    </row>
    <row r="13928" s="7" customFormat="1" spans="33:33">
      <c r="AG13928" s="3"/>
    </row>
    <row r="13929" s="7" customFormat="1" spans="33:33">
      <c r="AG13929" s="3"/>
    </row>
    <row r="13930" s="7" customFormat="1" spans="33:33">
      <c r="AG13930" s="3"/>
    </row>
    <row r="13931" s="7" customFormat="1" spans="33:33">
      <c r="AG13931" s="3"/>
    </row>
    <row r="13932" s="7" customFormat="1" spans="33:33">
      <c r="AG13932" s="3"/>
    </row>
    <row r="13933" s="7" customFormat="1" spans="33:33">
      <c r="AG13933" s="3"/>
    </row>
    <row r="13934" s="7" customFormat="1" spans="33:33">
      <c r="AG13934" s="3"/>
    </row>
    <row r="13935" s="7" customFormat="1" spans="33:33">
      <c r="AG13935" s="3"/>
    </row>
    <row r="13936" s="7" customFormat="1" spans="33:33">
      <c r="AG13936" s="3"/>
    </row>
    <row r="13937" s="7" customFormat="1" spans="33:33">
      <c r="AG13937" s="3"/>
    </row>
    <row r="13938" s="7" customFormat="1" spans="33:33">
      <c r="AG13938" s="3"/>
    </row>
    <row r="13939" s="7" customFormat="1" spans="33:33">
      <c r="AG13939" s="3"/>
    </row>
    <row r="13940" s="7" customFormat="1" spans="33:33">
      <c r="AG13940" s="3"/>
    </row>
    <row r="13941" s="7" customFormat="1" spans="33:33">
      <c r="AG13941" s="3"/>
    </row>
    <row r="13942" s="7" customFormat="1" spans="33:33">
      <c r="AG13942" s="3"/>
    </row>
    <row r="13943" s="7" customFormat="1" spans="33:33">
      <c r="AG13943" s="3"/>
    </row>
    <row r="13944" s="7" customFormat="1" spans="33:33">
      <c r="AG13944" s="3"/>
    </row>
    <row r="13945" s="7" customFormat="1" spans="33:33">
      <c r="AG13945" s="3"/>
    </row>
    <row r="13946" s="7" customFormat="1" spans="33:33">
      <c r="AG13946" s="3"/>
    </row>
    <row r="13947" s="7" customFormat="1" spans="33:33">
      <c r="AG13947" s="3"/>
    </row>
    <row r="13948" s="7" customFormat="1" spans="33:33">
      <c r="AG13948" s="3"/>
    </row>
    <row r="13949" s="7" customFormat="1" spans="33:33">
      <c r="AG13949" s="3"/>
    </row>
    <row r="13950" s="7" customFormat="1" spans="33:33">
      <c r="AG13950" s="3"/>
    </row>
    <row r="13951" s="7" customFormat="1" spans="33:33">
      <c r="AG13951" s="3"/>
    </row>
    <row r="13952" s="7" customFormat="1" spans="33:33">
      <c r="AG13952" s="3"/>
    </row>
    <row r="13953" s="7" customFormat="1" spans="33:33">
      <c r="AG13953" s="3"/>
    </row>
    <row r="13954" s="7" customFormat="1" spans="33:33">
      <c r="AG13954" s="3"/>
    </row>
    <row r="13955" s="7" customFormat="1" spans="33:33">
      <c r="AG13955" s="3"/>
    </row>
    <row r="13956" s="7" customFormat="1" spans="33:33">
      <c r="AG13956" s="3"/>
    </row>
    <row r="13957" s="7" customFormat="1" spans="33:33">
      <c r="AG13957" s="3"/>
    </row>
    <row r="13958" s="7" customFormat="1" spans="33:33">
      <c r="AG13958" s="3"/>
    </row>
    <row r="13959" s="7" customFormat="1" spans="33:33">
      <c r="AG13959" s="3"/>
    </row>
    <row r="13960" s="7" customFormat="1" spans="33:33">
      <c r="AG13960" s="3"/>
    </row>
    <row r="13961" s="7" customFormat="1" spans="33:33">
      <c r="AG13961" s="3"/>
    </row>
    <row r="13962" s="7" customFormat="1" spans="33:33">
      <c r="AG13962" s="3"/>
    </row>
    <row r="13963" s="7" customFormat="1" spans="33:33">
      <c r="AG13963" s="3"/>
    </row>
    <row r="13964" s="7" customFormat="1" spans="33:33">
      <c r="AG13964" s="3"/>
    </row>
    <row r="13965" s="7" customFormat="1" spans="33:33">
      <c r="AG13965" s="3"/>
    </row>
    <row r="13966" s="7" customFormat="1" spans="33:33">
      <c r="AG13966" s="3"/>
    </row>
    <row r="13967" s="7" customFormat="1" spans="33:33">
      <c r="AG13967" s="3"/>
    </row>
    <row r="13968" s="7" customFormat="1" spans="33:33">
      <c r="AG13968" s="3"/>
    </row>
    <row r="13969" s="7" customFormat="1" spans="33:33">
      <c r="AG13969" s="3"/>
    </row>
    <row r="13970" s="7" customFormat="1" spans="33:33">
      <c r="AG13970" s="3"/>
    </row>
    <row r="13971" s="7" customFormat="1" spans="33:33">
      <c r="AG13971" s="3"/>
    </row>
    <row r="13972" s="7" customFormat="1" spans="33:33">
      <c r="AG13972" s="3"/>
    </row>
    <row r="13973" s="7" customFormat="1" spans="33:33">
      <c r="AG13973" s="3"/>
    </row>
    <row r="13974" s="7" customFormat="1" spans="33:33">
      <c r="AG13974" s="3"/>
    </row>
    <row r="13975" s="7" customFormat="1" spans="33:33">
      <c r="AG13975" s="3"/>
    </row>
    <row r="13976" s="7" customFormat="1" spans="33:33">
      <c r="AG13976" s="3"/>
    </row>
    <row r="13977" s="7" customFormat="1" spans="33:33">
      <c r="AG13977" s="3"/>
    </row>
    <row r="13978" s="7" customFormat="1" spans="33:33">
      <c r="AG13978" s="3"/>
    </row>
    <row r="13979" s="7" customFormat="1" spans="33:33">
      <c r="AG13979" s="3"/>
    </row>
    <row r="13980" s="7" customFormat="1" spans="33:33">
      <c r="AG13980" s="3"/>
    </row>
    <row r="13981" s="7" customFormat="1" spans="33:33">
      <c r="AG13981" s="3"/>
    </row>
    <row r="13982" s="7" customFormat="1" spans="33:33">
      <c r="AG13982" s="3"/>
    </row>
    <row r="13983" s="7" customFormat="1" spans="33:33">
      <c r="AG13983" s="3"/>
    </row>
    <row r="13984" s="7" customFormat="1" spans="33:33">
      <c r="AG13984" s="3"/>
    </row>
    <row r="13985" s="7" customFormat="1" spans="33:33">
      <c r="AG13985" s="3"/>
    </row>
    <row r="13986" s="7" customFormat="1" spans="33:33">
      <c r="AG13986" s="3"/>
    </row>
    <row r="13987" s="7" customFormat="1" spans="33:33">
      <c r="AG13987" s="3"/>
    </row>
    <row r="13988" s="7" customFormat="1" spans="33:33">
      <c r="AG13988" s="3"/>
    </row>
    <row r="13989" s="7" customFormat="1" spans="33:33">
      <c r="AG13989" s="3"/>
    </row>
    <row r="13990" s="7" customFormat="1" spans="33:33">
      <c r="AG13990" s="3"/>
    </row>
    <row r="13991" s="7" customFormat="1" spans="33:33">
      <c r="AG13991" s="3"/>
    </row>
    <row r="13992" s="7" customFormat="1" spans="33:33">
      <c r="AG13992" s="3"/>
    </row>
    <row r="13993" s="7" customFormat="1" spans="33:33">
      <c r="AG13993" s="3"/>
    </row>
    <row r="13994" s="7" customFormat="1" spans="33:33">
      <c r="AG13994" s="3"/>
    </row>
    <row r="13995" s="7" customFormat="1" spans="33:33">
      <c r="AG13995" s="3"/>
    </row>
    <row r="13996" s="7" customFormat="1" spans="33:33">
      <c r="AG13996" s="3"/>
    </row>
    <row r="13997" s="7" customFormat="1" spans="33:33">
      <c r="AG13997" s="3"/>
    </row>
    <row r="13998" s="7" customFormat="1" spans="33:33">
      <c r="AG13998" s="3"/>
    </row>
    <row r="13999" s="7" customFormat="1" spans="33:33">
      <c r="AG13999" s="3"/>
    </row>
    <row r="14000" s="7" customFormat="1" spans="33:33">
      <c r="AG14000" s="3"/>
    </row>
    <row r="14001" s="7" customFormat="1" spans="33:33">
      <c r="AG14001" s="3"/>
    </row>
    <row r="14002" s="7" customFormat="1" spans="33:33">
      <c r="AG14002" s="3"/>
    </row>
    <row r="14003" s="7" customFormat="1" spans="33:33">
      <c r="AG14003" s="3"/>
    </row>
    <row r="14004" s="7" customFormat="1" spans="33:33">
      <c r="AG14004" s="3"/>
    </row>
    <row r="14005" s="7" customFormat="1" spans="33:33">
      <c r="AG14005" s="3"/>
    </row>
    <row r="14006" s="7" customFormat="1" spans="33:33">
      <c r="AG14006" s="3"/>
    </row>
    <row r="14007" s="7" customFormat="1" spans="33:33">
      <c r="AG14007" s="3"/>
    </row>
    <row r="14008" s="7" customFormat="1" spans="33:33">
      <c r="AG14008" s="3"/>
    </row>
    <row r="14009" s="7" customFormat="1" spans="33:33">
      <c r="AG14009" s="3"/>
    </row>
    <row r="14010" s="7" customFormat="1" spans="33:33">
      <c r="AG14010" s="3"/>
    </row>
    <row r="14011" s="7" customFormat="1" spans="33:33">
      <c r="AG14011" s="3"/>
    </row>
    <row r="14012" s="7" customFormat="1" spans="33:33">
      <c r="AG14012" s="3"/>
    </row>
    <row r="14013" s="7" customFormat="1" spans="33:33">
      <c r="AG14013" s="3"/>
    </row>
    <row r="14014" s="7" customFormat="1" spans="33:33">
      <c r="AG14014" s="3"/>
    </row>
    <row r="14015" s="7" customFormat="1" spans="33:33">
      <c r="AG14015" s="3"/>
    </row>
    <row r="14016" s="7" customFormat="1" spans="33:33">
      <c r="AG14016" s="3"/>
    </row>
    <row r="14017" s="7" customFormat="1" spans="33:33">
      <c r="AG14017" s="3"/>
    </row>
    <row r="14018" s="7" customFormat="1" spans="33:33">
      <c r="AG14018" s="3"/>
    </row>
    <row r="14019" s="7" customFormat="1" spans="33:33">
      <c r="AG14019" s="3"/>
    </row>
    <row r="14020" s="7" customFormat="1" spans="33:33">
      <c r="AG14020" s="3"/>
    </row>
    <row r="14021" s="7" customFormat="1" spans="33:33">
      <c r="AG14021" s="3"/>
    </row>
    <row r="14022" s="7" customFormat="1" spans="33:33">
      <c r="AG14022" s="3"/>
    </row>
    <row r="14023" s="7" customFormat="1" spans="33:33">
      <c r="AG14023" s="3"/>
    </row>
    <row r="14024" s="7" customFormat="1" spans="33:33">
      <c r="AG14024" s="3"/>
    </row>
    <row r="14025" s="7" customFormat="1" spans="33:33">
      <c r="AG14025" s="3"/>
    </row>
    <row r="14026" s="7" customFormat="1" spans="33:33">
      <c r="AG14026" s="3"/>
    </row>
    <row r="14027" s="7" customFormat="1" spans="33:33">
      <c r="AG14027" s="3"/>
    </row>
    <row r="14028" s="7" customFormat="1" spans="33:33">
      <c r="AG14028" s="3"/>
    </row>
    <row r="14029" s="7" customFormat="1" spans="33:33">
      <c r="AG14029" s="3"/>
    </row>
    <row r="14030" s="7" customFormat="1" spans="33:33">
      <c r="AG14030" s="3"/>
    </row>
    <row r="14031" s="7" customFormat="1" spans="33:33">
      <c r="AG14031" s="3"/>
    </row>
    <row r="14032" s="7" customFormat="1" spans="33:33">
      <c r="AG14032" s="3"/>
    </row>
    <row r="14033" s="7" customFormat="1" spans="33:33">
      <c r="AG14033" s="3"/>
    </row>
    <row r="14034" s="7" customFormat="1" spans="33:33">
      <c r="AG14034" s="3"/>
    </row>
    <row r="14035" s="7" customFormat="1" spans="33:33">
      <c r="AG14035" s="3"/>
    </row>
    <row r="14036" s="7" customFormat="1" spans="33:33">
      <c r="AG14036" s="3"/>
    </row>
    <row r="14037" s="7" customFormat="1" spans="33:33">
      <c r="AG14037" s="3"/>
    </row>
    <row r="14038" s="7" customFormat="1" spans="33:33">
      <c r="AG14038" s="3"/>
    </row>
    <row r="14039" s="7" customFormat="1" spans="33:33">
      <c r="AG14039" s="3"/>
    </row>
    <row r="14040" s="7" customFormat="1" spans="33:33">
      <c r="AG14040" s="3"/>
    </row>
    <row r="14041" s="7" customFormat="1" spans="33:33">
      <c r="AG14041" s="3"/>
    </row>
    <row r="14042" s="7" customFormat="1" spans="33:33">
      <c r="AG14042" s="3"/>
    </row>
    <row r="14043" s="7" customFormat="1" spans="33:33">
      <c r="AG14043" s="3"/>
    </row>
    <row r="14044" s="7" customFormat="1" spans="33:33">
      <c r="AG14044" s="3"/>
    </row>
    <row r="14045" s="7" customFormat="1" spans="33:33">
      <c r="AG14045" s="3"/>
    </row>
    <row r="14046" s="7" customFormat="1" spans="33:33">
      <c r="AG14046" s="3"/>
    </row>
    <row r="14047" s="7" customFormat="1" spans="33:33">
      <c r="AG14047" s="3"/>
    </row>
    <row r="14048" s="7" customFormat="1" spans="33:33">
      <c r="AG14048" s="3"/>
    </row>
    <row r="14049" s="7" customFormat="1" spans="33:33">
      <c r="AG14049" s="3"/>
    </row>
    <row r="14050" s="7" customFormat="1" spans="33:33">
      <c r="AG14050" s="3"/>
    </row>
    <row r="14051" s="7" customFormat="1" spans="33:33">
      <c r="AG14051" s="3"/>
    </row>
    <row r="14052" s="7" customFormat="1" spans="33:33">
      <c r="AG14052" s="3"/>
    </row>
    <row r="14053" s="7" customFormat="1" spans="33:33">
      <c r="AG14053" s="3"/>
    </row>
    <row r="14054" s="7" customFormat="1" spans="33:33">
      <c r="AG14054" s="3"/>
    </row>
    <row r="14055" s="7" customFormat="1" spans="33:33">
      <c r="AG14055" s="3"/>
    </row>
    <row r="14056" s="7" customFormat="1" spans="33:33">
      <c r="AG14056" s="3"/>
    </row>
    <row r="14057" s="7" customFormat="1" spans="33:33">
      <c r="AG14057" s="3"/>
    </row>
    <row r="14058" s="7" customFormat="1" spans="33:33">
      <c r="AG14058" s="3"/>
    </row>
    <row r="14059" s="7" customFormat="1" spans="33:33">
      <c r="AG14059" s="3"/>
    </row>
    <row r="14060" s="7" customFormat="1" spans="33:33">
      <c r="AG14060" s="3"/>
    </row>
    <row r="14061" s="7" customFormat="1" spans="33:33">
      <c r="AG14061" s="3"/>
    </row>
    <row r="14062" s="7" customFormat="1" spans="33:33">
      <c r="AG14062" s="3"/>
    </row>
    <row r="14063" s="7" customFormat="1" spans="33:33">
      <c r="AG14063" s="3"/>
    </row>
    <row r="14064" s="7" customFormat="1" spans="33:33">
      <c r="AG14064" s="3"/>
    </row>
    <row r="14065" s="7" customFormat="1" spans="33:33">
      <c r="AG14065" s="3"/>
    </row>
    <row r="14066" s="7" customFormat="1" spans="33:33">
      <c r="AG14066" s="3"/>
    </row>
    <row r="14067" s="7" customFormat="1" spans="33:33">
      <c r="AG14067" s="3"/>
    </row>
    <row r="14068" s="7" customFormat="1" spans="33:33">
      <c r="AG14068" s="3"/>
    </row>
    <row r="14069" s="7" customFormat="1" spans="33:33">
      <c r="AG14069" s="3"/>
    </row>
    <row r="14070" s="7" customFormat="1" spans="33:33">
      <c r="AG14070" s="3"/>
    </row>
    <row r="14071" s="7" customFormat="1" spans="33:33">
      <c r="AG14071" s="3"/>
    </row>
    <row r="14072" s="7" customFormat="1" spans="33:33">
      <c r="AG14072" s="3"/>
    </row>
    <row r="14073" s="7" customFormat="1" spans="33:33">
      <c r="AG14073" s="3"/>
    </row>
    <row r="14074" s="7" customFormat="1" spans="33:33">
      <c r="AG14074" s="3"/>
    </row>
    <row r="14075" s="7" customFormat="1" spans="33:33">
      <c r="AG14075" s="3"/>
    </row>
    <row r="14076" s="7" customFormat="1" spans="33:33">
      <c r="AG14076" s="3"/>
    </row>
    <row r="14077" s="7" customFormat="1" spans="33:33">
      <c r="AG14077" s="3"/>
    </row>
    <row r="14078" s="7" customFormat="1" spans="33:33">
      <c r="AG14078" s="3"/>
    </row>
    <row r="14079" s="7" customFormat="1" spans="33:33">
      <c r="AG14079" s="3"/>
    </row>
    <row r="14080" s="7" customFormat="1" spans="33:33">
      <c r="AG14080" s="3"/>
    </row>
    <row r="14081" s="7" customFormat="1" spans="33:33">
      <c r="AG14081" s="3"/>
    </row>
    <row r="14082" s="7" customFormat="1" spans="33:33">
      <c r="AG14082" s="3"/>
    </row>
    <row r="14083" s="7" customFormat="1" spans="33:33">
      <c r="AG14083" s="3"/>
    </row>
    <row r="14084" s="7" customFormat="1" spans="33:33">
      <c r="AG14084" s="3"/>
    </row>
    <row r="14085" s="7" customFormat="1" spans="33:33">
      <c r="AG14085" s="3"/>
    </row>
    <row r="14086" s="7" customFormat="1" spans="33:33">
      <c r="AG14086" s="3"/>
    </row>
    <row r="14087" s="7" customFormat="1" spans="33:33">
      <c r="AG14087" s="3"/>
    </row>
    <row r="14088" s="7" customFormat="1" spans="33:33">
      <c r="AG14088" s="3"/>
    </row>
    <row r="14089" s="7" customFormat="1" spans="33:33">
      <c r="AG14089" s="3"/>
    </row>
    <row r="14090" s="7" customFormat="1" spans="33:33">
      <c r="AG14090" s="3"/>
    </row>
    <row r="14091" s="7" customFormat="1" spans="33:33">
      <c r="AG14091" s="3"/>
    </row>
    <row r="14092" s="7" customFormat="1" spans="33:33">
      <c r="AG14092" s="3"/>
    </row>
    <row r="14093" s="7" customFormat="1" spans="33:33">
      <c r="AG14093" s="3"/>
    </row>
    <row r="14094" s="7" customFormat="1" spans="33:33">
      <c r="AG14094" s="3"/>
    </row>
    <row r="14095" s="7" customFormat="1" spans="33:33">
      <c r="AG14095" s="3"/>
    </row>
    <row r="14096" s="7" customFormat="1" spans="33:33">
      <c r="AG14096" s="3"/>
    </row>
    <row r="14097" s="7" customFormat="1" spans="33:33">
      <c r="AG14097" s="3"/>
    </row>
    <row r="14098" s="7" customFormat="1" spans="33:33">
      <c r="AG14098" s="3"/>
    </row>
    <row r="14099" s="7" customFormat="1" spans="33:33">
      <c r="AG14099" s="3"/>
    </row>
    <row r="14100" s="7" customFormat="1" spans="33:33">
      <c r="AG14100" s="3"/>
    </row>
    <row r="14101" s="7" customFormat="1" spans="33:33">
      <c r="AG14101" s="3"/>
    </row>
    <row r="14102" s="7" customFormat="1" spans="33:33">
      <c r="AG14102" s="3"/>
    </row>
    <row r="14103" s="7" customFormat="1" spans="33:33">
      <c r="AG14103" s="3"/>
    </row>
    <row r="14104" s="7" customFormat="1" spans="33:33">
      <c r="AG14104" s="3"/>
    </row>
    <row r="14105" s="7" customFormat="1" spans="33:33">
      <c r="AG14105" s="3"/>
    </row>
    <row r="14106" s="7" customFormat="1" spans="33:33">
      <c r="AG14106" s="3"/>
    </row>
    <row r="14107" s="7" customFormat="1" spans="33:33">
      <c r="AG14107" s="3"/>
    </row>
    <row r="14108" s="7" customFormat="1" spans="33:33">
      <c r="AG14108" s="3"/>
    </row>
    <row r="14109" s="7" customFormat="1" spans="33:33">
      <c r="AG14109" s="3"/>
    </row>
    <row r="14110" s="7" customFormat="1" spans="33:33">
      <c r="AG14110" s="3"/>
    </row>
    <row r="14111" s="7" customFormat="1" spans="33:33">
      <c r="AG14111" s="3"/>
    </row>
    <row r="14112" s="7" customFormat="1" spans="33:33">
      <c r="AG14112" s="3"/>
    </row>
    <row r="14113" s="7" customFormat="1" spans="33:33">
      <c r="AG14113" s="3"/>
    </row>
    <row r="14114" s="7" customFormat="1" spans="33:33">
      <c r="AG14114" s="3"/>
    </row>
    <row r="14115" s="7" customFormat="1" spans="33:33">
      <c r="AG14115" s="3"/>
    </row>
    <row r="14116" s="7" customFormat="1" spans="33:33">
      <c r="AG14116" s="3"/>
    </row>
    <row r="14117" s="7" customFormat="1" spans="33:33">
      <c r="AG14117" s="3"/>
    </row>
    <row r="14118" s="7" customFormat="1" spans="33:33">
      <c r="AG14118" s="3"/>
    </row>
    <row r="14119" s="7" customFormat="1" spans="33:33">
      <c r="AG14119" s="3"/>
    </row>
    <row r="14120" s="7" customFormat="1" spans="33:33">
      <c r="AG14120" s="3"/>
    </row>
    <row r="14121" s="7" customFormat="1" spans="33:33">
      <c r="AG14121" s="3"/>
    </row>
    <row r="14122" s="7" customFormat="1" spans="33:33">
      <c r="AG14122" s="3"/>
    </row>
    <row r="14123" s="7" customFormat="1" spans="33:33">
      <c r="AG14123" s="3"/>
    </row>
    <row r="14124" s="7" customFormat="1" spans="33:33">
      <c r="AG14124" s="3"/>
    </row>
    <row r="14125" s="7" customFormat="1" spans="33:33">
      <c r="AG14125" s="3"/>
    </row>
    <row r="14126" s="7" customFormat="1" spans="33:33">
      <c r="AG14126" s="3"/>
    </row>
    <row r="14127" s="7" customFormat="1" spans="33:33">
      <c r="AG14127" s="3"/>
    </row>
    <row r="14128" s="7" customFormat="1" spans="33:33">
      <c r="AG14128" s="3"/>
    </row>
    <row r="14129" s="7" customFormat="1" spans="33:33">
      <c r="AG14129" s="3"/>
    </row>
    <row r="14130" s="7" customFormat="1" spans="33:33">
      <c r="AG14130" s="3"/>
    </row>
    <row r="14131" s="7" customFormat="1" spans="33:33">
      <c r="AG14131" s="3"/>
    </row>
    <row r="14132" s="7" customFormat="1" spans="33:33">
      <c r="AG14132" s="3"/>
    </row>
    <row r="14133" s="7" customFormat="1" spans="33:33">
      <c r="AG14133" s="3"/>
    </row>
    <row r="14134" s="7" customFormat="1" spans="33:33">
      <c r="AG14134" s="3"/>
    </row>
    <row r="14135" s="7" customFormat="1" spans="33:33">
      <c r="AG14135" s="3"/>
    </row>
    <row r="14136" s="7" customFormat="1" spans="33:33">
      <c r="AG14136" s="3"/>
    </row>
    <row r="14137" s="7" customFormat="1" spans="33:33">
      <c r="AG14137" s="3"/>
    </row>
    <row r="14138" s="7" customFormat="1" spans="33:33">
      <c r="AG14138" s="3"/>
    </row>
    <row r="14139" s="7" customFormat="1" spans="33:33">
      <c r="AG14139" s="3"/>
    </row>
    <row r="14140" s="7" customFormat="1" spans="33:33">
      <c r="AG14140" s="3"/>
    </row>
    <row r="14141" s="7" customFormat="1" spans="33:33">
      <c r="AG14141" s="3"/>
    </row>
    <row r="14142" s="7" customFormat="1" spans="33:33">
      <c r="AG14142" s="3"/>
    </row>
    <row r="14143" s="7" customFormat="1" spans="33:33">
      <c r="AG14143" s="3"/>
    </row>
    <row r="14144" s="7" customFormat="1" spans="33:33">
      <c r="AG14144" s="3"/>
    </row>
    <row r="14145" s="7" customFormat="1" spans="33:33">
      <c r="AG14145" s="3"/>
    </row>
    <row r="14146" s="7" customFormat="1" spans="33:33">
      <c r="AG14146" s="3"/>
    </row>
    <row r="14147" s="7" customFormat="1" spans="33:33">
      <c r="AG14147" s="3"/>
    </row>
    <row r="14148" s="7" customFormat="1" spans="33:33">
      <c r="AG14148" s="3"/>
    </row>
    <row r="14149" s="7" customFormat="1" spans="33:33">
      <c r="AG14149" s="3"/>
    </row>
    <row r="14150" s="7" customFormat="1" spans="33:33">
      <c r="AG14150" s="3"/>
    </row>
    <row r="14151" s="7" customFormat="1" spans="33:33">
      <c r="AG14151" s="3"/>
    </row>
    <row r="14152" s="7" customFormat="1" spans="33:33">
      <c r="AG14152" s="3"/>
    </row>
    <row r="14153" s="7" customFormat="1" spans="33:33">
      <c r="AG14153" s="3"/>
    </row>
    <row r="14154" s="7" customFormat="1" spans="33:33">
      <c r="AG14154" s="3"/>
    </row>
    <row r="14155" s="7" customFormat="1" spans="33:33">
      <c r="AG14155" s="3"/>
    </row>
    <row r="14156" s="7" customFormat="1" spans="33:33">
      <c r="AG14156" s="3"/>
    </row>
    <row r="14157" s="7" customFormat="1" spans="33:33">
      <c r="AG14157" s="3"/>
    </row>
    <row r="14158" s="7" customFormat="1" spans="33:33">
      <c r="AG14158" s="3"/>
    </row>
    <row r="14159" s="7" customFormat="1" spans="33:33">
      <c r="AG14159" s="3"/>
    </row>
    <row r="14160" s="7" customFormat="1" spans="33:33">
      <c r="AG14160" s="3"/>
    </row>
    <row r="14161" s="7" customFormat="1" spans="33:33">
      <c r="AG14161" s="3"/>
    </row>
    <row r="14162" s="7" customFormat="1" spans="33:33">
      <c r="AG14162" s="3"/>
    </row>
    <row r="14163" s="7" customFormat="1" spans="33:33">
      <c r="AG14163" s="3"/>
    </row>
    <row r="14164" s="7" customFormat="1" spans="33:33">
      <c r="AG14164" s="3"/>
    </row>
    <row r="14165" s="7" customFormat="1" spans="33:33">
      <c r="AG14165" s="3"/>
    </row>
    <row r="14166" s="7" customFormat="1" spans="33:33">
      <c r="AG14166" s="3"/>
    </row>
    <row r="14167" s="7" customFormat="1" spans="33:33">
      <c r="AG14167" s="3"/>
    </row>
    <row r="14168" s="7" customFormat="1" spans="33:33">
      <c r="AG14168" s="3"/>
    </row>
    <row r="14169" s="7" customFormat="1" spans="33:33">
      <c r="AG14169" s="3"/>
    </row>
    <row r="14170" s="7" customFormat="1" spans="33:33">
      <c r="AG14170" s="3"/>
    </row>
    <row r="14171" s="7" customFormat="1" spans="33:33">
      <c r="AG14171" s="3"/>
    </row>
    <row r="14172" s="7" customFormat="1" spans="33:33">
      <c r="AG14172" s="3"/>
    </row>
    <row r="14173" s="7" customFormat="1" spans="33:33">
      <c r="AG14173" s="3"/>
    </row>
    <row r="14174" s="7" customFormat="1" spans="33:33">
      <c r="AG14174" s="3"/>
    </row>
    <row r="14175" s="7" customFormat="1" spans="33:33">
      <c r="AG14175" s="3"/>
    </row>
    <row r="14176" s="7" customFormat="1" spans="33:33">
      <c r="AG14176" s="3"/>
    </row>
    <row r="14177" s="7" customFormat="1" spans="33:33">
      <c r="AG14177" s="3"/>
    </row>
    <row r="14178" s="7" customFormat="1" spans="33:33">
      <c r="AG14178" s="3"/>
    </row>
    <row r="14179" s="7" customFormat="1" spans="33:33">
      <c r="AG14179" s="3"/>
    </row>
    <row r="14180" s="7" customFormat="1" spans="33:33">
      <c r="AG14180" s="3"/>
    </row>
    <row r="14181" s="7" customFormat="1" spans="33:33">
      <c r="AG14181" s="3"/>
    </row>
    <row r="14182" s="7" customFormat="1" spans="33:33">
      <c r="AG14182" s="3"/>
    </row>
    <row r="14183" s="7" customFormat="1" spans="33:33">
      <c r="AG14183" s="3"/>
    </row>
    <row r="14184" s="7" customFormat="1" spans="33:33">
      <c r="AG14184" s="3"/>
    </row>
    <row r="14185" s="7" customFormat="1" spans="33:33">
      <c r="AG14185" s="3"/>
    </row>
    <row r="14186" s="7" customFormat="1" spans="33:33">
      <c r="AG14186" s="3"/>
    </row>
    <row r="14187" s="7" customFormat="1" spans="33:33">
      <c r="AG14187" s="3"/>
    </row>
    <row r="14188" s="7" customFormat="1" spans="33:33">
      <c r="AG14188" s="3"/>
    </row>
    <row r="14189" s="7" customFormat="1" spans="33:33">
      <c r="AG14189" s="3"/>
    </row>
    <row r="14190" s="7" customFormat="1" spans="33:33">
      <c r="AG14190" s="3"/>
    </row>
    <row r="14191" s="7" customFormat="1" spans="33:33">
      <c r="AG14191" s="3"/>
    </row>
    <row r="14192" s="7" customFormat="1" spans="33:33">
      <c r="AG14192" s="3"/>
    </row>
    <row r="14193" s="7" customFormat="1" spans="33:33">
      <c r="AG14193" s="3"/>
    </row>
    <row r="14194" s="7" customFormat="1" spans="33:33">
      <c r="AG14194" s="3"/>
    </row>
    <row r="14195" s="7" customFormat="1" spans="33:33">
      <c r="AG14195" s="3"/>
    </row>
    <row r="14196" s="7" customFormat="1" spans="33:33">
      <c r="AG14196" s="3"/>
    </row>
    <row r="14197" s="7" customFormat="1" spans="33:33">
      <c r="AG14197" s="3"/>
    </row>
    <row r="14198" s="7" customFormat="1" spans="33:33">
      <c r="AG14198" s="3"/>
    </row>
    <row r="14199" s="7" customFormat="1" spans="33:33">
      <c r="AG14199" s="3"/>
    </row>
    <row r="14200" s="7" customFormat="1" spans="33:33">
      <c r="AG14200" s="3"/>
    </row>
    <row r="14201" s="7" customFormat="1" spans="33:33">
      <c r="AG14201" s="3"/>
    </row>
    <row r="14202" s="7" customFormat="1" spans="33:33">
      <c r="AG14202" s="3"/>
    </row>
    <row r="14203" s="7" customFormat="1" spans="33:33">
      <c r="AG14203" s="3"/>
    </row>
    <row r="14204" s="7" customFormat="1" spans="33:33">
      <c r="AG14204" s="3"/>
    </row>
    <row r="14205" s="7" customFormat="1" spans="33:33">
      <c r="AG14205" s="3"/>
    </row>
    <row r="14206" s="7" customFormat="1" spans="33:33">
      <c r="AG14206" s="3"/>
    </row>
    <row r="14207" s="7" customFormat="1" spans="33:33">
      <c r="AG14207" s="3"/>
    </row>
    <row r="14208" s="7" customFormat="1" spans="33:33">
      <c r="AG14208" s="3"/>
    </row>
    <row r="14209" s="7" customFormat="1" spans="33:33">
      <c r="AG14209" s="3"/>
    </row>
    <row r="14210" s="7" customFormat="1" spans="33:33">
      <c r="AG14210" s="3"/>
    </row>
    <row r="14211" s="7" customFormat="1" spans="33:33">
      <c r="AG14211" s="3"/>
    </row>
    <row r="14212" s="7" customFormat="1" spans="33:33">
      <c r="AG14212" s="3"/>
    </row>
    <row r="14213" s="7" customFormat="1" spans="33:33">
      <c r="AG14213" s="3"/>
    </row>
    <row r="14214" s="7" customFormat="1" spans="33:33">
      <c r="AG14214" s="3"/>
    </row>
    <row r="14215" s="7" customFormat="1" spans="33:33">
      <c r="AG14215" s="3"/>
    </row>
    <row r="14216" s="7" customFormat="1" spans="33:33">
      <c r="AG14216" s="3"/>
    </row>
    <row r="14217" s="7" customFormat="1" spans="33:33">
      <c r="AG14217" s="3"/>
    </row>
    <row r="14218" s="7" customFormat="1" spans="33:33">
      <c r="AG14218" s="3"/>
    </row>
    <row r="14219" s="7" customFormat="1" spans="33:33">
      <c r="AG14219" s="3"/>
    </row>
    <row r="14220" s="7" customFormat="1" spans="33:33">
      <c r="AG14220" s="3"/>
    </row>
    <row r="14221" s="7" customFormat="1" spans="33:33">
      <c r="AG14221" s="3"/>
    </row>
    <row r="14222" s="7" customFormat="1" spans="33:33">
      <c r="AG14222" s="3"/>
    </row>
    <row r="14223" s="7" customFormat="1" spans="33:33">
      <c r="AG14223" s="3"/>
    </row>
    <row r="14224" s="7" customFormat="1" spans="33:33">
      <c r="AG14224" s="3"/>
    </row>
    <row r="14225" s="7" customFormat="1" spans="33:33">
      <c r="AG14225" s="3"/>
    </row>
    <row r="14226" s="7" customFormat="1" spans="33:33">
      <c r="AG14226" s="3"/>
    </row>
    <row r="14227" s="7" customFormat="1" spans="33:33">
      <c r="AG14227" s="3"/>
    </row>
    <row r="14228" s="7" customFormat="1" spans="33:33">
      <c r="AG14228" s="3"/>
    </row>
    <row r="14229" s="7" customFormat="1" spans="33:33">
      <c r="AG14229" s="3"/>
    </row>
    <row r="14230" s="7" customFormat="1" spans="33:33">
      <c r="AG14230" s="3"/>
    </row>
    <row r="14231" s="7" customFormat="1" spans="33:33">
      <c r="AG14231" s="3"/>
    </row>
    <row r="14232" s="7" customFormat="1" spans="33:33">
      <c r="AG14232" s="3"/>
    </row>
    <row r="14233" s="7" customFormat="1" spans="33:33">
      <c r="AG14233" s="3"/>
    </row>
    <row r="14234" s="7" customFormat="1" spans="33:33">
      <c r="AG14234" s="3"/>
    </row>
    <row r="14235" s="7" customFormat="1" spans="33:33">
      <c r="AG14235" s="3"/>
    </row>
    <row r="14236" s="7" customFormat="1" spans="33:33">
      <c r="AG14236" s="3"/>
    </row>
    <row r="14237" s="7" customFormat="1" spans="33:33">
      <c r="AG14237" s="3"/>
    </row>
    <row r="14238" s="7" customFormat="1" spans="33:33">
      <c r="AG14238" s="3"/>
    </row>
    <row r="14239" s="7" customFormat="1" spans="33:33">
      <c r="AG14239" s="3"/>
    </row>
    <row r="14240" s="7" customFormat="1" spans="33:33">
      <c r="AG14240" s="3"/>
    </row>
    <row r="14241" s="7" customFormat="1" spans="33:33">
      <c r="AG14241" s="3"/>
    </row>
    <row r="14242" s="7" customFormat="1" spans="33:33">
      <c r="AG14242" s="3"/>
    </row>
    <row r="14243" s="7" customFormat="1" spans="33:33">
      <c r="AG14243" s="3"/>
    </row>
    <row r="14244" s="7" customFormat="1" spans="33:33">
      <c r="AG14244" s="3"/>
    </row>
    <row r="14245" s="7" customFormat="1" spans="33:33">
      <c r="AG14245" s="3"/>
    </row>
    <row r="14246" s="7" customFormat="1" spans="33:33">
      <c r="AG14246" s="3"/>
    </row>
    <row r="14247" s="7" customFormat="1" spans="33:33">
      <c r="AG14247" s="3"/>
    </row>
    <row r="14248" s="7" customFormat="1" spans="33:33">
      <c r="AG14248" s="3"/>
    </row>
    <row r="14249" s="7" customFormat="1" spans="33:33">
      <c r="AG14249" s="3"/>
    </row>
    <row r="14250" s="7" customFormat="1" spans="33:33">
      <c r="AG14250" s="3"/>
    </row>
    <row r="14251" s="7" customFormat="1" spans="33:33">
      <c r="AG14251" s="3"/>
    </row>
    <row r="14252" s="7" customFormat="1" spans="33:33">
      <c r="AG14252" s="3"/>
    </row>
    <row r="14253" s="7" customFormat="1" spans="33:33">
      <c r="AG14253" s="3"/>
    </row>
    <row r="14254" s="7" customFormat="1" spans="33:33">
      <c r="AG14254" s="3"/>
    </row>
    <row r="14255" s="7" customFormat="1" spans="33:33">
      <c r="AG14255" s="3"/>
    </row>
    <row r="14256" s="7" customFormat="1" spans="33:33">
      <c r="AG14256" s="3"/>
    </row>
    <row r="14257" s="7" customFormat="1" spans="33:33">
      <c r="AG14257" s="3"/>
    </row>
    <row r="14258" s="7" customFormat="1" spans="33:33">
      <c r="AG14258" s="3"/>
    </row>
    <row r="14259" s="7" customFormat="1" spans="33:33">
      <c r="AG14259" s="3"/>
    </row>
    <row r="14260" s="7" customFormat="1" spans="33:33">
      <c r="AG14260" s="3"/>
    </row>
    <row r="14261" s="7" customFormat="1" spans="33:33">
      <c r="AG14261" s="3"/>
    </row>
    <row r="14262" s="7" customFormat="1" spans="33:33">
      <c r="AG14262" s="3"/>
    </row>
    <row r="14263" s="7" customFormat="1" spans="33:33">
      <c r="AG14263" s="3"/>
    </row>
    <row r="14264" s="7" customFormat="1" spans="33:33">
      <c r="AG14264" s="3"/>
    </row>
    <row r="14265" s="7" customFormat="1" spans="33:33">
      <c r="AG14265" s="3"/>
    </row>
    <row r="14266" s="7" customFormat="1" spans="33:33">
      <c r="AG14266" s="3"/>
    </row>
    <row r="14267" s="7" customFormat="1" spans="33:33">
      <c r="AG14267" s="3"/>
    </row>
    <row r="14268" s="7" customFormat="1" spans="33:33">
      <c r="AG14268" s="3"/>
    </row>
    <row r="14269" s="7" customFormat="1" spans="33:33">
      <c r="AG14269" s="3"/>
    </row>
    <row r="14270" s="7" customFormat="1" spans="33:33">
      <c r="AG14270" s="3"/>
    </row>
    <row r="14271" s="7" customFormat="1" spans="33:33">
      <c r="AG14271" s="3"/>
    </row>
    <row r="14272" s="7" customFormat="1" spans="33:33">
      <c r="AG14272" s="3"/>
    </row>
    <row r="14273" s="7" customFormat="1" spans="33:33">
      <c r="AG14273" s="3"/>
    </row>
    <row r="14274" s="7" customFormat="1" spans="33:33">
      <c r="AG14274" s="3"/>
    </row>
    <row r="14275" s="7" customFormat="1" spans="33:33">
      <c r="AG14275" s="3"/>
    </row>
    <row r="14276" s="7" customFormat="1" spans="33:33">
      <c r="AG14276" s="3"/>
    </row>
    <row r="14277" s="7" customFormat="1" spans="33:33">
      <c r="AG14277" s="3"/>
    </row>
    <row r="14278" s="7" customFormat="1" spans="33:33">
      <c r="AG14278" s="3"/>
    </row>
    <row r="14279" s="7" customFormat="1" spans="33:33">
      <c r="AG14279" s="3"/>
    </row>
    <row r="14280" s="7" customFormat="1" spans="33:33">
      <c r="AG14280" s="3"/>
    </row>
    <row r="14281" s="7" customFormat="1" spans="33:33">
      <c r="AG14281" s="3"/>
    </row>
    <row r="14282" s="7" customFormat="1" spans="33:33">
      <c r="AG14282" s="3"/>
    </row>
    <row r="14283" s="7" customFormat="1" spans="33:33">
      <c r="AG14283" s="3"/>
    </row>
    <row r="14284" s="7" customFormat="1" spans="33:33">
      <c r="AG14284" s="3"/>
    </row>
    <row r="14285" s="7" customFormat="1" spans="33:33">
      <c r="AG14285" s="3"/>
    </row>
    <row r="14286" s="7" customFormat="1" spans="33:33">
      <c r="AG14286" s="3"/>
    </row>
    <row r="14287" s="7" customFormat="1" spans="33:33">
      <c r="AG14287" s="3"/>
    </row>
    <row r="14288" s="7" customFormat="1" spans="33:33">
      <c r="AG14288" s="3"/>
    </row>
    <row r="14289" s="7" customFormat="1" spans="33:33">
      <c r="AG14289" s="3"/>
    </row>
    <row r="14290" s="7" customFormat="1" spans="33:33">
      <c r="AG14290" s="3"/>
    </row>
    <row r="14291" s="7" customFormat="1" spans="33:33">
      <c r="AG14291" s="3"/>
    </row>
    <row r="14292" s="7" customFormat="1" spans="33:33">
      <c r="AG14292" s="3"/>
    </row>
    <row r="14293" s="7" customFormat="1" spans="33:33">
      <c r="AG14293" s="3"/>
    </row>
    <row r="14294" s="7" customFormat="1" spans="33:33">
      <c r="AG14294" s="3"/>
    </row>
    <row r="14295" s="7" customFormat="1" spans="33:33">
      <c r="AG14295" s="3"/>
    </row>
    <row r="14296" s="7" customFormat="1" spans="33:33">
      <c r="AG14296" s="3"/>
    </row>
    <row r="14297" s="7" customFormat="1" spans="33:33">
      <c r="AG14297" s="3"/>
    </row>
    <row r="14298" s="7" customFormat="1" spans="33:33">
      <c r="AG14298" s="3"/>
    </row>
    <row r="14299" s="7" customFormat="1" spans="33:33">
      <c r="AG14299" s="3"/>
    </row>
    <row r="14300" s="7" customFormat="1" spans="33:33">
      <c r="AG14300" s="3"/>
    </row>
    <row r="14301" s="7" customFormat="1" spans="33:33">
      <c r="AG14301" s="3"/>
    </row>
    <row r="14302" s="7" customFormat="1" spans="33:33">
      <c r="AG14302" s="3"/>
    </row>
    <row r="14303" s="7" customFormat="1" spans="33:33">
      <c r="AG14303" s="3"/>
    </row>
    <row r="14304" s="7" customFormat="1" spans="33:33">
      <c r="AG14304" s="3"/>
    </row>
    <row r="14305" s="7" customFormat="1" spans="33:33">
      <c r="AG14305" s="3"/>
    </row>
    <row r="14306" s="7" customFormat="1" spans="33:33">
      <c r="AG14306" s="3"/>
    </row>
    <row r="14307" s="7" customFormat="1" spans="33:33">
      <c r="AG14307" s="3"/>
    </row>
    <row r="14308" s="7" customFormat="1" spans="33:33">
      <c r="AG14308" s="3"/>
    </row>
    <row r="14309" s="7" customFormat="1" spans="33:33">
      <c r="AG14309" s="3"/>
    </row>
    <row r="14310" s="7" customFormat="1" spans="33:33">
      <c r="AG14310" s="3"/>
    </row>
    <row r="14311" s="7" customFormat="1" spans="33:33">
      <c r="AG14311" s="3"/>
    </row>
    <row r="14312" s="7" customFormat="1" spans="33:33">
      <c r="AG14312" s="3"/>
    </row>
    <row r="14313" s="7" customFormat="1" spans="33:33">
      <c r="AG14313" s="3"/>
    </row>
    <row r="14314" s="7" customFormat="1" spans="33:33">
      <c r="AG14314" s="3"/>
    </row>
    <row r="14315" s="7" customFormat="1" spans="33:33">
      <c r="AG14315" s="3"/>
    </row>
    <row r="14316" s="7" customFormat="1" spans="33:33">
      <c r="AG14316" s="3"/>
    </row>
    <row r="14317" s="7" customFormat="1" spans="33:33">
      <c r="AG14317" s="3"/>
    </row>
    <row r="14318" s="7" customFormat="1" spans="33:33">
      <c r="AG14318" s="3"/>
    </row>
    <row r="14319" s="7" customFormat="1" spans="33:33">
      <c r="AG14319" s="3"/>
    </row>
    <row r="14320" s="7" customFormat="1" spans="33:33">
      <c r="AG14320" s="3"/>
    </row>
    <row r="14321" s="7" customFormat="1" spans="33:33">
      <c r="AG14321" s="3"/>
    </row>
    <row r="14322" s="7" customFormat="1" spans="33:33">
      <c r="AG14322" s="3"/>
    </row>
    <row r="14323" s="7" customFormat="1" spans="33:33">
      <c r="AG14323" s="3"/>
    </row>
    <row r="14324" s="7" customFormat="1" spans="33:33">
      <c r="AG14324" s="3"/>
    </row>
    <row r="14325" s="7" customFormat="1" spans="33:33">
      <c r="AG14325" s="3"/>
    </row>
    <row r="14326" s="7" customFormat="1" spans="33:33">
      <c r="AG14326" s="3"/>
    </row>
    <row r="14327" s="7" customFormat="1" spans="33:33">
      <c r="AG14327" s="3"/>
    </row>
    <row r="14328" s="7" customFormat="1" spans="33:33">
      <c r="AG14328" s="3"/>
    </row>
    <row r="14329" s="7" customFormat="1" spans="33:33">
      <c r="AG14329" s="3"/>
    </row>
    <row r="14330" s="7" customFormat="1" spans="33:33">
      <c r="AG14330" s="3"/>
    </row>
    <row r="14331" s="7" customFormat="1" spans="33:33">
      <c r="AG14331" s="3"/>
    </row>
    <row r="14332" s="7" customFormat="1" spans="33:33">
      <c r="AG14332" s="3"/>
    </row>
    <row r="14333" s="7" customFormat="1" spans="33:33">
      <c r="AG14333" s="3"/>
    </row>
    <row r="14334" s="7" customFormat="1" spans="33:33">
      <c r="AG14334" s="3"/>
    </row>
    <row r="14335" s="7" customFormat="1" spans="33:33">
      <c r="AG14335" s="3"/>
    </row>
    <row r="14336" s="7" customFormat="1" spans="33:33">
      <c r="AG14336" s="3"/>
    </row>
    <row r="14337" s="7" customFormat="1" spans="33:33">
      <c r="AG14337" s="3"/>
    </row>
    <row r="14338" s="7" customFormat="1" spans="33:33">
      <c r="AG14338" s="3"/>
    </row>
    <row r="14339" s="7" customFormat="1" spans="33:33">
      <c r="AG14339" s="3"/>
    </row>
    <row r="14340" s="7" customFormat="1" spans="33:33">
      <c r="AG14340" s="3"/>
    </row>
    <row r="14341" s="7" customFormat="1" spans="33:33">
      <c r="AG14341" s="3"/>
    </row>
    <row r="14342" s="7" customFormat="1" spans="33:33">
      <c r="AG14342" s="3"/>
    </row>
    <row r="14343" s="7" customFormat="1" spans="33:33">
      <c r="AG14343" s="3"/>
    </row>
    <row r="14344" s="7" customFormat="1" spans="33:33">
      <c r="AG14344" s="3"/>
    </row>
    <row r="14345" s="7" customFormat="1" spans="33:33">
      <c r="AG14345" s="3"/>
    </row>
    <row r="14346" s="7" customFormat="1" spans="33:33">
      <c r="AG14346" s="3"/>
    </row>
    <row r="14347" s="7" customFormat="1" spans="33:33">
      <c r="AG14347" s="3"/>
    </row>
    <row r="14348" s="7" customFormat="1" spans="33:33">
      <c r="AG14348" s="3"/>
    </row>
    <row r="14349" s="7" customFormat="1" spans="33:33">
      <c r="AG14349" s="3"/>
    </row>
    <row r="14350" s="7" customFormat="1" spans="33:33">
      <c r="AG14350" s="3"/>
    </row>
    <row r="14351" s="7" customFormat="1" spans="33:33">
      <c r="AG14351" s="3"/>
    </row>
    <row r="14352" s="7" customFormat="1" spans="33:33">
      <c r="AG14352" s="3"/>
    </row>
    <row r="14353" s="7" customFormat="1" spans="33:33">
      <c r="AG14353" s="3"/>
    </row>
    <row r="14354" s="7" customFormat="1" spans="33:33">
      <c r="AG14354" s="3"/>
    </row>
    <row r="14355" s="7" customFormat="1" spans="33:33">
      <c r="AG14355" s="3"/>
    </row>
    <row r="14356" s="7" customFormat="1" spans="33:33">
      <c r="AG14356" s="3"/>
    </row>
    <row r="14357" s="7" customFormat="1" spans="33:33">
      <c r="AG14357" s="3"/>
    </row>
    <row r="14358" s="7" customFormat="1" spans="33:33">
      <c r="AG14358" s="3"/>
    </row>
    <row r="14359" s="7" customFormat="1" spans="33:33">
      <c r="AG14359" s="3"/>
    </row>
    <row r="14360" s="7" customFormat="1" spans="33:33">
      <c r="AG14360" s="3"/>
    </row>
    <row r="14361" s="7" customFormat="1" spans="33:33">
      <c r="AG14361" s="3"/>
    </row>
    <row r="14362" s="7" customFormat="1" spans="33:33">
      <c r="AG14362" s="3"/>
    </row>
    <row r="14363" s="7" customFormat="1" spans="33:33">
      <c r="AG14363" s="3"/>
    </row>
    <row r="14364" s="7" customFormat="1" spans="33:33">
      <c r="AG14364" s="3"/>
    </row>
    <row r="14365" s="7" customFormat="1" spans="33:33">
      <c r="AG14365" s="3"/>
    </row>
    <row r="14366" s="7" customFormat="1" spans="33:33">
      <c r="AG14366" s="3"/>
    </row>
    <row r="14367" s="7" customFormat="1" spans="33:33">
      <c r="AG14367" s="3"/>
    </row>
    <row r="14368" s="7" customFormat="1" spans="33:33">
      <c r="AG14368" s="3"/>
    </row>
    <row r="14369" s="7" customFormat="1" spans="33:33">
      <c r="AG14369" s="3"/>
    </row>
    <row r="14370" s="7" customFormat="1" spans="33:33">
      <c r="AG14370" s="3"/>
    </row>
    <row r="14371" s="7" customFormat="1" spans="33:33">
      <c r="AG14371" s="3"/>
    </row>
    <row r="14372" s="7" customFormat="1" spans="33:33">
      <c r="AG14372" s="3"/>
    </row>
    <row r="14373" s="7" customFormat="1" spans="33:33">
      <c r="AG14373" s="3"/>
    </row>
    <row r="14374" s="7" customFormat="1" spans="33:33">
      <c r="AG14374" s="3"/>
    </row>
    <row r="14375" s="7" customFormat="1" spans="33:33">
      <c r="AG14375" s="3"/>
    </row>
    <row r="14376" s="7" customFormat="1" spans="33:33">
      <c r="AG14376" s="3"/>
    </row>
    <row r="14377" s="7" customFormat="1" spans="33:33">
      <c r="AG14377" s="3"/>
    </row>
    <row r="14378" s="7" customFormat="1" spans="33:33">
      <c r="AG14378" s="3"/>
    </row>
    <row r="14379" s="7" customFormat="1" spans="33:33">
      <c r="AG14379" s="3"/>
    </row>
    <row r="14380" s="7" customFormat="1" spans="33:33">
      <c r="AG14380" s="3"/>
    </row>
    <row r="14381" s="7" customFormat="1" spans="33:33">
      <c r="AG14381" s="3"/>
    </row>
    <row r="14382" s="7" customFormat="1" spans="33:33">
      <c r="AG14382" s="3"/>
    </row>
    <row r="14383" s="7" customFormat="1" spans="33:33">
      <c r="AG14383" s="3"/>
    </row>
    <row r="14384" s="7" customFormat="1" spans="33:33">
      <c r="AG14384" s="3"/>
    </row>
    <row r="14385" s="7" customFormat="1" spans="33:33">
      <c r="AG14385" s="3"/>
    </row>
    <row r="14386" s="7" customFormat="1" spans="33:33">
      <c r="AG14386" s="3"/>
    </row>
    <row r="14387" s="7" customFormat="1" spans="33:33">
      <c r="AG14387" s="3"/>
    </row>
    <row r="14388" s="7" customFormat="1" spans="33:33">
      <c r="AG14388" s="3"/>
    </row>
    <row r="14389" s="7" customFormat="1" spans="33:33">
      <c r="AG14389" s="3"/>
    </row>
    <row r="14390" s="7" customFormat="1" spans="33:33">
      <c r="AG14390" s="3"/>
    </row>
    <row r="14391" s="7" customFormat="1" spans="33:33">
      <c r="AG14391" s="3"/>
    </row>
    <row r="14392" s="7" customFormat="1" spans="33:33">
      <c r="AG14392" s="3"/>
    </row>
    <row r="14393" s="7" customFormat="1" spans="33:33">
      <c r="AG14393" s="3"/>
    </row>
    <row r="14394" s="7" customFormat="1" spans="33:33">
      <c r="AG14394" s="3"/>
    </row>
    <row r="14395" s="7" customFormat="1" spans="33:33">
      <c r="AG14395" s="3"/>
    </row>
    <row r="14396" s="7" customFormat="1" spans="33:33">
      <c r="AG14396" s="3"/>
    </row>
    <row r="14397" s="7" customFormat="1" spans="33:33">
      <c r="AG14397" s="3"/>
    </row>
    <row r="14398" s="7" customFormat="1" spans="33:33">
      <c r="AG14398" s="3"/>
    </row>
    <row r="14399" s="7" customFormat="1" spans="33:33">
      <c r="AG14399" s="3"/>
    </row>
    <row r="14400" s="7" customFormat="1" spans="33:33">
      <c r="AG14400" s="3"/>
    </row>
    <row r="14401" s="7" customFormat="1" spans="33:33">
      <c r="AG14401" s="3"/>
    </row>
    <row r="14402" s="7" customFormat="1" spans="33:33">
      <c r="AG14402" s="3"/>
    </row>
    <row r="14403" s="7" customFormat="1" spans="33:33">
      <c r="AG14403" s="3"/>
    </row>
    <row r="14404" s="7" customFormat="1" spans="33:33">
      <c r="AG14404" s="3"/>
    </row>
    <row r="14405" s="7" customFormat="1" spans="33:33">
      <c r="AG14405" s="3"/>
    </row>
    <row r="14406" s="7" customFormat="1" spans="33:33">
      <c r="AG14406" s="3"/>
    </row>
    <row r="14407" s="7" customFormat="1" spans="33:33">
      <c r="AG14407" s="3"/>
    </row>
    <row r="14408" s="7" customFormat="1" spans="33:33">
      <c r="AG14408" s="3"/>
    </row>
    <row r="14409" s="7" customFormat="1" spans="33:33">
      <c r="AG14409" s="3"/>
    </row>
    <row r="14410" s="7" customFormat="1" spans="33:33">
      <c r="AG14410" s="3"/>
    </row>
    <row r="14411" s="7" customFormat="1" spans="33:33">
      <c r="AG14411" s="3"/>
    </row>
    <row r="14412" s="7" customFormat="1" spans="33:33">
      <c r="AG14412" s="3"/>
    </row>
    <row r="14413" s="7" customFormat="1" spans="33:33">
      <c r="AG14413" s="3"/>
    </row>
    <row r="14414" s="7" customFormat="1" spans="33:33">
      <c r="AG14414" s="3"/>
    </row>
    <row r="14415" s="7" customFormat="1" spans="33:33">
      <c r="AG14415" s="3"/>
    </row>
    <row r="14416" s="7" customFormat="1" spans="33:33">
      <c r="AG14416" s="3"/>
    </row>
    <row r="14417" s="7" customFormat="1" spans="33:33">
      <c r="AG14417" s="3"/>
    </row>
    <row r="14418" s="7" customFormat="1" spans="33:33">
      <c r="AG14418" s="3"/>
    </row>
    <row r="14419" s="7" customFormat="1" spans="33:33">
      <c r="AG14419" s="3"/>
    </row>
    <row r="14420" s="7" customFormat="1" spans="33:33">
      <c r="AG14420" s="3"/>
    </row>
    <row r="14421" s="7" customFormat="1" spans="33:33">
      <c r="AG14421" s="3"/>
    </row>
    <row r="14422" s="7" customFormat="1" spans="33:33">
      <c r="AG14422" s="3"/>
    </row>
    <row r="14423" s="7" customFormat="1" spans="33:33">
      <c r="AG14423" s="3"/>
    </row>
    <row r="14424" s="7" customFormat="1" spans="33:33">
      <c r="AG14424" s="3"/>
    </row>
    <row r="14425" s="7" customFormat="1" spans="33:33">
      <c r="AG14425" s="3"/>
    </row>
    <row r="14426" s="7" customFormat="1" spans="33:33">
      <c r="AG14426" s="3"/>
    </row>
    <row r="14427" s="7" customFormat="1" spans="33:33">
      <c r="AG14427" s="3"/>
    </row>
    <row r="14428" s="7" customFormat="1" spans="33:33">
      <c r="AG14428" s="3"/>
    </row>
    <row r="14429" s="7" customFormat="1" spans="33:33">
      <c r="AG14429" s="3"/>
    </row>
    <row r="14430" s="7" customFormat="1" spans="33:33">
      <c r="AG14430" s="3"/>
    </row>
    <row r="14431" s="7" customFormat="1" spans="33:33">
      <c r="AG14431" s="3"/>
    </row>
    <row r="14432" s="7" customFormat="1" spans="33:33">
      <c r="AG14432" s="3"/>
    </row>
    <row r="14433" s="7" customFormat="1" spans="33:33">
      <c r="AG14433" s="3"/>
    </row>
    <row r="14434" s="7" customFormat="1" spans="33:33">
      <c r="AG14434" s="3"/>
    </row>
    <row r="14435" s="7" customFormat="1" spans="33:33">
      <c r="AG14435" s="3"/>
    </row>
    <row r="14436" s="7" customFormat="1" spans="33:33">
      <c r="AG14436" s="3"/>
    </row>
    <row r="14437" s="7" customFormat="1" spans="33:33">
      <c r="AG14437" s="3"/>
    </row>
    <row r="14438" s="7" customFormat="1" spans="33:33">
      <c r="AG14438" s="3"/>
    </row>
    <row r="14439" s="7" customFormat="1" spans="33:33">
      <c r="AG14439" s="3"/>
    </row>
    <row r="14440" s="7" customFormat="1" spans="33:33">
      <c r="AG14440" s="3"/>
    </row>
    <row r="14441" s="7" customFormat="1" spans="33:33">
      <c r="AG14441" s="3"/>
    </row>
    <row r="14442" s="7" customFormat="1" spans="33:33">
      <c r="AG14442" s="3"/>
    </row>
    <row r="14443" s="7" customFormat="1" spans="33:33">
      <c r="AG14443" s="3"/>
    </row>
    <row r="14444" s="7" customFormat="1" spans="33:33">
      <c r="AG14444" s="3"/>
    </row>
    <row r="14445" s="7" customFormat="1" spans="33:33">
      <c r="AG14445" s="3"/>
    </row>
    <row r="14446" s="7" customFormat="1" spans="33:33">
      <c r="AG14446" s="3"/>
    </row>
    <row r="14447" s="7" customFormat="1" spans="33:33">
      <c r="AG14447" s="3"/>
    </row>
    <row r="14448" s="7" customFormat="1" spans="33:33">
      <c r="AG14448" s="3"/>
    </row>
    <row r="14449" s="7" customFormat="1" spans="33:33">
      <c r="AG14449" s="3"/>
    </row>
    <row r="14450" s="7" customFormat="1" spans="33:33">
      <c r="AG14450" s="3"/>
    </row>
    <row r="14451" s="7" customFormat="1" spans="33:33">
      <c r="AG14451" s="3"/>
    </row>
    <row r="14452" s="7" customFormat="1" spans="33:33">
      <c r="AG14452" s="3"/>
    </row>
    <row r="14453" s="7" customFormat="1" spans="33:33">
      <c r="AG14453" s="3"/>
    </row>
    <row r="14454" s="7" customFormat="1" spans="33:33">
      <c r="AG14454" s="3"/>
    </row>
    <row r="14455" s="7" customFormat="1" spans="33:33">
      <c r="AG14455" s="3"/>
    </row>
    <row r="14456" s="7" customFormat="1" spans="33:33">
      <c r="AG14456" s="3"/>
    </row>
    <row r="14457" s="7" customFormat="1" spans="33:33">
      <c r="AG14457" s="3"/>
    </row>
    <row r="14458" s="7" customFormat="1" spans="33:33">
      <c r="AG14458" s="3"/>
    </row>
    <row r="14459" s="7" customFormat="1" spans="33:33">
      <c r="AG14459" s="3"/>
    </row>
    <row r="14460" s="7" customFormat="1" spans="33:33">
      <c r="AG14460" s="3"/>
    </row>
    <row r="14461" s="7" customFormat="1" spans="33:33">
      <c r="AG14461" s="3"/>
    </row>
    <row r="14462" s="7" customFormat="1" spans="33:33">
      <c r="AG14462" s="3"/>
    </row>
    <row r="14463" s="7" customFormat="1" spans="33:33">
      <c r="AG14463" s="3"/>
    </row>
    <row r="14464" s="7" customFormat="1" spans="33:33">
      <c r="AG14464" s="3"/>
    </row>
    <row r="14465" s="7" customFormat="1" spans="33:33">
      <c r="AG14465" s="3"/>
    </row>
    <row r="14466" s="7" customFormat="1" spans="33:33">
      <c r="AG14466" s="3"/>
    </row>
    <row r="14467" s="7" customFormat="1" spans="33:33">
      <c r="AG14467" s="3"/>
    </row>
    <row r="14468" s="7" customFormat="1" spans="33:33">
      <c r="AG14468" s="3"/>
    </row>
    <row r="14469" s="7" customFormat="1" spans="33:33">
      <c r="AG14469" s="3"/>
    </row>
    <row r="14470" s="7" customFormat="1" spans="33:33">
      <c r="AG14470" s="3"/>
    </row>
    <row r="14471" s="7" customFormat="1" spans="33:33">
      <c r="AG14471" s="3"/>
    </row>
    <row r="14472" s="7" customFormat="1" spans="33:33">
      <c r="AG14472" s="3"/>
    </row>
    <row r="14473" s="7" customFormat="1" spans="33:33">
      <c r="AG14473" s="3"/>
    </row>
    <row r="14474" s="7" customFormat="1" spans="33:33">
      <c r="AG14474" s="3"/>
    </row>
    <row r="14475" s="7" customFormat="1" spans="33:33">
      <c r="AG14475" s="3"/>
    </row>
    <row r="14476" s="7" customFormat="1" spans="33:33">
      <c r="AG14476" s="3"/>
    </row>
    <row r="14477" s="7" customFormat="1" spans="33:33">
      <c r="AG14477" s="3"/>
    </row>
    <row r="14478" s="7" customFormat="1" spans="33:33">
      <c r="AG14478" s="3"/>
    </row>
    <row r="14479" s="7" customFormat="1" spans="33:33">
      <c r="AG14479" s="3"/>
    </row>
    <row r="14480" s="7" customFormat="1" spans="33:33">
      <c r="AG14480" s="3"/>
    </row>
    <row r="14481" s="7" customFormat="1" spans="33:33">
      <c r="AG14481" s="3"/>
    </row>
    <row r="14482" s="7" customFormat="1" spans="33:33">
      <c r="AG14482" s="3"/>
    </row>
    <row r="14483" s="7" customFormat="1" spans="33:33">
      <c r="AG14483" s="3"/>
    </row>
    <row r="14484" s="7" customFormat="1" spans="33:33">
      <c r="AG14484" s="3"/>
    </row>
    <row r="14485" s="7" customFormat="1" spans="33:33">
      <c r="AG14485" s="3"/>
    </row>
    <row r="14486" s="7" customFormat="1" spans="33:33">
      <c r="AG14486" s="3"/>
    </row>
    <row r="14487" s="7" customFormat="1" spans="33:33">
      <c r="AG14487" s="3"/>
    </row>
    <row r="14488" s="7" customFormat="1" spans="33:33">
      <c r="AG14488" s="3"/>
    </row>
    <row r="14489" s="7" customFormat="1" spans="33:33">
      <c r="AG14489" s="3"/>
    </row>
    <row r="14490" s="7" customFormat="1" spans="33:33">
      <c r="AG14490" s="3"/>
    </row>
    <row r="14491" s="7" customFormat="1" spans="33:33">
      <c r="AG14491" s="3"/>
    </row>
    <row r="14492" s="7" customFormat="1" spans="33:33">
      <c r="AG14492" s="3"/>
    </row>
    <row r="14493" s="7" customFormat="1" spans="33:33">
      <c r="AG14493" s="3"/>
    </row>
    <row r="14494" s="7" customFormat="1" spans="33:33">
      <c r="AG14494" s="3"/>
    </row>
    <row r="14495" s="7" customFormat="1" spans="33:33">
      <c r="AG14495" s="3"/>
    </row>
    <row r="14496" s="7" customFormat="1" spans="33:33">
      <c r="AG14496" s="3"/>
    </row>
    <row r="14497" s="7" customFormat="1" spans="33:33">
      <c r="AG14497" s="3"/>
    </row>
    <row r="14498" s="7" customFormat="1" spans="33:33">
      <c r="AG14498" s="3"/>
    </row>
    <row r="14499" s="7" customFormat="1" spans="33:33">
      <c r="AG14499" s="3"/>
    </row>
    <row r="14500" s="7" customFormat="1" spans="33:33">
      <c r="AG14500" s="3"/>
    </row>
    <row r="14501" s="7" customFormat="1" spans="33:33">
      <c r="AG14501" s="3"/>
    </row>
    <row r="14502" s="7" customFormat="1" spans="33:33">
      <c r="AG14502" s="3"/>
    </row>
    <row r="14503" s="7" customFormat="1" spans="33:33">
      <c r="AG14503" s="3"/>
    </row>
    <row r="14504" s="7" customFormat="1" spans="33:33">
      <c r="AG14504" s="3"/>
    </row>
    <row r="14505" s="7" customFormat="1" spans="33:33">
      <c r="AG14505" s="3"/>
    </row>
    <row r="14506" s="7" customFormat="1" spans="33:33">
      <c r="AG14506" s="3"/>
    </row>
    <row r="14507" s="7" customFormat="1" spans="33:33">
      <c r="AG14507" s="3"/>
    </row>
    <row r="14508" s="7" customFormat="1" spans="33:33">
      <c r="AG14508" s="3"/>
    </row>
    <row r="14509" s="7" customFormat="1" spans="33:33">
      <c r="AG14509" s="3"/>
    </row>
    <row r="14510" s="7" customFormat="1" spans="33:33">
      <c r="AG14510" s="3"/>
    </row>
    <row r="14511" s="7" customFormat="1" spans="33:33">
      <c r="AG14511" s="3"/>
    </row>
    <row r="14512" s="7" customFormat="1" spans="33:33">
      <c r="AG14512" s="3"/>
    </row>
    <row r="14513" s="7" customFormat="1" spans="33:33">
      <c r="AG14513" s="3"/>
    </row>
    <row r="14514" s="7" customFormat="1" spans="33:33">
      <c r="AG14514" s="3"/>
    </row>
    <row r="14515" s="7" customFormat="1" spans="33:33">
      <c r="AG14515" s="3"/>
    </row>
    <row r="14516" s="7" customFormat="1" spans="33:33">
      <c r="AG14516" s="3"/>
    </row>
    <row r="14517" s="7" customFormat="1" spans="33:33">
      <c r="AG14517" s="3"/>
    </row>
    <row r="14518" s="7" customFormat="1" spans="33:33">
      <c r="AG14518" s="3"/>
    </row>
    <row r="14519" s="7" customFormat="1" spans="33:33">
      <c r="AG14519" s="3"/>
    </row>
    <row r="14520" s="7" customFormat="1" spans="33:33">
      <c r="AG14520" s="3"/>
    </row>
    <row r="14521" s="7" customFormat="1" spans="33:33">
      <c r="AG14521" s="3"/>
    </row>
    <row r="14522" s="7" customFormat="1" spans="33:33">
      <c r="AG14522" s="3"/>
    </row>
    <row r="14523" s="7" customFormat="1" spans="33:33">
      <c r="AG14523" s="3"/>
    </row>
    <row r="14524" s="7" customFormat="1" spans="33:33">
      <c r="AG14524" s="3"/>
    </row>
    <row r="14525" s="7" customFormat="1" spans="33:33">
      <c r="AG14525" s="3"/>
    </row>
    <row r="14526" s="7" customFormat="1" spans="33:33">
      <c r="AG14526" s="3"/>
    </row>
    <row r="14527" s="7" customFormat="1" spans="33:33">
      <c r="AG14527" s="3"/>
    </row>
    <row r="14528" s="7" customFormat="1" spans="33:33">
      <c r="AG14528" s="3"/>
    </row>
    <row r="14529" s="7" customFormat="1" spans="33:33">
      <c r="AG14529" s="3"/>
    </row>
    <row r="14530" s="7" customFormat="1" spans="33:33">
      <c r="AG14530" s="3"/>
    </row>
    <row r="14531" s="7" customFormat="1" spans="33:33">
      <c r="AG14531" s="3"/>
    </row>
    <row r="14532" s="7" customFormat="1" spans="33:33">
      <c r="AG14532" s="3"/>
    </row>
    <row r="14533" s="7" customFormat="1" spans="33:33">
      <c r="AG14533" s="3"/>
    </row>
    <row r="14534" s="7" customFormat="1" spans="33:33">
      <c r="AG14534" s="3"/>
    </row>
    <row r="14535" s="7" customFormat="1" spans="33:33">
      <c r="AG14535" s="3"/>
    </row>
    <row r="14536" s="7" customFormat="1" spans="33:33">
      <c r="AG14536" s="3"/>
    </row>
    <row r="14537" s="7" customFormat="1" spans="33:33">
      <c r="AG14537" s="3"/>
    </row>
    <row r="14538" s="7" customFormat="1" spans="33:33">
      <c r="AG14538" s="3"/>
    </row>
    <row r="14539" s="7" customFormat="1" spans="33:33">
      <c r="AG14539" s="3"/>
    </row>
    <row r="14540" s="7" customFormat="1" spans="33:33">
      <c r="AG14540" s="3"/>
    </row>
    <row r="14541" s="7" customFormat="1" spans="33:33">
      <c r="AG14541" s="3"/>
    </row>
    <row r="14542" s="7" customFormat="1" spans="33:33">
      <c r="AG14542" s="3"/>
    </row>
    <row r="14543" s="7" customFormat="1" spans="33:33">
      <c r="AG14543" s="3"/>
    </row>
    <row r="14544" s="7" customFormat="1" spans="33:33">
      <c r="AG14544" s="3"/>
    </row>
    <row r="14545" s="7" customFormat="1" spans="33:33">
      <c r="AG14545" s="3"/>
    </row>
    <row r="14546" s="7" customFormat="1" spans="33:33">
      <c r="AG14546" s="3"/>
    </row>
    <row r="14547" s="7" customFormat="1" spans="33:33">
      <c r="AG14547" s="3"/>
    </row>
    <row r="14548" s="7" customFormat="1" spans="33:33">
      <c r="AG14548" s="3"/>
    </row>
    <row r="14549" s="7" customFormat="1" spans="33:33">
      <c r="AG14549" s="3"/>
    </row>
    <row r="14550" s="7" customFormat="1" spans="33:33">
      <c r="AG14550" s="3"/>
    </row>
    <row r="14551" s="7" customFormat="1" spans="33:33">
      <c r="AG14551" s="3"/>
    </row>
    <row r="14552" s="7" customFormat="1" spans="33:33">
      <c r="AG14552" s="3"/>
    </row>
    <row r="14553" s="7" customFormat="1" spans="33:33">
      <c r="AG14553" s="3"/>
    </row>
    <row r="14554" s="7" customFormat="1" spans="33:33">
      <c r="AG14554" s="3"/>
    </row>
    <row r="14555" s="7" customFormat="1" spans="33:33">
      <c r="AG14555" s="3"/>
    </row>
    <row r="14556" s="7" customFormat="1" spans="33:33">
      <c r="AG14556" s="3"/>
    </row>
    <row r="14557" s="7" customFormat="1" spans="33:33">
      <c r="AG14557" s="3"/>
    </row>
    <row r="14558" s="7" customFormat="1" spans="33:33">
      <c r="AG14558" s="3"/>
    </row>
    <row r="14559" s="7" customFormat="1" spans="33:33">
      <c r="AG14559" s="3"/>
    </row>
    <row r="14560" s="7" customFormat="1" spans="33:33">
      <c r="AG14560" s="3"/>
    </row>
    <row r="14561" s="7" customFormat="1" spans="33:33">
      <c r="AG14561" s="3"/>
    </row>
    <row r="14562" s="7" customFormat="1" spans="33:33">
      <c r="AG14562" s="3"/>
    </row>
    <row r="14563" s="7" customFormat="1" spans="33:33">
      <c r="AG14563" s="3"/>
    </row>
    <row r="14564" s="7" customFormat="1" spans="33:33">
      <c r="AG14564" s="3"/>
    </row>
    <row r="14565" s="7" customFormat="1" spans="33:33">
      <c r="AG14565" s="3"/>
    </row>
    <row r="14566" s="7" customFormat="1" spans="33:33">
      <c r="AG14566" s="3"/>
    </row>
    <row r="14567" s="7" customFormat="1" spans="33:33">
      <c r="AG14567" s="3"/>
    </row>
    <row r="14568" s="7" customFormat="1" spans="33:33">
      <c r="AG14568" s="3"/>
    </row>
    <row r="14569" s="7" customFormat="1" spans="33:33">
      <c r="AG14569" s="3"/>
    </row>
    <row r="14570" s="7" customFormat="1" spans="33:33">
      <c r="AG14570" s="3"/>
    </row>
    <row r="14571" s="7" customFormat="1" spans="33:33">
      <c r="AG14571" s="3"/>
    </row>
    <row r="14572" s="7" customFormat="1" spans="33:33">
      <c r="AG14572" s="3"/>
    </row>
    <row r="14573" s="7" customFormat="1" spans="33:33">
      <c r="AG14573" s="3"/>
    </row>
    <row r="14574" s="7" customFormat="1" spans="33:33">
      <c r="AG14574" s="3"/>
    </row>
    <row r="14575" s="7" customFormat="1" spans="33:33">
      <c r="AG14575" s="3"/>
    </row>
    <row r="14576" s="7" customFormat="1" spans="33:33">
      <c r="AG14576" s="3"/>
    </row>
    <row r="14577" s="7" customFormat="1" spans="33:33">
      <c r="AG14577" s="3"/>
    </row>
    <row r="14578" s="7" customFormat="1" spans="33:33">
      <c r="AG14578" s="3"/>
    </row>
    <row r="14579" s="7" customFormat="1" spans="33:33">
      <c r="AG14579" s="3"/>
    </row>
    <row r="14580" s="7" customFormat="1" spans="33:33">
      <c r="AG14580" s="3"/>
    </row>
    <row r="14581" s="7" customFormat="1" spans="33:33">
      <c r="AG14581" s="3"/>
    </row>
    <row r="14582" s="7" customFormat="1" spans="33:33">
      <c r="AG14582" s="3"/>
    </row>
    <row r="14583" s="7" customFormat="1" spans="33:33">
      <c r="AG14583" s="3"/>
    </row>
    <row r="14584" s="7" customFormat="1" spans="33:33">
      <c r="AG14584" s="3"/>
    </row>
    <row r="14585" s="7" customFormat="1" spans="33:33">
      <c r="AG14585" s="3"/>
    </row>
    <row r="14586" s="7" customFormat="1" spans="33:33">
      <c r="AG14586" s="3"/>
    </row>
    <row r="14587" s="7" customFormat="1" spans="33:33">
      <c r="AG14587" s="3"/>
    </row>
    <row r="14588" s="7" customFormat="1" spans="33:33">
      <c r="AG14588" s="3"/>
    </row>
    <row r="14589" s="7" customFormat="1" spans="33:33">
      <c r="AG14589" s="3"/>
    </row>
    <row r="14590" s="7" customFormat="1" spans="33:33">
      <c r="AG14590" s="3"/>
    </row>
    <row r="14591" s="7" customFormat="1" spans="33:33">
      <c r="AG14591" s="3"/>
    </row>
    <row r="14592" s="7" customFormat="1" spans="33:33">
      <c r="AG14592" s="3"/>
    </row>
    <row r="14593" s="7" customFormat="1" spans="33:33">
      <c r="AG14593" s="3"/>
    </row>
    <row r="14594" s="7" customFormat="1" spans="33:33">
      <c r="AG14594" s="3"/>
    </row>
    <row r="14595" s="7" customFormat="1" spans="33:33">
      <c r="AG14595" s="3"/>
    </row>
    <row r="14596" s="7" customFormat="1" spans="33:33">
      <c r="AG14596" s="3"/>
    </row>
    <row r="14597" s="7" customFormat="1" spans="33:33">
      <c r="AG14597" s="3"/>
    </row>
    <row r="14598" s="7" customFormat="1" spans="33:33">
      <c r="AG14598" s="3"/>
    </row>
    <row r="14599" s="7" customFormat="1" spans="33:33">
      <c r="AG14599" s="3"/>
    </row>
    <row r="14600" s="7" customFormat="1" spans="33:33">
      <c r="AG14600" s="3"/>
    </row>
    <row r="14601" s="7" customFormat="1" spans="33:33">
      <c r="AG14601" s="3"/>
    </row>
    <row r="14602" s="7" customFormat="1" spans="33:33">
      <c r="AG14602" s="3"/>
    </row>
    <row r="14603" s="7" customFormat="1" spans="33:33">
      <c r="AG14603" s="3"/>
    </row>
    <row r="14604" s="7" customFormat="1" spans="33:33">
      <c r="AG14604" s="3"/>
    </row>
    <row r="14605" s="7" customFormat="1" spans="33:33">
      <c r="AG14605" s="3"/>
    </row>
    <row r="14606" s="7" customFormat="1" spans="33:33">
      <c r="AG14606" s="3"/>
    </row>
    <row r="14607" s="7" customFormat="1" spans="33:33">
      <c r="AG14607" s="3"/>
    </row>
    <row r="14608" s="7" customFormat="1" spans="33:33">
      <c r="AG14608" s="3"/>
    </row>
    <row r="14609" s="7" customFormat="1" spans="33:33">
      <c r="AG14609" s="3"/>
    </row>
    <row r="14610" s="7" customFormat="1" spans="33:33">
      <c r="AG14610" s="3"/>
    </row>
    <row r="14611" s="7" customFormat="1" spans="33:33">
      <c r="AG14611" s="3"/>
    </row>
    <row r="14612" s="7" customFormat="1" spans="33:33">
      <c r="AG14612" s="3"/>
    </row>
    <row r="14613" s="7" customFormat="1" spans="33:33">
      <c r="AG14613" s="3"/>
    </row>
    <row r="14614" s="7" customFormat="1" spans="33:33">
      <c r="AG14614" s="3"/>
    </row>
    <row r="14615" s="7" customFormat="1" spans="33:33">
      <c r="AG14615" s="3"/>
    </row>
    <row r="14616" s="7" customFormat="1" spans="33:33">
      <c r="AG14616" s="3"/>
    </row>
    <row r="14617" s="7" customFormat="1" spans="33:33">
      <c r="AG14617" s="3"/>
    </row>
    <row r="14618" s="7" customFormat="1" spans="33:33">
      <c r="AG14618" s="3"/>
    </row>
    <row r="14619" s="7" customFormat="1" spans="33:33">
      <c r="AG14619" s="3"/>
    </row>
    <row r="14620" s="7" customFormat="1" spans="33:33">
      <c r="AG14620" s="3"/>
    </row>
    <row r="14621" s="7" customFormat="1" spans="33:33">
      <c r="AG14621" s="3"/>
    </row>
    <row r="14622" s="7" customFormat="1" spans="33:33">
      <c r="AG14622" s="3"/>
    </row>
    <row r="14623" s="7" customFormat="1" spans="33:33">
      <c r="AG14623" s="3"/>
    </row>
    <row r="14624" s="7" customFormat="1" spans="33:33">
      <c r="AG14624" s="3"/>
    </row>
    <row r="14625" s="7" customFormat="1" spans="33:33">
      <c r="AG14625" s="3"/>
    </row>
    <row r="14626" s="7" customFormat="1" spans="33:33">
      <c r="AG14626" s="3"/>
    </row>
    <row r="14627" s="7" customFormat="1" spans="33:33">
      <c r="AG14627" s="3"/>
    </row>
    <row r="14628" s="7" customFormat="1" spans="33:33">
      <c r="AG14628" s="3"/>
    </row>
    <row r="14629" s="7" customFormat="1" spans="33:33">
      <c r="AG14629" s="3"/>
    </row>
    <row r="14630" s="7" customFormat="1" spans="33:33">
      <c r="AG14630" s="3"/>
    </row>
    <row r="14631" s="7" customFormat="1" spans="33:33">
      <c r="AG14631" s="3"/>
    </row>
    <row r="14632" s="7" customFormat="1" spans="33:33">
      <c r="AG14632" s="3"/>
    </row>
    <row r="14633" s="7" customFormat="1" spans="33:33">
      <c r="AG14633" s="3"/>
    </row>
    <row r="14634" s="7" customFormat="1" spans="33:33">
      <c r="AG14634" s="3"/>
    </row>
    <row r="14635" s="7" customFormat="1" spans="33:33">
      <c r="AG14635" s="3"/>
    </row>
    <row r="14636" s="7" customFormat="1" spans="33:33">
      <c r="AG14636" s="3"/>
    </row>
    <row r="14637" s="7" customFormat="1" spans="33:33">
      <c r="AG14637" s="3"/>
    </row>
    <row r="14638" s="7" customFormat="1" spans="33:33">
      <c r="AG14638" s="3"/>
    </row>
    <row r="14639" s="7" customFormat="1" spans="33:33">
      <c r="AG14639" s="3"/>
    </row>
    <row r="14640" s="7" customFormat="1" spans="33:33">
      <c r="AG14640" s="3"/>
    </row>
    <row r="14641" s="7" customFormat="1" spans="33:33">
      <c r="AG14641" s="3"/>
    </row>
    <row r="14642" s="7" customFormat="1" spans="33:33">
      <c r="AG14642" s="3"/>
    </row>
    <row r="14643" s="7" customFormat="1" spans="33:33">
      <c r="AG14643" s="3"/>
    </row>
    <row r="14644" s="7" customFormat="1" spans="33:33">
      <c r="AG14644" s="3"/>
    </row>
    <row r="14645" s="7" customFormat="1" spans="33:33">
      <c r="AG14645" s="3"/>
    </row>
    <row r="14646" s="7" customFormat="1" spans="33:33">
      <c r="AG14646" s="3"/>
    </row>
    <row r="14647" s="7" customFormat="1" spans="33:33">
      <c r="AG14647" s="3"/>
    </row>
    <row r="14648" s="7" customFormat="1" spans="33:33">
      <c r="AG14648" s="3"/>
    </row>
    <row r="14649" s="7" customFormat="1" spans="33:33">
      <c r="AG14649" s="3"/>
    </row>
    <row r="14650" s="7" customFormat="1" spans="33:33">
      <c r="AG14650" s="3"/>
    </row>
    <row r="14651" s="7" customFormat="1" spans="33:33">
      <c r="AG14651" s="3"/>
    </row>
    <row r="14652" s="7" customFormat="1" spans="33:33">
      <c r="AG14652" s="3"/>
    </row>
    <row r="14653" s="7" customFormat="1" spans="33:33">
      <c r="AG14653" s="3"/>
    </row>
    <row r="14654" s="7" customFormat="1" spans="33:33">
      <c r="AG14654" s="3"/>
    </row>
    <row r="14655" s="7" customFormat="1" spans="33:33">
      <c r="AG14655" s="3"/>
    </row>
    <row r="14656" s="7" customFormat="1" spans="33:33">
      <c r="AG14656" s="3"/>
    </row>
    <row r="14657" s="7" customFormat="1" spans="33:33">
      <c r="AG14657" s="3"/>
    </row>
    <row r="14658" s="7" customFormat="1" spans="33:33">
      <c r="AG14658" s="3"/>
    </row>
    <row r="14659" s="7" customFormat="1" spans="33:33">
      <c r="AG14659" s="3"/>
    </row>
    <row r="14660" s="7" customFormat="1" spans="33:33">
      <c r="AG14660" s="3"/>
    </row>
    <row r="14661" s="7" customFormat="1" spans="33:33">
      <c r="AG14661" s="3"/>
    </row>
    <row r="14662" s="7" customFormat="1" spans="33:33">
      <c r="AG14662" s="3"/>
    </row>
    <row r="14663" s="7" customFormat="1" spans="33:33">
      <c r="AG14663" s="3"/>
    </row>
    <row r="14664" s="7" customFormat="1" spans="33:33">
      <c r="AG14664" s="3"/>
    </row>
    <row r="14665" s="7" customFormat="1" spans="33:33">
      <c r="AG14665" s="3"/>
    </row>
    <row r="14666" s="7" customFormat="1" spans="33:33">
      <c r="AG14666" s="3"/>
    </row>
    <row r="14667" s="7" customFormat="1" spans="33:33">
      <c r="AG14667" s="3"/>
    </row>
    <row r="14668" s="7" customFormat="1" spans="33:33">
      <c r="AG14668" s="3"/>
    </row>
    <row r="14669" s="7" customFormat="1" spans="33:33">
      <c r="AG14669" s="3"/>
    </row>
    <row r="14670" s="7" customFormat="1" spans="33:33">
      <c r="AG14670" s="3"/>
    </row>
    <row r="14671" s="7" customFormat="1" spans="33:33">
      <c r="AG14671" s="3"/>
    </row>
    <row r="14672" s="7" customFormat="1" spans="33:33">
      <c r="AG14672" s="3"/>
    </row>
    <row r="14673" s="7" customFormat="1" spans="33:33">
      <c r="AG14673" s="3"/>
    </row>
    <row r="14674" s="7" customFormat="1" spans="33:33">
      <c r="AG14674" s="3"/>
    </row>
    <row r="14675" s="7" customFormat="1" spans="33:33">
      <c r="AG14675" s="3"/>
    </row>
    <row r="14676" s="7" customFormat="1" spans="33:33">
      <c r="AG14676" s="3"/>
    </row>
    <row r="14677" s="7" customFormat="1" spans="33:33">
      <c r="AG14677" s="3"/>
    </row>
    <row r="14678" s="7" customFormat="1" spans="33:33">
      <c r="AG14678" s="3"/>
    </row>
    <row r="14679" s="7" customFormat="1" spans="33:33">
      <c r="AG14679" s="3"/>
    </row>
    <row r="14680" s="7" customFormat="1" spans="33:33">
      <c r="AG14680" s="3"/>
    </row>
    <row r="14681" s="7" customFormat="1" spans="33:33">
      <c r="AG14681" s="3"/>
    </row>
    <row r="14682" s="7" customFormat="1" spans="33:33">
      <c r="AG14682" s="3"/>
    </row>
    <row r="14683" s="7" customFormat="1" spans="33:33">
      <c r="AG14683" s="3"/>
    </row>
    <row r="14684" s="7" customFormat="1" spans="33:33">
      <c r="AG14684" s="3"/>
    </row>
    <row r="14685" s="7" customFormat="1" spans="33:33">
      <c r="AG14685" s="3"/>
    </row>
    <row r="14686" s="7" customFormat="1" spans="33:33">
      <c r="AG14686" s="3"/>
    </row>
    <row r="14687" s="7" customFormat="1" spans="33:33">
      <c r="AG14687" s="3"/>
    </row>
    <row r="14688" s="7" customFormat="1" spans="33:33">
      <c r="AG14688" s="3"/>
    </row>
    <row r="14689" s="7" customFormat="1" spans="33:33">
      <c r="AG14689" s="3"/>
    </row>
    <row r="14690" s="7" customFormat="1" spans="33:33">
      <c r="AG14690" s="3"/>
    </row>
    <row r="14691" s="7" customFormat="1" spans="33:33">
      <c r="AG14691" s="3"/>
    </row>
    <row r="14692" s="7" customFormat="1" spans="33:33">
      <c r="AG14692" s="3"/>
    </row>
    <row r="14693" s="7" customFormat="1" spans="33:33">
      <c r="AG14693" s="3"/>
    </row>
    <row r="14694" s="7" customFormat="1" spans="33:33">
      <c r="AG14694" s="3"/>
    </row>
    <row r="14695" s="7" customFormat="1" spans="33:33">
      <c r="AG14695" s="3"/>
    </row>
    <row r="14696" s="7" customFormat="1" spans="33:33">
      <c r="AG14696" s="3"/>
    </row>
    <row r="14697" s="7" customFormat="1" spans="33:33">
      <c r="AG14697" s="3"/>
    </row>
    <row r="14698" s="7" customFormat="1" spans="33:33">
      <c r="AG14698" s="3"/>
    </row>
    <row r="14699" s="7" customFormat="1" spans="33:33">
      <c r="AG14699" s="3"/>
    </row>
    <row r="14700" s="7" customFormat="1" spans="33:33">
      <c r="AG14700" s="3"/>
    </row>
    <row r="14701" s="7" customFormat="1" spans="33:33">
      <c r="AG14701" s="3"/>
    </row>
    <row r="14702" s="7" customFormat="1" spans="33:33">
      <c r="AG14702" s="3"/>
    </row>
    <row r="14703" s="7" customFormat="1" spans="33:33">
      <c r="AG14703" s="3"/>
    </row>
    <row r="14704" s="7" customFormat="1" spans="33:33">
      <c r="AG14704" s="3"/>
    </row>
    <row r="14705" s="7" customFormat="1" spans="33:33">
      <c r="AG14705" s="3"/>
    </row>
    <row r="14706" s="7" customFormat="1" spans="33:33">
      <c r="AG14706" s="3"/>
    </row>
    <row r="14707" s="7" customFormat="1" spans="33:33">
      <c r="AG14707" s="3"/>
    </row>
    <row r="14708" s="7" customFormat="1" spans="33:33">
      <c r="AG14708" s="3"/>
    </row>
    <row r="14709" s="7" customFormat="1" spans="33:33">
      <c r="AG14709" s="3"/>
    </row>
    <row r="14710" s="7" customFormat="1" spans="33:33">
      <c r="AG14710" s="3"/>
    </row>
    <row r="14711" s="7" customFormat="1" spans="33:33">
      <c r="AG14711" s="3"/>
    </row>
    <row r="14712" s="7" customFormat="1" spans="33:33">
      <c r="AG14712" s="3"/>
    </row>
    <row r="14713" s="7" customFormat="1" spans="33:33">
      <c r="AG14713" s="3"/>
    </row>
    <row r="14714" s="7" customFormat="1" spans="33:33">
      <c r="AG14714" s="3"/>
    </row>
    <row r="14715" s="7" customFormat="1" spans="33:33">
      <c r="AG14715" s="3"/>
    </row>
    <row r="14716" s="7" customFormat="1" spans="33:33">
      <c r="AG14716" s="3"/>
    </row>
    <row r="14717" s="7" customFormat="1" spans="33:33">
      <c r="AG14717" s="3"/>
    </row>
    <row r="14718" s="7" customFormat="1" spans="33:33">
      <c r="AG14718" s="3"/>
    </row>
    <row r="14719" s="7" customFormat="1" spans="33:33">
      <c r="AG14719" s="3"/>
    </row>
    <row r="14720" s="7" customFormat="1" spans="33:33">
      <c r="AG14720" s="3"/>
    </row>
    <row r="14721" s="7" customFormat="1" spans="33:33">
      <c r="AG14721" s="3"/>
    </row>
    <row r="14722" s="7" customFormat="1" spans="33:33">
      <c r="AG14722" s="3"/>
    </row>
    <row r="14723" s="7" customFormat="1" spans="33:33">
      <c r="AG14723" s="3"/>
    </row>
    <row r="14724" s="7" customFormat="1" spans="33:33">
      <c r="AG14724" s="3"/>
    </row>
    <row r="14725" s="7" customFormat="1" spans="33:33">
      <c r="AG14725" s="3"/>
    </row>
    <row r="14726" s="7" customFormat="1" spans="33:33">
      <c r="AG14726" s="3"/>
    </row>
    <row r="14727" s="7" customFormat="1" spans="33:33">
      <c r="AG14727" s="3"/>
    </row>
    <row r="14728" s="7" customFormat="1" spans="33:33">
      <c r="AG14728" s="3"/>
    </row>
    <row r="14729" s="7" customFormat="1" spans="33:33">
      <c r="AG14729" s="3"/>
    </row>
    <row r="14730" s="7" customFormat="1" spans="33:33">
      <c r="AG14730" s="3"/>
    </row>
    <row r="14731" s="7" customFormat="1" spans="33:33">
      <c r="AG14731" s="3"/>
    </row>
    <row r="14732" s="7" customFormat="1" spans="33:33">
      <c r="AG14732" s="3"/>
    </row>
    <row r="14733" s="7" customFormat="1" spans="33:33">
      <c r="AG14733" s="3"/>
    </row>
    <row r="14734" s="7" customFormat="1" spans="33:33">
      <c r="AG14734" s="3"/>
    </row>
    <row r="14735" s="7" customFormat="1" spans="33:33">
      <c r="AG14735" s="3"/>
    </row>
    <row r="14736" s="7" customFormat="1" spans="33:33">
      <c r="AG14736" s="3"/>
    </row>
    <row r="14737" s="7" customFormat="1" spans="33:33">
      <c r="AG14737" s="3"/>
    </row>
    <row r="14738" s="7" customFormat="1" spans="33:33">
      <c r="AG14738" s="3"/>
    </row>
    <row r="14739" s="7" customFormat="1" spans="33:33">
      <c r="AG14739" s="3"/>
    </row>
    <row r="14740" s="7" customFormat="1" spans="33:33">
      <c r="AG14740" s="3"/>
    </row>
    <row r="14741" s="7" customFormat="1" spans="33:33">
      <c r="AG14741" s="3"/>
    </row>
    <row r="14742" s="7" customFormat="1" spans="33:33">
      <c r="AG14742" s="3"/>
    </row>
    <row r="14743" s="7" customFormat="1" spans="33:33">
      <c r="AG14743" s="3"/>
    </row>
    <row r="14744" s="7" customFormat="1" spans="33:33">
      <c r="AG14744" s="3"/>
    </row>
    <row r="14745" s="7" customFormat="1" spans="33:33">
      <c r="AG14745" s="3"/>
    </row>
    <row r="14746" s="7" customFormat="1" spans="33:33">
      <c r="AG14746" s="3"/>
    </row>
    <row r="14747" s="7" customFormat="1" spans="33:33">
      <c r="AG14747" s="3"/>
    </row>
    <row r="14748" s="7" customFormat="1" spans="33:33">
      <c r="AG14748" s="3"/>
    </row>
    <row r="14749" s="7" customFormat="1" spans="33:33">
      <c r="AG14749" s="3"/>
    </row>
    <row r="14750" s="7" customFormat="1" spans="33:33">
      <c r="AG14750" s="3"/>
    </row>
    <row r="14751" s="7" customFormat="1" spans="33:33">
      <c r="AG14751" s="3"/>
    </row>
    <row r="14752" s="7" customFormat="1" spans="33:33">
      <c r="AG14752" s="3"/>
    </row>
    <row r="14753" s="7" customFormat="1" spans="33:33">
      <c r="AG14753" s="3"/>
    </row>
    <row r="14754" s="7" customFormat="1" spans="33:33">
      <c r="AG14754" s="3"/>
    </row>
    <row r="14755" s="7" customFormat="1" spans="33:33">
      <c r="AG14755" s="3"/>
    </row>
    <row r="14756" s="7" customFormat="1" spans="33:33">
      <c r="AG14756" s="3"/>
    </row>
    <row r="14757" s="7" customFormat="1" spans="33:33">
      <c r="AG14757" s="3"/>
    </row>
    <row r="14758" s="7" customFormat="1" spans="33:33">
      <c r="AG14758" s="3"/>
    </row>
    <row r="14759" s="7" customFormat="1" spans="33:33">
      <c r="AG14759" s="3"/>
    </row>
    <row r="14760" s="7" customFormat="1" spans="33:33">
      <c r="AG14760" s="3"/>
    </row>
    <row r="14761" s="7" customFormat="1" spans="33:33">
      <c r="AG14761" s="3"/>
    </row>
    <row r="14762" s="7" customFormat="1" spans="33:33">
      <c r="AG14762" s="3"/>
    </row>
    <row r="14763" s="7" customFormat="1" spans="33:33">
      <c r="AG14763" s="3"/>
    </row>
    <row r="14764" s="7" customFormat="1" spans="33:33">
      <c r="AG14764" s="3"/>
    </row>
    <row r="14765" s="7" customFormat="1" spans="33:33">
      <c r="AG14765" s="3"/>
    </row>
    <row r="14766" s="7" customFormat="1" spans="33:33">
      <c r="AG14766" s="3"/>
    </row>
    <row r="14767" s="7" customFormat="1" spans="33:33">
      <c r="AG14767" s="3"/>
    </row>
    <row r="14768" s="7" customFormat="1" spans="33:33">
      <c r="AG14768" s="3"/>
    </row>
    <row r="14769" s="7" customFormat="1" spans="33:33">
      <c r="AG14769" s="3"/>
    </row>
    <row r="14770" s="7" customFormat="1" spans="33:33">
      <c r="AG14770" s="3"/>
    </row>
    <row r="14771" s="7" customFormat="1" spans="33:33">
      <c r="AG14771" s="3"/>
    </row>
    <row r="14772" s="7" customFormat="1" spans="33:33">
      <c r="AG14772" s="3"/>
    </row>
    <row r="14773" s="7" customFormat="1" spans="33:33">
      <c r="AG14773" s="3"/>
    </row>
    <row r="14774" s="7" customFormat="1" spans="33:33">
      <c r="AG14774" s="3"/>
    </row>
    <row r="14775" s="7" customFormat="1" spans="33:33">
      <c r="AG14775" s="3"/>
    </row>
    <row r="14776" s="7" customFormat="1" spans="33:33">
      <c r="AG14776" s="3"/>
    </row>
    <row r="14777" s="7" customFormat="1" spans="33:33">
      <c r="AG14777" s="3"/>
    </row>
    <row r="14778" s="7" customFormat="1" spans="33:33">
      <c r="AG14778" s="3"/>
    </row>
    <row r="14779" s="7" customFormat="1" spans="33:33">
      <c r="AG14779" s="3"/>
    </row>
    <row r="14780" s="7" customFormat="1" spans="33:33">
      <c r="AG14780" s="3"/>
    </row>
    <row r="14781" s="7" customFormat="1" spans="33:33">
      <c r="AG14781" s="3"/>
    </row>
    <row r="14782" s="7" customFormat="1" spans="33:33">
      <c r="AG14782" s="3"/>
    </row>
    <row r="14783" s="7" customFormat="1" spans="33:33">
      <c r="AG14783" s="3"/>
    </row>
    <row r="14784" s="7" customFormat="1" spans="33:33">
      <c r="AG14784" s="3"/>
    </row>
    <row r="14785" s="7" customFormat="1" spans="33:33">
      <c r="AG14785" s="3"/>
    </row>
    <row r="14786" s="7" customFormat="1" spans="33:33">
      <c r="AG14786" s="3"/>
    </row>
    <row r="14787" s="7" customFormat="1" spans="33:33">
      <c r="AG14787" s="3"/>
    </row>
    <row r="14788" s="7" customFormat="1" spans="33:33">
      <c r="AG14788" s="3"/>
    </row>
    <row r="14789" s="7" customFormat="1" spans="33:33">
      <c r="AG14789" s="3"/>
    </row>
    <row r="14790" s="7" customFormat="1" spans="33:33">
      <c r="AG14790" s="3"/>
    </row>
    <row r="14791" s="7" customFormat="1" spans="33:33">
      <c r="AG14791" s="3"/>
    </row>
    <row r="14792" s="7" customFormat="1" spans="33:33">
      <c r="AG14792" s="3"/>
    </row>
    <row r="14793" s="7" customFormat="1" spans="33:33">
      <c r="AG14793" s="3"/>
    </row>
    <row r="14794" s="7" customFormat="1" spans="33:33">
      <c r="AG14794" s="3"/>
    </row>
    <row r="14795" s="7" customFormat="1" spans="33:33">
      <c r="AG14795" s="3"/>
    </row>
    <row r="14796" s="7" customFormat="1" spans="33:33">
      <c r="AG14796" s="3"/>
    </row>
    <row r="14797" s="7" customFormat="1" spans="33:33">
      <c r="AG14797" s="3"/>
    </row>
    <row r="14798" s="7" customFormat="1" spans="33:33">
      <c r="AG14798" s="3"/>
    </row>
    <row r="14799" s="7" customFormat="1" spans="33:33">
      <c r="AG14799" s="3"/>
    </row>
    <row r="14800" s="7" customFormat="1" spans="33:33">
      <c r="AG14800" s="3"/>
    </row>
    <row r="14801" s="7" customFormat="1" spans="33:33">
      <c r="AG14801" s="3"/>
    </row>
    <row r="14802" s="7" customFormat="1" spans="33:33">
      <c r="AG14802" s="3"/>
    </row>
    <row r="14803" s="7" customFormat="1" spans="33:33">
      <c r="AG14803" s="3"/>
    </row>
    <row r="14804" s="7" customFormat="1" spans="33:33">
      <c r="AG14804" s="3"/>
    </row>
    <row r="14805" s="7" customFormat="1" spans="33:33">
      <c r="AG14805" s="3"/>
    </row>
    <row r="14806" s="7" customFormat="1" spans="33:33">
      <c r="AG14806" s="3"/>
    </row>
    <row r="14807" s="7" customFormat="1" spans="33:33">
      <c r="AG14807" s="3"/>
    </row>
    <row r="14808" s="7" customFormat="1" spans="33:33">
      <c r="AG14808" s="3"/>
    </row>
    <row r="14809" s="7" customFormat="1" spans="33:33">
      <c r="AG14809" s="3"/>
    </row>
    <row r="14810" s="7" customFormat="1" spans="33:33">
      <c r="AG14810" s="3"/>
    </row>
    <row r="14811" s="7" customFormat="1" spans="33:33">
      <c r="AG14811" s="3"/>
    </row>
    <row r="14812" s="7" customFormat="1" spans="33:33">
      <c r="AG14812" s="3"/>
    </row>
    <row r="14813" s="7" customFormat="1" spans="33:33">
      <c r="AG14813" s="3"/>
    </row>
    <row r="14814" s="7" customFormat="1" spans="33:33">
      <c r="AG14814" s="3"/>
    </row>
    <row r="14815" s="7" customFormat="1" spans="33:33">
      <c r="AG14815" s="3"/>
    </row>
    <row r="14816" s="7" customFormat="1" spans="33:33">
      <c r="AG14816" s="3"/>
    </row>
    <row r="14817" s="7" customFormat="1" spans="33:33">
      <c r="AG14817" s="3"/>
    </row>
    <row r="14818" s="7" customFormat="1" spans="33:33">
      <c r="AG14818" s="3"/>
    </row>
    <row r="14819" s="7" customFormat="1" spans="33:33">
      <c r="AG14819" s="3"/>
    </row>
    <row r="14820" s="7" customFormat="1" spans="33:33">
      <c r="AG14820" s="3"/>
    </row>
    <row r="14821" s="7" customFormat="1" spans="33:33">
      <c r="AG14821" s="3"/>
    </row>
    <row r="14822" s="7" customFormat="1" spans="33:33">
      <c r="AG14822" s="3"/>
    </row>
    <row r="14823" s="7" customFormat="1" spans="33:33">
      <c r="AG14823" s="3"/>
    </row>
    <row r="14824" s="7" customFormat="1" spans="33:33">
      <c r="AG14824" s="3"/>
    </row>
    <row r="14825" s="7" customFormat="1" spans="33:33">
      <c r="AG14825" s="3"/>
    </row>
    <row r="14826" s="7" customFormat="1" spans="33:33">
      <c r="AG14826" s="3"/>
    </row>
    <row r="14827" s="7" customFormat="1" spans="33:33">
      <c r="AG14827" s="3"/>
    </row>
    <row r="14828" s="7" customFormat="1" spans="33:33">
      <c r="AG14828" s="3"/>
    </row>
    <row r="14829" s="7" customFormat="1" spans="33:33">
      <c r="AG14829" s="3"/>
    </row>
    <row r="14830" s="7" customFormat="1" spans="33:33">
      <c r="AG14830" s="3"/>
    </row>
    <row r="14831" s="7" customFormat="1" spans="33:33">
      <c r="AG14831" s="3"/>
    </row>
    <row r="14832" s="7" customFormat="1" spans="33:33">
      <c r="AG14832" s="3"/>
    </row>
    <row r="14833" s="7" customFormat="1" spans="33:33">
      <c r="AG14833" s="3"/>
    </row>
    <row r="14834" s="7" customFormat="1" spans="33:33">
      <c r="AG14834" s="3"/>
    </row>
    <row r="14835" s="7" customFormat="1" spans="33:33">
      <c r="AG14835" s="3"/>
    </row>
    <row r="14836" s="7" customFormat="1" spans="33:33">
      <c r="AG14836" s="3"/>
    </row>
    <row r="14837" s="7" customFormat="1" spans="33:33">
      <c r="AG14837" s="3"/>
    </row>
    <row r="14838" s="7" customFormat="1" spans="33:33">
      <c r="AG14838" s="3"/>
    </row>
    <row r="14839" s="7" customFormat="1" spans="33:33">
      <c r="AG14839" s="3"/>
    </row>
    <row r="14840" s="7" customFormat="1" spans="33:33">
      <c r="AG14840" s="3"/>
    </row>
    <row r="14841" s="7" customFormat="1" spans="33:33">
      <c r="AG14841" s="3"/>
    </row>
    <row r="14842" s="7" customFormat="1" spans="33:33">
      <c r="AG14842" s="3"/>
    </row>
    <row r="14843" s="7" customFormat="1" spans="33:33">
      <c r="AG14843" s="3"/>
    </row>
    <row r="14844" s="7" customFormat="1" spans="33:33">
      <c r="AG14844" s="3"/>
    </row>
    <row r="14845" s="7" customFormat="1" spans="33:33">
      <c r="AG14845" s="3"/>
    </row>
    <row r="14846" s="7" customFormat="1" spans="33:33">
      <c r="AG14846" s="3"/>
    </row>
    <row r="14847" s="7" customFormat="1" spans="33:33">
      <c r="AG14847" s="3"/>
    </row>
    <row r="14848" s="7" customFormat="1" spans="33:33">
      <c r="AG14848" s="3"/>
    </row>
    <row r="14849" s="7" customFormat="1" spans="33:33">
      <c r="AG14849" s="3"/>
    </row>
    <row r="14850" s="7" customFormat="1" spans="33:33">
      <c r="AG14850" s="3"/>
    </row>
    <row r="14851" s="7" customFormat="1" spans="33:33">
      <c r="AG14851" s="3"/>
    </row>
    <row r="14852" s="7" customFormat="1" spans="33:33">
      <c r="AG14852" s="3"/>
    </row>
    <row r="14853" s="7" customFormat="1" spans="33:33">
      <c r="AG14853" s="3"/>
    </row>
    <row r="14854" s="7" customFormat="1" spans="33:33">
      <c r="AG14854" s="3"/>
    </row>
    <row r="14855" s="7" customFormat="1" spans="33:33">
      <c r="AG14855" s="3"/>
    </row>
    <row r="14856" s="7" customFormat="1" spans="33:33">
      <c r="AG14856" s="3"/>
    </row>
    <row r="14857" s="7" customFormat="1" spans="33:33">
      <c r="AG14857" s="3"/>
    </row>
    <row r="14858" s="7" customFormat="1" spans="33:33">
      <c r="AG14858" s="3"/>
    </row>
    <row r="14859" s="7" customFormat="1" spans="33:33">
      <c r="AG14859" s="3"/>
    </row>
    <row r="14860" s="7" customFormat="1" spans="33:33">
      <c r="AG14860" s="3"/>
    </row>
    <row r="14861" s="7" customFormat="1" spans="33:33">
      <c r="AG14861" s="3"/>
    </row>
    <row r="14862" s="7" customFormat="1" spans="33:33">
      <c r="AG14862" s="3"/>
    </row>
    <row r="14863" s="7" customFormat="1" spans="33:33">
      <c r="AG14863" s="3"/>
    </row>
    <row r="14864" s="7" customFormat="1" spans="33:33">
      <c r="AG14864" s="3"/>
    </row>
    <row r="14865" s="7" customFormat="1" spans="33:33">
      <c r="AG14865" s="3"/>
    </row>
    <row r="14866" s="7" customFormat="1" spans="33:33">
      <c r="AG14866" s="3"/>
    </row>
    <row r="14867" s="7" customFormat="1" spans="33:33">
      <c r="AG14867" s="3"/>
    </row>
    <row r="14868" s="7" customFormat="1" spans="33:33">
      <c r="AG14868" s="3"/>
    </row>
    <row r="14869" s="7" customFormat="1" spans="33:33">
      <c r="AG14869" s="3"/>
    </row>
    <row r="14870" s="7" customFormat="1" spans="33:33">
      <c r="AG14870" s="3"/>
    </row>
    <row r="14871" s="7" customFormat="1" spans="33:33">
      <c r="AG14871" s="3"/>
    </row>
    <row r="14872" s="7" customFormat="1" spans="33:33">
      <c r="AG14872" s="3"/>
    </row>
    <row r="14873" s="7" customFormat="1" spans="33:33">
      <c r="AG14873" s="3"/>
    </row>
    <row r="14874" s="7" customFormat="1" spans="33:33">
      <c r="AG14874" s="3"/>
    </row>
    <row r="14875" s="7" customFormat="1" spans="33:33">
      <c r="AG14875" s="3"/>
    </row>
    <row r="14876" s="7" customFormat="1" spans="33:33">
      <c r="AG14876" s="3"/>
    </row>
    <row r="14877" s="7" customFormat="1" spans="33:33">
      <c r="AG14877" s="3"/>
    </row>
    <row r="14878" s="7" customFormat="1" spans="33:33">
      <c r="AG14878" s="3"/>
    </row>
    <row r="14879" s="7" customFormat="1" spans="33:33">
      <c r="AG14879" s="3"/>
    </row>
    <row r="14880" s="7" customFormat="1" spans="33:33">
      <c r="AG14880" s="3"/>
    </row>
    <row r="14881" s="7" customFormat="1" spans="33:33">
      <c r="AG14881" s="3"/>
    </row>
    <row r="14882" s="7" customFormat="1" spans="33:33">
      <c r="AG14882" s="3"/>
    </row>
    <row r="14883" s="7" customFormat="1" spans="33:33">
      <c r="AG14883" s="3"/>
    </row>
    <row r="14884" s="7" customFormat="1" spans="33:33">
      <c r="AG14884" s="3"/>
    </row>
    <row r="14885" s="7" customFormat="1" spans="33:33">
      <c r="AG14885" s="3"/>
    </row>
    <row r="14886" s="7" customFormat="1" spans="33:33">
      <c r="AG14886" s="3"/>
    </row>
    <row r="14887" s="7" customFormat="1" spans="33:33">
      <c r="AG14887" s="3"/>
    </row>
    <row r="14888" s="7" customFormat="1" spans="33:33">
      <c r="AG14888" s="3"/>
    </row>
    <row r="14889" s="7" customFormat="1" spans="33:33">
      <c r="AG14889" s="3"/>
    </row>
    <row r="14890" s="7" customFormat="1" spans="33:33">
      <c r="AG14890" s="3"/>
    </row>
    <row r="14891" s="7" customFormat="1" spans="33:33">
      <c r="AG14891" s="3"/>
    </row>
    <row r="14892" s="7" customFormat="1" spans="33:33">
      <c r="AG14892" s="3"/>
    </row>
    <row r="14893" s="7" customFormat="1" spans="33:33">
      <c r="AG14893" s="3"/>
    </row>
    <row r="14894" s="7" customFormat="1" spans="33:33">
      <c r="AG14894" s="3"/>
    </row>
    <row r="14895" s="7" customFormat="1" spans="33:33">
      <c r="AG14895" s="3"/>
    </row>
    <row r="14896" s="7" customFormat="1" spans="33:33">
      <c r="AG14896" s="3"/>
    </row>
    <row r="14897" s="7" customFormat="1" spans="33:33">
      <c r="AG14897" s="3"/>
    </row>
    <row r="14898" s="7" customFormat="1" spans="33:33">
      <c r="AG14898" s="3"/>
    </row>
    <row r="14899" s="7" customFormat="1" spans="33:33">
      <c r="AG14899" s="3"/>
    </row>
    <row r="14900" s="7" customFormat="1" spans="33:33">
      <c r="AG14900" s="3"/>
    </row>
    <row r="14901" s="7" customFormat="1" spans="33:33">
      <c r="AG14901" s="3"/>
    </row>
    <row r="14902" s="7" customFormat="1" spans="33:33">
      <c r="AG14902" s="3"/>
    </row>
    <row r="14903" s="7" customFormat="1" spans="33:33">
      <c r="AG14903" s="3"/>
    </row>
    <row r="14904" s="7" customFormat="1" spans="33:33">
      <c r="AG14904" s="3"/>
    </row>
    <row r="14905" s="7" customFormat="1" spans="33:33">
      <c r="AG14905" s="3"/>
    </row>
    <row r="14906" s="7" customFormat="1" spans="33:33">
      <c r="AG14906" s="3"/>
    </row>
    <row r="14907" s="7" customFormat="1" spans="33:33">
      <c r="AG14907" s="3"/>
    </row>
    <row r="14908" s="7" customFormat="1" spans="33:33">
      <c r="AG14908" s="3"/>
    </row>
    <row r="14909" s="7" customFormat="1" spans="33:33">
      <c r="AG14909" s="3"/>
    </row>
    <row r="14910" s="7" customFormat="1" spans="33:33">
      <c r="AG14910" s="3"/>
    </row>
    <row r="14911" s="7" customFormat="1" spans="33:33">
      <c r="AG14911" s="3"/>
    </row>
    <row r="14912" s="7" customFormat="1" spans="33:33">
      <c r="AG14912" s="3"/>
    </row>
    <row r="14913" s="7" customFormat="1" spans="33:33">
      <c r="AG14913" s="3"/>
    </row>
    <row r="14914" s="7" customFormat="1" spans="33:33">
      <c r="AG14914" s="3"/>
    </row>
    <row r="14915" s="7" customFormat="1" spans="33:33">
      <c r="AG14915" s="3"/>
    </row>
    <row r="14916" s="7" customFormat="1" spans="33:33">
      <c r="AG14916" s="3"/>
    </row>
    <row r="14917" s="7" customFormat="1" spans="33:33">
      <c r="AG14917" s="3"/>
    </row>
    <row r="14918" s="7" customFormat="1" spans="33:33">
      <c r="AG14918" s="3"/>
    </row>
    <row r="14919" s="7" customFormat="1" spans="33:33">
      <c r="AG14919" s="3"/>
    </row>
    <row r="14920" s="7" customFormat="1" spans="33:33">
      <c r="AG14920" s="3"/>
    </row>
    <row r="14921" s="7" customFormat="1" spans="33:33">
      <c r="AG14921" s="3"/>
    </row>
    <row r="14922" s="7" customFormat="1" spans="33:33">
      <c r="AG14922" s="3"/>
    </row>
    <row r="14923" s="7" customFormat="1" spans="33:33">
      <c r="AG14923" s="3"/>
    </row>
    <row r="14924" s="7" customFormat="1" spans="33:33">
      <c r="AG14924" s="3"/>
    </row>
    <row r="14925" s="7" customFormat="1" spans="33:33">
      <c r="AG14925" s="3"/>
    </row>
    <row r="14926" s="7" customFormat="1" spans="33:33">
      <c r="AG14926" s="3"/>
    </row>
    <row r="14927" s="7" customFormat="1" spans="33:33">
      <c r="AG14927" s="3"/>
    </row>
    <row r="14928" s="7" customFormat="1" spans="33:33">
      <c r="AG14928" s="3"/>
    </row>
    <row r="14929" s="7" customFormat="1" spans="33:33">
      <c r="AG14929" s="3"/>
    </row>
    <row r="14930" s="7" customFormat="1" spans="33:33">
      <c r="AG14930" s="3"/>
    </row>
    <row r="14931" s="7" customFormat="1" spans="33:33">
      <c r="AG14931" s="3"/>
    </row>
    <row r="14932" s="7" customFormat="1" spans="33:33">
      <c r="AG14932" s="3"/>
    </row>
    <row r="14933" s="7" customFormat="1" spans="33:33">
      <c r="AG14933" s="3"/>
    </row>
    <row r="14934" s="7" customFormat="1" spans="33:33">
      <c r="AG14934" s="3"/>
    </row>
    <row r="14935" s="7" customFormat="1" spans="33:33">
      <c r="AG14935" s="3"/>
    </row>
    <row r="14936" s="7" customFormat="1" spans="33:33">
      <c r="AG14936" s="3"/>
    </row>
    <row r="14937" s="7" customFormat="1" spans="33:33">
      <c r="AG14937" s="3"/>
    </row>
    <row r="14938" s="7" customFormat="1" spans="33:33">
      <c r="AG14938" s="3"/>
    </row>
    <row r="14939" s="7" customFormat="1" spans="33:33">
      <c r="AG14939" s="3"/>
    </row>
    <row r="14940" s="7" customFormat="1" spans="33:33">
      <c r="AG14940" s="3"/>
    </row>
    <row r="14941" s="7" customFormat="1" spans="33:33">
      <c r="AG14941" s="3"/>
    </row>
    <row r="14942" s="7" customFormat="1" spans="33:33">
      <c r="AG14942" s="3"/>
    </row>
    <row r="14943" s="7" customFormat="1" spans="33:33">
      <c r="AG14943" s="3"/>
    </row>
    <row r="14944" s="7" customFormat="1" spans="33:33">
      <c r="AG14944" s="3"/>
    </row>
    <row r="14945" s="7" customFormat="1" spans="33:33">
      <c r="AG14945" s="3"/>
    </row>
    <row r="14946" s="7" customFormat="1" spans="33:33">
      <c r="AG14946" s="3"/>
    </row>
    <row r="14947" s="7" customFormat="1" spans="33:33">
      <c r="AG14947" s="3"/>
    </row>
    <row r="14948" s="7" customFormat="1" spans="33:33">
      <c r="AG14948" s="3"/>
    </row>
    <row r="14949" s="7" customFormat="1" spans="33:33">
      <c r="AG14949" s="3"/>
    </row>
    <row r="14950" s="7" customFormat="1" spans="33:33">
      <c r="AG14950" s="3"/>
    </row>
    <row r="14951" s="7" customFormat="1" spans="33:33">
      <c r="AG14951" s="3"/>
    </row>
    <row r="14952" s="7" customFormat="1" spans="33:33">
      <c r="AG14952" s="3"/>
    </row>
    <row r="14953" s="7" customFormat="1" spans="33:33">
      <c r="AG14953" s="3"/>
    </row>
    <row r="14954" s="7" customFormat="1" spans="33:33">
      <c r="AG14954" s="3"/>
    </row>
    <row r="14955" s="7" customFormat="1" spans="33:33">
      <c r="AG14955" s="3"/>
    </row>
    <row r="14956" s="7" customFormat="1" spans="33:33">
      <c r="AG14956" s="3"/>
    </row>
    <row r="14957" s="7" customFormat="1" spans="33:33">
      <c r="AG14957" s="3"/>
    </row>
    <row r="14958" s="7" customFormat="1" spans="33:33">
      <c r="AG14958" s="3"/>
    </row>
    <row r="14959" s="7" customFormat="1" spans="33:33">
      <c r="AG14959" s="3"/>
    </row>
    <row r="14960" s="7" customFormat="1" spans="33:33">
      <c r="AG14960" s="3"/>
    </row>
    <row r="14961" s="7" customFormat="1" spans="33:33">
      <c r="AG14961" s="3"/>
    </row>
    <row r="14962" s="7" customFormat="1" spans="33:33">
      <c r="AG14962" s="3"/>
    </row>
    <row r="14963" s="7" customFormat="1" spans="33:33">
      <c r="AG14963" s="3"/>
    </row>
    <row r="14964" s="7" customFormat="1" spans="33:33">
      <c r="AG14964" s="3"/>
    </row>
    <row r="14965" s="7" customFormat="1" spans="33:33">
      <c r="AG14965" s="3"/>
    </row>
    <row r="14966" s="7" customFormat="1" spans="33:33">
      <c r="AG14966" s="3"/>
    </row>
    <row r="14967" s="7" customFormat="1" spans="33:33">
      <c r="AG14967" s="3"/>
    </row>
    <row r="14968" s="7" customFormat="1" spans="33:33">
      <c r="AG14968" s="3"/>
    </row>
    <row r="14969" s="7" customFormat="1" spans="33:33">
      <c r="AG14969" s="3"/>
    </row>
    <row r="14970" s="7" customFormat="1" spans="33:33">
      <c r="AG14970" s="3"/>
    </row>
    <row r="14971" s="7" customFormat="1" spans="33:33">
      <c r="AG14971" s="3"/>
    </row>
    <row r="14972" s="7" customFormat="1" spans="33:33">
      <c r="AG14972" s="3"/>
    </row>
    <row r="14973" s="7" customFormat="1" spans="33:33">
      <c r="AG14973" s="3"/>
    </row>
    <row r="14974" s="7" customFormat="1" spans="33:33">
      <c r="AG14974" s="3"/>
    </row>
    <row r="14975" s="7" customFormat="1" spans="33:33">
      <c r="AG14975" s="3"/>
    </row>
    <row r="14976" s="7" customFormat="1" spans="33:33">
      <c r="AG14976" s="3"/>
    </row>
    <row r="14977" s="7" customFormat="1" spans="33:33">
      <c r="AG14977" s="3"/>
    </row>
    <row r="14978" s="7" customFormat="1" spans="33:33">
      <c r="AG14978" s="3"/>
    </row>
    <row r="14979" s="7" customFormat="1" spans="33:33">
      <c r="AG14979" s="3"/>
    </row>
    <row r="14980" s="7" customFormat="1" spans="33:33">
      <c r="AG14980" s="3"/>
    </row>
    <row r="14981" s="7" customFormat="1" spans="33:33">
      <c r="AG14981" s="3"/>
    </row>
    <row r="14982" s="7" customFormat="1" spans="33:33">
      <c r="AG14982" s="3"/>
    </row>
    <row r="14983" s="7" customFormat="1" spans="33:33">
      <c r="AG14983" s="3"/>
    </row>
    <row r="14984" s="7" customFormat="1" spans="33:33">
      <c r="AG14984" s="3"/>
    </row>
    <row r="14985" s="7" customFormat="1" spans="33:33">
      <c r="AG14985" s="3"/>
    </row>
    <row r="14986" s="7" customFormat="1" spans="33:33">
      <c r="AG14986" s="3"/>
    </row>
    <row r="14987" s="7" customFormat="1" spans="33:33">
      <c r="AG14987" s="3"/>
    </row>
    <row r="14988" s="7" customFormat="1" spans="33:33">
      <c r="AG14988" s="3"/>
    </row>
    <row r="14989" s="7" customFormat="1" spans="33:33">
      <c r="AG14989" s="3"/>
    </row>
    <row r="14990" s="7" customFormat="1" spans="33:33">
      <c r="AG14990" s="3"/>
    </row>
    <row r="14991" s="7" customFormat="1" spans="33:33">
      <c r="AG14991" s="3"/>
    </row>
    <row r="14992" s="7" customFormat="1" spans="33:33">
      <c r="AG14992" s="3"/>
    </row>
    <row r="14993" s="7" customFormat="1" spans="33:33">
      <c r="AG14993" s="3"/>
    </row>
    <row r="14994" s="7" customFormat="1" spans="33:33">
      <c r="AG14994" s="3"/>
    </row>
    <row r="14995" s="7" customFormat="1" spans="33:33">
      <c r="AG14995" s="3"/>
    </row>
    <row r="14996" s="7" customFormat="1" spans="33:33">
      <c r="AG14996" s="3"/>
    </row>
    <row r="14997" s="7" customFormat="1" spans="33:33">
      <c r="AG14997" s="3"/>
    </row>
    <row r="14998" s="7" customFormat="1" spans="33:33">
      <c r="AG14998" s="3"/>
    </row>
    <row r="14999" s="7" customFormat="1" spans="33:33">
      <c r="AG14999" s="3"/>
    </row>
    <row r="15000" s="7" customFormat="1" spans="33:33">
      <c r="AG15000" s="3"/>
    </row>
    <row r="15001" s="7" customFormat="1" spans="33:33">
      <c r="AG15001" s="3"/>
    </row>
    <row r="15002" s="7" customFormat="1" spans="33:33">
      <c r="AG15002" s="3"/>
    </row>
    <row r="15003" s="7" customFormat="1" spans="33:33">
      <c r="AG15003" s="3"/>
    </row>
    <row r="15004" s="7" customFormat="1" spans="33:33">
      <c r="AG15004" s="3"/>
    </row>
    <row r="15005" s="7" customFormat="1" spans="33:33">
      <c r="AG15005" s="3"/>
    </row>
    <row r="15006" s="7" customFormat="1" spans="33:33">
      <c r="AG15006" s="3"/>
    </row>
    <row r="15007" s="7" customFormat="1" spans="33:33">
      <c r="AG15007" s="3"/>
    </row>
    <row r="15008" s="7" customFormat="1" spans="33:33">
      <c r="AG15008" s="3"/>
    </row>
    <row r="15009" s="7" customFormat="1" spans="33:33">
      <c r="AG15009" s="3"/>
    </row>
    <row r="15010" s="7" customFormat="1" spans="33:33">
      <c r="AG15010" s="3"/>
    </row>
    <row r="15011" s="7" customFormat="1" spans="33:33">
      <c r="AG15011" s="3"/>
    </row>
    <row r="15012" s="7" customFormat="1" spans="33:33">
      <c r="AG15012" s="3"/>
    </row>
    <row r="15013" s="7" customFormat="1" spans="33:33">
      <c r="AG15013" s="3"/>
    </row>
    <row r="15014" s="7" customFormat="1" spans="33:33">
      <c r="AG15014" s="3"/>
    </row>
    <row r="15015" s="7" customFormat="1" spans="33:33">
      <c r="AG15015" s="3"/>
    </row>
    <row r="15016" s="7" customFormat="1" spans="33:33">
      <c r="AG15016" s="3"/>
    </row>
    <row r="15017" s="7" customFormat="1" spans="33:33">
      <c r="AG15017" s="3"/>
    </row>
    <row r="15018" s="7" customFormat="1" spans="33:33">
      <c r="AG15018" s="3"/>
    </row>
    <row r="15019" s="7" customFormat="1" spans="33:33">
      <c r="AG15019" s="3"/>
    </row>
    <row r="15020" s="7" customFormat="1" spans="33:33">
      <c r="AG15020" s="3"/>
    </row>
    <row r="15021" s="7" customFormat="1" spans="33:33">
      <c r="AG15021" s="3"/>
    </row>
    <row r="15022" s="7" customFormat="1" spans="33:33">
      <c r="AG15022" s="3"/>
    </row>
    <row r="15023" s="7" customFormat="1" spans="33:33">
      <c r="AG15023" s="3"/>
    </row>
    <row r="15024" s="7" customFormat="1" spans="33:33">
      <c r="AG15024" s="3"/>
    </row>
    <row r="15025" s="7" customFormat="1" spans="33:33">
      <c r="AG15025" s="3"/>
    </row>
    <row r="15026" s="7" customFormat="1" spans="33:33">
      <c r="AG15026" s="3"/>
    </row>
    <row r="15027" s="7" customFormat="1" spans="33:33">
      <c r="AG15027" s="3"/>
    </row>
    <row r="15028" s="7" customFormat="1" spans="33:33">
      <c r="AG15028" s="3"/>
    </row>
    <row r="15029" s="7" customFormat="1" spans="33:33">
      <c r="AG15029" s="3"/>
    </row>
    <row r="15030" s="7" customFormat="1" spans="33:33">
      <c r="AG15030" s="3"/>
    </row>
    <row r="15031" s="7" customFormat="1" spans="33:33">
      <c r="AG15031" s="3"/>
    </row>
    <row r="15032" s="7" customFormat="1" spans="33:33">
      <c r="AG15032" s="3"/>
    </row>
    <row r="15033" s="7" customFormat="1" spans="33:33">
      <c r="AG15033" s="3"/>
    </row>
    <row r="15034" s="7" customFormat="1" spans="33:33">
      <c r="AG15034" s="3"/>
    </row>
    <row r="15035" s="7" customFormat="1" spans="33:33">
      <c r="AG15035" s="3"/>
    </row>
    <row r="15036" s="7" customFormat="1" spans="33:33">
      <c r="AG15036" s="3"/>
    </row>
    <row r="15037" s="7" customFormat="1" spans="33:33">
      <c r="AG15037" s="3"/>
    </row>
    <row r="15038" s="7" customFormat="1" spans="33:33">
      <c r="AG15038" s="3"/>
    </row>
    <row r="15039" s="7" customFormat="1" spans="33:33">
      <c r="AG15039" s="3"/>
    </row>
    <row r="15040" s="7" customFormat="1" spans="33:33">
      <c r="AG15040" s="3"/>
    </row>
    <row r="15041" s="7" customFormat="1" spans="33:33">
      <c r="AG15041" s="3"/>
    </row>
    <row r="15042" s="7" customFormat="1" spans="33:33">
      <c r="AG15042" s="3"/>
    </row>
    <row r="15043" s="7" customFormat="1" spans="33:33">
      <c r="AG15043" s="3"/>
    </row>
    <row r="15044" s="7" customFormat="1" spans="33:33">
      <c r="AG15044" s="3"/>
    </row>
    <row r="15045" s="7" customFormat="1" spans="33:33">
      <c r="AG15045" s="3"/>
    </row>
    <row r="15046" s="7" customFormat="1" spans="33:33">
      <c r="AG15046" s="3"/>
    </row>
    <row r="15047" s="7" customFormat="1" spans="33:33">
      <c r="AG15047" s="3"/>
    </row>
    <row r="15048" s="7" customFormat="1" spans="33:33">
      <c r="AG15048" s="3"/>
    </row>
    <row r="15049" s="7" customFormat="1" spans="33:33">
      <c r="AG15049" s="3"/>
    </row>
    <row r="15050" s="7" customFormat="1" spans="33:33">
      <c r="AG15050" s="3"/>
    </row>
    <row r="15051" s="7" customFormat="1" spans="33:33">
      <c r="AG15051" s="3"/>
    </row>
    <row r="15052" s="7" customFormat="1" spans="33:33">
      <c r="AG15052" s="3"/>
    </row>
    <row r="15053" s="7" customFormat="1" spans="33:33">
      <c r="AG15053" s="3"/>
    </row>
    <row r="15054" s="7" customFormat="1" spans="33:33">
      <c r="AG15054" s="3"/>
    </row>
    <row r="15055" s="7" customFormat="1" spans="33:33">
      <c r="AG15055" s="3"/>
    </row>
    <row r="15056" s="7" customFormat="1" spans="33:33">
      <c r="AG15056" s="3"/>
    </row>
    <row r="15057" s="7" customFormat="1" spans="33:33">
      <c r="AG15057" s="3"/>
    </row>
    <row r="15058" s="7" customFormat="1" spans="33:33">
      <c r="AG15058" s="3"/>
    </row>
    <row r="15059" s="7" customFormat="1" spans="33:33">
      <c r="AG15059" s="3"/>
    </row>
    <row r="15060" s="7" customFormat="1" spans="33:33">
      <c r="AG15060" s="3"/>
    </row>
    <row r="15061" s="7" customFormat="1" spans="33:33">
      <c r="AG15061" s="3"/>
    </row>
    <row r="15062" s="7" customFormat="1" spans="33:33">
      <c r="AG15062" s="3"/>
    </row>
    <row r="15063" s="7" customFormat="1" spans="33:33">
      <c r="AG15063" s="3"/>
    </row>
    <row r="15064" s="7" customFormat="1" spans="33:33">
      <c r="AG15064" s="3"/>
    </row>
    <row r="15065" s="7" customFormat="1" spans="33:33">
      <c r="AG15065" s="3"/>
    </row>
    <row r="15066" s="7" customFormat="1" spans="33:33">
      <c r="AG15066" s="3"/>
    </row>
    <row r="15067" s="7" customFormat="1" spans="33:33">
      <c r="AG15067" s="3"/>
    </row>
    <row r="15068" s="7" customFormat="1" spans="33:33">
      <c r="AG15068" s="3"/>
    </row>
    <row r="15069" s="7" customFormat="1" spans="33:33">
      <c r="AG15069" s="3"/>
    </row>
    <row r="15070" s="7" customFormat="1" spans="33:33">
      <c r="AG15070" s="3"/>
    </row>
    <row r="15071" s="7" customFormat="1" spans="33:33">
      <c r="AG15071" s="3"/>
    </row>
    <row r="15072" s="7" customFormat="1" spans="33:33">
      <c r="AG15072" s="3"/>
    </row>
    <row r="15073" s="7" customFormat="1" spans="33:33">
      <c r="AG15073" s="3"/>
    </row>
    <row r="15074" s="7" customFormat="1" spans="33:33">
      <c r="AG15074" s="3"/>
    </row>
    <row r="15075" s="7" customFormat="1" spans="33:33">
      <c r="AG15075" s="3"/>
    </row>
    <row r="15076" s="7" customFormat="1" spans="33:33">
      <c r="AG15076" s="3"/>
    </row>
    <row r="15077" s="7" customFormat="1" spans="33:33">
      <c r="AG15077" s="3"/>
    </row>
    <row r="15078" s="7" customFormat="1" spans="33:33">
      <c r="AG15078" s="3"/>
    </row>
    <row r="15079" s="7" customFormat="1" spans="33:33">
      <c r="AG15079" s="3"/>
    </row>
    <row r="15080" s="7" customFormat="1" spans="33:33">
      <c r="AG15080" s="3"/>
    </row>
    <row r="15081" s="7" customFormat="1" spans="33:33">
      <c r="AG15081" s="3"/>
    </row>
    <row r="15082" s="7" customFormat="1" spans="33:33">
      <c r="AG15082" s="3"/>
    </row>
    <row r="15083" s="7" customFormat="1" spans="33:33">
      <c r="AG15083" s="3"/>
    </row>
    <row r="15084" s="7" customFormat="1" spans="33:33">
      <c r="AG15084" s="3"/>
    </row>
    <row r="15085" s="7" customFormat="1" spans="33:33">
      <c r="AG15085" s="3"/>
    </row>
    <row r="15086" s="7" customFormat="1" spans="33:33">
      <c r="AG15086" s="3"/>
    </row>
    <row r="15087" s="7" customFormat="1" spans="33:33">
      <c r="AG15087" s="3"/>
    </row>
    <row r="15088" s="7" customFormat="1" spans="33:33">
      <c r="AG15088" s="3"/>
    </row>
    <row r="15089" s="7" customFormat="1" spans="33:33">
      <c r="AG15089" s="3"/>
    </row>
    <row r="15090" s="7" customFormat="1" spans="33:33">
      <c r="AG15090" s="3"/>
    </row>
    <row r="15091" s="7" customFormat="1" spans="33:33">
      <c r="AG15091" s="3"/>
    </row>
    <row r="15092" s="7" customFormat="1" spans="33:33">
      <c r="AG15092" s="3"/>
    </row>
    <row r="15093" s="7" customFormat="1" spans="33:33">
      <c r="AG15093" s="3"/>
    </row>
    <row r="15094" s="7" customFormat="1" spans="33:33">
      <c r="AG15094" s="3"/>
    </row>
    <row r="15095" s="7" customFormat="1" spans="33:33">
      <c r="AG15095" s="3"/>
    </row>
    <row r="15096" s="7" customFormat="1" spans="33:33">
      <c r="AG15096" s="3"/>
    </row>
    <row r="15097" s="7" customFormat="1" spans="33:33">
      <c r="AG15097" s="3"/>
    </row>
    <row r="15098" s="7" customFormat="1" spans="33:33">
      <c r="AG15098" s="3"/>
    </row>
    <row r="15099" s="7" customFormat="1" spans="33:33">
      <c r="AG15099" s="3"/>
    </row>
    <row r="15100" s="7" customFormat="1" spans="33:33">
      <c r="AG15100" s="3"/>
    </row>
    <row r="15101" s="7" customFormat="1" spans="33:33">
      <c r="AG15101" s="3"/>
    </row>
    <row r="15102" s="7" customFormat="1" spans="33:33">
      <c r="AG15102" s="3"/>
    </row>
    <row r="15103" s="7" customFormat="1" spans="33:33">
      <c r="AG15103" s="3"/>
    </row>
    <row r="15104" s="7" customFormat="1" spans="33:33">
      <c r="AG15104" s="3"/>
    </row>
    <row r="15105" s="7" customFormat="1" spans="33:33">
      <c r="AG15105" s="3"/>
    </row>
    <row r="15106" s="7" customFormat="1" spans="33:33">
      <c r="AG15106" s="3"/>
    </row>
    <row r="15107" s="7" customFormat="1" spans="33:33">
      <c r="AG15107" s="3"/>
    </row>
    <row r="15108" s="7" customFormat="1" spans="33:33">
      <c r="AG15108" s="3"/>
    </row>
    <row r="15109" s="7" customFormat="1" spans="33:33">
      <c r="AG15109" s="3"/>
    </row>
    <row r="15110" s="7" customFormat="1" spans="33:33">
      <c r="AG15110" s="3"/>
    </row>
    <row r="15111" s="7" customFormat="1" spans="33:33">
      <c r="AG15111" s="3"/>
    </row>
    <row r="15112" s="7" customFormat="1" spans="33:33">
      <c r="AG15112" s="3"/>
    </row>
    <row r="15113" s="7" customFormat="1" spans="33:33">
      <c r="AG15113" s="3"/>
    </row>
    <row r="15114" s="7" customFormat="1" spans="33:33">
      <c r="AG15114" s="3"/>
    </row>
    <row r="15115" s="7" customFormat="1" spans="33:33">
      <c r="AG15115" s="3"/>
    </row>
    <row r="15116" s="7" customFormat="1" spans="33:33">
      <c r="AG15116" s="3"/>
    </row>
    <row r="15117" s="7" customFormat="1" spans="33:33">
      <c r="AG15117" s="3"/>
    </row>
    <row r="15118" s="7" customFormat="1" spans="33:33">
      <c r="AG15118" s="3"/>
    </row>
    <row r="15119" s="7" customFormat="1" spans="33:33">
      <c r="AG15119" s="3"/>
    </row>
    <row r="15120" s="7" customFormat="1" spans="33:33">
      <c r="AG15120" s="3"/>
    </row>
    <row r="15121" s="7" customFormat="1" spans="33:33">
      <c r="AG15121" s="3"/>
    </row>
    <row r="15122" s="7" customFormat="1" spans="33:33">
      <c r="AG15122" s="3"/>
    </row>
    <row r="15123" s="7" customFormat="1" spans="33:33">
      <c r="AG15123" s="3"/>
    </row>
    <row r="15124" s="7" customFormat="1" spans="33:33">
      <c r="AG15124" s="3"/>
    </row>
    <row r="15125" s="7" customFormat="1" spans="33:33">
      <c r="AG15125" s="3"/>
    </row>
    <row r="15126" s="7" customFormat="1" spans="33:33">
      <c r="AG15126" s="3"/>
    </row>
    <row r="15127" s="7" customFormat="1" spans="33:33">
      <c r="AG15127" s="3"/>
    </row>
    <row r="15128" s="7" customFormat="1" spans="33:33">
      <c r="AG15128" s="3"/>
    </row>
    <row r="15129" s="7" customFormat="1" spans="33:33">
      <c r="AG15129" s="3"/>
    </row>
    <row r="15130" s="7" customFormat="1" spans="33:33">
      <c r="AG15130" s="3"/>
    </row>
    <row r="15131" s="7" customFormat="1" spans="33:33">
      <c r="AG15131" s="3"/>
    </row>
    <row r="15132" s="7" customFormat="1" spans="33:33">
      <c r="AG15132" s="3"/>
    </row>
    <row r="15133" s="7" customFormat="1" spans="33:33">
      <c r="AG15133" s="3"/>
    </row>
    <row r="15134" s="7" customFormat="1" spans="33:33">
      <c r="AG15134" s="3"/>
    </row>
    <row r="15135" s="7" customFormat="1" spans="33:33">
      <c r="AG15135" s="3"/>
    </row>
    <row r="15136" s="7" customFormat="1" spans="33:33">
      <c r="AG15136" s="3"/>
    </row>
    <row r="15137" s="7" customFormat="1" spans="33:33">
      <c r="AG15137" s="3"/>
    </row>
    <row r="15138" s="7" customFormat="1" spans="33:33">
      <c r="AG15138" s="3"/>
    </row>
    <row r="15139" s="7" customFormat="1" spans="33:33">
      <c r="AG15139" s="3"/>
    </row>
    <row r="15140" s="7" customFormat="1" spans="33:33">
      <c r="AG15140" s="3"/>
    </row>
    <row r="15141" s="7" customFormat="1" spans="33:33">
      <c r="AG15141" s="3"/>
    </row>
    <row r="15142" s="7" customFormat="1" spans="33:33">
      <c r="AG15142" s="3"/>
    </row>
    <row r="15143" s="7" customFormat="1" spans="33:33">
      <c r="AG15143" s="3"/>
    </row>
    <row r="15144" s="7" customFormat="1" spans="33:33">
      <c r="AG15144" s="3"/>
    </row>
    <row r="15145" s="7" customFormat="1" spans="33:33">
      <c r="AG15145" s="3"/>
    </row>
    <row r="15146" s="7" customFormat="1" spans="33:33">
      <c r="AG15146" s="3"/>
    </row>
    <row r="15147" s="7" customFormat="1" spans="33:33">
      <c r="AG15147" s="3"/>
    </row>
    <row r="15148" s="7" customFormat="1" spans="33:33">
      <c r="AG15148" s="3"/>
    </row>
    <row r="15149" s="7" customFormat="1" spans="33:33">
      <c r="AG15149" s="3"/>
    </row>
    <row r="15150" s="7" customFormat="1" spans="33:33">
      <c r="AG15150" s="3"/>
    </row>
    <row r="15151" s="7" customFormat="1" spans="33:33">
      <c r="AG15151" s="3"/>
    </row>
    <row r="15152" s="7" customFormat="1" spans="33:33">
      <c r="AG15152" s="3"/>
    </row>
    <row r="15153" s="7" customFormat="1" spans="33:33">
      <c r="AG15153" s="3"/>
    </row>
    <row r="15154" s="7" customFormat="1" spans="33:33">
      <c r="AG15154" s="3"/>
    </row>
    <row r="15155" s="7" customFormat="1" spans="33:33">
      <c r="AG15155" s="3"/>
    </row>
    <row r="15156" s="7" customFormat="1" spans="33:33">
      <c r="AG15156" s="3"/>
    </row>
    <row r="15157" s="7" customFormat="1" spans="33:33">
      <c r="AG15157" s="3"/>
    </row>
    <row r="15158" s="7" customFormat="1" spans="33:33">
      <c r="AG15158" s="3"/>
    </row>
    <row r="15159" s="7" customFormat="1" spans="33:33">
      <c r="AG15159" s="3"/>
    </row>
    <row r="15160" s="7" customFormat="1" spans="33:33">
      <c r="AG15160" s="3"/>
    </row>
    <row r="15161" s="7" customFormat="1" spans="33:33">
      <c r="AG15161" s="3"/>
    </row>
    <row r="15162" s="7" customFormat="1" spans="33:33">
      <c r="AG15162" s="3"/>
    </row>
    <row r="15163" s="7" customFormat="1" spans="33:33">
      <c r="AG15163" s="3"/>
    </row>
    <row r="15164" s="7" customFormat="1" spans="33:33">
      <c r="AG15164" s="3"/>
    </row>
    <row r="15165" s="7" customFormat="1" spans="33:33">
      <c r="AG15165" s="3"/>
    </row>
    <row r="15166" s="7" customFormat="1" spans="33:33">
      <c r="AG15166" s="3"/>
    </row>
    <row r="15167" s="7" customFormat="1" spans="33:33">
      <c r="AG15167" s="3"/>
    </row>
    <row r="15168" s="7" customFormat="1" spans="33:33">
      <c r="AG15168" s="3"/>
    </row>
    <row r="15169" s="7" customFormat="1" spans="33:33">
      <c r="AG15169" s="3"/>
    </row>
    <row r="15170" s="7" customFormat="1" spans="33:33">
      <c r="AG15170" s="3"/>
    </row>
    <row r="15171" s="7" customFormat="1" spans="33:33">
      <c r="AG15171" s="3"/>
    </row>
    <row r="15172" s="7" customFormat="1" spans="33:33">
      <c r="AG15172" s="3"/>
    </row>
    <row r="15173" s="7" customFormat="1" spans="33:33">
      <c r="AG15173" s="3"/>
    </row>
    <row r="15174" s="7" customFormat="1" spans="33:33">
      <c r="AG15174" s="3"/>
    </row>
    <row r="15175" s="7" customFormat="1" spans="33:33">
      <c r="AG15175" s="3"/>
    </row>
    <row r="15176" s="7" customFormat="1" spans="33:33">
      <c r="AG15176" s="3"/>
    </row>
    <row r="15177" s="7" customFormat="1" spans="33:33">
      <c r="AG15177" s="3"/>
    </row>
    <row r="15178" s="7" customFormat="1" spans="33:33">
      <c r="AG15178" s="3"/>
    </row>
    <row r="15179" s="7" customFormat="1" spans="33:33">
      <c r="AG15179" s="3"/>
    </row>
    <row r="15180" s="7" customFormat="1" spans="33:33">
      <c r="AG15180" s="3"/>
    </row>
    <row r="15181" s="7" customFormat="1" spans="33:33">
      <c r="AG15181" s="3"/>
    </row>
    <row r="15182" s="7" customFormat="1" spans="33:33">
      <c r="AG15182" s="3"/>
    </row>
    <row r="15183" s="7" customFormat="1" spans="33:33">
      <c r="AG15183" s="3"/>
    </row>
    <row r="15184" s="7" customFormat="1" spans="33:33">
      <c r="AG15184" s="3"/>
    </row>
    <row r="15185" s="7" customFormat="1" spans="33:33">
      <c r="AG15185" s="3"/>
    </row>
    <row r="15186" s="7" customFormat="1" spans="33:33">
      <c r="AG15186" s="3"/>
    </row>
    <row r="15187" s="7" customFormat="1" spans="33:33">
      <c r="AG15187" s="3"/>
    </row>
    <row r="15188" s="7" customFormat="1" spans="33:33">
      <c r="AG15188" s="3"/>
    </row>
    <row r="15189" s="7" customFormat="1" spans="33:33">
      <c r="AG15189" s="3"/>
    </row>
    <row r="15190" s="7" customFormat="1" spans="33:33">
      <c r="AG15190" s="3"/>
    </row>
    <row r="15191" s="7" customFormat="1" spans="33:33">
      <c r="AG15191" s="3"/>
    </row>
    <row r="15192" s="7" customFormat="1" spans="33:33">
      <c r="AG15192" s="3"/>
    </row>
    <row r="15193" s="7" customFormat="1" spans="33:33">
      <c r="AG15193" s="3"/>
    </row>
    <row r="15194" s="7" customFormat="1" spans="33:33">
      <c r="AG15194" s="3"/>
    </row>
    <row r="15195" s="7" customFormat="1" spans="33:33">
      <c r="AG15195" s="3"/>
    </row>
    <row r="15196" s="7" customFormat="1" spans="33:33">
      <c r="AG15196" s="3"/>
    </row>
    <row r="15197" s="7" customFormat="1" spans="33:33">
      <c r="AG15197" s="3"/>
    </row>
    <row r="15198" s="7" customFormat="1" spans="33:33">
      <c r="AG15198" s="3"/>
    </row>
    <row r="15199" s="7" customFormat="1" spans="33:33">
      <c r="AG15199" s="3"/>
    </row>
    <row r="15200" s="7" customFormat="1" spans="33:33">
      <c r="AG15200" s="3"/>
    </row>
    <row r="15201" s="7" customFormat="1" spans="33:33">
      <c r="AG15201" s="3"/>
    </row>
    <row r="15202" s="7" customFormat="1" spans="33:33">
      <c r="AG15202" s="3"/>
    </row>
    <row r="15203" s="7" customFormat="1" spans="33:33">
      <c r="AG15203" s="3"/>
    </row>
    <row r="15204" s="7" customFormat="1" spans="33:33">
      <c r="AG15204" s="3"/>
    </row>
    <row r="15205" s="7" customFormat="1" spans="33:33">
      <c r="AG15205" s="3"/>
    </row>
    <row r="15206" s="7" customFormat="1" spans="33:33">
      <c r="AG15206" s="3"/>
    </row>
    <row r="15207" s="7" customFormat="1" spans="33:33">
      <c r="AG15207" s="3"/>
    </row>
    <row r="15208" s="7" customFormat="1" spans="33:33">
      <c r="AG15208" s="3"/>
    </row>
    <row r="15209" s="7" customFormat="1" spans="33:33">
      <c r="AG15209" s="3"/>
    </row>
    <row r="15210" s="7" customFormat="1" spans="33:33">
      <c r="AG15210" s="3"/>
    </row>
    <row r="15211" s="7" customFormat="1" spans="33:33">
      <c r="AG15211" s="3"/>
    </row>
    <row r="15212" s="7" customFormat="1" spans="33:33">
      <c r="AG15212" s="3"/>
    </row>
    <row r="15213" s="7" customFormat="1" spans="33:33">
      <c r="AG15213" s="3"/>
    </row>
    <row r="15214" s="7" customFormat="1" spans="33:33">
      <c r="AG15214" s="3"/>
    </row>
    <row r="15215" s="7" customFormat="1" spans="33:33">
      <c r="AG15215" s="3"/>
    </row>
    <row r="15216" s="7" customFormat="1" spans="33:33">
      <c r="AG15216" s="3"/>
    </row>
    <row r="15217" s="7" customFormat="1" spans="33:33">
      <c r="AG15217" s="3"/>
    </row>
    <row r="15218" s="7" customFormat="1" spans="33:33">
      <c r="AG15218" s="3"/>
    </row>
    <row r="15219" s="7" customFormat="1" spans="33:33">
      <c r="AG15219" s="3"/>
    </row>
    <row r="15220" s="7" customFormat="1" spans="33:33">
      <c r="AG15220" s="3"/>
    </row>
    <row r="15221" s="7" customFormat="1" spans="33:33">
      <c r="AG15221" s="3"/>
    </row>
    <row r="15222" s="7" customFormat="1" spans="33:33">
      <c r="AG15222" s="3"/>
    </row>
    <row r="15223" s="7" customFormat="1" spans="33:33">
      <c r="AG15223" s="3"/>
    </row>
    <row r="15224" s="7" customFormat="1" spans="33:33">
      <c r="AG15224" s="3"/>
    </row>
    <row r="15225" s="7" customFormat="1" spans="33:33">
      <c r="AG15225" s="3"/>
    </row>
    <row r="15226" s="7" customFormat="1" spans="33:33">
      <c r="AG15226" s="3"/>
    </row>
    <row r="15227" s="7" customFormat="1" spans="33:33">
      <c r="AG15227" s="3"/>
    </row>
    <row r="15228" s="7" customFormat="1" spans="33:33">
      <c r="AG15228" s="3"/>
    </row>
    <row r="15229" s="7" customFormat="1" spans="33:33">
      <c r="AG15229" s="3"/>
    </row>
    <row r="15230" s="7" customFormat="1" spans="33:33">
      <c r="AG15230" s="3"/>
    </row>
    <row r="15231" s="7" customFormat="1" spans="33:33">
      <c r="AG15231" s="3"/>
    </row>
    <row r="15232" s="7" customFormat="1" spans="33:33">
      <c r="AG15232" s="3"/>
    </row>
    <row r="15233" s="7" customFormat="1" spans="33:33">
      <c r="AG15233" s="3"/>
    </row>
    <row r="15234" s="7" customFormat="1" spans="33:33">
      <c r="AG15234" s="3"/>
    </row>
    <row r="15235" s="7" customFormat="1" spans="33:33">
      <c r="AG15235" s="3"/>
    </row>
    <row r="15236" s="7" customFormat="1" spans="33:33">
      <c r="AG15236" s="3"/>
    </row>
    <row r="15237" s="7" customFormat="1" spans="33:33">
      <c r="AG15237" s="3"/>
    </row>
    <row r="15238" s="7" customFormat="1" spans="33:33">
      <c r="AG15238" s="3"/>
    </row>
    <row r="15239" s="7" customFormat="1" spans="33:33">
      <c r="AG15239" s="3"/>
    </row>
    <row r="15240" s="7" customFormat="1" spans="33:33">
      <c r="AG15240" s="3"/>
    </row>
    <row r="15241" s="7" customFormat="1" spans="33:33">
      <c r="AG15241" s="3"/>
    </row>
    <row r="15242" s="7" customFormat="1" spans="33:33">
      <c r="AG15242" s="3"/>
    </row>
    <row r="15243" s="7" customFormat="1" spans="33:33">
      <c r="AG15243" s="3"/>
    </row>
    <row r="15244" s="7" customFormat="1" spans="33:33">
      <c r="AG15244" s="3"/>
    </row>
    <row r="15245" s="7" customFormat="1" spans="33:33">
      <c r="AG15245" s="3"/>
    </row>
    <row r="15246" s="7" customFormat="1" spans="33:33">
      <c r="AG15246" s="3"/>
    </row>
    <row r="15247" s="7" customFormat="1" spans="33:33">
      <c r="AG15247" s="3"/>
    </row>
    <row r="15248" s="7" customFormat="1" spans="33:33">
      <c r="AG15248" s="3"/>
    </row>
    <row r="15249" s="7" customFormat="1" spans="33:33">
      <c r="AG15249" s="3"/>
    </row>
    <row r="15250" s="7" customFormat="1" spans="33:33">
      <c r="AG15250" s="3"/>
    </row>
    <row r="15251" s="7" customFormat="1" spans="33:33">
      <c r="AG15251" s="3"/>
    </row>
    <row r="15252" s="7" customFormat="1" spans="33:33">
      <c r="AG15252" s="3"/>
    </row>
    <row r="15253" s="7" customFormat="1" spans="33:33">
      <c r="AG15253" s="3"/>
    </row>
    <row r="15254" s="7" customFormat="1" spans="33:33">
      <c r="AG15254" s="3"/>
    </row>
    <row r="15255" s="7" customFormat="1" spans="33:33">
      <c r="AG15255" s="3"/>
    </row>
    <row r="15256" s="7" customFormat="1" spans="33:33">
      <c r="AG15256" s="3"/>
    </row>
    <row r="15257" s="7" customFormat="1" spans="33:33">
      <c r="AG15257" s="3"/>
    </row>
    <row r="15258" s="7" customFormat="1" spans="33:33">
      <c r="AG15258" s="3"/>
    </row>
    <row r="15259" s="7" customFormat="1" spans="33:33">
      <c r="AG15259" s="3"/>
    </row>
    <row r="15260" s="7" customFormat="1" spans="33:33">
      <c r="AG15260" s="3"/>
    </row>
    <row r="15261" s="7" customFormat="1" spans="33:33">
      <c r="AG15261" s="3"/>
    </row>
    <row r="15262" s="7" customFormat="1" spans="33:33">
      <c r="AG15262" s="3"/>
    </row>
    <row r="15263" s="7" customFormat="1" spans="33:33">
      <c r="AG15263" s="3"/>
    </row>
    <row r="15264" s="7" customFormat="1" spans="33:33">
      <c r="AG15264" s="3"/>
    </row>
    <row r="15265" s="7" customFormat="1" spans="33:33">
      <c r="AG15265" s="3"/>
    </row>
    <row r="15266" s="7" customFormat="1" spans="33:33">
      <c r="AG15266" s="3"/>
    </row>
    <row r="15267" s="7" customFormat="1" spans="33:33">
      <c r="AG15267" s="3"/>
    </row>
    <row r="15268" s="7" customFormat="1" spans="33:33">
      <c r="AG15268" s="3"/>
    </row>
    <row r="15269" s="7" customFormat="1" spans="33:33">
      <c r="AG15269" s="3"/>
    </row>
    <row r="15270" s="7" customFormat="1" spans="33:33">
      <c r="AG15270" s="3"/>
    </row>
    <row r="15271" s="7" customFormat="1" spans="33:33">
      <c r="AG15271" s="3"/>
    </row>
    <row r="15272" s="7" customFormat="1" spans="33:33">
      <c r="AG15272" s="3"/>
    </row>
    <row r="15273" s="7" customFormat="1" spans="33:33">
      <c r="AG15273" s="3"/>
    </row>
    <row r="15274" s="7" customFormat="1" spans="33:33">
      <c r="AG15274" s="3"/>
    </row>
    <row r="15275" s="7" customFormat="1" spans="33:33">
      <c r="AG15275" s="3"/>
    </row>
    <row r="15276" s="7" customFormat="1" spans="33:33">
      <c r="AG15276" s="3"/>
    </row>
    <row r="15277" s="7" customFormat="1" spans="33:33">
      <c r="AG15277" s="3"/>
    </row>
    <row r="15278" s="7" customFormat="1" spans="33:33">
      <c r="AG15278" s="3"/>
    </row>
    <row r="15279" s="7" customFormat="1" spans="33:33">
      <c r="AG15279" s="3"/>
    </row>
    <row r="15280" s="7" customFormat="1" spans="33:33">
      <c r="AG15280" s="3"/>
    </row>
    <row r="15281" s="7" customFormat="1" spans="33:33">
      <c r="AG15281" s="3"/>
    </row>
    <row r="15282" s="7" customFormat="1" spans="33:33">
      <c r="AG15282" s="3"/>
    </row>
    <row r="15283" s="7" customFormat="1" spans="33:33">
      <c r="AG15283" s="3"/>
    </row>
    <row r="15284" s="7" customFormat="1" spans="33:33">
      <c r="AG15284" s="3"/>
    </row>
    <row r="15285" s="7" customFormat="1" spans="33:33">
      <c r="AG15285" s="3"/>
    </row>
    <row r="15286" s="7" customFormat="1" spans="33:33">
      <c r="AG15286" s="3"/>
    </row>
    <row r="15287" s="7" customFormat="1" spans="33:33">
      <c r="AG15287" s="3"/>
    </row>
    <row r="15288" s="7" customFormat="1" spans="33:33">
      <c r="AG15288" s="3"/>
    </row>
    <row r="15289" s="7" customFormat="1" spans="33:33">
      <c r="AG15289" s="3"/>
    </row>
    <row r="15290" s="7" customFormat="1" spans="33:33">
      <c r="AG15290" s="3"/>
    </row>
    <row r="15291" s="7" customFormat="1" spans="33:33">
      <c r="AG15291" s="3"/>
    </row>
    <row r="15292" s="7" customFormat="1" spans="33:33">
      <c r="AG15292" s="3"/>
    </row>
    <row r="15293" s="7" customFormat="1" spans="33:33">
      <c r="AG15293" s="3"/>
    </row>
    <row r="15294" s="7" customFormat="1" spans="33:33">
      <c r="AG15294" s="3"/>
    </row>
    <row r="15295" s="7" customFormat="1" spans="33:33">
      <c r="AG15295" s="3"/>
    </row>
    <row r="15296" s="7" customFormat="1" spans="33:33">
      <c r="AG15296" s="3"/>
    </row>
    <row r="15297" s="7" customFormat="1" spans="33:33">
      <c r="AG15297" s="3"/>
    </row>
    <row r="15298" s="7" customFormat="1" spans="33:33">
      <c r="AG15298" s="3"/>
    </row>
    <row r="15299" s="7" customFormat="1" spans="33:33">
      <c r="AG15299" s="3"/>
    </row>
    <row r="15300" s="7" customFormat="1" spans="33:33">
      <c r="AG15300" s="3"/>
    </row>
    <row r="15301" s="7" customFormat="1" spans="33:33">
      <c r="AG15301" s="3"/>
    </row>
    <row r="15302" s="7" customFormat="1" spans="33:33">
      <c r="AG15302" s="3"/>
    </row>
    <row r="15303" s="7" customFormat="1" spans="33:33">
      <c r="AG15303" s="3"/>
    </row>
    <row r="15304" s="7" customFormat="1" spans="33:33">
      <c r="AG15304" s="3"/>
    </row>
    <row r="15305" s="7" customFormat="1" spans="33:33">
      <c r="AG15305" s="3"/>
    </row>
    <row r="15306" s="7" customFormat="1" spans="33:33">
      <c r="AG15306" s="3"/>
    </row>
    <row r="15307" s="7" customFormat="1" spans="33:33">
      <c r="AG15307" s="3"/>
    </row>
    <row r="15308" s="7" customFormat="1" spans="33:33">
      <c r="AG15308" s="3"/>
    </row>
    <row r="15309" s="7" customFormat="1" spans="33:33">
      <c r="AG15309" s="3"/>
    </row>
    <row r="15310" s="7" customFormat="1" spans="33:33">
      <c r="AG15310" s="3"/>
    </row>
    <row r="15311" s="7" customFormat="1" spans="33:33">
      <c r="AG15311" s="3"/>
    </row>
    <row r="15312" s="7" customFormat="1" spans="33:33">
      <c r="AG15312" s="3"/>
    </row>
    <row r="15313" s="7" customFormat="1" spans="33:33">
      <c r="AG15313" s="3"/>
    </row>
    <row r="15314" s="7" customFormat="1" spans="33:33">
      <c r="AG15314" s="3"/>
    </row>
    <row r="15315" s="7" customFormat="1" spans="33:33">
      <c r="AG15315" s="3"/>
    </row>
    <row r="15316" s="7" customFormat="1" spans="33:33">
      <c r="AG15316" s="3"/>
    </row>
    <row r="15317" s="7" customFormat="1" spans="33:33">
      <c r="AG15317" s="3"/>
    </row>
    <row r="15318" s="7" customFormat="1" spans="33:33">
      <c r="AG15318" s="3"/>
    </row>
    <row r="15319" s="7" customFormat="1" spans="33:33">
      <c r="AG15319" s="3"/>
    </row>
    <row r="15320" s="7" customFormat="1" spans="33:33">
      <c r="AG15320" s="3"/>
    </row>
    <row r="15321" s="7" customFormat="1" spans="33:33">
      <c r="AG15321" s="3"/>
    </row>
    <row r="15322" s="7" customFormat="1" spans="33:33">
      <c r="AG15322" s="3"/>
    </row>
    <row r="15323" s="7" customFormat="1" spans="33:33">
      <c r="AG15323" s="3"/>
    </row>
    <row r="15324" s="7" customFormat="1" spans="33:33">
      <c r="AG15324" s="3"/>
    </row>
    <row r="15325" s="7" customFormat="1" spans="33:33">
      <c r="AG15325" s="3"/>
    </row>
    <row r="15326" s="7" customFormat="1" spans="33:33">
      <c r="AG15326" s="3"/>
    </row>
    <row r="15327" s="7" customFormat="1" spans="33:33">
      <c r="AG15327" s="3"/>
    </row>
    <row r="15328" s="7" customFormat="1" spans="33:33">
      <c r="AG15328" s="3"/>
    </row>
    <row r="15329" s="7" customFormat="1" spans="33:33">
      <c r="AG15329" s="3"/>
    </row>
    <row r="15330" s="7" customFormat="1" spans="33:33">
      <c r="AG15330" s="3"/>
    </row>
    <row r="15331" s="7" customFormat="1" spans="33:33">
      <c r="AG15331" s="3"/>
    </row>
    <row r="15332" s="7" customFormat="1" spans="33:33">
      <c r="AG15332" s="3"/>
    </row>
    <row r="15333" s="7" customFormat="1" spans="33:33">
      <c r="AG15333" s="3"/>
    </row>
    <row r="15334" s="7" customFormat="1" spans="33:33">
      <c r="AG15334" s="3"/>
    </row>
    <row r="15335" s="7" customFormat="1" spans="33:33">
      <c r="AG15335" s="3"/>
    </row>
    <row r="15336" s="7" customFormat="1" spans="33:33">
      <c r="AG15336" s="3"/>
    </row>
    <row r="15337" s="7" customFormat="1" spans="33:33">
      <c r="AG15337" s="3"/>
    </row>
    <row r="15338" s="7" customFormat="1" spans="33:33">
      <c r="AG15338" s="3"/>
    </row>
    <row r="15339" s="7" customFormat="1" spans="33:33">
      <c r="AG15339" s="3"/>
    </row>
    <row r="15340" s="7" customFormat="1" spans="33:33">
      <c r="AG15340" s="3"/>
    </row>
    <row r="15341" s="7" customFormat="1" spans="33:33">
      <c r="AG15341" s="3"/>
    </row>
    <row r="15342" s="7" customFormat="1" spans="33:33">
      <c r="AG15342" s="3"/>
    </row>
    <row r="15343" s="7" customFormat="1" spans="33:33">
      <c r="AG15343" s="3"/>
    </row>
    <row r="15344" s="7" customFormat="1" spans="33:33">
      <c r="AG15344" s="3"/>
    </row>
    <row r="15345" s="7" customFormat="1" spans="33:33">
      <c r="AG15345" s="3"/>
    </row>
    <row r="15346" s="7" customFormat="1" spans="33:33">
      <c r="AG15346" s="3"/>
    </row>
    <row r="15347" s="7" customFormat="1" spans="33:33">
      <c r="AG15347" s="3"/>
    </row>
    <row r="15348" s="7" customFormat="1" spans="33:33">
      <c r="AG15348" s="3"/>
    </row>
    <row r="15349" s="7" customFormat="1" spans="33:33">
      <c r="AG15349" s="3"/>
    </row>
    <row r="15350" s="7" customFormat="1" spans="33:33">
      <c r="AG15350" s="3"/>
    </row>
    <row r="15351" s="7" customFormat="1" spans="33:33">
      <c r="AG15351" s="3"/>
    </row>
    <row r="15352" s="7" customFormat="1" spans="33:33">
      <c r="AG15352" s="3"/>
    </row>
    <row r="15353" s="7" customFormat="1" spans="33:33">
      <c r="AG15353" s="3"/>
    </row>
    <row r="15354" s="7" customFormat="1" spans="33:33">
      <c r="AG15354" s="3"/>
    </row>
    <row r="15355" s="7" customFormat="1" spans="33:33">
      <c r="AG15355" s="3"/>
    </row>
    <row r="15356" s="7" customFormat="1" spans="33:33">
      <c r="AG15356" s="3"/>
    </row>
    <row r="15357" s="7" customFormat="1" spans="33:33">
      <c r="AG15357" s="3"/>
    </row>
    <row r="15358" s="7" customFormat="1" spans="33:33">
      <c r="AG15358" s="3"/>
    </row>
    <row r="15359" s="7" customFormat="1" spans="33:33">
      <c r="AG15359" s="3"/>
    </row>
    <row r="15360" s="7" customFormat="1" spans="33:33">
      <c r="AG15360" s="3"/>
    </row>
    <row r="15361" s="7" customFormat="1" spans="33:33">
      <c r="AG15361" s="3"/>
    </row>
    <row r="15362" s="7" customFormat="1" spans="33:33">
      <c r="AG15362" s="3"/>
    </row>
    <row r="15363" s="7" customFormat="1" spans="33:33">
      <c r="AG15363" s="3"/>
    </row>
    <row r="15364" s="7" customFormat="1" spans="33:33">
      <c r="AG15364" s="3"/>
    </row>
    <row r="15365" s="7" customFormat="1" spans="33:33">
      <c r="AG15365" s="3"/>
    </row>
    <row r="15366" s="7" customFormat="1" spans="33:33">
      <c r="AG15366" s="3"/>
    </row>
    <row r="15367" s="7" customFormat="1" spans="33:33">
      <c r="AG15367" s="3"/>
    </row>
    <row r="15368" s="7" customFormat="1" spans="33:33">
      <c r="AG15368" s="3"/>
    </row>
    <row r="15369" s="7" customFormat="1" spans="33:33">
      <c r="AG15369" s="3"/>
    </row>
    <row r="15370" s="7" customFormat="1" spans="33:33">
      <c r="AG15370" s="3"/>
    </row>
    <row r="15371" s="7" customFormat="1" spans="33:33">
      <c r="AG15371" s="3"/>
    </row>
    <row r="15372" s="7" customFormat="1" spans="33:33">
      <c r="AG15372" s="3"/>
    </row>
    <row r="15373" s="7" customFormat="1" spans="33:33">
      <c r="AG15373" s="3"/>
    </row>
    <row r="15374" s="7" customFormat="1" spans="33:33">
      <c r="AG15374" s="3"/>
    </row>
    <row r="15375" s="7" customFormat="1" spans="33:33">
      <c r="AG15375" s="3"/>
    </row>
    <row r="15376" s="7" customFormat="1" spans="33:33">
      <c r="AG15376" s="3"/>
    </row>
    <row r="15377" s="7" customFormat="1" spans="33:33">
      <c r="AG15377" s="3"/>
    </row>
    <row r="15378" s="7" customFormat="1" spans="33:33">
      <c r="AG15378" s="3"/>
    </row>
    <row r="15379" s="7" customFormat="1" spans="33:33">
      <c r="AG15379" s="3"/>
    </row>
    <row r="15380" s="7" customFormat="1" spans="33:33">
      <c r="AG15380" s="3"/>
    </row>
    <row r="15381" s="7" customFormat="1" spans="33:33">
      <c r="AG15381" s="3"/>
    </row>
    <row r="15382" s="7" customFormat="1" spans="33:33">
      <c r="AG15382" s="3"/>
    </row>
    <row r="15383" s="7" customFormat="1" spans="33:33">
      <c r="AG15383" s="3"/>
    </row>
    <row r="15384" s="7" customFormat="1" spans="33:33">
      <c r="AG15384" s="3"/>
    </row>
    <row r="15385" s="7" customFormat="1" spans="33:33">
      <c r="AG15385" s="3"/>
    </row>
    <row r="15386" s="7" customFormat="1" spans="33:33">
      <c r="AG15386" s="3"/>
    </row>
    <row r="15387" s="7" customFormat="1" spans="33:33">
      <c r="AG15387" s="3"/>
    </row>
    <row r="15388" s="7" customFormat="1" spans="33:33">
      <c r="AG15388" s="3"/>
    </row>
    <row r="15389" s="7" customFormat="1" spans="33:33">
      <c r="AG15389" s="3"/>
    </row>
    <row r="15390" s="7" customFormat="1" spans="33:33">
      <c r="AG15390" s="3"/>
    </row>
    <row r="15391" s="7" customFormat="1" spans="33:33">
      <c r="AG15391" s="3"/>
    </row>
    <row r="15392" s="7" customFormat="1" spans="33:33">
      <c r="AG15392" s="3"/>
    </row>
    <row r="15393" s="7" customFormat="1" spans="33:33">
      <c r="AG15393" s="3"/>
    </row>
    <row r="15394" s="7" customFormat="1" spans="33:33">
      <c r="AG15394" s="3"/>
    </row>
    <row r="15395" s="7" customFormat="1" spans="33:33">
      <c r="AG15395" s="3"/>
    </row>
    <row r="15396" s="7" customFormat="1" spans="33:33">
      <c r="AG15396" s="3"/>
    </row>
    <row r="15397" s="7" customFormat="1" spans="33:33">
      <c r="AG15397" s="3"/>
    </row>
    <row r="15398" s="7" customFormat="1" spans="33:33">
      <c r="AG15398" s="3"/>
    </row>
    <row r="15399" s="7" customFormat="1" spans="33:33">
      <c r="AG15399" s="3"/>
    </row>
    <row r="15400" s="7" customFormat="1" spans="33:33">
      <c r="AG15400" s="3"/>
    </row>
    <row r="15401" s="7" customFormat="1" spans="33:33">
      <c r="AG15401" s="3"/>
    </row>
    <row r="15402" s="7" customFormat="1" spans="33:33">
      <c r="AG15402" s="3"/>
    </row>
    <row r="15403" s="7" customFormat="1" spans="33:33">
      <c r="AG15403" s="3"/>
    </row>
    <row r="15404" s="7" customFormat="1" spans="33:33">
      <c r="AG15404" s="3"/>
    </row>
    <row r="15405" s="7" customFormat="1" spans="33:33">
      <c r="AG15405" s="3"/>
    </row>
    <row r="15406" s="7" customFormat="1" spans="33:33">
      <c r="AG15406" s="3"/>
    </row>
    <row r="15407" s="7" customFormat="1" spans="33:33">
      <c r="AG15407" s="3"/>
    </row>
    <row r="15408" s="7" customFormat="1" spans="33:33">
      <c r="AG15408" s="3"/>
    </row>
    <row r="15409" s="7" customFormat="1" spans="33:33">
      <c r="AG15409" s="3"/>
    </row>
    <row r="15410" s="7" customFormat="1" spans="33:33">
      <c r="AG15410" s="3"/>
    </row>
    <row r="15411" s="7" customFormat="1" spans="33:33">
      <c r="AG15411" s="3"/>
    </row>
    <row r="15412" s="7" customFormat="1" spans="33:33">
      <c r="AG15412" s="3"/>
    </row>
    <row r="15413" s="7" customFormat="1" spans="33:33">
      <c r="AG15413" s="3"/>
    </row>
    <row r="15414" s="7" customFormat="1" spans="33:33">
      <c r="AG15414" s="3"/>
    </row>
    <row r="15415" s="7" customFormat="1" spans="33:33">
      <c r="AG15415" s="3"/>
    </row>
    <row r="15416" s="7" customFormat="1" spans="33:33">
      <c r="AG15416" s="3"/>
    </row>
    <row r="15417" s="7" customFormat="1" spans="33:33">
      <c r="AG15417" s="3"/>
    </row>
    <row r="15418" s="7" customFormat="1" spans="33:33">
      <c r="AG15418" s="3"/>
    </row>
    <row r="15419" s="7" customFormat="1" spans="33:33">
      <c r="AG15419" s="3"/>
    </row>
    <row r="15420" s="7" customFormat="1" spans="33:33">
      <c r="AG15420" s="3"/>
    </row>
    <row r="15421" s="7" customFormat="1" spans="33:33">
      <c r="AG15421" s="3"/>
    </row>
    <row r="15422" s="7" customFormat="1" spans="33:33">
      <c r="AG15422" s="3"/>
    </row>
    <row r="15423" s="7" customFormat="1" spans="33:33">
      <c r="AG15423" s="3"/>
    </row>
    <row r="15424" s="7" customFormat="1" spans="33:33">
      <c r="AG15424" s="3"/>
    </row>
    <row r="15425" s="7" customFormat="1" spans="33:33">
      <c r="AG15425" s="3"/>
    </row>
    <row r="15426" s="7" customFormat="1" spans="33:33">
      <c r="AG15426" s="3"/>
    </row>
    <row r="15427" s="7" customFormat="1" spans="33:33">
      <c r="AG15427" s="3"/>
    </row>
    <row r="15428" s="7" customFormat="1" spans="33:33">
      <c r="AG15428" s="3"/>
    </row>
    <row r="15429" s="7" customFormat="1" spans="33:33">
      <c r="AG15429" s="3"/>
    </row>
    <row r="15430" s="7" customFormat="1" spans="33:33">
      <c r="AG15430" s="3"/>
    </row>
    <row r="15431" s="7" customFormat="1" spans="33:33">
      <c r="AG15431" s="3"/>
    </row>
    <row r="15432" s="7" customFormat="1" spans="33:33">
      <c r="AG15432" s="3"/>
    </row>
    <row r="15433" s="7" customFormat="1" spans="33:33">
      <c r="AG15433" s="3"/>
    </row>
    <row r="15434" s="7" customFormat="1" spans="33:33">
      <c r="AG15434" s="3"/>
    </row>
    <row r="15435" s="7" customFormat="1" spans="33:33">
      <c r="AG15435" s="3"/>
    </row>
    <row r="15436" s="7" customFormat="1" spans="33:33">
      <c r="AG15436" s="3"/>
    </row>
    <row r="15437" s="7" customFormat="1" spans="33:33">
      <c r="AG15437" s="3"/>
    </row>
    <row r="15438" s="7" customFormat="1" spans="33:33">
      <c r="AG15438" s="3"/>
    </row>
    <row r="15439" s="7" customFormat="1" spans="33:33">
      <c r="AG15439" s="3"/>
    </row>
    <row r="15440" s="7" customFormat="1" spans="33:33">
      <c r="AG15440" s="3"/>
    </row>
    <row r="15441" s="7" customFormat="1" spans="33:33">
      <c r="AG15441" s="3"/>
    </row>
    <row r="15442" s="7" customFormat="1" spans="33:33">
      <c r="AG15442" s="3"/>
    </row>
    <row r="15443" s="7" customFormat="1" spans="33:33">
      <c r="AG15443" s="3"/>
    </row>
    <row r="15444" s="7" customFormat="1" spans="33:33">
      <c r="AG15444" s="3"/>
    </row>
    <row r="15445" s="7" customFormat="1" spans="33:33">
      <c r="AG15445" s="3"/>
    </row>
    <row r="15446" s="7" customFormat="1" spans="33:33">
      <c r="AG15446" s="3"/>
    </row>
    <row r="15447" s="7" customFormat="1" spans="33:33">
      <c r="AG15447" s="3"/>
    </row>
    <row r="15448" s="7" customFormat="1" spans="33:33">
      <c r="AG15448" s="3"/>
    </row>
    <row r="15449" s="7" customFormat="1" spans="33:33">
      <c r="AG15449" s="3"/>
    </row>
    <row r="15450" s="7" customFormat="1" spans="33:33">
      <c r="AG15450" s="3"/>
    </row>
    <row r="15451" s="7" customFormat="1" spans="33:33">
      <c r="AG15451" s="3"/>
    </row>
    <row r="15452" s="7" customFormat="1" spans="33:33">
      <c r="AG15452" s="3"/>
    </row>
    <row r="15453" s="7" customFormat="1" spans="33:33">
      <c r="AG15453" s="3"/>
    </row>
    <row r="15454" s="7" customFormat="1" spans="33:33">
      <c r="AG15454" s="3"/>
    </row>
    <row r="15455" s="7" customFormat="1" spans="33:33">
      <c r="AG15455" s="3"/>
    </row>
    <row r="15456" s="7" customFormat="1" spans="33:33">
      <c r="AG15456" s="3"/>
    </row>
    <row r="15457" s="7" customFormat="1" spans="33:33">
      <c r="AG15457" s="3"/>
    </row>
    <row r="15458" s="7" customFormat="1" spans="33:33">
      <c r="AG15458" s="3"/>
    </row>
    <row r="15459" s="7" customFormat="1" spans="33:33">
      <c r="AG15459" s="3"/>
    </row>
    <row r="15460" s="7" customFormat="1" spans="33:33">
      <c r="AG15460" s="3"/>
    </row>
    <row r="15461" s="7" customFormat="1" spans="33:33">
      <c r="AG15461" s="3"/>
    </row>
    <row r="15462" s="7" customFormat="1" spans="33:33">
      <c r="AG15462" s="3"/>
    </row>
    <row r="15463" s="7" customFormat="1" spans="33:33">
      <c r="AG15463" s="3"/>
    </row>
    <row r="15464" s="7" customFormat="1" spans="33:33">
      <c r="AG15464" s="3"/>
    </row>
    <row r="15465" s="7" customFormat="1" spans="33:33">
      <c r="AG15465" s="3"/>
    </row>
    <row r="15466" s="7" customFormat="1" spans="33:33">
      <c r="AG15466" s="3"/>
    </row>
    <row r="15467" s="7" customFormat="1" spans="33:33">
      <c r="AG15467" s="3"/>
    </row>
    <row r="15468" s="7" customFormat="1" spans="33:33">
      <c r="AG15468" s="3"/>
    </row>
    <row r="15469" s="7" customFormat="1" spans="33:33">
      <c r="AG15469" s="3"/>
    </row>
    <row r="15470" s="7" customFormat="1" spans="33:33">
      <c r="AG15470" s="3"/>
    </row>
    <row r="15471" s="7" customFormat="1" spans="33:33">
      <c r="AG15471" s="3"/>
    </row>
    <row r="15472" s="7" customFormat="1" spans="33:33">
      <c r="AG15472" s="3"/>
    </row>
    <row r="15473" s="7" customFormat="1" spans="33:33">
      <c r="AG15473" s="3"/>
    </row>
    <row r="15474" s="7" customFormat="1" spans="33:33">
      <c r="AG15474" s="3"/>
    </row>
    <row r="15475" s="7" customFormat="1" spans="33:33">
      <c r="AG15475" s="3"/>
    </row>
    <row r="15476" s="7" customFormat="1" spans="33:33">
      <c r="AG15476" s="3"/>
    </row>
    <row r="15477" s="7" customFormat="1" spans="33:33">
      <c r="AG15477" s="3"/>
    </row>
    <row r="15478" s="7" customFormat="1" spans="33:33">
      <c r="AG15478" s="3"/>
    </row>
    <row r="15479" s="7" customFormat="1" spans="33:33">
      <c r="AG15479" s="3"/>
    </row>
    <row r="15480" s="7" customFormat="1" spans="33:33">
      <c r="AG15480" s="3"/>
    </row>
    <row r="15481" s="7" customFormat="1" spans="33:33">
      <c r="AG15481" s="3"/>
    </row>
    <row r="15482" s="7" customFormat="1" spans="33:33">
      <c r="AG15482" s="3"/>
    </row>
    <row r="15483" s="7" customFormat="1" spans="33:33">
      <c r="AG15483" s="3"/>
    </row>
    <row r="15484" s="7" customFormat="1" spans="33:33">
      <c r="AG15484" s="3"/>
    </row>
    <row r="15485" s="7" customFormat="1" spans="33:33">
      <c r="AG15485" s="3"/>
    </row>
    <row r="15486" s="7" customFormat="1" spans="33:33">
      <c r="AG15486" s="3"/>
    </row>
    <row r="15487" s="7" customFormat="1" spans="33:33">
      <c r="AG15487" s="3"/>
    </row>
    <row r="15488" s="7" customFormat="1" spans="33:33">
      <c r="AG15488" s="3"/>
    </row>
    <row r="15489" s="7" customFormat="1" spans="33:33">
      <c r="AG15489" s="3"/>
    </row>
    <row r="15490" s="7" customFormat="1" spans="33:33">
      <c r="AG15490" s="3"/>
    </row>
    <row r="15491" s="7" customFormat="1" spans="33:33">
      <c r="AG15491" s="3"/>
    </row>
    <row r="15492" s="7" customFormat="1" spans="33:33">
      <c r="AG15492" s="3"/>
    </row>
    <row r="15493" s="7" customFormat="1" spans="33:33">
      <c r="AG15493" s="3"/>
    </row>
    <row r="15494" s="7" customFormat="1" spans="33:33">
      <c r="AG15494" s="3"/>
    </row>
    <row r="15495" s="7" customFormat="1" spans="33:33">
      <c r="AG15495" s="3"/>
    </row>
    <row r="15496" s="7" customFormat="1" spans="33:33">
      <c r="AG15496" s="3"/>
    </row>
    <row r="15497" s="7" customFormat="1" spans="33:33">
      <c r="AG15497" s="3"/>
    </row>
    <row r="15498" s="7" customFormat="1" spans="33:33">
      <c r="AG15498" s="3"/>
    </row>
    <row r="15499" s="7" customFormat="1" spans="33:33">
      <c r="AG15499" s="3"/>
    </row>
    <row r="15500" s="7" customFormat="1" spans="33:33">
      <c r="AG15500" s="3"/>
    </row>
    <row r="15501" s="7" customFormat="1" spans="33:33">
      <c r="AG15501" s="3"/>
    </row>
    <row r="15502" s="7" customFormat="1" spans="33:33">
      <c r="AG15502" s="3"/>
    </row>
    <row r="15503" s="7" customFormat="1" spans="33:33">
      <c r="AG15503" s="3"/>
    </row>
    <row r="15504" s="7" customFormat="1" spans="33:33">
      <c r="AG15504" s="3"/>
    </row>
    <row r="15505" s="7" customFormat="1" spans="33:33">
      <c r="AG15505" s="3"/>
    </row>
    <row r="15506" s="7" customFormat="1" spans="33:33">
      <c r="AG15506" s="3"/>
    </row>
    <row r="15507" s="7" customFormat="1" spans="33:33">
      <c r="AG15507" s="3"/>
    </row>
    <row r="15508" s="7" customFormat="1" spans="33:33">
      <c r="AG15508" s="3"/>
    </row>
    <row r="15509" s="7" customFormat="1" spans="33:33">
      <c r="AG15509" s="3"/>
    </row>
    <row r="15510" s="7" customFormat="1" spans="33:33">
      <c r="AG15510" s="3"/>
    </row>
    <row r="15511" s="7" customFormat="1" spans="33:33">
      <c r="AG15511" s="3"/>
    </row>
    <row r="15512" s="7" customFormat="1" spans="33:33">
      <c r="AG15512" s="3"/>
    </row>
    <row r="15513" s="7" customFormat="1" spans="33:33">
      <c r="AG15513" s="3"/>
    </row>
    <row r="15514" s="7" customFormat="1" spans="33:33">
      <c r="AG15514" s="3"/>
    </row>
    <row r="15515" s="7" customFormat="1" spans="33:33">
      <c r="AG15515" s="3"/>
    </row>
    <row r="15516" s="7" customFormat="1" spans="33:33">
      <c r="AG15516" s="3"/>
    </row>
    <row r="15517" s="7" customFormat="1" spans="33:33">
      <c r="AG15517" s="3"/>
    </row>
    <row r="15518" s="7" customFormat="1" spans="33:33">
      <c r="AG15518" s="3"/>
    </row>
    <row r="15519" s="7" customFormat="1" spans="33:33">
      <c r="AG15519" s="3"/>
    </row>
    <row r="15520" s="7" customFormat="1" spans="33:33">
      <c r="AG15520" s="3"/>
    </row>
    <row r="15521" s="7" customFormat="1" spans="33:33">
      <c r="AG15521" s="3"/>
    </row>
    <row r="15522" s="7" customFormat="1" spans="33:33">
      <c r="AG15522" s="3"/>
    </row>
    <row r="15523" s="7" customFormat="1" spans="33:33">
      <c r="AG15523" s="3"/>
    </row>
    <row r="15524" s="7" customFormat="1" spans="33:33">
      <c r="AG15524" s="3"/>
    </row>
    <row r="15525" s="7" customFormat="1" spans="33:33">
      <c r="AG15525" s="3"/>
    </row>
    <row r="15526" s="7" customFormat="1" spans="33:33">
      <c r="AG15526" s="3"/>
    </row>
    <row r="15527" s="7" customFormat="1" spans="33:33">
      <c r="AG15527" s="3"/>
    </row>
    <row r="15528" s="7" customFormat="1" spans="33:33">
      <c r="AG15528" s="3"/>
    </row>
    <row r="15529" s="7" customFormat="1" spans="33:33">
      <c r="AG15529" s="3"/>
    </row>
    <row r="15530" s="7" customFormat="1" spans="33:33">
      <c r="AG15530" s="3"/>
    </row>
    <row r="15531" s="7" customFormat="1" spans="33:33">
      <c r="AG15531" s="3"/>
    </row>
    <row r="15532" s="7" customFormat="1" spans="33:33">
      <c r="AG15532" s="3"/>
    </row>
    <row r="15533" s="7" customFormat="1" spans="33:33">
      <c r="AG15533" s="3"/>
    </row>
    <row r="15534" s="7" customFormat="1" spans="33:33">
      <c r="AG15534" s="3"/>
    </row>
    <row r="15535" s="7" customFormat="1" spans="33:33">
      <c r="AG15535" s="3"/>
    </row>
    <row r="15536" s="7" customFormat="1" spans="33:33">
      <c r="AG15536" s="3"/>
    </row>
    <row r="15537" s="7" customFormat="1" spans="33:33">
      <c r="AG15537" s="3"/>
    </row>
    <row r="15538" s="7" customFormat="1" spans="33:33">
      <c r="AG15538" s="3"/>
    </row>
    <row r="15539" s="7" customFormat="1" spans="33:33">
      <c r="AG15539" s="3"/>
    </row>
    <row r="15540" s="7" customFormat="1" spans="33:33">
      <c r="AG15540" s="3"/>
    </row>
    <row r="15541" s="7" customFormat="1" spans="33:33">
      <c r="AG15541" s="3"/>
    </row>
    <row r="15542" s="7" customFormat="1" spans="33:33">
      <c r="AG15542" s="3"/>
    </row>
    <row r="15543" s="7" customFormat="1" spans="33:33">
      <c r="AG15543" s="3"/>
    </row>
    <row r="15544" s="7" customFormat="1" spans="33:33">
      <c r="AG15544" s="3"/>
    </row>
    <row r="15545" s="7" customFormat="1" spans="33:33">
      <c r="AG15545" s="3"/>
    </row>
    <row r="15546" s="7" customFormat="1" spans="33:33">
      <c r="AG15546" s="3"/>
    </row>
    <row r="15547" s="7" customFormat="1" spans="33:33">
      <c r="AG15547" s="3"/>
    </row>
    <row r="15548" s="7" customFormat="1" spans="33:33">
      <c r="AG15548" s="3"/>
    </row>
    <row r="15549" s="7" customFormat="1" spans="33:33">
      <c r="AG15549" s="3"/>
    </row>
    <row r="15550" s="7" customFormat="1" spans="33:33">
      <c r="AG15550" s="3"/>
    </row>
    <row r="15551" s="7" customFormat="1" spans="33:33">
      <c r="AG15551" s="3"/>
    </row>
    <row r="15552" s="7" customFormat="1" spans="33:33">
      <c r="AG15552" s="3"/>
    </row>
    <row r="15553" s="7" customFormat="1" spans="33:33">
      <c r="AG15553" s="3"/>
    </row>
    <row r="15554" s="7" customFormat="1" spans="33:33">
      <c r="AG15554" s="3"/>
    </row>
    <row r="15555" s="7" customFormat="1" spans="33:33">
      <c r="AG15555" s="3"/>
    </row>
    <row r="15556" s="7" customFormat="1" spans="33:33">
      <c r="AG15556" s="3"/>
    </row>
    <row r="15557" s="7" customFormat="1" spans="33:33">
      <c r="AG15557" s="3"/>
    </row>
    <row r="15558" s="7" customFormat="1" spans="33:33">
      <c r="AG15558" s="3"/>
    </row>
    <row r="15559" s="7" customFormat="1" spans="33:33">
      <c r="AG15559" s="3"/>
    </row>
    <row r="15560" s="7" customFormat="1" spans="33:33">
      <c r="AG15560" s="3"/>
    </row>
    <row r="15561" s="7" customFormat="1" spans="33:33">
      <c r="AG15561" s="3"/>
    </row>
    <row r="15562" s="7" customFormat="1" spans="33:33">
      <c r="AG15562" s="3"/>
    </row>
    <row r="15563" s="7" customFormat="1" spans="33:33">
      <c r="AG15563" s="3"/>
    </row>
    <row r="15564" s="7" customFormat="1" spans="33:33">
      <c r="AG15564" s="3"/>
    </row>
    <row r="15565" s="7" customFormat="1" spans="33:33">
      <c r="AG15565" s="3"/>
    </row>
    <row r="15566" s="7" customFormat="1" spans="33:33">
      <c r="AG15566" s="3"/>
    </row>
    <row r="15567" s="7" customFormat="1" spans="33:33">
      <c r="AG15567" s="3"/>
    </row>
    <row r="15568" s="7" customFormat="1" spans="33:33">
      <c r="AG15568" s="3"/>
    </row>
    <row r="15569" s="7" customFormat="1" spans="33:33">
      <c r="AG15569" s="3"/>
    </row>
    <row r="15570" s="7" customFormat="1" spans="33:33">
      <c r="AG15570" s="3"/>
    </row>
    <row r="15571" s="7" customFormat="1" spans="33:33">
      <c r="AG15571" s="3"/>
    </row>
    <row r="15572" s="7" customFormat="1" spans="33:33">
      <c r="AG15572" s="3"/>
    </row>
    <row r="15573" s="7" customFormat="1" spans="33:33">
      <c r="AG15573" s="3"/>
    </row>
    <row r="15574" s="7" customFormat="1" spans="33:33">
      <c r="AG15574" s="3"/>
    </row>
    <row r="15575" s="7" customFormat="1" spans="33:33">
      <c r="AG15575" s="3"/>
    </row>
    <row r="15576" s="7" customFormat="1" spans="33:33">
      <c r="AG15576" s="3"/>
    </row>
    <row r="15577" s="7" customFormat="1" spans="33:33">
      <c r="AG15577" s="3"/>
    </row>
    <row r="15578" s="7" customFormat="1" spans="33:33">
      <c r="AG15578" s="3"/>
    </row>
    <row r="15579" s="7" customFormat="1" spans="33:33">
      <c r="AG15579" s="3"/>
    </row>
    <row r="15580" s="7" customFormat="1" spans="33:33">
      <c r="AG15580" s="3"/>
    </row>
    <row r="15581" s="7" customFormat="1" spans="33:33">
      <c r="AG15581" s="3"/>
    </row>
    <row r="15582" s="7" customFormat="1" spans="33:33">
      <c r="AG15582" s="3"/>
    </row>
    <row r="15583" s="7" customFormat="1" spans="33:33">
      <c r="AG15583" s="3"/>
    </row>
    <row r="15584" s="7" customFormat="1" spans="33:33">
      <c r="AG15584" s="3"/>
    </row>
    <row r="15585" s="7" customFormat="1" spans="33:33">
      <c r="AG15585" s="3"/>
    </row>
    <row r="15586" s="7" customFormat="1" spans="33:33">
      <c r="AG15586" s="3"/>
    </row>
    <row r="15587" s="7" customFormat="1" spans="33:33">
      <c r="AG15587" s="3"/>
    </row>
    <row r="15588" s="7" customFormat="1" spans="33:33">
      <c r="AG15588" s="3"/>
    </row>
    <row r="15589" s="7" customFormat="1" spans="33:33">
      <c r="AG15589" s="3"/>
    </row>
    <row r="15590" s="7" customFormat="1" spans="33:33">
      <c r="AG15590" s="3"/>
    </row>
    <row r="15591" s="7" customFormat="1" spans="33:33">
      <c r="AG15591" s="3"/>
    </row>
    <row r="15592" s="7" customFormat="1" spans="33:33">
      <c r="AG15592" s="3"/>
    </row>
    <row r="15593" s="7" customFormat="1" spans="33:33">
      <c r="AG15593" s="3"/>
    </row>
    <row r="15594" s="7" customFormat="1" spans="33:33">
      <c r="AG15594" s="3"/>
    </row>
    <row r="15595" s="7" customFormat="1" spans="33:33">
      <c r="AG15595" s="3"/>
    </row>
    <row r="15596" s="7" customFormat="1" spans="33:33">
      <c r="AG15596" s="3"/>
    </row>
    <row r="15597" s="7" customFormat="1" spans="33:33">
      <c r="AG15597" s="3"/>
    </row>
    <row r="15598" s="7" customFormat="1" spans="33:33">
      <c r="AG15598" s="3"/>
    </row>
    <row r="15599" s="7" customFormat="1" spans="33:33">
      <c r="AG15599" s="3"/>
    </row>
    <row r="15600" s="7" customFormat="1" spans="33:33">
      <c r="AG15600" s="3"/>
    </row>
    <row r="15601" s="7" customFormat="1" spans="33:33">
      <c r="AG15601" s="3"/>
    </row>
    <row r="15602" s="7" customFormat="1" spans="33:33">
      <c r="AG15602" s="3"/>
    </row>
    <row r="15603" s="7" customFormat="1" spans="33:33">
      <c r="AG15603" s="3"/>
    </row>
    <row r="15604" s="7" customFormat="1" spans="33:33">
      <c r="AG15604" s="3"/>
    </row>
    <row r="15605" s="7" customFormat="1" spans="33:33">
      <c r="AG15605" s="3"/>
    </row>
    <row r="15606" s="7" customFormat="1" spans="33:33">
      <c r="AG15606" s="3"/>
    </row>
    <row r="15607" s="7" customFormat="1" spans="33:33">
      <c r="AG15607" s="3"/>
    </row>
    <row r="15608" s="7" customFormat="1" spans="33:33">
      <c r="AG15608" s="3"/>
    </row>
    <row r="15609" s="7" customFormat="1" spans="33:33">
      <c r="AG15609" s="3"/>
    </row>
    <row r="15610" s="7" customFormat="1" spans="33:33">
      <c r="AG15610" s="3"/>
    </row>
    <row r="15611" s="7" customFormat="1" spans="33:33">
      <c r="AG15611" s="3"/>
    </row>
    <row r="15612" s="7" customFormat="1" spans="33:33">
      <c r="AG15612" s="3"/>
    </row>
    <row r="15613" s="7" customFormat="1" spans="33:33">
      <c r="AG15613" s="3"/>
    </row>
    <row r="15614" s="7" customFormat="1" spans="33:33">
      <c r="AG15614" s="3"/>
    </row>
    <row r="15615" s="7" customFormat="1" spans="33:33">
      <c r="AG15615" s="3"/>
    </row>
    <row r="15616" s="7" customFormat="1" spans="33:33">
      <c r="AG15616" s="3"/>
    </row>
    <row r="15617" s="7" customFormat="1" spans="33:33">
      <c r="AG15617" s="3"/>
    </row>
    <row r="15618" s="7" customFormat="1" spans="33:33">
      <c r="AG15618" s="3"/>
    </row>
    <row r="15619" s="7" customFormat="1" spans="33:33">
      <c r="AG15619" s="3"/>
    </row>
    <row r="15620" s="7" customFormat="1" spans="33:33">
      <c r="AG15620" s="3"/>
    </row>
    <row r="15621" s="7" customFormat="1" spans="33:33">
      <c r="AG15621" s="3"/>
    </row>
    <row r="15622" s="7" customFormat="1" spans="33:33">
      <c r="AG15622" s="3"/>
    </row>
    <row r="15623" s="7" customFormat="1" spans="33:33">
      <c r="AG15623" s="3"/>
    </row>
    <row r="15624" s="7" customFormat="1" spans="33:33">
      <c r="AG15624" s="3"/>
    </row>
    <row r="15625" s="7" customFormat="1" spans="33:33">
      <c r="AG15625" s="3"/>
    </row>
    <row r="15626" s="7" customFormat="1" spans="33:33">
      <c r="AG15626" s="3"/>
    </row>
    <row r="15627" s="7" customFormat="1" spans="33:33">
      <c r="AG15627" s="3"/>
    </row>
    <row r="15628" s="7" customFormat="1" spans="33:33">
      <c r="AG15628" s="3"/>
    </row>
    <row r="15629" s="7" customFormat="1" spans="33:33">
      <c r="AG15629" s="3"/>
    </row>
    <row r="15630" s="7" customFormat="1" spans="33:33">
      <c r="AG15630" s="3"/>
    </row>
    <row r="15631" s="7" customFormat="1" spans="33:33">
      <c r="AG15631" s="3"/>
    </row>
    <row r="15632" s="7" customFormat="1" spans="33:33">
      <c r="AG15632" s="3"/>
    </row>
    <row r="15633" s="7" customFormat="1" spans="33:33">
      <c r="AG15633" s="3"/>
    </row>
    <row r="15634" s="7" customFormat="1" spans="33:33">
      <c r="AG15634" s="3"/>
    </row>
    <row r="15635" s="7" customFormat="1" spans="33:33">
      <c r="AG15635" s="3"/>
    </row>
    <row r="15636" s="7" customFormat="1" spans="33:33">
      <c r="AG15636" s="3"/>
    </row>
    <row r="15637" s="7" customFormat="1" spans="33:33">
      <c r="AG15637" s="3"/>
    </row>
    <row r="15638" s="7" customFormat="1" spans="33:33">
      <c r="AG15638" s="3"/>
    </row>
    <row r="15639" s="7" customFormat="1" spans="33:33">
      <c r="AG15639" s="3"/>
    </row>
    <row r="15640" s="7" customFormat="1" spans="33:33">
      <c r="AG15640" s="3"/>
    </row>
    <row r="15641" s="7" customFormat="1" spans="33:33">
      <c r="AG15641" s="3"/>
    </row>
    <row r="15642" s="7" customFormat="1" spans="33:33">
      <c r="AG15642" s="3"/>
    </row>
    <row r="15643" s="7" customFormat="1" spans="33:33">
      <c r="AG15643" s="3"/>
    </row>
    <row r="15644" s="7" customFormat="1" spans="33:33">
      <c r="AG15644" s="3"/>
    </row>
    <row r="15645" s="7" customFormat="1" spans="33:33">
      <c r="AG15645" s="3"/>
    </row>
    <row r="15646" s="7" customFormat="1" spans="33:33">
      <c r="AG15646" s="3"/>
    </row>
    <row r="15647" s="7" customFormat="1" spans="33:33">
      <c r="AG15647" s="3"/>
    </row>
    <row r="15648" s="7" customFormat="1" spans="33:33">
      <c r="AG15648" s="3"/>
    </row>
    <row r="15649" s="7" customFormat="1" spans="33:33">
      <c r="AG15649" s="3"/>
    </row>
    <row r="15650" s="7" customFormat="1" spans="33:33">
      <c r="AG15650" s="3"/>
    </row>
    <row r="15651" s="7" customFormat="1" spans="33:33">
      <c r="AG15651" s="3"/>
    </row>
    <row r="15652" s="7" customFormat="1" spans="33:33">
      <c r="AG15652" s="3"/>
    </row>
    <row r="15653" s="7" customFormat="1" spans="33:33">
      <c r="AG15653" s="3"/>
    </row>
    <row r="15654" s="7" customFormat="1" spans="33:33">
      <c r="AG15654" s="3"/>
    </row>
    <row r="15655" s="7" customFormat="1" spans="33:33">
      <c r="AG15655" s="3"/>
    </row>
    <row r="15656" s="7" customFormat="1" spans="33:33">
      <c r="AG15656" s="3"/>
    </row>
    <row r="15657" s="7" customFormat="1" spans="33:33">
      <c r="AG15657" s="3"/>
    </row>
    <row r="15658" s="7" customFormat="1" spans="33:33">
      <c r="AG15658" s="3"/>
    </row>
    <row r="15659" s="7" customFormat="1" spans="33:33">
      <c r="AG15659" s="3"/>
    </row>
    <row r="15660" s="7" customFormat="1" spans="33:33">
      <c r="AG15660" s="3"/>
    </row>
    <row r="15661" s="7" customFormat="1" spans="33:33">
      <c r="AG15661" s="3"/>
    </row>
    <row r="15662" s="7" customFormat="1" spans="33:33">
      <c r="AG15662" s="3"/>
    </row>
    <row r="15663" s="7" customFormat="1" spans="33:33">
      <c r="AG15663" s="3"/>
    </row>
    <row r="15664" s="7" customFormat="1" spans="33:33">
      <c r="AG15664" s="3"/>
    </row>
    <row r="15665" s="7" customFormat="1" spans="33:33">
      <c r="AG15665" s="3"/>
    </row>
    <row r="15666" s="7" customFormat="1" spans="33:33">
      <c r="AG15666" s="3"/>
    </row>
    <row r="15667" s="7" customFormat="1" spans="33:33">
      <c r="AG15667" s="3"/>
    </row>
    <row r="15668" s="7" customFormat="1" spans="33:33">
      <c r="AG15668" s="3"/>
    </row>
    <row r="15669" s="7" customFormat="1" spans="33:33">
      <c r="AG15669" s="3"/>
    </row>
    <row r="15670" s="7" customFormat="1" spans="33:33">
      <c r="AG15670" s="3"/>
    </row>
    <row r="15671" s="7" customFormat="1" spans="33:33">
      <c r="AG15671" s="3"/>
    </row>
    <row r="15672" s="7" customFormat="1" spans="33:33">
      <c r="AG15672" s="3"/>
    </row>
    <row r="15673" s="7" customFormat="1" spans="33:33">
      <c r="AG15673" s="3"/>
    </row>
    <row r="15674" s="7" customFormat="1" spans="33:33">
      <c r="AG15674" s="3"/>
    </row>
    <row r="15675" s="7" customFormat="1" spans="33:33">
      <c r="AG15675" s="3"/>
    </row>
    <row r="15676" s="7" customFormat="1" spans="33:33">
      <c r="AG15676" s="3"/>
    </row>
    <row r="15677" s="7" customFormat="1" spans="33:33">
      <c r="AG15677" s="3"/>
    </row>
    <row r="15678" s="7" customFormat="1" spans="33:33">
      <c r="AG15678" s="3"/>
    </row>
    <row r="15679" s="7" customFormat="1" spans="33:33">
      <c r="AG15679" s="3"/>
    </row>
    <row r="15680" s="7" customFormat="1" spans="33:33">
      <c r="AG15680" s="3"/>
    </row>
    <row r="15681" s="7" customFormat="1" spans="33:33">
      <c r="AG15681" s="3"/>
    </row>
    <row r="15682" s="7" customFormat="1" spans="33:33">
      <c r="AG15682" s="3"/>
    </row>
    <row r="15683" s="7" customFormat="1" spans="33:33">
      <c r="AG15683" s="3"/>
    </row>
    <row r="15684" s="7" customFormat="1" spans="33:33">
      <c r="AG15684" s="3"/>
    </row>
    <row r="15685" s="7" customFormat="1" spans="33:33">
      <c r="AG15685" s="3"/>
    </row>
    <row r="15686" s="7" customFormat="1" spans="33:33">
      <c r="AG15686" s="3"/>
    </row>
    <row r="15687" s="7" customFormat="1" spans="33:33">
      <c r="AG15687" s="3"/>
    </row>
    <row r="15688" s="7" customFormat="1" spans="33:33">
      <c r="AG15688" s="3"/>
    </row>
    <row r="15689" s="7" customFormat="1" spans="33:33">
      <c r="AG15689" s="3"/>
    </row>
    <row r="15690" s="7" customFormat="1" spans="33:33">
      <c r="AG15690" s="3"/>
    </row>
    <row r="15691" s="7" customFormat="1" spans="33:33">
      <c r="AG15691" s="3"/>
    </row>
    <row r="15692" s="7" customFormat="1" spans="33:33">
      <c r="AG15692" s="3"/>
    </row>
    <row r="15693" s="7" customFormat="1" spans="33:33">
      <c r="AG15693" s="3"/>
    </row>
    <row r="15694" s="7" customFormat="1" spans="33:33">
      <c r="AG15694" s="3"/>
    </row>
    <row r="15695" s="7" customFormat="1" spans="33:33">
      <c r="AG15695" s="3"/>
    </row>
    <row r="15696" s="7" customFormat="1" spans="33:33">
      <c r="AG15696" s="3"/>
    </row>
    <row r="15697" s="7" customFormat="1" spans="33:33">
      <c r="AG15697" s="3"/>
    </row>
    <row r="15698" s="7" customFormat="1" spans="33:33">
      <c r="AG15698" s="3"/>
    </row>
    <row r="15699" s="7" customFormat="1" spans="33:33">
      <c r="AG15699" s="3"/>
    </row>
    <row r="15700" s="7" customFormat="1" spans="33:33">
      <c r="AG15700" s="3"/>
    </row>
    <row r="15701" s="7" customFormat="1" spans="33:33">
      <c r="AG15701" s="3"/>
    </row>
    <row r="15702" s="7" customFormat="1" spans="33:33">
      <c r="AG15702" s="3"/>
    </row>
    <row r="15703" s="7" customFormat="1" spans="33:33">
      <c r="AG15703" s="3"/>
    </row>
    <row r="15704" s="7" customFormat="1" spans="33:33">
      <c r="AG15704" s="3"/>
    </row>
    <row r="15705" s="7" customFormat="1" spans="33:33">
      <c r="AG15705" s="3"/>
    </row>
    <row r="15706" s="7" customFormat="1" spans="33:33">
      <c r="AG15706" s="3"/>
    </row>
    <row r="15707" s="7" customFormat="1" spans="33:33">
      <c r="AG15707" s="3"/>
    </row>
    <row r="15708" s="7" customFormat="1" spans="33:33">
      <c r="AG15708" s="3"/>
    </row>
    <row r="15709" s="7" customFormat="1" spans="33:33">
      <c r="AG15709" s="3"/>
    </row>
    <row r="15710" s="7" customFormat="1" spans="33:33">
      <c r="AG15710" s="3"/>
    </row>
    <row r="15711" s="7" customFormat="1" spans="33:33">
      <c r="AG15711" s="3"/>
    </row>
    <row r="15712" s="7" customFormat="1" spans="33:33">
      <c r="AG15712" s="3"/>
    </row>
    <row r="15713" s="7" customFormat="1" spans="33:33">
      <c r="AG15713" s="3"/>
    </row>
    <row r="15714" s="7" customFormat="1" spans="33:33">
      <c r="AG15714" s="3"/>
    </row>
    <row r="15715" s="7" customFormat="1" spans="33:33">
      <c r="AG15715" s="3"/>
    </row>
    <row r="15716" s="7" customFormat="1" spans="33:33">
      <c r="AG15716" s="3"/>
    </row>
    <row r="15717" s="7" customFormat="1" spans="33:33">
      <c r="AG15717" s="3"/>
    </row>
    <row r="15718" s="7" customFormat="1" spans="33:33">
      <c r="AG15718" s="3"/>
    </row>
    <row r="15719" s="7" customFormat="1" spans="33:33">
      <c r="AG15719" s="3"/>
    </row>
    <row r="15720" s="7" customFormat="1" spans="33:33">
      <c r="AG15720" s="3"/>
    </row>
    <row r="15721" s="7" customFormat="1" spans="33:33">
      <c r="AG15721" s="3"/>
    </row>
    <row r="15722" s="7" customFormat="1" spans="33:33">
      <c r="AG15722" s="3"/>
    </row>
    <row r="15723" s="7" customFormat="1" spans="33:33">
      <c r="AG15723" s="3"/>
    </row>
    <row r="15724" s="7" customFormat="1" spans="33:33">
      <c r="AG15724" s="3"/>
    </row>
    <row r="15725" s="7" customFormat="1" spans="33:33">
      <c r="AG15725" s="3"/>
    </row>
    <row r="15726" s="7" customFormat="1" spans="33:33">
      <c r="AG15726" s="3"/>
    </row>
    <row r="15727" s="7" customFormat="1" spans="33:33">
      <c r="AG15727" s="3"/>
    </row>
    <row r="15728" s="7" customFormat="1" spans="33:33">
      <c r="AG15728" s="3"/>
    </row>
    <row r="15729" s="7" customFormat="1" spans="33:33">
      <c r="AG15729" s="3"/>
    </row>
    <row r="15730" s="7" customFormat="1" spans="33:33">
      <c r="AG15730" s="3"/>
    </row>
    <row r="15731" s="7" customFormat="1" spans="33:33">
      <c r="AG15731" s="3"/>
    </row>
    <row r="15732" s="7" customFormat="1" spans="33:33">
      <c r="AG15732" s="3"/>
    </row>
    <row r="15733" s="7" customFormat="1" spans="33:33">
      <c r="AG15733" s="3"/>
    </row>
    <row r="15734" s="7" customFormat="1" spans="33:33">
      <c r="AG15734" s="3"/>
    </row>
    <row r="15735" s="7" customFormat="1" spans="33:33">
      <c r="AG15735" s="3"/>
    </row>
    <row r="15736" s="7" customFormat="1" spans="33:33">
      <c r="AG15736" s="3"/>
    </row>
    <row r="15737" s="7" customFormat="1" spans="33:33">
      <c r="AG15737" s="3"/>
    </row>
    <row r="15738" s="7" customFormat="1" spans="33:33">
      <c r="AG15738" s="3"/>
    </row>
    <row r="15739" s="7" customFormat="1" spans="33:33">
      <c r="AG15739" s="3"/>
    </row>
    <row r="15740" s="7" customFormat="1" spans="33:33">
      <c r="AG15740" s="3"/>
    </row>
    <row r="15741" s="7" customFormat="1" spans="33:33">
      <c r="AG15741" s="3"/>
    </row>
    <row r="15742" s="7" customFormat="1" spans="33:33">
      <c r="AG15742" s="3"/>
    </row>
    <row r="15743" s="7" customFormat="1" spans="33:33">
      <c r="AG15743" s="3"/>
    </row>
    <row r="15744" s="7" customFormat="1" spans="33:33">
      <c r="AG15744" s="3"/>
    </row>
    <row r="15745" s="7" customFormat="1" spans="33:33">
      <c r="AG15745" s="3"/>
    </row>
    <row r="15746" s="7" customFormat="1" spans="33:33">
      <c r="AG15746" s="3"/>
    </row>
    <row r="15747" s="7" customFormat="1" spans="33:33">
      <c r="AG15747" s="3"/>
    </row>
    <row r="15748" s="7" customFormat="1" spans="33:33">
      <c r="AG15748" s="3"/>
    </row>
    <row r="15749" s="7" customFormat="1" spans="33:33">
      <c r="AG15749" s="3"/>
    </row>
    <row r="15750" s="7" customFormat="1" spans="33:33">
      <c r="AG15750" s="3"/>
    </row>
    <row r="15751" s="7" customFormat="1" spans="33:33">
      <c r="AG15751" s="3"/>
    </row>
    <row r="15752" s="7" customFormat="1" spans="33:33">
      <c r="AG15752" s="3"/>
    </row>
    <row r="15753" s="7" customFormat="1" spans="33:33">
      <c r="AG15753" s="3"/>
    </row>
    <row r="15754" s="7" customFormat="1" spans="33:33">
      <c r="AG15754" s="3"/>
    </row>
    <row r="15755" s="7" customFormat="1" spans="33:33">
      <c r="AG15755" s="3"/>
    </row>
    <row r="15756" s="7" customFormat="1" spans="33:33">
      <c r="AG15756" s="3"/>
    </row>
    <row r="15757" s="7" customFormat="1" spans="33:33">
      <c r="AG15757" s="3"/>
    </row>
    <row r="15758" s="7" customFormat="1" spans="33:33">
      <c r="AG15758" s="3"/>
    </row>
    <row r="15759" s="7" customFormat="1" spans="33:33">
      <c r="AG15759" s="3"/>
    </row>
    <row r="15760" s="7" customFormat="1" spans="33:33">
      <c r="AG15760" s="3"/>
    </row>
    <row r="15761" s="7" customFormat="1" spans="33:33">
      <c r="AG15761" s="3"/>
    </row>
    <row r="15762" s="7" customFormat="1" spans="33:33">
      <c r="AG15762" s="3"/>
    </row>
    <row r="15763" s="7" customFormat="1" spans="33:33">
      <c r="AG15763" s="3"/>
    </row>
    <row r="15764" s="7" customFormat="1" spans="33:33">
      <c r="AG15764" s="3"/>
    </row>
    <row r="15765" s="7" customFormat="1" spans="33:33">
      <c r="AG15765" s="3"/>
    </row>
    <row r="15766" s="7" customFormat="1" spans="33:33">
      <c r="AG15766" s="3"/>
    </row>
    <row r="15767" s="7" customFormat="1" spans="33:33">
      <c r="AG15767" s="3"/>
    </row>
    <row r="15768" s="7" customFormat="1" spans="33:33">
      <c r="AG15768" s="3"/>
    </row>
    <row r="15769" s="7" customFormat="1" spans="33:33">
      <c r="AG15769" s="3"/>
    </row>
    <row r="15770" s="7" customFormat="1" spans="33:33">
      <c r="AG15770" s="3"/>
    </row>
    <row r="15771" s="7" customFormat="1" spans="33:33">
      <c r="AG15771" s="3"/>
    </row>
    <row r="15772" s="7" customFormat="1" spans="33:33">
      <c r="AG15772" s="3"/>
    </row>
    <row r="15773" s="7" customFormat="1" spans="33:33">
      <c r="AG15773" s="3"/>
    </row>
    <row r="15774" s="7" customFormat="1" spans="33:33">
      <c r="AG15774" s="3"/>
    </row>
    <row r="15775" s="7" customFormat="1" spans="33:33">
      <c r="AG15775" s="3"/>
    </row>
    <row r="15776" s="7" customFormat="1" spans="33:33">
      <c r="AG15776" s="3"/>
    </row>
    <row r="15777" s="7" customFormat="1" spans="33:33">
      <c r="AG15777" s="3"/>
    </row>
    <row r="15778" s="7" customFormat="1" spans="33:33">
      <c r="AG15778" s="3"/>
    </row>
    <row r="15779" s="7" customFormat="1" spans="33:33">
      <c r="AG15779" s="3"/>
    </row>
    <row r="15780" s="7" customFormat="1" spans="33:33">
      <c r="AG15780" s="3"/>
    </row>
    <row r="15781" s="7" customFormat="1" spans="33:33">
      <c r="AG15781" s="3"/>
    </row>
    <row r="15782" s="7" customFormat="1" spans="33:33">
      <c r="AG15782" s="3"/>
    </row>
    <row r="15783" s="7" customFormat="1" spans="33:33">
      <c r="AG15783" s="3"/>
    </row>
    <row r="15784" s="7" customFormat="1" spans="33:33">
      <c r="AG15784" s="3"/>
    </row>
    <row r="15785" s="7" customFormat="1" spans="33:33">
      <c r="AG15785" s="3"/>
    </row>
    <row r="15786" s="7" customFormat="1" spans="33:33">
      <c r="AG15786" s="3"/>
    </row>
    <row r="15787" s="7" customFormat="1" spans="33:33">
      <c r="AG15787" s="3"/>
    </row>
    <row r="15788" s="7" customFormat="1" spans="33:33">
      <c r="AG15788" s="3"/>
    </row>
    <row r="15789" s="7" customFormat="1" spans="33:33">
      <c r="AG15789" s="3"/>
    </row>
    <row r="15790" s="7" customFormat="1" spans="33:33">
      <c r="AG15790" s="3"/>
    </row>
    <row r="15791" s="7" customFormat="1" spans="33:33">
      <c r="AG15791" s="3"/>
    </row>
    <row r="15792" s="7" customFormat="1" spans="33:33">
      <c r="AG15792" s="3"/>
    </row>
    <row r="15793" s="7" customFormat="1" spans="33:33">
      <c r="AG15793" s="3"/>
    </row>
    <row r="15794" s="7" customFormat="1" spans="33:33">
      <c r="AG15794" s="3"/>
    </row>
    <row r="15795" s="7" customFormat="1" spans="33:33">
      <c r="AG15795" s="3"/>
    </row>
    <row r="15796" s="7" customFormat="1" spans="33:33">
      <c r="AG15796" s="3"/>
    </row>
    <row r="15797" s="7" customFormat="1" spans="33:33">
      <c r="AG15797" s="3"/>
    </row>
    <row r="15798" s="7" customFormat="1" spans="33:33">
      <c r="AG15798" s="3"/>
    </row>
    <row r="15799" s="7" customFormat="1" spans="33:33">
      <c r="AG15799" s="3"/>
    </row>
    <row r="15800" s="7" customFormat="1" spans="33:33">
      <c r="AG15800" s="3"/>
    </row>
    <row r="15801" s="7" customFormat="1" spans="33:33">
      <c r="AG15801" s="3"/>
    </row>
    <row r="15802" s="7" customFormat="1" spans="33:33">
      <c r="AG15802" s="3"/>
    </row>
    <row r="15803" s="7" customFormat="1" spans="33:33">
      <c r="AG15803" s="3"/>
    </row>
    <row r="15804" s="7" customFormat="1" spans="33:33">
      <c r="AG15804" s="3"/>
    </row>
    <row r="15805" s="7" customFormat="1" spans="33:33">
      <c r="AG15805" s="3"/>
    </row>
    <row r="15806" s="7" customFormat="1" spans="33:33">
      <c r="AG15806" s="3"/>
    </row>
    <row r="15807" s="7" customFormat="1" spans="33:33">
      <c r="AG15807" s="3"/>
    </row>
    <row r="15808" s="7" customFormat="1" spans="33:33">
      <c r="AG15808" s="3"/>
    </row>
    <row r="15809" s="7" customFormat="1" spans="33:33">
      <c r="AG15809" s="3"/>
    </row>
    <row r="15810" s="7" customFormat="1" spans="33:33">
      <c r="AG15810" s="3"/>
    </row>
    <row r="15811" s="7" customFormat="1" spans="33:33">
      <c r="AG15811" s="3"/>
    </row>
    <row r="15812" s="7" customFormat="1" spans="33:33">
      <c r="AG15812" s="3"/>
    </row>
    <row r="15813" s="7" customFormat="1" spans="33:33">
      <c r="AG15813" s="3"/>
    </row>
    <row r="15814" s="7" customFormat="1" spans="33:33">
      <c r="AG15814" s="3"/>
    </row>
    <row r="15815" s="7" customFormat="1" spans="33:33">
      <c r="AG15815" s="3"/>
    </row>
    <row r="15816" s="7" customFormat="1" spans="33:33">
      <c r="AG15816" s="3"/>
    </row>
    <row r="15817" s="7" customFormat="1" spans="33:33">
      <c r="AG15817" s="3"/>
    </row>
    <row r="15818" s="7" customFormat="1" spans="33:33">
      <c r="AG15818" s="3"/>
    </row>
    <row r="15819" s="7" customFormat="1" spans="33:33">
      <c r="AG15819" s="3"/>
    </row>
    <row r="15820" s="7" customFormat="1" spans="33:33">
      <c r="AG15820" s="3"/>
    </row>
    <row r="15821" s="7" customFormat="1" spans="33:33">
      <c r="AG15821" s="3"/>
    </row>
    <row r="15822" s="7" customFormat="1" spans="33:33">
      <c r="AG15822" s="3"/>
    </row>
    <row r="15823" s="7" customFormat="1" spans="33:33">
      <c r="AG15823" s="3"/>
    </row>
    <row r="15824" s="7" customFormat="1" spans="33:33">
      <c r="AG15824" s="3"/>
    </row>
    <row r="15825" s="7" customFormat="1" spans="33:33">
      <c r="AG15825" s="3"/>
    </row>
    <row r="15826" s="7" customFormat="1" spans="33:33">
      <c r="AG15826" s="3"/>
    </row>
    <row r="15827" s="7" customFormat="1" spans="33:33">
      <c r="AG15827" s="3"/>
    </row>
    <row r="15828" s="7" customFormat="1" spans="33:33">
      <c r="AG15828" s="3"/>
    </row>
    <row r="15829" s="7" customFormat="1" spans="33:33">
      <c r="AG15829" s="3"/>
    </row>
    <row r="15830" s="7" customFormat="1" spans="33:33">
      <c r="AG15830" s="3"/>
    </row>
    <row r="15831" s="7" customFormat="1" spans="33:33">
      <c r="AG15831" s="3"/>
    </row>
    <row r="15832" s="7" customFormat="1" spans="33:33">
      <c r="AG15832" s="3"/>
    </row>
    <row r="15833" s="7" customFormat="1" spans="33:33">
      <c r="AG15833" s="3"/>
    </row>
    <row r="15834" s="7" customFormat="1" spans="33:33">
      <c r="AG15834" s="3"/>
    </row>
    <row r="15835" s="7" customFormat="1" spans="33:33">
      <c r="AG15835" s="3"/>
    </row>
    <row r="15836" s="7" customFormat="1" spans="33:33">
      <c r="AG15836" s="3"/>
    </row>
    <row r="15837" s="7" customFormat="1" spans="33:33">
      <c r="AG15837" s="3"/>
    </row>
    <row r="15838" s="7" customFormat="1" spans="33:33">
      <c r="AG15838" s="3"/>
    </row>
    <row r="15839" s="7" customFormat="1" spans="33:33">
      <c r="AG15839" s="3"/>
    </row>
    <row r="15840" s="7" customFormat="1" spans="33:33">
      <c r="AG15840" s="3"/>
    </row>
    <row r="15841" s="7" customFormat="1" spans="33:33">
      <c r="AG15841" s="3"/>
    </row>
    <row r="15842" s="7" customFormat="1" spans="33:33">
      <c r="AG15842" s="3"/>
    </row>
    <row r="15843" s="7" customFormat="1" spans="33:33">
      <c r="AG15843" s="3"/>
    </row>
    <row r="15844" s="7" customFormat="1" spans="33:33">
      <c r="AG15844" s="3"/>
    </row>
    <row r="15845" s="7" customFormat="1" spans="33:33">
      <c r="AG15845" s="3"/>
    </row>
    <row r="15846" s="7" customFormat="1" spans="33:33">
      <c r="AG15846" s="3"/>
    </row>
    <row r="15847" s="7" customFormat="1" spans="33:33">
      <c r="AG15847" s="3"/>
    </row>
    <row r="15848" s="7" customFormat="1" spans="33:33">
      <c r="AG15848" s="3"/>
    </row>
    <row r="15849" s="7" customFormat="1" spans="33:33">
      <c r="AG15849" s="3"/>
    </row>
    <row r="15850" s="7" customFormat="1" spans="33:33">
      <c r="AG15850" s="3"/>
    </row>
    <row r="15851" s="7" customFormat="1" spans="33:33">
      <c r="AG15851" s="3"/>
    </row>
    <row r="15852" s="7" customFormat="1" spans="33:33">
      <c r="AG15852" s="3"/>
    </row>
    <row r="15853" s="7" customFormat="1" spans="33:33">
      <c r="AG15853" s="3"/>
    </row>
    <row r="15854" s="7" customFormat="1" spans="33:33">
      <c r="AG15854" s="3"/>
    </row>
    <row r="15855" s="7" customFormat="1" spans="33:33">
      <c r="AG15855" s="3"/>
    </row>
    <row r="15856" s="7" customFormat="1" spans="33:33">
      <c r="AG15856" s="3"/>
    </row>
    <row r="15857" s="7" customFormat="1" spans="33:33">
      <c r="AG15857" s="3"/>
    </row>
    <row r="15858" s="7" customFormat="1" spans="33:33">
      <c r="AG15858" s="3"/>
    </row>
    <row r="15859" s="7" customFormat="1" spans="33:33">
      <c r="AG15859" s="3"/>
    </row>
    <row r="15860" s="7" customFormat="1" spans="33:33">
      <c r="AG15860" s="3"/>
    </row>
    <row r="15861" s="7" customFormat="1" spans="33:33">
      <c r="AG15861" s="3"/>
    </row>
    <row r="15862" s="7" customFormat="1" spans="33:33">
      <c r="AG15862" s="3"/>
    </row>
    <row r="15863" s="7" customFormat="1" spans="33:33">
      <c r="AG15863" s="3"/>
    </row>
    <row r="15864" s="7" customFormat="1" spans="33:33">
      <c r="AG15864" s="3"/>
    </row>
    <row r="15865" s="7" customFormat="1" spans="33:33">
      <c r="AG15865" s="3"/>
    </row>
    <row r="15866" s="7" customFormat="1" spans="33:33">
      <c r="AG15866" s="3"/>
    </row>
    <row r="15867" s="7" customFormat="1" spans="33:33">
      <c r="AG15867" s="3"/>
    </row>
    <row r="15868" s="7" customFormat="1" spans="33:33">
      <c r="AG15868" s="3"/>
    </row>
    <row r="15869" s="7" customFormat="1" spans="33:33">
      <c r="AG15869" s="3"/>
    </row>
    <row r="15870" s="7" customFormat="1" spans="33:33">
      <c r="AG15870" s="3"/>
    </row>
    <row r="15871" s="7" customFormat="1" spans="33:33">
      <c r="AG15871" s="3"/>
    </row>
    <row r="15872" s="7" customFormat="1" spans="33:33">
      <c r="AG15872" s="3"/>
    </row>
    <row r="15873" s="7" customFormat="1" spans="33:33">
      <c r="AG15873" s="3"/>
    </row>
    <row r="15874" s="7" customFormat="1" spans="33:33">
      <c r="AG15874" s="3"/>
    </row>
    <row r="15875" s="7" customFormat="1" spans="33:33">
      <c r="AG15875" s="3"/>
    </row>
    <row r="15876" s="7" customFormat="1" spans="33:33">
      <c r="AG15876" s="3"/>
    </row>
    <row r="15877" s="7" customFormat="1" spans="33:33">
      <c r="AG15877" s="3"/>
    </row>
    <row r="15878" s="7" customFormat="1" spans="33:33">
      <c r="AG15878" s="3"/>
    </row>
    <row r="15879" s="7" customFormat="1" spans="33:33">
      <c r="AG15879" s="3"/>
    </row>
    <row r="15880" s="7" customFormat="1" spans="33:33">
      <c r="AG15880" s="3"/>
    </row>
    <row r="15881" s="7" customFormat="1" spans="33:33">
      <c r="AG15881" s="3"/>
    </row>
    <row r="15882" s="7" customFormat="1" spans="33:33">
      <c r="AG15882" s="3"/>
    </row>
    <row r="15883" s="7" customFormat="1" spans="33:33">
      <c r="AG15883" s="3"/>
    </row>
    <row r="15884" s="7" customFormat="1" spans="33:33">
      <c r="AG15884" s="3"/>
    </row>
    <row r="15885" s="7" customFormat="1" spans="33:33">
      <c r="AG15885" s="3"/>
    </row>
    <row r="15886" s="7" customFormat="1" spans="33:33">
      <c r="AG15886" s="3"/>
    </row>
    <row r="15887" s="7" customFormat="1" spans="33:33">
      <c r="AG15887" s="3"/>
    </row>
    <row r="15888" s="7" customFormat="1" spans="33:33">
      <c r="AG15888" s="3"/>
    </row>
    <row r="15889" s="7" customFormat="1" spans="33:33">
      <c r="AG15889" s="3"/>
    </row>
    <row r="15890" s="7" customFormat="1" spans="33:33">
      <c r="AG15890" s="3"/>
    </row>
    <row r="15891" s="7" customFormat="1" spans="33:33">
      <c r="AG15891" s="3"/>
    </row>
    <row r="15892" s="7" customFormat="1" spans="33:33">
      <c r="AG15892" s="3"/>
    </row>
    <row r="15893" s="7" customFormat="1" spans="33:33">
      <c r="AG15893" s="3"/>
    </row>
    <row r="15894" s="7" customFormat="1" spans="33:33">
      <c r="AG15894" s="3"/>
    </row>
    <row r="15895" s="7" customFormat="1" spans="33:33">
      <c r="AG15895" s="3"/>
    </row>
    <row r="15896" s="7" customFormat="1" spans="33:33">
      <c r="AG15896" s="3"/>
    </row>
    <row r="15897" s="7" customFormat="1" spans="33:33">
      <c r="AG15897" s="3"/>
    </row>
    <row r="15898" s="7" customFormat="1" spans="33:33">
      <c r="AG15898" s="3"/>
    </row>
    <row r="15899" s="7" customFormat="1" spans="33:33">
      <c r="AG15899" s="3"/>
    </row>
    <row r="15900" s="7" customFormat="1" spans="33:33">
      <c r="AG15900" s="3"/>
    </row>
    <row r="15901" s="7" customFormat="1" spans="33:33">
      <c r="AG15901" s="3"/>
    </row>
    <row r="15902" s="7" customFormat="1" spans="33:33">
      <c r="AG15902" s="3"/>
    </row>
    <row r="15903" s="7" customFormat="1" spans="33:33">
      <c r="AG15903" s="3"/>
    </row>
    <row r="15904" s="7" customFormat="1" spans="33:33">
      <c r="AG15904" s="3"/>
    </row>
    <row r="15905" s="7" customFormat="1" spans="33:33">
      <c r="AG15905" s="3"/>
    </row>
    <row r="15906" s="7" customFormat="1" spans="33:33">
      <c r="AG15906" s="3"/>
    </row>
    <row r="15907" s="7" customFormat="1" spans="33:33">
      <c r="AG15907" s="3"/>
    </row>
    <row r="15908" s="7" customFormat="1" spans="33:33">
      <c r="AG15908" s="3"/>
    </row>
    <row r="15909" s="7" customFormat="1" spans="33:33">
      <c r="AG15909" s="3"/>
    </row>
    <row r="15910" s="7" customFormat="1" spans="33:33">
      <c r="AG15910" s="3"/>
    </row>
    <row r="15911" s="7" customFormat="1" spans="33:33">
      <c r="AG15911" s="3"/>
    </row>
    <row r="15912" s="7" customFormat="1" spans="33:33">
      <c r="AG15912" s="3"/>
    </row>
    <row r="15913" s="7" customFormat="1" spans="33:33">
      <c r="AG15913" s="3"/>
    </row>
    <row r="15914" s="7" customFormat="1" spans="33:33">
      <c r="AG15914" s="3"/>
    </row>
    <row r="15915" s="7" customFormat="1" spans="33:33">
      <c r="AG15915" s="3"/>
    </row>
    <row r="15916" s="7" customFormat="1" spans="33:33">
      <c r="AG15916" s="3"/>
    </row>
    <row r="15917" s="7" customFormat="1" spans="33:33">
      <c r="AG15917" s="3"/>
    </row>
    <row r="15918" s="7" customFormat="1" spans="33:33">
      <c r="AG15918" s="3"/>
    </row>
    <row r="15919" s="7" customFormat="1" spans="33:33">
      <c r="AG15919" s="3"/>
    </row>
    <row r="15920" s="7" customFormat="1" spans="33:33">
      <c r="AG15920" s="3"/>
    </row>
    <row r="15921" s="7" customFormat="1" spans="33:33">
      <c r="AG15921" s="3"/>
    </row>
    <row r="15922" s="7" customFormat="1" spans="33:33">
      <c r="AG15922" s="3"/>
    </row>
    <row r="15923" s="7" customFormat="1" spans="33:33">
      <c r="AG15923" s="3"/>
    </row>
    <row r="15924" s="7" customFormat="1" spans="33:33">
      <c r="AG15924" s="3"/>
    </row>
    <row r="15925" s="7" customFormat="1" spans="33:33">
      <c r="AG15925" s="3"/>
    </row>
    <row r="15926" s="7" customFormat="1" spans="33:33">
      <c r="AG15926" s="3"/>
    </row>
    <row r="15927" s="7" customFormat="1" spans="33:33">
      <c r="AG15927" s="3"/>
    </row>
    <row r="15928" s="7" customFormat="1" spans="33:33">
      <c r="AG15928" s="3"/>
    </row>
    <row r="15929" s="7" customFormat="1" spans="33:33">
      <c r="AG15929" s="3"/>
    </row>
    <row r="15930" s="7" customFormat="1" spans="33:33">
      <c r="AG15930" s="3"/>
    </row>
    <row r="15931" s="7" customFormat="1" spans="33:33">
      <c r="AG15931" s="3"/>
    </row>
    <row r="15932" s="7" customFormat="1" spans="33:33">
      <c r="AG15932" s="3"/>
    </row>
    <row r="15933" s="7" customFormat="1" spans="33:33">
      <c r="AG15933" s="3"/>
    </row>
    <row r="15934" s="7" customFormat="1" spans="33:33">
      <c r="AG15934" s="3"/>
    </row>
    <row r="15935" s="7" customFormat="1" spans="33:33">
      <c r="AG15935" s="3"/>
    </row>
    <row r="15936" s="7" customFormat="1" spans="33:33">
      <c r="AG15936" s="3"/>
    </row>
    <row r="15937" s="7" customFormat="1" spans="33:33">
      <c r="AG15937" s="3"/>
    </row>
    <row r="15938" s="7" customFormat="1" spans="33:33">
      <c r="AG15938" s="3"/>
    </row>
    <row r="15939" s="7" customFormat="1" spans="33:33">
      <c r="AG15939" s="3"/>
    </row>
    <row r="15940" s="7" customFormat="1" spans="33:33">
      <c r="AG15940" s="3"/>
    </row>
    <row r="15941" s="7" customFormat="1" spans="33:33">
      <c r="AG15941" s="3"/>
    </row>
    <row r="15942" s="7" customFormat="1" spans="33:33">
      <c r="AG15942" s="3"/>
    </row>
    <row r="15943" s="7" customFormat="1" spans="33:33">
      <c r="AG15943" s="3"/>
    </row>
    <row r="15944" s="7" customFormat="1" spans="33:33">
      <c r="AG15944" s="3"/>
    </row>
    <row r="15945" s="7" customFormat="1" spans="33:33">
      <c r="AG15945" s="3"/>
    </row>
    <row r="15946" s="7" customFormat="1" spans="33:33">
      <c r="AG15946" s="3"/>
    </row>
    <row r="15947" s="7" customFormat="1" spans="33:33">
      <c r="AG15947" s="3"/>
    </row>
    <row r="15948" s="7" customFormat="1" spans="33:33">
      <c r="AG15948" s="3"/>
    </row>
    <row r="15949" s="7" customFormat="1" spans="33:33">
      <c r="AG15949" s="3"/>
    </row>
    <row r="15950" s="7" customFormat="1" spans="33:33">
      <c r="AG15950" s="3"/>
    </row>
    <row r="15951" s="7" customFormat="1" spans="33:33">
      <c r="AG15951" s="3"/>
    </row>
    <row r="15952" s="7" customFormat="1" spans="33:33">
      <c r="AG15952" s="3"/>
    </row>
    <row r="15953" s="7" customFormat="1" spans="33:33">
      <c r="AG15953" s="3"/>
    </row>
    <row r="15954" s="7" customFormat="1" spans="33:33">
      <c r="AG15954" s="3"/>
    </row>
    <row r="15955" s="7" customFormat="1" spans="33:33">
      <c r="AG15955" s="3"/>
    </row>
    <row r="15956" s="7" customFormat="1" spans="33:33">
      <c r="AG15956" s="3"/>
    </row>
    <row r="15957" s="7" customFormat="1" spans="33:33">
      <c r="AG15957" s="3"/>
    </row>
    <row r="15958" s="7" customFormat="1" spans="33:33">
      <c r="AG15958" s="3"/>
    </row>
    <row r="15959" s="7" customFormat="1" spans="33:33">
      <c r="AG15959" s="3"/>
    </row>
    <row r="15960" s="7" customFormat="1" spans="33:33">
      <c r="AG15960" s="3"/>
    </row>
    <row r="15961" s="7" customFormat="1" spans="33:33">
      <c r="AG15961" s="3"/>
    </row>
    <row r="15962" s="7" customFormat="1" spans="33:33">
      <c r="AG15962" s="3"/>
    </row>
    <row r="15963" s="7" customFormat="1" spans="33:33">
      <c r="AG15963" s="3"/>
    </row>
    <row r="15964" s="7" customFormat="1" spans="33:33">
      <c r="AG15964" s="3"/>
    </row>
    <row r="15965" s="7" customFormat="1" spans="33:33">
      <c r="AG15965" s="3"/>
    </row>
    <row r="15966" s="7" customFormat="1" spans="33:33">
      <c r="AG15966" s="3"/>
    </row>
    <row r="15967" s="7" customFormat="1" spans="33:33">
      <c r="AG15967" s="3"/>
    </row>
    <row r="15968" s="7" customFormat="1" spans="33:33">
      <c r="AG15968" s="3"/>
    </row>
    <row r="15969" s="7" customFormat="1" spans="33:33">
      <c r="AG15969" s="3"/>
    </row>
    <row r="15970" s="7" customFormat="1" spans="33:33">
      <c r="AG15970" s="3"/>
    </row>
    <row r="15971" s="7" customFormat="1" spans="33:33">
      <c r="AG15971" s="3"/>
    </row>
    <row r="15972" s="7" customFormat="1" spans="33:33">
      <c r="AG15972" s="3"/>
    </row>
    <row r="15973" s="7" customFormat="1" spans="33:33">
      <c r="AG15973" s="3"/>
    </row>
    <row r="15974" s="7" customFormat="1" spans="33:33">
      <c r="AG15974" s="3"/>
    </row>
    <row r="15975" s="7" customFormat="1" spans="33:33">
      <c r="AG15975" s="3"/>
    </row>
    <row r="15976" s="7" customFormat="1" spans="33:33">
      <c r="AG15976" s="3"/>
    </row>
    <row r="15977" s="7" customFormat="1" spans="33:33">
      <c r="AG15977" s="3"/>
    </row>
    <row r="15978" s="7" customFormat="1" spans="33:33">
      <c r="AG15978" s="3"/>
    </row>
    <row r="15979" s="7" customFormat="1" spans="33:33">
      <c r="AG15979" s="3"/>
    </row>
    <row r="15980" s="7" customFormat="1" spans="33:33">
      <c r="AG15980" s="3"/>
    </row>
    <row r="15981" s="7" customFormat="1" spans="33:33">
      <c r="AG15981" s="3"/>
    </row>
    <row r="15982" s="7" customFormat="1" spans="33:33">
      <c r="AG15982" s="3"/>
    </row>
    <row r="15983" s="7" customFormat="1" spans="33:33">
      <c r="AG15983" s="3"/>
    </row>
    <row r="15984" s="7" customFormat="1" spans="33:33">
      <c r="AG15984" s="3"/>
    </row>
    <row r="15985" s="7" customFormat="1" spans="33:33">
      <c r="AG15985" s="3"/>
    </row>
    <row r="15986" s="7" customFormat="1" spans="33:33">
      <c r="AG15986" s="3"/>
    </row>
    <row r="15987" s="7" customFormat="1" spans="33:33">
      <c r="AG15987" s="3"/>
    </row>
    <row r="15988" s="7" customFormat="1" spans="33:33">
      <c r="AG15988" s="3"/>
    </row>
    <row r="15989" s="7" customFormat="1" spans="33:33">
      <c r="AG15989" s="3"/>
    </row>
    <row r="15990" s="7" customFormat="1" spans="33:33">
      <c r="AG15990" s="3"/>
    </row>
    <row r="15991" s="7" customFormat="1" spans="33:33">
      <c r="AG15991" s="3"/>
    </row>
    <row r="15992" s="7" customFormat="1" spans="33:33">
      <c r="AG15992" s="3"/>
    </row>
    <row r="15993" s="7" customFormat="1" spans="33:33">
      <c r="AG15993" s="3"/>
    </row>
    <row r="15994" s="7" customFormat="1" spans="33:33">
      <c r="AG15994" s="3"/>
    </row>
    <row r="15995" s="7" customFormat="1" spans="33:33">
      <c r="AG15995" s="3"/>
    </row>
    <row r="15996" s="7" customFormat="1" spans="33:33">
      <c r="AG15996" s="3"/>
    </row>
    <row r="15997" s="7" customFormat="1" spans="33:33">
      <c r="AG15997" s="3"/>
    </row>
    <row r="15998" s="7" customFormat="1" spans="33:33">
      <c r="AG15998" s="3"/>
    </row>
    <row r="15999" s="7" customFormat="1" spans="33:33">
      <c r="AG15999" s="3"/>
    </row>
    <row r="16000" s="7" customFormat="1" spans="33:33">
      <c r="AG16000" s="3"/>
    </row>
    <row r="16001" s="7" customFormat="1" spans="33:33">
      <c r="AG16001" s="3"/>
    </row>
    <row r="16002" s="7" customFormat="1" spans="33:33">
      <c r="AG16002" s="3"/>
    </row>
    <row r="16003" s="7" customFormat="1" spans="33:33">
      <c r="AG16003" s="3"/>
    </row>
    <row r="16004" s="7" customFormat="1" spans="33:33">
      <c r="AG16004" s="3"/>
    </row>
    <row r="16005" s="7" customFormat="1" spans="33:33">
      <c r="AG16005" s="3"/>
    </row>
    <row r="16006" s="7" customFormat="1" spans="33:33">
      <c r="AG16006" s="3"/>
    </row>
    <row r="16007" s="7" customFormat="1" spans="33:33">
      <c r="AG16007" s="3"/>
    </row>
    <row r="16008" s="7" customFormat="1" spans="33:33">
      <c r="AG16008" s="3"/>
    </row>
    <row r="16009" s="7" customFormat="1" spans="33:33">
      <c r="AG16009" s="3"/>
    </row>
    <row r="16010" s="7" customFormat="1" spans="33:33">
      <c r="AG16010" s="3"/>
    </row>
    <row r="16011" s="7" customFormat="1" spans="33:33">
      <c r="AG16011" s="3"/>
    </row>
    <row r="16012" s="7" customFormat="1" spans="33:33">
      <c r="AG16012" s="3"/>
    </row>
    <row r="16013" s="7" customFormat="1" spans="33:33">
      <c r="AG16013" s="3"/>
    </row>
    <row r="16014" s="7" customFormat="1" spans="33:33">
      <c r="AG16014" s="3"/>
    </row>
    <row r="16015" s="7" customFormat="1" spans="33:33">
      <c r="AG16015" s="3"/>
    </row>
    <row r="16016" s="7" customFormat="1" spans="33:33">
      <c r="AG16016" s="3"/>
    </row>
    <row r="16017" s="7" customFormat="1" spans="33:33">
      <c r="AG16017" s="3"/>
    </row>
    <row r="16018" s="7" customFormat="1" spans="33:33">
      <c r="AG16018" s="3"/>
    </row>
    <row r="16019" s="7" customFormat="1" spans="33:33">
      <c r="AG16019" s="3"/>
    </row>
    <row r="16020" s="7" customFormat="1" spans="33:33">
      <c r="AG16020" s="3"/>
    </row>
    <row r="16021" s="7" customFormat="1" spans="33:33">
      <c r="AG16021" s="3"/>
    </row>
    <row r="16022" s="7" customFormat="1" spans="33:33">
      <c r="AG16022" s="3"/>
    </row>
    <row r="16023" s="7" customFormat="1" spans="33:33">
      <c r="AG16023" s="3"/>
    </row>
    <row r="16024" s="7" customFormat="1" spans="33:33">
      <c r="AG16024" s="3"/>
    </row>
    <row r="16025" s="7" customFormat="1" spans="33:33">
      <c r="AG16025" s="3"/>
    </row>
    <row r="16026" s="7" customFormat="1" spans="33:33">
      <c r="AG16026" s="3"/>
    </row>
    <row r="16027" s="7" customFormat="1" spans="33:33">
      <c r="AG16027" s="3"/>
    </row>
    <row r="16028" s="7" customFormat="1" spans="33:33">
      <c r="AG16028" s="3"/>
    </row>
    <row r="16029" s="7" customFormat="1" spans="33:33">
      <c r="AG16029" s="3"/>
    </row>
    <row r="16030" s="7" customFormat="1" spans="33:33">
      <c r="AG16030" s="3"/>
    </row>
    <row r="16031" s="7" customFormat="1" spans="33:33">
      <c r="AG16031" s="3"/>
    </row>
    <row r="16032" s="7" customFormat="1" spans="33:33">
      <c r="AG16032" s="3"/>
    </row>
    <row r="16033" s="7" customFormat="1" spans="33:33">
      <c r="AG16033" s="3"/>
    </row>
    <row r="16034" s="7" customFormat="1" spans="33:33">
      <c r="AG16034" s="3"/>
    </row>
    <row r="16035" s="7" customFormat="1" spans="33:33">
      <c r="AG16035" s="3"/>
    </row>
    <row r="16036" s="7" customFormat="1" spans="33:33">
      <c r="AG16036" s="3"/>
    </row>
    <row r="16037" s="7" customFormat="1" spans="33:33">
      <c r="AG16037" s="3"/>
    </row>
    <row r="16038" s="7" customFormat="1" spans="33:33">
      <c r="AG16038" s="3"/>
    </row>
    <row r="16039" s="7" customFormat="1" spans="33:33">
      <c r="AG16039" s="3"/>
    </row>
    <row r="16040" s="7" customFormat="1" spans="33:33">
      <c r="AG16040" s="3"/>
    </row>
    <row r="16041" s="7" customFormat="1" spans="33:33">
      <c r="AG16041" s="3"/>
    </row>
    <row r="16042" s="7" customFormat="1" spans="33:33">
      <c r="AG16042" s="3"/>
    </row>
    <row r="16043" s="7" customFormat="1" spans="33:33">
      <c r="AG16043" s="3"/>
    </row>
    <row r="16044" s="7" customFormat="1" spans="33:33">
      <c r="AG16044" s="3"/>
    </row>
    <row r="16045" s="7" customFormat="1" spans="33:33">
      <c r="AG16045" s="3"/>
    </row>
    <row r="16046" s="7" customFormat="1" spans="33:33">
      <c r="AG16046" s="3"/>
    </row>
    <row r="16047" s="7" customFormat="1" spans="33:33">
      <c r="AG16047" s="3"/>
    </row>
    <row r="16048" s="7" customFormat="1" spans="33:33">
      <c r="AG16048" s="3"/>
    </row>
    <row r="16049" s="7" customFormat="1" spans="33:33">
      <c r="AG16049" s="3"/>
    </row>
    <row r="16050" s="7" customFormat="1" spans="33:33">
      <c r="AG16050" s="3"/>
    </row>
    <row r="16051" s="7" customFormat="1" spans="33:33">
      <c r="AG16051" s="3"/>
    </row>
    <row r="16052" s="7" customFormat="1" spans="33:33">
      <c r="AG16052" s="3"/>
    </row>
    <row r="16053" s="7" customFormat="1" spans="33:33">
      <c r="AG16053" s="3"/>
    </row>
    <row r="16054" s="7" customFormat="1" spans="33:33">
      <c r="AG16054" s="3"/>
    </row>
    <row r="16055" s="7" customFormat="1" spans="33:33">
      <c r="AG16055" s="3"/>
    </row>
    <row r="16056" s="7" customFormat="1" spans="33:33">
      <c r="AG16056" s="3"/>
    </row>
    <row r="16057" s="7" customFormat="1" spans="33:33">
      <c r="AG16057" s="3"/>
    </row>
    <row r="16058" s="7" customFormat="1" spans="33:33">
      <c r="AG16058" s="3"/>
    </row>
    <row r="16059" s="7" customFormat="1" spans="33:33">
      <c r="AG16059" s="3"/>
    </row>
    <row r="16060" s="7" customFormat="1" spans="33:33">
      <c r="AG16060" s="3"/>
    </row>
    <row r="16061" s="7" customFormat="1" spans="33:33">
      <c r="AG16061" s="3"/>
    </row>
    <row r="16062" s="7" customFormat="1" spans="33:33">
      <c r="AG16062" s="3"/>
    </row>
    <row r="16063" s="7" customFormat="1" spans="33:33">
      <c r="AG16063" s="3"/>
    </row>
    <row r="16064" s="7" customFormat="1" spans="33:33">
      <c r="AG16064" s="3"/>
    </row>
    <row r="16065" s="7" customFormat="1" spans="33:33">
      <c r="AG16065" s="3"/>
    </row>
    <row r="16066" s="7" customFormat="1" spans="33:33">
      <c r="AG16066" s="3"/>
    </row>
    <row r="16067" s="7" customFormat="1" spans="33:33">
      <c r="AG16067" s="3"/>
    </row>
    <row r="16068" s="7" customFormat="1" spans="33:33">
      <c r="AG16068" s="3"/>
    </row>
    <row r="16069" s="7" customFormat="1" spans="33:33">
      <c r="AG16069" s="3"/>
    </row>
    <row r="16070" s="7" customFormat="1" spans="33:33">
      <c r="AG16070" s="3"/>
    </row>
    <row r="16071" s="7" customFormat="1" spans="33:33">
      <c r="AG16071" s="3"/>
    </row>
    <row r="16072" s="7" customFormat="1" spans="33:33">
      <c r="AG16072" s="3"/>
    </row>
    <row r="16073" s="7" customFormat="1" spans="33:33">
      <c r="AG16073" s="3"/>
    </row>
    <row r="16074" s="7" customFormat="1" spans="33:33">
      <c r="AG16074" s="3"/>
    </row>
    <row r="16075" s="7" customFormat="1" spans="33:33">
      <c r="AG16075" s="3"/>
    </row>
    <row r="16076" s="7" customFormat="1" spans="33:33">
      <c r="AG16076" s="3"/>
    </row>
    <row r="16077" s="7" customFormat="1" spans="33:33">
      <c r="AG16077" s="3"/>
    </row>
    <row r="16078" s="7" customFormat="1" spans="33:33">
      <c r="AG16078" s="3"/>
    </row>
    <row r="16079" s="7" customFormat="1" spans="33:33">
      <c r="AG16079" s="3"/>
    </row>
    <row r="16080" s="7" customFormat="1" spans="33:33">
      <c r="AG16080" s="3"/>
    </row>
    <row r="16081" s="7" customFormat="1" spans="33:33">
      <c r="AG16081" s="3"/>
    </row>
    <row r="16082" s="7" customFormat="1" spans="33:33">
      <c r="AG16082" s="3"/>
    </row>
    <row r="16083" s="7" customFormat="1" spans="33:33">
      <c r="AG16083" s="3"/>
    </row>
    <row r="16084" s="7" customFormat="1" spans="33:33">
      <c r="AG16084" s="3"/>
    </row>
    <row r="16085" s="7" customFormat="1" spans="33:33">
      <c r="AG16085" s="3"/>
    </row>
    <row r="16086" s="7" customFormat="1" spans="33:33">
      <c r="AG16086" s="3"/>
    </row>
    <row r="16087" s="7" customFormat="1" spans="33:33">
      <c r="AG16087" s="3"/>
    </row>
    <row r="16088" s="7" customFormat="1" spans="33:33">
      <c r="AG16088" s="3"/>
    </row>
    <row r="16089" s="7" customFormat="1" spans="33:33">
      <c r="AG16089" s="3"/>
    </row>
    <row r="16090" s="7" customFormat="1" spans="33:33">
      <c r="AG16090" s="3"/>
    </row>
    <row r="16091" s="7" customFormat="1" spans="33:33">
      <c r="AG16091" s="3"/>
    </row>
    <row r="16092" s="7" customFormat="1" spans="33:33">
      <c r="AG16092" s="3"/>
    </row>
    <row r="16093" s="7" customFormat="1" spans="33:33">
      <c r="AG16093" s="3"/>
    </row>
    <row r="16094" s="7" customFormat="1" spans="33:33">
      <c r="AG16094" s="3"/>
    </row>
    <row r="16095" s="7" customFormat="1" spans="33:33">
      <c r="AG16095" s="3"/>
    </row>
    <row r="16096" s="7" customFormat="1" spans="33:33">
      <c r="AG16096" s="3"/>
    </row>
    <row r="16097" s="7" customFormat="1" spans="33:33">
      <c r="AG16097" s="3"/>
    </row>
    <row r="16098" s="7" customFormat="1" spans="33:33">
      <c r="AG16098" s="3"/>
    </row>
    <row r="16099" s="7" customFormat="1" spans="33:33">
      <c r="AG16099" s="3"/>
    </row>
    <row r="16100" s="7" customFormat="1" spans="33:33">
      <c r="AG16100" s="3"/>
    </row>
    <row r="16101" s="7" customFormat="1" spans="33:33">
      <c r="AG16101" s="3"/>
    </row>
    <row r="16102" s="7" customFormat="1" spans="33:33">
      <c r="AG16102" s="3"/>
    </row>
    <row r="16103" s="7" customFormat="1" spans="33:33">
      <c r="AG16103" s="3"/>
    </row>
    <row r="16104" s="7" customFormat="1" spans="33:33">
      <c r="AG16104" s="3"/>
    </row>
    <row r="16105" s="7" customFormat="1" spans="33:33">
      <c r="AG16105" s="3"/>
    </row>
    <row r="16106" s="7" customFormat="1" spans="33:33">
      <c r="AG16106" s="3"/>
    </row>
    <row r="16107" s="7" customFormat="1" spans="33:33">
      <c r="AG16107" s="3"/>
    </row>
    <row r="16108" s="7" customFormat="1" spans="33:33">
      <c r="AG16108" s="3"/>
    </row>
    <row r="16109" s="7" customFormat="1" spans="33:33">
      <c r="AG16109" s="3"/>
    </row>
    <row r="16110" s="7" customFormat="1" spans="33:33">
      <c r="AG16110" s="3"/>
    </row>
    <row r="16111" s="7" customFormat="1" spans="33:33">
      <c r="AG16111" s="3"/>
    </row>
    <row r="16112" s="7" customFormat="1" spans="33:33">
      <c r="AG16112" s="3"/>
    </row>
    <row r="16113" s="7" customFormat="1" spans="33:33">
      <c r="AG16113" s="3"/>
    </row>
    <row r="16114" s="7" customFormat="1" spans="33:33">
      <c r="AG16114" s="3"/>
    </row>
    <row r="16115" s="7" customFormat="1" spans="33:33">
      <c r="AG16115" s="3"/>
    </row>
    <row r="16116" s="7" customFormat="1" spans="33:33">
      <c r="AG16116" s="3"/>
    </row>
    <row r="16117" s="7" customFormat="1" spans="33:33">
      <c r="AG16117" s="3"/>
    </row>
    <row r="16118" s="7" customFormat="1" spans="33:33">
      <c r="AG16118" s="3"/>
    </row>
    <row r="16119" s="7" customFormat="1" spans="33:33">
      <c r="AG16119" s="3"/>
    </row>
    <row r="16120" s="7" customFormat="1" spans="33:33">
      <c r="AG16120" s="3"/>
    </row>
    <row r="16121" s="7" customFormat="1" spans="33:33">
      <c r="AG16121" s="3"/>
    </row>
    <row r="16122" s="7" customFormat="1" spans="33:33">
      <c r="AG16122" s="3"/>
    </row>
    <row r="16123" s="7" customFormat="1" spans="33:33">
      <c r="AG16123" s="3"/>
    </row>
    <row r="16124" s="7" customFormat="1" spans="33:33">
      <c r="AG16124" s="3"/>
    </row>
    <row r="16125" s="7" customFormat="1" spans="33:33">
      <c r="AG16125" s="3"/>
    </row>
    <row r="16126" s="7" customFormat="1" spans="33:33">
      <c r="AG16126" s="3"/>
    </row>
    <row r="16127" s="7" customFormat="1" spans="33:33">
      <c r="AG16127" s="3"/>
    </row>
    <row r="16128" s="7" customFormat="1" spans="33:33">
      <c r="AG16128" s="3"/>
    </row>
    <row r="16129" s="7" customFormat="1" spans="33:33">
      <c r="AG16129" s="3"/>
    </row>
    <row r="16130" s="7" customFormat="1" spans="33:33">
      <c r="AG16130" s="3"/>
    </row>
    <row r="16131" s="7" customFormat="1" spans="33:33">
      <c r="AG16131" s="3"/>
    </row>
    <row r="16132" s="7" customFormat="1" spans="33:33">
      <c r="AG16132" s="3"/>
    </row>
    <row r="16133" s="7" customFormat="1" spans="33:33">
      <c r="AG16133" s="3"/>
    </row>
    <row r="16134" s="7" customFormat="1" spans="33:33">
      <c r="AG16134" s="3"/>
    </row>
    <row r="16135" s="7" customFormat="1" spans="33:33">
      <c r="AG16135" s="3"/>
    </row>
    <row r="16136" s="7" customFormat="1" spans="33:33">
      <c r="AG16136" s="3"/>
    </row>
    <row r="16137" s="7" customFormat="1" spans="33:33">
      <c r="AG16137" s="3"/>
    </row>
    <row r="16138" s="7" customFormat="1" spans="33:33">
      <c r="AG16138" s="3"/>
    </row>
    <row r="16139" s="7" customFormat="1" spans="33:33">
      <c r="AG16139" s="3"/>
    </row>
    <row r="16140" s="7" customFormat="1" spans="33:33">
      <c r="AG16140" s="3"/>
    </row>
    <row r="16141" s="7" customFormat="1" spans="33:33">
      <c r="AG16141" s="3"/>
    </row>
    <row r="16142" s="7" customFormat="1" spans="33:33">
      <c r="AG16142" s="3"/>
    </row>
    <row r="16143" s="7" customFormat="1" spans="33:33">
      <c r="AG16143" s="3"/>
    </row>
    <row r="16144" s="7" customFormat="1" spans="33:33">
      <c r="AG16144" s="3"/>
    </row>
    <row r="16145" s="7" customFormat="1" spans="33:33">
      <c r="AG16145" s="3"/>
    </row>
    <row r="16146" s="7" customFormat="1" spans="33:33">
      <c r="AG16146" s="3"/>
    </row>
    <row r="16147" s="7" customFormat="1" spans="33:33">
      <c r="AG16147" s="3"/>
    </row>
    <row r="16148" s="7" customFormat="1" spans="33:33">
      <c r="AG16148" s="3"/>
    </row>
    <row r="16149" s="7" customFormat="1" spans="33:33">
      <c r="AG16149" s="3"/>
    </row>
    <row r="16150" s="7" customFormat="1" spans="33:33">
      <c r="AG16150" s="3"/>
    </row>
    <row r="16151" s="7" customFormat="1" spans="33:33">
      <c r="AG16151" s="3"/>
    </row>
    <row r="16152" s="7" customFormat="1" spans="33:33">
      <c r="AG16152" s="3"/>
    </row>
    <row r="16153" s="7" customFormat="1" spans="33:33">
      <c r="AG16153" s="3"/>
    </row>
    <row r="16154" s="7" customFormat="1" spans="33:33">
      <c r="AG16154" s="3"/>
    </row>
    <row r="16155" s="7" customFormat="1" spans="33:33">
      <c r="AG16155" s="3"/>
    </row>
    <row r="16156" s="7" customFormat="1" spans="33:33">
      <c r="AG16156" s="3"/>
    </row>
    <row r="16157" s="7" customFormat="1" spans="33:33">
      <c r="AG16157" s="3"/>
    </row>
    <row r="16158" s="7" customFormat="1" spans="33:33">
      <c r="AG16158" s="3"/>
    </row>
    <row r="16159" s="7" customFormat="1" spans="33:33">
      <c r="AG16159" s="3"/>
    </row>
    <row r="16160" s="7" customFormat="1" spans="33:33">
      <c r="AG16160" s="3"/>
    </row>
    <row r="16161" s="7" customFormat="1" spans="33:33">
      <c r="AG16161" s="3"/>
    </row>
    <row r="16162" s="7" customFormat="1" spans="33:33">
      <c r="AG16162" s="3"/>
    </row>
    <row r="16163" s="7" customFormat="1" spans="33:33">
      <c r="AG16163" s="3"/>
    </row>
    <row r="16164" s="7" customFormat="1" spans="33:33">
      <c r="AG16164" s="3"/>
    </row>
    <row r="16165" s="7" customFormat="1" spans="33:33">
      <c r="AG16165" s="3"/>
    </row>
    <row r="16166" s="7" customFormat="1" spans="33:33">
      <c r="AG16166" s="3"/>
    </row>
    <row r="16167" s="7" customFormat="1" spans="33:33">
      <c r="AG16167" s="3"/>
    </row>
    <row r="16168" s="7" customFormat="1" spans="33:33">
      <c r="AG16168" s="3"/>
    </row>
    <row r="16169" s="7" customFormat="1" spans="33:33">
      <c r="AG16169" s="3"/>
    </row>
    <row r="16170" s="7" customFormat="1" spans="33:33">
      <c r="AG16170" s="3"/>
    </row>
    <row r="16171" s="7" customFormat="1" spans="33:33">
      <c r="AG16171" s="3"/>
    </row>
    <row r="16172" spans="1:32">
      <c r="A16172" s="7"/>
      <c r="B16172" s="7"/>
      <c r="C16172" s="7"/>
      <c r="D16172" s="7"/>
      <c r="E16172" s="7"/>
      <c r="F16172" s="7"/>
      <c r="G16172" s="7"/>
      <c r="H16172" s="7"/>
      <c r="I16172" s="7"/>
      <c r="J16172" s="7"/>
      <c r="K16172" s="7"/>
      <c r="L16172" s="7"/>
      <c r="M16172" s="7"/>
      <c r="N16172" s="7"/>
      <c r="O16172" s="7"/>
      <c r="P16172" s="7"/>
      <c r="Q16172" s="7"/>
      <c r="R16172" s="7"/>
      <c r="S16172" s="7"/>
      <c r="T16172" s="7"/>
      <c r="U16172" s="7"/>
      <c r="V16172" s="7"/>
      <c r="W16172" s="7"/>
      <c r="X16172" s="7"/>
      <c r="Y16172" s="7"/>
      <c r="Z16172" s="7"/>
      <c r="AA16172" s="7"/>
      <c r="AB16172" s="7"/>
      <c r="AC16172" s="7"/>
      <c r="AD16172" s="7"/>
      <c r="AE16172" s="7"/>
      <c r="AF16172" s="7"/>
    </row>
    <row r="16173" spans="1:32">
      <c r="A16173" s="7"/>
      <c r="B16173" s="7"/>
      <c r="C16173" s="7"/>
      <c r="D16173" s="7"/>
      <c r="E16173" s="7"/>
      <c r="F16173" s="7"/>
      <c r="G16173" s="7"/>
      <c r="H16173" s="7"/>
      <c r="I16173" s="7"/>
      <c r="J16173" s="7"/>
      <c r="K16173" s="7"/>
      <c r="L16173" s="7"/>
      <c r="M16173" s="7"/>
      <c r="N16173" s="7"/>
      <c r="O16173" s="7"/>
      <c r="P16173" s="7"/>
      <c r="Q16173" s="7"/>
      <c r="R16173" s="7"/>
      <c r="S16173" s="7"/>
      <c r="T16173" s="7"/>
      <c r="U16173" s="7"/>
      <c r="V16173" s="7"/>
      <c r="W16173" s="7"/>
      <c r="X16173" s="7"/>
      <c r="Y16173" s="7"/>
      <c r="Z16173" s="7"/>
      <c r="AA16173" s="7"/>
      <c r="AB16173" s="7"/>
      <c r="AC16173" s="7"/>
      <c r="AD16173" s="7"/>
      <c r="AE16173" s="7"/>
      <c r="AF16173" s="7"/>
    </row>
    <row r="16174" spans="1:32">
      <c r="A16174" s="7"/>
      <c r="B16174" s="7"/>
      <c r="C16174" s="7"/>
      <c r="D16174" s="7"/>
      <c r="E16174" s="7"/>
      <c r="F16174" s="7"/>
      <c r="G16174" s="7"/>
      <c r="H16174" s="7"/>
      <c r="I16174" s="7"/>
      <c r="J16174" s="7"/>
      <c r="K16174" s="7"/>
      <c r="L16174" s="7"/>
      <c r="M16174" s="7"/>
      <c r="N16174" s="7"/>
      <c r="O16174" s="7"/>
      <c r="P16174" s="7"/>
      <c r="Q16174" s="7"/>
      <c r="R16174" s="7"/>
      <c r="S16174" s="7"/>
      <c r="T16174" s="7"/>
      <c r="U16174" s="7"/>
      <c r="V16174" s="7"/>
      <c r="W16174" s="7"/>
      <c r="X16174" s="7"/>
      <c r="Y16174" s="7"/>
      <c r="Z16174" s="7"/>
      <c r="AA16174" s="7"/>
      <c r="AB16174" s="7"/>
      <c r="AC16174" s="7"/>
      <c r="AD16174" s="7"/>
      <c r="AE16174" s="7"/>
      <c r="AF16174" s="7"/>
    </row>
    <row r="16175" spans="1:32">
      <c r="A16175" s="7"/>
      <c r="B16175" s="7"/>
      <c r="C16175" s="7"/>
      <c r="D16175" s="7"/>
      <c r="E16175" s="7"/>
      <c r="F16175" s="7"/>
      <c r="G16175" s="7"/>
      <c r="H16175" s="7"/>
      <c r="I16175" s="7"/>
      <c r="J16175" s="7"/>
      <c r="K16175" s="7"/>
      <c r="L16175" s="7"/>
      <c r="M16175" s="7"/>
      <c r="N16175" s="7"/>
      <c r="O16175" s="7"/>
      <c r="P16175" s="7"/>
      <c r="Q16175" s="7"/>
      <c r="R16175" s="7"/>
      <c r="S16175" s="7"/>
      <c r="T16175" s="7"/>
      <c r="U16175" s="7"/>
      <c r="V16175" s="7"/>
      <c r="W16175" s="7"/>
      <c r="X16175" s="7"/>
      <c r="Y16175" s="7"/>
      <c r="Z16175" s="7"/>
      <c r="AA16175" s="7"/>
      <c r="AB16175" s="7"/>
      <c r="AC16175" s="7"/>
      <c r="AD16175" s="7"/>
      <c r="AE16175" s="7"/>
      <c r="AF16175" s="7"/>
    </row>
    <row r="16176" spans="1:32">
      <c r="A16176" s="7"/>
      <c r="B16176" s="7"/>
      <c r="C16176" s="7"/>
      <c r="D16176" s="7"/>
      <c r="E16176" s="7"/>
      <c r="F16176" s="7"/>
      <c r="G16176" s="7"/>
      <c r="H16176" s="7"/>
      <c r="I16176" s="7"/>
      <c r="J16176" s="7"/>
      <c r="K16176" s="7"/>
      <c r="L16176" s="7"/>
      <c r="M16176" s="7"/>
      <c r="N16176" s="7"/>
      <c r="O16176" s="7"/>
      <c r="P16176" s="7"/>
      <c r="Q16176" s="7"/>
      <c r="R16176" s="7"/>
      <c r="S16176" s="7"/>
      <c r="T16176" s="7"/>
      <c r="U16176" s="7"/>
      <c r="V16176" s="7"/>
      <c r="W16176" s="7"/>
      <c r="X16176" s="7"/>
      <c r="Y16176" s="7"/>
      <c r="Z16176" s="7"/>
      <c r="AA16176" s="7"/>
      <c r="AB16176" s="7"/>
      <c r="AC16176" s="7"/>
      <c r="AD16176" s="7"/>
      <c r="AE16176" s="7"/>
      <c r="AF16176" s="7"/>
    </row>
    <row r="16177" spans="1:32">
      <c r="A16177" s="7"/>
      <c r="B16177" s="7"/>
      <c r="C16177" s="7"/>
      <c r="D16177" s="7"/>
      <c r="E16177" s="7"/>
      <c r="F16177" s="7"/>
      <c r="G16177" s="7"/>
      <c r="H16177" s="7"/>
      <c r="I16177" s="7"/>
      <c r="J16177" s="7"/>
      <c r="K16177" s="7"/>
      <c r="L16177" s="7"/>
      <c r="M16177" s="7"/>
      <c r="N16177" s="7"/>
      <c r="O16177" s="7"/>
      <c r="P16177" s="7"/>
      <c r="Q16177" s="7"/>
      <c r="R16177" s="7"/>
      <c r="S16177" s="7"/>
      <c r="T16177" s="7"/>
      <c r="U16177" s="7"/>
      <c r="V16177" s="7"/>
      <c r="W16177" s="7"/>
      <c r="X16177" s="7"/>
      <c r="Y16177" s="7"/>
      <c r="Z16177" s="7"/>
      <c r="AA16177" s="7"/>
      <c r="AB16177" s="7"/>
      <c r="AC16177" s="7"/>
      <c r="AD16177" s="7"/>
      <c r="AE16177" s="7"/>
      <c r="AF16177" s="7"/>
    </row>
    <row r="16178" spans="1:32">
      <c r="A16178" s="7"/>
      <c r="B16178" s="7"/>
      <c r="C16178" s="7"/>
      <c r="D16178" s="7"/>
      <c r="E16178" s="7"/>
      <c r="F16178" s="7"/>
      <c r="G16178" s="7"/>
      <c r="H16178" s="7"/>
      <c r="I16178" s="7"/>
      <c r="J16178" s="7"/>
      <c r="K16178" s="7"/>
      <c r="L16178" s="7"/>
      <c r="M16178" s="7"/>
      <c r="N16178" s="7"/>
      <c r="O16178" s="7"/>
      <c r="P16178" s="7"/>
      <c r="Q16178" s="7"/>
      <c r="R16178" s="7"/>
      <c r="S16178" s="7"/>
      <c r="T16178" s="7"/>
      <c r="U16178" s="7"/>
      <c r="V16178" s="7"/>
      <c r="W16178" s="7"/>
      <c r="X16178" s="7"/>
      <c r="Y16178" s="7"/>
      <c r="Z16178" s="7"/>
      <c r="AA16178" s="7"/>
      <c r="AB16178" s="7"/>
      <c r="AC16178" s="7"/>
      <c r="AD16178" s="7"/>
      <c r="AE16178" s="7"/>
      <c r="AF16178" s="7"/>
    </row>
    <row r="16179" spans="1:32">
      <c r="A16179" s="7"/>
      <c r="B16179" s="7"/>
      <c r="C16179" s="7"/>
      <c r="D16179" s="7"/>
      <c r="E16179" s="7"/>
      <c r="F16179" s="7"/>
      <c r="G16179" s="7"/>
      <c r="H16179" s="7"/>
      <c r="I16179" s="7"/>
      <c r="J16179" s="7"/>
      <c r="K16179" s="7"/>
      <c r="L16179" s="7"/>
      <c r="M16179" s="7"/>
      <c r="N16179" s="7"/>
      <c r="O16179" s="7"/>
      <c r="P16179" s="7"/>
      <c r="Q16179" s="7"/>
      <c r="R16179" s="7"/>
      <c r="S16179" s="7"/>
      <c r="T16179" s="7"/>
      <c r="U16179" s="7"/>
      <c r="V16179" s="7"/>
      <c r="W16179" s="7"/>
      <c r="X16179" s="7"/>
      <c r="Y16179" s="7"/>
      <c r="Z16179" s="7"/>
      <c r="AA16179" s="7"/>
      <c r="AB16179" s="7"/>
      <c r="AC16179" s="7"/>
      <c r="AD16179" s="7"/>
      <c r="AE16179" s="7"/>
      <c r="AF16179" s="7"/>
    </row>
    <row r="16180" spans="1:32">
      <c r="A16180" s="7"/>
      <c r="B16180" s="7"/>
      <c r="C16180" s="7"/>
      <c r="D16180" s="7"/>
      <c r="E16180" s="7"/>
      <c r="F16180" s="7"/>
      <c r="G16180" s="7"/>
      <c r="H16180" s="7"/>
      <c r="I16180" s="7"/>
      <c r="J16180" s="7"/>
      <c r="K16180" s="7"/>
      <c r="L16180" s="7"/>
      <c r="M16180" s="7"/>
      <c r="N16180" s="7"/>
      <c r="O16180" s="7"/>
      <c r="P16180" s="7"/>
      <c r="Q16180" s="7"/>
      <c r="R16180" s="7"/>
      <c r="S16180" s="7"/>
      <c r="T16180" s="7"/>
      <c r="U16180" s="7"/>
      <c r="V16180" s="7"/>
      <c r="W16180" s="7"/>
      <c r="X16180" s="7"/>
      <c r="Y16180" s="7"/>
      <c r="Z16180" s="7"/>
      <c r="AA16180" s="7"/>
      <c r="AB16180" s="7"/>
      <c r="AC16180" s="7"/>
      <c r="AD16180" s="7"/>
      <c r="AE16180" s="7"/>
      <c r="AF16180" s="7"/>
    </row>
    <row r="16181" spans="1:32">
      <c r="A16181" s="7"/>
      <c r="B16181" s="7"/>
      <c r="C16181" s="7"/>
      <c r="D16181" s="7"/>
      <c r="E16181" s="7"/>
      <c r="F16181" s="7"/>
      <c r="G16181" s="7"/>
      <c r="H16181" s="7"/>
      <c r="I16181" s="7"/>
      <c r="J16181" s="7"/>
      <c r="K16181" s="7"/>
      <c r="L16181" s="7"/>
      <c r="M16181" s="7"/>
      <c r="N16181" s="7"/>
      <c r="O16181" s="7"/>
      <c r="P16181" s="7"/>
      <c r="Q16181" s="7"/>
      <c r="R16181" s="7"/>
      <c r="S16181" s="7"/>
      <c r="T16181" s="7"/>
      <c r="U16181" s="7"/>
      <c r="V16181" s="7"/>
      <c r="W16181" s="7"/>
      <c r="X16181" s="7"/>
      <c r="Y16181" s="7"/>
      <c r="Z16181" s="7"/>
      <c r="AA16181" s="7"/>
      <c r="AB16181" s="7"/>
      <c r="AC16181" s="7"/>
      <c r="AD16181" s="7"/>
      <c r="AE16181" s="7"/>
      <c r="AF16181" s="7"/>
    </row>
    <row r="16182" spans="1:32">
      <c r="A16182" s="7"/>
      <c r="B16182" s="7"/>
      <c r="C16182" s="7"/>
      <c r="D16182" s="7"/>
      <c r="E16182" s="7"/>
      <c r="F16182" s="7"/>
      <c r="G16182" s="7"/>
      <c r="H16182" s="7"/>
      <c r="I16182" s="7"/>
      <c r="J16182" s="7"/>
      <c r="K16182" s="7"/>
      <c r="L16182" s="7"/>
      <c r="M16182" s="7"/>
      <c r="N16182" s="7"/>
      <c r="O16182" s="7"/>
      <c r="P16182" s="7"/>
      <c r="Q16182" s="7"/>
      <c r="R16182" s="7"/>
      <c r="S16182" s="7"/>
      <c r="T16182" s="7"/>
      <c r="U16182" s="7"/>
      <c r="V16182" s="7"/>
      <c r="W16182" s="7"/>
      <c r="X16182" s="7"/>
      <c r="Y16182" s="7"/>
      <c r="Z16182" s="7"/>
      <c r="AA16182" s="7"/>
      <c r="AB16182" s="7"/>
      <c r="AC16182" s="7"/>
      <c r="AD16182" s="7"/>
      <c r="AE16182" s="7"/>
      <c r="AF16182" s="7"/>
    </row>
    <row r="16183" spans="1:32">
      <c r="A16183" s="7"/>
      <c r="B16183" s="7"/>
      <c r="C16183" s="7"/>
      <c r="D16183" s="7"/>
      <c r="E16183" s="7"/>
      <c r="F16183" s="7"/>
      <c r="G16183" s="7"/>
      <c r="H16183" s="7"/>
      <c r="I16183" s="7"/>
      <c r="J16183" s="7"/>
      <c r="K16183" s="7"/>
      <c r="L16183" s="7"/>
      <c r="M16183" s="7"/>
      <c r="N16183" s="7"/>
      <c r="O16183" s="7"/>
      <c r="P16183" s="7"/>
      <c r="Q16183" s="7"/>
      <c r="R16183" s="7"/>
      <c r="S16183" s="7"/>
      <c r="T16183" s="7"/>
      <c r="U16183" s="7"/>
      <c r="V16183" s="7"/>
      <c r="W16183" s="7"/>
      <c r="X16183" s="7"/>
      <c r="Y16183" s="7"/>
      <c r="Z16183" s="7"/>
      <c r="AA16183" s="7"/>
      <c r="AB16183" s="7"/>
      <c r="AC16183" s="7"/>
      <c r="AD16183" s="7"/>
      <c r="AE16183" s="7"/>
      <c r="AF16183" s="7"/>
    </row>
    <row r="16184" spans="1:32">
      <c r="A16184" s="7"/>
      <c r="B16184" s="7"/>
      <c r="C16184" s="7"/>
      <c r="D16184" s="7"/>
      <c r="E16184" s="7"/>
      <c r="F16184" s="7"/>
      <c r="G16184" s="7"/>
      <c r="H16184" s="7"/>
      <c r="I16184" s="7"/>
      <c r="J16184" s="7"/>
      <c r="K16184" s="7"/>
      <c r="L16184" s="7"/>
      <c r="M16184" s="7"/>
      <c r="N16184" s="7"/>
      <c r="O16184" s="7"/>
      <c r="P16184" s="7"/>
      <c r="Q16184" s="7"/>
      <c r="R16184" s="7"/>
      <c r="S16184" s="7"/>
      <c r="T16184" s="7"/>
      <c r="U16184" s="7"/>
      <c r="V16184" s="7"/>
      <c r="W16184" s="7"/>
      <c r="X16184" s="7"/>
      <c r="Y16184" s="7"/>
      <c r="Z16184" s="7"/>
      <c r="AA16184" s="7"/>
      <c r="AB16184" s="7"/>
      <c r="AC16184" s="7"/>
      <c r="AD16184" s="7"/>
      <c r="AE16184" s="7"/>
      <c r="AF16184" s="7"/>
    </row>
    <row r="16185" spans="1:32">
      <c r="A16185" s="7"/>
      <c r="B16185" s="7"/>
      <c r="C16185" s="7"/>
      <c r="D16185" s="7"/>
      <c r="E16185" s="7"/>
      <c r="F16185" s="7"/>
      <c r="G16185" s="7"/>
      <c r="H16185" s="7"/>
      <c r="I16185" s="7"/>
      <c r="J16185" s="7"/>
      <c r="K16185" s="7"/>
      <c r="L16185" s="7"/>
      <c r="M16185" s="7"/>
      <c r="N16185" s="7"/>
      <c r="O16185" s="7"/>
      <c r="P16185" s="7"/>
      <c r="Q16185" s="7"/>
      <c r="R16185" s="7"/>
      <c r="S16185" s="7"/>
      <c r="T16185" s="7"/>
      <c r="U16185" s="7"/>
      <c r="V16185" s="7"/>
      <c r="W16185" s="7"/>
      <c r="X16185" s="7"/>
      <c r="Y16185" s="7"/>
      <c r="Z16185" s="7"/>
      <c r="AA16185" s="7"/>
      <c r="AB16185" s="7"/>
      <c r="AC16185" s="7"/>
      <c r="AD16185" s="7"/>
      <c r="AE16185" s="7"/>
      <c r="AF16185" s="7"/>
    </row>
    <row r="16186" spans="1:32">
      <c r="A16186" s="7"/>
      <c r="B16186" s="7"/>
      <c r="C16186" s="7"/>
      <c r="D16186" s="7"/>
      <c r="E16186" s="7"/>
      <c r="F16186" s="7"/>
      <c r="G16186" s="7"/>
      <c r="H16186" s="7"/>
      <c r="I16186" s="7"/>
      <c r="J16186" s="7"/>
      <c r="K16186" s="7"/>
      <c r="L16186" s="7"/>
      <c r="M16186" s="7"/>
      <c r="N16186" s="7"/>
      <c r="O16186" s="7"/>
      <c r="P16186" s="7"/>
      <c r="Q16186" s="7"/>
      <c r="R16186" s="7"/>
      <c r="S16186" s="7"/>
      <c r="T16186" s="7"/>
      <c r="U16186" s="7"/>
      <c r="V16186" s="7"/>
      <c r="W16186" s="7"/>
      <c r="X16186" s="7"/>
      <c r="Y16186" s="7"/>
      <c r="Z16186" s="7"/>
      <c r="AA16186" s="7"/>
      <c r="AB16186" s="7"/>
      <c r="AC16186" s="7"/>
      <c r="AD16186" s="7"/>
      <c r="AE16186" s="7"/>
      <c r="AF16186" s="7"/>
    </row>
    <row r="16187" spans="1:32">
      <c r="A16187" s="7"/>
      <c r="B16187" s="7"/>
      <c r="C16187" s="7"/>
      <c r="D16187" s="7"/>
      <c r="E16187" s="7"/>
      <c r="F16187" s="7"/>
      <c r="G16187" s="7"/>
      <c r="H16187" s="7"/>
      <c r="I16187" s="7"/>
      <c r="J16187" s="7"/>
      <c r="K16187" s="7"/>
      <c r="L16187" s="7"/>
      <c r="M16187" s="7"/>
      <c r="N16187" s="7"/>
      <c r="O16187" s="7"/>
      <c r="P16187" s="7"/>
      <c r="Q16187" s="7"/>
      <c r="R16187" s="7"/>
      <c r="S16187" s="7"/>
      <c r="T16187" s="7"/>
      <c r="U16187" s="7"/>
      <c r="V16187" s="7"/>
      <c r="W16187" s="7"/>
      <c r="X16187" s="7"/>
      <c r="Y16187" s="7"/>
      <c r="Z16187" s="7"/>
      <c r="AA16187" s="7"/>
      <c r="AB16187" s="7"/>
      <c r="AC16187" s="7"/>
      <c r="AD16187" s="7"/>
      <c r="AE16187" s="7"/>
      <c r="AF16187" s="7"/>
    </row>
    <row r="16188" spans="1:32">
      <c r="A16188" s="7"/>
      <c r="B16188" s="7"/>
      <c r="C16188" s="7"/>
      <c r="D16188" s="7"/>
      <c r="E16188" s="7"/>
      <c r="F16188" s="7"/>
      <c r="G16188" s="7"/>
      <c r="H16188" s="7"/>
      <c r="I16188" s="7"/>
      <c r="J16188" s="7"/>
      <c r="K16188" s="7"/>
      <c r="L16188" s="7"/>
      <c r="M16188" s="7"/>
      <c r="N16188" s="7"/>
      <c r="O16188" s="7"/>
      <c r="P16188" s="7"/>
      <c r="Q16188" s="7"/>
      <c r="R16188" s="7"/>
      <c r="S16188" s="7"/>
      <c r="T16188" s="7"/>
      <c r="U16188" s="7"/>
      <c r="V16188" s="7"/>
      <c r="W16188" s="7"/>
      <c r="X16188" s="7"/>
      <c r="Y16188" s="7"/>
      <c r="Z16188" s="7"/>
      <c r="AA16188" s="7"/>
      <c r="AB16188" s="7"/>
      <c r="AC16188" s="7"/>
      <c r="AD16188" s="7"/>
      <c r="AE16188" s="7"/>
      <c r="AF16188" s="7"/>
    </row>
    <row r="16189" spans="1:32">
      <c r="A16189" s="7"/>
      <c r="B16189" s="7"/>
      <c r="C16189" s="7"/>
      <c r="D16189" s="7"/>
      <c r="E16189" s="7"/>
      <c r="F16189" s="7"/>
      <c r="G16189" s="7"/>
      <c r="H16189" s="7"/>
      <c r="I16189" s="7"/>
      <c r="J16189" s="7"/>
      <c r="K16189" s="7"/>
      <c r="L16189" s="7"/>
      <c r="M16189" s="7"/>
      <c r="N16189" s="7"/>
      <c r="O16189" s="7"/>
      <c r="P16189" s="7"/>
      <c r="Q16189" s="7"/>
      <c r="R16189" s="7"/>
      <c r="S16189" s="7"/>
      <c r="T16189" s="7"/>
      <c r="U16189" s="7"/>
      <c r="V16189" s="7"/>
      <c r="W16189" s="7"/>
      <c r="X16189" s="7"/>
      <c r="Y16189" s="7"/>
      <c r="Z16189" s="7"/>
      <c r="AA16189" s="7"/>
      <c r="AB16189" s="7"/>
      <c r="AC16189" s="7"/>
      <c r="AD16189" s="7"/>
      <c r="AE16189" s="7"/>
      <c r="AF16189" s="7"/>
    </row>
    <row r="16190" spans="1:32">
      <c r="A16190" s="7"/>
      <c r="B16190" s="7"/>
      <c r="C16190" s="7"/>
      <c r="D16190" s="7"/>
      <c r="E16190" s="7"/>
      <c r="F16190" s="7"/>
      <c r="G16190" s="7"/>
      <c r="H16190" s="7"/>
      <c r="I16190" s="7"/>
      <c r="J16190" s="7"/>
      <c r="K16190" s="7"/>
      <c r="L16190" s="7"/>
      <c r="M16190" s="7"/>
      <c r="N16190" s="7"/>
      <c r="O16190" s="7"/>
      <c r="P16190" s="7"/>
      <c r="Q16190" s="7"/>
      <c r="R16190" s="7"/>
      <c r="S16190" s="7"/>
      <c r="T16190" s="7"/>
      <c r="U16190" s="7"/>
      <c r="V16190" s="7"/>
      <c r="W16190" s="7"/>
      <c r="X16190" s="7"/>
      <c r="Y16190" s="7"/>
      <c r="Z16190" s="7"/>
      <c r="AA16190" s="7"/>
      <c r="AB16190" s="7"/>
      <c r="AC16190" s="7"/>
      <c r="AD16190" s="7"/>
      <c r="AE16190" s="7"/>
      <c r="AF16190" s="7"/>
    </row>
    <row r="16191" spans="1:32">
      <c r="A16191" s="7"/>
      <c r="B16191" s="7"/>
      <c r="C16191" s="7"/>
      <c r="D16191" s="7"/>
      <c r="E16191" s="7"/>
      <c r="F16191" s="7"/>
      <c r="G16191" s="7"/>
      <c r="H16191" s="7"/>
      <c r="I16191" s="7"/>
      <c r="J16191" s="7"/>
      <c r="K16191" s="7"/>
      <c r="L16191" s="7"/>
      <c r="M16191" s="7"/>
      <c r="N16191" s="7"/>
      <c r="O16191" s="7"/>
      <c r="P16191" s="7"/>
      <c r="Q16191" s="7"/>
      <c r="R16191" s="7"/>
      <c r="S16191" s="7"/>
      <c r="T16191" s="7"/>
      <c r="U16191" s="7"/>
      <c r="V16191" s="7"/>
      <c r="W16191" s="7"/>
      <c r="X16191" s="7"/>
      <c r="Y16191" s="7"/>
      <c r="Z16191" s="7"/>
      <c r="AA16191" s="7"/>
      <c r="AB16191" s="7"/>
      <c r="AC16191" s="7"/>
      <c r="AD16191" s="7"/>
      <c r="AE16191" s="7"/>
      <c r="AF16191" s="7"/>
    </row>
    <row r="16192" spans="1:32">
      <c r="A16192" s="7"/>
      <c r="B16192" s="7"/>
      <c r="C16192" s="7"/>
      <c r="D16192" s="7"/>
      <c r="E16192" s="7"/>
      <c r="F16192" s="7"/>
      <c r="G16192" s="7"/>
      <c r="H16192" s="7"/>
      <c r="I16192" s="7"/>
      <c r="J16192" s="7"/>
      <c r="K16192" s="7"/>
      <c r="L16192" s="7"/>
      <c r="M16192" s="7"/>
      <c r="N16192" s="7"/>
      <c r="O16192" s="7"/>
      <c r="P16192" s="7"/>
      <c r="Q16192" s="7"/>
      <c r="R16192" s="7"/>
      <c r="S16192" s="7"/>
      <c r="T16192" s="7"/>
      <c r="U16192" s="7"/>
      <c r="V16192" s="7"/>
      <c r="W16192" s="7"/>
      <c r="X16192" s="7"/>
      <c r="Y16192" s="7"/>
      <c r="Z16192" s="7"/>
      <c r="AA16192" s="7"/>
      <c r="AB16192" s="7"/>
      <c r="AC16192" s="7"/>
      <c r="AD16192" s="7"/>
      <c r="AE16192" s="7"/>
      <c r="AF16192" s="7"/>
    </row>
    <row r="16193" spans="1:32">
      <c r="A16193" s="7"/>
      <c r="B16193" s="7"/>
      <c r="C16193" s="7"/>
      <c r="D16193" s="7"/>
      <c r="E16193" s="7"/>
      <c r="F16193" s="7"/>
      <c r="G16193" s="7"/>
      <c r="H16193" s="7"/>
      <c r="I16193" s="7"/>
      <c r="J16193" s="7"/>
      <c r="K16193" s="7"/>
      <c r="L16193" s="7"/>
      <c r="M16193" s="7"/>
      <c r="N16193" s="7"/>
      <c r="O16193" s="7"/>
      <c r="P16193" s="7"/>
      <c r="Q16193" s="7"/>
      <c r="R16193" s="7"/>
      <c r="S16193" s="7"/>
      <c r="T16193" s="7"/>
      <c r="U16193" s="7"/>
      <c r="V16193" s="7"/>
      <c r="W16193" s="7"/>
      <c r="X16193" s="7"/>
      <c r="Y16193" s="7"/>
      <c r="Z16193" s="7"/>
      <c r="AA16193" s="7"/>
      <c r="AB16193" s="7"/>
      <c r="AC16193" s="7"/>
      <c r="AD16193" s="7"/>
      <c r="AE16193" s="7"/>
      <c r="AF16193" s="7"/>
    </row>
    <row r="16194" spans="1:32">
      <c r="A16194" s="7"/>
      <c r="B16194" s="7"/>
      <c r="C16194" s="7"/>
      <c r="D16194" s="7"/>
      <c r="E16194" s="7"/>
      <c r="F16194" s="7"/>
      <c r="G16194" s="7"/>
      <c r="H16194" s="7"/>
      <c r="I16194" s="7"/>
      <c r="J16194" s="7"/>
      <c r="K16194" s="7"/>
      <c r="L16194" s="7"/>
      <c r="M16194" s="7"/>
      <c r="N16194" s="7"/>
      <c r="O16194" s="7"/>
      <c r="P16194" s="7"/>
      <c r="Q16194" s="7"/>
      <c r="R16194" s="7"/>
      <c r="S16194" s="7"/>
      <c r="T16194" s="7"/>
      <c r="U16194" s="7"/>
      <c r="V16194" s="7"/>
      <c r="W16194" s="7"/>
      <c r="X16194" s="7"/>
      <c r="Y16194" s="7"/>
      <c r="Z16194" s="7"/>
      <c r="AA16194" s="7"/>
      <c r="AB16194" s="7"/>
      <c r="AC16194" s="7"/>
      <c r="AD16194" s="7"/>
      <c r="AE16194" s="7"/>
      <c r="AF16194" s="7"/>
    </row>
    <row r="16195" spans="1:32">
      <c r="A16195" s="7"/>
      <c r="B16195" s="7"/>
      <c r="C16195" s="7"/>
      <c r="D16195" s="7"/>
      <c r="E16195" s="7"/>
      <c r="F16195" s="7"/>
      <c r="G16195" s="7"/>
      <c r="H16195" s="7"/>
      <c r="I16195" s="7"/>
      <c r="J16195" s="7"/>
      <c r="K16195" s="7"/>
      <c r="L16195" s="7"/>
      <c r="M16195" s="7"/>
      <c r="N16195" s="7"/>
      <c r="O16195" s="7"/>
      <c r="P16195" s="7"/>
      <c r="Q16195" s="7"/>
      <c r="R16195" s="7"/>
      <c r="S16195" s="7"/>
      <c r="T16195" s="7"/>
      <c r="U16195" s="7"/>
      <c r="V16195" s="7"/>
      <c r="W16195" s="7"/>
      <c r="X16195" s="7"/>
      <c r="Y16195" s="7"/>
      <c r="Z16195" s="7"/>
      <c r="AA16195" s="7"/>
      <c r="AB16195" s="7"/>
      <c r="AC16195" s="7"/>
      <c r="AD16195" s="7"/>
      <c r="AE16195" s="7"/>
      <c r="AF16195" s="7"/>
    </row>
    <row r="16196" spans="1:32">
      <c r="A16196" s="7"/>
      <c r="B16196" s="7"/>
      <c r="C16196" s="7"/>
      <c r="D16196" s="7"/>
      <c r="E16196" s="7"/>
      <c r="F16196" s="7"/>
      <c r="G16196" s="7"/>
      <c r="H16196" s="7"/>
      <c r="I16196" s="7"/>
      <c r="J16196" s="7"/>
      <c r="K16196" s="7"/>
      <c r="L16196" s="7"/>
      <c r="M16196" s="7"/>
      <c r="N16196" s="7"/>
      <c r="O16196" s="7"/>
      <c r="P16196" s="7"/>
      <c r="Q16196" s="7"/>
      <c r="R16196" s="7"/>
      <c r="S16196" s="7"/>
      <c r="T16196" s="7"/>
      <c r="U16196" s="7"/>
      <c r="V16196" s="7"/>
      <c r="W16196" s="7"/>
      <c r="X16196" s="7"/>
      <c r="Y16196" s="7"/>
      <c r="Z16196" s="7"/>
      <c r="AA16196" s="7"/>
      <c r="AB16196" s="7"/>
      <c r="AC16196" s="7"/>
      <c r="AD16196" s="7"/>
      <c r="AE16196" s="7"/>
      <c r="AF16196" s="7"/>
    </row>
    <row r="16197" spans="1:32">
      <c r="A16197" s="7"/>
      <c r="B16197" s="7"/>
      <c r="C16197" s="7"/>
      <c r="D16197" s="7"/>
      <c r="E16197" s="7"/>
      <c r="F16197" s="7"/>
      <c r="G16197" s="7"/>
      <c r="H16197" s="7"/>
      <c r="I16197" s="7"/>
      <c r="J16197" s="7"/>
      <c r="K16197" s="7"/>
      <c r="L16197" s="7"/>
      <c r="M16197" s="7"/>
      <c r="N16197" s="7"/>
      <c r="O16197" s="7"/>
      <c r="P16197" s="7"/>
      <c r="Q16197" s="7"/>
      <c r="R16197" s="7"/>
      <c r="S16197" s="7"/>
      <c r="T16197" s="7"/>
      <c r="U16197" s="7"/>
      <c r="V16197" s="7"/>
      <c r="W16197" s="7"/>
      <c r="X16197" s="7"/>
      <c r="Y16197" s="7"/>
      <c r="Z16197" s="7"/>
      <c r="AA16197" s="7"/>
      <c r="AB16197" s="7"/>
      <c r="AC16197" s="7"/>
      <c r="AD16197" s="7"/>
      <c r="AE16197" s="7"/>
      <c r="AF16197" s="7"/>
    </row>
    <row r="16198" spans="1:32">
      <c r="A16198" s="7"/>
      <c r="B16198" s="7"/>
      <c r="C16198" s="7"/>
      <c r="D16198" s="7"/>
      <c r="E16198" s="7"/>
      <c r="F16198" s="7"/>
      <c r="G16198" s="7"/>
      <c r="H16198" s="7"/>
      <c r="I16198" s="7"/>
      <c r="J16198" s="7"/>
      <c r="K16198" s="7"/>
      <c r="L16198" s="7"/>
      <c r="M16198" s="7"/>
      <c r="N16198" s="7"/>
      <c r="O16198" s="7"/>
      <c r="P16198" s="7"/>
      <c r="Q16198" s="7"/>
      <c r="R16198" s="7"/>
      <c r="S16198" s="7"/>
      <c r="T16198" s="7"/>
      <c r="U16198" s="7"/>
      <c r="V16198" s="7"/>
      <c r="W16198" s="7"/>
      <c r="X16198" s="7"/>
      <c r="Y16198" s="7"/>
      <c r="Z16198" s="7"/>
      <c r="AA16198" s="7"/>
      <c r="AB16198" s="7"/>
      <c r="AC16198" s="7"/>
      <c r="AD16198" s="7"/>
      <c r="AE16198" s="7"/>
      <c r="AF16198" s="7"/>
    </row>
    <row r="16199" spans="1:32">
      <c r="A16199" s="7"/>
      <c r="B16199" s="7"/>
      <c r="C16199" s="7"/>
      <c r="D16199" s="7"/>
      <c r="E16199" s="7"/>
      <c r="F16199" s="7"/>
      <c r="G16199" s="7"/>
      <c r="H16199" s="7"/>
      <c r="I16199" s="7"/>
      <c r="J16199" s="7"/>
      <c r="K16199" s="7"/>
      <c r="L16199" s="7"/>
      <c r="M16199" s="7"/>
      <c r="N16199" s="7"/>
      <c r="O16199" s="7"/>
      <c r="P16199" s="7"/>
      <c r="Q16199" s="7"/>
      <c r="R16199" s="7"/>
      <c r="S16199" s="7"/>
      <c r="T16199" s="7"/>
      <c r="U16199" s="7"/>
      <c r="V16199" s="7"/>
      <c r="W16199" s="7"/>
      <c r="X16199" s="7"/>
      <c r="Y16199" s="7"/>
      <c r="Z16199" s="7"/>
      <c r="AA16199" s="7"/>
      <c r="AB16199" s="7"/>
      <c r="AC16199" s="7"/>
      <c r="AD16199" s="7"/>
      <c r="AE16199" s="7"/>
      <c r="AF16199" s="7"/>
    </row>
    <row r="16200" spans="1:32">
      <c r="A16200" s="7"/>
      <c r="B16200" s="7"/>
      <c r="C16200" s="7"/>
      <c r="D16200" s="7"/>
      <c r="E16200" s="7"/>
      <c r="F16200" s="7"/>
      <c r="G16200" s="7"/>
      <c r="H16200" s="7"/>
      <c r="I16200" s="7"/>
      <c r="J16200" s="7"/>
      <c r="K16200" s="7"/>
      <c r="L16200" s="7"/>
      <c r="M16200" s="7"/>
      <c r="N16200" s="7"/>
      <c r="O16200" s="7"/>
      <c r="P16200" s="7"/>
      <c r="Q16200" s="7"/>
      <c r="R16200" s="7"/>
      <c r="S16200" s="7"/>
      <c r="T16200" s="7"/>
      <c r="U16200" s="7"/>
      <c r="V16200" s="7"/>
      <c r="W16200" s="7"/>
      <c r="X16200" s="7"/>
      <c r="Y16200" s="7"/>
      <c r="Z16200" s="7"/>
      <c r="AA16200" s="7"/>
      <c r="AB16200" s="7"/>
      <c r="AC16200" s="7"/>
      <c r="AD16200" s="7"/>
      <c r="AE16200" s="7"/>
      <c r="AF16200" s="7"/>
    </row>
    <row r="16201" spans="1:32">
      <c r="A16201" s="7"/>
      <c r="B16201" s="7"/>
      <c r="C16201" s="7"/>
      <c r="D16201" s="7"/>
      <c r="E16201" s="7"/>
      <c r="F16201" s="7"/>
      <c r="G16201" s="7"/>
      <c r="H16201" s="7"/>
      <c r="I16201" s="7"/>
      <c r="J16201" s="7"/>
      <c r="K16201" s="7"/>
      <c r="L16201" s="7"/>
      <c r="M16201" s="7"/>
      <c r="N16201" s="7"/>
      <c r="O16201" s="7"/>
      <c r="P16201" s="7"/>
      <c r="Q16201" s="7"/>
      <c r="R16201" s="7"/>
      <c r="S16201" s="7"/>
      <c r="T16201" s="7"/>
      <c r="U16201" s="7"/>
      <c r="V16201" s="7"/>
      <c r="W16201" s="7"/>
      <c r="X16201" s="7"/>
      <c r="Y16201" s="7"/>
      <c r="Z16201" s="7"/>
      <c r="AA16201" s="7"/>
      <c r="AB16201" s="7"/>
      <c r="AC16201" s="7"/>
      <c r="AD16201" s="7"/>
      <c r="AE16201" s="7"/>
      <c r="AF16201" s="7"/>
    </row>
    <row r="16202" spans="1:32">
      <c r="A16202" s="7"/>
      <c r="B16202" s="7"/>
      <c r="C16202" s="7"/>
      <c r="D16202" s="7"/>
      <c r="E16202" s="7"/>
      <c r="F16202" s="7"/>
      <c r="G16202" s="7"/>
      <c r="H16202" s="7"/>
      <c r="I16202" s="7"/>
      <c r="J16202" s="7"/>
      <c r="K16202" s="7"/>
      <c r="L16202" s="7"/>
      <c r="M16202" s="7"/>
      <c r="N16202" s="7"/>
      <c r="O16202" s="7"/>
      <c r="P16202" s="7"/>
      <c r="Q16202" s="7"/>
      <c r="R16202" s="7"/>
      <c r="S16202" s="7"/>
      <c r="T16202" s="7"/>
      <c r="U16202" s="7"/>
      <c r="V16202" s="7"/>
      <c r="W16202" s="7"/>
      <c r="X16202" s="7"/>
      <c r="Y16202" s="7"/>
      <c r="Z16202" s="7"/>
      <c r="AA16202" s="7"/>
      <c r="AB16202" s="7"/>
      <c r="AC16202" s="7"/>
      <c r="AD16202" s="7"/>
      <c r="AE16202" s="7"/>
      <c r="AF16202" s="7"/>
    </row>
    <row r="16203" spans="1:32">
      <c r="A16203" s="7"/>
      <c r="B16203" s="7"/>
      <c r="C16203" s="7"/>
      <c r="D16203" s="7"/>
      <c r="E16203" s="7"/>
      <c r="F16203" s="7"/>
      <c r="G16203" s="7"/>
      <c r="H16203" s="7"/>
      <c r="I16203" s="7"/>
      <c r="J16203" s="7"/>
      <c r="K16203" s="7"/>
      <c r="L16203" s="7"/>
      <c r="M16203" s="7"/>
      <c r="N16203" s="7"/>
      <c r="O16203" s="7"/>
      <c r="P16203" s="7"/>
      <c r="Q16203" s="7"/>
      <c r="R16203" s="7"/>
      <c r="S16203" s="7"/>
      <c r="T16203" s="7"/>
      <c r="U16203" s="7"/>
      <c r="V16203" s="7"/>
      <c r="W16203" s="7"/>
      <c r="X16203" s="7"/>
      <c r="Y16203" s="7"/>
      <c r="Z16203" s="7"/>
      <c r="AA16203" s="7"/>
      <c r="AB16203" s="7"/>
      <c r="AC16203" s="7"/>
      <c r="AD16203" s="7"/>
      <c r="AE16203" s="7"/>
      <c r="AF16203" s="7"/>
    </row>
    <row r="16204" spans="1:32">
      <c r="A16204" s="7"/>
      <c r="B16204" s="7"/>
      <c r="C16204" s="7"/>
      <c r="D16204" s="7"/>
      <c r="E16204" s="7"/>
      <c r="F16204" s="7"/>
      <c r="G16204" s="7"/>
      <c r="H16204" s="7"/>
      <c r="I16204" s="7"/>
      <c r="J16204" s="7"/>
      <c r="K16204" s="7"/>
      <c r="L16204" s="7"/>
      <c r="M16204" s="7"/>
      <c r="N16204" s="7"/>
      <c r="O16204" s="7"/>
      <c r="P16204" s="7"/>
      <c r="Q16204" s="7"/>
      <c r="R16204" s="7"/>
      <c r="S16204" s="7"/>
      <c r="T16204" s="7"/>
      <c r="U16204" s="7"/>
      <c r="V16204" s="7"/>
      <c r="W16204" s="7"/>
      <c r="X16204" s="7"/>
      <c r="Y16204" s="7"/>
      <c r="Z16204" s="7"/>
      <c r="AA16204" s="7"/>
      <c r="AB16204" s="7"/>
      <c r="AC16204" s="7"/>
      <c r="AD16204" s="7"/>
      <c r="AE16204" s="7"/>
      <c r="AF16204" s="7"/>
    </row>
    <row r="16205" spans="1:32">
      <c r="A16205" s="7"/>
      <c r="B16205" s="7"/>
      <c r="C16205" s="7"/>
      <c r="D16205" s="7"/>
      <c r="E16205" s="7"/>
      <c r="F16205" s="7"/>
      <c r="G16205" s="7"/>
      <c r="H16205" s="7"/>
      <c r="I16205" s="7"/>
      <c r="J16205" s="7"/>
      <c r="K16205" s="7"/>
      <c r="L16205" s="7"/>
      <c r="M16205" s="7"/>
      <c r="N16205" s="7"/>
      <c r="O16205" s="7"/>
      <c r="P16205" s="7"/>
      <c r="Q16205" s="7"/>
      <c r="R16205" s="7"/>
      <c r="S16205" s="7"/>
      <c r="T16205" s="7"/>
      <c r="U16205" s="7"/>
      <c r="V16205" s="7"/>
      <c r="W16205" s="7"/>
      <c r="X16205" s="7"/>
      <c r="Y16205" s="7"/>
      <c r="Z16205" s="7"/>
      <c r="AA16205" s="7"/>
      <c r="AB16205" s="7"/>
      <c r="AC16205" s="7"/>
      <c r="AD16205" s="7"/>
      <c r="AE16205" s="7"/>
      <c r="AF16205" s="7"/>
    </row>
    <row r="16206" spans="1:32">
      <c r="A16206" s="7"/>
      <c r="B16206" s="7"/>
      <c r="C16206" s="7"/>
      <c r="D16206" s="7"/>
      <c r="E16206" s="7"/>
      <c r="F16206" s="7"/>
      <c r="G16206" s="7"/>
      <c r="H16206" s="7"/>
      <c r="I16206" s="7"/>
      <c r="J16206" s="7"/>
      <c r="K16206" s="7"/>
      <c r="L16206" s="7"/>
      <c r="M16206" s="7"/>
      <c r="N16206" s="7"/>
      <c r="O16206" s="7"/>
      <c r="P16206" s="7"/>
      <c r="Q16206" s="7"/>
      <c r="R16206" s="7"/>
      <c r="S16206" s="7"/>
      <c r="T16206" s="7"/>
      <c r="U16206" s="7"/>
      <c r="V16206" s="7"/>
      <c r="W16206" s="7"/>
      <c r="X16206" s="7"/>
      <c r="Y16206" s="7"/>
      <c r="Z16206" s="7"/>
      <c r="AA16206" s="7"/>
      <c r="AB16206" s="7"/>
      <c r="AC16206" s="7"/>
      <c r="AD16206" s="7"/>
      <c r="AE16206" s="7"/>
      <c r="AF16206" s="7"/>
    </row>
    <row r="16207" spans="1:32">
      <c r="A16207" s="7"/>
      <c r="B16207" s="7"/>
      <c r="C16207" s="7"/>
      <c r="D16207" s="7"/>
      <c r="E16207" s="7"/>
      <c r="F16207" s="7"/>
      <c r="G16207" s="7"/>
      <c r="H16207" s="7"/>
      <c r="I16207" s="7"/>
      <c r="J16207" s="7"/>
      <c r="K16207" s="7"/>
      <c r="L16207" s="7"/>
      <c r="M16207" s="7"/>
      <c r="N16207" s="7"/>
      <c r="O16207" s="7"/>
      <c r="P16207" s="7"/>
      <c r="Q16207" s="7"/>
      <c r="R16207" s="7"/>
      <c r="S16207" s="7"/>
      <c r="T16207" s="7"/>
      <c r="U16207" s="7"/>
      <c r="V16207" s="7"/>
      <c r="W16207" s="7"/>
      <c r="X16207" s="7"/>
      <c r="Y16207" s="7"/>
      <c r="Z16207" s="7"/>
      <c r="AA16207" s="7"/>
      <c r="AB16207" s="7"/>
      <c r="AC16207" s="7"/>
      <c r="AD16207" s="7"/>
      <c r="AE16207" s="7"/>
      <c r="AF16207" s="7"/>
    </row>
    <row r="16208" spans="1:32">
      <c r="A16208" s="7"/>
      <c r="B16208" s="7"/>
      <c r="C16208" s="7"/>
      <c r="D16208" s="7"/>
      <c r="E16208" s="7"/>
      <c r="F16208" s="7"/>
      <c r="G16208" s="7"/>
      <c r="H16208" s="7"/>
      <c r="I16208" s="7"/>
      <c r="J16208" s="7"/>
      <c r="K16208" s="7"/>
      <c r="L16208" s="7"/>
      <c r="M16208" s="7"/>
      <c r="N16208" s="7"/>
      <c r="O16208" s="7"/>
      <c r="P16208" s="7"/>
      <c r="Q16208" s="7"/>
      <c r="R16208" s="7"/>
      <c r="S16208" s="7"/>
      <c r="T16208" s="7"/>
      <c r="U16208" s="7"/>
      <c r="V16208" s="7"/>
      <c r="W16208" s="7"/>
      <c r="X16208" s="7"/>
      <c r="Y16208" s="7"/>
      <c r="Z16208" s="7"/>
      <c r="AA16208" s="7"/>
      <c r="AB16208" s="7"/>
      <c r="AC16208" s="7"/>
      <c r="AD16208" s="7"/>
      <c r="AE16208" s="7"/>
      <c r="AF16208" s="7"/>
    </row>
    <row r="16209" spans="1:32">
      <c r="A16209" s="7"/>
      <c r="B16209" s="7"/>
      <c r="C16209" s="7"/>
      <c r="D16209" s="7"/>
      <c r="E16209" s="7"/>
      <c r="F16209" s="7"/>
      <c r="G16209" s="7"/>
      <c r="H16209" s="7"/>
      <c r="I16209" s="7"/>
      <c r="J16209" s="7"/>
      <c r="K16209" s="7"/>
      <c r="L16209" s="7"/>
      <c r="M16209" s="7"/>
      <c r="N16209" s="7"/>
      <c r="O16209" s="7"/>
      <c r="P16209" s="7"/>
      <c r="Q16209" s="7"/>
      <c r="R16209" s="7"/>
      <c r="S16209" s="7"/>
      <c r="T16209" s="7"/>
      <c r="U16209" s="7"/>
      <c r="V16209" s="7"/>
      <c r="W16209" s="7"/>
      <c r="X16209" s="7"/>
      <c r="Y16209" s="7"/>
      <c r="Z16209" s="7"/>
      <c r="AA16209" s="7"/>
      <c r="AB16209" s="7"/>
      <c r="AC16209" s="7"/>
      <c r="AD16209" s="7"/>
      <c r="AE16209" s="7"/>
      <c r="AF16209" s="7"/>
    </row>
    <row r="16210" spans="1:32">
      <c r="A16210" s="7"/>
      <c r="B16210" s="7"/>
      <c r="C16210" s="7"/>
      <c r="D16210" s="7"/>
      <c r="E16210" s="7"/>
      <c r="F16210" s="7"/>
      <c r="G16210" s="7"/>
      <c r="H16210" s="7"/>
      <c r="I16210" s="7"/>
      <c r="J16210" s="7"/>
      <c r="K16210" s="7"/>
      <c r="L16210" s="7"/>
      <c r="M16210" s="7"/>
      <c r="N16210" s="7"/>
      <c r="O16210" s="7"/>
      <c r="P16210" s="7"/>
      <c r="Q16210" s="7"/>
      <c r="R16210" s="7"/>
      <c r="S16210" s="7"/>
      <c r="T16210" s="7"/>
      <c r="U16210" s="7"/>
      <c r="V16210" s="7"/>
      <c r="W16210" s="7"/>
      <c r="X16210" s="7"/>
      <c r="Y16210" s="7"/>
      <c r="Z16210" s="7"/>
      <c r="AA16210" s="7"/>
      <c r="AB16210" s="7"/>
      <c r="AC16210" s="7"/>
      <c r="AD16210" s="7"/>
      <c r="AE16210" s="7"/>
      <c r="AF16210" s="7"/>
    </row>
    <row r="16211" spans="1:32">
      <c r="A16211" s="7"/>
      <c r="B16211" s="7"/>
      <c r="C16211" s="7"/>
      <c r="D16211" s="7"/>
      <c r="E16211" s="7"/>
      <c r="F16211" s="7"/>
      <c r="G16211" s="7"/>
      <c r="H16211" s="7"/>
      <c r="I16211" s="7"/>
      <c r="J16211" s="7"/>
      <c r="K16211" s="7"/>
      <c r="L16211" s="7"/>
      <c r="M16211" s="7"/>
      <c r="N16211" s="7"/>
      <c r="O16211" s="7"/>
      <c r="P16211" s="7"/>
      <c r="Q16211" s="7"/>
      <c r="R16211" s="7"/>
      <c r="S16211" s="7"/>
      <c r="T16211" s="7"/>
      <c r="U16211" s="7"/>
      <c r="V16211" s="7"/>
      <c r="W16211" s="7"/>
      <c r="X16211" s="7"/>
      <c r="Y16211" s="7"/>
      <c r="Z16211" s="7"/>
      <c r="AA16211" s="7"/>
      <c r="AB16211" s="7"/>
      <c r="AC16211" s="7"/>
      <c r="AD16211" s="7"/>
      <c r="AE16211" s="7"/>
      <c r="AF16211" s="7"/>
    </row>
    <row r="16212" spans="1:32">
      <c r="A16212" s="7"/>
      <c r="B16212" s="7"/>
      <c r="C16212" s="7"/>
      <c r="D16212" s="7"/>
      <c r="E16212" s="7"/>
      <c r="F16212" s="7"/>
      <c r="G16212" s="7"/>
      <c r="H16212" s="7"/>
      <c r="I16212" s="7"/>
      <c r="J16212" s="7"/>
      <c r="K16212" s="7"/>
      <c r="L16212" s="7"/>
      <c r="M16212" s="7"/>
      <c r="N16212" s="7"/>
      <c r="O16212" s="7"/>
      <c r="P16212" s="7"/>
      <c r="Q16212" s="7"/>
      <c r="R16212" s="7"/>
      <c r="S16212" s="7"/>
      <c r="T16212" s="7"/>
      <c r="U16212" s="7"/>
      <c r="V16212" s="7"/>
      <c r="W16212" s="7"/>
      <c r="X16212" s="7"/>
      <c r="Y16212" s="7"/>
      <c r="Z16212" s="7"/>
      <c r="AA16212" s="7"/>
      <c r="AB16212" s="7"/>
      <c r="AC16212" s="7"/>
      <c r="AD16212" s="7"/>
      <c r="AE16212" s="7"/>
      <c r="AF16212" s="7"/>
    </row>
    <row r="16213" spans="1:32">
      <c r="A16213" s="7"/>
      <c r="B16213" s="7"/>
      <c r="C16213" s="7"/>
      <c r="D16213" s="7"/>
      <c r="E16213" s="7"/>
      <c r="F16213" s="7"/>
      <c r="G16213" s="7"/>
      <c r="H16213" s="7"/>
      <c r="I16213" s="7"/>
      <c r="J16213" s="7"/>
      <c r="K16213" s="7"/>
      <c r="L16213" s="7"/>
      <c r="M16213" s="7"/>
      <c r="N16213" s="7"/>
      <c r="O16213" s="7"/>
      <c r="P16213" s="7"/>
      <c r="Q16213" s="7"/>
      <c r="R16213" s="7"/>
      <c r="S16213" s="7"/>
      <c r="T16213" s="7"/>
      <c r="U16213" s="7"/>
      <c r="V16213" s="7"/>
      <c r="W16213" s="7"/>
      <c r="X16213" s="7"/>
      <c r="Y16213" s="7"/>
      <c r="Z16213" s="7"/>
      <c r="AA16213" s="7"/>
      <c r="AB16213" s="7"/>
      <c r="AC16213" s="7"/>
      <c r="AD16213" s="7"/>
      <c r="AE16213" s="7"/>
      <c r="AF16213" s="7"/>
    </row>
    <row r="16214" spans="1:32">
      <c r="A16214" s="7"/>
      <c r="B16214" s="7"/>
      <c r="C16214" s="7"/>
      <c r="D16214" s="7"/>
      <c r="E16214" s="7"/>
      <c r="F16214" s="7"/>
      <c r="G16214" s="7"/>
      <c r="H16214" s="7"/>
      <c r="I16214" s="7"/>
      <c r="J16214" s="7"/>
      <c r="K16214" s="7"/>
      <c r="L16214" s="7"/>
      <c r="M16214" s="7"/>
      <c r="N16214" s="7"/>
      <c r="O16214" s="7"/>
      <c r="P16214" s="7"/>
      <c r="Q16214" s="7"/>
      <c r="R16214" s="7"/>
      <c r="S16214" s="7"/>
      <c r="T16214" s="7"/>
      <c r="U16214" s="7"/>
      <c r="V16214" s="7"/>
      <c r="W16214" s="7"/>
      <c r="X16214" s="7"/>
      <c r="Y16214" s="7"/>
      <c r="Z16214" s="7"/>
      <c r="AA16214" s="7"/>
      <c r="AB16214" s="7"/>
      <c r="AC16214" s="7"/>
      <c r="AD16214" s="7"/>
      <c r="AE16214" s="7"/>
      <c r="AF16214" s="7"/>
    </row>
    <row r="16215" spans="1:32">
      <c r="A16215" s="7"/>
      <c r="B16215" s="7"/>
      <c r="C16215" s="7"/>
      <c r="D16215" s="7"/>
      <c r="E16215" s="7"/>
      <c r="F16215" s="7"/>
      <c r="G16215" s="7"/>
      <c r="H16215" s="7"/>
      <c r="I16215" s="7"/>
      <c r="J16215" s="7"/>
      <c r="K16215" s="7"/>
      <c r="L16215" s="7"/>
      <c r="M16215" s="7"/>
      <c r="N16215" s="7"/>
      <c r="O16215" s="7"/>
      <c r="P16215" s="7"/>
      <c r="Q16215" s="7"/>
      <c r="R16215" s="7"/>
      <c r="S16215" s="7"/>
      <c r="T16215" s="7"/>
      <c r="U16215" s="7"/>
      <c r="V16215" s="7"/>
      <c r="W16215" s="7"/>
      <c r="X16215" s="7"/>
      <c r="Y16215" s="7"/>
      <c r="Z16215" s="7"/>
      <c r="AA16215" s="7"/>
      <c r="AB16215" s="7"/>
      <c r="AC16215" s="7"/>
      <c r="AD16215" s="7"/>
      <c r="AE16215" s="7"/>
      <c r="AF16215" s="7"/>
    </row>
    <row r="16216" spans="1:32">
      <c r="A16216" s="7"/>
      <c r="B16216" s="7"/>
      <c r="C16216" s="7"/>
      <c r="D16216" s="7"/>
      <c r="E16216" s="7"/>
      <c r="F16216" s="7"/>
      <c r="G16216" s="7"/>
      <c r="H16216" s="7"/>
      <c r="I16216" s="7"/>
      <c r="J16216" s="7"/>
      <c r="K16216" s="7"/>
      <c r="L16216" s="7"/>
      <c r="M16216" s="7"/>
      <c r="N16216" s="7"/>
      <c r="O16216" s="7"/>
      <c r="P16216" s="7"/>
      <c r="Q16216" s="7"/>
      <c r="R16216" s="7"/>
      <c r="S16216" s="7"/>
      <c r="T16216" s="7"/>
      <c r="U16216" s="7"/>
      <c r="V16216" s="7"/>
      <c r="W16216" s="7"/>
      <c r="X16216" s="7"/>
      <c r="Y16216" s="7"/>
      <c r="Z16216" s="7"/>
      <c r="AA16216" s="7"/>
      <c r="AB16216" s="7"/>
      <c r="AC16216" s="7"/>
      <c r="AD16216" s="7"/>
      <c r="AE16216" s="7"/>
      <c r="AF16216" s="7"/>
    </row>
    <row r="16217" spans="1:32">
      <c r="A16217" s="7"/>
      <c r="B16217" s="7"/>
      <c r="C16217" s="7"/>
      <c r="D16217" s="7"/>
      <c r="E16217" s="7"/>
      <c r="F16217" s="7"/>
      <c r="G16217" s="7"/>
      <c r="H16217" s="7"/>
      <c r="I16217" s="7"/>
      <c r="J16217" s="7"/>
      <c r="K16217" s="7"/>
      <c r="L16217" s="7"/>
      <c r="M16217" s="7"/>
      <c r="N16217" s="7"/>
      <c r="O16217" s="7"/>
      <c r="P16217" s="7"/>
      <c r="Q16217" s="7"/>
      <c r="R16217" s="7"/>
      <c r="S16217" s="7"/>
      <c r="T16217" s="7"/>
      <c r="U16217" s="7"/>
      <c r="V16217" s="7"/>
      <c r="W16217" s="7"/>
      <c r="X16217" s="7"/>
      <c r="Y16217" s="7"/>
      <c r="Z16217" s="7"/>
      <c r="AA16217" s="7"/>
      <c r="AB16217" s="7"/>
      <c r="AC16217" s="7"/>
      <c r="AD16217" s="7"/>
      <c r="AE16217" s="7"/>
      <c r="AF16217" s="7"/>
    </row>
    <row r="16218" spans="1:32">
      <c r="A16218" s="7"/>
      <c r="B16218" s="7"/>
      <c r="C16218" s="7"/>
      <c r="D16218" s="7"/>
      <c r="E16218" s="7"/>
      <c r="F16218" s="7"/>
      <c r="G16218" s="7"/>
      <c r="H16218" s="7"/>
      <c r="I16218" s="7"/>
      <c r="J16218" s="7"/>
      <c r="K16218" s="7"/>
      <c r="L16218" s="7"/>
      <c r="M16218" s="7"/>
      <c r="N16218" s="7"/>
      <c r="O16218" s="7"/>
      <c r="P16218" s="7"/>
      <c r="Q16218" s="7"/>
      <c r="R16218" s="7"/>
      <c r="S16218" s="7"/>
      <c r="T16218" s="7"/>
      <c r="U16218" s="7"/>
      <c r="V16218" s="7"/>
      <c r="W16218" s="7"/>
      <c r="X16218" s="7"/>
      <c r="Y16218" s="7"/>
      <c r="Z16218" s="7"/>
      <c r="AA16218" s="7"/>
      <c r="AB16218" s="7"/>
      <c r="AC16218" s="7"/>
      <c r="AD16218" s="7"/>
      <c r="AE16218" s="7"/>
      <c r="AF16218" s="7"/>
    </row>
    <row r="16219" spans="1:32">
      <c r="A16219" s="7"/>
      <c r="B16219" s="7"/>
      <c r="C16219" s="7"/>
      <c r="D16219" s="7"/>
      <c r="E16219" s="7"/>
      <c r="F16219" s="7"/>
      <c r="G16219" s="7"/>
      <c r="H16219" s="7"/>
      <c r="I16219" s="7"/>
      <c r="J16219" s="7"/>
      <c r="K16219" s="7"/>
      <c r="L16219" s="7"/>
      <c r="M16219" s="7"/>
      <c r="N16219" s="7"/>
      <c r="O16219" s="7"/>
      <c r="P16219" s="7"/>
      <c r="Q16219" s="7"/>
      <c r="R16219" s="7"/>
      <c r="S16219" s="7"/>
      <c r="T16219" s="7"/>
      <c r="U16219" s="7"/>
      <c r="V16219" s="7"/>
      <c r="W16219" s="7"/>
      <c r="X16219" s="7"/>
      <c r="Y16219" s="7"/>
      <c r="Z16219" s="7"/>
      <c r="AA16219" s="7"/>
      <c r="AB16219" s="7"/>
      <c r="AC16219" s="7"/>
      <c r="AD16219" s="7"/>
      <c r="AE16219" s="7"/>
      <c r="AF16219" s="7"/>
    </row>
    <row r="16220" spans="1:32">
      <c r="A16220" s="7"/>
      <c r="B16220" s="7"/>
      <c r="C16220" s="7"/>
      <c r="D16220" s="7"/>
      <c r="E16220" s="7"/>
      <c r="F16220" s="7"/>
      <c r="G16220" s="7"/>
      <c r="H16220" s="7"/>
      <c r="I16220" s="7"/>
      <c r="J16220" s="7"/>
      <c r="K16220" s="7"/>
      <c r="L16220" s="7"/>
      <c r="M16220" s="7"/>
      <c r="N16220" s="7"/>
      <c r="O16220" s="7"/>
      <c r="P16220" s="7"/>
      <c r="Q16220" s="7"/>
      <c r="R16220" s="7"/>
      <c r="S16220" s="7"/>
      <c r="T16220" s="7"/>
      <c r="U16220" s="7"/>
      <c r="V16220" s="7"/>
      <c r="W16220" s="7"/>
      <c r="X16220" s="7"/>
      <c r="Y16220" s="7"/>
      <c r="Z16220" s="7"/>
      <c r="AA16220" s="7"/>
      <c r="AB16220" s="7"/>
      <c r="AC16220" s="7"/>
      <c r="AD16220" s="7"/>
      <c r="AE16220" s="7"/>
      <c r="AF16220" s="7"/>
    </row>
    <row r="16221" spans="1:32">
      <c r="A16221" s="7"/>
      <c r="B16221" s="7"/>
      <c r="C16221" s="7"/>
      <c r="D16221" s="7"/>
      <c r="E16221" s="7"/>
      <c r="F16221" s="7"/>
      <c r="G16221" s="7"/>
      <c r="H16221" s="7"/>
      <c r="I16221" s="7"/>
      <c r="J16221" s="7"/>
      <c r="K16221" s="7"/>
      <c r="L16221" s="7"/>
      <c r="M16221" s="7"/>
      <c r="N16221" s="7"/>
      <c r="O16221" s="7"/>
      <c r="P16221" s="7"/>
      <c r="Q16221" s="7"/>
      <c r="R16221" s="7"/>
      <c r="S16221" s="7"/>
      <c r="T16221" s="7"/>
      <c r="U16221" s="7"/>
      <c r="V16221" s="7"/>
      <c r="W16221" s="7"/>
      <c r="X16221" s="7"/>
      <c r="Y16221" s="7"/>
      <c r="Z16221" s="7"/>
      <c r="AA16221" s="7"/>
      <c r="AB16221" s="7"/>
      <c r="AC16221" s="7"/>
      <c r="AD16221" s="7"/>
      <c r="AE16221" s="7"/>
      <c r="AF16221" s="7"/>
    </row>
    <row r="16222" spans="1:32">
      <c r="A16222" s="7"/>
      <c r="B16222" s="7"/>
      <c r="C16222" s="7"/>
      <c r="D16222" s="7"/>
      <c r="E16222" s="7"/>
      <c r="F16222" s="7"/>
      <c r="G16222" s="7"/>
      <c r="H16222" s="7"/>
      <c r="I16222" s="7"/>
      <c r="J16222" s="7"/>
      <c r="K16222" s="7"/>
      <c r="L16222" s="7"/>
      <c r="M16222" s="7"/>
      <c r="N16222" s="7"/>
      <c r="O16222" s="7"/>
      <c r="P16222" s="7"/>
      <c r="Q16222" s="7"/>
      <c r="R16222" s="7"/>
      <c r="S16222" s="7"/>
      <c r="T16222" s="7"/>
      <c r="U16222" s="7"/>
      <c r="V16222" s="7"/>
      <c r="W16222" s="7"/>
      <c r="X16222" s="7"/>
      <c r="Y16222" s="7"/>
      <c r="Z16222" s="7"/>
      <c r="AA16222" s="7"/>
      <c r="AB16222" s="7"/>
      <c r="AC16222" s="7"/>
      <c r="AD16222" s="7"/>
      <c r="AE16222" s="7"/>
      <c r="AF16222" s="7"/>
    </row>
    <row r="16223" spans="1:32">
      <c r="A16223" s="7"/>
      <c r="B16223" s="7"/>
      <c r="C16223" s="7"/>
      <c r="D16223" s="7"/>
      <c r="E16223" s="7"/>
      <c r="F16223" s="7"/>
      <c r="G16223" s="7"/>
      <c r="H16223" s="7"/>
      <c r="I16223" s="7"/>
      <c r="J16223" s="7"/>
      <c r="K16223" s="7"/>
      <c r="L16223" s="7"/>
      <c r="M16223" s="7"/>
      <c r="N16223" s="7"/>
      <c r="O16223" s="7"/>
      <c r="P16223" s="7"/>
      <c r="Q16223" s="7"/>
      <c r="R16223" s="7"/>
      <c r="S16223" s="7"/>
      <c r="T16223" s="7"/>
      <c r="U16223" s="7"/>
      <c r="V16223" s="7"/>
      <c r="W16223" s="7"/>
      <c r="X16223" s="7"/>
      <c r="Y16223" s="7"/>
      <c r="Z16223" s="7"/>
      <c r="AA16223" s="7"/>
      <c r="AB16223" s="7"/>
      <c r="AC16223" s="7"/>
      <c r="AD16223" s="7"/>
      <c r="AE16223" s="7"/>
      <c r="AF16223" s="7"/>
    </row>
    <row r="16224" spans="1:32">
      <c r="A16224" s="7"/>
      <c r="B16224" s="7"/>
      <c r="C16224" s="7"/>
      <c r="D16224" s="7"/>
      <c r="E16224" s="7"/>
      <c r="F16224" s="7"/>
      <c r="G16224" s="7"/>
      <c r="H16224" s="7"/>
      <c r="I16224" s="7"/>
      <c r="J16224" s="7"/>
      <c r="K16224" s="7"/>
      <c r="L16224" s="7"/>
      <c r="M16224" s="7"/>
      <c r="N16224" s="7"/>
      <c r="O16224" s="7"/>
      <c r="P16224" s="7"/>
      <c r="Q16224" s="7"/>
      <c r="R16224" s="7"/>
      <c r="S16224" s="7"/>
      <c r="T16224" s="7"/>
      <c r="U16224" s="7"/>
      <c r="V16224" s="7"/>
      <c r="W16224" s="7"/>
      <c r="X16224" s="7"/>
      <c r="Y16224" s="7"/>
      <c r="Z16224" s="7"/>
      <c r="AA16224" s="7"/>
      <c r="AB16224" s="7"/>
      <c r="AC16224" s="7"/>
      <c r="AD16224" s="7"/>
      <c r="AE16224" s="7"/>
      <c r="AF16224" s="7"/>
    </row>
    <row r="16225" spans="1:32">
      <c r="A16225" s="7"/>
      <c r="B16225" s="7"/>
      <c r="C16225" s="7"/>
      <c r="D16225" s="7"/>
      <c r="E16225" s="7"/>
      <c r="F16225" s="7"/>
      <c r="G16225" s="7"/>
      <c r="H16225" s="7"/>
      <c r="I16225" s="7"/>
      <c r="J16225" s="7"/>
      <c r="K16225" s="7"/>
      <c r="L16225" s="7"/>
      <c r="M16225" s="7"/>
      <c r="N16225" s="7"/>
      <c r="O16225" s="7"/>
      <c r="P16225" s="7"/>
      <c r="Q16225" s="7"/>
      <c r="R16225" s="7"/>
      <c r="S16225" s="7"/>
      <c r="T16225" s="7"/>
      <c r="U16225" s="7"/>
      <c r="V16225" s="7"/>
      <c r="W16225" s="7"/>
      <c r="X16225" s="7"/>
      <c r="Y16225" s="7"/>
      <c r="Z16225" s="7"/>
      <c r="AA16225" s="7"/>
      <c r="AB16225" s="7"/>
      <c r="AC16225" s="7"/>
      <c r="AD16225" s="7"/>
      <c r="AE16225" s="7"/>
      <c r="AF16225" s="7"/>
    </row>
    <row r="16226" spans="1:32">
      <c r="A16226" s="7"/>
      <c r="B16226" s="7"/>
      <c r="C16226" s="7"/>
      <c r="D16226" s="7"/>
      <c r="E16226" s="7"/>
      <c r="F16226" s="7"/>
      <c r="G16226" s="7"/>
      <c r="H16226" s="7"/>
      <c r="I16226" s="7"/>
      <c r="J16226" s="7"/>
      <c r="K16226" s="7"/>
      <c r="L16226" s="7"/>
      <c r="M16226" s="7"/>
      <c r="N16226" s="7"/>
      <c r="O16226" s="7"/>
      <c r="P16226" s="7"/>
      <c r="Q16226" s="7"/>
      <c r="R16226" s="7"/>
      <c r="S16226" s="7"/>
      <c r="T16226" s="7"/>
      <c r="U16226" s="7"/>
      <c r="V16226" s="7"/>
      <c r="W16226" s="7"/>
      <c r="X16226" s="7"/>
      <c r="Y16226" s="7"/>
      <c r="Z16226" s="7"/>
      <c r="AA16226" s="7"/>
      <c r="AB16226" s="7"/>
      <c r="AC16226" s="7"/>
      <c r="AD16226" s="7"/>
      <c r="AE16226" s="7"/>
      <c r="AF16226" s="7"/>
    </row>
    <row r="16227" spans="1:32">
      <c r="A16227" s="7"/>
      <c r="B16227" s="7"/>
      <c r="C16227" s="7"/>
      <c r="D16227" s="7"/>
      <c r="E16227" s="7"/>
      <c r="F16227" s="7"/>
      <c r="G16227" s="7"/>
      <c r="H16227" s="7"/>
      <c r="I16227" s="7"/>
      <c r="J16227" s="7"/>
      <c r="K16227" s="7"/>
      <c r="L16227" s="7"/>
      <c r="M16227" s="7"/>
      <c r="N16227" s="7"/>
      <c r="O16227" s="7"/>
      <c r="P16227" s="7"/>
      <c r="Q16227" s="7"/>
      <c r="R16227" s="7"/>
      <c r="S16227" s="7"/>
      <c r="T16227" s="7"/>
      <c r="U16227" s="7"/>
      <c r="V16227" s="7"/>
      <c r="W16227" s="7"/>
      <c r="X16227" s="7"/>
      <c r="Y16227" s="7"/>
      <c r="Z16227" s="7"/>
      <c r="AA16227" s="7"/>
      <c r="AB16227" s="7"/>
      <c r="AC16227" s="7"/>
      <c r="AD16227" s="7"/>
      <c r="AE16227" s="7"/>
      <c r="AF16227" s="7"/>
    </row>
    <row r="16228" spans="1:32">
      <c r="A16228" s="7"/>
      <c r="B16228" s="7"/>
      <c r="C16228" s="7"/>
      <c r="D16228" s="7"/>
      <c r="E16228" s="7"/>
      <c r="F16228" s="7"/>
      <c r="G16228" s="7"/>
      <c r="H16228" s="7"/>
      <c r="I16228" s="7"/>
      <c r="J16228" s="7"/>
      <c r="K16228" s="7"/>
      <c r="L16228" s="7"/>
      <c r="M16228" s="7"/>
      <c r="N16228" s="7"/>
      <c r="O16228" s="7"/>
      <c r="P16228" s="7"/>
      <c r="Q16228" s="7"/>
      <c r="R16228" s="7"/>
      <c r="S16228" s="7"/>
      <c r="T16228" s="7"/>
      <c r="U16228" s="7"/>
      <c r="V16228" s="7"/>
      <c r="W16228" s="7"/>
      <c r="X16228" s="7"/>
      <c r="Y16228" s="7"/>
      <c r="Z16228" s="7"/>
      <c r="AA16228" s="7"/>
      <c r="AB16228" s="7"/>
      <c r="AC16228" s="7"/>
      <c r="AD16228" s="7"/>
      <c r="AE16228" s="7"/>
      <c r="AF16228" s="7"/>
    </row>
    <row r="16229" spans="1:32">
      <c r="A16229" s="7"/>
      <c r="B16229" s="7"/>
      <c r="C16229" s="7"/>
      <c r="D16229" s="7"/>
      <c r="E16229" s="7"/>
      <c r="F16229" s="7"/>
      <c r="G16229" s="7"/>
      <c r="H16229" s="7"/>
      <c r="I16229" s="7"/>
      <c r="J16229" s="7"/>
      <c r="K16229" s="7"/>
      <c r="L16229" s="7"/>
      <c r="M16229" s="7"/>
      <c r="N16229" s="7"/>
      <c r="O16229" s="7"/>
      <c r="P16229" s="7"/>
      <c r="Q16229" s="7"/>
      <c r="R16229" s="7"/>
      <c r="S16229" s="7"/>
      <c r="T16229" s="7"/>
      <c r="U16229" s="7"/>
      <c r="V16229" s="7"/>
      <c r="W16229" s="7"/>
      <c r="X16229" s="7"/>
      <c r="Y16229" s="7"/>
      <c r="Z16229" s="7"/>
      <c r="AA16229" s="7"/>
      <c r="AB16229" s="7"/>
      <c r="AC16229" s="7"/>
      <c r="AD16229" s="7"/>
      <c r="AE16229" s="7"/>
      <c r="AF16229" s="7"/>
    </row>
    <row r="16230" spans="1:32">
      <c r="A16230" s="7"/>
      <c r="B16230" s="7"/>
      <c r="C16230" s="7"/>
      <c r="D16230" s="7"/>
      <c r="E16230" s="7"/>
      <c r="F16230" s="7"/>
      <c r="G16230" s="7"/>
      <c r="H16230" s="7"/>
      <c r="I16230" s="7"/>
      <c r="J16230" s="7"/>
      <c r="K16230" s="7"/>
      <c r="L16230" s="7"/>
      <c r="M16230" s="7"/>
      <c r="N16230" s="7"/>
      <c r="O16230" s="7"/>
      <c r="P16230" s="7"/>
      <c r="Q16230" s="7"/>
      <c r="R16230" s="7"/>
      <c r="S16230" s="7"/>
      <c r="T16230" s="7"/>
      <c r="U16230" s="7"/>
      <c r="V16230" s="7"/>
      <c r="W16230" s="7"/>
      <c r="X16230" s="7"/>
      <c r="Y16230" s="7"/>
      <c r="Z16230" s="7"/>
      <c r="AA16230" s="7"/>
      <c r="AB16230" s="7"/>
      <c r="AC16230" s="7"/>
      <c r="AD16230" s="7"/>
      <c r="AE16230" s="7"/>
      <c r="AF16230" s="7"/>
    </row>
    <row r="16231" spans="1:32">
      <c r="A16231" s="7"/>
      <c r="B16231" s="7"/>
      <c r="C16231" s="7"/>
      <c r="D16231" s="7"/>
      <c r="E16231" s="7"/>
      <c r="F16231" s="7"/>
      <c r="G16231" s="7"/>
      <c r="H16231" s="7"/>
      <c r="I16231" s="7"/>
      <c r="J16231" s="7"/>
      <c r="K16231" s="7"/>
      <c r="L16231" s="7"/>
      <c r="M16231" s="7"/>
      <c r="N16231" s="7"/>
      <c r="O16231" s="7"/>
      <c r="P16231" s="7"/>
      <c r="Q16231" s="7"/>
      <c r="R16231" s="7"/>
      <c r="S16231" s="7"/>
      <c r="T16231" s="7"/>
      <c r="U16231" s="7"/>
      <c r="V16231" s="7"/>
      <c r="W16231" s="7"/>
      <c r="X16231" s="7"/>
      <c r="Y16231" s="7"/>
      <c r="Z16231" s="7"/>
      <c r="AA16231" s="7"/>
      <c r="AB16231" s="7"/>
      <c r="AC16231" s="7"/>
      <c r="AD16231" s="7"/>
      <c r="AE16231" s="7"/>
      <c r="AF16231" s="7"/>
    </row>
    <row r="16232" spans="1:32">
      <c r="A16232" s="7"/>
      <c r="B16232" s="7"/>
      <c r="C16232" s="7"/>
      <c r="D16232" s="7"/>
      <c r="E16232" s="7"/>
      <c r="F16232" s="7"/>
      <c r="G16232" s="7"/>
      <c r="H16232" s="7"/>
      <c r="I16232" s="7"/>
      <c r="J16232" s="7"/>
      <c r="K16232" s="7"/>
      <c r="L16232" s="7"/>
      <c r="M16232" s="7"/>
      <c r="N16232" s="7"/>
      <c r="O16232" s="7"/>
      <c r="P16232" s="7"/>
      <c r="Q16232" s="7"/>
      <c r="R16232" s="7"/>
      <c r="S16232" s="7"/>
      <c r="T16232" s="7"/>
      <c r="U16232" s="7"/>
      <c r="V16232" s="7"/>
      <c r="W16232" s="7"/>
      <c r="X16232" s="7"/>
      <c r="Y16232" s="7"/>
      <c r="Z16232" s="7"/>
      <c r="AA16232" s="7"/>
      <c r="AB16232" s="7"/>
      <c r="AC16232" s="7"/>
      <c r="AD16232" s="7"/>
      <c r="AE16232" s="7"/>
      <c r="AF16232" s="7"/>
    </row>
    <row r="16233" spans="1:32">
      <c r="A16233" s="7"/>
      <c r="B16233" s="7"/>
      <c r="C16233" s="7"/>
      <c r="D16233" s="7"/>
      <c r="E16233" s="7"/>
      <c r="F16233" s="7"/>
      <c r="G16233" s="7"/>
      <c r="H16233" s="7"/>
      <c r="I16233" s="7"/>
      <c r="J16233" s="7"/>
      <c r="K16233" s="7"/>
      <c r="L16233" s="7"/>
      <c r="M16233" s="7"/>
      <c r="N16233" s="7"/>
      <c r="O16233" s="7"/>
      <c r="P16233" s="7"/>
      <c r="Q16233" s="7"/>
      <c r="R16233" s="7"/>
      <c r="S16233" s="7"/>
      <c r="T16233" s="7"/>
      <c r="U16233" s="7"/>
      <c r="V16233" s="7"/>
      <c r="W16233" s="7"/>
      <c r="X16233" s="7"/>
      <c r="Y16233" s="7"/>
      <c r="Z16233" s="7"/>
      <c r="AA16233" s="7"/>
      <c r="AB16233" s="7"/>
      <c r="AC16233" s="7"/>
      <c r="AD16233" s="7"/>
      <c r="AE16233" s="7"/>
      <c r="AF16233" s="7"/>
    </row>
    <row r="16234" spans="1:32">
      <c r="A16234" s="7"/>
      <c r="B16234" s="7"/>
      <c r="C16234" s="7"/>
      <c r="D16234" s="7"/>
      <c r="E16234" s="7"/>
      <c r="F16234" s="7"/>
      <c r="G16234" s="7"/>
      <c r="H16234" s="7"/>
      <c r="I16234" s="7"/>
      <c r="J16234" s="7"/>
      <c r="K16234" s="7"/>
      <c r="L16234" s="7"/>
      <c r="M16234" s="7"/>
      <c r="N16234" s="7"/>
      <c r="O16234" s="7"/>
      <c r="P16234" s="7"/>
      <c r="Q16234" s="7"/>
      <c r="R16234" s="7"/>
      <c r="S16234" s="7"/>
      <c r="T16234" s="7"/>
      <c r="U16234" s="7"/>
      <c r="V16234" s="7"/>
      <c r="W16234" s="7"/>
      <c r="X16234" s="7"/>
      <c r="Y16234" s="7"/>
      <c r="Z16234" s="7"/>
      <c r="AA16234" s="7"/>
      <c r="AB16234" s="7"/>
      <c r="AC16234" s="7"/>
      <c r="AD16234" s="7"/>
      <c r="AE16234" s="7"/>
      <c r="AF16234" s="7"/>
    </row>
    <row r="16235" spans="1:32">
      <c r="A16235" s="7"/>
      <c r="B16235" s="7"/>
      <c r="C16235" s="7"/>
      <c r="D16235" s="7"/>
      <c r="E16235" s="7"/>
      <c r="F16235" s="7"/>
      <c r="G16235" s="7"/>
      <c r="H16235" s="7"/>
      <c r="I16235" s="7"/>
      <c r="J16235" s="7"/>
      <c r="K16235" s="7"/>
      <c r="L16235" s="7"/>
      <c r="M16235" s="7"/>
      <c r="N16235" s="7"/>
      <c r="O16235" s="7"/>
      <c r="P16235" s="7"/>
      <c r="Q16235" s="7"/>
      <c r="R16235" s="7"/>
      <c r="S16235" s="7"/>
      <c r="T16235" s="7"/>
      <c r="U16235" s="7"/>
      <c r="V16235" s="7"/>
      <c r="W16235" s="7"/>
      <c r="X16235" s="7"/>
      <c r="Y16235" s="7"/>
      <c r="Z16235" s="7"/>
      <c r="AA16235" s="7"/>
      <c r="AB16235" s="7"/>
      <c r="AC16235" s="7"/>
      <c r="AD16235" s="7"/>
      <c r="AE16235" s="7"/>
      <c r="AF16235" s="7"/>
    </row>
    <row r="16236" spans="1:32">
      <c r="A16236" s="7"/>
      <c r="B16236" s="7"/>
      <c r="C16236" s="7"/>
      <c r="D16236" s="7"/>
      <c r="E16236" s="7"/>
      <c r="F16236" s="7"/>
      <c r="G16236" s="7"/>
      <c r="H16236" s="7"/>
      <c r="I16236" s="7"/>
      <c r="J16236" s="7"/>
      <c r="K16236" s="7"/>
      <c r="L16236" s="7"/>
      <c r="M16236" s="7"/>
      <c r="N16236" s="7"/>
      <c r="O16236" s="7"/>
      <c r="P16236" s="7"/>
      <c r="Q16236" s="7"/>
      <c r="R16236" s="7"/>
      <c r="S16236" s="7"/>
      <c r="T16236" s="7"/>
      <c r="U16236" s="7"/>
      <c r="V16236" s="7"/>
      <c r="W16236" s="7"/>
      <c r="X16236" s="7"/>
      <c r="Y16236" s="7"/>
      <c r="Z16236" s="7"/>
      <c r="AA16236" s="7"/>
      <c r="AB16236" s="7"/>
      <c r="AC16236" s="7"/>
      <c r="AD16236" s="7"/>
      <c r="AE16236" s="7"/>
      <c r="AF16236" s="7"/>
    </row>
    <row r="16237" spans="1:32">
      <c r="A16237" s="7"/>
      <c r="B16237" s="7"/>
      <c r="C16237" s="7"/>
      <c r="D16237" s="7"/>
      <c r="E16237" s="7"/>
      <c r="F16237" s="7"/>
      <c r="G16237" s="7"/>
      <c r="H16237" s="7"/>
      <c r="I16237" s="7"/>
      <c r="J16237" s="7"/>
      <c r="K16237" s="7"/>
      <c r="L16237" s="7"/>
      <c r="M16237" s="7"/>
      <c r="N16237" s="7"/>
      <c r="O16237" s="7"/>
      <c r="P16237" s="7"/>
      <c r="Q16237" s="7"/>
      <c r="R16237" s="7"/>
      <c r="S16237" s="7"/>
      <c r="T16237" s="7"/>
      <c r="U16237" s="7"/>
      <c r="V16237" s="7"/>
      <c r="W16237" s="7"/>
      <c r="X16237" s="7"/>
      <c r="Y16237" s="7"/>
      <c r="Z16237" s="7"/>
      <c r="AA16237" s="7"/>
      <c r="AB16237" s="7"/>
      <c r="AC16237" s="7"/>
      <c r="AD16237" s="7"/>
      <c r="AE16237" s="7"/>
      <c r="AF16237" s="7"/>
    </row>
    <row r="16238" spans="1:32">
      <c r="A16238" s="7"/>
      <c r="B16238" s="7"/>
      <c r="C16238" s="7"/>
      <c r="D16238" s="7"/>
      <c r="E16238" s="7"/>
      <c r="F16238" s="7"/>
      <c r="G16238" s="7"/>
      <c r="H16238" s="7"/>
      <c r="I16238" s="7"/>
      <c r="J16238" s="7"/>
      <c r="K16238" s="7"/>
      <c r="L16238" s="7"/>
      <c r="M16238" s="7"/>
      <c r="N16238" s="7"/>
      <c r="O16238" s="7"/>
      <c r="P16238" s="7"/>
      <c r="Q16238" s="7"/>
      <c r="R16238" s="7"/>
      <c r="S16238" s="7"/>
      <c r="T16238" s="7"/>
      <c r="U16238" s="7"/>
      <c r="V16238" s="7"/>
      <c r="W16238" s="7"/>
      <c r="X16238" s="7"/>
      <c r="Y16238" s="7"/>
      <c r="Z16238" s="7"/>
      <c r="AA16238" s="7"/>
      <c r="AB16238" s="7"/>
      <c r="AC16238" s="7"/>
      <c r="AD16238" s="7"/>
      <c r="AE16238" s="7"/>
      <c r="AF16238" s="7"/>
    </row>
    <row r="16239" spans="1:32">
      <c r="A16239" s="7"/>
      <c r="B16239" s="7"/>
      <c r="C16239" s="7"/>
      <c r="D16239" s="7"/>
      <c r="E16239" s="7"/>
      <c r="F16239" s="7"/>
      <c r="G16239" s="7"/>
      <c r="H16239" s="7"/>
      <c r="I16239" s="7"/>
      <c r="J16239" s="7"/>
      <c r="K16239" s="7"/>
      <c r="L16239" s="7"/>
      <c r="M16239" s="7"/>
      <c r="N16239" s="7"/>
      <c r="O16239" s="7"/>
      <c r="P16239" s="7"/>
      <c r="Q16239" s="7"/>
      <c r="R16239" s="7"/>
      <c r="S16239" s="7"/>
      <c r="T16239" s="7"/>
      <c r="U16239" s="7"/>
      <c r="V16239" s="7"/>
      <c r="W16239" s="7"/>
      <c r="X16239" s="7"/>
      <c r="Y16239" s="7"/>
      <c r="Z16239" s="7"/>
      <c r="AA16239" s="7"/>
      <c r="AB16239" s="7"/>
      <c r="AC16239" s="7"/>
      <c r="AD16239" s="7"/>
      <c r="AE16239" s="7"/>
      <c r="AF16239" s="7"/>
    </row>
    <row r="16240" spans="1:32">
      <c r="A16240" s="7"/>
      <c r="B16240" s="7"/>
      <c r="C16240" s="7"/>
      <c r="D16240" s="7"/>
      <c r="E16240" s="7"/>
      <c r="F16240" s="7"/>
      <c r="G16240" s="7"/>
      <c r="H16240" s="7"/>
      <c r="I16240" s="7"/>
      <c r="J16240" s="7"/>
      <c r="K16240" s="7"/>
      <c r="L16240" s="7"/>
      <c r="M16240" s="7"/>
      <c r="N16240" s="7"/>
      <c r="O16240" s="7"/>
      <c r="P16240" s="7"/>
      <c r="Q16240" s="7"/>
      <c r="R16240" s="7"/>
      <c r="S16240" s="7"/>
      <c r="T16240" s="7"/>
      <c r="U16240" s="7"/>
      <c r="V16240" s="7"/>
      <c r="W16240" s="7"/>
      <c r="X16240" s="7"/>
      <c r="Y16240" s="7"/>
      <c r="Z16240" s="7"/>
      <c r="AA16240" s="7"/>
      <c r="AB16240" s="7"/>
      <c r="AC16240" s="7"/>
      <c r="AD16240" s="7"/>
      <c r="AE16240" s="7"/>
      <c r="AF16240" s="7"/>
    </row>
    <row r="16241" spans="1:32">
      <c r="A16241" s="7"/>
      <c r="B16241" s="7"/>
      <c r="C16241" s="7"/>
      <c r="D16241" s="7"/>
      <c r="E16241" s="7"/>
      <c r="F16241" s="7"/>
      <c r="G16241" s="7"/>
      <c r="H16241" s="7"/>
      <c r="I16241" s="7"/>
      <c r="J16241" s="7"/>
      <c r="K16241" s="7"/>
      <c r="L16241" s="7"/>
      <c r="M16241" s="7"/>
      <c r="N16241" s="7"/>
      <c r="O16241" s="7"/>
      <c r="P16241" s="7"/>
      <c r="Q16241" s="7"/>
      <c r="R16241" s="7"/>
      <c r="S16241" s="7"/>
      <c r="T16241" s="7"/>
      <c r="U16241" s="7"/>
      <c r="V16241" s="7"/>
      <c r="W16241" s="7"/>
      <c r="X16241" s="7"/>
      <c r="Y16241" s="7"/>
      <c r="Z16241" s="7"/>
      <c r="AA16241" s="7"/>
      <c r="AB16241" s="7"/>
      <c r="AC16241" s="7"/>
      <c r="AD16241" s="7"/>
      <c r="AE16241" s="7"/>
      <c r="AF16241" s="7"/>
    </row>
    <row r="16242" spans="1:32">
      <c r="A16242" s="7"/>
      <c r="B16242" s="7"/>
      <c r="C16242" s="7"/>
      <c r="D16242" s="7"/>
      <c r="E16242" s="7"/>
      <c r="F16242" s="7"/>
      <c r="G16242" s="7"/>
      <c r="H16242" s="7"/>
      <c r="I16242" s="7"/>
      <c r="J16242" s="7"/>
      <c r="K16242" s="7"/>
      <c r="L16242" s="7"/>
      <c r="M16242" s="7"/>
      <c r="N16242" s="7"/>
      <c r="O16242" s="7"/>
      <c r="P16242" s="7"/>
      <c r="Q16242" s="7"/>
      <c r="R16242" s="7"/>
      <c r="S16242" s="7"/>
      <c r="T16242" s="7"/>
      <c r="U16242" s="7"/>
      <c r="V16242" s="7"/>
      <c r="W16242" s="7"/>
      <c r="X16242" s="7"/>
      <c r="Y16242" s="7"/>
      <c r="Z16242" s="7"/>
      <c r="AA16242" s="7"/>
      <c r="AB16242" s="7"/>
      <c r="AC16242" s="7"/>
      <c r="AD16242" s="7"/>
      <c r="AE16242" s="7"/>
      <c r="AF16242" s="7"/>
    </row>
    <row r="16243" spans="1:32">
      <c r="A16243" s="7"/>
      <c r="B16243" s="7"/>
      <c r="C16243" s="7"/>
      <c r="D16243" s="7"/>
      <c r="E16243" s="7"/>
      <c r="F16243" s="7"/>
      <c r="G16243" s="7"/>
      <c r="H16243" s="7"/>
      <c r="I16243" s="7"/>
      <c r="J16243" s="7"/>
      <c r="K16243" s="7"/>
      <c r="L16243" s="7"/>
      <c r="M16243" s="7"/>
      <c r="N16243" s="7"/>
      <c r="O16243" s="7"/>
      <c r="P16243" s="7"/>
      <c r="Q16243" s="7"/>
      <c r="R16243" s="7"/>
      <c r="S16243" s="7"/>
      <c r="T16243" s="7"/>
      <c r="U16243" s="7"/>
      <c r="V16243" s="7"/>
      <c r="W16243" s="7"/>
      <c r="X16243" s="7"/>
      <c r="Y16243" s="7"/>
      <c r="Z16243" s="7"/>
      <c r="AA16243" s="7"/>
      <c r="AB16243" s="7"/>
      <c r="AC16243" s="7"/>
      <c r="AD16243" s="7"/>
      <c r="AE16243" s="7"/>
      <c r="AF16243" s="7"/>
    </row>
    <row r="16244" spans="1:32">
      <c r="A16244" s="7"/>
      <c r="B16244" s="7"/>
      <c r="C16244" s="7"/>
      <c r="D16244" s="7"/>
      <c r="E16244" s="7"/>
      <c r="F16244" s="7"/>
      <c r="G16244" s="7"/>
      <c r="H16244" s="7"/>
      <c r="I16244" s="7"/>
      <c r="J16244" s="7"/>
      <c r="K16244" s="7"/>
      <c r="L16244" s="7"/>
      <c r="M16244" s="7"/>
      <c r="N16244" s="7"/>
      <c r="O16244" s="7"/>
      <c r="P16244" s="7"/>
      <c r="Q16244" s="7"/>
      <c r="R16244" s="7"/>
      <c r="S16244" s="7"/>
      <c r="T16244" s="7"/>
      <c r="U16244" s="7"/>
      <c r="V16244" s="7"/>
      <c r="W16244" s="7"/>
      <c r="X16244" s="7"/>
      <c r="Y16244" s="7"/>
      <c r="Z16244" s="7"/>
      <c r="AA16244" s="7"/>
      <c r="AB16244" s="7"/>
      <c r="AC16244" s="7"/>
      <c r="AD16244" s="7"/>
      <c r="AE16244" s="7"/>
      <c r="AF16244" s="7"/>
    </row>
    <row r="16245" spans="1:32">
      <c r="A16245" s="7"/>
      <c r="B16245" s="7"/>
      <c r="C16245" s="7"/>
      <c r="D16245" s="7"/>
      <c r="E16245" s="7"/>
      <c r="F16245" s="7"/>
      <c r="G16245" s="7"/>
      <c r="H16245" s="7"/>
      <c r="I16245" s="7"/>
      <c r="J16245" s="7"/>
      <c r="K16245" s="7"/>
      <c r="L16245" s="7"/>
      <c r="M16245" s="7"/>
      <c r="N16245" s="7"/>
      <c r="O16245" s="7"/>
      <c r="P16245" s="7"/>
      <c r="Q16245" s="7"/>
      <c r="R16245" s="7"/>
      <c r="S16245" s="7"/>
      <c r="T16245" s="7"/>
      <c r="U16245" s="7"/>
      <c r="V16245" s="7"/>
      <c r="W16245" s="7"/>
      <c r="X16245" s="7"/>
      <c r="Y16245" s="7"/>
      <c r="Z16245" s="7"/>
      <c r="AA16245" s="7"/>
      <c r="AB16245" s="7"/>
      <c r="AC16245" s="7"/>
      <c r="AD16245" s="7"/>
      <c r="AE16245" s="7"/>
      <c r="AF16245" s="7"/>
    </row>
    <row r="16246" spans="1:32">
      <c r="A16246" s="7"/>
      <c r="B16246" s="7"/>
      <c r="C16246" s="7"/>
      <c r="D16246" s="7"/>
      <c r="E16246" s="7"/>
      <c r="F16246" s="7"/>
      <c r="G16246" s="7"/>
      <c r="H16246" s="7"/>
      <c r="I16246" s="7"/>
      <c r="J16246" s="7"/>
      <c r="K16246" s="7"/>
      <c r="L16246" s="7"/>
      <c r="M16246" s="7"/>
      <c r="N16246" s="7"/>
      <c r="O16246" s="7"/>
      <c r="P16246" s="7"/>
      <c r="Q16246" s="7"/>
      <c r="R16246" s="7"/>
      <c r="S16246" s="7"/>
      <c r="T16246" s="7"/>
      <c r="U16246" s="7"/>
      <c r="V16246" s="7"/>
      <c r="W16246" s="7"/>
      <c r="X16246" s="7"/>
      <c r="Y16246" s="7"/>
      <c r="Z16246" s="7"/>
      <c r="AA16246" s="7"/>
      <c r="AB16246" s="7"/>
      <c r="AC16246" s="7"/>
      <c r="AD16246" s="7"/>
      <c r="AE16246" s="7"/>
      <c r="AF16246" s="7"/>
    </row>
    <row r="16247" spans="1:32">
      <c r="A16247" s="7"/>
      <c r="B16247" s="7"/>
      <c r="C16247" s="7"/>
      <c r="D16247" s="7"/>
      <c r="E16247" s="7"/>
      <c r="F16247" s="7"/>
      <c r="G16247" s="7"/>
      <c r="H16247" s="7"/>
      <c r="I16247" s="7"/>
      <c r="J16247" s="7"/>
      <c r="K16247" s="7"/>
      <c r="L16247" s="7"/>
      <c r="M16247" s="7"/>
      <c r="N16247" s="7"/>
      <c r="O16247" s="7"/>
      <c r="P16247" s="7"/>
      <c r="Q16247" s="7"/>
      <c r="R16247" s="7"/>
      <c r="S16247" s="7"/>
      <c r="T16247" s="7"/>
      <c r="U16247" s="7"/>
      <c r="V16247" s="7"/>
      <c r="W16247" s="7"/>
      <c r="X16247" s="7"/>
      <c r="Y16247" s="7"/>
      <c r="Z16247" s="7"/>
      <c r="AA16247" s="7"/>
      <c r="AB16247" s="7"/>
      <c r="AC16247" s="7"/>
      <c r="AD16247" s="7"/>
      <c r="AE16247" s="7"/>
      <c r="AF16247" s="7"/>
    </row>
    <row r="16248" spans="1:32">
      <c r="A16248" s="7"/>
      <c r="B16248" s="7"/>
      <c r="C16248" s="7"/>
      <c r="D16248" s="7"/>
      <c r="E16248" s="7"/>
      <c r="F16248" s="7"/>
      <c r="G16248" s="7"/>
      <c r="H16248" s="7"/>
      <c r="I16248" s="7"/>
      <c r="J16248" s="7"/>
      <c r="K16248" s="7"/>
      <c r="L16248" s="7"/>
      <c r="M16248" s="7"/>
      <c r="N16248" s="7"/>
      <c r="O16248" s="7"/>
      <c r="P16248" s="7"/>
      <c r="Q16248" s="7"/>
      <c r="R16248" s="7"/>
      <c r="S16248" s="7"/>
      <c r="T16248" s="7"/>
      <c r="U16248" s="7"/>
      <c r="V16248" s="7"/>
      <c r="W16248" s="7"/>
      <c r="X16248" s="7"/>
      <c r="Y16248" s="7"/>
      <c r="Z16248" s="7"/>
      <c r="AA16248" s="7"/>
      <c r="AB16248" s="7"/>
      <c r="AC16248" s="7"/>
      <c r="AD16248" s="7"/>
      <c r="AE16248" s="7"/>
      <c r="AF16248" s="7"/>
    </row>
    <row r="16249" spans="1:32">
      <c r="A16249" s="7"/>
      <c r="B16249" s="7"/>
      <c r="C16249" s="7"/>
      <c r="D16249" s="7"/>
      <c r="E16249" s="7"/>
      <c r="F16249" s="7"/>
      <c r="G16249" s="7"/>
      <c r="H16249" s="7"/>
      <c r="I16249" s="7"/>
      <c r="J16249" s="7"/>
      <c r="K16249" s="7"/>
      <c r="L16249" s="7"/>
      <c r="M16249" s="7"/>
      <c r="N16249" s="7"/>
      <c r="O16249" s="7"/>
      <c r="P16249" s="7"/>
      <c r="Q16249" s="7"/>
      <c r="R16249" s="7"/>
      <c r="S16249" s="7"/>
      <c r="T16249" s="7"/>
      <c r="U16249" s="7"/>
      <c r="V16249" s="7"/>
      <c r="W16249" s="7"/>
      <c r="X16249" s="7"/>
      <c r="Y16249" s="7"/>
      <c r="Z16249" s="7"/>
      <c r="AA16249" s="7"/>
      <c r="AB16249" s="7"/>
      <c r="AC16249" s="7"/>
      <c r="AD16249" s="7"/>
      <c r="AE16249" s="7"/>
      <c r="AF16249" s="7"/>
    </row>
    <row r="16250" spans="1:32">
      <c r="A16250" s="7"/>
      <c r="B16250" s="7"/>
      <c r="C16250" s="7"/>
      <c r="D16250" s="7"/>
      <c r="E16250" s="7"/>
      <c r="F16250" s="7"/>
      <c r="G16250" s="7"/>
      <c r="H16250" s="7"/>
      <c r="I16250" s="7"/>
      <c r="J16250" s="7"/>
      <c r="K16250" s="7"/>
      <c r="L16250" s="7"/>
      <c r="M16250" s="7"/>
      <c r="N16250" s="7"/>
      <c r="O16250" s="7"/>
      <c r="P16250" s="7"/>
      <c r="Q16250" s="7"/>
      <c r="R16250" s="7"/>
      <c r="S16250" s="7"/>
      <c r="T16250" s="7"/>
      <c r="U16250" s="7"/>
      <c r="V16250" s="7"/>
      <c r="W16250" s="7"/>
      <c r="X16250" s="7"/>
      <c r="Y16250" s="7"/>
      <c r="Z16250" s="7"/>
      <c r="AA16250" s="7"/>
      <c r="AB16250" s="7"/>
      <c r="AC16250" s="7"/>
      <c r="AD16250" s="7"/>
      <c r="AE16250" s="7"/>
      <c r="AF16250" s="7"/>
    </row>
    <row r="16251" spans="1:32">
      <c r="A16251" s="7"/>
      <c r="B16251" s="7"/>
      <c r="C16251" s="7"/>
      <c r="D16251" s="7"/>
      <c r="E16251" s="7"/>
      <c r="F16251" s="7"/>
      <c r="G16251" s="7"/>
      <c r="H16251" s="7"/>
      <c r="I16251" s="7"/>
      <c r="J16251" s="7"/>
      <c r="K16251" s="7"/>
      <c r="L16251" s="7"/>
      <c r="M16251" s="7"/>
      <c r="N16251" s="7"/>
      <c r="O16251" s="7"/>
      <c r="P16251" s="7"/>
      <c r="Q16251" s="7"/>
      <c r="R16251" s="7"/>
      <c r="S16251" s="7"/>
      <c r="T16251" s="7"/>
      <c r="U16251" s="7"/>
      <c r="V16251" s="7"/>
      <c r="W16251" s="7"/>
      <c r="X16251" s="7"/>
      <c r="Y16251" s="7"/>
      <c r="Z16251" s="7"/>
      <c r="AA16251" s="7"/>
      <c r="AB16251" s="7"/>
      <c r="AC16251" s="7"/>
      <c r="AD16251" s="7"/>
      <c r="AE16251" s="7"/>
      <c r="AF16251" s="7"/>
    </row>
    <row r="16252" spans="1:32">
      <c r="A16252" s="7"/>
      <c r="B16252" s="7"/>
      <c r="C16252" s="7"/>
      <c r="D16252" s="7"/>
      <c r="E16252" s="7"/>
      <c r="F16252" s="7"/>
      <c r="G16252" s="7"/>
      <c r="H16252" s="7"/>
      <c r="I16252" s="7"/>
      <c r="J16252" s="7"/>
      <c r="K16252" s="7"/>
      <c r="L16252" s="7"/>
      <c r="M16252" s="7"/>
      <c r="N16252" s="7"/>
      <c r="O16252" s="7"/>
      <c r="P16252" s="7"/>
      <c r="Q16252" s="7"/>
      <c r="R16252" s="7"/>
      <c r="S16252" s="7"/>
      <c r="T16252" s="7"/>
      <c r="U16252" s="7"/>
      <c r="V16252" s="7"/>
      <c r="W16252" s="7"/>
      <c r="X16252" s="7"/>
      <c r="Y16252" s="7"/>
      <c r="Z16252" s="7"/>
      <c r="AA16252" s="7"/>
      <c r="AB16252" s="7"/>
      <c r="AC16252" s="7"/>
      <c r="AD16252" s="7"/>
      <c r="AE16252" s="7"/>
      <c r="AF16252" s="7"/>
    </row>
    <row r="16253" spans="1:32">
      <c r="A16253" s="7"/>
      <c r="B16253" s="7"/>
      <c r="C16253" s="7"/>
      <c r="D16253" s="7"/>
      <c r="E16253" s="7"/>
      <c r="F16253" s="7"/>
      <c r="G16253" s="7"/>
      <c r="H16253" s="7"/>
      <c r="I16253" s="7"/>
      <c r="J16253" s="7"/>
      <c r="K16253" s="7"/>
      <c r="L16253" s="7"/>
      <c r="M16253" s="7"/>
      <c r="N16253" s="7"/>
      <c r="O16253" s="7"/>
      <c r="P16253" s="7"/>
      <c r="Q16253" s="7"/>
      <c r="R16253" s="7"/>
      <c r="S16253" s="7"/>
      <c r="T16253" s="7"/>
      <c r="U16253" s="7"/>
      <c r="V16253" s="7"/>
      <c r="W16253" s="7"/>
      <c r="X16253" s="7"/>
      <c r="Y16253" s="7"/>
      <c r="Z16253" s="7"/>
      <c r="AA16253" s="7"/>
      <c r="AB16253" s="7"/>
      <c r="AC16253" s="7"/>
      <c r="AD16253" s="7"/>
      <c r="AE16253" s="7"/>
      <c r="AF16253" s="7"/>
    </row>
    <row r="16254" spans="1:32">
      <c r="A16254" s="7"/>
      <c r="B16254" s="7"/>
      <c r="C16254" s="7"/>
      <c r="D16254" s="7"/>
      <c r="E16254" s="7"/>
      <c r="F16254" s="7"/>
      <c r="G16254" s="7"/>
      <c r="H16254" s="7"/>
      <c r="I16254" s="7"/>
      <c r="J16254" s="7"/>
      <c r="K16254" s="7"/>
      <c r="L16254" s="7"/>
      <c r="M16254" s="7"/>
      <c r="N16254" s="7"/>
      <c r="O16254" s="7"/>
      <c r="P16254" s="7"/>
      <c r="Q16254" s="7"/>
      <c r="R16254" s="7"/>
      <c r="S16254" s="7"/>
      <c r="T16254" s="7"/>
      <c r="U16254" s="7"/>
      <c r="V16254" s="7"/>
      <c r="W16254" s="7"/>
      <c r="X16254" s="7"/>
      <c r="Y16254" s="7"/>
      <c r="Z16254" s="7"/>
      <c r="AA16254" s="7"/>
      <c r="AB16254" s="7"/>
      <c r="AC16254" s="7"/>
      <c r="AD16254" s="7"/>
      <c r="AE16254" s="7"/>
      <c r="AF16254" s="7"/>
    </row>
    <row r="16255" spans="1:32">
      <c r="A16255" s="7"/>
      <c r="B16255" s="7"/>
      <c r="C16255" s="7"/>
      <c r="D16255" s="7"/>
      <c r="E16255" s="7"/>
      <c r="F16255" s="7"/>
      <c r="G16255" s="7"/>
      <c r="H16255" s="7"/>
      <c r="I16255" s="7"/>
      <c r="J16255" s="7"/>
      <c r="K16255" s="7"/>
      <c r="L16255" s="7"/>
      <c r="M16255" s="7"/>
      <c r="N16255" s="7"/>
      <c r="O16255" s="7"/>
      <c r="P16255" s="7"/>
      <c r="Q16255" s="7"/>
      <c r="R16255" s="7"/>
      <c r="S16255" s="7"/>
      <c r="T16255" s="7"/>
      <c r="U16255" s="7"/>
      <c r="V16255" s="7"/>
      <c r="W16255" s="7"/>
      <c r="X16255" s="7"/>
      <c r="Y16255" s="7"/>
      <c r="Z16255" s="7"/>
      <c r="AA16255" s="7"/>
      <c r="AB16255" s="7"/>
      <c r="AC16255" s="7"/>
      <c r="AD16255" s="7"/>
      <c r="AE16255" s="7"/>
      <c r="AF16255" s="7"/>
    </row>
    <row r="16256" spans="1:32">
      <c r="A16256" s="7"/>
      <c r="B16256" s="7"/>
      <c r="C16256" s="7"/>
      <c r="D16256" s="7"/>
      <c r="E16256" s="7"/>
      <c r="F16256" s="7"/>
      <c r="G16256" s="7"/>
      <c r="H16256" s="7"/>
      <c r="I16256" s="7"/>
      <c r="J16256" s="7"/>
      <c r="K16256" s="7"/>
      <c r="L16256" s="7"/>
      <c r="M16256" s="7"/>
      <c r="N16256" s="7"/>
      <c r="O16256" s="7"/>
      <c r="P16256" s="7"/>
      <c r="Q16256" s="7"/>
      <c r="R16256" s="7"/>
      <c r="S16256" s="7"/>
      <c r="T16256" s="7"/>
      <c r="U16256" s="7"/>
      <c r="V16256" s="7"/>
      <c r="W16256" s="7"/>
      <c r="X16256" s="7"/>
      <c r="Y16256" s="7"/>
      <c r="Z16256" s="7"/>
      <c r="AA16256" s="7"/>
      <c r="AB16256" s="7"/>
      <c r="AC16256" s="7"/>
      <c r="AD16256" s="7"/>
      <c r="AE16256" s="7"/>
      <c r="AF16256" s="7"/>
    </row>
    <row r="16257" spans="1:32">
      <c r="A16257" s="7"/>
      <c r="B16257" s="7"/>
      <c r="C16257" s="7"/>
      <c r="D16257" s="7"/>
      <c r="E16257" s="7"/>
      <c r="F16257" s="7"/>
      <c r="G16257" s="7"/>
      <c r="H16257" s="7"/>
      <c r="I16257" s="7"/>
      <c r="J16257" s="7"/>
      <c r="K16257" s="7"/>
      <c r="L16257" s="7"/>
      <c r="M16257" s="7"/>
      <c r="N16257" s="7"/>
      <c r="O16257" s="7"/>
      <c r="P16257" s="7"/>
      <c r="Q16257" s="7"/>
      <c r="R16257" s="7"/>
      <c r="S16257" s="7"/>
      <c r="T16257" s="7"/>
      <c r="U16257" s="7"/>
      <c r="V16257" s="7"/>
      <c r="W16257" s="7"/>
      <c r="X16257" s="7"/>
      <c r="Y16257" s="7"/>
      <c r="Z16257" s="7"/>
      <c r="AA16257" s="7"/>
      <c r="AB16257" s="7"/>
      <c r="AC16257" s="7"/>
      <c r="AD16257" s="7"/>
      <c r="AE16257" s="7"/>
      <c r="AF16257" s="7"/>
    </row>
    <row r="16258" spans="1:32">
      <c r="A16258" s="7"/>
      <c r="B16258" s="7"/>
      <c r="C16258" s="7"/>
      <c r="D16258" s="7"/>
      <c r="E16258" s="7"/>
      <c r="F16258" s="7"/>
      <c r="G16258" s="7"/>
      <c r="H16258" s="7"/>
      <c r="I16258" s="7"/>
      <c r="J16258" s="7"/>
      <c r="K16258" s="7"/>
      <c r="L16258" s="7"/>
      <c r="M16258" s="7"/>
      <c r="N16258" s="7"/>
      <c r="O16258" s="7"/>
      <c r="P16258" s="7"/>
      <c r="Q16258" s="7"/>
      <c r="R16258" s="7"/>
      <c r="S16258" s="7"/>
      <c r="T16258" s="7"/>
      <c r="U16258" s="7"/>
      <c r="V16258" s="7"/>
      <c r="W16258" s="7"/>
      <c r="X16258" s="7"/>
      <c r="Y16258" s="7"/>
      <c r="Z16258" s="7"/>
      <c r="AA16258" s="7"/>
      <c r="AB16258" s="7"/>
      <c r="AC16258" s="7"/>
      <c r="AD16258" s="7"/>
      <c r="AE16258" s="7"/>
      <c r="AF16258" s="7"/>
    </row>
    <row r="16259" spans="1:32">
      <c r="A16259" s="7"/>
      <c r="B16259" s="7"/>
      <c r="C16259" s="7"/>
      <c r="D16259" s="7"/>
      <c r="E16259" s="7"/>
      <c r="F16259" s="7"/>
      <c r="G16259" s="7"/>
      <c r="H16259" s="7"/>
      <c r="I16259" s="7"/>
      <c r="J16259" s="7"/>
      <c r="K16259" s="7"/>
      <c r="L16259" s="7"/>
      <c r="M16259" s="7"/>
      <c r="N16259" s="7"/>
      <c r="O16259" s="7"/>
      <c r="P16259" s="7"/>
      <c r="Q16259" s="7"/>
      <c r="R16259" s="7"/>
      <c r="S16259" s="7"/>
      <c r="T16259" s="7"/>
      <c r="U16259" s="7"/>
      <c r="V16259" s="7"/>
      <c r="W16259" s="7"/>
      <c r="X16259" s="7"/>
      <c r="Y16259" s="7"/>
      <c r="Z16259" s="7"/>
      <c r="AA16259" s="7"/>
      <c r="AB16259" s="7"/>
      <c r="AC16259" s="7"/>
      <c r="AD16259" s="7"/>
      <c r="AE16259" s="7"/>
      <c r="AF16259" s="7"/>
    </row>
    <row r="16260" spans="1:32">
      <c r="A16260" s="7"/>
      <c r="B16260" s="7"/>
      <c r="C16260" s="7"/>
      <c r="D16260" s="7"/>
      <c r="E16260" s="7"/>
      <c r="F16260" s="7"/>
      <c r="G16260" s="7"/>
      <c r="H16260" s="7"/>
      <c r="I16260" s="7"/>
      <c r="J16260" s="7"/>
      <c r="K16260" s="7"/>
      <c r="L16260" s="7"/>
      <c r="M16260" s="7"/>
      <c r="N16260" s="7"/>
      <c r="O16260" s="7"/>
      <c r="P16260" s="7"/>
      <c r="Q16260" s="7"/>
      <c r="R16260" s="7"/>
      <c r="S16260" s="7"/>
      <c r="T16260" s="7"/>
      <c r="U16260" s="7"/>
      <c r="V16260" s="7"/>
      <c r="W16260" s="7"/>
      <c r="X16260" s="7"/>
      <c r="Y16260" s="7"/>
      <c r="Z16260" s="7"/>
      <c r="AA16260" s="7"/>
      <c r="AB16260" s="7"/>
      <c r="AC16260" s="7"/>
      <c r="AD16260" s="7"/>
      <c r="AE16260" s="7"/>
      <c r="AF16260" s="7"/>
    </row>
    <row r="16261" spans="1:32">
      <c r="A16261" s="7"/>
      <c r="B16261" s="7"/>
      <c r="C16261" s="7"/>
      <c r="D16261" s="7"/>
      <c r="E16261" s="7"/>
      <c r="F16261" s="7"/>
      <c r="G16261" s="7"/>
      <c r="H16261" s="7"/>
      <c r="I16261" s="7"/>
      <c r="J16261" s="7"/>
      <c r="K16261" s="7"/>
      <c r="L16261" s="7"/>
      <c r="M16261" s="7"/>
      <c r="N16261" s="7"/>
      <c r="O16261" s="7"/>
      <c r="P16261" s="7"/>
      <c r="Q16261" s="7"/>
      <c r="R16261" s="7"/>
      <c r="S16261" s="7"/>
      <c r="T16261" s="7"/>
      <c r="U16261" s="7"/>
      <c r="V16261" s="7"/>
      <c r="W16261" s="7"/>
      <c r="X16261" s="7"/>
      <c r="Y16261" s="7"/>
      <c r="Z16261" s="7"/>
      <c r="AA16261" s="7"/>
      <c r="AB16261" s="7"/>
      <c r="AC16261" s="7"/>
      <c r="AD16261" s="7"/>
      <c r="AE16261" s="7"/>
      <c r="AF16261" s="7"/>
    </row>
    <row r="16262" spans="1:32">
      <c r="A16262" s="7"/>
      <c r="B16262" s="7"/>
      <c r="C16262" s="7"/>
      <c r="D16262" s="7"/>
      <c r="E16262" s="7"/>
      <c r="F16262" s="7"/>
      <c r="G16262" s="7"/>
      <c r="H16262" s="7"/>
      <c r="I16262" s="7"/>
      <c r="J16262" s="7"/>
      <c r="K16262" s="7"/>
      <c r="L16262" s="7"/>
      <c r="M16262" s="7"/>
      <c r="N16262" s="7"/>
      <c r="O16262" s="7"/>
      <c r="P16262" s="7"/>
      <c r="Q16262" s="7"/>
      <c r="R16262" s="7"/>
      <c r="S16262" s="7"/>
      <c r="T16262" s="7"/>
      <c r="U16262" s="7"/>
      <c r="V16262" s="7"/>
      <c r="W16262" s="7"/>
      <c r="X16262" s="7"/>
      <c r="Y16262" s="7"/>
      <c r="Z16262" s="7"/>
      <c r="AA16262" s="7"/>
      <c r="AB16262" s="7"/>
      <c r="AC16262" s="7"/>
      <c r="AD16262" s="7"/>
      <c r="AE16262" s="7"/>
      <c r="AF16262" s="7"/>
    </row>
    <row r="16263" spans="1:32">
      <c r="A16263" s="7"/>
      <c r="B16263" s="7"/>
      <c r="C16263" s="7"/>
      <c r="D16263" s="7"/>
      <c r="E16263" s="7"/>
      <c r="F16263" s="7"/>
      <c r="G16263" s="7"/>
      <c r="H16263" s="7"/>
      <c r="I16263" s="7"/>
      <c r="J16263" s="7"/>
      <c r="K16263" s="7"/>
      <c r="L16263" s="7"/>
      <c r="M16263" s="7"/>
      <c r="N16263" s="7"/>
      <c r="O16263" s="7"/>
      <c r="P16263" s="7"/>
      <c r="Q16263" s="7"/>
      <c r="R16263" s="7"/>
      <c r="S16263" s="7"/>
      <c r="T16263" s="7"/>
      <c r="U16263" s="7"/>
      <c r="V16263" s="7"/>
      <c r="W16263" s="7"/>
      <c r="X16263" s="7"/>
      <c r="Y16263" s="7"/>
      <c r="Z16263" s="7"/>
      <c r="AA16263" s="7"/>
      <c r="AB16263" s="7"/>
      <c r="AC16263" s="7"/>
      <c r="AD16263" s="7"/>
      <c r="AE16263" s="7"/>
      <c r="AF16263" s="7"/>
    </row>
    <row r="16264" spans="1:32">
      <c r="A16264" s="7"/>
      <c r="B16264" s="7"/>
      <c r="C16264" s="7"/>
      <c r="D16264" s="7"/>
      <c r="E16264" s="7"/>
      <c r="F16264" s="7"/>
      <c r="G16264" s="7"/>
      <c r="H16264" s="7"/>
      <c r="I16264" s="7"/>
      <c r="J16264" s="7"/>
      <c r="K16264" s="7"/>
      <c r="L16264" s="7"/>
      <c r="M16264" s="7"/>
      <c r="N16264" s="7"/>
      <c r="O16264" s="7"/>
      <c r="P16264" s="7"/>
      <c r="Q16264" s="7"/>
      <c r="R16264" s="7"/>
      <c r="S16264" s="7"/>
      <c r="T16264" s="7"/>
      <c r="U16264" s="7"/>
      <c r="V16264" s="7"/>
      <c r="W16264" s="7"/>
      <c r="X16264" s="7"/>
      <c r="Y16264" s="7"/>
      <c r="Z16264" s="7"/>
      <c r="AA16264" s="7"/>
      <c r="AB16264" s="7"/>
      <c r="AC16264" s="7"/>
      <c r="AD16264" s="7"/>
      <c r="AE16264" s="7"/>
      <c r="AF16264" s="7"/>
    </row>
    <row r="16265" spans="1:32">
      <c r="A16265" s="7"/>
      <c r="B16265" s="7"/>
      <c r="C16265" s="7"/>
      <c r="D16265" s="7"/>
      <c r="E16265" s="7"/>
      <c r="F16265" s="7"/>
      <c r="G16265" s="7"/>
      <c r="H16265" s="7"/>
      <c r="I16265" s="7"/>
      <c r="J16265" s="7"/>
      <c r="K16265" s="7"/>
      <c r="L16265" s="7"/>
      <c r="M16265" s="7"/>
      <c r="N16265" s="7"/>
      <c r="O16265" s="7"/>
      <c r="P16265" s="7"/>
      <c r="Q16265" s="7"/>
      <c r="R16265" s="7"/>
      <c r="S16265" s="7"/>
      <c r="T16265" s="7"/>
      <c r="U16265" s="7"/>
      <c r="V16265" s="7"/>
      <c r="W16265" s="7"/>
      <c r="X16265" s="7"/>
      <c r="Y16265" s="7"/>
      <c r="Z16265" s="7"/>
      <c r="AA16265" s="7"/>
      <c r="AB16265" s="7"/>
      <c r="AC16265" s="7"/>
      <c r="AD16265" s="7"/>
      <c r="AE16265" s="7"/>
      <c r="AF16265" s="7"/>
    </row>
    <row r="16266" spans="1:32">
      <c r="A16266" s="7"/>
      <c r="B16266" s="7"/>
      <c r="C16266" s="7"/>
      <c r="D16266" s="7"/>
      <c r="E16266" s="7"/>
      <c r="F16266" s="7"/>
      <c r="G16266" s="7"/>
      <c r="H16266" s="7"/>
      <c r="I16266" s="7"/>
      <c r="J16266" s="7"/>
      <c r="K16266" s="7"/>
      <c r="L16266" s="7"/>
      <c r="M16266" s="7"/>
      <c r="N16266" s="7"/>
      <c r="O16266" s="7"/>
      <c r="P16266" s="7"/>
      <c r="Q16266" s="7"/>
      <c r="R16266" s="7"/>
      <c r="S16266" s="7"/>
      <c r="T16266" s="7"/>
      <c r="U16266" s="7"/>
      <c r="V16266" s="7"/>
      <c r="W16266" s="7"/>
      <c r="X16266" s="7"/>
      <c r="Y16266" s="7"/>
      <c r="Z16266" s="7"/>
      <c r="AA16266" s="7"/>
      <c r="AB16266" s="7"/>
      <c r="AC16266" s="7"/>
      <c r="AD16266" s="7"/>
      <c r="AE16266" s="7"/>
      <c r="AF16266" s="7"/>
    </row>
    <row r="16267" spans="1:32">
      <c r="A16267" s="7"/>
      <c r="B16267" s="7"/>
      <c r="C16267" s="7"/>
      <c r="D16267" s="7"/>
      <c r="E16267" s="7"/>
      <c r="F16267" s="7"/>
      <c r="G16267" s="7"/>
      <c r="H16267" s="7"/>
      <c r="I16267" s="7"/>
      <c r="J16267" s="7"/>
      <c r="K16267" s="7"/>
      <c r="L16267" s="7"/>
      <c r="M16267" s="7"/>
      <c r="N16267" s="7"/>
      <c r="O16267" s="7"/>
      <c r="P16267" s="7"/>
      <c r="Q16267" s="7"/>
      <c r="R16267" s="7"/>
      <c r="S16267" s="7"/>
      <c r="T16267" s="7"/>
      <c r="U16267" s="7"/>
      <c r="V16267" s="7"/>
      <c r="W16267" s="7"/>
      <c r="X16267" s="7"/>
      <c r="Y16267" s="7"/>
      <c r="Z16267" s="7"/>
      <c r="AA16267" s="7"/>
      <c r="AB16267" s="7"/>
      <c r="AC16267" s="7"/>
      <c r="AD16267" s="7"/>
      <c r="AE16267" s="7"/>
      <c r="AF16267" s="7"/>
    </row>
    <row r="16268" spans="1:32">
      <c r="A16268" s="7"/>
      <c r="B16268" s="7"/>
      <c r="C16268" s="7"/>
      <c r="D16268" s="7"/>
      <c r="E16268" s="7"/>
      <c r="F16268" s="7"/>
      <c r="G16268" s="7"/>
      <c r="H16268" s="7"/>
      <c r="I16268" s="7"/>
      <c r="J16268" s="7"/>
      <c r="K16268" s="7"/>
      <c r="L16268" s="7"/>
      <c r="M16268" s="7"/>
      <c r="N16268" s="7"/>
      <c r="O16268" s="7"/>
      <c r="P16268" s="7"/>
      <c r="Q16268" s="7"/>
      <c r="R16268" s="7"/>
      <c r="S16268" s="7"/>
      <c r="T16268" s="7"/>
      <c r="U16268" s="7"/>
      <c r="V16268" s="7"/>
      <c r="W16268" s="7"/>
      <c r="X16268" s="7"/>
      <c r="Y16268" s="7"/>
      <c r="Z16268" s="7"/>
      <c r="AA16268" s="7"/>
      <c r="AB16268" s="7"/>
      <c r="AC16268" s="7"/>
      <c r="AD16268" s="7"/>
      <c r="AE16268" s="7"/>
      <c r="AF16268" s="7"/>
    </row>
    <row r="16269" spans="1:32">
      <c r="A16269" s="7"/>
      <c r="B16269" s="7"/>
      <c r="C16269" s="7"/>
      <c r="D16269" s="7"/>
      <c r="E16269" s="7"/>
      <c r="F16269" s="7"/>
      <c r="G16269" s="7"/>
      <c r="H16269" s="7"/>
      <c r="I16269" s="7"/>
      <c r="J16269" s="7"/>
      <c r="K16269" s="7"/>
      <c r="L16269" s="7"/>
      <c r="M16269" s="7"/>
      <c r="N16269" s="7"/>
      <c r="O16269" s="7"/>
      <c r="P16269" s="7"/>
      <c r="Q16269" s="7"/>
      <c r="R16269" s="7"/>
      <c r="S16269" s="7"/>
      <c r="T16269" s="7"/>
      <c r="U16269" s="7"/>
      <c r="V16269" s="7"/>
      <c r="W16269" s="7"/>
      <c r="X16269" s="7"/>
      <c r="Y16269" s="7"/>
      <c r="Z16269" s="7"/>
      <c r="AA16269" s="7"/>
      <c r="AB16269" s="7"/>
      <c r="AC16269" s="7"/>
      <c r="AD16269" s="7"/>
      <c r="AE16269" s="7"/>
      <c r="AF16269" s="7"/>
    </row>
    <row r="16270" spans="1:32">
      <c r="A16270" s="7"/>
      <c r="B16270" s="7"/>
      <c r="C16270" s="7"/>
      <c r="D16270" s="7"/>
      <c r="E16270" s="7"/>
      <c r="F16270" s="7"/>
      <c r="G16270" s="7"/>
      <c r="H16270" s="7"/>
      <c r="I16270" s="7"/>
      <c r="J16270" s="7"/>
      <c r="K16270" s="7"/>
      <c r="L16270" s="7"/>
      <c r="M16270" s="7"/>
      <c r="N16270" s="7"/>
      <c r="O16270" s="7"/>
      <c r="P16270" s="7"/>
      <c r="Q16270" s="7"/>
      <c r="R16270" s="7"/>
      <c r="S16270" s="7"/>
      <c r="T16270" s="7"/>
      <c r="U16270" s="7"/>
      <c r="V16270" s="7"/>
      <c r="W16270" s="7"/>
      <c r="X16270" s="7"/>
      <c r="Y16270" s="7"/>
      <c r="Z16270" s="7"/>
      <c r="AA16270" s="7"/>
      <c r="AB16270" s="7"/>
      <c r="AC16270" s="7"/>
      <c r="AD16270" s="7"/>
      <c r="AE16270" s="7"/>
      <c r="AF16270" s="7"/>
    </row>
    <row r="16271" spans="1:32">
      <c r="A16271" s="7"/>
      <c r="B16271" s="7"/>
      <c r="C16271" s="7"/>
      <c r="D16271" s="7"/>
      <c r="E16271" s="7"/>
      <c r="F16271" s="7"/>
      <c r="G16271" s="7"/>
      <c r="H16271" s="7"/>
      <c r="I16271" s="7"/>
      <c r="J16271" s="7"/>
      <c r="K16271" s="7"/>
      <c r="L16271" s="7"/>
      <c r="M16271" s="7"/>
      <c r="N16271" s="7"/>
      <c r="O16271" s="7"/>
      <c r="P16271" s="7"/>
      <c r="Q16271" s="7"/>
      <c r="R16271" s="7"/>
      <c r="S16271" s="7"/>
      <c r="T16271" s="7"/>
      <c r="U16271" s="7"/>
      <c r="V16271" s="7"/>
      <c r="W16271" s="7"/>
      <c r="X16271" s="7"/>
      <c r="Y16271" s="7"/>
      <c r="Z16271" s="7"/>
      <c r="AA16271" s="7"/>
      <c r="AB16271" s="7"/>
      <c r="AC16271" s="7"/>
      <c r="AD16271" s="7"/>
      <c r="AE16271" s="7"/>
      <c r="AF16271" s="7"/>
    </row>
    <row r="16272" spans="1:32">
      <c r="A16272" s="7"/>
      <c r="B16272" s="7"/>
      <c r="C16272" s="7"/>
      <c r="D16272" s="7"/>
      <c r="E16272" s="7"/>
      <c r="F16272" s="7"/>
      <c r="G16272" s="7"/>
      <c r="H16272" s="7"/>
      <c r="I16272" s="7"/>
      <c r="J16272" s="7"/>
      <c r="K16272" s="7"/>
      <c r="L16272" s="7"/>
      <c r="M16272" s="7"/>
      <c r="N16272" s="7"/>
      <c r="O16272" s="7"/>
      <c r="P16272" s="7"/>
      <c r="Q16272" s="7"/>
      <c r="R16272" s="7"/>
      <c r="S16272" s="7"/>
      <c r="T16272" s="7"/>
      <c r="U16272" s="7"/>
      <c r="V16272" s="7"/>
      <c r="W16272" s="7"/>
      <c r="X16272" s="7"/>
      <c r="Y16272" s="7"/>
      <c r="Z16272" s="7"/>
      <c r="AA16272" s="7"/>
      <c r="AB16272" s="7"/>
      <c r="AC16272" s="7"/>
      <c r="AD16272" s="7"/>
      <c r="AE16272" s="7"/>
      <c r="AF16272" s="7"/>
    </row>
    <row r="16273" spans="1:32">
      <c r="A16273" s="7"/>
      <c r="B16273" s="7"/>
      <c r="C16273" s="7"/>
      <c r="D16273" s="7"/>
      <c r="E16273" s="7"/>
      <c r="F16273" s="7"/>
      <c r="G16273" s="7"/>
      <c r="H16273" s="7"/>
      <c r="I16273" s="7"/>
      <c r="J16273" s="7"/>
      <c r="K16273" s="7"/>
      <c r="L16273" s="7"/>
      <c r="M16273" s="7"/>
      <c r="N16273" s="7"/>
      <c r="O16273" s="7"/>
      <c r="P16273" s="7"/>
      <c r="Q16273" s="7"/>
      <c r="R16273" s="7"/>
      <c r="S16273" s="7"/>
      <c r="T16273" s="7"/>
      <c r="U16273" s="7"/>
      <c r="V16273" s="7"/>
      <c r="W16273" s="7"/>
      <c r="X16273" s="7"/>
      <c r="Y16273" s="7"/>
      <c r="Z16273" s="7"/>
      <c r="AA16273" s="7"/>
      <c r="AB16273" s="7"/>
      <c r="AC16273" s="7"/>
      <c r="AD16273" s="7"/>
      <c r="AE16273" s="7"/>
      <c r="AF16273" s="7"/>
    </row>
    <row r="16274" spans="1:32">
      <c r="A16274" s="7"/>
      <c r="B16274" s="7"/>
      <c r="C16274" s="7"/>
      <c r="D16274" s="7"/>
      <c r="E16274" s="7"/>
      <c r="F16274" s="7"/>
      <c r="G16274" s="7"/>
      <c r="H16274" s="7"/>
      <c r="I16274" s="7"/>
      <c r="J16274" s="7"/>
      <c r="K16274" s="7"/>
      <c r="L16274" s="7"/>
      <c r="M16274" s="7"/>
      <c r="N16274" s="7"/>
      <c r="O16274" s="7"/>
      <c r="P16274" s="7"/>
      <c r="Q16274" s="7"/>
      <c r="R16274" s="7"/>
      <c r="S16274" s="7"/>
      <c r="T16274" s="7"/>
      <c r="U16274" s="7"/>
      <c r="V16274" s="7"/>
      <c r="W16274" s="7"/>
      <c r="X16274" s="7"/>
      <c r="Y16274" s="7"/>
      <c r="Z16274" s="7"/>
      <c r="AA16274" s="7"/>
      <c r="AB16274" s="7"/>
      <c r="AC16274" s="7"/>
      <c r="AD16274" s="7"/>
      <c r="AE16274" s="7"/>
      <c r="AF16274" s="7"/>
    </row>
    <row r="16275" spans="1:32">
      <c r="A16275" s="7"/>
      <c r="B16275" s="7"/>
      <c r="C16275" s="7"/>
      <c r="D16275" s="7"/>
      <c r="E16275" s="7"/>
      <c r="F16275" s="7"/>
      <c r="G16275" s="7"/>
      <c r="H16275" s="7"/>
      <c r="I16275" s="7"/>
      <c r="J16275" s="7"/>
      <c r="K16275" s="7"/>
      <c r="L16275" s="7"/>
      <c r="M16275" s="7"/>
      <c r="N16275" s="7"/>
      <c r="O16275" s="7"/>
      <c r="P16275" s="7"/>
      <c r="Q16275" s="7"/>
      <c r="R16275" s="7"/>
      <c r="S16275" s="7"/>
      <c r="T16275" s="7"/>
      <c r="U16275" s="7"/>
      <c r="V16275" s="7"/>
      <c r="W16275" s="7"/>
      <c r="X16275" s="7"/>
      <c r="Y16275" s="7"/>
      <c r="Z16275" s="7"/>
      <c r="AA16275" s="7"/>
      <c r="AB16275" s="7"/>
      <c r="AC16275" s="7"/>
      <c r="AD16275" s="7"/>
      <c r="AE16275" s="7"/>
      <c r="AF16275" s="7"/>
    </row>
    <row r="16276" spans="1:32">
      <c r="A16276" s="7"/>
      <c r="B16276" s="7"/>
      <c r="C16276" s="7"/>
      <c r="D16276" s="7"/>
      <c r="E16276" s="7"/>
      <c r="F16276" s="7"/>
      <c r="G16276" s="7"/>
      <c r="H16276" s="7"/>
      <c r="I16276" s="7"/>
      <c r="J16276" s="7"/>
      <c r="K16276" s="7"/>
      <c r="L16276" s="7"/>
      <c r="M16276" s="7"/>
      <c r="N16276" s="7"/>
      <c r="O16276" s="7"/>
      <c r="P16276" s="7"/>
      <c r="Q16276" s="7"/>
      <c r="R16276" s="7"/>
      <c r="S16276" s="7"/>
      <c r="T16276" s="7"/>
      <c r="U16276" s="7"/>
      <c r="V16276" s="7"/>
      <c r="W16276" s="7"/>
      <c r="X16276" s="7"/>
      <c r="Y16276" s="7"/>
      <c r="Z16276" s="7"/>
      <c r="AA16276" s="7"/>
      <c r="AB16276" s="7"/>
      <c r="AC16276" s="7"/>
      <c r="AD16276" s="7"/>
      <c r="AE16276" s="7"/>
      <c r="AF16276" s="7"/>
    </row>
    <row r="16277" spans="1:32">
      <c r="A16277" s="7"/>
      <c r="B16277" s="7"/>
      <c r="C16277" s="7"/>
      <c r="D16277" s="7"/>
      <c r="E16277" s="7"/>
      <c r="F16277" s="7"/>
      <c r="G16277" s="7"/>
      <c r="H16277" s="7"/>
      <c r="I16277" s="7"/>
      <c r="J16277" s="7"/>
      <c r="K16277" s="7"/>
      <c r="L16277" s="7"/>
      <c r="M16277" s="7"/>
      <c r="N16277" s="7"/>
      <c r="O16277" s="7"/>
      <c r="P16277" s="7"/>
      <c r="Q16277" s="7"/>
      <c r="R16277" s="7"/>
      <c r="S16277" s="7"/>
      <c r="T16277" s="7"/>
      <c r="U16277" s="7"/>
      <c r="V16277" s="7"/>
      <c r="W16277" s="7"/>
      <c r="X16277" s="7"/>
      <c r="Y16277" s="7"/>
      <c r="Z16277" s="7"/>
      <c r="AA16277" s="7"/>
      <c r="AB16277" s="7"/>
      <c r="AC16277" s="7"/>
      <c r="AD16277" s="7"/>
      <c r="AE16277" s="7"/>
      <c r="AF16277" s="7"/>
    </row>
    <row r="16278" spans="1:32">
      <c r="A16278" s="7"/>
      <c r="B16278" s="7"/>
      <c r="C16278" s="7"/>
      <c r="D16278" s="7"/>
      <c r="E16278" s="7"/>
      <c r="F16278" s="7"/>
      <c r="G16278" s="7"/>
      <c r="H16278" s="7"/>
      <c r="I16278" s="7"/>
      <c r="J16278" s="7"/>
      <c r="K16278" s="7"/>
      <c r="L16278" s="7"/>
      <c r="M16278" s="7"/>
      <c r="N16278" s="7"/>
      <c r="O16278" s="7"/>
      <c r="P16278" s="7"/>
      <c r="Q16278" s="7"/>
      <c r="R16278" s="7"/>
      <c r="S16278" s="7"/>
      <c r="T16278" s="7"/>
      <c r="U16278" s="7"/>
      <c r="V16278" s="7"/>
      <c r="W16278" s="7"/>
      <c r="X16278" s="7"/>
      <c r="Y16278" s="7"/>
      <c r="Z16278" s="7"/>
      <c r="AA16278" s="7"/>
      <c r="AB16278" s="7"/>
      <c r="AC16278" s="7"/>
      <c r="AD16278" s="7"/>
      <c r="AE16278" s="7"/>
      <c r="AF16278" s="7"/>
    </row>
    <row r="16279" spans="1:32">
      <c r="A16279" s="7"/>
      <c r="B16279" s="7"/>
      <c r="C16279" s="7"/>
      <c r="D16279" s="7"/>
      <c r="E16279" s="7"/>
      <c r="F16279" s="7"/>
      <c r="G16279" s="7"/>
      <c r="H16279" s="7"/>
      <c r="I16279" s="7"/>
      <c r="J16279" s="7"/>
      <c r="K16279" s="7"/>
      <c r="L16279" s="7"/>
      <c r="M16279" s="7"/>
      <c r="N16279" s="7"/>
      <c r="O16279" s="7"/>
      <c r="P16279" s="7"/>
      <c r="Q16279" s="7"/>
      <c r="R16279" s="7"/>
      <c r="S16279" s="7"/>
      <c r="T16279" s="7"/>
      <c r="U16279" s="7"/>
      <c r="V16279" s="7"/>
      <c r="W16279" s="7"/>
      <c r="X16279" s="7"/>
      <c r="Y16279" s="7"/>
      <c r="Z16279" s="7"/>
      <c r="AA16279" s="7"/>
      <c r="AB16279" s="7"/>
      <c r="AC16279" s="7"/>
      <c r="AD16279" s="7"/>
      <c r="AE16279" s="7"/>
      <c r="AF16279" s="7"/>
    </row>
    <row r="16280" spans="1:32">
      <c r="A16280" s="7"/>
      <c r="B16280" s="7"/>
      <c r="C16280" s="7"/>
      <c r="D16280" s="7"/>
      <c r="E16280" s="7"/>
      <c r="F16280" s="7"/>
      <c r="G16280" s="7"/>
      <c r="H16280" s="7"/>
      <c r="I16280" s="7"/>
      <c r="J16280" s="7"/>
      <c r="K16280" s="7"/>
      <c r="L16280" s="7"/>
      <c r="M16280" s="7"/>
      <c r="N16280" s="7"/>
      <c r="O16280" s="7"/>
      <c r="P16280" s="7"/>
      <c r="Q16280" s="7"/>
      <c r="R16280" s="7"/>
      <c r="S16280" s="7"/>
      <c r="T16280" s="7"/>
      <c r="U16280" s="7"/>
      <c r="V16280" s="7"/>
      <c r="W16280" s="7"/>
      <c r="X16280" s="7"/>
      <c r="Y16280" s="7"/>
      <c r="Z16280" s="7"/>
      <c r="AA16280" s="7"/>
      <c r="AB16280" s="7"/>
      <c r="AC16280" s="7"/>
      <c r="AD16280" s="7"/>
      <c r="AE16280" s="7"/>
      <c r="AF16280" s="7"/>
    </row>
    <row r="16281" spans="1:32">
      <c r="A16281" s="7"/>
      <c r="B16281" s="7"/>
      <c r="C16281" s="7"/>
      <c r="D16281" s="7"/>
      <c r="E16281" s="7"/>
      <c r="F16281" s="7"/>
      <c r="G16281" s="7"/>
      <c r="H16281" s="7"/>
      <c r="I16281" s="7"/>
      <c r="J16281" s="7"/>
      <c r="K16281" s="7"/>
      <c r="L16281" s="7"/>
      <c r="M16281" s="7"/>
      <c r="N16281" s="7"/>
      <c r="O16281" s="7"/>
      <c r="P16281" s="7"/>
      <c r="Q16281" s="7"/>
      <c r="R16281" s="7"/>
      <c r="S16281" s="7"/>
      <c r="T16281" s="7"/>
      <c r="U16281" s="7"/>
      <c r="V16281" s="7"/>
      <c r="W16281" s="7"/>
      <c r="X16281" s="7"/>
      <c r="Y16281" s="7"/>
      <c r="Z16281" s="7"/>
      <c r="AA16281" s="7"/>
      <c r="AB16281" s="7"/>
      <c r="AC16281" s="7"/>
      <c r="AD16281" s="7"/>
      <c r="AE16281" s="7"/>
      <c r="AF16281" s="7"/>
    </row>
    <row r="16282" spans="1:32">
      <c r="A16282" s="7"/>
      <c r="B16282" s="7"/>
      <c r="C16282" s="7"/>
      <c r="D16282" s="7"/>
      <c r="E16282" s="7"/>
      <c r="F16282" s="7"/>
      <c r="G16282" s="7"/>
      <c r="H16282" s="7"/>
      <c r="I16282" s="7"/>
      <c r="J16282" s="7"/>
      <c r="K16282" s="7"/>
      <c r="L16282" s="7"/>
      <c r="M16282" s="7"/>
      <c r="N16282" s="7"/>
      <c r="O16282" s="7"/>
      <c r="P16282" s="7"/>
      <c r="Q16282" s="7"/>
      <c r="R16282" s="7"/>
      <c r="S16282" s="7"/>
      <c r="T16282" s="7"/>
      <c r="U16282" s="7"/>
      <c r="V16282" s="7"/>
      <c r="W16282" s="7"/>
      <c r="X16282" s="7"/>
      <c r="Y16282" s="7"/>
      <c r="Z16282" s="7"/>
      <c r="AA16282" s="7"/>
      <c r="AB16282" s="7"/>
      <c r="AC16282" s="7"/>
      <c r="AD16282" s="7"/>
      <c r="AE16282" s="7"/>
      <c r="AF16282" s="7"/>
    </row>
    <row r="16283" spans="1:32">
      <c r="A16283" s="7"/>
      <c r="B16283" s="7"/>
      <c r="C16283" s="7"/>
      <c r="D16283" s="7"/>
      <c r="E16283" s="7"/>
      <c r="F16283" s="7"/>
      <c r="G16283" s="7"/>
      <c r="H16283" s="7"/>
      <c r="I16283" s="7"/>
      <c r="J16283" s="7"/>
      <c r="K16283" s="7"/>
      <c r="L16283" s="7"/>
      <c r="M16283" s="7"/>
      <c r="N16283" s="7"/>
      <c r="O16283" s="7"/>
      <c r="P16283" s="7"/>
      <c r="Q16283" s="7"/>
      <c r="R16283" s="7"/>
      <c r="S16283" s="7"/>
      <c r="T16283" s="7"/>
      <c r="U16283" s="7"/>
      <c r="V16283" s="7"/>
      <c r="W16283" s="7"/>
      <c r="X16283" s="7"/>
      <c r="Y16283" s="7"/>
      <c r="Z16283" s="7"/>
      <c r="AA16283" s="7"/>
      <c r="AB16283" s="7"/>
      <c r="AC16283" s="7"/>
      <c r="AD16283" s="7"/>
      <c r="AE16283" s="7"/>
      <c r="AF16283" s="7"/>
    </row>
    <row r="16284" spans="1:32">
      <c r="A16284" s="7"/>
      <c r="B16284" s="7"/>
      <c r="C16284" s="7"/>
      <c r="D16284" s="7"/>
      <c r="E16284" s="7"/>
      <c r="F16284" s="7"/>
      <c r="G16284" s="7"/>
      <c r="H16284" s="7"/>
      <c r="I16284" s="7"/>
      <c r="J16284" s="7"/>
      <c r="K16284" s="7"/>
      <c r="L16284" s="7"/>
      <c r="M16284" s="7"/>
      <c r="N16284" s="7"/>
      <c r="O16284" s="7"/>
      <c r="P16284" s="7"/>
      <c r="Q16284" s="7"/>
      <c r="R16284" s="7"/>
      <c r="S16284" s="7"/>
      <c r="T16284" s="7"/>
      <c r="U16284" s="7"/>
      <c r="V16284" s="7"/>
      <c r="W16284" s="7"/>
      <c r="X16284" s="7"/>
      <c r="Y16284" s="7"/>
      <c r="Z16284" s="7"/>
      <c r="AA16284" s="7"/>
      <c r="AB16284" s="7"/>
      <c r="AC16284" s="7"/>
      <c r="AD16284" s="7"/>
      <c r="AE16284" s="7"/>
      <c r="AF16284" s="7"/>
    </row>
    <row r="16285" spans="1:32">
      <c r="A16285" s="7"/>
      <c r="B16285" s="7"/>
      <c r="C16285" s="7"/>
      <c r="D16285" s="7"/>
      <c r="E16285" s="7"/>
      <c r="F16285" s="7"/>
      <c r="G16285" s="7"/>
      <c r="H16285" s="7"/>
      <c r="I16285" s="7"/>
      <c r="J16285" s="7"/>
      <c r="K16285" s="7"/>
      <c r="L16285" s="7"/>
      <c r="M16285" s="7"/>
      <c r="N16285" s="7"/>
      <c r="O16285" s="7"/>
      <c r="P16285" s="7"/>
      <c r="Q16285" s="7"/>
      <c r="R16285" s="7"/>
      <c r="S16285" s="7"/>
      <c r="T16285" s="7"/>
      <c r="U16285" s="7"/>
      <c r="V16285" s="7"/>
      <c r="W16285" s="7"/>
      <c r="X16285" s="7"/>
      <c r="Y16285" s="7"/>
      <c r="Z16285" s="7"/>
      <c r="AA16285" s="7"/>
      <c r="AB16285" s="7"/>
      <c r="AC16285" s="7"/>
      <c r="AD16285" s="7"/>
      <c r="AE16285" s="7"/>
      <c r="AF16285" s="7"/>
    </row>
    <row r="16286" spans="1:32">
      <c r="A16286" s="7"/>
      <c r="B16286" s="7"/>
      <c r="C16286" s="7"/>
      <c r="D16286" s="7"/>
      <c r="E16286" s="7"/>
      <c r="F16286" s="7"/>
      <c r="G16286" s="7"/>
      <c r="H16286" s="7"/>
      <c r="I16286" s="7"/>
      <c r="J16286" s="7"/>
      <c r="K16286" s="7"/>
      <c r="L16286" s="7"/>
      <c r="M16286" s="7"/>
      <c r="N16286" s="7"/>
      <c r="O16286" s="7"/>
      <c r="P16286" s="7"/>
      <c r="Q16286" s="7"/>
      <c r="R16286" s="7"/>
      <c r="S16286" s="7"/>
      <c r="T16286" s="7"/>
      <c r="U16286" s="7"/>
      <c r="V16286" s="7"/>
      <c r="W16286" s="7"/>
      <c r="X16286" s="7"/>
      <c r="Y16286" s="7"/>
      <c r="Z16286" s="7"/>
      <c r="AA16286" s="7"/>
      <c r="AB16286" s="7"/>
      <c r="AC16286" s="7"/>
      <c r="AD16286" s="7"/>
      <c r="AE16286" s="7"/>
      <c r="AF16286" s="7"/>
    </row>
    <row r="16287" spans="1:32">
      <c r="A16287" s="7"/>
      <c r="B16287" s="7"/>
      <c r="C16287" s="7"/>
      <c r="D16287" s="7"/>
      <c r="E16287" s="7"/>
      <c r="F16287" s="7"/>
      <c r="G16287" s="7"/>
      <c r="H16287" s="7"/>
      <c r="I16287" s="7"/>
      <c r="J16287" s="7"/>
      <c r="K16287" s="7"/>
      <c r="L16287" s="7"/>
      <c r="M16287" s="7"/>
      <c r="N16287" s="7"/>
      <c r="O16287" s="7"/>
      <c r="P16287" s="7"/>
      <c r="Q16287" s="7"/>
      <c r="R16287" s="7"/>
      <c r="S16287" s="7"/>
      <c r="T16287" s="7"/>
      <c r="U16287" s="7"/>
      <c r="V16287" s="7"/>
      <c r="W16287" s="7"/>
      <c r="X16287" s="7"/>
      <c r="Y16287" s="7"/>
      <c r="Z16287" s="7"/>
      <c r="AA16287" s="7"/>
      <c r="AB16287" s="7"/>
      <c r="AC16287" s="7"/>
      <c r="AD16287" s="7"/>
      <c r="AE16287" s="7"/>
      <c r="AF16287" s="7"/>
    </row>
    <row r="16288" spans="1:32">
      <c r="A16288" s="7"/>
      <c r="B16288" s="7"/>
      <c r="C16288" s="7"/>
      <c r="D16288" s="7"/>
      <c r="E16288" s="7"/>
      <c r="F16288" s="7"/>
      <c r="G16288" s="7"/>
      <c r="H16288" s="7"/>
      <c r="I16288" s="7"/>
      <c r="J16288" s="7"/>
      <c r="K16288" s="7"/>
      <c r="L16288" s="7"/>
      <c r="M16288" s="7"/>
      <c r="N16288" s="7"/>
      <c r="O16288" s="7"/>
      <c r="P16288" s="7"/>
      <c r="Q16288" s="7"/>
      <c r="R16288" s="7"/>
      <c r="S16288" s="7"/>
      <c r="T16288" s="7"/>
      <c r="U16288" s="7"/>
      <c r="V16288" s="7"/>
      <c r="W16288" s="7"/>
      <c r="X16288" s="7"/>
      <c r="Y16288" s="7"/>
      <c r="Z16288" s="7"/>
      <c r="AA16288" s="7"/>
      <c r="AB16288" s="7"/>
      <c r="AC16288" s="7"/>
      <c r="AD16288" s="7"/>
      <c r="AE16288" s="7"/>
      <c r="AF16288" s="7"/>
    </row>
    <row r="16289" spans="1:32">
      <c r="A16289" s="7"/>
      <c r="B16289" s="7"/>
      <c r="C16289" s="7"/>
      <c r="D16289" s="7"/>
      <c r="E16289" s="7"/>
      <c r="F16289" s="7"/>
      <c r="G16289" s="7"/>
      <c r="H16289" s="7"/>
      <c r="I16289" s="7"/>
      <c r="J16289" s="7"/>
      <c r="K16289" s="7"/>
      <c r="L16289" s="7"/>
      <c r="M16289" s="7"/>
      <c r="N16289" s="7"/>
      <c r="O16289" s="7"/>
      <c r="P16289" s="7"/>
      <c r="Q16289" s="7"/>
      <c r="R16289" s="7"/>
      <c r="S16289" s="7"/>
      <c r="T16289" s="7"/>
      <c r="U16289" s="7"/>
      <c r="V16289" s="7"/>
      <c r="W16289" s="7"/>
      <c r="X16289" s="7"/>
      <c r="Y16289" s="7"/>
      <c r="Z16289" s="7"/>
      <c r="AA16289" s="7"/>
      <c r="AB16289" s="7"/>
      <c r="AC16289" s="7"/>
      <c r="AD16289" s="7"/>
      <c r="AE16289" s="7"/>
      <c r="AF16289" s="7"/>
    </row>
    <row r="16290" spans="1:32">
      <c r="A16290" s="7"/>
      <c r="B16290" s="7"/>
      <c r="C16290" s="7"/>
      <c r="D16290" s="7"/>
      <c r="E16290" s="7"/>
      <c r="F16290" s="7"/>
      <c r="G16290" s="7"/>
      <c r="H16290" s="7"/>
      <c r="I16290" s="7"/>
      <c r="J16290" s="7"/>
      <c r="K16290" s="7"/>
      <c r="L16290" s="7"/>
      <c r="M16290" s="7"/>
      <c r="N16290" s="7"/>
      <c r="O16290" s="7"/>
      <c r="P16290" s="7"/>
      <c r="Q16290" s="7"/>
      <c r="R16290" s="7"/>
      <c r="S16290" s="7"/>
      <c r="T16290" s="7"/>
      <c r="U16290" s="7"/>
      <c r="V16290" s="7"/>
      <c r="W16290" s="7"/>
      <c r="X16290" s="7"/>
      <c r="Y16290" s="7"/>
      <c r="Z16290" s="7"/>
      <c r="AA16290" s="7"/>
      <c r="AB16290" s="7"/>
      <c r="AC16290" s="7"/>
      <c r="AD16290" s="7"/>
      <c r="AE16290" s="7"/>
      <c r="AF16290" s="7"/>
    </row>
    <row r="16291" spans="1:32">
      <c r="A16291" s="7"/>
      <c r="B16291" s="7"/>
      <c r="C16291" s="7"/>
      <c r="D16291" s="7"/>
      <c r="E16291" s="7"/>
      <c r="F16291" s="7"/>
      <c r="G16291" s="7"/>
      <c r="H16291" s="7"/>
      <c r="I16291" s="7"/>
      <c r="J16291" s="7"/>
      <c r="K16291" s="7"/>
      <c r="L16291" s="7"/>
      <c r="M16291" s="7"/>
      <c r="N16291" s="7"/>
      <c r="O16291" s="7"/>
      <c r="P16291" s="7"/>
      <c r="Q16291" s="7"/>
      <c r="R16291" s="7"/>
      <c r="S16291" s="7"/>
      <c r="T16291" s="7"/>
      <c r="U16291" s="7"/>
      <c r="V16291" s="7"/>
      <c r="W16291" s="7"/>
      <c r="X16291" s="7"/>
      <c r="Y16291" s="7"/>
      <c r="Z16291" s="7"/>
      <c r="AA16291" s="7"/>
      <c r="AB16291" s="7"/>
      <c r="AC16291" s="7"/>
      <c r="AD16291" s="7"/>
      <c r="AE16291" s="7"/>
      <c r="AF16291" s="7"/>
    </row>
    <row r="16292" spans="1:32">
      <c r="A16292" s="7"/>
      <c r="B16292" s="7"/>
      <c r="C16292" s="7"/>
      <c r="D16292" s="7"/>
      <c r="E16292" s="7"/>
      <c r="F16292" s="7"/>
      <c r="G16292" s="7"/>
      <c r="H16292" s="7"/>
      <c r="I16292" s="7"/>
      <c r="J16292" s="7"/>
      <c r="K16292" s="7"/>
      <c r="L16292" s="7"/>
      <c r="M16292" s="7"/>
      <c r="N16292" s="7"/>
      <c r="O16292" s="7"/>
      <c r="P16292" s="7"/>
      <c r="Q16292" s="7"/>
      <c r="R16292" s="7"/>
      <c r="S16292" s="7"/>
      <c r="T16292" s="7"/>
      <c r="U16292" s="7"/>
      <c r="V16292" s="7"/>
      <c r="W16292" s="7"/>
      <c r="X16292" s="7"/>
      <c r="Y16292" s="7"/>
      <c r="Z16292" s="7"/>
      <c r="AA16292" s="7"/>
      <c r="AB16292" s="7"/>
      <c r="AC16292" s="7"/>
      <c r="AD16292" s="7"/>
      <c r="AE16292" s="7"/>
      <c r="AF16292" s="7"/>
    </row>
    <row r="16293" spans="1:32">
      <c r="A16293" s="7"/>
      <c r="B16293" s="7"/>
      <c r="C16293" s="7"/>
      <c r="D16293" s="7"/>
      <c r="E16293" s="7"/>
      <c r="F16293" s="7"/>
      <c r="G16293" s="7"/>
      <c r="H16293" s="7"/>
      <c r="I16293" s="7"/>
      <c r="J16293" s="7"/>
      <c r="K16293" s="7"/>
      <c r="L16293" s="7"/>
      <c r="M16293" s="7"/>
      <c r="N16293" s="7"/>
      <c r="O16293" s="7"/>
      <c r="P16293" s="7"/>
      <c r="Q16293" s="7"/>
      <c r="R16293" s="7"/>
      <c r="S16293" s="7"/>
      <c r="T16293" s="7"/>
      <c r="U16293" s="7"/>
      <c r="V16293" s="7"/>
      <c r="W16293" s="7"/>
      <c r="X16293" s="7"/>
      <c r="Y16293" s="7"/>
      <c r="Z16293" s="7"/>
      <c r="AA16293" s="7"/>
      <c r="AB16293" s="7"/>
      <c r="AC16293" s="7"/>
      <c r="AD16293" s="7"/>
      <c r="AE16293" s="7"/>
      <c r="AF16293" s="7"/>
    </row>
    <row r="16294" spans="1:32">
      <c r="A16294" s="7"/>
      <c r="B16294" s="7"/>
      <c r="C16294" s="7"/>
      <c r="D16294" s="7"/>
      <c r="E16294" s="7"/>
      <c r="F16294" s="7"/>
      <c r="G16294" s="7"/>
      <c r="H16294" s="7"/>
      <c r="I16294" s="7"/>
      <c r="J16294" s="7"/>
      <c r="K16294" s="7"/>
      <c r="L16294" s="7"/>
      <c r="M16294" s="7"/>
      <c r="N16294" s="7"/>
      <c r="O16294" s="7"/>
      <c r="P16294" s="7"/>
      <c r="Q16294" s="7"/>
      <c r="R16294" s="7"/>
      <c r="S16294" s="7"/>
      <c r="T16294" s="7"/>
      <c r="U16294" s="7"/>
      <c r="V16294" s="7"/>
      <c r="W16294" s="7"/>
      <c r="X16294" s="7"/>
      <c r="Y16294" s="7"/>
      <c r="Z16294" s="7"/>
      <c r="AA16294" s="7"/>
      <c r="AB16294" s="7"/>
      <c r="AC16294" s="7"/>
      <c r="AD16294" s="7"/>
      <c r="AE16294" s="7"/>
      <c r="AF16294" s="7"/>
    </row>
    <row r="16295" spans="1:32">
      <c r="A16295" s="7"/>
      <c r="B16295" s="7"/>
      <c r="C16295" s="7"/>
      <c r="D16295" s="7"/>
      <c r="E16295" s="7"/>
      <c r="F16295" s="7"/>
      <c r="G16295" s="7"/>
      <c r="H16295" s="7"/>
      <c r="I16295" s="7"/>
      <c r="J16295" s="7"/>
      <c r="K16295" s="7"/>
      <c r="L16295" s="7"/>
      <c r="M16295" s="7"/>
      <c r="N16295" s="7"/>
      <c r="O16295" s="7"/>
      <c r="P16295" s="7"/>
      <c r="Q16295" s="7"/>
      <c r="R16295" s="7"/>
      <c r="S16295" s="7"/>
      <c r="T16295" s="7"/>
      <c r="U16295" s="7"/>
      <c r="V16295" s="7"/>
      <c r="W16295" s="7"/>
      <c r="X16295" s="7"/>
      <c r="Y16295" s="7"/>
      <c r="Z16295" s="7"/>
      <c r="AA16295" s="7"/>
      <c r="AB16295" s="7"/>
      <c r="AC16295" s="7"/>
      <c r="AD16295" s="7"/>
      <c r="AE16295" s="7"/>
      <c r="AF16295" s="7"/>
    </row>
    <row r="16296" spans="1:32">
      <c r="A16296" s="7"/>
      <c r="B16296" s="7"/>
      <c r="C16296" s="7"/>
      <c r="D16296" s="7"/>
      <c r="E16296" s="7"/>
      <c r="F16296" s="7"/>
      <c r="G16296" s="7"/>
      <c r="H16296" s="7"/>
      <c r="I16296" s="7"/>
      <c r="J16296" s="7"/>
      <c r="K16296" s="7"/>
      <c r="L16296" s="7"/>
      <c r="M16296" s="7"/>
      <c r="N16296" s="7"/>
      <c r="O16296" s="7"/>
      <c r="P16296" s="7"/>
      <c r="Q16296" s="7"/>
      <c r="R16296" s="7"/>
      <c r="S16296" s="7"/>
      <c r="T16296" s="7"/>
      <c r="U16296" s="7"/>
      <c r="V16296" s="7"/>
      <c r="W16296" s="7"/>
      <c r="X16296" s="7"/>
      <c r="Y16296" s="7"/>
      <c r="Z16296" s="7"/>
      <c r="AA16296" s="7"/>
      <c r="AB16296" s="7"/>
      <c r="AC16296" s="7"/>
      <c r="AD16296" s="7"/>
      <c r="AE16296" s="7"/>
      <c r="AF16296" s="7"/>
    </row>
    <row r="16297" spans="1:32">
      <c r="A16297" s="7"/>
      <c r="B16297" s="7"/>
      <c r="C16297" s="7"/>
      <c r="D16297" s="7"/>
      <c r="E16297" s="7"/>
      <c r="F16297" s="7"/>
      <c r="G16297" s="7"/>
      <c r="H16297" s="7"/>
      <c r="I16297" s="7"/>
      <c r="J16297" s="7"/>
      <c r="K16297" s="7"/>
      <c r="L16297" s="7"/>
      <c r="M16297" s="7"/>
      <c r="N16297" s="7"/>
      <c r="O16297" s="7"/>
      <c r="P16297" s="7"/>
      <c r="Q16297" s="7"/>
      <c r="R16297" s="7"/>
      <c r="S16297" s="7"/>
      <c r="T16297" s="7"/>
      <c r="U16297" s="7"/>
      <c r="V16297" s="7"/>
      <c r="W16297" s="7"/>
      <c r="X16297" s="7"/>
      <c r="Y16297" s="7"/>
      <c r="Z16297" s="7"/>
      <c r="AA16297" s="7"/>
      <c r="AB16297" s="7"/>
      <c r="AC16297" s="7"/>
      <c r="AD16297" s="7"/>
      <c r="AE16297" s="7"/>
      <c r="AF16297" s="7"/>
    </row>
    <row r="16298" spans="1:32">
      <c r="A16298" s="7"/>
      <c r="B16298" s="7"/>
      <c r="C16298" s="7"/>
      <c r="D16298" s="7"/>
      <c r="E16298" s="7"/>
      <c r="F16298" s="7"/>
      <c r="G16298" s="7"/>
      <c r="H16298" s="7"/>
      <c r="I16298" s="7"/>
      <c r="J16298" s="7"/>
      <c r="K16298" s="7"/>
      <c r="L16298" s="7"/>
      <c r="M16298" s="7"/>
      <c r="N16298" s="7"/>
      <c r="O16298" s="7"/>
      <c r="P16298" s="7"/>
      <c r="Q16298" s="7"/>
      <c r="R16298" s="7"/>
      <c r="S16298" s="7"/>
      <c r="T16298" s="7"/>
      <c r="U16298" s="7"/>
      <c r="V16298" s="7"/>
      <c r="W16298" s="7"/>
      <c r="X16298" s="7"/>
      <c r="Y16298" s="7"/>
      <c r="Z16298" s="7"/>
      <c r="AA16298" s="7"/>
      <c r="AB16298" s="7"/>
      <c r="AC16298" s="7"/>
      <c r="AD16298" s="7"/>
      <c r="AE16298" s="7"/>
      <c r="AF16298" s="7"/>
    </row>
    <row r="16299" spans="1:32">
      <c r="A16299" s="7"/>
      <c r="B16299" s="7"/>
      <c r="C16299" s="7"/>
      <c r="D16299" s="7"/>
      <c r="E16299" s="7"/>
      <c r="F16299" s="7"/>
      <c r="G16299" s="7"/>
      <c r="H16299" s="7"/>
      <c r="I16299" s="7"/>
      <c r="J16299" s="7"/>
      <c r="K16299" s="7"/>
      <c r="L16299" s="7"/>
      <c r="M16299" s="7"/>
      <c r="N16299" s="7"/>
      <c r="O16299" s="7"/>
      <c r="P16299" s="7"/>
      <c r="Q16299" s="7"/>
      <c r="R16299" s="7"/>
      <c r="S16299" s="7"/>
      <c r="T16299" s="7"/>
      <c r="U16299" s="7"/>
      <c r="V16299" s="7"/>
      <c r="W16299" s="7"/>
      <c r="X16299" s="7"/>
      <c r="Y16299" s="7"/>
      <c r="Z16299" s="7"/>
      <c r="AA16299" s="7"/>
      <c r="AB16299" s="7"/>
      <c r="AC16299" s="7"/>
      <c r="AD16299" s="7"/>
      <c r="AE16299" s="7"/>
      <c r="AF16299" s="7"/>
    </row>
    <row r="16300" spans="1:32">
      <c r="A16300" s="7"/>
      <c r="B16300" s="7"/>
      <c r="C16300" s="7"/>
      <c r="D16300" s="7"/>
      <c r="E16300" s="7"/>
      <c r="F16300" s="7"/>
      <c r="G16300" s="7"/>
      <c r="H16300" s="7"/>
      <c r="I16300" s="7"/>
      <c r="J16300" s="7"/>
      <c r="K16300" s="7"/>
      <c r="L16300" s="7"/>
      <c r="M16300" s="7"/>
      <c r="N16300" s="7"/>
      <c r="O16300" s="7"/>
      <c r="P16300" s="7"/>
      <c r="Q16300" s="7"/>
      <c r="R16300" s="7"/>
      <c r="S16300" s="7"/>
      <c r="T16300" s="7"/>
      <c r="U16300" s="7"/>
      <c r="V16300" s="7"/>
      <c r="W16300" s="7"/>
      <c r="X16300" s="7"/>
      <c r="Y16300" s="7"/>
      <c r="Z16300" s="7"/>
      <c r="AA16300" s="7"/>
      <c r="AB16300" s="7"/>
      <c r="AC16300" s="7"/>
      <c r="AD16300" s="7"/>
      <c r="AE16300" s="7"/>
      <c r="AF16300" s="7"/>
    </row>
    <row r="16301" spans="1:32">
      <c r="A16301" s="7"/>
      <c r="B16301" s="7"/>
      <c r="C16301" s="7"/>
      <c r="D16301" s="7"/>
      <c r="E16301" s="7"/>
      <c r="F16301" s="7"/>
      <c r="G16301" s="7"/>
      <c r="H16301" s="7"/>
      <c r="I16301" s="7"/>
      <c r="J16301" s="7"/>
      <c r="K16301" s="7"/>
      <c r="L16301" s="7"/>
      <c r="M16301" s="7"/>
      <c r="N16301" s="7"/>
      <c r="O16301" s="7"/>
      <c r="P16301" s="7"/>
      <c r="Q16301" s="7"/>
      <c r="R16301" s="7"/>
      <c r="S16301" s="7"/>
      <c r="T16301" s="7"/>
      <c r="U16301" s="7"/>
      <c r="V16301" s="7"/>
      <c r="W16301" s="7"/>
      <c r="X16301" s="7"/>
      <c r="Y16301" s="7"/>
      <c r="Z16301" s="7"/>
      <c r="AA16301" s="7"/>
      <c r="AB16301" s="7"/>
      <c r="AC16301" s="7"/>
      <c r="AD16301" s="7"/>
      <c r="AE16301" s="7"/>
      <c r="AF16301" s="7"/>
    </row>
    <row r="16302" spans="1:32">
      <c r="A16302" s="7"/>
      <c r="B16302" s="7"/>
      <c r="C16302" s="7"/>
      <c r="D16302" s="7"/>
      <c r="E16302" s="7"/>
      <c r="F16302" s="7"/>
      <c r="G16302" s="7"/>
      <c r="H16302" s="7"/>
      <c r="I16302" s="7"/>
      <c r="J16302" s="7"/>
      <c r="K16302" s="7"/>
      <c r="L16302" s="7"/>
      <c r="M16302" s="7"/>
      <c r="N16302" s="7"/>
      <c r="O16302" s="7"/>
      <c r="P16302" s="7"/>
      <c r="Q16302" s="7"/>
      <c r="R16302" s="7"/>
      <c r="S16302" s="7"/>
      <c r="T16302" s="7"/>
      <c r="U16302" s="7"/>
      <c r="V16302" s="7"/>
      <c r="W16302" s="7"/>
      <c r="X16302" s="7"/>
      <c r="Y16302" s="7"/>
      <c r="Z16302" s="7"/>
      <c r="AA16302" s="7"/>
      <c r="AB16302" s="7"/>
      <c r="AC16302" s="7"/>
      <c r="AD16302" s="7"/>
      <c r="AE16302" s="7"/>
      <c r="AF16302" s="7"/>
    </row>
    <row r="16303" spans="1:32">
      <c r="A16303" s="7"/>
      <c r="B16303" s="7"/>
      <c r="C16303" s="7"/>
      <c r="D16303" s="7"/>
      <c r="E16303" s="7"/>
      <c r="F16303" s="7"/>
      <c r="G16303" s="7"/>
      <c r="H16303" s="7"/>
      <c r="I16303" s="7"/>
      <c r="J16303" s="7"/>
      <c r="K16303" s="7"/>
      <c r="L16303" s="7"/>
      <c r="M16303" s="7"/>
      <c r="N16303" s="7"/>
      <c r="O16303" s="7"/>
      <c r="P16303" s="7"/>
      <c r="Q16303" s="7"/>
      <c r="R16303" s="7"/>
      <c r="S16303" s="7"/>
      <c r="T16303" s="7"/>
      <c r="U16303" s="7"/>
      <c r="V16303" s="7"/>
      <c r="W16303" s="7"/>
      <c r="X16303" s="7"/>
      <c r="Y16303" s="7"/>
      <c r="Z16303" s="7"/>
      <c r="AA16303" s="7"/>
      <c r="AB16303" s="7"/>
      <c r="AC16303" s="7"/>
      <c r="AD16303" s="7"/>
      <c r="AE16303" s="7"/>
      <c r="AF16303" s="7"/>
    </row>
    <row r="16304" spans="1:32">
      <c r="A16304" s="7"/>
      <c r="B16304" s="7"/>
      <c r="C16304" s="7"/>
      <c r="D16304" s="7"/>
      <c r="E16304" s="7"/>
      <c r="F16304" s="7"/>
      <c r="G16304" s="7"/>
      <c r="H16304" s="7"/>
      <c r="I16304" s="7"/>
      <c r="J16304" s="7"/>
      <c r="K16304" s="7"/>
      <c r="L16304" s="7"/>
      <c r="M16304" s="7"/>
      <c r="N16304" s="7"/>
      <c r="O16304" s="7"/>
      <c r="P16304" s="7"/>
      <c r="Q16304" s="7"/>
      <c r="R16304" s="7"/>
      <c r="S16304" s="7"/>
      <c r="T16304" s="7"/>
      <c r="U16304" s="7"/>
      <c r="V16304" s="7"/>
      <c r="W16304" s="7"/>
      <c r="X16304" s="7"/>
      <c r="Y16304" s="7"/>
      <c r="Z16304" s="7"/>
      <c r="AA16304" s="7"/>
      <c r="AB16304" s="7"/>
      <c r="AC16304" s="7"/>
      <c r="AD16304" s="7"/>
      <c r="AE16304" s="7"/>
      <c r="AF16304" s="7"/>
    </row>
    <row r="16305" spans="1:32">
      <c r="A16305" s="7"/>
      <c r="B16305" s="7"/>
      <c r="C16305" s="7"/>
      <c r="D16305" s="7"/>
      <c r="E16305" s="7"/>
      <c r="F16305" s="7"/>
      <c r="G16305" s="7"/>
      <c r="H16305" s="7"/>
      <c r="I16305" s="7"/>
      <c r="J16305" s="7"/>
      <c r="K16305" s="7"/>
      <c r="L16305" s="7"/>
      <c r="M16305" s="7"/>
      <c r="N16305" s="7"/>
      <c r="O16305" s="7"/>
      <c r="P16305" s="7"/>
      <c r="Q16305" s="7"/>
      <c r="R16305" s="7"/>
      <c r="S16305" s="7"/>
      <c r="T16305" s="7"/>
      <c r="U16305" s="7"/>
      <c r="V16305" s="7"/>
      <c r="W16305" s="7"/>
      <c r="X16305" s="7"/>
      <c r="Y16305" s="7"/>
      <c r="Z16305" s="7"/>
      <c r="AA16305" s="7"/>
      <c r="AB16305" s="7"/>
      <c r="AC16305" s="7"/>
      <c r="AD16305" s="7"/>
      <c r="AE16305" s="7"/>
      <c r="AF16305" s="7"/>
    </row>
    <row r="16306" spans="1:32">
      <c r="A16306" s="7"/>
      <c r="B16306" s="7"/>
      <c r="C16306" s="7"/>
      <c r="D16306" s="7"/>
      <c r="E16306" s="7"/>
      <c r="F16306" s="7"/>
      <c r="G16306" s="7"/>
      <c r="H16306" s="7"/>
      <c r="I16306" s="7"/>
      <c r="J16306" s="7"/>
      <c r="K16306" s="7"/>
      <c r="L16306" s="7"/>
      <c r="M16306" s="7"/>
      <c r="N16306" s="7"/>
      <c r="O16306" s="7"/>
      <c r="P16306" s="7"/>
      <c r="Q16306" s="7"/>
      <c r="R16306" s="7"/>
      <c r="S16306" s="7"/>
      <c r="T16306" s="7"/>
      <c r="U16306" s="7"/>
      <c r="V16306" s="7"/>
      <c r="W16306" s="7"/>
      <c r="X16306" s="7"/>
      <c r="Y16306" s="7"/>
      <c r="Z16306" s="7"/>
      <c r="AA16306" s="7"/>
      <c r="AB16306" s="7"/>
      <c r="AC16306" s="7"/>
      <c r="AD16306" s="7"/>
      <c r="AE16306" s="7"/>
      <c r="AF16306" s="7"/>
    </row>
    <row r="16307" spans="1:32">
      <c r="A16307" s="7"/>
      <c r="B16307" s="7"/>
      <c r="C16307" s="7"/>
      <c r="D16307" s="7"/>
      <c r="E16307" s="7"/>
      <c r="F16307" s="7"/>
      <c r="G16307" s="7"/>
      <c r="H16307" s="7"/>
      <c r="I16307" s="7"/>
      <c r="J16307" s="7"/>
      <c r="K16307" s="7"/>
      <c r="L16307" s="7"/>
      <c r="M16307" s="7"/>
      <c r="N16307" s="7"/>
      <c r="O16307" s="7"/>
      <c r="P16307" s="7"/>
      <c r="Q16307" s="7"/>
      <c r="R16307" s="7"/>
      <c r="S16307" s="7"/>
      <c r="T16307" s="7"/>
      <c r="U16307" s="7"/>
      <c r="V16307" s="7"/>
      <c r="W16307" s="7"/>
      <c r="X16307" s="7"/>
      <c r="Y16307" s="7"/>
      <c r="Z16307" s="7"/>
      <c r="AA16307" s="7"/>
      <c r="AB16307" s="7"/>
      <c r="AC16307" s="7"/>
      <c r="AD16307" s="7"/>
      <c r="AE16307" s="7"/>
      <c r="AF16307" s="7"/>
    </row>
    <row r="16308" spans="1:32">
      <c r="A16308" s="7"/>
      <c r="B16308" s="7"/>
      <c r="C16308" s="7"/>
      <c r="D16308" s="7"/>
      <c r="E16308" s="7"/>
      <c r="F16308" s="7"/>
      <c r="G16308" s="7"/>
      <c r="H16308" s="7"/>
      <c r="I16308" s="7"/>
      <c r="J16308" s="7"/>
      <c r="K16308" s="7"/>
      <c r="L16308" s="7"/>
      <c r="M16308" s="7"/>
      <c r="N16308" s="7"/>
      <c r="O16308" s="7"/>
      <c r="P16308" s="7"/>
      <c r="Q16308" s="7"/>
      <c r="R16308" s="7"/>
      <c r="S16308" s="7"/>
      <c r="T16308" s="7"/>
      <c r="U16308" s="7"/>
      <c r="V16308" s="7"/>
      <c r="W16308" s="7"/>
      <c r="X16308" s="7"/>
      <c r="Y16308" s="7"/>
      <c r="Z16308" s="7"/>
      <c r="AA16308" s="7"/>
      <c r="AB16308" s="7"/>
      <c r="AC16308" s="7"/>
      <c r="AD16308" s="7"/>
      <c r="AE16308" s="7"/>
      <c r="AF16308" s="7"/>
    </row>
    <row r="16309" spans="1:32">
      <c r="A16309" s="7"/>
      <c r="B16309" s="7"/>
      <c r="C16309" s="7"/>
      <c r="D16309" s="7"/>
      <c r="E16309" s="7"/>
      <c r="F16309" s="7"/>
      <c r="G16309" s="7"/>
      <c r="H16309" s="7"/>
      <c r="I16309" s="7"/>
      <c r="J16309" s="7"/>
      <c r="K16309" s="7"/>
      <c r="L16309" s="7"/>
      <c r="M16309" s="7"/>
      <c r="N16309" s="7"/>
      <c r="O16309" s="7"/>
      <c r="P16309" s="7"/>
      <c r="Q16309" s="7"/>
      <c r="R16309" s="7"/>
      <c r="S16309" s="7"/>
      <c r="T16309" s="7"/>
      <c r="U16309" s="7"/>
      <c r="V16309" s="7"/>
      <c r="W16309" s="7"/>
      <c r="X16309" s="7"/>
      <c r="Y16309" s="7"/>
      <c r="Z16309" s="7"/>
      <c r="AA16309" s="7"/>
      <c r="AB16309" s="7"/>
      <c r="AC16309" s="7"/>
      <c r="AD16309" s="7"/>
      <c r="AE16309" s="7"/>
      <c r="AF16309" s="7"/>
    </row>
    <row r="16310" spans="1:32">
      <c r="A16310" s="7"/>
      <c r="B16310" s="7"/>
      <c r="C16310" s="7"/>
      <c r="D16310" s="7"/>
      <c r="E16310" s="7"/>
      <c r="F16310" s="7"/>
      <c r="G16310" s="7"/>
      <c r="H16310" s="7"/>
      <c r="I16310" s="7"/>
      <c r="J16310" s="7"/>
      <c r="K16310" s="7"/>
      <c r="L16310" s="7"/>
      <c r="M16310" s="7"/>
      <c r="N16310" s="7"/>
      <c r="O16310" s="7"/>
      <c r="P16310" s="7"/>
      <c r="Q16310" s="7"/>
      <c r="R16310" s="7"/>
      <c r="S16310" s="7"/>
      <c r="T16310" s="7"/>
      <c r="U16310" s="7"/>
      <c r="V16310" s="7"/>
      <c r="W16310" s="7"/>
      <c r="X16310" s="7"/>
      <c r="Y16310" s="7"/>
      <c r="Z16310" s="7"/>
      <c r="AA16310" s="7"/>
      <c r="AB16310" s="7"/>
      <c r="AC16310" s="7"/>
      <c r="AD16310" s="7"/>
      <c r="AE16310" s="7"/>
      <c r="AF16310" s="7"/>
    </row>
    <row r="16311" spans="1:32">
      <c r="A16311" s="7"/>
      <c r="B16311" s="7"/>
      <c r="C16311" s="7"/>
      <c r="D16311" s="7"/>
      <c r="E16311" s="7"/>
      <c r="F16311" s="7"/>
      <c r="G16311" s="7"/>
      <c r="H16311" s="7"/>
      <c r="I16311" s="7"/>
      <c r="J16311" s="7"/>
      <c r="K16311" s="7"/>
      <c r="L16311" s="7"/>
      <c r="M16311" s="7"/>
      <c r="N16311" s="7"/>
      <c r="O16311" s="7"/>
      <c r="P16311" s="7"/>
      <c r="Q16311" s="7"/>
      <c r="R16311" s="7"/>
      <c r="S16311" s="7"/>
      <c r="T16311" s="7"/>
      <c r="U16311" s="7"/>
      <c r="V16311" s="7"/>
      <c r="W16311" s="7"/>
      <c r="X16311" s="7"/>
      <c r="Y16311" s="7"/>
      <c r="Z16311" s="7"/>
      <c r="AA16311" s="7"/>
      <c r="AB16311" s="7"/>
      <c r="AC16311" s="7"/>
      <c r="AD16311" s="7"/>
      <c r="AE16311" s="7"/>
      <c r="AF16311" s="7"/>
    </row>
    <row r="16312" spans="1:32">
      <c r="A16312" s="7"/>
      <c r="B16312" s="7"/>
      <c r="C16312" s="7"/>
      <c r="D16312" s="7"/>
      <c r="E16312" s="7"/>
      <c r="F16312" s="7"/>
      <c r="G16312" s="7"/>
      <c r="H16312" s="7"/>
      <c r="I16312" s="7"/>
      <c r="J16312" s="7"/>
      <c r="K16312" s="7"/>
      <c r="L16312" s="7"/>
      <c r="M16312" s="7"/>
      <c r="N16312" s="7"/>
      <c r="O16312" s="7"/>
      <c r="P16312" s="7"/>
      <c r="Q16312" s="7"/>
      <c r="R16312" s="7"/>
      <c r="S16312" s="7"/>
      <c r="T16312" s="7"/>
      <c r="U16312" s="7"/>
      <c r="V16312" s="7"/>
      <c r="W16312" s="7"/>
      <c r="X16312" s="7"/>
      <c r="Y16312" s="7"/>
      <c r="Z16312" s="7"/>
      <c r="AA16312" s="7"/>
      <c r="AB16312" s="7"/>
      <c r="AC16312" s="7"/>
      <c r="AD16312" s="7"/>
      <c r="AE16312" s="7"/>
      <c r="AF16312" s="7"/>
    </row>
    <row r="16313" spans="1:32">
      <c r="A16313" s="7"/>
      <c r="B16313" s="7"/>
      <c r="C16313" s="7"/>
      <c r="D16313" s="7"/>
      <c r="E16313" s="7"/>
      <c r="F16313" s="7"/>
      <c r="G16313" s="7"/>
      <c r="H16313" s="7"/>
      <c r="I16313" s="7"/>
      <c r="J16313" s="7"/>
      <c r="K16313" s="7"/>
      <c r="L16313" s="7"/>
      <c r="M16313" s="7"/>
      <c r="N16313" s="7"/>
      <c r="O16313" s="7"/>
      <c r="P16313" s="7"/>
      <c r="Q16313" s="7"/>
      <c r="R16313" s="7"/>
      <c r="S16313" s="7"/>
      <c r="T16313" s="7"/>
      <c r="U16313" s="7"/>
      <c r="V16313" s="7"/>
      <c r="W16313" s="7"/>
      <c r="X16313" s="7"/>
      <c r="Y16313" s="7"/>
      <c r="Z16313" s="7"/>
      <c r="AA16313" s="7"/>
      <c r="AB16313" s="7"/>
      <c r="AC16313" s="7"/>
      <c r="AD16313" s="7"/>
      <c r="AE16313" s="7"/>
      <c r="AF16313" s="7"/>
    </row>
    <row r="16314" spans="1:32">
      <c r="A16314" s="7"/>
      <c r="B16314" s="7"/>
      <c r="C16314" s="7"/>
      <c r="D16314" s="7"/>
      <c r="E16314" s="7"/>
      <c r="F16314" s="7"/>
      <c r="G16314" s="7"/>
      <c r="H16314" s="7"/>
      <c r="I16314" s="7"/>
      <c r="J16314" s="7"/>
      <c r="K16314" s="7"/>
      <c r="L16314" s="7"/>
      <c r="M16314" s="7"/>
      <c r="N16314" s="7"/>
      <c r="O16314" s="7"/>
      <c r="P16314" s="7"/>
      <c r="Q16314" s="7"/>
      <c r="R16314" s="7"/>
      <c r="S16314" s="7"/>
      <c r="T16314" s="7"/>
      <c r="U16314" s="7"/>
      <c r="V16314" s="7"/>
      <c r="W16314" s="7"/>
      <c r="X16314" s="7"/>
      <c r="Y16314" s="7"/>
      <c r="Z16314" s="7"/>
      <c r="AA16314" s="7"/>
      <c r="AB16314" s="7"/>
      <c r="AC16314" s="7"/>
      <c r="AD16314" s="7"/>
      <c r="AE16314" s="7"/>
      <c r="AF16314" s="7"/>
    </row>
    <row r="16315" spans="1:32">
      <c r="A16315" s="7"/>
      <c r="B16315" s="7"/>
      <c r="C16315" s="7"/>
      <c r="D16315" s="7"/>
      <c r="E16315" s="7"/>
      <c r="F16315" s="7"/>
      <c r="G16315" s="7"/>
      <c r="H16315" s="7"/>
      <c r="I16315" s="7"/>
      <c r="J16315" s="7"/>
      <c r="K16315" s="7"/>
      <c r="L16315" s="7"/>
      <c r="M16315" s="7"/>
      <c r="N16315" s="7"/>
      <c r="O16315" s="7"/>
      <c r="P16315" s="7"/>
      <c r="Q16315" s="7"/>
      <c r="R16315" s="7"/>
      <c r="S16315" s="7"/>
      <c r="T16315" s="7"/>
      <c r="U16315" s="7"/>
      <c r="V16315" s="7"/>
      <c r="W16315" s="7"/>
      <c r="X16315" s="7"/>
      <c r="Y16315" s="7"/>
      <c r="Z16315" s="7"/>
      <c r="AA16315" s="7"/>
      <c r="AB16315" s="7"/>
      <c r="AC16315" s="7"/>
      <c r="AD16315" s="7"/>
      <c r="AE16315" s="7"/>
      <c r="AF16315" s="7"/>
    </row>
    <row r="16316" spans="1:32">
      <c r="A16316" s="7"/>
      <c r="B16316" s="7"/>
      <c r="C16316" s="7"/>
      <c r="D16316" s="7"/>
      <c r="E16316" s="7"/>
      <c r="F16316" s="7"/>
      <c r="G16316" s="7"/>
      <c r="H16316" s="7"/>
      <c r="I16316" s="7"/>
      <c r="J16316" s="7"/>
      <c r="K16316" s="7"/>
      <c r="L16316" s="7"/>
      <c r="M16316" s="7"/>
      <c r="N16316" s="7"/>
      <c r="O16316" s="7"/>
      <c r="P16316" s="7"/>
      <c r="Q16316" s="7"/>
      <c r="R16316" s="7"/>
      <c r="S16316" s="7"/>
      <c r="T16316" s="7"/>
      <c r="U16316" s="7"/>
      <c r="V16316" s="7"/>
      <c r="W16316" s="7"/>
      <c r="X16316" s="7"/>
      <c r="Y16316" s="7"/>
      <c r="Z16316" s="7"/>
      <c r="AA16316" s="7"/>
      <c r="AB16316" s="7"/>
      <c r="AC16316" s="7"/>
      <c r="AD16316" s="7"/>
      <c r="AE16316" s="7"/>
      <c r="AF16316" s="7"/>
    </row>
    <row r="16317" spans="1:32">
      <c r="A16317" s="7"/>
      <c r="B16317" s="7"/>
      <c r="C16317" s="7"/>
      <c r="D16317" s="7"/>
      <c r="E16317" s="7"/>
      <c r="F16317" s="7"/>
      <c r="G16317" s="7"/>
      <c r="H16317" s="7"/>
      <c r="I16317" s="7"/>
      <c r="J16317" s="7"/>
      <c r="K16317" s="7"/>
      <c r="L16317" s="7"/>
      <c r="M16317" s="7"/>
      <c r="N16317" s="7"/>
      <c r="O16317" s="7"/>
      <c r="P16317" s="7"/>
      <c r="Q16317" s="7"/>
      <c r="R16317" s="7"/>
      <c r="S16317" s="7"/>
      <c r="T16317" s="7"/>
      <c r="U16317" s="7"/>
      <c r="V16317" s="7"/>
      <c r="W16317" s="7"/>
      <c r="X16317" s="7"/>
      <c r="Y16317" s="7"/>
      <c r="Z16317" s="7"/>
      <c r="AA16317" s="7"/>
      <c r="AB16317" s="7"/>
      <c r="AC16317" s="7"/>
      <c r="AD16317" s="7"/>
      <c r="AE16317" s="7"/>
      <c r="AF16317" s="7"/>
    </row>
    <row r="16318" spans="1:32">
      <c r="A16318" s="7"/>
      <c r="B16318" s="7"/>
      <c r="C16318" s="7"/>
      <c r="D16318" s="7"/>
      <c r="E16318" s="7"/>
      <c r="F16318" s="7"/>
      <c r="G16318" s="7"/>
      <c r="H16318" s="7"/>
      <c r="I16318" s="7"/>
      <c r="J16318" s="7"/>
      <c r="K16318" s="7"/>
      <c r="L16318" s="7"/>
      <c r="M16318" s="7"/>
      <c r="N16318" s="7"/>
      <c r="O16318" s="7"/>
      <c r="P16318" s="7"/>
      <c r="Q16318" s="7"/>
      <c r="R16318" s="7"/>
      <c r="S16318" s="7"/>
      <c r="T16318" s="7"/>
      <c r="U16318" s="7"/>
      <c r="V16318" s="7"/>
      <c r="W16318" s="7"/>
      <c r="X16318" s="7"/>
      <c r="Y16318" s="7"/>
      <c r="Z16318" s="7"/>
      <c r="AA16318" s="7"/>
      <c r="AB16318" s="7"/>
      <c r="AC16318" s="7"/>
      <c r="AD16318" s="7"/>
      <c r="AE16318" s="7"/>
      <c r="AF16318" s="7"/>
    </row>
    <row r="16319" spans="1:32">
      <c r="A16319" s="7"/>
      <c r="B16319" s="7"/>
      <c r="C16319" s="7"/>
      <c r="D16319" s="7"/>
      <c r="E16319" s="7"/>
      <c r="F16319" s="7"/>
      <c r="G16319" s="7"/>
      <c r="H16319" s="7"/>
      <c r="I16319" s="7"/>
      <c r="J16319" s="7"/>
      <c r="K16319" s="7"/>
      <c r="L16319" s="7"/>
      <c r="M16319" s="7"/>
      <c r="N16319" s="7"/>
      <c r="O16319" s="7"/>
      <c r="P16319" s="7"/>
      <c r="Q16319" s="7"/>
      <c r="R16319" s="7"/>
      <c r="S16319" s="7"/>
      <c r="T16319" s="7"/>
      <c r="U16319" s="7"/>
      <c r="V16319" s="7"/>
      <c r="W16319" s="7"/>
      <c r="X16319" s="7"/>
      <c r="Y16319" s="7"/>
      <c r="Z16319" s="7"/>
      <c r="AA16319" s="7"/>
      <c r="AB16319" s="7"/>
      <c r="AC16319" s="7"/>
      <c r="AD16319" s="7"/>
      <c r="AE16319" s="7"/>
      <c r="AF16319" s="7"/>
    </row>
    <row r="16320" spans="1:32">
      <c r="A16320" s="7"/>
      <c r="B16320" s="7"/>
      <c r="C16320" s="7"/>
      <c r="D16320" s="7"/>
      <c r="E16320" s="7"/>
      <c r="F16320" s="7"/>
      <c r="G16320" s="7"/>
      <c r="H16320" s="7"/>
      <c r="I16320" s="7"/>
      <c r="J16320" s="7"/>
      <c r="K16320" s="7"/>
      <c r="L16320" s="7"/>
      <c r="M16320" s="7"/>
      <c r="N16320" s="7"/>
      <c r="O16320" s="7"/>
      <c r="P16320" s="7"/>
      <c r="Q16320" s="7"/>
      <c r="R16320" s="7"/>
      <c r="S16320" s="7"/>
      <c r="T16320" s="7"/>
      <c r="U16320" s="7"/>
      <c r="V16320" s="7"/>
      <c r="W16320" s="7"/>
      <c r="X16320" s="7"/>
      <c r="Y16320" s="7"/>
      <c r="Z16320" s="7"/>
      <c r="AA16320" s="7"/>
      <c r="AB16320" s="7"/>
      <c r="AC16320" s="7"/>
      <c r="AD16320" s="7"/>
      <c r="AE16320" s="7"/>
      <c r="AF16320" s="7"/>
    </row>
    <row r="16321" spans="1:32">
      <c r="A16321" s="7"/>
      <c r="B16321" s="7"/>
      <c r="C16321" s="7"/>
      <c r="D16321" s="7"/>
      <c r="E16321" s="7"/>
      <c r="F16321" s="7"/>
      <c r="G16321" s="7"/>
      <c r="H16321" s="7"/>
      <c r="I16321" s="7"/>
      <c r="J16321" s="7"/>
      <c r="K16321" s="7"/>
      <c r="L16321" s="7"/>
      <c r="M16321" s="7"/>
      <c r="N16321" s="7"/>
      <c r="O16321" s="7"/>
      <c r="P16321" s="7"/>
      <c r="Q16321" s="7"/>
      <c r="R16321" s="7"/>
      <c r="S16321" s="7"/>
      <c r="T16321" s="7"/>
      <c r="U16321" s="7"/>
      <c r="V16321" s="7"/>
      <c r="W16321" s="7"/>
      <c r="X16321" s="7"/>
      <c r="Y16321" s="7"/>
      <c r="Z16321" s="7"/>
      <c r="AA16321" s="7"/>
      <c r="AB16321" s="7"/>
      <c r="AC16321" s="7"/>
      <c r="AD16321" s="7"/>
      <c r="AE16321" s="7"/>
      <c r="AF16321" s="7"/>
    </row>
    <row r="16322" spans="1:32">
      <c r="A16322" s="7"/>
      <c r="B16322" s="7"/>
      <c r="C16322" s="7"/>
      <c r="D16322" s="7"/>
      <c r="E16322" s="7"/>
      <c r="F16322" s="7"/>
      <c r="G16322" s="7"/>
      <c r="H16322" s="7"/>
      <c r="I16322" s="7"/>
      <c r="J16322" s="7"/>
      <c r="K16322" s="7"/>
      <c r="L16322" s="7"/>
      <c r="M16322" s="7"/>
      <c r="N16322" s="7"/>
      <c r="O16322" s="7"/>
      <c r="P16322" s="7"/>
      <c r="Q16322" s="7"/>
      <c r="R16322" s="7"/>
      <c r="S16322" s="7"/>
      <c r="T16322" s="7"/>
      <c r="U16322" s="7"/>
      <c r="V16322" s="7"/>
      <c r="W16322" s="7"/>
      <c r="X16322" s="7"/>
      <c r="Y16322" s="7"/>
      <c r="Z16322" s="7"/>
      <c r="AA16322" s="7"/>
      <c r="AB16322" s="7"/>
      <c r="AC16322" s="7"/>
      <c r="AD16322" s="7"/>
      <c r="AE16322" s="7"/>
      <c r="AF16322" s="7"/>
    </row>
    <row r="16323" spans="1:32">
      <c r="A16323" s="7"/>
      <c r="B16323" s="7"/>
      <c r="C16323" s="7"/>
      <c r="D16323" s="7"/>
      <c r="E16323" s="7"/>
      <c r="F16323" s="7"/>
      <c r="G16323" s="7"/>
      <c r="H16323" s="7"/>
      <c r="I16323" s="7"/>
      <c r="J16323" s="7"/>
      <c r="K16323" s="7"/>
      <c r="L16323" s="7"/>
      <c r="M16323" s="7"/>
      <c r="N16323" s="7"/>
      <c r="O16323" s="7"/>
      <c r="P16323" s="7"/>
      <c r="Q16323" s="7"/>
      <c r="R16323" s="7"/>
      <c r="S16323" s="7"/>
      <c r="T16323" s="7"/>
      <c r="U16323" s="7"/>
      <c r="V16323" s="7"/>
      <c r="W16323" s="7"/>
      <c r="X16323" s="7"/>
      <c r="Y16323" s="7"/>
      <c r="Z16323" s="7"/>
      <c r="AA16323" s="7"/>
      <c r="AB16323" s="7"/>
      <c r="AC16323" s="7"/>
      <c r="AD16323" s="7"/>
      <c r="AE16323" s="7"/>
      <c r="AF16323" s="7"/>
    </row>
    <row r="16324" spans="1:32">
      <c r="A16324" s="7"/>
      <c r="B16324" s="7"/>
      <c r="C16324" s="7"/>
      <c r="D16324" s="7"/>
      <c r="E16324" s="7"/>
      <c r="F16324" s="7"/>
      <c r="G16324" s="7"/>
      <c r="H16324" s="7"/>
      <c r="I16324" s="7"/>
      <c r="J16324" s="7"/>
      <c r="K16324" s="7"/>
      <c r="L16324" s="7"/>
      <c r="M16324" s="7"/>
      <c r="N16324" s="7"/>
      <c r="O16324" s="7"/>
      <c r="P16324" s="7"/>
      <c r="Q16324" s="7"/>
      <c r="R16324" s="7"/>
      <c r="S16324" s="7"/>
      <c r="T16324" s="7"/>
      <c r="U16324" s="7"/>
      <c r="V16324" s="7"/>
      <c r="W16324" s="7"/>
      <c r="X16324" s="7"/>
      <c r="Y16324" s="7"/>
      <c r="Z16324" s="7"/>
      <c r="AA16324" s="7"/>
      <c r="AB16324" s="7"/>
      <c r="AC16324" s="7"/>
      <c r="AD16324" s="7"/>
      <c r="AE16324" s="7"/>
      <c r="AF16324" s="7"/>
    </row>
    <row r="16325" spans="1:32">
      <c r="A16325" s="7"/>
      <c r="B16325" s="7"/>
      <c r="C16325" s="7"/>
      <c r="D16325" s="7"/>
      <c r="E16325" s="7"/>
      <c r="F16325" s="7"/>
      <c r="G16325" s="7"/>
      <c r="H16325" s="7"/>
      <c r="I16325" s="7"/>
      <c r="J16325" s="7"/>
      <c r="K16325" s="7"/>
      <c r="L16325" s="7"/>
      <c r="M16325" s="7"/>
      <c r="N16325" s="7"/>
      <c r="O16325" s="7"/>
      <c r="P16325" s="7"/>
      <c r="Q16325" s="7"/>
      <c r="R16325" s="7"/>
      <c r="S16325" s="7"/>
      <c r="T16325" s="7"/>
      <c r="U16325" s="7"/>
      <c r="V16325" s="7"/>
      <c r="W16325" s="7"/>
      <c r="X16325" s="7"/>
      <c r="Y16325" s="7"/>
      <c r="Z16325" s="7"/>
      <c r="AA16325" s="7"/>
      <c r="AB16325" s="7"/>
      <c r="AC16325" s="7"/>
      <c r="AD16325" s="7"/>
      <c r="AE16325" s="7"/>
      <c r="AF16325" s="7"/>
    </row>
    <row r="16326" spans="1:32">
      <c r="A16326" s="7"/>
      <c r="B16326" s="7"/>
      <c r="C16326" s="7"/>
      <c r="D16326" s="7"/>
      <c r="E16326" s="7"/>
      <c r="F16326" s="7"/>
      <c r="G16326" s="7"/>
      <c r="H16326" s="7"/>
      <c r="I16326" s="7"/>
      <c r="J16326" s="7"/>
      <c r="K16326" s="7"/>
      <c r="L16326" s="7"/>
      <c r="M16326" s="7"/>
      <c r="N16326" s="7"/>
      <c r="O16326" s="7"/>
      <c r="P16326" s="7"/>
      <c r="Q16326" s="7"/>
      <c r="R16326" s="7"/>
      <c r="S16326" s="7"/>
      <c r="T16326" s="7"/>
      <c r="U16326" s="7"/>
      <c r="V16326" s="7"/>
      <c r="W16326" s="7"/>
      <c r="X16326" s="7"/>
      <c r="Y16326" s="7"/>
      <c r="Z16326" s="7"/>
      <c r="AA16326" s="7"/>
      <c r="AB16326" s="7"/>
      <c r="AC16326" s="7"/>
      <c r="AD16326" s="7"/>
      <c r="AE16326" s="7"/>
      <c r="AF16326" s="7"/>
    </row>
    <row r="16327" spans="1:32">
      <c r="A16327" s="7"/>
      <c r="B16327" s="7"/>
      <c r="C16327" s="7"/>
      <c r="D16327" s="7"/>
      <c r="E16327" s="7"/>
      <c r="F16327" s="7"/>
      <c r="G16327" s="7"/>
      <c r="H16327" s="7"/>
      <c r="I16327" s="7"/>
      <c r="J16327" s="7"/>
      <c r="K16327" s="7"/>
      <c r="L16327" s="7"/>
      <c r="M16327" s="7"/>
      <c r="N16327" s="7"/>
      <c r="O16327" s="7"/>
      <c r="P16327" s="7"/>
      <c r="Q16327" s="7"/>
      <c r="R16327" s="7"/>
      <c r="S16327" s="7"/>
      <c r="T16327" s="7"/>
      <c r="U16327" s="7"/>
      <c r="V16327" s="7"/>
      <c r="W16327" s="7"/>
      <c r="X16327" s="7"/>
      <c r="Y16327" s="7"/>
      <c r="Z16327" s="7"/>
      <c r="AA16327" s="7"/>
      <c r="AB16327" s="7"/>
      <c r="AC16327" s="7"/>
      <c r="AD16327" s="7"/>
      <c r="AE16327" s="7"/>
      <c r="AF16327" s="7"/>
    </row>
    <row r="16328" spans="1:32">
      <c r="A16328" s="7"/>
      <c r="B16328" s="7"/>
      <c r="C16328" s="7"/>
      <c r="D16328" s="7"/>
      <c r="E16328" s="7"/>
      <c r="F16328" s="7"/>
      <c r="G16328" s="7"/>
      <c r="H16328" s="7"/>
      <c r="I16328" s="7"/>
      <c r="J16328" s="7"/>
      <c r="K16328" s="7"/>
      <c r="L16328" s="7"/>
      <c r="M16328" s="7"/>
      <c r="N16328" s="7"/>
      <c r="O16328" s="7"/>
      <c r="P16328" s="7"/>
      <c r="Q16328" s="7"/>
      <c r="R16328" s="7"/>
      <c r="S16328" s="7"/>
      <c r="T16328" s="7"/>
      <c r="U16328" s="7"/>
      <c r="V16328" s="7"/>
      <c r="W16328" s="7"/>
      <c r="X16328" s="7"/>
      <c r="Y16328" s="7"/>
      <c r="Z16328" s="7"/>
      <c r="AA16328" s="7"/>
      <c r="AB16328" s="7"/>
      <c r="AC16328" s="7"/>
      <c r="AD16328" s="7"/>
      <c r="AE16328" s="7"/>
      <c r="AF16328" s="7"/>
    </row>
    <row r="16329" spans="1:32">
      <c r="A16329" s="7"/>
      <c r="B16329" s="7"/>
      <c r="C16329" s="7"/>
      <c r="D16329" s="7"/>
      <c r="E16329" s="7"/>
      <c r="F16329" s="7"/>
      <c r="G16329" s="7"/>
      <c r="H16329" s="7"/>
      <c r="I16329" s="7"/>
      <c r="J16329" s="7"/>
      <c r="K16329" s="7"/>
      <c r="L16329" s="7"/>
      <c r="M16329" s="7"/>
      <c r="N16329" s="7"/>
      <c r="O16329" s="7"/>
      <c r="P16329" s="7"/>
      <c r="Q16329" s="7"/>
      <c r="R16329" s="7"/>
      <c r="S16329" s="7"/>
      <c r="T16329" s="7"/>
      <c r="U16329" s="7"/>
      <c r="V16329" s="7"/>
      <c r="W16329" s="7"/>
      <c r="X16329" s="7"/>
      <c r="Y16329" s="7"/>
      <c r="Z16329" s="7"/>
      <c r="AA16329" s="7"/>
      <c r="AB16329" s="7"/>
      <c r="AC16329" s="7"/>
      <c r="AD16329" s="7"/>
      <c r="AE16329" s="7"/>
      <c r="AF16329" s="7"/>
    </row>
    <row r="16330" spans="1:32">
      <c r="A16330" s="7"/>
      <c r="B16330" s="7"/>
      <c r="C16330" s="7"/>
      <c r="D16330" s="7"/>
      <c r="E16330" s="7"/>
      <c r="F16330" s="7"/>
      <c r="G16330" s="7"/>
      <c r="H16330" s="7"/>
      <c r="I16330" s="7"/>
      <c r="J16330" s="7"/>
      <c r="K16330" s="7"/>
      <c r="L16330" s="7"/>
      <c r="M16330" s="7"/>
      <c r="N16330" s="7"/>
      <c r="O16330" s="7"/>
      <c r="P16330" s="7"/>
      <c r="Q16330" s="7"/>
      <c r="R16330" s="7"/>
      <c r="S16330" s="7"/>
      <c r="T16330" s="7"/>
      <c r="U16330" s="7"/>
      <c r="V16330" s="7"/>
      <c r="W16330" s="7"/>
      <c r="X16330" s="7"/>
      <c r="Y16330" s="7"/>
      <c r="Z16330" s="7"/>
      <c r="AA16330" s="7"/>
      <c r="AB16330" s="7"/>
      <c r="AC16330" s="7"/>
      <c r="AD16330" s="7"/>
      <c r="AE16330" s="7"/>
      <c r="AF16330" s="7"/>
    </row>
    <row r="16331" spans="1:32">
      <c r="A16331" s="7"/>
      <c r="B16331" s="7"/>
      <c r="C16331" s="7"/>
      <c r="D16331" s="7"/>
      <c r="E16331" s="7"/>
      <c r="F16331" s="7"/>
      <c r="G16331" s="7"/>
      <c r="H16331" s="7"/>
      <c r="I16331" s="7"/>
      <c r="J16331" s="7"/>
      <c r="K16331" s="7"/>
      <c r="L16331" s="7"/>
      <c r="M16331" s="7"/>
      <c r="N16331" s="7"/>
      <c r="O16331" s="7"/>
      <c r="P16331" s="7"/>
      <c r="Q16331" s="7"/>
      <c r="R16331" s="7"/>
      <c r="S16331" s="7"/>
      <c r="T16331" s="7"/>
      <c r="U16331" s="7"/>
      <c r="V16331" s="7"/>
      <c r="W16331" s="7"/>
      <c r="X16331" s="7"/>
      <c r="Y16331" s="7"/>
      <c r="Z16331" s="7"/>
      <c r="AA16331" s="7"/>
      <c r="AB16331" s="7"/>
      <c r="AC16331" s="7"/>
      <c r="AD16331" s="7"/>
      <c r="AE16331" s="7"/>
      <c r="AF16331" s="7"/>
    </row>
    <row r="16332" spans="1:32">
      <c r="A16332" s="7"/>
      <c r="B16332" s="7"/>
      <c r="C16332" s="7"/>
      <c r="D16332" s="7"/>
      <c r="E16332" s="7"/>
      <c r="F16332" s="7"/>
      <c r="G16332" s="7"/>
      <c r="H16332" s="7"/>
      <c r="I16332" s="7"/>
      <c r="J16332" s="7"/>
      <c r="K16332" s="7"/>
      <c r="L16332" s="7"/>
      <c r="M16332" s="7"/>
      <c r="N16332" s="7"/>
      <c r="O16332" s="7"/>
      <c r="P16332" s="7"/>
      <c r="Q16332" s="7"/>
      <c r="R16332" s="7"/>
      <c r="S16332" s="7"/>
      <c r="T16332" s="7"/>
      <c r="U16332" s="7"/>
      <c r="V16332" s="7"/>
      <c r="W16332" s="7"/>
      <c r="X16332" s="7"/>
      <c r="Y16332" s="7"/>
      <c r="Z16332" s="7"/>
      <c r="AA16332" s="7"/>
      <c r="AB16332" s="7"/>
      <c r="AC16332" s="7"/>
      <c r="AD16332" s="7"/>
      <c r="AE16332" s="7"/>
      <c r="AF16332" s="7"/>
    </row>
    <row r="16333" spans="1:32">
      <c r="A16333" s="7"/>
      <c r="B16333" s="7"/>
      <c r="C16333" s="7"/>
      <c r="D16333" s="7"/>
      <c r="E16333" s="7"/>
      <c r="F16333" s="7"/>
      <c r="G16333" s="7"/>
      <c r="H16333" s="7"/>
      <c r="I16333" s="7"/>
      <c r="J16333" s="7"/>
      <c r="K16333" s="7"/>
      <c r="L16333" s="7"/>
      <c r="M16333" s="7"/>
      <c r="N16333" s="7"/>
      <c r="O16333" s="7"/>
      <c r="P16333" s="7"/>
      <c r="Q16333" s="7"/>
      <c r="R16333" s="7"/>
      <c r="S16333" s="7"/>
      <c r="T16333" s="7"/>
      <c r="U16333" s="7"/>
      <c r="V16333" s="7"/>
      <c r="W16333" s="7"/>
      <c r="X16333" s="7"/>
      <c r="Y16333" s="7"/>
      <c r="Z16333" s="7"/>
      <c r="AA16333" s="7"/>
      <c r="AB16333" s="7"/>
      <c r="AC16333" s="7"/>
      <c r="AD16333" s="7"/>
      <c r="AE16333" s="7"/>
      <c r="AF16333" s="7"/>
    </row>
    <row r="16334" spans="1:32">
      <c r="A16334" s="7"/>
      <c r="B16334" s="7"/>
      <c r="C16334" s="7"/>
      <c r="D16334" s="7"/>
      <c r="E16334" s="7"/>
      <c r="F16334" s="7"/>
      <c r="G16334" s="7"/>
      <c r="H16334" s="7"/>
      <c r="I16334" s="7"/>
      <c r="J16334" s="7"/>
      <c r="K16334" s="7"/>
      <c r="L16334" s="7"/>
      <c r="M16334" s="7"/>
      <c r="N16334" s="7"/>
      <c r="O16334" s="7"/>
      <c r="P16334" s="7"/>
      <c r="Q16334" s="7"/>
      <c r="R16334" s="7"/>
      <c r="S16334" s="7"/>
      <c r="T16334" s="7"/>
      <c r="U16334" s="7"/>
      <c r="V16334" s="7"/>
      <c r="W16334" s="7"/>
      <c r="X16334" s="7"/>
      <c r="Y16334" s="7"/>
      <c r="Z16334" s="7"/>
      <c r="AA16334" s="7"/>
      <c r="AB16334" s="7"/>
      <c r="AC16334" s="7"/>
      <c r="AD16334" s="7"/>
      <c r="AE16334" s="7"/>
      <c r="AF16334" s="7"/>
    </row>
    <row r="16335" spans="1:32">
      <c r="A16335" s="7"/>
      <c r="B16335" s="7"/>
      <c r="C16335" s="7"/>
      <c r="D16335" s="7"/>
      <c r="E16335" s="7"/>
      <c r="F16335" s="7"/>
      <c r="G16335" s="7"/>
      <c r="H16335" s="7"/>
      <c r="I16335" s="7"/>
      <c r="J16335" s="7"/>
      <c r="K16335" s="7"/>
      <c r="L16335" s="7"/>
      <c r="M16335" s="7"/>
      <c r="N16335" s="7"/>
      <c r="O16335" s="7"/>
      <c r="P16335" s="7"/>
      <c r="Q16335" s="7"/>
      <c r="R16335" s="7"/>
      <c r="S16335" s="7"/>
      <c r="T16335" s="7"/>
      <c r="U16335" s="7"/>
      <c r="V16335" s="7"/>
      <c r="W16335" s="7"/>
      <c r="X16335" s="7"/>
      <c r="Y16335" s="7"/>
      <c r="Z16335" s="7"/>
      <c r="AA16335" s="7"/>
      <c r="AB16335" s="7"/>
      <c r="AC16335" s="7"/>
      <c r="AD16335" s="7"/>
      <c r="AE16335" s="7"/>
      <c r="AF16335" s="7"/>
    </row>
    <row r="16336" spans="1:32">
      <c r="A16336" s="7"/>
      <c r="B16336" s="7"/>
      <c r="C16336" s="7"/>
      <c r="D16336" s="7"/>
      <c r="E16336" s="7"/>
      <c r="F16336" s="7"/>
      <c r="G16336" s="7"/>
      <c r="H16336" s="7"/>
      <c r="I16336" s="7"/>
      <c r="J16336" s="7"/>
      <c r="K16336" s="7"/>
      <c r="L16336" s="7"/>
      <c r="M16336" s="7"/>
      <c r="N16336" s="7"/>
      <c r="O16336" s="7"/>
      <c r="P16336" s="7"/>
      <c r="Q16336" s="7"/>
      <c r="R16336" s="7"/>
      <c r="S16336" s="7"/>
      <c r="T16336" s="7"/>
      <c r="U16336" s="7"/>
      <c r="V16336" s="7"/>
      <c r="W16336" s="7"/>
      <c r="X16336" s="7"/>
      <c r="Y16336" s="7"/>
      <c r="Z16336" s="7"/>
      <c r="AA16336" s="7"/>
      <c r="AB16336" s="7"/>
      <c r="AC16336" s="7"/>
      <c r="AD16336" s="7"/>
      <c r="AE16336" s="7"/>
      <c r="AF16336" s="7"/>
    </row>
    <row r="16337" spans="1:32">
      <c r="A16337" s="7"/>
      <c r="B16337" s="7"/>
      <c r="C16337" s="7"/>
      <c r="D16337" s="7"/>
      <c r="E16337" s="7"/>
      <c r="F16337" s="7"/>
      <c r="G16337" s="7"/>
      <c r="H16337" s="7"/>
      <c r="I16337" s="7"/>
      <c r="J16337" s="7"/>
      <c r="K16337" s="7"/>
      <c r="L16337" s="7"/>
      <c r="M16337" s="7"/>
      <c r="N16337" s="7"/>
      <c r="O16337" s="7"/>
      <c r="P16337" s="7"/>
      <c r="Q16337" s="7"/>
      <c r="R16337" s="7"/>
      <c r="S16337" s="7"/>
      <c r="T16337" s="7"/>
      <c r="U16337" s="7"/>
      <c r="V16337" s="7"/>
      <c r="W16337" s="7"/>
      <c r="X16337" s="7"/>
      <c r="Y16337" s="7"/>
      <c r="Z16337" s="7"/>
      <c r="AA16337" s="7"/>
      <c r="AB16337" s="7"/>
      <c r="AC16337" s="7"/>
      <c r="AD16337" s="7"/>
      <c r="AE16337" s="7"/>
      <c r="AF16337" s="7"/>
    </row>
    <row r="16338" spans="1:32">
      <c r="A16338" s="7"/>
      <c r="B16338" s="7"/>
      <c r="C16338" s="7"/>
      <c r="D16338" s="7"/>
      <c r="E16338" s="7"/>
      <c r="F16338" s="7"/>
      <c r="G16338" s="7"/>
      <c r="H16338" s="7"/>
      <c r="I16338" s="7"/>
      <c r="J16338" s="7"/>
      <c r="K16338" s="7"/>
      <c r="L16338" s="7"/>
      <c r="M16338" s="7"/>
      <c r="N16338" s="7"/>
      <c r="O16338" s="7"/>
      <c r="P16338" s="7"/>
      <c r="Q16338" s="7"/>
      <c r="R16338" s="7"/>
      <c r="S16338" s="7"/>
      <c r="T16338" s="7"/>
      <c r="U16338" s="7"/>
      <c r="V16338" s="7"/>
      <c r="W16338" s="7"/>
      <c r="X16338" s="7"/>
      <c r="Y16338" s="7"/>
      <c r="Z16338" s="7"/>
      <c r="AA16338" s="7"/>
      <c r="AB16338" s="7"/>
      <c r="AC16338" s="7"/>
      <c r="AD16338" s="7"/>
      <c r="AE16338" s="7"/>
      <c r="AF16338" s="7"/>
    </row>
    <row r="16339" spans="1:32">
      <c r="A16339" s="7"/>
      <c r="B16339" s="7"/>
      <c r="C16339" s="7"/>
      <c r="D16339" s="7"/>
      <c r="E16339" s="7"/>
      <c r="F16339" s="7"/>
      <c r="G16339" s="7"/>
      <c r="H16339" s="7"/>
      <c r="I16339" s="7"/>
      <c r="J16339" s="7"/>
      <c r="K16339" s="7"/>
      <c r="L16339" s="7"/>
      <c r="M16339" s="7"/>
      <c r="N16339" s="7"/>
      <c r="O16339" s="7"/>
      <c r="P16339" s="7"/>
      <c r="Q16339" s="7"/>
      <c r="R16339" s="7"/>
      <c r="S16339" s="7"/>
      <c r="T16339" s="7"/>
      <c r="U16339" s="7"/>
      <c r="V16339" s="7"/>
      <c r="W16339" s="7"/>
      <c r="X16339" s="7"/>
      <c r="Y16339" s="7"/>
      <c r="Z16339" s="7"/>
      <c r="AA16339" s="7"/>
      <c r="AB16339" s="7"/>
      <c r="AC16339" s="7"/>
      <c r="AD16339" s="7"/>
      <c r="AE16339" s="7"/>
      <c r="AF16339" s="7"/>
    </row>
    <row r="16340" spans="1:32">
      <c r="A16340" s="7"/>
      <c r="B16340" s="7"/>
      <c r="C16340" s="7"/>
      <c r="D16340" s="7"/>
      <c r="E16340" s="7"/>
      <c r="F16340" s="7"/>
      <c r="G16340" s="7"/>
      <c r="H16340" s="7"/>
      <c r="I16340" s="7"/>
      <c r="J16340" s="7"/>
      <c r="K16340" s="7"/>
      <c r="L16340" s="7"/>
      <c r="M16340" s="7"/>
      <c r="N16340" s="7"/>
      <c r="O16340" s="7"/>
      <c r="P16340" s="7"/>
      <c r="Q16340" s="7"/>
      <c r="R16340" s="7"/>
      <c r="S16340" s="7"/>
      <c r="T16340" s="7"/>
      <c r="U16340" s="7"/>
      <c r="V16340" s="7"/>
      <c r="W16340" s="7"/>
      <c r="X16340" s="7"/>
      <c r="Y16340" s="7"/>
      <c r="Z16340" s="7"/>
      <c r="AA16340" s="7"/>
      <c r="AB16340" s="7"/>
      <c r="AC16340" s="7"/>
      <c r="AD16340" s="7"/>
      <c r="AE16340" s="7"/>
      <c r="AF16340" s="7"/>
    </row>
    <row r="16341" spans="1:32">
      <c r="A16341" s="7"/>
      <c r="B16341" s="7"/>
      <c r="C16341" s="7"/>
      <c r="D16341" s="7"/>
      <c r="E16341" s="7"/>
      <c r="F16341" s="7"/>
      <c r="G16341" s="7"/>
      <c r="H16341" s="7"/>
      <c r="I16341" s="7"/>
      <c r="J16341" s="7"/>
      <c r="K16341" s="7"/>
      <c r="L16341" s="7"/>
      <c r="M16341" s="7"/>
      <c r="N16341" s="7"/>
      <c r="O16341" s="7"/>
      <c r="P16341" s="7"/>
      <c r="Q16341" s="7"/>
      <c r="R16341" s="7"/>
      <c r="S16341" s="7"/>
      <c r="T16341" s="7"/>
      <c r="U16341" s="7"/>
      <c r="V16341" s="7"/>
      <c r="W16341" s="7"/>
      <c r="X16341" s="7"/>
      <c r="Y16341" s="7"/>
      <c r="Z16341" s="7"/>
      <c r="AA16341" s="7"/>
      <c r="AB16341" s="7"/>
      <c r="AC16341" s="7"/>
      <c r="AD16341" s="7"/>
      <c r="AE16341" s="7"/>
      <c r="AF16341" s="7"/>
    </row>
    <row r="16342" spans="1:32">
      <c r="A16342" s="7"/>
      <c r="B16342" s="7"/>
      <c r="C16342" s="7"/>
      <c r="D16342" s="7"/>
      <c r="E16342" s="7"/>
      <c r="F16342" s="7"/>
      <c r="G16342" s="7"/>
      <c r="H16342" s="7"/>
      <c r="I16342" s="7"/>
      <c r="J16342" s="7"/>
      <c r="K16342" s="7"/>
      <c r="L16342" s="7"/>
      <c r="M16342" s="7"/>
      <c r="N16342" s="7"/>
      <c r="O16342" s="7"/>
      <c r="P16342" s="7"/>
      <c r="Q16342" s="7"/>
      <c r="R16342" s="7"/>
      <c r="S16342" s="7"/>
      <c r="T16342" s="7"/>
      <c r="U16342" s="7"/>
      <c r="V16342" s="7"/>
      <c r="W16342" s="7"/>
      <c r="X16342" s="7"/>
      <c r="Y16342" s="7"/>
      <c r="Z16342" s="7"/>
      <c r="AA16342" s="7"/>
      <c r="AB16342" s="7"/>
      <c r="AC16342" s="7"/>
      <c r="AD16342" s="7"/>
      <c r="AE16342" s="7"/>
      <c r="AF16342" s="7"/>
    </row>
    <row r="16343" spans="1:32">
      <c r="A16343" s="7"/>
      <c r="B16343" s="7"/>
      <c r="C16343" s="7"/>
      <c r="D16343" s="7"/>
      <c r="E16343" s="7"/>
      <c r="F16343" s="7"/>
      <c r="G16343" s="7"/>
      <c r="H16343" s="7"/>
      <c r="I16343" s="7"/>
      <c r="J16343" s="7"/>
      <c r="K16343" s="7"/>
      <c r="L16343" s="7"/>
      <c r="M16343" s="7"/>
      <c r="N16343" s="7"/>
      <c r="O16343" s="7"/>
      <c r="P16343" s="7"/>
      <c r="Q16343" s="7"/>
      <c r="R16343" s="7"/>
      <c r="S16343" s="7"/>
      <c r="T16343" s="7"/>
      <c r="U16343" s="7"/>
      <c r="V16343" s="7"/>
      <c r="W16343" s="7"/>
      <c r="X16343" s="7"/>
      <c r="Y16343" s="7"/>
      <c r="Z16343" s="7"/>
      <c r="AA16343" s="7"/>
      <c r="AB16343" s="7"/>
      <c r="AC16343" s="7"/>
      <c r="AD16343" s="7"/>
      <c r="AE16343" s="7"/>
      <c r="AF16343" s="7"/>
    </row>
    <row r="16344" spans="1:32">
      <c r="A16344" s="7"/>
      <c r="B16344" s="7"/>
      <c r="C16344" s="7"/>
      <c r="D16344" s="7"/>
      <c r="E16344" s="7"/>
      <c r="F16344" s="7"/>
      <c r="G16344" s="7"/>
      <c r="H16344" s="7"/>
      <c r="I16344" s="7"/>
      <c r="J16344" s="7"/>
      <c r="K16344" s="7"/>
      <c r="L16344" s="7"/>
      <c r="M16344" s="7"/>
      <c r="N16344" s="7"/>
      <c r="O16344" s="7"/>
      <c r="P16344" s="7"/>
      <c r="Q16344" s="7"/>
      <c r="R16344" s="7"/>
      <c r="S16344" s="7"/>
      <c r="T16344" s="7"/>
      <c r="U16344" s="7"/>
      <c r="V16344" s="7"/>
      <c r="W16344" s="7"/>
      <c r="X16344" s="7"/>
      <c r="Y16344" s="7"/>
      <c r="Z16344" s="7"/>
      <c r="AA16344" s="7"/>
      <c r="AB16344" s="7"/>
      <c r="AC16344" s="7"/>
      <c r="AD16344" s="7"/>
      <c r="AE16344" s="7"/>
      <c r="AF16344" s="7"/>
    </row>
    <row r="16345" spans="1:32">
      <c r="A16345" s="7"/>
      <c r="B16345" s="7"/>
      <c r="C16345" s="7"/>
      <c r="D16345" s="7"/>
      <c r="E16345" s="7"/>
      <c r="F16345" s="7"/>
      <c r="G16345" s="7"/>
      <c r="H16345" s="7"/>
      <c r="I16345" s="7"/>
      <c r="J16345" s="7"/>
      <c r="K16345" s="7"/>
      <c r="L16345" s="7"/>
      <c r="M16345" s="7"/>
      <c r="N16345" s="7"/>
      <c r="O16345" s="7"/>
      <c r="P16345" s="7"/>
      <c r="Q16345" s="7"/>
      <c r="R16345" s="7"/>
      <c r="S16345" s="7"/>
      <c r="T16345" s="7"/>
      <c r="U16345" s="7"/>
      <c r="V16345" s="7"/>
      <c r="W16345" s="7"/>
      <c r="X16345" s="7"/>
      <c r="Y16345" s="7"/>
      <c r="Z16345" s="7"/>
      <c r="AA16345" s="7"/>
      <c r="AB16345" s="7"/>
      <c r="AC16345" s="7"/>
      <c r="AD16345" s="7"/>
      <c r="AE16345" s="7"/>
      <c r="AF16345" s="7"/>
    </row>
    <row r="16346" spans="1:32">
      <c r="A16346" s="7"/>
      <c r="B16346" s="7"/>
      <c r="C16346" s="7"/>
      <c r="D16346" s="7"/>
      <c r="E16346" s="7"/>
      <c r="F16346" s="7"/>
      <c r="G16346" s="7"/>
      <c r="H16346" s="7"/>
      <c r="I16346" s="7"/>
      <c r="J16346" s="7"/>
      <c r="K16346" s="7"/>
      <c r="L16346" s="7"/>
      <c r="M16346" s="7"/>
      <c r="N16346" s="7"/>
      <c r="O16346" s="7"/>
      <c r="P16346" s="7"/>
      <c r="Q16346" s="7"/>
      <c r="R16346" s="7"/>
      <c r="S16346" s="7"/>
      <c r="T16346" s="7"/>
      <c r="U16346" s="7"/>
      <c r="V16346" s="7"/>
      <c r="W16346" s="7"/>
      <c r="X16346" s="7"/>
      <c r="Y16346" s="7"/>
      <c r="Z16346" s="7"/>
      <c r="AA16346" s="7"/>
      <c r="AB16346" s="7"/>
      <c r="AC16346" s="7"/>
      <c r="AD16346" s="7"/>
      <c r="AE16346" s="7"/>
      <c r="AF16346" s="7"/>
    </row>
    <row r="16347" spans="1:32">
      <c r="A16347" s="7"/>
      <c r="B16347" s="7"/>
      <c r="C16347" s="7"/>
      <c r="D16347" s="7"/>
      <c r="E16347" s="7"/>
      <c r="F16347" s="7"/>
      <c r="G16347" s="7"/>
      <c r="H16347" s="7"/>
      <c r="I16347" s="7"/>
      <c r="J16347" s="7"/>
      <c r="K16347" s="7"/>
      <c r="L16347" s="7"/>
      <c r="M16347" s="7"/>
      <c r="N16347" s="7"/>
      <c r="O16347" s="7"/>
      <c r="P16347" s="7"/>
      <c r="Q16347" s="7"/>
      <c r="R16347" s="7"/>
      <c r="S16347" s="7"/>
      <c r="T16347" s="7"/>
      <c r="U16347" s="7"/>
      <c r="V16347" s="7"/>
      <c r="W16347" s="7"/>
      <c r="X16347" s="7"/>
      <c r="Y16347" s="7"/>
      <c r="Z16347" s="7"/>
      <c r="AA16347" s="7"/>
      <c r="AB16347" s="7"/>
      <c r="AC16347" s="7"/>
      <c r="AD16347" s="7"/>
      <c r="AE16347" s="7"/>
      <c r="AF16347" s="7"/>
    </row>
    <row r="16348" spans="1:32">
      <c r="A16348" s="7"/>
      <c r="B16348" s="7"/>
      <c r="C16348" s="7"/>
      <c r="D16348" s="7"/>
      <c r="E16348" s="7"/>
      <c r="F16348" s="7"/>
      <c r="G16348" s="7"/>
      <c r="H16348" s="7"/>
      <c r="I16348" s="7"/>
      <c r="J16348" s="7"/>
      <c r="K16348" s="7"/>
      <c r="L16348" s="7"/>
      <c r="M16348" s="7"/>
      <c r="N16348" s="7"/>
      <c r="O16348" s="7"/>
      <c r="P16348" s="7"/>
      <c r="Q16348" s="7"/>
      <c r="R16348" s="7"/>
      <c r="S16348" s="7"/>
      <c r="T16348" s="7"/>
      <c r="U16348" s="7"/>
      <c r="V16348" s="7"/>
      <c r="W16348" s="7"/>
      <c r="X16348" s="7"/>
      <c r="Y16348" s="7"/>
      <c r="Z16348" s="7"/>
      <c r="AA16348" s="7"/>
      <c r="AB16348" s="7"/>
      <c r="AC16348" s="7"/>
      <c r="AD16348" s="7"/>
      <c r="AE16348" s="7"/>
      <c r="AF16348" s="7"/>
    </row>
    <row r="16349" spans="1:32">
      <c r="A16349" s="7"/>
      <c r="B16349" s="7"/>
      <c r="C16349" s="7"/>
      <c r="D16349" s="7"/>
      <c r="E16349" s="7"/>
      <c r="F16349" s="7"/>
      <c r="G16349" s="7"/>
      <c r="H16349" s="7"/>
      <c r="I16349" s="7"/>
      <c r="J16349" s="7"/>
      <c r="K16349" s="7"/>
      <c r="L16349" s="7"/>
      <c r="M16349" s="7"/>
      <c r="N16349" s="7"/>
      <c r="O16349" s="7"/>
      <c r="P16349" s="7"/>
      <c r="Q16349" s="7"/>
      <c r="R16349" s="7"/>
      <c r="S16349" s="7"/>
      <c r="T16349" s="7"/>
      <c r="U16349" s="7"/>
      <c r="V16349" s="7"/>
      <c r="W16349" s="7"/>
      <c r="X16349" s="7"/>
      <c r="Y16349" s="7"/>
      <c r="Z16349" s="7"/>
      <c r="AA16349" s="7"/>
      <c r="AB16349" s="7"/>
      <c r="AC16349" s="7"/>
      <c r="AD16349" s="7"/>
      <c r="AE16349" s="7"/>
      <c r="AF16349" s="7"/>
    </row>
    <row r="16350" spans="1:32">
      <c r="A16350" s="7"/>
      <c r="B16350" s="7"/>
      <c r="C16350" s="7"/>
      <c r="D16350" s="7"/>
      <c r="E16350" s="7"/>
      <c r="F16350" s="7"/>
      <c r="G16350" s="7"/>
      <c r="H16350" s="7"/>
      <c r="I16350" s="7"/>
      <c r="J16350" s="7"/>
      <c r="K16350" s="7"/>
      <c r="L16350" s="7"/>
      <c r="M16350" s="7"/>
      <c r="N16350" s="7"/>
      <c r="O16350" s="7"/>
      <c r="P16350" s="7"/>
      <c r="Q16350" s="7"/>
      <c r="R16350" s="7"/>
      <c r="S16350" s="7"/>
      <c r="T16350" s="7"/>
      <c r="U16350" s="7"/>
      <c r="V16350" s="7"/>
      <c r="W16350" s="7"/>
      <c r="X16350" s="7"/>
      <c r="Y16350" s="7"/>
      <c r="Z16350" s="7"/>
      <c r="AA16350" s="7"/>
      <c r="AB16350" s="7"/>
      <c r="AC16350" s="7"/>
      <c r="AD16350" s="7"/>
      <c r="AE16350" s="7"/>
      <c r="AF16350" s="7"/>
    </row>
    <row r="16351" spans="1:32">
      <c r="A16351" s="7"/>
      <c r="B16351" s="7"/>
      <c r="C16351" s="7"/>
      <c r="D16351" s="7"/>
      <c r="E16351" s="7"/>
      <c r="F16351" s="7"/>
      <c r="G16351" s="7"/>
      <c r="H16351" s="7"/>
      <c r="I16351" s="7"/>
      <c r="J16351" s="7"/>
      <c r="K16351" s="7"/>
      <c r="L16351" s="7"/>
      <c r="M16351" s="7"/>
      <c r="N16351" s="7"/>
      <c r="O16351" s="7"/>
      <c r="P16351" s="7"/>
      <c r="Q16351" s="7"/>
      <c r="R16351" s="7"/>
      <c r="S16351" s="7"/>
      <c r="T16351" s="7"/>
      <c r="U16351" s="7"/>
      <c r="V16351" s="7"/>
      <c r="W16351" s="7"/>
      <c r="X16351" s="7"/>
      <c r="Y16351" s="7"/>
      <c r="Z16351" s="7"/>
      <c r="AA16351" s="7"/>
      <c r="AB16351" s="7"/>
      <c r="AC16351" s="7"/>
      <c r="AD16351" s="7"/>
      <c r="AE16351" s="7"/>
      <c r="AF16351" s="7"/>
    </row>
    <row r="16352" spans="1:32">
      <c r="A16352" s="7"/>
      <c r="B16352" s="7"/>
      <c r="C16352" s="7"/>
      <c r="D16352" s="7"/>
      <c r="E16352" s="7"/>
      <c r="F16352" s="7"/>
      <c r="G16352" s="7"/>
      <c r="H16352" s="7"/>
      <c r="I16352" s="7"/>
      <c r="J16352" s="7"/>
      <c r="K16352" s="7"/>
      <c r="L16352" s="7"/>
      <c r="M16352" s="7"/>
      <c r="N16352" s="7"/>
      <c r="O16352" s="7"/>
      <c r="P16352" s="7"/>
      <c r="Q16352" s="7"/>
      <c r="R16352" s="7"/>
      <c r="S16352" s="7"/>
      <c r="T16352" s="7"/>
      <c r="U16352" s="7"/>
      <c r="V16352" s="7"/>
      <c r="W16352" s="7"/>
      <c r="X16352" s="7"/>
      <c r="Y16352" s="7"/>
      <c r="Z16352" s="7"/>
      <c r="AA16352" s="7"/>
      <c r="AB16352" s="7"/>
      <c r="AC16352" s="7"/>
      <c r="AD16352" s="7"/>
      <c r="AE16352" s="7"/>
      <c r="AF16352" s="7"/>
    </row>
    <row r="16353" spans="1:32">
      <c r="A16353" s="7"/>
      <c r="B16353" s="7"/>
      <c r="C16353" s="7"/>
      <c r="D16353" s="7"/>
      <c r="E16353" s="7"/>
      <c r="F16353" s="7"/>
      <c r="G16353" s="7"/>
      <c r="H16353" s="7"/>
      <c r="I16353" s="7"/>
      <c r="J16353" s="7"/>
      <c r="K16353" s="7"/>
      <c r="L16353" s="7"/>
      <c r="M16353" s="7"/>
      <c r="N16353" s="7"/>
      <c r="O16353" s="7"/>
      <c r="P16353" s="7"/>
      <c r="Q16353" s="7"/>
      <c r="R16353" s="7"/>
      <c r="S16353" s="7"/>
      <c r="T16353" s="7"/>
      <c r="U16353" s="7"/>
      <c r="V16353" s="7"/>
      <c r="W16353" s="7"/>
      <c r="X16353" s="7"/>
      <c r="Y16353" s="7"/>
      <c r="Z16353" s="7"/>
      <c r="AA16353" s="7"/>
      <c r="AB16353" s="7"/>
      <c r="AC16353" s="7"/>
      <c r="AD16353" s="7"/>
      <c r="AE16353" s="7"/>
      <c r="AF16353" s="7"/>
    </row>
    <row r="16354" spans="1:32">
      <c r="A16354" s="7"/>
      <c r="B16354" s="7"/>
      <c r="C16354" s="7"/>
      <c r="D16354" s="7"/>
      <c r="E16354" s="7"/>
      <c r="F16354" s="7"/>
      <c r="G16354" s="7"/>
      <c r="H16354" s="7"/>
      <c r="I16354" s="7"/>
      <c r="J16354" s="7"/>
      <c r="K16354" s="7"/>
      <c r="L16354" s="7"/>
      <c r="M16354" s="7"/>
      <c r="N16354" s="7"/>
      <c r="O16354" s="7"/>
      <c r="P16354" s="7"/>
      <c r="Q16354" s="7"/>
      <c r="R16354" s="7"/>
      <c r="S16354" s="7"/>
      <c r="T16354" s="7"/>
      <c r="U16354" s="7"/>
      <c r="V16354" s="7"/>
      <c r="W16354" s="7"/>
      <c r="X16354" s="7"/>
      <c r="Y16354" s="7"/>
      <c r="Z16354" s="7"/>
      <c r="AA16354" s="7"/>
      <c r="AB16354" s="7"/>
      <c r="AC16354" s="7"/>
      <c r="AD16354" s="7"/>
      <c r="AE16354" s="7"/>
      <c r="AF16354" s="7"/>
    </row>
    <row r="16355" spans="1:32">
      <c r="A16355" s="7"/>
      <c r="B16355" s="7"/>
      <c r="C16355" s="7"/>
      <c r="D16355" s="7"/>
      <c r="E16355" s="7"/>
      <c r="F16355" s="7"/>
      <c r="G16355" s="7"/>
      <c r="H16355" s="7"/>
      <c r="I16355" s="7"/>
      <c r="J16355" s="7"/>
      <c r="K16355" s="7"/>
      <c r="L16355" s="7"/>
      <c r="M16355" s="7"/>
      <c r="N16355" s="7"/>
      <c r="O16355" s="7"/>
      <c r="P16355" s="7"/>
      <c r="Q16355" s="7"/>
      <c r="R16355" s="7"/>
      <c r="S16355" s="7"/>
      <c r="T16355" s="7"/>
      <c r="U16355" s="7"/>
      <c r="V16355" s="7"/>
      <c r="W16355" s="7"/>
      <c r="X16355" s="7"/>
      <c r="Y16355" s="7"/>
      <c r="Z16355" s="7"/>
      <c r="AA16355" s="7"/>
      <c r="AB16355" s="7"/>
      <c r="AC16355" s="7"/>
      <c r="AD16355" s="7"/>
      <c r="AE16355" s="7"/>
      <c r="AF16355" s="7"/>
    </row>
    <row r="16356" spans="1:32">
      <c r="A16356" s="7"/>
      <c r="B16356" s="7"/>
      <c r="C16356" s="7"/>
      <c r="D16356" s="7"/>
      <c r="E16356" s="7"/>
      <c r="F16356" s="7"/>
      <c r="G16356" s="7"/>
      <c r="H16356" s="7"/>
      <c r="I16356" s="7"/>
      <c r="J16356" s="7"/>
      <c r="K16356" s="7"/>
      <c r="L16356" s="7"/>
      <c r="M16356" s="7"/>
      <c r="N16356" s="7"/>
      <c r="O16356" s="7"/>
      <c r="P16356" s="7"/>
      <c r="Q16356" s="7"/>
      <c r="R16356" s="7"/>
      <c r="S16356" s="7"/>
      <c r="T16356" s="7"/>
      <c r="U16356" s="7"/>
      <c r="V16356" s="7"/>
      <c r="W16356" s="7"/>
      <c r="X16356" s="7"/>
      <c r="Y16356" s="7"/>
      <c r="Z16356" s="7"/>
      <c r="AA16356" s="7"/>
      <c r="AB16356" s="7"/>
      <c r="AC16356" s="7"/>
      <c r="AD16356" s="7"/>
      <c r="AE16356" s="7"/>
      <c r="AF16356" s="7"/>
    </row>
    <row r="16357" spans="1:32">
      <c r="A16357" s="7"/>
      <c r="B16357" s="7"/>
      <c r="C16357" s="7"/>
      <c r="D16357" s="7"/>
      <c r="E16357" s="7"/>
      <c r="F16357" s="7"/>
      <c r="G16357" s="7"/>
      <c r="H16357" s="7"/>
      <c r="I16357" s="7"/>
      <c r="J16357" s="7"/>
      <c r="K16357" s="7"/>
      <c r="L16357" s="7"/>
      <c r="M16357" s="7"/>
      <c r="N16357" s="7"/>
      <c r="O16357" s="7"/>
      <c r="P16357" s="7"/>
      <c r="Q16357" s="7"/>
      <c r="R16357" s="7"/>
      <c r="S16357" s="7"/>
      <c r="T16357" s="7"/>
      <c r="U16357" s="7"/>
      <c r="V16357" s="7"/>
      <c r="W16357" s="7"/>
      <c r="X16357" s="7"/>
      <c r="Y16357" s="7"/>
      <c r="Z16357" s="7"/>
      <c r="AA16357" s="7"/>
      <c r="AB16357" s="7"/>
      <c r="AC16357" s="7"/>
      <c r="AD16357" s="7"/>
      <c r="AE16357" s="7"/>
      <c r="AF16357" s="7"/>
    </row>
    <row r="16358" spans="1:32">
      <c r="A16358" s="7"/>
      <c r="B16358" s="7"/>
      <c r="C16358" s="7"/>
      <c r="D16358" s="7"/>
      <c r="E16358" s="7"/>
      <c r="F16358" s="7"/>
      <c r="G16358" s="7"/>
      <c r="H16358" s="7"/>
      <c r="I16358" s="7"/>
      <c r="J16358" s="7"/>
      <c r="K16358" s="7"/>
      <c r="L16358" s="7"/>
      <c r="M16358" s="7"/>
      <c r="N16358" s="7"/>
      <c r="O16358" s="7"/>
      <c r="P16358" s="7"/>
      <c r="Q16358" s="7"/>
      <c r="R16358" s="7"/>
      <c r="S16358" s="7"/>
      <c r="T16358" s="7"/>
      <c r="U16358" s="7"/>
      <c r="V16358" s="7"/>
      <c r="W16358" s="7"/>
      <c r="X16358" s="7"/>
      <c r="Y16358" s="7"/>
      <c r="Z16358" s="7"/>
      <c r="AA16358" s="7"/>
      <c r="AB16358" s="7"/>
      <c r="AC16358" s="7"/>
      <c r="AD16358" s="7"/>
      <c r="AE16358" s="7"/>
      <c r="AF16358" s="7"/>
    </row>
    <row r="16359" spans="1:32">
      <c r="A16359" s="7"/>
      <c r="B16359" s="7"/>
      <c r="C16359" s="7"/>
      <c r="D16359" s="7"/>
      <c r="E16359" s="7"/>
      <c r="F16359" s="7"/>
      <c r="G16359" s="7"/>
      <c r="H16359" s="7"/>
      <c r="I16359" s="7"/>
      <c r="J16359" s="7"/>
      <c r="K16359" s="7"/>
      <c r="L16359" s="7"/>
      <c r="M16359" s="7"/>
      <c r="N16359" s="7"/>
      <c r="O16359" s="7"/>
      <c r="P16359" s="7"/>
      <c r="Q16359" s="7"/>
      <c r="R16359" s="7"/>
      <c r="S16359" s="7"/>
      <c r="T16359" s="7"/>
      <c r="U16359" s="7"/>
      <c r="V16359" s="7"/>
      <c r="W16359" s="7"/>
      <c r="X16359" s="7"/>
      <c r="Y16359" s="7"/>
      <c r="Z16359" s="7"/>
      <c r="AA16359" s="7"/>
      <c r="AB16359" s="7"/>
      <c r="AC16359" s="7"/>
      <c r="AD16359" s="7"/>
      <c r="AE16359" s="7"/>
      <c r="AF16359" s="7"/>
    </row>
    <row r="16360" spans="1:32">
      <c r="A16360" s="7"/>
      <c r="B16360" s="7"/>
      <c r="C16360" s="7"/>
      <c r="D16360" s="7"/>
      <c r="E16360" s="7"/>
      <c r="F16360" s="7"/>
      <c r="G16360" s="7"/>
      <c r="H16360" s="7"/>
      <c r="I16360" s="7"/>
      <c r="J16360" s="7"/>
      <c r="K16360" s="7"/>
      <c r="L16360" s="7"/>
      <c r="M16360" s="7"/>
      <c r="N16360" s="7"/>
      <c r="O16360" s="7"/>
      <c r="P16360" s="7"/>
      <c r="Q16360" s="7"/>
      <c r="R16360" s="7"/>
      <c r="S16360" s="7"/>
      <c r="T16360" s="7"/>
      <c r="U16360" s="7"/>
      <c r="V16360" s="7"/>
      <c r="W16360" s="7"/>
      <c r="X16360" s="7"/>
      <c r="Y16360" s="7"/>
      <c r="Z16360" s="7"/>
      <c r="AA16360" s="7"/>
      <c r="AB16360" s="7"/>
      <c r="AC16360" s="7"/>
      <c r="AD16360" s="7"/>
      <c r="AE16360" s="7"/>
      <c r="AF16360" s="7"/>
    </row>
    <row r="16361" spans="1:32">
      <c r="A16361" s="7"/>
      <c r="B16361" s="7"/>
      <c r="C16361" s="7"/>
      <c r="D16361" s="7"/>
      <c r="E16361" s="7"/>
      <c r="F16361" s="7"/>
      <c r="G16361" s="7"/>
      <c r="H16361" s="7"/>
      <c r="I16361" s="7"/>
      <c r="J16361" s="7"/>
      <c r="K16361" s="7"/>
      <c r="L16361" s="7"/>
      <c r="M16361" s="7"/>
      <c r="N16361" s="7"/>
      <c r="O16361" s="7"/>
      <c r="P16361" s="7"/>
      <c r="Q16361" s="7"/>
      <c r="R16361" s="7"/>
      <c r="S16361" s="7"/>
      <c r="T16361" s="7"/>
      <c r="U16361" s="7"/>
      <c r="V16361" s="7"/>
      <c r="W16361" s="7"/>
      <c r="X16361" s="7"/>
      <c r="Y16361" s="7"/>
      <c r="Z16361" s="7"/>
      <c r="AA16361" s="7"/>
      <c r="AB16361" s="7"/>
      <c r="AC16361" s="7"/>
      <c r="AD16361" s="7"/>
      <c r="AE16361" s="7"/>
      <c r="AF16361" s="7"/>
    </row>
    <row r="16362" spans="1:32">
      <c r="A16362" s="7"/>
      <c r="B16362" s="7"/>
      <c r="C16362" s="7"/>
      <c r="D16362" s="7"/>
      <c r="E16362" s="7"/>
      <c r="F16362" s="7"/>
      <c r="G16362" s="7"/>
      <c r="H16362" s="7"/>
      <c r="I16362" s="7"/>
      <c r="J16362" s="7"/>
      <c r="K16362" s="7"/>
      <c r="L16362" s="7"/>
      <c r="M16362" s="7"/>
      <c r="N16362" s="7"/>
      <c r="O16362" s="7"/>
      <c r="P16362" s="7"/>
      <c r="Q16362" s="7"/>
      <c r="R16362" s="7"/>
      <c r="S16362" s="7"/>
      <c r="T16362" s="7"/>
      <c r="U16362" s="7"/>
      <c r="V16362" s="7"/>
      <c r="W16362" s="7"/>
      <c r="X16362" s="7"/>
      <c r="Y16362" s="7"/>
      <c r="Z16362" s="7"/>
      <c r="AA16362" s="7"/>
      <c r="AB16362" s="7"/>
      <c r="AC16362" s="7"/>
      <c r="AD16362" s="7"/>
      <c r="AE16362" s="7"/>
      <c r="AF16362" s="7"/>
    </row>
    <row r="16363" spans="1:32">
      <c r="A16363" s="7"/>
      <c r="B16363" s="7"/>
      <c r="C16363" s="7"/>
      <c r="D16363" s="7"/>
      <c r="E16363" s="7"/>
      <c r="F16363" s="7"/>
      <c r="G16363" s="7"/>
      <c r="H16363" s="7"/>
      <c r="I16363" s="7"/>
      <c r="J16363" s="7"/>
      <c r="K16363" s="7"/>
      <c r="L16363" s="7"/>
      <c r="M16363" s="7"/>
      <c r="N16363" s="7"/>
      <c r="O16363" s="7"/>
      <c r="P16363" s="7"/>
      <c r="Q16363" s="7"/>
      <c r="R16363" s="7"/>
      <c r="S16363" s="7"/>
      <c r="T16363" s="7"/>
      <c r="U16363" s="7"/>
      <c r="V16363" s="7"/>
      <c r="W16363" s="7"/>
      <c r="X16363" s="7"/>
      <c r="Y16363" s="7"/>
      <c r="Z16363" s="7"/>
      <c r="AA16363" s="7"/>
      <c r="AB16363" s="7"/>
      <c r="AC16363" s="7"/>
      <c r="AD16363" s="7"/>
      <c r="AE16363" s="7"/>
      <c r="AF16363" s="7"/>
    </row>
    <row r="16364" spans="1:32">
      <c r="A16364" s="7"/>
      <c r="B16364" s="7"/>
      <c r="C16364" s="7"/>
      <c r="D16364" s="7"/>
      <c r="E16364" s="7"/>
      <c r="F16364" s="7"/>
      <c r="G16364" s="7"/>
      <c r="H16364" s="7"/>
      <c r="I16364" s="7"/>
      <c r="J16364" s="7"/>
      <c r="K16364" s="7"/>
      <c r="L16364" s="7"/>
      <c r="M16364" s="7"/>
      <c r="N16364" s="7"/>
      <c r="O16364" s="7"/>
      <c r="P16364" s="7"/>
      <c r="Q16364" s="7"/>
      <c r="R16364" s="7"/>
      <c r="S16364" s="7"/>
      <c r="T16364" s="7"/>
      <c r="U16364" s="7"/>
      <c r="V16364" s="7"/>
      <c r="W16364" s="7"/>
      <c r="X16364" s="7"/>
      <c r="Y16364" s="7"/>
      <c r="Z16364" s="7"/>
      <c r="AA16364" s="7"/>
      <c r="AB16364" s="7"/>
      <c r="AC16364" s="7"/>
      <c r="AD16364" s="7"/>
      <c r="AE16364" s="7"/>
      <c r="AF16364" s="7"/>
    </row>
    <row r="16365" spans="1:32">
      <c r="A16365" s="7"/>
      <c r="B16365" s="7"/>
      <c r="C16365" s="7"/>
      <c r="D16365" s="7"/>
      <c r="E16365" s="7"/>
      <c r="F16365" s="7"/>
      <c r="G16365" s="7"/>
      <c r="H16365" s="7"/>
      <c r="I16365" s="7"/>
      <c r="J16365" s="7"/>
      <c r="K16365" s="7"/>
      <c r="L16365" s="7"/>
      <c r="M16365" s="7"/>
      <c r="N16365" s="7"/>
      <c r="O16365" s="7"/>
      <c r="P16365" s="7"/>
      <c r="Q16365" s="7"/>
      <c r="R16365" s="7"/>
      <c r="S16365" s="7"/>
      <c r="T16365" s="7"/>
      <c r="U16365" s="7"/>
      <c r="V16365" s="7"/>
      <c r="W16365" s="7"/>
      <c r="X16365" s="7"/>
      <c r="Y16365" s="7"/>
      <c r="Z16365" s="7"/>
      <c r="AA16365" s="7"/>
      <c r="AB16365" s="7"/>
      <c r="AC16365" s="7"/>
      <c r="AD16365" s="7"/>
      <c r="AE16365" s="7"/>
      <c r="AF16365" s="7"/>
    </row>
    <row r="16366" spans="1:32">
      <c r="A16366" s="7"/>
      <c r="B16366" s="7"/>
      <c r="C16366" s="7"/>
      <c r="D16366" s="7"/>
      <c r="E16366" s="7"/>
      <c r="F16366" s="7"/>
      <c r="G16366" s="7"/>
      <c r="H16366" s="7"/>
      <c r="I16366" s="7"/>
      <c r="J16366" s="7"/>
      <c r="K16366" s="7"/>
      <c r="L16366" s="7"/>
      <c r="M16366" s="7"/>
      <c r="N16366" s="7"/>
      <c r="O16366" s="7"/>
      <c r="P16366" s="7"/>
      <c r="Q16366" s="7"/>
      <c r="R16366" s="7"/>
      <c r="S16366" s="7"/>
      <c r="T16366" s="7"/>
      <c r="U16366" s="7"/>
      <c r="V16366" s="7"/>
      <c r="W16366" s="7"/>
      <c r="X16366" s="7"/>
      <c r="Y16366" s="7"/>
      <c r="Z16366" s="7"/>
      <c r="AA16366" s="7"/>
      <c r="AB16366" s="7"/>
      <c r="AC16366" s="7"/>
      <c r="AD16366" s="7"/>
      <c r="AE16366" s="7"/>
      <c r="AF16366" s="7"/>
    </row>
    <row r="16367" spans="1:32">
      <c r="A16367" s="7"/>
      <c r="B16367" s="7"/>
      <c r="C16367" s="7"/>
      <c r="D16367" s="7"/>
      <c r="E16367" s="7"/>
      <c r="F16367" s="7"/>
      <c r="G16367" s="7"/>
      <c r="H16367" s="7"/>
      <c r="I16367" s="7"/>
      <c r="J16367" s="7"/>
      <c r="K16367" s="7"/>
      <c r="L16367" s="7"/>
      <c r="M16367" s="7"/>
      <c r="N16367" s="7"/>
      <c r="O16367" s="7"/>
      <c r="P16367" s="7"/>
      <c r="Q16367" s="7"/>
      <c r="R16367" s="7"/>
      <c r="S16367" s="7"/>
      <c r="T16367" s="7"/>
      <c r="U16367" s="7"/>
      <c r="V16367" s="7"/>
      <c r="W16367" s="7"/>
      <c r="X16367" s="7"/>
      <c r="Y16367" s="7"/>
      <c r="Z16367" s="7"/>
      <c r="AA16367" s="7"/>
      <c r="AB16367" s="7"/>
      <c r="AC16367" s="7"/>
      <c r="AD16367" s="7"/>
      <c r="AE16367" s="7"/>
      <c r="AF16367" s="7"/>
    </row>
    <row r="16368" spans="1:32">
      <c r="A16368" s="7"/>
      <c r="B16368" s="7"/>
      <c r="C16368" s="7"/>
      <c r="D16368" s="7"/>
      <c r="E16368" s="7"/>
      <c r="F16368" s="7"/>
      <c r="G16368" s="7"/>
      <c r="H16368" s="7"/>
      <c r="I16368" s="7"/>
      <c r="J16368" s="7"/>
      <c r="K16368" s="7"/>
      <c r="L16368" s="7"/>
      <c r="M16368" s="7"/>
      <c r="N16368" s="7"/>
      <c r="O16368" s="7"/>
      <c r="P16368" s="7"/>
      <c r="Q16368" s="7"/>
      <c r="R16368" s="7"/>
      <c r="S16368" s="7"/>
      <c r="T16368" s="7"/>
      <c r="U16368" s="7"/>
      <c r="V16368" s="7"/>
      <c r="W16368" s="7"/>
      <c r="X16368" s="7"/>
      <c r="Y16368" s="7"/>
      <c r="Z16368" s="7"/>
      <c r="AA16368" s="7"/>
      <c r="AB16368" s="7"/>
      <c r="AC16368" s="7"/>
      <c r="AD16368" s="7"/>
      <c r="AE16368" s="7"/>
      <c r="AF16368" s="7"/>
    </row>
    <row r="16369" spans="1:32">
      <c r="A16369" s="7"/>
      <c r="B16369" s="7"/>
      <c r="C16369" s="7"/>
      <c r="D16369" s="7"/>
      <c r="E16369" s="7"/>
      <c r="F16369" s="7"/>
      <c r="G16369" s="7"/>
      <c r="H16369" s="7"/>
      <c r="I16369" s="7"/>
      <c r="J16369" s="7"/>
      <c r="K16369" s="7"/>
      <c r="L16369" s="7"/>
      <c r="M16369" s="7"/>
      <c r="N16369" s="7"/>
      <c r="O16369" s="7"/>
      <c r="P16369" s="7"/>
      <c r="Q16369" s="7"/>
      <c r="R16369" s="7"/>
      <c r="S16369" s="7"/>
      <c r="T16369" s="7"/>
      <c r="U16369" s="7"/>
      <c r="V16369" s="7"/>
      <c r="W16369" s="7"/>
      <c r="X16369" s="7"/>
      <c r="Y16369" s="7"/>
      <c r="Z16369" s="7"/>
      <c r="AA16369" s="7"/>
      <c r="AB16369" s="7"/>
      <c r="AC16369" s="7"/>
      <c r="AD16369" s="7"/>
      <c r="AE16369" s="7"/>
      <c r="AF16369" s="7"/>
    </row>
    <row r="16370" spans="1:32">
      <c r="A16370" s="7"/>
      <c r="B16370" s="7"/>
      <c r="C16370" s="7"/>
      <c r="D16370" s="7"/>
      <c r="E16370" s="7"/>
      <c r="F16370" s="7"/>
      <c r="G16370" s="7"/>
      <c r="H16370" s="7"/>
      <c r="I16370" s="7"/>
      <c r="J16370" s="7"/>
      <c r="K16370" s="7"/>
      <c r="L16370" s="7"/>
      <c r="M16370" s="7"/>
      <c r="N16370" s="7"/>
      <c r="O16370" s="7"/>
      <c r="P16370" s="7"/>
      <c r="Q16370" s="7"/>
      <c r="R16370" s="7"/>
      <c r="S16370" s="7"/>
      <c r="T16370" s="7"/>
      <c r="U16370" s="7"/>
      <c r="V16370" s="7"/>
      <c r="W16370" s="7"/>
      <c r="X16370" s="7"/>
      <c r="Y16370" s="7"/>
      <c r="Z16370" s="7"/>
      <c r="AA16370" s="7"/>
      <c r="AB16370" s="7"/>
      <c r="AC16370" s="7"/>
      <c r="AD16370" s="7"/>
      <c r="AE16370" s="7"/>
      <c r="AF16370" s="7"/>
    </row>
    <row r="16371" spans="1:32">
      <c r="A16371" s="7"/>
      <c r="B16371" s="7"/>
      <c r="C16371" s="7"/>
      <c r="D16371" s="7"/>
      <c r="E16371" s="7"/>
      <c r="F16371" s="7"/>
      <c r="G16371" s="7"/>
      <c r="H16371" s="7"/>
      <c r="I16371" s="7"/>
      <c r="J16371" s="7"/>
      <c r="K16371" s="7"/>
      <c r="L16371" s="7"/>
      <c r="M16371" s="7"/>
      <c r="N16371" s="7"/>
      <c r="O16371" s="7"/>
      <c r="P16371" s="7"/>
      <c r="Q16371" s="7"/>
      <c r="R16371" s="7"/>
      <c r="S16371" s="7"/>
      <c r="T16371" s="7"/>
      <c r="U16371" s="7"/>
      <c r="V16371" s="7"/>
      <c r="W16371" s="7"/>
      <c r="X16371" s="7"/>
      <c r="Y16371" s="7"/>
      <c r="Z16371" s="7"/>
      <c r="AA16371" s="7"/>
      <c r="AB16371" s="7"/>
      <c r="AC16371" s="7"/>
      <c r="AD16371" s="7"/>
      <c r="AE16371" s="7"/>
      <c r="AF16371" s="7"/>
    </row>
    <row r="16372" spans="1:32">
      <c r="A16372" s="7"/>
      <c r="B16372" s="7"/>
      <c r="C16372" s="7"/>
      <c r="D16372" s="7"/>
      <c r="E16372" s="7"/>
      <c r="F16372" s="7"/>
      <c r="G16372" s="7"/>
      <c r="H16372" s="7"/>
      <c r="I16372" s="7"/>
      <c r="J16372" s="7"/>
      <c r="K16372" s="7"/>
      <c r="L16372" s="7"/>
      <c r="M16372" s="7"/>
      <c r="N16372" s="7"/>
      <c r="O16372" s="7"/>
      <c r="P16372" s="7"/>
      <c r="Q16372" s="7"/>
      <c r="R16372" s="7"/>
      <c r="S16372" s="7"/>
      <c r="T16372" s="7"/>
      <c r="U16372" s="7"/>
      <c r="V16372" s="7"/>
      <c r="W16372" s="7"/>
      <c r="X16372" s="7"/>
      <c r="Y16372" s="7"/>
      <c r="Z16372" s="7"/>
      <c r="AA16372" s="7"/>
      <c r="AB16372" s="7"/>
      <c r="AC16372" s="7"/>
      <c r="AD16372" s="7"/>
      <c r="AE16372" s="7"/>
      <c r="AF16372" s="7"/>
    </row>
    <row r="16373" spans="1:32">
      <c r="A16373" s="7"/>
      <c r="B16373" s="7"/>
      <c r="C16373" s="7"/>
      <c r="D16373" s="7"/>
      <c r="E16373" s="7"/>
      <c r="F16373" s="7"/>
      <c r="G16373" s="7"/>
      <c r="H16373" s="7"/>
      <c r="I16373" s="7"/>
      <c r="J16373" s="7"/>
      <c r="K16373" s="7"/>
      <c r="L16373" s="7"/>
      <c r="M16373" s="7"/>
      <c r="N16373" s="7"/>
      <c r="O16373" s="7"/>
      <c r="P16373" s="7"/>
      <c r="Q16373" s="7"/>
      <c r="R16373" s="7"/>
      <c r="S16373" s="7"/>
      <c r="T16373" s="7"/>
      <c r="U16373" s="7"/>
      <c r="V16373" s="7"/>
      <c r="W16373" s="7"/>
      <c r="X16373" s="7"/>
      <c r="Y16373" s="7"/>
      <c r="Z16373" s="7"/>
      <c r="AA16373" s="7"/>
      <c r="AB16373" s="7"/>
      <c r="AC16373" s="7"/>
      <c r="AD16373" s="7"/>
      <c r="AE16373" s="7"/>
      <c r="AF16373" s="7"/>
    </row>
    <row r="16374" spans="1:32">
      <c r="A16374" s="7"/>
      <c r="B16374" s="7"/>
      <c r="C16374" s="7"/>
      <c r="D16374" s="7"/>
      <c r="E16374" s="7"/>
      <c r="F16374" s="7"/>
      <c r="G16374" s="7"/>
      <c r="H16374" s="7"/>
      <c r="I16374" s="7"/>
      <c r="J16374" s="7"/>
      <c r="K16374" s="7"/>
      <c r="L16374" s="7"/>
      <c r="M16374" s="7"/>
      <c r="N16374" s="7"/>
      <c r="O16374" s="7"/>
      <c r="P16374" s="7"/>
      <c r="Q16374" s="7"/>
      <c r="R16374" s="7"/>
      <c r="S16374" s="7"/>
      <c r="T16374" s="7"/>
      <c r="U16374" s="7"/>
      <c r="V16374" s="7"/>
      <c r="W16374" s="7"/>
      <c r="X16374" s="7"/>
      <c r="Y16374" s="7"/>
      <c r="Z16374" s="7"/>
      <c r="AA16374" s="7"/>
      <c r="AB16374" s="7"/>
      <c r="AC16374" s="7"/>
      <c r="AD16374" s="7"/>
      <c r="AE16374" s="7"/>
      <c r="AF16374" s="7"/>
    </row>
    <row r="16375" spans="1:32">
      <c r="A16375" s="7"/>
      <c r="B16375" s="7"/>
      <c r="C16375" s="7"/>
      <c r="D16375" s="7"/>
      <c r="E16375" s="7"/>
      <c r="F16375" s="7"/>
      <c r="G16375" s="7"/>
      <c r="H16375" s="7"/>
      <c r="I16375" s="7"/>
      <c r="J16375" s="7"/>
      <c r="K16375" s="7"/>
      <c r="L16375" s="7"/>
      <c r="M16375" s="7"/>
      <c r="N16375" s="7"/>
      <c r="O16375" s="7"/>
      <c r="P16375" s="7"/>
      <c r="Q16375" s="7"/>
      <c r="R16375" s="7"/>
      <c r="S16375" s="7"/>
      <c r="T16375" s="7"/>
      <c r="U16375" s="7"/>
      <c r="V16375" s="7"/>
      <c r="W16375" s="7"/>
      <c r="X16375" s="7"/>
      <c r="Y16375" s="7"/>
      <c r="Z16375" s="7"/>
      <c r="AA16375" s="7"/>
      <c r="AB16375" s="7"/>
      <c r="AC16375" s="7"/>
      <c r="AD16375" s="7"/>
      <c r="AE16375" s="7"/>
      <c r="AF16375" s="7"/>
    </row>
    <row r="16376" spans="1:32">
      <c r="A16376" s="7"/>
      <c r="B16376" s="7"/>
      <c r="C16376" s="7"/>
      <c r="D16376" s="7"/>
      <c r="E16376" s="7"/>
      <c r="F16376" s="7"/>
      <c r="G16376" s="7"/>
      <c r="H16376" s="7"/>
      <c r="I16376" s="7"/>
      <c r="J16376" s="7"/>
      <c r="K16376" s="7"/>
      <c r="L16376" s="7"/>
      <c r="M16376" s="7"/>
      <c r="N16376" s="7"/>
      <c r="O16376" s="7"/>
      <c r="P16376" s="7"/>
      <c r="Q16376" s="7"/>
      <c r="R16376" s="7"/>
      <c r="S16376" s="7"/>
      <c r="T16376" s="7"/>
      <c r="U16376" s="7"/>
      <c r="V16376" s="7"/>
      <c r="W16376" s="7"/>
      <c r="X16376" s="7"/>
      <c r="Y16376" s="7"/>
      <c r="Z16376" s="7"/>
      <c r="AA16376" s="7"/>
      <c r="AB16376" s="7"/>
      <c r="AC16376" s="7"/>
      <c r="AD16376" s="7"/>
      <c r="AE16376" s="7"/>
      <c r="AF16376" s="7"/>
    </row>
    <row r="16377" spans="1:32">
      <c r="A16377" s="7"/>
      <c r="B16377" s="7"/>
      <c r="C16377" s="7"/>
      <c r="D16377" s="7"/>
      <c r="E16377" s="7"/>
      <c r="F16377" s="7"/>
      <c r="G16377" s="7"/>
      <c r="H16377" s="7"/>
      <c r="I16377" s="7"/>
      <c r="J16377" s="7"/>
      <c r="K16377" s="7"/>
      <c r="L16377" s="7"/>
      <c r="M16377" s="7"/>
      <c r="N16377" s="7"/>
      <c r="O16377" s="7"/>
      <c r="P16377" s="7"/>
      <c r="Q16377" s="7"/>
      <c r="R16377" s="7"/>
      <c r="S16377" s="7"/>
      <c r="T16377" s="7"/>
      <c r="U16377" s="7"/>
      <c r="V16377" s="7"/>
      <c r="W16377" s="7"/>
      <c r="X16377" s="7"/>
      <c r="Y16377" s="7"/>
      <c r="Z16377" s="7"/>
      <c r="AA16377" s="7"/>
      <c r="AB16377" s="7"/>
      <c r="AC16377" s="7"/>
      <c r="AD16377" s="7"/>
      <c r="AE16377" s="7"/>
      <c r="AF16377" s="7"/>
    </row>
    <row r="16378" spans="1:32">
      <c r="A16378" s="7"/>
      <c r="B16378" s="7"/>
      <c r="C16378" s="7"/>
      <c r="D16378" s="7"/>
      <c r="E16378" s="7"/>
      <c r="F16378" s="7"/>
      <c r="G16378" s="7"/>
      <c r="H16378" s="7"/>
      <c r="I16378" s="7"/>
      <c r="J16378" s="7"/>
      <c r="K16378" s="7"/>
      <c r="L16378" s="7"/>
      <c r="M16378" s="7"/>
      <c r="N16378" s="7"/>
      <c r="O16378" s="7"/>
      <c r="P16378" s="7"/>
      <c r="Q16378" s="7"/>
      <c r="R16378" s="7"/>
      <c r="S16378" s="7"/>
      <c r="T16378" s="7"/>
      <c r="U16378" s="7"/>
      <c r="V16378" s="7"/>
      <c r="W16378" s="7"/>
      <c r="X16378" s="7"/>
      <c r="Y16378" s="7"/>
      <c r="Z16378" s="7"/>
      <c r="AA16378" s="7"/>
      <c r="AB16378" s="7"/>
      <c r="AC16378" s="7"/>
      <c r="AD16378" s="7"/>
      <c r="AE16378" s="7"/>
      <c r="AF16378" s="7"/>
    </row>
    <row r="16379" spans="1:32">
      <c r="A16379" s="7"/>
      <c r="B16379" s="7"/>
      <c r="C16379" s="7"/>
      <c r="D16379" s="7"/>
      <c r="E16379" s="7"/>
      <c r="F16379" s="7"/>
      <c r="G16379" s="7"/>
      <c r="H16379" s="7"/>
      <c r="I16379" s="7"/>
      <c r="J16379" s="7"/>
      <c r="K16379" s="7"/>
      <c r="L16379" s="7"/>
      <c r="M16379" s="7"/>
      <c r="N16379" s="7"/>
      <c r="O16379" s="7"/>
      <c r="P16379" s="7"/>
      <c r="Q16379" s="7"/>
      <c r="R16379" s="7"/>
      <c r="S16379" s="7"/>
      <c r="T16379" s="7"/>
      <c r="U16379" s="7"/>
      <c r="V16379" s="7"/>
      <c r="W16379" s="7"/>
      <c r="X16379" s="7"/>
      <c r="Y16379" s="7"/>
      <c r="Z16379" s="7"/>
      <c r="AA16379" s="7"/>
      <c r="AB16379" s="7"/>
      <c r="AC16379" s="7"/>
      <c r="AD16379" s="7"/>
      <c r="AE16379" s="7"/>
      <c r="AF16379" s="7"/>
    </row>
    <row r="16380" spans="1:32">
      <c r="A16380" s="7"/>
      <c r="B16380" s="7"/>
      <c r="C16380" s="7"/>
      <c r="D16380" s="7"/>
      <c r="E16380" s="7"/>
      <c r="F16380" s="7"/>
      <c r="G16380" s="7"/>
      <c r="H16380" s="7"/>
      <c r="I16380" s="7"/>
      <c r="J16380" s="7"/>
      <c r="K16380" s="7"/>
      <c r="L16380" s="7"/>
      <c r="M16380" s="7"/>
      <c r="N16380" s="7"/>
      <c r="O16380" s="7"/>
      <c r="P16380" s="7"/>
      <c r="Q16380" s="7"/>
      <c r="R16380" s="7"/>
      <c r="S16380" s="7"/>
      <c r="T16380" s="7"/>
      <c r="U16380" s="7"/>
      <c r="V16380" s="7"/>
      <c r="W16380" s="7"/>
      <c r="X16380" s="7"/>
      <c r="Y16380" s="7"/>
      <c r="Z16380" s="7"/>
      <c r="AA16380" s="7"/>
      <c r="AB16380" s="7"/>
      <c r="AC16380" s="7"/>
      <c r="AD16380" s="7"/>
      <c r="AE16380" s="7"/>
      <c r="AF16380" s="7"/>
    </row>
    <row r="16381" spans="1:32">
      <c r="A16381" s="7"/>
      <c r="B16381" s="7"/>
      <c r="C16381" s="7"/>
      <c r="D16381" s="7"/>
      <c r="E16381" s="7"/>
      <c r="F16381" s="7"/>
      <c r="G16381" s="7"/>
      <c r="H16381" s="7"/>
      <c r="I16381" s="7"/>
      <c r="J16381" s="7"/>
      <c r="K16381" s="7"/>
      <c r="L16381" s="7"/>
      <c r="M16381" s="7"/>
      <c r="N16381" s="7"/>
      <c r="O16381" s="7"/>
      <c r="P16381" s="7"/>
      <c r="Q16381" s="7"/>
      <c r="R16381" s="7"/>
      <c r="S16381" s="7"/>
      <c r="T16381" s="7"/>
      <c r="U16381" s="7"/>
      <c r="V16381" s="7"/>
      <c r="W16381" s="7"/>
      <c r="X16381" s="7"/>
      <c r="Y16381" s="7"/>
      <c r="Z16381" s="7"/>
      <c r="AA16381" s="7"/>
      <c r="AB16381" s="7"/>
      <c r="AC16381" s="7"/>
      <c r="AD16381" s="7"/>
      <c r="AE16381" s="7"/>
      <c r="AF16381" s="7"/>
    </row>
    <row r="16382" spans="1:32">
      <c r="A16382" s="7"/>
      <c r="B16382" s="7"/>
      <c r="C16382" s="7"/>
      <c r="D16382" s="7"/>
      <c r="E16382" s="7"/>
      <c r="F16382" s="7"/>
      <c r="G16382" s="7"/>
      <c r="H16382" s="7"/>
      <c r="I16382" s="7"/>
      <c r="J16382" s="7"/>
      <c r="K16382" s="7"/>
      <c r="L16382" s="7"/>
      <c r="M16382" s="7"/>
      <c r="N16382" s="7"/>
      <c r="O16382" s="7"/>
      <c r="P16382" s="7"/>
      <c r="Q16382" s="7"/>
      <c r="R16382" s="7"/>
      <c r="S16382" s="7"/>
      <c r="T16382" s="7"/>
      <c r="U16382" s="7"/>
      <c r="V16382" s="7"/>
      <c r="W16382" s="7"/>
      <c r="X16382" s="7"/>
      <c r="Y16382" s="7"/>
      <c r="Z16382" s="7"/>
      <c r="AA16382" s="7"/>
      <c r="AB16382" s="7"/>
      <c r="AC16382" s="7"/>
      <c r="AD16382" s="7"/>
      <c r="AE16382" s="7"/>
      <c r="AF16382" s="7"/>
    </row>
    <row r="16383" spans="1:32">
      <c r="A16383" s="7"/>
      <c r="B16383" s="7"/>
      <c r="C16383" s="7"/>
      <c r="D16383" s="7"/>
      <c r="E16383" s="7"/>
      <c r="F16383" s="7"/>
      <c r="G16383" s="7"/>
      <c r="H16383" s="7"/>
      <c r="I16383" s="7"/>
      <c r="J16383" s="7"/>
      <c r="K16383" s="7"/>
      <c r="L16383" s="7"/>
      <c r="M16383" s="7"/>
      <c r="N16383" s="7"/>
      <c r="O16383" s="7"/>
      <c r="P16383" s="7"/>
      <c r="Q16383" s="7"/>
      <c r="R16383" s="7"/>
      <c r="S16383" s="7"/>
      <c r="T16383" s="7"/>
      <c r="U16383" s="7"/>
      <c r="V16383" s="7"/>
      <c r="W16383" s="7"/>
      <c r="X16383" s="7"/>
      <c r="Y16383" s="7"/>
      <c r="Z16383" s="7"/>
      <c r="AA16383" s="7"/>
      <c r="AB16383" s="7"/>
      <c r="AC16383" s="7"/>
      <c r="AD16383" s="7"/>
      <c r="AE16383" s="7"/>
      <c r="AF16383" s="7"/>
    </row>
    <row r="16384" spans="1:32">
      <c r="A16384" s="7"/>
      <c r="B16384" s="7"/>
      <c r="C16384" s="7"/>
      <c r="D16384" s="7"/>
      <c r="E16384" s="7"/>
      <c r="F16384" s="7"/>
      <c r="G16384" s="7"/>
      <c r="H16384" s="7"/>
      <c r="I16384" s="7"/>
      <c r="J16384" s="7"/>
      <c r="K16384" s="7"/>
      <c r="L16384" s="7"/>
      <c r="M16384" s="7"/>
      <c r="N16384" s="7"/>
      <c r="O16384" s="7"/>
      <c r="P16384" s="7"/>
      <c r="Q16384" s="7"/>
      <c r="R16384" s="7"/>
      <c r="S16384" s="7"/>
      <c r="T16384" s="7"/>
      <c r="U16384" s="7"/>
      <c r="V16384" s="7"/>
      <c r="W16384" s="7"/>
      <c r="X16384" s="7"/>
      <c r="Y16384" s="7"/>
      <c r="Z16384" s="7"/>
      <c r="AA16384" s="7"/>
      <c r="AB16384" s="7"/>
      <c r="AC16384" s="7"/>
      <c r="AD16384" s="7"/>
      <c r="AE16384" s="7"/>
      <c r="AF16384" s="7"/>
    </row>
    <row r="16385" spans="1:32">
      <c r="A16385" s="7"/>
      <c r="B16385" s="7"/>
      <c r="C16385" s="7"/>
      <c r="D16385" s="7"/>
      <c r="E16385" s="7"/>
      <c r="F16385" s="7"/>
      <c r="G16385" s="7"/>
      <c r="H16385" s="7"/>
      <c r="I16385" s="7"/>
      <c r="J16385" s="7"/>
      <c r="K16385" s="7"/>
      <c r="L16385" s="7"/>
      <c r="M16385" s="7"/>
      <c r="N16385" s="7"/>
      <c r="O16385" s="7"/>
      <c r="P16385" s="7"/>
      <c r="Q16385" s="7"/>
      <c r="R16385" s="7"/>
      <c r="S16385" s="7"/>
      <c r="T16385" s="7"/>
      <c r="U16385" s="7"/>
      <c r="V16385" s="7"/>
      <c r="W16385" s="7"/>
      <c r="X16385" s="7"/>
      <c r="Y16385" s="7"/>
      <c r="Z16385" s="7"/>
      <c r="AA16385" s="7"/>
      <c r="AB16385" s="7"/>
      <c r="AC16385" s="7"/>
      <c r="AD16385" s="7"/>
      <c r="AE16385" s="7"/>
      <c r="AF16385" s="7"/>
    </row>
    <row r="16386" spans="1:32">
      <c r="A16386" s="7"/>
      <c r="B16386" s="7"/>
      <c r="C16386" s="7"/>
      <c r="D16386" s="7"/>
      <c r="E16386" s="7"/>
      <c r="F16386" s="7"/>
      <c r="G16386" s="7"/>
      <c r="H16386" s="7"/>
      <c r="I16386" s="7"/>
      <c r="J16386" s="7"/>
      <c r="K16386" s="7"/>
      <c r="L16386" s="7"/>
      <c r="M16386" s="7"/>
      <c r="N16386" s="7"/>
      <c r="O16386" s="7"/>
      <c r="P16386" s="7"/>
      <c r="Q16386" s="7"/>
      <c r="R16386" s="7"/>
      <c r="S16386" s="7"/>
      <c r="T16386" s="7"/>
      <c r="U16386" s="7"/>
      <c r="V16386" s="7"/>
      <c r="W16386" s="7"/>
      <c r="X16386" s="7"/>
      <c r="Y16386" s="7"/>
      <c r="Z16386" s="7"/>
      <c r="AA16386" s="7"/>
      <c r="AB16386" s="7"/>
      <c r="AC16386" s="7"/>
      <c r="AD16386" s="7"/>
      <c r="AE16386" s="7"/>
      <c r="AF16386" s="7"/>
    </row>
    <row r="16387" spans="1:32">
      <c r="A16387" s="7"/>
      <c r="B16387" s="7"/>
      <c r="C16387" s="7"/>
      <c r="D16387" s="7"/>
      <c r="E16387" s="7"/>
      <c r="F16387" s="7"/>
      <c r="G16387" s="7"/>
      <c r="H16387" s="7"/>
      <c r="I16387" s="7"/>
      <c r="J16387" s="7"/>
      <c r="K16387" s="7"/>
      <c r="L16387" s="7"/>
      <c r="M16387" s="7"/>
      <c r="N16387" s="7"/>
      <c r="O16387" s="7"/>
      <c r="P16387" s="7"/>
      <c r="Q16387" s="7"/>
      <c r="R16387" s="7"/>
      <c r="S16387" s="7"/>
      <c r="T16387" s="7"/>
      <c r="U16387" s="7"/>
      <c r="V16387" s="7"/>
      <c r="W16387" s="7"/>
      <c r="X16387" s="7"/>
      <c r="Y16387" s="7"/>
      <c r="Z16387" s="7"/>
      <c r="AA16387" s="7"/>
      <c r="AB16387" s="7"/>
      <c r="AC16387" s="7"/>
      <c r="AD16387" s="7"/>
      <c r="AE16387" s="7"/>
      <c r="AF16387" s="7"/>
    </row>
    <row r="16388" spans="1:32">
      <c r="A16388" s="7"/>
      <c r="B16388" s="7"/>
      <c r="C16388" s="7"/>
      <c r="D16388" s="7"/>
      <c r="E16388" s="7"/>
      <c r="F16388" s="7"/>
      <c r="G16388" s="7"/>
      <c r="H16388" s="7"/>
      <c r="I16388" s="7"/>
      <c r="J16388" s="7"/>
      <c r="K16388" s="7"/>
      <c r="L16388" s="7"/>
      <c r="M16388" s="7"/>
      <c r="N16388" s="7"/>
      <c r="O16388" s="7"/>
      <c r="P16388" s="7"/>
      <c r="Q16388" s="7"/>
      <c r="R16388" s="7"/>
      <c r="S16388" s="7"/>
      <c r="T16388" s="7"/>
      <c r="U16388" s="7"/>
      <c r="V16388" s="7"/>
      <c r="W16388" s="7"/>
      <c r="X16388" s="7"/>
      <c r="Y16388" s="7"/>
      <c r="Z16388" s="7"/>
      <c r="AA16388" s="7"/>
      <c r="AB16388" s="7"/>
      <c r="AC16388" s="7"/>
      <c r="AD16388" s="7"/>
      <c r="AE16388" s="7"/>
      <c r="AF16388" s="7"/>
    </row>
    <row r="16389" spans="1:32">
      <c r="A16389" s="7"/>
      <c r="B16389" s="7"/>
      <c r="C16389" s="7"/>
      <c r="D16389" s="7"/>
      <c r="E16389" s="7"/>
      <c r="F16389" s="7"/>
      <c r="G16389" s="7"/>
      <c r="H16389" s="7"/>
      <c r="I16389" s="7"/>
      <c r="J16389" s="7"/>
      <c r="K16389" s="7"/>
      <c r="L16389" s="7"/>
      <c r="M16389" s="7"/>
      <c r="N16389" s="7"/>
      <c r="O16389" s="7"/>
      <c r="P16389" s="7"/>
      <c r="Q16389" s="7"/>
      <c r="R16389" s="7"/>
      <c r="S16389" s="7"/>
      <c r="T16389" s="7"/>
      <c r="U16389" s="7"/>
      <c r="V16389" s="7"/>
      <c r="W16389" s="7"/>
      <c r="X16389" s="7"/>
      <c r="Y16389" s="7"/>
      <c r="Z16389" s="7"/>
      <c r="AA16389" s="7"/>
      <c r="AB16389" s="7"/>
      <c r="AC16389" s="7"/>
      <c r="AD16389" s="7"/>
      <c r="AE16389" s="7"/>
      <c r="AF16389" s="7"/>
    </row>
    <row r="16390" spans="1:32">
      <c r="A16390" s="7"/>
      <c r="B16390" s="7"/>
      <c r="C16390" s="7"/>
      <c r="D16390" s="7"/>
      <c r="E16390" s="7"/>
      <c r="F16390" s="7"/>
      <c r="G16390" s="7"/>
      <c r="H16390" s="7"/>
      <c r="I16390" s="7"/>
      <c r="J16390" s="7"/>
      <c r="K16390" s="7"/>
      <c r="L16390" s="7"/>
      <c r="M16390" s="7"/>
      <c r="N16390" s="7"/>
      <c r="O16390" s="7"/>
      <c r="P16390" s="7"/>
      <c r="Q16390" s="7"/>
      <c r="R16390" s="7"/>
      <c r="S16390" s="7"/>
      <c r="T16390" s="7"/>
      <c r="U16390" s="7"/>
      <c r="V16390" s="7"/>
      <c r="W16390" s="7"/>
      <c r="X16390" s="7"/>
      <c r="Y16390" s="7"/>
      <c r="Z16390" s="7"/>
      <c r="AA16390" s="7"/>
      <c r="AB16390" s="7"/>
      <c r="AC16390" s="7"/>
      <c r="AD16390" s="7"/>
      <c r="AE16390" s="7"/>
      <c r="AF16390" s="7"/>
    </row>
    <row r="16391" spans="1:32">
      <c r="A16391" s="7"/>
      <c r="B16391" s="7"/>
      <c r="C16391" s="7"/>
      <c r="D16391" s="7"/>
      <c r="E16391" s="7"/>
      <c r="F16391" s="7"/>
      <c r="G16391" s="7"/>
      <c r="H16391" s="7"/>
      <c r="I16391" s="7"/>
      <c r="J16391" s="7"/>
      <c r="K16391" s="7"/>
      <c r="L16391" s="7"/>
      <c r="M16391" s="7"/>
      <c r="N16391" s="7"/>
      <c r="O16391" s="7"/>
      <c r="P16391" s="7"/>
      <c r="Q16391" s="7"/>
      <c r="R16391" s="7"/>
      <c r="S16391" s="7"/>
      <c r="T16391" s="7"/>
      <c r="U16391" s="7"/>
      <c r="V16391" s="7"/>
      <c r="W16391" s="7"/>
      <c r="X16391" s="7"/>
      <c r="Y16391" s="7"/>
      <c r="Z16391" s="7"/>
      <c r="AA16391" s="7"/>
      <c r="AB16391" s="7"/>
      <c r="AC16391" s="7"/>
      <c r="AD16391" s="7"/>
      <c r="AE16391" s="7"/>
      <c r="AF16391" s="7"/>
    </row>
    <row r="16392" spans="1:32">
      <c r="A16392" s="7"/>
      <c r="B16392" s="7"/>
      <c r="C16392" s="7"/>
      <c r="D16392" s="7"/>
      <c r="E16392" s="7"/>
      <c r="F16392" s="7"/>
      <c r="G16392" s="7"/>
      <c r="H16392" s="7"/>
      <c r="I16392" s="7"/>
      <c r="J16392" s="7"/>
      <c r="K16392" s="7"/>
      <c r="L16392" s="7"/>
      <c r="M16392" s="7"/>
      <c r="N16392" s="7"/>
      <c r="O16392" s="7"/>
      <c r="P16392" s="7"/>
      <c r="Q16392" s="7"/>
      <c r="R16392" s="7"/>
      <c r="S16392" s="7"/>
      <c r="T16392" s="7"/>
      <c r="U16392" s="7"/>
      <c r="V16392" s="7"/>
      <c r="W16392" s="7"/>
      <c r="X16392" s="7"/>
      <c r="Y16392" s="7"/>
      <c r="Z16392" s="7"/>
      <c r="AA16392" s="7"/>
      <c r="AB16392" s="7"/>
      <c r="AC16392" s="7"/>
      <c r="AD16392" s="7"/>
      <c r="AE16392" s="7"/>
      <c r="AF16392" s="7"/>
    </row>
    <row r="16393" spans="1:32">
      <c r="A16393" s="7"/>
      <c r="B16393" s="7"/>
      <c r="C16393" s="7"/>
      <c r="D16393" s="7"/>
      <c r="E16393" s="7"/>
      <c r="F16393" s="7"/>
      <c r="G16393" s="7"/>
      <c r="H16393" s="7"/>
      <c r="I16393" s="7"/>
      <c r="J16393" s="7"/>
      <c r="K16393" s="7"/>
      <c r="L16393" s="7"/>
      <c r="M16393" s="7"/>
      <c r="N16393" s="7"/>
      <c r="O16393" s="7"/>
      <c r="P16393" s="7"/>
      <c r="Q16393" s="7"/>
      <c r="R16393" s="7"/>
      <c r="S16393" s="7"/>
      <c r="T16393" s="7"/>
      <c r="U16393" s="7"/>
      <c r="V16393" s="7"/>
      <c r="W16393" s="7"/>
      <c r="X16393" s="7"/>
      <c r="Y16393" s="7"/>
      <c r="Z16393" s="7"/>
      <c r="AA16393" s="7"/>
      <c r="AB16393" s="7"/>
      <c r="AC16393" s="7"/>
      <c r="AD16393" s="7"/>
      <c r="AE16393" s="7"/>
      <c r="AF16393" s="7"/>
    </row>
    <row r="16394" spans="1:32">
      <c r="A16394" s="7"/>
      <c r="B16394" s="7"/>
      <c r="C16394" s="7"/>
      <c r="D16394" s="7"/>
      <c r="E16394" s="7"/>
      <c r="F16394" s="7"/>
      <c r="G16394" s="7"/>
      <c r="H16394" s="7"/>
      <c r="I16394" s="7"/>
      <c r="J16394" s="7"/>
      <c r="K16394" s="7"/>
      <c r="L16394" s="7"/>
      <c r="M16394" s="7"/>
      <c r="N16394" s="7"/>
      <c r="O16394" s="7"/>
      <c r="P16394" s="7"/>
      <c r="Q16394" s="7"/>
      <c r="R16394" s="7"/>
      <c r="S16394" s="7"/>
      <c r="T16394" s="7"/>
      <c r="U16394" s="7"/>
      <c r="V16394" s="7"/>
      <c r="W16394" s="7"/>
      <c r="X16394" s="7"/>
      <c r="Y16394" s="7"/>
      <c r="Z16394" s="7"/>
      <c r="AA16394" s="7"/>
      <c r="AB16394" s="7"/>
      <c r="AC16394" s="7"/>
      <c r="AD16394" s="7"/>
      <c r="AE16394" s="7"/>
      <c r="AF16394" s="7"/>
    </row>
    <row r="16395" spans="1:32">
      <c r="A16395" s="7"/>
      <c r="B16395" s="7"/>
      <c r="C16395" s="7"/>
      <c r="D16395" s="7"/>
      <c r="E16395" s="7"/>
      <c r="F16395" s="7"/>
      <c r="G16395" s="7"/>
      <c r="H16395" s="7"/>
      <c r="I16395" s="7"/>
      <c r="J16395" s="7"/>
      <c r="K16395" s="7"/>
      <c r="L16395" s="7"/>
      <c r="M16395" s="7"/>
      <c r="N16395" s="7"/>
      <c r="O16395" s="7"/>
      <c r="P16395" s="7"/>
      <c r="Q16395" s="7"/>
      <c r="R16395" s="7"/>
      <c r="S16395" s="7"/>
      <c r="T16395" s="7"/>
      <c r="U16395" s="7"/>
      <c r="V16395" s="7"/>
      <c r="W16395" s="7"/>
      <c r="X16395" s="7"/>
      <c r="Y16395" s="7"/>
      <c r="Z16395" s="7"/>
      <c r="AA16395" s="7"/>
      <c r="AB16395" s="7"/>
      <c r="AC16395" s="7"/>
      <c r="AD16395" s="7"/>
      <c r="AE16395" s="7"/>
      <c r="AF16395" s="7"/>
    </row>
    <row r="16396" spans="1:32">
      <c r="A16396" s="7"/>
      <c r="B16396" s="7"/>
      <c r="C16396" s="7"/>
      <c r="D16396" s="7"/>
      <c r="E16396" s="7"/>
      <c r="F16396" s="7"/>
      <c r="G16396" s="7"/>
      <c r="H16396" s="7"/>
      <c r="I16396" s="7"/>
      <c r="J16396" s="7"/>
      <c r="K16396" s="7"/>
      <c r="L16396" s="7"/>
      <c r="M16396" s="7"/>
      <c r="N16396" s="7"/>
      <c r="O16396" s="7"/>
      <c r="P16396" s="7"/>
      <c r="Q16396" s="7"/>
      <c r="R16396" s="7"/>
      <c r="S16396" s="7"/>
      <c r="T16396" s="7"/>
      <c r="U16396" s="7"/>
      <c r="V16396" s="7"/>
      <c r="W16396" s="7"/>
      <c r="X16396" s="7"/>
      <c r="Y16396" s="7"/>
      <c r="Z16396" s="7"/>
      <c r="AA16396" s="7"/>
      <c r="AB16396" s="7"/>
      <c r="AC16396" s="7"/>
      <c r="AD16396" s="7"/>
      <c r="AE16396" s="7"/>
      <c r="AF16396" s="7"/>
    </row>
    <row r="16397" spans="1:32">
      <c r="A16397" s="7"/>
      <c r="B16397" s="7"/>
      <c r="C16397" s="7"/>
      <c r="D16397" s="7"/>
      <c r="E16397" s="7"/>
      <c r="F16397" s="7"/>
      <c r="G16397" s="7"/>
      <c r="H16397" s="7"/>
      <c r="I16397" s="7"/>
      <c r="J16397" s="7"/>
      <c r="K16397" s="7"/>
      <c r="L16397" s="7"/>
      <c r="M16397" s="7"/>
      <c r="N16397" s="7"/>
      <c r="O16397" s="7"/>
      <c r="P16397" s="7"/>
      <c r="Q16397" s="7"/>
      <c r="R16397" s="7"/>
      <c r="S16397" s="7"/>
      <c r="T16397" s="7"/>
      <c r="U16397" s="7"/>
      <c r="V16397" s="7"/>
      <c r="W16397" s="7"/>
      <c r="X16397" s="7"/>
      <c r="Y16397" s="7"/>
      <c r="Z16397" s="7"/>
      <c r="AA16397" s="7"/>
      <c r="AB16397" s="7"/>
      <c r="AC16397" s="7"/>
      <c r="AD16397" s="7"/>
      <c r="AE16397" s="7"/>
      <c r="AF16397" s="7"/>
    </row>
    <row r="16398" spans="1:32">
      <c r="A16398" s="7"/>
      <c r="B16398" s="7"/>
      <c r="C16398" s="7"/>
      <c r="D16398" s="7"/>
      <c r="E16398" s="7"/>
      <c r="F16398" s="7"/>
      <c r="G16398" s="7"/>
      <c r="H16398" s="7"/>
      <c r="I16398" s="7"/>
      <c r="J16398" s="7"/>
      <c r="K16398" s="7"/>
      <c r="L16398" s="7"/>
      <c r="M16398" s="7"/>
      <c r="N16398" s="7"/>
      <c r="O16398" s="7"/>
      <c r="P16398" s="7"/>
      <c r="Q16398" s="7"/>
      <c r="R16398" s="7"/>
      <c r="S16398" s="7"/>
      <c r="T16398" s="7"/>
      <c r="U16398" s="7"/>
      <c r="V16398" s="7"/>
      <c r="W16398" s="7"/>
      <c r="X16398" s="7"/>
      <c r="Y16398" s="7"/>
      <c r="Z16398" s="7"/>
      <c r="AA16398" s="7"/>
      <c r="AB16398" s="7"/>
      <c r="AC16398" s="7"/>
      <c r="AD16398" s="7"/>
      <c r="AE16398" s="7"/>
      <c r="AF16398" s="7"/>
    </row>
    <row r="16399" spans="1:32">
      <c r="A16399" s="7"/>
      <c r="B16399" s="7"/>
      <c r="C16399" s="7"/>
      <c r="D16399" s="7"/>
      <c r="E16399" s="7"/>
      <c r="F16399" s="7"/>
      <c r="G16399" s="7"/>
      <c r="H16399" s="7"/>
      <c r="I16399" s="7"/>
      <c r="J16399" s="7"/>
      <c r="K16399" s="7"/>
      <c r="L16399" s="7"/>
      <c r="M16399" s="7"/>
      <c r="N16399" s="7"/>
      <c r="O16399" s="7"/>
      <c r="P16399" s="7"/>
      <c r="Q16399" s="7"/>
      <c r="R16399" s="7"/>
      <c r="S16399" s="7"/>
      <c r="T16399" s="7"/>
      <c r="U16399" s="7"/>
      <c r="V16399" s="7"/>
      <c r="W16399" s="7"/>
      <c r="X16399" s="7"/>
      <c r="Y16399" s="7"/>
      <c r="Z16399" s="7"/>
      <c r="AA16399" s="7"/>
      <c r="AB16399" s="7"/>
      <c r="AC16399" s="7"/>
      <c r="AD16399" s="7"/>
      <c r="AE16399" s="7"/>
      <c r="AF16399" s="7"/>
    </row>
    <row r="16400" spans="1:32">
      <c r="A16400" s="7"/>
      <c r="B16400" s="7"/>
      <c r="C16400" s="7"/>
      <c r="D16400" s="7"/>
      <c r="E16400" s="7"/>
      <c r="F16400" s="7"/>
      <c r="G16400" s="7"/>
      <c r="H16400" s="7"/>
      <c r="I16400" s="7"/>
      <c r="J16400" s="7"/>
      <c r="K16400" s="7"/>
      <c r="L16400" s="7"/>
      <c r="M16400" s="7"/>
      <c r="N16400" s="7"/>
      <c r="O16400" s="7"/>
      <c r="P16400" s="7"/>
      <c r="Q16400" s="7"/>
      <c r="R16400" s="7"/>
      <c r="S16400" s="7"/>
      <c r="T16400" s="7"/>
      <c r="U16400" s="7"/>
      <c r="V16400" s="7"/>
      <c r="W16400" s="7"/>
      <c r="X16400" s="7"/>
      <c r="Y16400" s="7"/>
      <c r="Z16400" s="7"/>
      <c r="AA16400" s="7"/>
      <c r="AB16400" s="7"/>
      <c r="AC16400" s="7"/>
      <c r="AD16400" s="7"/>
      <c r="AE16400" s="7"/>
      <c r="AF16400" s="7"/>
    </row>
    <row r="16401" spans="1:32">
      <c r="A16401" s="7"/>
      <c r="B16401" s="7"/>
      <c r="C16401" s="7"/>
      <c r="D16401" s="7"/>
      <c r="E16401" s="7"/>
      <c r="F16401" s="7"/>
      <c r="G16401" s="7"/>
      <c r="H16401" s="7"/>
      <c r="I16401" s="7"/>
      <c r="J16401" s="7"/>
      <c r="K16401" s="7"/>
      <c r="L16401" s="7"/>
      <c r="M16401" s="7"/>
      <c r="N16401" s="7"/>
      <c r="O16401" s="7"/>
      <c r="P16401" s="7"/>
      <c r="Q16401" s="7"/>
      <c r="R16401" s="7"/>
      <c r="S16401" s="7"/>
      <c r="T16401" s="7"/>
      <c r="U16401" s="7"/>
      <c r="V16401" s="7"/>
      <c r="W16401" s="7"/>
      <c r="X16401" s="7"/>
      <c r="Y16401" s="7"/>
      <c r="Z16401" s="7"/>
      <c r="AA16401" s="7"/>
      <c r="AB16401" s="7"/>
      <c r="AC16401" s="7"/>
      <c r="AD16401" s="7"/>
      <c r="AE16401" s="7"/>
      <c r="AF16401" s="7"/>
    </row>
    <row r="16402" spans="1:32">
      <c r="A16402" s="7"/>
      <c r="B16402" s="7"/>
      <c r="C16402" s="7"/>
      <c r="D16402" s="7"/>
      <c r="E16402" s="7"/>
      <c r="F16402" s="7"/>
      <c r="G16402" s="7"/>
      <c r="H16402" s="7"/>
      <c r="I16402" s="7"/>
      <c r="J16402" s="7"/>
      <c r="K16402" s="7"/>
      <c r="L16402" s="7"/>
      <c r="M16402" s="7"/>
      <c r="N16402" s="7"/>
      <c r="O16402" s="7"/>
      <c r="P16402" s="7"/>
      <c r="Q16402" s="7"/>
      <c r="R16402" s="7"/>
      <c r="S16402" s="7"/>
      <c r="T16402" s="7"/>
      <c r="U16402" s="7"/>
      <c r="V16402" s="7"/>
      <c r="W16402" s="7"/>
      <c r="X16402" s="7"/>
      <c r="Y16402" s="7"/>
      <c r="Z16402" s="7"/>
      <c r="AA16402" s="7"/>
      <c r="AB16402" s="7"/>
      <c r="AC16402" s="7"/>
      <c r="AD16402" s="7"/>
      <c r="AE16402" s="7"/>
      <c r="AF16402" s="7"/>
    </row>
    <row r="16403" spans="1:32">
      <c r="A16403" s="7"/>
      <c r="B16403" s="7"/>
      <c r="C16403" s="7"/>
      <c r="D16403" s="7"/>
      <c r="E16403" s="7"/>
      <c r="F16403" s="7"/>
      <c r="G16403" s="7"/>
      <c r="H16403" s="7"/>
      <c r="I16403" s="7"/>
      <c r="J16403" s="7"/>
      <c r="K16403" s="7"/>
      <c r="L16403" s="7"/>
      <c r="M16403" s="7"/>
      <c r="N16403" s="7"/>
      <c r="O16403" s="7"/>
      <c r="P16403" s="7"/>
      <c r="Q16403" s="7"/>
      <c r="R16403" s="7"/>
      <c r="S16403" s="7"/>
      <c r="T16403" s="7"/>
      <c r="U16403" s="7"/>
      <c r="V16403" s="7"/>
      <c r="W16403" s="7"/>
      <c r="X16403" s="7"/>
      <c r="Y16403" s="7"/>
      <c r="Z16403" s="7"/>
      <c r="AA16403" s="7"/>
      <c r="AB16403" s="7"/>
      <c r="AC16403" s="7"/>
      <c r="AD16403" s="7"/>
      <c r="AE16403" s="7"/>
      <c r="AF16403" s="7"/>
    </row>
    <row r="16404" spans="1:32">
      <c r="A16404" s="7"/>
      <c r="B16404" s="7"/>
      <c r="C16404" s="7"/>
      <c r="D16404" s="7"/>
      <c r="E16404" s="7"/>
      <c r="F16404" s="7"/>
      <c r="G16404" s="7"/>
      <c r="H16404" s="7"/>
      <c r="I16404" s="7"/>
      <c r="J16404" s="7"/>
      <c r="K16404" s="7"/>
      <c r="L16404" s="7"/>
      <c r="M16404" s="7"/>
      <c r="N16404" s="7"/>
      <c r="O16404" s="7"/>
      <c r="P16404" s="7"/>
      <c r="Q16404" s="7"/>
      <c r="R16404" s="7"/>
      <c r="S16404" s="7"/>
      <c r="T16404" s="7"/>
      <c r="U16404" s="7"/>
      <c r="V16404" s="7"/>
      <c r="W16404" s="7"/>
      <c r="X16404" s="7"/>
      <c r="Y16404" s="7"/>
      <c r="Z16404" s="7"/>
      <c r="AA16404" s="7"/>
      <c r="AB16404" s="7"/>
      <c r="AC16404" s="7"/>
      <c r="AD16404" s="7"/>
      <c r="AE16404" s="7"/>
      <c r="AF16404" s="7"/>
    </row>
    <row r="16405" spans="1:32">
      <c r="A16405" s="7"/>
      <c r="B16405" s="7"/>
      <c r="C16405" s="7"/>
      <c r="D16405" s="7"/>
      <c r="E16405" s="7"/>
      <c r="F16405" s="7"/>
      <c r="G16405" s="7"/>
      <c r="H16405" s="7"/>
      <c r="I16405" s="7"/>
      <c r="J16405" s="7"/>
      <c r="K16405" s="7"/>
      <c r="L16405" s="7"/>
      <c r="M16405" s="7"/>
      <c r="N16405" s="7"/>
      <c r="O16405" s="7"/>
      <c r="P16405" s="7"/>
      <c r="Q16405" s="7"/>
      <c r="R16405" s="7"/>
      <c r="S16405" s="7"/>
      <c r="T16405" s="7"/>
      <c r="U16405" s="7"/>
      <c r="V16405" s="7"/>
      <c r="W16405" s="7"/>
      <c r="X16405" s="7"/>
      <c r="Y16405" s="7"/>
      <c r="Z16405" s="7"/>
      <c r="AA16405" s="7"/>
      <c r="AB16405" s="7"/>
      <c r="AC16405" s="7"/>
      <c r="AD16405" s="7"/>
      <c r="AE16405" s="7"/>
      <c r="AF16405" s="7"/>
    </row>
    <row r="16406" spans="1:32">
      <c r="A16406" s="7"/>
      <c r="B16406" s="7"/>
      <c r="C16406" s="7"/>
      <c r="D16406" s="7"/>
      <c r="E16406" s="7"/>
      <c r="F16406" s="7"/>
      <c r="G16406" s="7"/>
      <c r="H16406" s="7"/>
      <c r="I16406" s="7"/>
      <c r="J16406" s="7"/>
      <c r="K16406" s="7"/>
      <c r="L16406" s="7"/>
      <c r="M16406" s="7"/>
      <c r="N16406" s="7"/>
      <c r="O16406" s="7"/>
      <c r="P16406" s="7"/>
      <c r="Q16406" s="7"/>
      <c r="R16406" s="7"/>
      <c r="S16406" s="7"/>
      <c r="T16406" s="7"/>
      <c r="U16406" s="7"/>
      <c r="V16406" s="7"/>
      <c r="W16406" s="7"/>
      <c r="X16406" s="7"/>
      <c r="Y16406" s="7"/>
      <c r="Z16406" s="7"/>
      <c r="AA16406" s="7"/>
      <c r="AB16406" s="7"/>
      <c r="AC16406" s="7"/>
      <c r="AD16406" s="7"/>
      <c r="AE16406" s="7"/>
      <c r="AF16406" s="7"/>
    </row>
    <row r="16407" spans="1:32">
      <c r="A16407" s="7"/>
      <c r="B16407" s="7"/>
      <c r="C16407" s="7"/>
      <c r="D16407" s="7"/>
      <c r="E16407" s="7"/>
      <c r="F16407" s="7"/>
      <c r="G16407" s="7"/>
      <c r="H16407" s="7"/>
      <c r="I16407" s="7"/>
      <c r="J16407" s="7"/>
      <c r="K16407" s="7"/>
      <c r="L16407" s="7"/>
      <c r="M16407" s="7"/>
      <c r="N16407" s="7"/>
      <c r="O16407" s="7"/>
      <c r="P16407" s="7"/>
      <c r="Q16407" s="7"/>
      <c r="R16407" s="7"/>
      <c r="S16407" s="7"/>
      <c r="T16407" s="7"/>
      <c r="U16407" s="7"/>
      <c r="V16407" s="7"/>
      <c r="W16407" s="7"/>
      <c r="X16407" s="7"/>
      <c r="Y16407" s="7"/>
      <c r="Z16407" s="7"/>
      <c r="AA16407" s="7"/>
      <c r="AB16407" s="7"/>
      <c r="AC16407" s="7"/>
      <c r="AD16407" s="7"/>
      <c r="AE16407" s="7"/>
      <c r="AF16407" s="7"/>
    </row>
    <row r="16408" spans="1:32">
      <c r="A16408" s="7"/>
      <c r="B16408" s="7"/>
      <c r="C16408" s="7"/>
      <c r="D16408" s="7"/>
      <c r="E16408" s="7"/>
      <c r="F16408" s="7"/>
      <c r="G16408" s="7"/>
      <c r="H16408" s="7"/>
      <c r="I16408" s="7"/>
      <c r="J16408" s="7"/>
      <c r="K16408" s="7"/>
      <c r="L16408" s="7"/>
      <c r="M16408" s="7"/>
      <c r="N16408" s="7"/>
      <c r="O16408" s="7"/>
      <c r="P16408" s="7"/>
      <c r="Q16408" s="7"/>
      <c r="R16408" s="7"/>
      <c r="S16408" s="7"/>
      <c r="T16408" s="7"/>
      <c r="U16408" s="7"/>
      <c r="V16408" s="7"/>
      <c r="W16408" s="7"/>
      <c r="X16408" s="7"/>
      <c r="Y16408" s="7"/>
      <c r="Z16408" s="7"/>
      <c r="AA16408" s="7"/>
      <c r="AB16408" s="7"/>
      <c r="AC16408" s="7"/>
      <c r="AD16408" s="7"/>
      <c r="AE16408" s="7"/>
      <c r="AF16408" s="7"/>
    </row>
    <row r="16409" spans="1:32">
      <c r="A16409" s="7"/>
      <c r="B16409" s="7"/>
      <c r="C16409" s="7"/>
      <c r="D16409" s="7"/>
      <c r="E16409" s="7"/>
      <c r="F16409" s="7"/>
      <c r="G16409" s="7"/>
      <c r="H16409" s="7"/>
      <c r="I16409" s="7"/>
      <c r="J16409" s="7"/>
      <c r="K16409" s="7"/>
      <c r="L16409" s="7"/>
      <c r="M16409" s="7"/>
      <c r="N16409" s="7"/>
      <c r="O16409" s="7"/>
      <c r="P16409" s="7"/>
      <c r="Q16409" s="7"/>
      <c r="R16409" s="7"/>
      <c r="S16409" s="7"/>
      <c r="T16409" s="7"/>
      <c r="U16409" s="7"/>
      <c r="V16409" s="7"/>
      <c r="W16409" s="7"/>
      <c r="X16409" s="7"/>
      <c r="Y16409" s="7"/>
      <c r="Z16409" s="7"/>
      <c r="AA16409" s="7"/>
      <c r="AB16409" s="7"/>
      <c r="AC16409" s="7"/>
      <c r="AD16409" s="7"/>
      <c r="AE16409" s="7"/>
      <c r="AF16409" s="7"/>
    </row>
    <row r="16410" spans="1:32">
      <c r="A16410" s="7"/>
      <c r="B16410" s="7"/>
      <c r="C16410" s="7"/>
      <c r="D16410" s="7"/>
      <c r="E16410" s="7"/>
      <c r="F16410" s="7"/>
      <c r="G16410" s="7"/>
      <c r="H16410" s="7"/>
      <c r="I16410" s="7"/>
      <c r="J16410" s="7"/>
      <c r="K16410" s="7"/>
      <c r="L16410" s="7"/>
      <c r="M16410" s="7"/>
      <c r="N16410" s="7"/>
      <c r="O16410" s="7"/>
      <c r="P16410" s="7"/>
      <c r="Q16410" s="7"/>
      <c r="R16410" s="7"/>
      <c r="S16410" s="7"/>
      <c r="T16410" s="7"/>
      <c r="U16410" s="7"/>
      <c r="V16410" s="7"/>
      <c r="W16410" s="7"/>
      <c r="X16410" s="7"/>
      <c r="Y16410" s="7"/>
      <c r="Z16410" s="7"/>
      <c r="AA16410" s="7"/>
      <c r="AB16410" s="7"/>
      <c r="AC16410" s="7"/>
      <c r="AD16410" s="7"/>
      <c r="AE16410" s="7"/>
      <c r="AF16410" s="7"/>
    </row>
    <row r="16411" spans="1:32">
      <c r="A16411" s="7"/>
      <c r="B16411" s="7"/>
      <c r="C16411" s="7"/>
      <c r="D16411" s="7"/>
      <c r="E16411" s="7"/>
      <c r="F16411" s="7"/>
      <c r="G16411" s="7"/>
      <c r="H16411" s="7"/>
      <c r="I16411" s="7"/>
      <c r="J16411" s="7"/>
      <c r="K16411" s="7"/>
      <c r="L16411" s="7"/>
      <c r="M16411" s="7"/>
      <c r="N16411" s="7"/>
      <c r="O16411" s="7"/>
      <c r="P16411" s="7"/>
      <c r="Q16411" s="7"/>
      <c r="R16411" s="7"/>
      <c r="S16411" s="7"/>
      <c r="T16411" s="7"/>
      <c r="U16411" s="7"/>
      <c r="V16411" s="7"/>
      <c r="W16411" s="7"/>
      <c r="X16411" s="7"/>
      <c r="Y16411" s="7"/>
      <c r="Z16411" s="7"/>
      <c r="AA16411" s="7"/>
      <c r="AB16411" s="7"/>
      <c r="AC16411" s="7"/>
      <c r="AD16411" s="7"/>
      <c r="AE16411" s="7"/>
      <c r="AF16411" s="7"/>
    </row>
    <row r="16412" spans="1:32">
      <c r="A16412" s="7"/>
      <c r="B16412" s="7"/>
      <c r="C16412" s="7"/>
      <c r="D16412" s="7"/>
      <c r="E16412" s="7"/>
      <c r="F16412" s="7"/>
      <c r="G16412" s="7"/>
      <c r="H16412" s="7"/>
      <c r="I16412" s="7"/>
      <c r="J16412" s="7"/>
      <c r="K16412" s="7"/>
      <c r="L16412" s="7"/>
      <c r="M16412" s="7"/>
      <c r="N16412" s="7"/>
      <c r="O16412" s="7"/>
      <c r="P16412" s="7"/>
      <c r="Q16412" s="7"/>
      <c r="R16412" s="7"/>
      <c r="S16412" s="7"/>
      <c r="T16412" s="7"/>
      <c r="U16412" s="7"/>
      <c r="V16412" s="7"/>
      <c r="W16412" s="7"/>
      <c r="X16412" s="7"/>
      <c r="Y16412" s="7"/>
      <c r="Z16412" s="7"/>
      <c r="AA16412" s="7"/>
      <c r="AB16412" s="7"/>
      <c r="AC16412" s="7"/>
      <c r="AD16412" s="7"/>
      <c r="AE16412" s="7"/>
      <c r="AF16412" s="7"/>
    </row>
    <row r="16413" spans="1:32">
      <c r="A16413" s="7"/>
      <c r="B16413" s="7"/>
      <c r="C16413" s="7"/>
      <c r="D16413" s="7"/>
      <c r="E16413" s="7"/>
      <c r="F16413" s="7"/>
      <c r="G16413" s="7"/>
      <c r="H16413" s="7"/>
      <c r="I16413" s="7"/>
      <c r="J16413" s="7"/>
      <c r="K16413" s="7"/>
      <c r="L16413" s="7"/>
      <c r="M16413" s="7"/>
      <c r="N16413" s="7"/>
      <c r="O16413" s="7"/>
      <c r="P16413" s="7"/>
      <c r="Q16413" s="7"/>
      <c r="R16413" s="7"/>
      <c r="S16413" s="7"/>
      <c r="T16413" s="7"/>
      <c r="U16413" s="7"/>
      <c r="V16413" s="7"/>
      <c r="W16413" s="7"/>
      <c r="X16413" s="7"/>
      <c r="Y16413" s="7"/>
      <c r="Z16413" s="7"/>
      <c r="AA16413" s="7"/>
      <c r="AB16413" s="7"/>
      <c r="AC16413" s="7"/>
      <c r="AD16413" s="7"/>
      <c r="AE16413" s="7"/>
      <c r="AF16413" s="7"/>
    </row>
    <row r="16414" spans="1:32">
      <c r="A16414" s="7"/>
      <c r="B16414" s="7"/>
      <c r="C16414" s="7"/>
      <c r="D16414" s="7"/>
      <c r="E16414" s="7"/>
      <c r="F16414" s="7"/>
      <c r="G16414" s="7"/>
      <c r="H16414" s="7"/>
      <c r="I16414" s="7"/>
      <c r="J16414" s="7"/>
      <c r="K16414" s="7"/>
      <c r="L16414" s="7"/>
      <c r="M16414" s="7"/>
      <c r="N16414" s="7"/>
      <c r="O16414" s="7"/>
      <c r="P16414" s="7"/>
      <c r="Q16414" s="7"/>
      <c r="R16414" s="7"/>
      <c r="S16414" s="7"/>
      <c r="T16414" s="7"/>
      <c r="U16414" s="7"/>
      <c r="V16414" s="7"/>
      <c r="W16414" s="7"/>
      <c r="X16414" s="7"/>
      <c r="Y16414" s="7"/>
      <c r="Z16414" s="7"/>
      <c r="AA16414" s="7"/>
      <c r="AB16414" s="7"/>
      <c r="AC16414" s="7"/>
      <c r="AD16414" s="7"/>
      <c r="AE16414" s="7"/>
      <c r="AF16414" s="7"/>
    </row>
    <row r="16415" spans="1:32">
      <c r="A16415" s="7"/>
      <c r="B16415" s="7"/>
      <c r="C16415" s="7"/>
      <c r="D16415" s="7"/>
      <c r="E16415" s="7"/>
      <c r="F16415" s="7"/>
      <c r="G16415" s="7"/>
      <c r="H16415" s="7"/>
      <c r="I16415" s="7"/>
      <c r="J16415" s="7"/>
      <c r="K16415" s="7"/>
      <c r="L16415" s="7"/>
      <c r="M16415" s="7"/>
      <c r="N16415" s="7"/>
      <c r="O16415" s="7"/>
      <c r="P16415" s="7"/>
      <c r="Q16415" s="7"/>
      <c r="R16415" s="7"/>
      <c r="S16415" s="7"/>
      <c r="T16415" s="7"/>
      <c r="U16415" s="7"/>
      <c r="V16415" s="7"/>
      <c r="W16415" s="7"/>
      <c r="X16415" s="7"/>
      <c r="Y16415" s="7"/>
      <c r="Z16415" s="7"/>
      <c r="AA16415" s="7"/>
      <c r="AB16415" s="7"/>
      <c r="AC16415" s="7"/>
      <c r="AD16415" s="7"/>
      <c r="AE16415" s="7"/>
      <c r="AF16415" s="7"/>
    </row>
    <row r="16416" spans="1:32">
      <c r="A16416" s="7"/>
      <c r="B16416" s="7"/>
      <c r="C16416" s="7"/>
      <c r="D16416" s="7"/>
      <c r="E16416" s="7"/>
      <c r="F16416" s="7"/>
      <c r="G16416" s="7"/>
      <c r="H16416" s="7"/>
      <c r="I16416" s="7"/>
      <c r="J16416" s="7"/>
      <c r="K16416" s="7"/>
      <c r="L16416" s="7"/>
      <c r="M16416" s="7"/>
      <c r="N16416" s="7"/>
      <c r="O16416" s="7"/>
      <c r="P16416" s="7"/>
      <c r="Q16416" s="7"/>
      <c r="R16416" s="7"/>
      <c r="S16416" s="7"/>
      <c r="T16416" s="7"/>
      <c r="U16416" s="7"/>
      <c r="V16416" s="7"/>
      <c r="W16416" s="7"/>
      <c r="X16416" s="7"/>
      <c r="Y16416" s="7"/>
      <c r="Z16416" s="7"/>
      <c r="AA16416" s="7"/>
      <c r="AB16416" s="7"/>
      <c r="AC16416" s="7"/>
      <c r="AD16416" s="7"/>
      <c r="AE16416" s="7"/>
      <c r="AF16416" s="7"/>
    </row>
    <row r="16417" spans="1:32">
      <c r="A16417" s="7"/>
      <c r="B16417" s="7"/>
      <c r="C16417" s="7"/>
      <c r="D16417" s="7"/>
      <c r="E16417" s="7"/>
      <c r="F16417" s="7"/>
      <c r="G16417" s="7"/>
      <c r="H16417" s="7"/>
      <c r="I16417" s="7"/>
      <c r="J16417" s="7"/>
      <c r="K16417" s="7"/>
      <c r="L16417" s="7"/>
      <c r="M16417" s="7"/>
      <c r="N16417" s="7"/>
      <c r="O16417" s="7"/>
      <c r="P16417" s="7"/>
      <c r="Q16417" s="7"/>
      <c r="R16417" s="7"/>
      <c r="S16417" s="7"/>
      <c r="T16417" s="7"/>
      <c r="U16417" s="7"/>
      <c r="V16417" s="7"/>
      <c r="W16417" s="7"/>
      <c r="X16417" s="7"/>
      <c r="Y16417" s="7"/>
      <c r="Z16417" s="7"/>
      <c r="AA16417" s="7"/>
      <c r="AB16417" s="7"/>
      <c r="AC16417" s="7"/>
      <c r="AD16417" s="7"/>
      <c r="AE16417" s="7"/>
      <c r="AF16417" s="7"/>
    </row>
    <row r="16418" spans="1:32">
      <c r="A16418" s="7"/>
      <c r="B16418" s="7"/>
      <c r="C16418" s="7"/>
      <c r="D16418" s="7"/>
      <c r="E16418" s="7"/>
      <c r="F16418" s="7"/>
      <c r="G16418" s="7"/>
      <c r="H16418" s="7"/>
      <c r="I16418" s="7"/>
      <c r="J16418" s="7"/>
      <c r="K16418" s="7"/>
      <c r="L16418" s="7"/>
      <c r="M16418" s="7"/>
      <c r="N16418" s="7"/>
      <c r="O16418" s="7"/>
      <c r="P16418" s="7"/>
      <c r="Q16418" s="7"/>
      <c r="R16418" s="7"/>
      <c r="S16418" s="7"/>
      <c r="T16418" s="7"/>
      <c r="U16418" s="7"/>
      <c r="V16418" s="7"/>
      <c r="W16418" s="7"/>
      <c r="X16418" s="7"/>
      <c r="Y16418" s="7"/>
      <c r="Z16418" s="7"/>
      <c r="AA16418" s="7"/>
      <c r="AB16418" s="7"/>
      <c r="AC16418" s="7"/>
      <c r="AD16418" s="7"/>
      <c r="AE16418" s="7"/>
      <c r="AF16418" s="7"/>
    </row>
    <row r="16419" spans="1:32">
      <c r="A16419" s="7"/>
      <c r="B16419" s="7"/>
      <c r="C16419" s="7"/>
      <c r="D16419" s="7"/>
      <c r="E16419" s="7"/>
      <c r="F16419" s="7"/>
      <c r="G16419" s="7"/>
      <c r="H16419" s="7"/>
      <c r="I16419" s="7"/>
      <c r="J16419" s="7"/>
      <c r="K16419" s="7"/>
      <c r="L16419" s="7"/>
      <c r="M16419" s="7"/>
      <c r="N16419" s="7"/>
      <c r="O16419" s="7"/>
      <c r="P16419" s="7"/>
      <c r="Q16419" s="7"/>
      <c r="R16419" s="7"/>
      <c r="S16419" s="7"/>
      <c r="T16419" s="7"/>
      <c r="U16419" s="7"/>
      <c r="V16419" s="7"/>
      <c r="W16419" s="7"/>
      <c r="X16419" s="7"/>
      <c r="Y16419" s="7"/>
      <c r="Z16419" s="7"/>
      <c r="AA16419" s="7"/>
      <c r="AB16419" s="7"/>
      <c r="AC16419" s="7"/>
      <c r="AD16419" s="7"/>
      <c r="AE16419" s="7"/>
      <c r="AF16419" s="7"/>
    </row>
    <row r="16420" spans="1:32">
      <c r="A16420" s="7"/>
      <c r="B16420" s="7"/>
      <c r="C16420" s="7"/>
      <c r="D16420" s="7"/>
      <c r="E16420" s="7"/>
      <c r="F16420" s="7"/>
      <c r="G16420" s="7"/>
      <c r="H16420" s="7"/>
      <c r="I16420" s="7"/>
      <c r="J16420" s="7"/>
      <c r="K16420" s="7"/>
      <c r="L16420" s="7"/>
      <c r="M16420" s="7"/>
      <c r="N16420" s="7"/>
      <c r="O16420" s="7"/>
      <c r="P16420" s="7"/>
      <c r="Q16420" s="7"/>
      <c r="R16420" s="7"/>
      <c r="S16420" s="7"/>
      <c r="T16420" s="7"/>
      <c r="U16420" s="7"/>
      <c r="V16420" s="7"/>
      <c r="W16420" s="7"/>
      <c r="X16420" s="7"/>
      <c r="Y16420" s="7"/>
      <c r="Z16420" s="7"/>
      <c r="AA16420" s="7"/>
      <c r="AB16420" s="7"/>
      <c r="AC16420" s="7"/>
      <c r="AD16420" s="7"/>
      <c r="AE16420" s="7"/>
      <c r="AF16420" s="7"/>
    </row>
    <row r="16421" spans="1:32">
      <c r="A16421" s="7"/>
      <c r="B16421" s="7"/>
      <c r="C16421" s="7"/>
      <c r="D16421" s="7"/>
      <c r="E16421" s="7"/>
      <c r="F16421" s="7"/>
      <c r="G16421" s="7"/>
      <c r="H16421" s="7"/>
      <c r="I16421" s="7"/>
      <c r="J16421" s="7"/>
      <c r="K16421" s="7"/>
      <c r="L16421" s="7"/>
      <c r="M16421" s="7"/>
      <c r="N16421" s="7"/>
      <c r="O16421" s="7"/>
      <c r="P16421" s="7"/>
      <c r="Q16421" s="7"/>
      <c r="R16421" s="7"/>
      <c r="S16421" s="7"/>
      <c r="T16421" s="7"/>
      <c r="U16421" s="7"/>
      <c r="V16421" s="7"/>
      <c r="W16421" s="7"/>
      <c r="X16421" s="7"/>
      <c r="Y16421" s="7"/>
      <c r="Z16421" s="7"/>
      <c r="AA16421" s="7"/>
      <c r="AB16421" s="7"/>
      <c r="AC16421" s="7"/>
      <c r="AD16421" s="7"/>
      <c r="AE16421" s="7"/>
      <c r="AF16421" s="7"/>
    </row>
    <row r="16422" spans="1:32">
      <c r="A16422" s="7"/>
      <c r="B16422" s="7"/>
      <c r="C16422" s="7"/>
      <c r="D16422" s="7"/>
      <c r="E16422" s="7"/>
      <c r="F16422" s="7"/>
      <c r="G16422" s="7"/>
      <c r="H16422" s="7"/>
      <c r="I16422" s="7"/>
      <c r="J16422" s="7"/>
      <c r="K16422" s="7"/>
      <c r="L16422" s="7"/>
      <c r="M16422" s="7"/>
      <c r="N16422" s="7"/>
      <c r="O16422" s="7"/>
      <c r="P16422" s="7"/>
      <c r="Q16422" s="7"/>
      <c r="R16422" s="7"/>
      <c r="S16422" s="7"/>
      <c r="T16422" s="7"/>
      <c r="U16422" s="7"/>
      <c r="V16422" s="7"/>
      <c r="W16422" s="7"/>
      <c r="X16422" s="7"/>
      <c r="Y16422" s="7"/>
      <c r="Z16422" s="7"/>
      <c r="AA16422" s="7"/>
      <c r="AB16422" s="7"/>
      <c r="AC16422" s="7"/>
      <c r="AD16422" s="7"/>
      <c r="AE16422" s="7"/>
      <c r="AF16422" s="7"/>
    </row>
    <row r="16423" spans="1:32">
      <c r="A16423" s="7"/>
      <c r="B16423" s="7"/>
      <c r="C16423" s="7"/>
      <c r="D16423" s="7"/>
      <c r="E16423" s="7"/>
      <c r="F16423" s="7"/>
      <c r="G16423" s="7"/>
      <c r="H16423" s="7"/>
      <c r="I16423" s="7"/>
      <c r="J16423" s="7"/>
      <c r="K16423" s="7"/>
      <c r="L16423" s="7"/>
      <c r="M16423" s="7"/>
      <c r="N16423" s="7"/>
      <c r="O16423" s="7"/>
      <c r="P16423" s="7"/>
      <c r="Q16423" s="7"/>
      <c r="R16423" s="7"/>
      <c r="S16423" s="7"/>
      <c r="T16423" s="7"/>
      <c r="U16423" s="7"/>
      <c r="V16423" s="7"/>
      <c r="W16423" s="7"/>
      <c r="X16423" s="7"/>
      <c r="Y16423" s="7"/>
      <c r="Z16423" s="7"/>
      <c r="AA16423" s="7"/>
      <c r="AB16423" s="7"/>
      <c r="AC16423" s="7"/>
      <c r="AD16423" s="7"/>
      <c r="AE16423" s="7"/>
      <c r="AF16423" s="7"/>
    </row>
    <row r="16424" spans="1:32">
      <c r="A16424" s="7"/>
      <c r="B16424" s="7"/>
      <c r="C16424" s="7"/>
      <c r="D16424" s="7"/>
      <c r="E16424" s="7"/>
      <c r="F16424" s="7"/>
      <c r="G16424" s="7"/>
      <c r="H16424" s="7"/>
      <c r="I16424" s="7"/>
      <c r="J16424" s="7"/>
      <c r="K16424" s="7"/>
      <c r="L16424" s="7"/>
      <c r="M16424" s="7"/>
      <c r="N16424" s="7"/>
      <c r="O16424" s="7"/>
      <c r="P16424" s="7"/>
      <c r="Q16424" s="7"/>
      <c r="R16424" s="7"/>
      <c r="S16424" s="7"/>
      <c r="T16424" s="7"/>
      <c r="U16424" s="7"/>
      <c r="V16424" s="7"/>
      <c r="W16424" s="7"/>
      <c r="X16424" s="7"/>
      <c r="Y16424" s="7"/>
      <c r="Z16424" s="7"/>
      <c r="AA16424" s="7"/>
      <c r="AB16424" s="7"/>
      <c r="AC16424" s="7"/>
      <c r="AD16424" s="7"/>
      <c r="AE16424" s="7"/>
      <c r="AF16424" s="7"/>
    </row>
    <row r="16425" spans="1:32">
      <c r="A16425" s="7"/>
      <c r="B16425" s="7"/>
      <c r="C16425" s="7"/>
      <c r="D16425" s="7"/>
      <c r="E16425" s="7"/>
      <c r="F16425" s="7"/>
      <c r="G16425" s="7"/>
      <c r="H16425" s="7"/>
      <c r="I16425" s="7"/>
      <c r="J16425" s="7"/>
      <c r="K16425" s="7"/>
      <c r="L16425" s="7"/>
      <c r="M16425" s="7"/>
      <c r="N16425" s="7"/>
      <c r="O16425" s="7"/>
      <c r="P16425" s="7"/>
      <c r="Q16425" s="7"/>
      <c r="R16425" s="7"/>
      <c r="S16425" s="7"/>
      <c r="T16425" s="7"/>
      <c r="U16425" s="7"/>
      <c r="V16425" s="7"/>
      <c r="W16425" s="7"/>
      <c r="X16425" s="7"/>
      <c r="Y16425" s="7"/>
      <c r="Z16425" s="7"/>
      <c r="AA16425" s="7"/>
      <c r="AB16425" s="7"/>
      <c r="AC16425" s="7"/>
      <c r="AD16425" s="7"/>
      <c r="AE16425" s="7"/>
      <c r="AF16425" s="7"/>
    </row>
    <row r="16426" spans="1:32">
      <c r="A16426" s="7"/>
      <c r="B16426" s="7"/>
      <c r="C16426" s="7"/>
      <c r="D16426" s="7"/>
      <c r="E16426" s="7"/>
      <c r="F16426" s="7"/>
      <c r="G16426" s="7"/>
      <c r="H16426" s="7"/>
      <c r="I16426" s="7"/>
      <c r="J16426" s="7"/>
      <c r="K16426" s="7"/>
      <c r="L16426" s="7"/>
      <c r="M16426" s="7"/>
      <c r="N16426" s="7"/>
      <c r="O16426" s="7"/>
      <c r="P16426" s="7"/>
      <c r="Q16426" s="7"/>
      <c r="R16426" s="7"/>
      <c r="S16426" s="7"/>
      <c r="T16426" s="7"/>
      <c r="U16426" s="7"/>
      <c r="V16426" s="7"/>
      <c r="W16426" s="7"/>
      <c r="X16426" s="7"/>
      <c r="Y16426" s="7"/>
      <c r="Z16426" s="7"/>
      <c r="AA16426" s="7"/>
      <c r="AB16426" s="7"/>
      <c r="AC16426" s="7"/>
      <c r="AD16426" s="7"/>
      <c r="AE16426" s="7"/>
      <c r="AF16426" s="7"/>
    </row>
    <row r="16427" spans="1:32">
      <c r="A16427" s="7"/>
      <c r="B16427" s="7"/>
      <c r="C16427" s="7"/>
      <c r="D16427" s="7"/>
      <c r="E16427" s="7"/>
      <c r="F16427" s="7"/>
      <c r="G16427" s="7"/>
      <c r="H16427" s="7"/>
      <c r="I16427" s="7"/>
      <c r="J16427" s="7"/>
      <c r="K16427" s="7"/>
      <c r="L16427" s="7"/>
      <c r="M16427" s="7"/>
      <c r="N16427" s="7"/>
      <c r="O16427" s="7"/>
      <c r="P16427" s="7"/>
      <c r="Q16427" s="7"/>
      <c r="R16427" s="7"/>
      <c r="S16427" s="7"/>
      <c r="T16427" s="7"/>
      <c r="U16427" s="7"/>
      <c r="V16427" s="7"/>
      <c r="W16427" s="7"/>
      <c r="X16427" s="7"/>
      <c r="Y16427" s="7"/>
      <c r="Z16427" s="7"/>
      <c r="AA16427" s="7"/>
      <c r="AB16427" s="7"/>
      <c r="AC16427" s="7"/>
      <c r="AD16427" s="7"/>
      <c r="AE16427" s="7"/>
      <c r="AF16427" s="7"/>
    </row>
    <row r="16428" spans="1:32">
      <c r="A16428" s="7"/>
      <c r="B16428" s="7"/>
      <c r="C16428" s="7"/>
      <c r="D16428" s="7"/>
      <c r="E16428" s="7"/>
      <c r="F16428" s="7"/>
      <c r="G16428" s="7"/>
      <c r="H16428" s="7"/>
      <c r="I16428" s="7"/>
      <c r="J16428" s="7"/>
      <c r="K16428" s="7"/>
      <c r="L16428" s="7"/>
      <c r="M16428" s="7"/>
      <c r="N16428" s="7"/>
      <c r="O16428" s="7"/>
      <c r="P16428" s="7"/>
      <c r="Q16428" s="7"/>
      <c r="R16428" s="7"/>
      <c r="S16428" s="7"/>
      <c r="T16428" s="7"/>
      <c r="U16428" s="7"/>
      <c r="V16428" s="7"/>
      <c r="W16428" s="7"/>
      <c r="X16428" s="7"/>
      <c r="Y16428" s="7"/>
      <c r="Z16428" s="7"/>
      <c r="AA16428" s="7"/>
      <c r="AB16428" s="7"/>
      <c r="AC16428" s="7"/>
      <c r="AD16428" s="7"/>
      <c r="AE16428" s="7"/>
      <c r="AF16428" s="7"/>
    </row>
    <row r="16429" spans="1:32">
      <c r="A16429" s="7"/>
      <c r="B16429" s="7"/>
      <c r="C16429" s="7"/>
      <c r="D16429" s="7"/>
      <c r="E16429" s="7"/>
      <c r="F16429" s="7"/>
      <c r="G16429" s="7"/>
      <c r="H16429" s="7"/>
      <c r="I16429" s="7"/>
      <c r="J16429" s="7"/>
      <c r="K16429" s="7"/>
      <c r="L16429" s="7"/>
      <c r="M16429" s="7"/>
      <c r="N16429" s="7"/>
      <c r="O16429" s="7"/>
      <c r="P16429" s="7"/>
      <c r="Q16429" s="7"/>
      <c r="R16429" s="7"/>
      <c r="S16429" s="7"/>
      <c r="T16429" s="7"/>
      <c r="U16429" s="7"/>
      <c r="V16429" s="7"/>
      <c r="W16429" s="7"/>
      <c r="X16429" s="7"/>
      <c r="Y16429" s="7"/>
      <c r="Z16429" s="7"/>
      <c r="AA16429" s="7"/>
      <c r="AB16429" s="7"/>
      <c r="AC16429" s="7"/>
      <c r="AD16429" s="7"/>
      <c r="AE16429" s="7"/>
      <c r="AF16429" s="7"/>
    </row>
    <row r="16430" spans="1:32">
      <c r="A16430" s="7"/>
      <c r="B16430" s="7"/>
      <c r="C16430" s="7"/>
      <c r="D16430" s="7"/>
      <c r="E16430" s="7"/>
      <c r="F16430" s="7"/>
      <c r="G16430" s="7"/>
      <c r="H16430" s="7"/>
      <c r="I16430" s="7"/>
      <c r="J16430" s="7"/>
      <c r="K16430" s="7"/>
      <c r="L16430" s="7"/>
      <c r="M16430" s="7"/>
      <c r="N16430" s="7"/>
      <c r="O16430" s="7"/>
      <c r="P16430" s="7"/>
      <c r="Q16430" s="7"/>
      <c r="R16430" s="7"/>
      <c r="S16430" s="7"/>
      <c r="T16430" s="7"/>
      <c r="U16430" s="7"/>
      <c r="V16430" s="7"/>
      <c r="W16430" s="7"/>
      <c r="X16430" s="7"/>
      <c r="Y16430" s="7"/>
      <c r="Z16430" s="7"/>
      <c r="AA16430" s="7"/>
      <c r="AB16430" s="7"/>
      <c r="AC16430" s="7"/>
      <c r="AD16430" s="7"/>
      <c r="AE16430" s="7"/>
      <c r="AF16430" s="7"/>
    </row>
    <row r="16431" spans="1:32">
      <c r="A16431" s="7"/>
      <c r="B16431" s="7"/>
      <c r="C16431" s="7"/>
      <c r="D16431" s="7"/>
      <c r="E16431" s="7"/>
      <c r="F16431" s="7"/>
      <c r="G16431" s="7"/>
      <c r="H16431" s="7"/>
      <c r="I16431" s="7"/>
      <c r="J16431" s="7"/>
      <c r="K16431" s="7"/>
      <c r="L16431" s="7"/>
      <c r="M16431" s="7"/>
      <c r="N16431" s="7"/>
      <c r="O16431" s="7"/>
      <c r="P16431" s="7"/>
      <c r="Q16431" s="7"/>
      <c r="R16431" s="7"/>
      <c r="S16431" s="7"/>
      <c r="T16431" s="7"/>
      <c r="U16431" s="7"/>
      <c r="V16431" s="7"/>
      <c r="W16431" s="7"/>
      <c r="X16431" s="7"/>
      <c r="Y16431" s="7"/>
      <c r="Z16431" s="7"/>
      <c r="AA16431" s="7"/>
      <c r="AB16431" s="7"/>
      <c r="AC16431" s="7"/>
      <c r="AD16431" s="7"/>
      <c r="AE16431" s="7"/>
      <c r="AF16431" s="7"/>
    </row>
    <row r="16432" spans="1:32">
      <c r="A16432" s="7"/>
      <c r="B16432" s="7"/>
      <c r="C16432" s="7"/>
      <c r="D16432" s="7"/>
      <c r="E16432" s="7"/>
      <c r="F16432" s="7"/>
      <c r="G16432" s="7"/>
      <c r="H16432" s="7"/>
      <c r="I16432" s="7"/>
      <c r="J16432" s="7"/>
      <c r="K16432" s="7"/>
      <c r="L16432" s="7"/>
      <c r="M16432" s="7"/>
      <c r="N16432" s="7"/>
      <c r="O16432" s="7"/>
      <c r="P16432" s="7"/>
      <c r="Q16432" s="7"/>
      <c r="R16432" s="7"/>
      <c r="S16432" s="7"/>
      <c r="T16432" s="7"/>
      <c r="U16432" s="7"/>
      <c r="V16432" s="7"/>
      <c r="W16432" s="7"/>
      <c r="X16432" s="7"/>
      <c r="Y16432" s="7"/>
      <c r="Z16432" s="7"/>
      <c r="AA16432" s="7"/>
      <c r="AB16432" s="7"/>
      <c r="AC16432" s="7"/>
      <c r="AD16432" s="7"/>
      <c r="AE16432" s="7"/>
      <c r="AF16432" s="7"/>
    </row>
    <row r="16433" spans="1:32">
      <c r="A16433" s="7"/>
      <c r="B16433" s="7"/>
      <c r="C16433" s="7"/>
      <c r="D16433" s="7"/>
      <c r="E16433" s="7"/>
      <c r="F16433" s="7"/>
      <c r="G16433" s="7"/>
      <c r="H16433" s="7"/>
      <c r="I16433" s="7"/>
      <c r="J16433" s="7"/>
      <c r="K16433" s="7"/>
      <c r="L16433" s="7"/>
      <c r="M16433" s="7"/>
      <c r="N16433" s="7"/>
      <c r="O16433" s="7"/>
      <c r="P16433" s="7"/>
      <c r="Q16433" s="7"/>
      <c r="R16433" s="7"/>
      <c r="S16433" s="7"/>
      <c r="T16433" s="7"/>
      <c r="U16433" s="7"/>
      <c r="V16433" s="7"/>
      <c r="W16433" s="7"/>
      <c r="X16433" s="7"/>
      <c r="Y16433" s="7"/>
      <c r="Z16433" s="7"/>
      <c r="AA16433" s="7"/>
      <c r="AB16433" s="7"/>
      <c r="AC16433" s="7"/>
      <c r="AD16433" s="7"/>
      <c r="AE16433" s="7"/>
      <c r="AF16433" s="7"/>
    </row>
    <row r="16434" spans="1:32">
      <c r="A16434" s="7"/>
      <c r="B16434" s="7"/>
      <c r="C16434" s="7"/>
      <c r="D16434" s="7"/>
      <c r="E16434" s="7"/>
      <c r="F16434" s="7"/>
      <c r="G16434" s="7"/>
      <c r="H16434" s="7"/>
      <c r="I16434" s="7"/>
      <c r="J16434" s="7"/>
      <c r="K16434" s="7"/>
      <c r="L16434" s="7"/>
      <c r="M16434" s="7"/>
      <c r="N16434" s="7"/>
      <c r="O16434" s="7"/>
      <c r="P16434" s="7"/>
      <c r="Q16434" s="7"/>
      <c r="R16434" s="7"/>
      <c r="S16434" s="7"/>
      <c r="T16434" s="7"/>
      <c r="U16434" s="7"/>
      <c r="V16434" s="7"/>
      <c r="W16434" s="7"/>
      <c r="X16434" s="7"/>
      <c r="Y16434" s="7"/>
      <c r="Z16434" s="7"/>
      <c r="AA16434" s="7"/>
      <c r="AB16434" s="7"/>
      <c r="AC16434" s="7"/>
      <c r="AD16434" s="7"/>
      <c r="AE16434" s="7"/>
      <c r="AF16434" s="7"/>
    </row>
    <row r="16435" spans="1:32">
      <c r="A16435" s="7"/>
      <c r="B16435" s="7"/>
      <c r="C16435" s="7"/>
      <c r="D16435" s="7"/>
      <c r="E16435" s="7"/>
      <c r="F16435" s="7"/>
      <c r="G16435" s="7"/>
      <c r="H16435" s="7"/>
      <c r="I16435" s="7"/>
      <c r="J16435" s="7"/>
      <c r="K16435" s="7"/>
      <c r="L16435" s="7"/>
      <c r="M16435" s="7"/>
      <c r="N16435" s="7"/>
      <c r="O16435" s="7"/>
      <c r="P16435" s="7"/>
      <c r="Q16435" s="7"/>
      <c r="R16435" s="7"/>
      <c r="S16435" s="7"/>
      <c r="T16435" s="7"/>
      <c r="U16435" s="7"/>
      <c r="V16435" s="7"/>
      <c r="W16435" s="7"/>
      <c r="X16435" s="7"/>
      <c r="Y16435" s="7"/>
      <c r="Z16435" s="7"/>
      <c r="AA16435" s="7"/>
      <c r="AB16435" s="7"/>
      <c r="AC16435" s="7"/>
      <c r="AD16435" s="7"/>
      <c r="AE16435" s="7"/>
      <c r="AF16435" s="7"/>
    </row>
    <row r="16436" spans="1:32">
      <c r="A16436" s="7"/>
      <c r="B16436" s="7"/>
      <c r="C16436" s="7"/>
      <c r="D16436" s="7"/>
      <c r="E16436" s="7"/>
      <c r="F16436" s="7"/>
      <c r="G16436" s="7"/>
      <c r="H16436" s="7"/>
      <c r="I16436" s="7"/>
      <c r="J16436" s="7"/>
      <c r="K16436" s="7"/>
      <c r="L16436" s="7"/>
      <c r="M16436" s="7"/>
      <c r="N16436" s="7"/>
      <c r="O16436" s="7"/>
      <c r="P16436" s="7"/>
      <c r="Q16436" s="7"/>
      <c r="R16436" s="7"/>
      <c r="S16436" s="7"/>
      <c r="T16436" s="7"/>
      <c r="U16436" s="7"/>
      <c r="V16436" s="7"/>
      <c r="W16436" s="7"/>
      <c r="X16436" s="7"/>
      <c r="Y16436" s="7"/>
      <c r="Z16436" s="7"/>
      <c r="AA16436" s="7"/>
      <c r="AB16436" s="7"/>
      <c r="AC16436" s="7"/>
      <c r="AD16436" s="7"/>
      <c r="AE16436" s="7"/>
      <c r="AF16436" s="7"/>
    </row>
    <row r="16437" spans="1:32">
      <c r="A16437" s="7"/>
      <c r="B16437" s="7"/>
      <c r="C16437" s="7"/>
      <c r="D16437" s="7"/>
      <c r="E16437" s="7"/>
      <c r="F16437" s="7"/>
      <c r="G16437" s="7"/>
      <c r="H16437" s="7"/>
      <c r="I16437" s="7"/>
      <c r="J16437" s="7"/>
      <c r="K16437" s="7"/>
      <c r="L16437" s="7"/>
      <c r="M16437" s="7"/>
      <c r="N16437" s="7"/>
      <c r="O16437" s="7"/>
      <c r="P16437" s="7"/>
      <c r="Q16437" s="7"/>
      <c r="R16437" s="7"/>
      <c r="S16437" s="7"/>
      <c r="T16437" s="7"/>
      <c r="U16437" s="7"/>
      <c r="V16437" s="7"/>
      <c r="W16437" s="7"/>
      <c r="X16437" s="7"/>
      <c r="Y16437" s="7"/>
      <c r="Z16437" s="7"/>
      <c r="AA16437" s="7"/>
      <c r="AB16437" s="7"/>
      <c r="AC16437" s="7"/>
      <c r="AD16437" s="7"/>
      <c r="AE16437" s="7"/>
      <c r="AF16437" s="7"/>
    </row>
    <row r="16438" spans="1:32">
      <c r="A16438" s="7"/>
      <c r="B16438" s="7"/>
      <c r="C16438" s="7"/>
      <c r="D16438" s="7"/>
      <c r="E16438" s="7"/>
      <c r="F16438" s="7"/>
      <c r="G16438" s="7"/>
      <c r="H16438" s="7"/>
      <c r="I16438" s="7"/>
      <c r="J16438" s="7"/>
      <c r="K16438" s="7"/>
      <c r="L16438" s="7"/>
      <c r="M16438" s="7"/>
      <c r="N16438" s="7"/>
      <c r="O16438" s="7"/>
      <c r="P16438" s="7"/>
      <c r="Q16438" s="7"/>
      <c r="R16438" s="7"/>
      <c r="S16438" s="7"/>
      <c r="T16438" s="7"/>
      <c r="U16438" s="7"/>
      <c r="V16438" s="7"/>
      <c r="W16438" s="7"/>
      <c r="X16438" s="7"/>
      <c r="Y16438" s="7"/>
      <c r="Z16438" s="7"/>
      <c r="AA16438" s="7"/>
      <c r="AB16438" s="7"/>
      <c r="AC16438" s="7"/>
      <c r="AD16438" s="7"/>
      <c r="AE16438" s="7"/>
      <c r="AF16438" s="7"/>
    </row>
    <row r="16439" spans="1:32">
      <c r="A16439" s="7"/>
      <c r="B16439" s="7"/>
      <c r="C16439" s="7"/>
      <c r="D16439" s="7"/>
      <c r="E16439" s="7"/>
      <c r="F16439" s="7"/>
      <c r="G16439" s="7"/>
      <c r="H16439" s="7"/>
      <c r="I16439" s="7"/>
      <c r="J16439" s="7"/>
      <c r="K16439" s="7"/>
      <c r="L16439" s="7"/>
      <c r="M16439" s="7"/>
      <c r="N16439" s="7"/>
      <c r="O16439" s="7"/>
      <c r="P16439" s="7"/>
      <c r="Q16439" s="7"/>
      <c r="R16439" s="7"/>
      <c r="S16439" s="7"/>
      <c r="T16439" s="7"/>
      <c r="U16439" s="7"/>
      <c r="V16439" s="7"/>
      <c r="W16439" s="7"/>
      <c r="X16439" s="7"/>
      <c r="Y16439" s="7"/>
      <c r="Z16439" s="7"/>
      <c r="AA16439" s="7"/>
      <c r="AB16439" s="7"/>
      <c r="AC16439" s="7"/>
      <c r="AD16439" s="7"/>
      <c r="AE16439" s="7"/>
      <c r="AF16439" s="7"/>
    </row>
    <row r="16440" spans="1:32">
      <c r="A16440" s="7"/>
      <c r="B16440" s="7"/>
      <c r="C16440" s="7"/>
      <c r="D16440" s="7"/>
      <c r="E16440" s="7"/>
      <c r="F16440" s="7"/>
      <c r="G16440" s="7"/>
      <c r="H16440" s="7"/>
      <c r="I16440" s="7"/>
      <c r="J16440" s="7"/>
      <c r="K16440" s="7"/>
      <c r="L16440" s="7"/>
      <c r="M16440" s="7"/>
      <c r="N16440" s="7"/>
      <c r="O16440" s="7"/>
      <c r="P16440" s="7"/>
      <c r="Q16440" s="7"/>
      <c r="R16440" s="7"/>
      <c r="S16440" s="7"/>
      <c r="T16440" s="7"/>
      <c r="U16440" s="7"/>
      <c r="V16440" s="7"/>
      <c r="W16440" s="7"/>
      <c r="X16440" s="7"/>
      <c r="Y16440" s="7"/>
      <c r="Z16440" s="7"/>
      <c r="AA16440" s="7"/>
      <c r="AB16440" s="7"/>
      <c r="AC16440" s="7"/>
      <c r="AD16440" s="7"/>
      <c r="AE16440" s="7"/>
      <c r="AF16440" s="7"/>
    </row>
    <row r="16441" spans="1:32">
      <c r="A16441" s="7"/>
      <c r="B16441" s="7"/>
      <c r="C16441" s="7"/>
      <c r="D16441" s="7"/>
      <c r="E16441" s="7"/>
      <c r="F16441" s="7"/>
      <c r="G16441" s="7"/>
      <c r="H16441" s="7"/>
      <c r="I16441" s="7"/>
      <c r="J16441" s="7"/>
      <c r="K16441" s="7"/>
      <c r="L16441" s="7"/>
      <c r="M16441" s="7"/>
      <c r="N16441" s="7"/>
      <c r="O16441" s="7"/>
      <c r="P16441" s="7"/>
      <c r="Q16441" s="7"/>
      <c r="R16441" s="7"/>
      <c r="S16441" s="7"/>
      <c r="T16441" s="7"/>
      <c r="U16441" s="7"/>
      <c r="V16441" s="7"/>
      <c r="W16441" s="7"/>
      <c r="X16441" s="7"/>
      <c r="Y16441" s="7"/>
      <c r="Z16441" s="7"/>
      <c r="AA16441" s="7"/>
      <c r="AB16441" s="7"/>
      <c r="AC16441" s="7"/>
      <c r="AD16441" s="7"/>
      <c r="AE16441" s="7"/>
      <c r="AF16441" s="7"/>
    </row>
    <row r="16442" spans="1:32">
      <c r="A16442" s="7"/>
      <c r="B16442" s="7"/>
      <c r="C16442" s="7"/>
      <c r="D16442" s="7"/>
      <c r="E16442" s="7"/>
      <c r="F16442" s="7"/>
      <c r="G16442" s="7"/>
      <c r="H16442" s="7"/>
      <c r="I16442" s="7"/>
      <c r="J16442" s="7"/>
      <c r="K16442" s="7"/>
      <c r="L16442" s="7"/>
      <c r="M16442" s="7"/>
      <c r="N16442" s="7"/>
      <c r="O16442" s="7"/>
      <c r="P16442" s="7"/>
      <c r="Q16442" s="7"/>
      <c r="R16442" s="7"/>
      <c r="S16442" s="7"/>
      <c r="T16442" s="7"/>
      <c r="U16442" s="7"/>
      <c r="V16442" s="7"/>
      <c r="W16442" s="7"/>
      <c r="X16442" s="7"/>
      <c r="Y16442" s="7"/>
      <c r="Z16442" s="7"/>
      <c r="AA16442" s="7"/>
      <c r="AB16442" s="7"/>
      <c r="AC16442" s="7"/>
      <c r="AD16442" s="7"/>
      <c r="AE16442" s="7"/>
      <c r="AF16442" s="7"/>
    </row>
    <row r="16443" spans="1:32">
      <c r="A16443" s="7"/>
      <c r="B16443" s="7"/>
      <c r="C16443" s="7"/>
      <c r="D16443" s="7"/>
      <c r="E16443" s="7"/>
      <c r="F16443" s="7"/>
      <c r="G16443" s="7"/>
      <c r="H16443" s="7"/>
      <c r="I16443" s="7"/>
      <c r="J16443" s="7"/>
      <c r="K16443" s="7"/>
      <c r="L16443" s="7"/>
      <c r="M16443" s="7"/>
      <c r="N16443" s="7"/>
      <c r="O16443" s="7"/>
      <c r="P16443" s="7"/>
      <c r="Q16443" s="7"/>
      <c r="R16443" s="7"/>
      <c r="S16443" s="7"/>
      <c r="T16443" s="7"/>
      <c r="U16443" s="7"/>
      <c r="V16443" s="7"/>
      <c r="W16443" s="7"/>
      <c r="X16443" s="7"/>
      <c r="Y16443" s="7"/>
      <c r="Z16443" s="7"/>
      <c r="AA16443" s="7"/>
      <c r="AB16443" s="7"/>
      <c r="AC16443" s="7"/>
      <c r="AD16443" s="7"/>
      <c r="AE16443" s="7"/>
      <c r="AF16443" s="7"/>
    </row>
    <row r="16444" spans="1:32">
      <c r="A16444" s="7"/>
      <c r="B16444" s="7"/>
      <c r="C16444" s="7"/>
      <c r="D16444" s="7"/>
      <c r="E16444" s="7"/>
      <c r="F16444" s="7"/>
      <c r="G16444" s="7"/>
      <c r="H16444" s="7"/>
      <c r="I16444" s="7"/>
      <c r="J16444" s="7"/>
      <c r="K16444" s="7"/>
      <c r="L16444" s="7"/>
      <c r="M16444" s="7"/>
      <c r="N16444" s="7"/>
      <c r="O16444" s="7"/>
      <c r="P16444" s="7"/>
      <c r="Q16444" s="7"/>
      <c r="R16444" s="7"/>
      <c r="S16444" s="7"/>
      <c r="T16444" s="7"/>
      <c r="U16444" s="7"/>
      <c r="V16444" s="7"/>
      <c r="W16444" s="7"/>
      <c r="X16444" s="7"/>
      <c r="Y16444" s="7"/>
      <c r="Z16444" s="7"/>
      <c r="AA16444" s="7"/>
      <c r="AB16444" s="7"/>
      <c r="AC16444" s="7"/>
      <c r="AD16444" s="7"/>
      <c r="AE16444" s="7"/>
      <c r="AF16444" s="7"/>
    </row>
    <row r="16445" spans="1:32">
      <c r="A16445" s="7"/>
      <c r="B16445" s="7"/>
      <c r="C16445" s="7"/>
      <c r="D16445" s="7"/>
      <c r="E16445" s="7"/>
      <c r="F16445" s="7"/>
      <c r="G16445" s="7"/>
      <c r="H16445" s="7"/>
      <c r="I16445" s="7"/>
      <c r="J16445" s="7"/>
      <c r="K16445" s="7"/>
      <c r="L16445" s="7"/>
      <c r="M16445" s="7"/>
      <c r="N16445" s="7"/>
      <c r="O16445" s="7"/>
      <c r="P16445" s="7"/>
      <c r="Q16445" s="7"/>
      <c r="R16445" s="7"/>
      <c r="S16445" s="7"/>
      <c r="T16445" s="7"/>
      <c r="U16445" s="7"/>
      <c r="V16445" s="7"/>
      <c r="W16445" s="7"/>
      <c r="X16445" s="7"/>
      <c r="Y16445" s="7"/>
      <c r="Z16445" s="7"/>
      <c r="AA16445" s="7"/>
      <c r="AB16445" s="7"/>
      <c r="AC16445" s="7"/>
      <c r="AD16445" s="7"/>
      <c r="AE16445" s="7"/>
      <c r="AF16445" s="7"/>
    </row>
    <row r="16446" spans="1:32">
      <c r="A16446" s="7"/>
      <c r="B16446" s="7"/>
      <c r="C16446" s="7"/>
      <c r="D16446" s="7"/>
      <c r="E16446" s="7"/>
      <c r="F16446" s="7"/>
      <c r="G16446" s="7"/>
      <c r="H16446" s="7"/>
      <c r="I16446" s="7"/>
      <c r="J16446" s="7"/>
      <c r="K16446" s="7"/>
      <c r="L16446" s="7"/>
      <c r="M16446" s="7"/>
      <c r="N16446" s="7"/>
      <c r="O16446" s="7"/>
      <c r="P16446" s="7"/>
      <c r="Q16446" s="7"/>
      <c r="R16446" s="7"/>
      <c r="S16446" s="7"/>
      <c r="T16446" s="7"/>
      <c r="U16446" s="7"/>
      <c r="V16446" s="7"/>
      <c r="W16446" s="7"/>
      <c r="X16446" s="7"/>
      <c r="Y16446" s="7"/>
      <c r="Z16446" s="7"/>
      <c r="AA16446" s="7"/>
      <c r="AB16446" s="7"/>
      <c r="AC16446" s="7"/>
      <c r="AD16446" s="7"/>
      <c r="AE16446" s="7"/>
      <c r="AF16446" s="7"/>
    </row>
    <row r="16447" spans="1:32">
      <c r="A16447" s="7"/>
      <c r="B16447" s="7"/>
      <c r="C16447" s="7"/>
      <c r="D16447" s="7"/>
      <c r="E16447" s="7"/>
      <c r="F16447" s="7"/>
      <c r="G16447" s="7"/>
      <c r="H16447" s="7"/>
      <c r="I16447" s="7"/>
      <c r="J16447" s="7"/>
      <c r="K16447" s="7"/>
      <c r="L16447" s="7"/>
      <c r="M16447" s="7"/>
      <c r="N16447" s="7"/>
      <c r="O16447" s="7"/>
      <c r="P16447" s="7"/>
      <c r="Q16447" s="7"/>
      <c r="R16447" s="7"/>
      <c r="S16447" s="7"/>
      <c r="T16447" s="7"/>
      <c r="U16447" s="7"/>
      <c r="V16447" s="7"/>
      <c r="W16447" s="7"/>
      <c r="X16447" s="7"/>
      <c r="Y16447" s="7"/>
      <c r="Z16447" s="7"/>
      <c r="AA16447" s="7"/>
      <c r="AB16447" s="7"/>
      <c r="AC16447" s="7"/>
      <c r="AD16447" s="7"/>
      <c r="AE16447" s="7"/>
      <c r="AF16447" s="7"/>
    </row>
    <row r="16448" spans="1:32">
      <c r="A16448" s="7"/>
      <c r="B16448" s="7"/>
      <c r="C16448" s="7"/>
      <c r="D16448" s="7"/>
      <c r="E16448" s="7"/>
      <c r="F16448" s="7"/>
      <c r="G16448" s="7"/>
      <c r="H16448" s="7"/>
      <c r="I16448" s="7"/>
      <c r="J16448" s="7"/>
      <c r="K16448" s="7"/>
      <c r="L16448" s="7"/>
      <c r="M16448" s="7"/>
      <c r="N16448" s="7"/>
      <c r="O16448" s="7"/>
      <c r="P16448" s="7"/>
      <c r="Q16448" s="7"/>
      <c r="R16448" s="7"/>
      <c r="S16448" s="7"/>
      <c r="T16448" s="7"/>
      <c r="U16448" s="7"/>
      <c r="V16448" s="7"/>
      <c r="W16448" s="7"/>
      <c r="X16448" s="7"/>
      <c r="Y16448" s="7"/>
      <c r="Z16448" s="7"/>
      <c r="AA16448" s="7"/>
      <c r="AB16448" s="7"/>
      <c r="AC16448" s="7"/>
      <c r="AD16448" s="7"/>
      <c r="AE16448" s="7"/>
      <c r="AF16448" s="7"/>
    </row>
    <row r="16449" spans="1:32">
      <c r="A16449" s="7"/>
      <c r="B16449" s="7"/>
      <c r="C16449" s="7"/>
      <c r="D16449" s="7"/>
      <c r="E16449" s="7"/>
      <c r="F16449" s="7"/>
      <c r="G16449" s="7"/>
      <c r="H16449" s="7"/>
      <c r="I16449" s="7"/>
      <c r="J16449" s="7"/>
      <c r="K16449" s="7"/>
      <c r="L16449" s="7"/>
      <c r="M16449" s="7"/>
      <c r="N16449" s="7"/>
      <c r="O16449" s="7"/>
      <c r="P16449" s="7"/>
      <c r="Q16449" s="7"/>
      <c r="R16449" s="7"/>
      <c r="S16449" s="7"/>
      <c r="T16449" s="7"/>
      <c r="U16449" s="7"/>
      <c r="V16449" s="7"/>
      <c r="W16449" s="7"/>
      <c r="X16449" s="7"/>
      <c r="Y16449" s="7"/>
      <c r="Z16449" s="7"/>
      <c r="AA16449" s="7"/>
      <c r="AB16449" s="7"/>
      <c r="AC16449" s="7"/>
      <c r="AD16449" s="7"/>
      <c r="AE16449" s="7"/>
      <c r="AF16449" s="7"/>
    </row>
    <row r="16450" spans="1:32">
      <c r="A16450" s="7"/>
      <c r="B16450" s="7"/>
      <c r="C16450" s="7"/>
      <c r="D16450" s="7"/>
      <c r="E16450" s="7"/>
      <c r="F16450" s="7"/>
      <c r="G16450" s="7"/>
      <c r="H16450" s="7"/>
      <c r="I16450" s="7"/>
      <c r="J16450" s="7"/>
      <c r="K16450" s="7"/>
      <c r="L16450" s="7"/>
      <c r="M16450" s="7"/>
      <c r="N16450" s="7"/>
      <c r="O16450" s="7"/>
      <c r="P16450" s="7"/>
      <c r="Q16450" s="7"/>
      <c r="R16450" s="7"/>
      <c r="S16450" s="7"/>
      <c r="T16450" s="7"/>
      <c r="U16450" s="7"/>
      <c r="V16450" s="7"/>
      <c r="W16450" s="7"/>
      <c r="X16450" s="7"/>
      <c r="Y16450" s="7"/>
      <c r="Z16450" s="7"/>
      <c r="AA16450" s="7"/>
      <c r="AB16450" s="7"/>
      <c r="AC16450" s="7"/>
      <c r="AD16450" s="7"/>
      <c r="AE16450" s="7"/>
      <c r="AF16450" s="7"/>
    </row>
    <row r="16451" spans="1:32">
      <c r="A16451" s="7"/>
      <c r="B16451" s="7"/>
      <c r="C16451" s="7"/>
      <c r="D16451" s="7"/>
      <c r="E16451" s="7"/>
      <c r="F16451" s="7"/>
      <c r="G16451" s="7"/>
      <c r="H16451" s="7"/>
      <c r="I16451" s="7"/>
      <c r="J16451" s="7"/>
      <c r="K16451" s="7"/>
      <c r="L16451" s="7"/>
      <c r="M16451" s="7"/>
      <c r="N16451" s="7"/>
      <c r="O16451" s="7"/>
      <c r="P16451" s="7"/>
      <c r="Q16451" s="7"/>
      <c r="R16451" s="7"/>
      <c r="S16451" s="7"/>
      <c r="T16451" s="7"/>
      <c r="U16451" s="7"/>
      <c r="V16451" s="7"/>
      <c r="W16451" s="7"/>
      <c r="X16451" s="7"/>
      <c r="Y16451" s="7"/>
      <c r="Z16451" s="7"/>
      <c r="AA16451" s="7"/>
      <c r="AB16451" s="7"/>
      <c r="AC16451" s="7"/>
      <c r="AD16451" s="7"/>
      <c r="AE16451" s="7"/>
      <c r="AF16451" s="7"/>
    </row>
    <row r="16452" spans="1:32">
      <c r="A16452" s="7"/>
      <c r="B16452" s="7"/>
      <c r="C16452" s="7"/>
      <c r="D16452" s="7"/>
      <c r="E16452" s="7"/>
      <c r="F16452" s="7"/>
      <c r="G16452" s="7"/>
      <c r="H16452" s="7"/>
      <c r="I16452" s="7"/>
      <c r="J16452" s="7"/>
      <c r="K16452" s="7"/>
      <c r="L16452" s="7"/>
      <c r="M16452" s="7"/>
      <c r="N16452" s="7"/>
      <c r="O16452" s="7"/>
      <c r="P16452" s="7"/>
      <c r="Q16452" s="7"/>
      <c r="R16452" s="7"/>
      <c r="S16452" s="7"/>
      <c r="T16452" s="7"/>
      <c r="U16452" s="7"/>
      <c r="V16452" s="7"/>
      <c r="W16452" s="7"/>
      <c r="X16452" s="7"/>
      <c r="Y16452" s="7"/>
      <c r="Z16452" s="7"/>
      <c r="AA16452" s="7"/>
      <c r="AB16452" s="7"/>
      <c r="AC16452" s="7"/>
      <c r="AD16452" s="7"/>
      <c r="AE16452" s="7"/>
      <c r="AF16452" s="7"/>
    </row>
    <row r="16453" spans="1:32">
      <c r="A16453" s="7"/>
      <c r="B16453" s="7"/>
      <c r="C16453" s="7"/>
      <c r="D16453" s="7"/>
      <c r="E16453" s="7"/>
      <c r="F16453" s="7"/>
      <c r="G16453" s="7"/>
      <c r="H16453" s="7"/>
      <c r="I16453" s="7"/>
      <c r="J16453" s="7"/>
      <c r="K16453" s="7"/>
      <c r="L16453" s="7"/>
      <c r="M16453" s="7"/>
      <c r="N16453" s="7"/>
      <c r="O16453" s="7"/>
      <c r="P16453" s="7"/>
      <c r="Q16453" s="7"/>
      <c r="R16453" s="7"/>
      <c r="S16453" s="7"/>
      <c r="T16453" s="7"/>
      <c r="U16453" s="7"/>
      <c r="V16453" s="7"/>
      <c r="W16453" s="7"/>
      <c r="X16453" s="7"/>
      <c r="Y16453" s="7"/>
      <c r="Z16453" s="7"/>
      <c r="AA16453" s="7"/>
      <c r="AB16453" s="7"/>
      <c r="AC16453" s="7"/>
      <c r="AD16453" s="7"/>
      <c r="AE16453" s="7"/>
      <c r="AF16453" s="7"/>
    </row>
    <row r="16454" spans="1:32">
      <c r="A16454" s="7"/>
      <c r="B16454" s="7"/>
      <c r="C16454" s="7"/>
      <c r="D16454" s="7"/>
      <c r="E16454" s="7"/>
      <c r="F16454" s="7"/>
      <c r="G16454" s="7"/>
      <c r="H16454" s="7"/>
      <c r="I16454" s="7"/>
      <c r="J16454" s="7"/>
      <c r="K16454" s="7"/>
      <c r="L16454" s="7"/>
      <c r="M16454" s="7"/>
      <c r="N16454" s="7"/>
      <c r="O16454" s="7"/>
      <c r="P16454" s="7"/>
      <c r="Q16454" s="7"/>
      <c r="R16454" s="7"/>
      <c r="S16454" s="7"/>
      <c r="T16454" s="7"/>
      <c r="U16454" s="7"/>
      <c r="V16454" s="7"/>
      <c r="W16454" s="7"/>
      <c r="X16454" s="7"/>
      <c r="Y16454" s="7"/>
      <c r="Z16454" s="7"/>
      <c r="AA16454" s="7"/>
      <c r="AB16454" s="7"/>
      <c r="AC16454" s="7"/>
      <c r="AD16454" s="7"/>
      <c r="AE16454" s="7"/>
      <c r="AF16454" s="7"/>
    </row>
    <row r="16455" spans="1:32">
      <c r="A16455" s="7"/>
      <c r="B16455" s="7"/>
      <c r="C16455" s="7"/>
      <c r="D16455" s="7"/>
      <c r="E16455" s="7"/>
      <c r="F16455" s="7"/>
      <c r="G16455" s="7"/>
      <c r="H16455" s="7"/>
      <c r="I16455" s="7"/>
      <c r="J16455" s="7"/>
      <c r="K16455" s="7"/>
      <c r="L16455" s="7"/>
      <c r="M16455" s="7"/>
      <c r="N16455" s="7"/>
      <c r="O16455" s="7"/>
      <c r="P16455" s="7"/>
      <c r="Q16455" s="7"/>
      <c r="R16455" s="7"/>
      <c r="S16455" s="7"/>
      <c r="T16455" s="7"/>
      <c r="U16455" s="7"/>
      <c r="V16455" s="7"/>
      <c r="W16455" s="7"/>
      <c r="X16455" s="7"/>
      <c r="Y16455" s="7"/>
      <c r="Z16455" s="7"/>
      <c r="AA16455" s="7"/>
      <c r="AB16455" s="7"/>
      <c r="AC16455" s="7"/>
      <c r="AD16455" s="7"/>
      <c r="AE16455" s="7"/>
      <c r="AF16455" s="7"/>
    </row>
    <row r="16456" spans="1:32">
      <c r="A16456" s="7"/>
      <c r="B16456" s="7"/>
      <c r="C16456" s="7"/>
      <c r="D16456" s="7"/>
      <c r="E16456" s="7"/>
      <c r="F16456" s="7"/>
      <c r="G16456" s="7"/>
      <c r="H16456" s="7"/>
      <c r="I16456" s="7"/>
      <c r="J16456" s="7"/>
      <c r="K16456" s="7"/>
      <c r="L16456" s="7"/>
      <c r="M16456" s="7"/>
      <c r="N16456" s="7"/>
      <c r="O16456" s="7"/>
      <c r="P16456" s="7"/>
      <c r="Q16456" s="7"/>
      <c r="R16456" s="7"/>
      <c r="S16456" s="7"/>
      <c r="T16456" s="7"/>
      <c r="U16456" s="7"/>
      <c r="V16456" s="7"/>
      <c r="W16456" s="7"/>
      <c r="X16456" s="7"/>
      <c r="Y16456" s="7"/>
      <c r="Z16456" s="7"/>
      <c r="AA16456" s="7"/>
      <c r="AB16456" s="7"/>
      <c r="AC16456" s="7"/>
      <c r="AD16456" s="7"/>
      <c r="AE16456" s="7"/>
      <c r="AF16456" s="7"/>
    </row>
    <row r="16457" spans="1:32">
      <c r="A16457" s="7"/>
      <c r="B16457" s="7"/>
      <c r="C16457" s="7"/>
      <c r="D16457" s="7"/>
      <c r="E16457" s="7"/>
      <c r="F16457" s="7"/>
      <c r="G16457" s="7"/>
      <c r="H16457" s="7"/>
      <c r="I16457" s="7"/>
      <c r="J16457" s="7"/>
      <c r="K16457" s="7"/>
      <c r="L16457" s="7"/>
      <c r="M16457" s="7"/>
      <c r="N16457" s="7"/>
      <c r="O16457" s="7"/>
      <c r="P16457" s="7"/>
      <c r="Q16457" s="7"/>
      <c r="R16457" s="7"/>
      <c r="S16457" s="7"/>
      <c r="T16457" s="7"/>
      <c r="U16457" s="7"/>
      <c r="V16457" s="7"/>
      <c r="W16457" s="7"/>
      <c r="X16457" s="7"/>
      <c r="Y16457" s="7"/>
      <c r="Z16457" s="7"/>
      <c r="AA16457" s="7"/>
      <c r="AB16457" s="7"/>
      <c r="AC16457" s="7"/>
      <c r="AD16457" s="7"/>
      <c r="AE16457" s="7"/>
      <c r="AF16457" s="7"/>
    </row>
    <row r="16458" spans="1:32">
      <c r="A16458" s="7"/>
      <c r="B16458" s="7"/>
      <c r="C16458" s="7"/>
      <c r="D16458" s="7"/>
      <c r="E16458" s="7"/>
      <c r="F16458" s="7"/>
      <c r="G16458" s="7"/>
      <c r="H16458" s="7"/>
      <c r="I16458" s="7"/>
      <c r="J16458" s="7"/>
      <c r="K16458" s="7"/>
      <c r="L16458" s="7"/>
      <c r="M16458" s="7"/>
      <c r="N16458" s="7"/>
      <c r="O16458" s="7"/>
      <c r="P16458" s="7"/>
      <c r="Q16458" s="7"/>
      <c r="R16458" s="7"/>
      <c r="S16458" s="7"/>
      <c r="T16458" s="7"/>
      <c r="U16458" s="7"/>
      <c r="V16458" s="7"/>
      <c r="W16458" s="7"/>
      <c r="X16458" s="7"/>
      <c r="Y16458" s="7"/>
      <c r="Z16458" s="7"/>
      <c r="AA16458" s="7"/>
      <c r="AB16458" s="7"/>
      <c r="AC16458" s="7"/>
      <c r="AD16458" s="7"/>
      <c r="AE16458" s="7"/>
      <c r="AF16458" s="7"/>
    </row>
    <row r="16459" spans="1:32">
      <c r="A16459" s="7"/>
      <c r="B16459" s="7"/>
      <c r="C16459" s="7"/>
      <c r="D16459" s="7"/>
      <c r="E16459" s="7"/>
      <c r="F16459" s="7"/>
      <c r="G16459" s="7"/>
      <c r="H16459" s="7"/>
      <c r="I16459" s="7"/>
      <c r="J16459" s="7"/>
      <c r="K16459" s="7"/>
      <c r="L16459" s="7"/>
      <c r="M16459" s="7"/>
      <c r="N16459" s="7"/>
      <c r="O16459" s="7"/>
      <c r="P16459" s="7"/>
      <c r="Q16459" s="7"/>
      <c r="R16459" s="7"/>
      <c r="S16459" s="7"/>
      <c r="T16459" s="7"/>
      <c r="U16459" s="7"/>
      <c r="V16459" s="7"/>
      <c r="W16459" s="7"/>
      <c r="X16459" s="7"/>
      <c r="Y16459" s="7"/>
      <c r="Z16459" s="7"/>
      <c r="AA16459" s="7"/>
      <c r="AB16459" s="7"/>
      <c r="AC16459" s="7"/>
      <c r="AD16459" s="7"/>
      <c r="AE16459" s="7"/>
      <c r="AF16459" s="7"/>
    </row>
    <row r="16460" spans="1:32">
      <c r="A16460" s="7"/>
      <c r="B16460" s="7"/>
      <c r="C16460" s="7"/>
      <c r="D16460" s="7"/>
      <c r="E16460" s="7"/>
      <c r="F16460" s="7"/>
      <c r="G16460" s="7"/>
      <c r="H16460" s="7"/>
      <c r="I16460" s="7"/>
      <c r="J16460" s="7"/>
      <c r="K16460" s="7"/>
      <c r="L16460" s="7"/>
      <c r="M16460" s="7"/>
      <c r="N16460" s="7"/>
      <c r="O16460" s="7"/>
      <c r="P16460" s="7"/>
      <c r="Q16460" s="7"/>
      <c r="R16460" s="7"/>
      <c r="S16460" s="7"/>
      <c r="T16460" s="7"/>
      <c r="U16460" s="7"/>
      <c r="V16460" s="7"/>
      <c r="W16460" s="7"/>
      <c r="X16460" s="7"/>
      <c r="Y16460" s="7"/>
      <c r="Z16460" s="7"/>
      <c r="AA16460" s="7"/>
      <c r="AB16460" s="7"/>
      <c r="AC16460" s="7"/>
      <c r="AD16460" s="7"/>
      <c r="AE16460" s="7"/>
      <c r="AF16460" s="7"/>
    </row>
    <row r="16461" spans="1:32">
      <c r="A16461" s="7"/>
      <c r="B16461" s="7"/>
      <c r="C16461" s="7"/>
      <c r="D16461" s="7"/>
      <c r="E16461" s="7"/>
      <c r="F16461" s="7"/>
      <c r="G16461" s="7"/>
      <c r="H16461" s="7"/>
      <c r="I16461" s="7"/>
      <c r="J16461" s="7"/>
      <c r="K16461" s="7"/>
      <c r="L16461" s="7"/>
      <c r="M16461" s="7"/>
      <c r="N16461" s="7"/>
      <c r="O16461" s="7"/>
      <c r="P16461" s="7"/>
      <c r="Q16461" s="7"/>
      <c r="R16461" s="7"/>
      <c r="S16461" s="7"/>
      <c r="T16461" s="7"/>
      <c r="U16461" s="7"/>
      <c r="V16461" s="7"/>
      <c r="W16461" s="7"/>
      <c r="X16461" s="7"/>
      <c r="Y16461" s="7"/>
      <c r="Z16461" s="7"/>
      <c r="AA16461" s="7"/>
      <c r="AB16461" s="7"/>
      <c r="AC16461" s="7"/>
      <c r="AD16461" s="7"/>
      <c r="AE16461" s="7"/>
      <c r="AF16461" s="7"/>
    </row>
    <row r="16462" spans="1:32">
      <c r="A16462" s="7"/>
      <c r="B16462" s="7"/>
      <c r="C16462" s="7"/>
      <c r="D16462" s="7"/>
      <c r="E16462" s="7"/>
      <c r="F16462" s="7"/>
      <c r="G16462" s="7"/>
      <c r="H16462" s="7"/>
      <c r="I16462" s="7"/>
      <c r="J16462" s="7"/>
      <c r="K16462" s="7"/>
      <c r="L16462" s="7"/>
      <c r="M16462" s="7"/>
      <c r="N16462" s="7"/>
      <c r="O16462" s="7"/>
      <c r="P16462" s="7"/>
      <c r="Q16462" s="7"/>
      <c r="R16462" s="7"/>
      <c r="S16462" s="7"/>
      <c r="T16462" s="7"/>
      <c r="U16462" s="7"/>
      <c r="V16462" s="7"/>
      <c r="W16462" s="7"/>
      <c r="X16462" s="7"/>
      <c r="Y16462" s="7"/>
      <c r="Z16462" s="7"/>
      <c r="AA16462" s="7"/>
      <c r="AB16462" s="7"/>
      <c r="AC16462" s="7"/>
      <c r="AD16462" s="7"/>
      <c r="AE16462" s="7"/>
      <c r="AF16462" s="7"/>
    </row>
    <row r="16463" spans="1:32">
      <c r="A16463" s="7"/>
      <c r="B16463" s="7"/>
      <c r="C16463" s="7"/>
      <c r="D16463" s="7"/>
      <c r="E16463" s="7"/>
      <c r="F16463" s="7"/>
      <c r="G16463" s="7"/>
      <c r="H16463" s="7"/>
      <c r="I16463" s="7"/>
      <c r="J16463" s="7"/>
      <c r="K16463" s="7"/>
      <c r="L16463" s="7"/>
      <c r="M16463" s="7"/>
      <c r="N16463" s="7"/>
      <c r="O16463" s="7"/>
      <c r="P16463" s="7"/>
      <c r="Q16463" s="7"/>
      <c r="R16463" s="7"/>
      <c r="S16463" s="7"/>
      <c r="T16463" s="7"/>
      <c r="U16463" s="7"/>
      <c r="V16463" s="7"/>
      <c r="W16463" s="7"/>
      <c r="X16463" s="7"/>
      <c r="Y16463" s="7"/>
      <c r="Z16463" s="7"/>
      <c r="AA16463" s="7"/>
      <c r="AB16463" s="7"/>
      <c r="AC16463" s="7"/>
      <c r="AD16463" s="7"/>
      <c r="AE16463" s="7"/>
      <c r="AF16463" s="7"/>
    </row>
    <row r="16464" spans="1:32">
      <c r="A16464" s="7"/>
      <c r="B16464" s="7"/>
      <c r="C16464" s="7"/>
      <c r="D16464" s="7"/>
      <c r="E16464" s="7"/>
      <c r="F16464" s="7"/>
      <c r="G16464" s="7"/>
      <c r="H16464" s="7"/>
      <c r="I16464" s="7"/>
      <c r="J16464" s="7"/>
      <c r="K16464" s="7"/>
      <c r="L16464" s="7"/>
      <c r="M16464" s="7"/>
      <c r="N16464" s="7"/>
      <c r="O16464" s="7"/>
      <c r="P16464" s="7"/>
      <c r="Q16464" s="7"/>
      <c r="R16464" s="7"/>
      <c r="S16464" s="7"/>
      <c r="T16464" s="7"/>
      <c r="U16464" s="7"/>
      <c r="V16464" s="7"/>
      <c r="W16464" s="7"/>
      <c r="X16464" s="7"/>
      <c r="Y16464" s="7"/>
      <c r="Z16464" s="7"/>
      <c r="AA16464" s="7"/>
      <c r="AB16464" s="7"/>
      <c r="AC16464" s="7"/>
      <c r="AD16464" s="7"/>
      <c r="AE16464" s="7"/>
      <c r="AF16464" s="7"/>
    </row>
    <row r="16465" spans="1:32">
      <c r="A16465" s="7"/>
      <c r="B16465" s="7"/>
      <c r="C16465" s="7"/>
      <c r="D16465" s="7"/>
      <c r="E16465" s="7"/>
      <c r="F16465" s="7"/>
      <c r="G16465" s="7"/>
      <c r="H16465" s="7"/>
      <c r="I16465" s="7"/>
      <c r="J16465" s="7"/>
      <c r="K16465" s="7"/>
      <c r="L16465" s="7"/>
      <c r="M16465" s="7"/>
      <c r="N16465" s="7"/>
      <c r="O16465" s="7"/>
      <c r="P16465" s="7"/>
      <c r="Q16465" s="7"/>
      <c r="R16465" s="7"/>
      <c r="S16465" s="7"/>
      <c r="T16465" s="7"/>
      <c r="U16465" s="7"/>
      <c r="V16465" s="7"/>
      <c r="W16465" s="7"/>
      <c r="X16465" s="7"/>
      <c r="Y16465" s="7"/>
      <c r="Z16465" s="7"/>
      <c r="AA16465" s="7"/>
      <c r="AB16465" s="7"/>
      <c r="AC16465" s="7"/>
      <c r="AD16465" s="7"/>
      <c r="AE16465" s="7"/>
      <c r="AF16465" s="7"/>
    </row>
    <row r="16466" spans="1:32">
      <c r="A16466" s="7"/>
      <c r="B16466" s="7"/>
      <c r="C16466" s="7"/>
      <c r="D16466" s="7"/>
      <c r="E16466" s="7"/>
      <c r="F16466" s="7"/>
      <c r="G16466" s="7"/>
      <c r="H16466" s="7"/>
      <c r="I16466" s="7"/>
      <c r="J16466" s="7"/>
      <c r="K16466" s="7"/>
      <c r="L16466" s="7"/>
      <c r="M16466" s="7"/>
      <c r="N16466" s="7"/>
      <c r="O16466" s="7"/>
      <c r="P16466" s="7"/>
      <c r="Q16466" s="7"/>
      <c r="R16466" s="7"/>
      <c r="S16466" s="7"/>
      <c r="T16466" s="7"/>
      <c r="U16466" s="7"/>
      <c r="V16466" s="7"/>
      <c r="W16466" s="7"/>
      <c r="X16466" s="7"/>
      <c r="Y16466" s="7"/>
      <c r="Z16466" s="7"/>
      <c r="AA16466" s="7"/>
      <c r="AB16466" s="7"/>
      <c r="AC16466" s="7"/>
      <c r="AD16466" s="7"/>
      <c r="AE16466" s="7"/>
      <c r="AF16466" s="7"/>
    </row>
    <row r="16467" spans="1:32">
      <c r="A16467" s="7"/>
      <c r="B16467" s="7"/>
      <c r="C16467" s="7"/>
      <c r="D16467" s="7"/>
      <c r="E16467" s="7"/>
      <c r="F16467" s="7"/>
      <c r="G16467" s="7"/>
      <c r="H16467" s="7"/>
      <c r="I16467" s="7"/>
      <c r="J16467" s="7"/>
      <c r="K16467" s="7"/>
      <c r="L16467" s="7"/>
      <c r="M16467" s="7"/>
      <c r="N16467" s="7"/>
      <c r="O16467" s="7"/>
      <c r="P16467" s="7"/>
      <c r="Q16467" s="7"/>
      <c r="R16467" s="7"/>
      <c r="S16467" s="7"/>
      <c r="T16467" s="7"/>
      <c r="U16467" s="7"/>
      <c r="V16467" s="7"/>
      <c r="W16467" s="7"/>
      <c r="X16467" s="7"/>
      <c r="Y16467" s="7"/>
      <c r="Z16467" s="7"/>
      <c r="AA16467" s="7"/>
      <c r="AB16467" s="7"/>
      <c r="AC16467" s="7"/>
      <c r="AD16467" s="7"/>
      <c r="AE16467" s="7"/>
      <c r="AF16467" s="7"/>
    </row>
    <row r="16468" spans="1:32">
      <c r="A16468" s="7"/>
      <c r="B16468" s="7"/>
      <c r="C16468" s="7"/>
      <c r="D16468" s="7"/>
      <c r="E16468" s="7"/>
      <c r="F16468" s="7"/>
      <c r="G16468" s="7"/>
      <c r="H16468" s="7"/>
      <c r="I16468" s="7"/>
      <c r="J16468" s="7"/>
      <c r="K16468" s="7"/>
      <c r="L16468" s="7"/>
      <c r="M16468" s="7"/>
      <c r="N16468" s="7"/>
      <c r="O16468" s="7"/>
      <c r="P16468" s="7"/>
      <c r="Q16468" s="7"/>
      <c r="R16468" s="7"/>
      <c r="S16468" s="7"/>
      <c r="T16468" s="7"/>
      <c r="U16468" s="7"/>
      <c r="V16468" s="7"/>
      <c r="W16468" s="7"/>
      <c r="X16468" s="7"/>
      <c r="Y16468" s="7"/>
      <c r="Z16468" s="7"/>
      <c r="AA16468" s="7"/>
      <c r="AB16468" s="7"/>
      <c r="AC16468" s="7"/>
      <c r="AD16468" s="7"/>
      <c r="AE16468" s="7"/>
      <c r="AF16468" s="7"/>
    </row>
    <row r="16469" spans="1:32">
      <c r="A16469" s="7"/>
      <c r="B16469" s="7"/>
      <c r="C16469" s="7"/>
      <c r="D16469" s="7"/>
      <c r="E16469" s="7"/>
      <c r="F16469" s="7"/>
      <c r="G16469" s="7"/>
      <c r="H16469" s="7"/>
      <c r="I16469" s="7"/>
      <c r="J16469" s="7"/>
      <c r="K16469" s="7"/>
      <c r="L16469" s="7"/>
      <c r="M16469" s="7"/>
      <c r="N16469" s="7"/>
      <c r="O16469" s="7"/>
      <c r="P16469" s="7"/>
      <c r="Q16469" s="7"/>
      <c r="R16469" s="7"/>
      <c r="S16469" s="7"/>
      <c r="T16469" s="7"/>
      <c r="U16469" s="7"/>
      <c r="V16469" s="7"/>
      <c r="W16469" s="7"/>
      <c r="X16469" s="7"/>
      <c r="Y16469" s="7"/>
      <c r="Z16469" s="7"/>
      <c r="AA16469" s="7"/>
      <c r="AB16469" s="7"/>
      <c r="AC16469" s="7"/>
      <c r="AD16469" s="7"/>
      <c r="AE16469" s="7"/>
      <c r="AF16469" s="7"/>
    </row>
    <row r="16470" spans="1:32">
      <c r="A16470" s="7"/>
      <c r="B16470" s="7"/>
      <c r="C16470" s="7"/>
      <c r="D16470" s="7"/>
      <c r="E16470" s="7"/>
      <c r="F16470" s="7"/>
      <c r="G16470" s="7"/>
      <c r="H16470" s="7"/>
      <c r="I16470" s="7"/>
      <c r="J16470" s="7"/>
      <c r="K16470" s="7"/>
      <c r="L16470" s="7"/>
      <c r="M16470" s="7"/>
      <c r="N16470" s="7"/>
      <c r="O16470" s="7"/>
      <c r="P16470" s="7"/>
      <c r="Q16470" s="7"/>
      <c r="R16470" s="7"/>
      <c r="S16470" s="7"/>
      <c r="T16470" s="7"/>
      <c r="U16470" s="7"/>
      <c r="V16470" s="7"/>
      <c r="W16470" s="7"/>
      <c r="X16470" s="7"/>
      <c r="Y16470" s="7"/>
      <c r="Z16470" s="7"/>
      <c r="AA16470" s="7"/>
      <c r="AB16470" s="7"/>
      <c r="AC16470" s="7"/>
      <c r="AD16470" s="7"/>
      <c r="AE16470" s="7"/>
      <c r="AF16470" s="7"/>
    </row>
    <row r="16471" spans="1:32">
      <c r="A16471" s="7"/>
      <c r="B16471" s="7"/>
      <c r="C16471" s="7"/>
      <c r="D16471" s="7"/>
      <c r="E16471" s="7"/>
      <c r="F16471" s="7"/>
      <c r="G16471" s="7"/>
      <c r="H16471" s="7"/>
      <c r="I16471" s="7"/>
      <c r="J16471" s="7"/>
      <c r="K16471" s="7"/>
      <c r="L16471" s="7"/>
      <c r="M16471" s="7"/>
      <c r="N16471" s="7"/>
      <c r="O16471" s="7"/>
      <c r="P16471" s="7"/>
      <c r="Q16471" s="7"/>
      <c r="R16471" s="7"/>
      <c r="S16471" s="7"/>
      <c r="T16471" s="7"/>
      <c r="U16471" s="7"/>
      <c r="V16471" s="7"/>
      <c r="W16471" s="7"/>
      <c r="X16471" s="7"/>
      <c r="Y16471" s="7"/>
      <c r="Z16471" s="7"/>
      <c r="AA16471" s="7"/>
      <c r="AB16471" s="7"/>
      <c r="AC16471" s="7"/>
      <c r="AD16471" s="7"/>
      <c r="AE16471" s="7"/>
      <c r="AF16471" s="7"/>
    </row>
    <row r="16472" spans="1:32">
      <c r="A16472" s="7"/>
      <c r="B16472" s="7"/>
      <c r="C16472" s="7"/>
      <c r="D16472" s="7"/>
      <c r="E16472" s="7"/>
      <c r="F16472" s="7"/>
      <c r="G16472" s="7"/>
      <c r="H16472" s="7"/>
      <c r="I16472" s="7"/>
      <c r="J16472" s="7"/>
      <c r="K16472" s="7"/>
      <c r="L16472" s="7"/>
      <c r="M16472" s="7"/>
      <c r="N16472" s="7"/>
      <c r="O16472" s="7"/>
      <c r="P16472" s="7"/>
      <c r="Q16472" s="7"/>
      <c r="R16472" s="7"/>
      <c r="S16472" s="7"/>
      <c r="T16472" s="7"/>
      <c r="U16472" s="7"/>
      <c r="V16472" s="7"/>
      <c r="W16472" s="7"/>
      <c r="X16472" s="7"/>
      <c r="Y16472" s="7"/>
      <c r="Z16472" s="7"/>
      <c r="AA16472" s="7"/>
      <c r="AB16472" s="7"/>
      <c r="AC16472" s="7"/>
      <c r="AD16472" s="7"/>
      <c r="AE16472" s="7"/>
      <c r="AF16472" s="7"/>
    </row>
    <row r="16473" spans="1:32">
      <c r="A16473" s="7"/>
      <c r="B16473" s="7"/>
      <c r="C16473" s="7"/>
      <c r="D16473" s="7"/>
      <c r="E16473" s="7"/>
      <c r="F16473" s="7"/>
      <c r="G16473" s="7"/>
      <c r="H16473" s="7"/>
      <c r="I16473" s="7"/>
      <c r="J16473" s="7"/>
      <c r="K16473" s="7"/>
      <c r="L16473" s="7"/>
      <c r="M16473" s="7"/>
      <c r="N16473" s="7"/>
      <c r="O16473" s="7"/>
      <c r="P16473" s="7"/>
      <c r="Q16473" s="7"/>
      <c r="R16473" s="7"/>
      <c r="S16473" s="7"/>
      <c r="T16473" s="7"/>
      <c r="U16473" s="7"/>
      <c r="V16473" s="7"/>
      <c r="W16473" s="7"/>
      <c r="X16473" s="7"/>
      <c r="Y16473" s="7"/>
      <c r="Z16473" s="7"/>
      <c r="AA16473" s="7"/>
      <c r="AB16473" s="7"/>
      <c r="AC16473" s="7"/>
      <c r="AD16473" s="7"/>
      <c r="AE16473" s="7"/>
      <c r="AF16473" s="7"/>
    </row>
    <row r="16474" spans="1:32">
      <c r="A16474" s="7"/>
      <c r="B16474" s="7"/>
      <c r="C16474" s="7"/>
      <c r="D16474" s="7"/>
      <c r="E16474" s="7"/>
      <c r="F16474" s="7"/>
      <c r="G16474" s="7"/>
      <c r="H16474" s="7"/>
      <c r="I16474" s="7"/>
      <c r="J16474" s="7"/>
      <c r="K16474" s="7"/>
      <c r="L16474" s="7"/>
      <c r="M16474" s="7"/>
      <c r="N16474" s="7"/>
      <c r="O16474" s="7"/>
      <c r="P16474" s="7"/>
      <c r="Q16474" s="7"/>
      <c r="R16474" s="7"/>
      <c r="S16474" s="7"/>
      <c r="T16474" s="7"/>
      <c r="U16474" s="7"/>
      <c r="V16474" s="7"/>
      <c r="W16474" s="7"/>
      <c r="X16474" s="7"/>
      <c r="Y16474" s="7"/>
      <c r="Z16474" s="7"/>
      <c r="AA16474" s="7"/>
      <c r="AB16474" s="7"/>
      <c r="AC16474" s="7"/>
      <c r="AD16474" s="7"/>
      <c r="AE16474" s="7"/>
      <c r="AF16474" s="7"/>
    </row>
    <row r="16475" spans="1:32">
      <c r="A16475" s="7"/>
      <c r="B16475" s="7"/>
      <c r="C16475" s="7"/>
      <c r="D16475" s="7"/>
      <c r="E16475" s="7"/>
      <c r="F16475" s="7"/>
      <c r="G16475" s="7"/>
      <c r="H16475" s="7"/>
      <c r="I16475" s="7"/>
      <c r="J16475" s="7"/>
      <c r="K16475" s="7"/>
      <c r="L16475" s="7"/>
      <c r="M16475" s="7"/>
      <c r="N16475" s="7"/>
      <c r="O16475" s="7"/>
      <c r="P16475" s="7"/>
      <c r="Q16475" s="7"/>
      <c r="R16475" s="7"/>
      <c r="S16475" s="7"/>
      <c r="T16475" s="7"/>
      <c r="U16475" s="7"/>
      <c r="V16475" s="7"/>
      <c r="W16475" s="7"/>
      <c r="X16475" s="7"/>
      <c r="Y16475" s="7"/>
      <c r="Z16475" s="7"/>
      <c r="AA16475" s="7"/>
      <c r="AB16475" s="7"/>
      <c r="AC16475" s="7"/>
      <c r="AD16475" s="7"/>
      <c r="AE16475" s="7"/>
      <c r="AF16475" s="7"/>
    </row>
    <row r="16476" spans="1:32">
      <c r="A16476" s="7"/>
      <c r="B16476" s="7"/>
      <c r="C16476" s="7"/>
      <c r="D16476" s="7"/>
      <c r="E16476" s="7"/>
      <c r="F16476" s="7"/>
      <c r="G16476" s="7"/>
      <c r="H16476" s="7"/>
      <c r="I16476" s="7"/>
      <c r="J16476" s="7"/>
      <c r="K16476" s="7"/>
      <c r="L16476" s="7"/>
      <c r="M16476" s="7"/>
      <c r="N16476" s="7"/>
      <c r="O16476" s="7"/>
      <c r="P16476" s="7"/>
      <c r="Q16476" s="7"/>
      <c r="R16476" s="7"/>
      <c r="S16476" s="7"/>
      <c r="T16476" s="7"/>
      <c r="U16476" s="7"/>
      <c r="V16476" s="7"/>
      <c r="W16476" s="7"/>
      <c r="X16476" s="7"/>
      <c r="Y16476" s="7"/>
      <c r="Z16476" s="7"/>
      <c r="AA16476" s="7"/>
      <c r="AB16476" s="7"/>
      <c r="AC16476" s="7"/>
      <c r="AD16476" s="7"/>
      <c r="AE16476" s="7"/>
      <c r="AF16476" s="7"/>
    </row>
    <row r="16477" spans="1:32">
      <c r="A16477" s="7"/>
      <c r="B16477" s="7"/>
      <c r="C16477" s="7"/>
      <c r="D16477" s="7"/>
      <c r="E16477" s="7"/>
      <c r="F16477" s="7"/>
      <c r="G16477" s="7"/>
      <c r="H16477" s="7"/>
      <c r="I16477" s="7"/>
      <c r="J16477" s="7"/>
      <c r="K16477" s="7"/>
      <c r="L16477" s="7"/>
      <c r="M16477" s="7"/>
      <c r="N16477" s="7"/>
      <c r="O16477" s="7"/>
      <c r="P16477" s="7"/>
      <c r="Q16477" s="7"/>
      <c r="R16477" s="7"/>
      <c r="S16477" s="7"/>
      <c r="T16477" s="7"/>
      <c r="U16477" s="7"/>
      <c r="V16477" s="7"/>
      <c r="W16477" s="7"/>
      <c r="X16477" s="7"/>
      <c r="Y16477" s="7"/>
      <c r="Z16477" s="7"/>
      <c r="AA16477" s="7"/>
      <c r="AB16477" s="7"/>
      <c r="AC16477" s="7"/>
      <c r="AD16477" s="7"/>
      <c r="AE16477" s="7"/>
      <c r="AF16477" s="7"/>
    </row>
    <row r="16478" spans="1:32">
      <c r="A16478" s="7"/>
      <c r="B16478" s="7"/>
      <c r="C16478" s="7"/>
      <c r="D16478" s="7"/>
      <c r="E16478" s="7"/>
      <c r="F16478" s="7"/>
      <c r="G16478" s="7"/>
      <c r="H16478" s="7"/>
      <c r="I16478" s="7"/>
      <c r="J16478" s="7"/>
      <c r="K16478" s="7"/>
      <c r="L16478" s="7"/>
      <c r="M16478" s="7"/>
      <c r="N16478" s="7"/>
      <c r="O16478" s="7"/>
      <c r="P16478" s="7"/>
      <c r="Q16478" s="7"/>
      <c r="R16478" s="7"/>
      <c r="S16478" s="7"/>
      <c r="T16478" s="7"/>
      <c r="U16478" s="7"/>
      <c r="V16478" s="7"/>
      <c r="W16478" s="7"/>
      <c r="X16478" s="7"/>
      <c r="Y16478" s="7"/>
      <c r="Z16478" s="7"/>
      <c r="AA16478" s="7"/>
      <c r="AB16478" s="7"/>
      <c r="AC16478" s="7"/>
      <c r="AD16478" s="7"/>
      <c r="AE16478" s="7"/>
      <c r="AF16478" s="7"/>
    </row>
    <row r="16479" spans="1:32">
      <c r="A16479" s="7"/>
      <c r="B16479" s="7"/>
      <c r="C16479" s="7"/>
      <c r="D16479" s="7"/>
      <c r="E16479" s="7"/>
      <c r="F16479" s="7"/>
      <c r="G16479" s="7"/>
      <c r="H16479" s="7"/>
      <c r="I16479" s="7"/>
      <c r="J16479" s="7"/>
      <c r="K16479" s="7"/>
      <c r="L16479" s="7"/>
      <c r="M16479" s="7"/>
      <c r="N16479" s="7"/>
      <c r="O16479" s="7"/>
      <c r="P16479" s="7"/>
      <c r="Q16479" s="7"/>
      <c r="R16479" s="7"/>
      <c r="S16479" s="7"/>
      <c r="T16479" s="7"/>
      <c r="U16479" s="7"/>
      <c r="V16479" s="7"/>
      <c r="W16479" s="7"/>
      <c r="X16479" s="7"/>
      <c r="Y16479" s="7"/>
      <c r="Z16479" s="7"/>
      <c r="AA16479" s="7"/>
      <c r="AB16479" s="7"/>
      <c r="AC16479" s="7"/>
      <c r="AD16479" s="7"/>
      <c r="AE16479" s="7"/>
      <c r="AF16479" s="7"/>
    </row>
    <row r="16480" spans="1:32">
      <c r="A16480" s="7"/>
      <c r="B16480" s="7"/>
      <c r="C16480" s="7"/>
      <c r="D16480" s="7"/>
      <c r="E16480" s="7"/>
      <c r="F16480" s="7"/>
      <c r="G16480" s="7"/>
      <c r="H16480" s="7"/>
      <c r="I16480" s="7"/>
      <c r="J16480" s="7"/>
      <c r="K16480" s="7"/>
      <c r="L16480" s="7"/>
      <c r="M16480" s="7"/>
      <c r="N16480" s="7"/>
      <c r="O16480" s="7"/>
      <c r="P16480" s="7"/>
      <c r="Q16480" s="7"/>
      <c r="R16480" s="7"/>
      <c r="S16480" s="7"/>
      <c r="T16480" s="7"/>
      <c r="U16480" s="7"/>
      <c r="V16480" s="7"/>
      <c r="W16480" s="7"/>
      <c r="X16480" s="7"/>
      <c r="Y16480" s="7"/>
      <c r="Z16480" s="7"/>
      <c r="AA16480" s="7"/>
      <c r="AB16480" s="7"/>
      <c r="AC16480" s="7"/>
      <c r="AD16480" s="7"/>
      <c r="AE16480" s="7"/>
      <c r="AF16480" s="7"/>
    </row>
    <row r="16481" spans="1:32">
      <c r="A16481" s="7"/>
      <c r="B16481" s="7"/>
      <c r="C16481" s="7"/>
      <c r="D16481" s="7"/>
      <c r="E16481" s="7"/>
      <c r="F16481" s="7"/>
      <c r="G16481" s="7"/>
      <c r="H16481" s="7"/>
      <c r="I16481" s="7"/>
      <c r="J16481" s="7"/>
      <c r="K16481" s="7"/>
      <c r="L16481" s="7"/>
      <c r="M16481" s="7"/>
      <c r="N16481" s="7"/>
      <c r="O16481" s="7"/>
      <c r="P16481" s="7"/>
      <c r="Q16481" s="7"/>
      <c r="R16481" s="7"/>
      <c r="S16481" s="7"/>
      <c r="T16481" s="7"/>
      <c r="U16481" s="7"/>
      <c r="V16481" s="7"/>
      <c r="W16481" s="7"/>
      <c r="X16481" s="7"/>
      <c r="Y16481" s="7"/>
      <c r="Z16481" s="7"/>
      <c r="AA16481" s="7"/>
      <c r="AB16481" s="7"/>
      <c r="AC16481" s="7"/>
      <c r="AD16481" s="7"/>
      <c r="AE16481" s="7"/>
      <c r="AF16481" s="7"/>
    </row>
    <row r="16482" spans="1:32">
      <c r="A16482" s="7"/>
      <c r="B16482" s="7"/>
      <c r="C16482" s="7"/>
      <c r="D16482" s="7"/>
      <c r="E16482" s="7"/>
      <c r="F16482" s="7"/>
      <c r="G16482" s="7"/>
      <c r="H16482" s="7"/>
      <c r="I16482" s="7"/>
      <c r="J16482" s="7"/>
      <c r="K16482" s="7"/>
      <c r="L16482" s="7"/>
      <c r="M16482" s="7"/>
      <c r="N16482" s="7"/>
      <c r="O16482" s="7"/>
      <c r="P16482" s="7"/>
      <c r="Q16482" s="7"/>
      <c r="R16482" s="7"/>
      <c r="S16482" s="7"/>
      <c r="T16482" s="7"/>
      <c r="U16482" s="7"/>
      <c r="V16482" s="7"/>
      <c r="W16482" s="7"/>
      <c r="X16482" s="7"/>
      <c r="Y16482" s="7"/>
      <c r="Z16482" s="7"/>
      <c r="AA16482" s="7"/>
      <c r="AB16482" s="7"/>
      <c r="AC16482" s="7"/>
      <c r="AD16482" s="7"/>
      <c r="AE16482" s="7"/>
      <c r="AF16482" s="7"/>
    </row>
    <row r="16483" spans="1:32">
      <c r="A16483" s="7"/>
      <c r="B16483" s="7"/>
      <c r="C16483" s="7"/>
      <c r="D16483" s="7"/>
      <c r="E16483" s="7"/>
      <c r="F16483" s="7"/>
      <c r="G16483" s="7"/>
      <c r="H16483" s="7"/>
      <c r="I16483" s="7"/>
      <c r="J16483" s="7"/>
      <c r="K16483" s="7"/>
      <c r="L16483" s="7"/>
      <c r="M16483" s="7"/>
      <c r="N16483" s="7"/>
      <c r="O16483" s="7"/>
      <c r="P16483" s="7"/>
      <c r="Q16483" s="7"/>
      <c r="R16483" s="7"/>
      <c r="S16483" s="7"/>
      <c r="T16483" s="7"/>
      <c r="U16483" s="7"/>
      <c r="V16483" s="7"/>
      <c r="W16483" s="7"/>
      <c r="X16483" s="7"/>
      <c r="Y16483" s="7"/>
      <c r="Z16483" s="7"/>
      <c r="AA16483" s="7"/>
      <c r="AB16483" s="7"/>
      <c r="AC16483" s="7"/>
      <c r="AD16483" s="7"/>
      <c r="AE16483" s="7"/>
      <c r="AF16483" s="7"/>
    </row>
    <row r="16484" spans="1:32">
      <c r="A16484" s="7"/>
      <c r="B16484" s="7"/>
      <c r="C16484" s="7"/>
      <c r="D16484" s="7"/>
      <c r="E16484" s="7"/>
      <c r="F16484" s="7"/>
      <c r="G16484" s="7"/>
      <c r="H16484" s="7"/>
      <c r="I16484" s="7"/>
      <c r="J16484" s="7"/>
      <c r="K16484" s="7"/>
      <c r="L16484" s="7"/>
      <c r="M16484" s="7"/>
      <c r="N16484" s="7"/>
      <c r="O16484" s="7"/>
      <c r="P16484" s="7"/>
      <c r="Q16484" s="7"/>
      <c r="R16484" s="7"/>
      <c r="S16484" s="7"/>
      <c r="T16484" s="7"/>
      <c r="U16484" s="7"/>
      <c r="V16484" s="7"/>
      <c r="W16484" s="7"/>
      <c r="X16484" s="7"/>
      <c r="Y16484" s="7"/>
      <c r="Z16484" s="7"/>
      <c r="AA16484" s="7"/>
      <c r="AB16484" s="7"/>
      <c r="AC16484" s="7"/>
      <c r="AD16484" s="7"/>
      <c r="AE16484" s="7"/>
      <c r="AF16484" s="7"/>
    </row>
    <row r="16485" spans="1:32">
      <c r="A16485" s="7"/>
      <c r="B16485" s="7"/>
      <c r="C16485" s="7"/>
      <c r="D16485" s="7"/>
      <c r="E16485" s="7"/>
      <c r="F16485" s="7"/>
      <c r="G16485" s="7"/>
      <c r="H16485" s="7"/>
      <c r="I16485" s="7"/>
      <c r="J16485" s="7"/>
      <c r="K16485" s="7"/>
      <c r="L16485" s="7"/>
      <c r="M16485" s="7"/>
      <c r="N16485" s="7"/>
      <c r="O16485" s="7"/>
      <c r="P16485" s="7"/>
      <c r="Q16485" s="7"/>
      <c r="R16485" s="7"/>
      <c r="S16485" s="7"/>
      <c r="T16485" s="7"/>
      <c r="U16485" s="7"/>
      <c r="V16485" s="7"/>
      <c r="W16485" s="7"/>
      <c r="X16485" s="7"/>
      <c r="Y16485" s="7"/>
      <c r="Z16485" s="7"/>
      <c r="AA16485" s="7"/>
      <c r="AB16485" s="7"/>
      <c r="AC16485" s="7"/>
      <c r="AD16485" s="7"/>
      <c r="AE16485" s="7"/>
      <c r="AF16485" s="7"/>
    </row>
    <row r="16486" spans="1:32">
      <c r="A16486" s="7"/>
      <c r="B16486" s="7"/>
      <c r="C16486" s="7"/>
      <c r="D16486" s="7"/>
      <c r="E16486" s="7"/>
      <c r="F16486" s="7"/>
      <c r="G16486" s="7"/>
      <c r="H16486" s="7"/>
      <c r="I16486" s="7"/>
      <c r="J16486" s="7"/>
      <c r="K16486" s="7"/>
      <c r="L16486" s="7"/>
      <c r="M16486" s="7"/>
      <c r="N16486" s="7"/>
      <c r="O16486" s="7"/>
      <c r="P16486" s="7"/>
      <c r="Q16486" s="7"/>
      <c r="R16486" s="7"/>
      <c r="S16486" s="7"/>
      <c r="T16486" s="7"/>
      <c r="U16486" s="7"/>
      <c r="V16486" s="7"/>
      <c r="W16486" s="7"/>
      <c r="X16486" s="7"/>
      <c r="Y16486" s="7"/>
      <c r="Z16486" s="7"/>
      <c r="AA16486" s="7"/>
      <c r="AB16486" s="7"/>
      <c r="AC16486" s="7"/>
      <c r="AD16486" s="7"/>
      <c r="AE16486" s="7"/>
      <c r="AF16486" s="7"/>
    </row>
    <row r="16487" spans="1:32">
      <c r="A16487" s="7"/>
      <c r="B16487" s="7"/>
      <c r="C16487" s="7"/>
      <c r="D16487" s="7"/>
      <c r="E16487" s="7"/>
      <c r="F16487" s="7"/>
      <c r="G16487" s="7"/>
      <c r="H16487" s="7"/>
      <c r="I16487" s="7"/>
      <c r="J16487" s="7"/>
      <c r="K16487" s="7"/>
      <c r="L16487" s="7"/>
      <c r="M16487" s="7"/>
      <c r="N16487" s="7"/>
      <c r="O16487" s="7"/>
      <c r="P16487" s="7"/>
      <c r="Q16487" s="7"/>
      <c r="R16487" s="7"/>
      <c r="S16487" s="7"/>
      <c r="T16487" s="7"/>
      <c r="U16487" s="7"/>
      <c r="V16487" s="7"/>
      <c r="W16487" s="7"/>
      <c r="X16487" s="7"/>
      <c r="Y16487" s="7"/>
      <c r="Z16487" s="7"/>
      <c r="AA16487" s="7"/>
      <c r="AB16487" s="7"/>
      <c r="AC16487" s="7"/>
      <c r="AD16487" s="7"/>
      <c r="AE16487" s="7"/>
      <c r="AF16487" s="7"/>
    </row>
    <row r="16488" spans="1:32">
      <c r="A16488" s="7"/>
      <c r="B16488" s="7"/>
      <c r="C16488" s="7"/>
      <c r="D16488" s="7"/>
      <c r="E16488" s="7"/>
      <c r="F16488" s="7"/>
      <c r="G16488" s="7"/>
      <c r="H16488" s="7"/>
      <c r="I16488" s="7"/>
      <c r="J16488" s="7"/>
      <c r="K16488" s="7"/>
      <c r="L16488" s="7"/>
      <c r="M16488" s="7"/>
      <c r="N16488" s="7"/>
      <c r="O16488" s="7"/>
      <c r="P16488" s="7"/>
      <c r="Q16488" s="7"/>
      <c r="R16488" s="7"/>
      <c r="S16488" s="7"/>
      <c r="T16488" s="7"/>
      <c r="U16488" s="7"/>
      <c r="V16488" s="7"/>
      <c r="W16488" s="7"/>
      <c r="X16488" s="7"/>
      <c r="Y16488" s="7"/>
      <c r="Z16488" s="7"/>
      <c r="AA16488" s="7"/>
      <c r="AB16488" s="7"/>
      <c r="AC16488" s="7"/>
      <c r="AD16488" s="7"/>
      <c r="AE16488" s="7"/>
      <c r="AF16488" s="7"/>
    </row>
    <row r="16489" spans="1:32">
      <c r="A16489" s="7"/>
      <c r="B16489" s="7"/>
      <c r="C16489" s="7"/>
      <c r="D16489" s="7"/>
      <c r="E16489" s="7"/>
      <c r="F16489" s="7"/>
      <c r="G16489" s="7"/>
      <c r="H16489" s="7"/>
      <c r="I16489" s="7"/>
      <c r="J16489" s="7"/>
      <c r="K16489" s="7"/>
      <c r="L16489" s="7"/>
      <c r="M16489" s="7"/>
      <c r="N16489" s="7"/>
      <c r="O16489" s="7"/>
      <c r="P16489" s="7"/>
      <c r="Q16489" s="7"/>
      <c r="R16489" s="7"/>
      <c r="S16489" s="7"/>
      <c r="T16489" s="7"/>
      <c r="U16489" s="7"/>
      <c r="V16489" s="7"/>
      <c r="W16489" s="7"/>
      <c r="X16489" s="7"/>
      <c r="Y16489" s="7"/>
      <c r="Z16489" s="7"/>
      <c r="AA16489" s="7"/>
      <c r="AB16489" s="7"/>
      <c r="AC16489" s="7"/>
      <c r="AD16489" s="7"/>
      <c r="AE16489" s="7"/>
      <c r="AF16489" s="7"/>
    </row>
    <row r="16490" spans="1:32">
      <c r="A16490" s="7"/>
      <c r="B16490" s="7"/>
      <c r="C16490" s="7"/>
      <c r="D16490" s="7"/>
      <c r="E16490" s="7"/>
      <c r="F16490" s="7"/>
      <c r="G16490" s="7"/>
      <c r="H16490" s="7"/>
      <c r="I16490" s="7"/>
      <c r="J16490" s="7"/>
      <c r="K16490" s="7"/>
      <c r="L16490" s="7"/>
      <c r="M16490" s="7"/>
      <c r="N16490" s="7"/>
      <c r="O16490" s="7"/>
      <c r="P16490" s="7"/>
      <c r="Q16490" s="7"/>
      <c r="R16490" s="7"/>
      <c r="S16490" s="7"/>
      <c r="T16490" s="7"/>
      <c r="U16490" s="7"/>
      <c r="V16490" s="7"/>
      <c r="W16490" s="7"/>
      <c r="X16490" s="7"/>
      <c r="Y16490" s="7"/>
      <c r="Z16490" s="7"/>
      <c r="AA16490" s="7"/>
      <c r="AB16490" s="7"/>
      <c r="AC16490" s="7"/>
      <c r="AD16490" s="7"/>
      <c r="AE16490" s="7"/>
      <c r="AF16490" s="7"/>
    </row>
    <row r="16491" spans="1:32">
      <c r="A16491" s="7"/>
      <c r="B16491" s="7"/>
      <c r="C16491" s="7"/>
      <c r="D16491" s="7"/>
      <c r="E16491" s="7"/>
      <c r="F16491" s="7"/>
      <c r="G16491" s="7"/>
      <c r="H16491" s="7"/>
      <c r="I16491" s="7"/>
      <c r="J16491" s="7"/>
      <c r="K16491" s="7"/>
      <c r="L16491" s="7"/>
      <c r="M16491" s="7"/>
      <c r="N16491" s="7"/>
      <c r="O16491" s="7"/>
      <c r="P16491" s="7"/>
      <c r="Q16491" s="7"/>
      <c r="R16491" s="7"/>
      <c r="S16491" s="7"/>
      <c r="T16491" s="7"/>
      <c r="U16491" s="7"/>
      <c r="V16491" s="7"/>
      <c r="W16491" s="7"/>
      <c r="X16491" s="7"/>
      <c r="Y16491" s="7"/>
      <c r="Z16491" s="7"/>
      <c r="AA16491" s="7"/>
      <c r="AB16491" s="7"/>
      <c r="AC16491" s="7"/>
      <c r="AD16491" s="7"/>
      <c r="AE16491" s="7"/>
      <c r="AF16491" s="7"/>
    </row>
    <row r="16492" spans="1:32">
      <c r="A16492" s="7"/>
      <c r="B16492" s="7"/>
      <c r="C16492" s="7"/>
      <c r="D16492" s="7"/>
      <c r="E16492" s="7"/>
      <c r="F16492" s="7"/>
      <c r="G16492" s="7"/>
      <c r="H16492" s="7"/>
      <c r="I16492" s="7"/>
      <c r="J16492" s="7"/>
      <c r="K16492" s="7"/>
      <c r="L16492" s="7"/>
      <c r="M16492" s="7"/>
      <c r="N16492" s="7"/>
      <c r="O16492" s="7"/>
      <c r="P16492" s="7"/>
      <c r="Q16492" s="7"/>
      <c r="R16492" s="7"/>
      <c r="S16492" s="7"/>
      <c r="T16492" s="7"/>
      <c r="U16492" s="7"/>
      <c r="V16492" s="7"/>
      <c r="W16492" s="7"/>
      <c r="X16492" s="7"/>
      <c r="Y16492" s="7"/>
      <c r="Z16492" s="7"/>
      <c r="AA16492" s="7"/>
      <c r="AB16492" s="7"/>
      <c r="AC16492" s="7"/>
      <c r="AD16492" s="7"/>
      <c r="AE16492" s="7"/>
      <c r="AF16492" s="7"/>
    </row>
    <row r="16493" spans="1:32">
      <c r="A16493" s="7"/>
      <c r="B16493" s="7"/>
      <c r="C16493" s="7"/>
      <c r="D16493" s="7"/>
      <c r="E16493" s="7"/>
      <c r="F16493" s="7"/>
      <c r="G16493" s="7"/>
      <c r="H16493" s="7"/>
      <c r="I16493" s="7"/>
      <c r="J16493" s="7"/>
      <c r="K16493" s="7"/>
      <c r="L16493" s="7"/>
      <c r="M16493" s="7"/>
      <c r="N16493" s="7"/>
      <c r="O16493" s="7"/>
      <c r="P16493" s="7"/>
      <c r="Q16493" s="7"/>
      <c r="R16493" s="7"/>
      <c r="S16493" s="7"/>
      <c r="T16493" s="7"/>
      <c r="U16493" s="7"/>
      <c r="V16493" s="7"/>
      <c r="W16493" s="7"/>
      <c r="X16493" s="7"/>
      <c r="Y16493" s="7"/>
      <c r="Z16493" s="7"/>
      <c r="AA16493" s="7"/>
      <c r="AB16493" s="7"/>
      <c r="AC16493" s="7"/>
      <c r="AD16493" s="7"/>
      <c r="AE16493" s="7"/>
      <c r="AF16493" s="7"/>
    </row>
    <row r="16494" spans="1:32">
      <c r="A16494" s="7"/>
      <c r="B16494" s="7"/>
      <c r="C16494" s="7"/>
      <c r="D16494" s="7"/>
      <c r="E16494" s="7"/>
      <c r="F16494" s="7"/>
      <c r="G16494" s="7"/>
      <c r="H16494" s="7"/>
      <c r="I16494" s="7"/>
      <c r="J16494" s="7"/>
      <c r="K16494" s="7"/>
      <c r="L16494" s="7"/>
      <c r="M16494" s="7"/>
      <c r="N16494" s="7"/>
      <c r="O16494" s="7"/>
      <c r="P16494" s="7"/>
      <c r="Q16494" s="7"/>
      <c r="R16494" s="7"/>
      <c r="S16494" s="7"/>
      <c r="T16494" s="7"/>
      <c r="U16494" s="7"/>
      <c r="V16494" s="7"/>
      <c r="W16494" s="7"/>
      <c r="X16494" s="7"/>
      <c r="Y16494" s="7"/>
      <c r="Z16494" s="7"/>
      <c r="AA16494" s="7"/>
      <c r="AB16494" s="7"/>
      <c r="AC16494" s="7"/>
      <c r="AD16494" s="7"/>
      <c r="AE16494" s="7"/>
      <c r="AF16494" s="7"/>
    </row>
    <row r="16495" spans="1:32">
      <c r="A16495" s="7"/>
      <c r="B16495" s="7"/>
      <c r="C16495" s="7"/>
      <c r="D16495" s="7"/>
      <c r="E16495" s="7"/>
      <c r="F16495" s="7"/>
      <c r="G16495" s="7"/>
      <c r="H16495" s="7"/>
      <c r="I16495" s="7"/>
      <c r="J16495" s="7"/>
      <c r="K16495" s="7"/>
      <c r="L16495" s="7"/>
      <c r="M16495" s="7"/>
      <c r="N16495" s="7"/>
      <c r="O16495" s="7"/>
      <c r="P16495" s="7"/>
      <c r="Q16495" s="7"/>
      <c r="R16495" s="7"/>
      <c r="S16495" s="7"/>
      <c r="T16495" s="7"/>
      <c r="U16495" s="7"/>
      <c r="V16495" s="7"/>
      <c r="W16495" s="7"/>
      <c r="X16495" s="7"/>
      <c r="Y16495" s="7"/>
      <c r="Z16495" s="7"/>
      <c r="AA16495" s="7"/>
      <c r="AB16495" s="7"/>
      <c r="AC16495" s="7"/>
      <c r="AD16495" s="7"/>
      <c r="AE16495" s="7"/>
      <c r="AF16495" s="7"/>
    </row>
    <row r="16496" spans="1:32">
      <c r="A16496" s="7"/>
      <c r="B16496" s="7"/>
      <c r="C16496" s="7"/>
      <c r="D16496" s="7"/>
      <c r="E16496" s="7"/>
      <c r="F16496" s="7"/>
      <c r="G16496" s="7"/>
      <c r="H16496" s="7"/>
      <c r="I16496" s="7"/>
      <c r="J16496" s="7"/>
      <c r="K16496" s="7"/>
      <c r="L16496" s="7"/>
      <c r="M16496" s="7"/>
      <c r="N16496" s="7"/>
      <c r="O16496" s="7"/>
      <c r="P16496" s="7"/>
      <c r="Q16496" s="7"/>
      <c r="R16496" s="7"/>
      <c r="S16496" s="7"/>
      <c r="T16496" s="7"/>
      <c r="U16496" s="7"/>
      <c r="V16496" s="7"/>
      <c r="W16496" s="7"/>
      <c r="X16496" s="7"/>
      <c r="Y16496" s="7"/>
      <c r="Z16496" s="7"/>
      <c r="AA16496" s="7"/>
      <c r="AB16496" s="7"/>
      <c r="AC16496" s="7"/>
      <c r="AD16496" s="7"/>
      <c r="AE16496" s="7"/>
      <c r="AF16496" s="7"/>
    </row>
    <row r="16497" spans="1:32">
      <c r="A16497" s="7"/>
      <c r="B16497" s="7"/>
      <c r="C16497" s="7"/>
      <c r="D16497" s="7"/>
      <c r="E16497" s="7"/>
      <c r="F16497" s="7"/>
      <c r="G16497" s="7"/>
      <c r="H16497" s="7"/>
      <c r="I16497" s="7"/>
      <c r="J16497" s="7"/>
      <c r="K16497" s="7"/>
      <c r="L16497" s="7"/>
      <c r="M16497" s="7"/>
      <c r="N16497" s="7"/>
      <c r="O16497" s="7"/>
      <c r="P16497" s="7"/>
      <c r="Q16497" s="7"/>
      <c r="R16497" s="7"/>
      <c r="S16497" s="7"/>
      <c r="T16497" s="7"/>
      <c r="U16497" s="7"/>
      <c r="V16497" s="7"/>
      <c r="W16497" s="7"/>
      <c r="X16497" s="7"/>
      <c r="Y16497" s="7"/>
      <c r="Z16497" s="7"/>
      <c r="AA16497" s="7"/>
      <c r="AB16497" s="7"/>
      <c r="AC16497" s="7"/>
      <c r="AD16497" s="7"/>
      <c r="AE16497" s="7"/>
      <c r="AF16497" s="7"/>
    </row>
    <row r="16498" spans="1:32">
      <c r="A16498" s="7"/>
      <c r="B16498" s="7"/>
      <c r="C16498" s="7"/>
      <c r="D16498" s="7"/>
      <c r="E16498" s="7"/>
      <c r="F16498" s="7"/>
      <c r="G16498" s="7"/>
      <c r="H16498" s="7"/>
      <c r="I16498" s="7"/>
      <c r="J16498" s="7"/>
      <c r="K16498" s="7"/>
      <c r="L16498" s="7"/>
      <c r="M16498" s="7"/>
      <c r="N16498" s="7"/>
      <c r="O16498" s="7"/>
      <c r="P16498" s="7"/>
      <c r="Q16498" s="7"/>
      <c r="R16498" s="7"/>
      <c r="S16498" s="7"/>
      <c r="T16498" s="7"/>
      <c r="U16498" s="7"/>
      <c r="V16498" s="7"/>
      <c r="W16498" s="7"/>
      <c r="X16498" s="7"/>
      <c r="Y16498" s="7"/>
      <c r="Z16498" s="7"/>
      <c r="AA16498" s="7"/>
      <c r="AB16498" s="7"/>
      <c r="AC16498" s="7"/>
      <c r="AD16498" s="7"/>
      <c r="AE16498" s="7"/>
      <c r="AF16498" s="7"/>
    </row>
    <row r="16499" spans="1:32">
      <c r="A16499" s="7"/>
      <c r="B16499" s="7"/>
      <c r="C16499" s="7"/>
      <c r="D16499" s="7"/>
      <c r="E16499" s="7"/>
      <c r="F16499" s="7"/>
      <c r="G16499" s="7"/>
      <c r="H16499" s="7"/>
      <c r="I16499" s="7"/>
      <c r="J16499" s="7"/>
      <c r="K16499" s="7"/>
      <c r="L16499" s="7"/>
      <c r="M16499" s="7"/>
      <c r="N16499" s="7"/>
      <c r="O16499" s="7"/>
      <c r="P16499" s="7"/>
      <c r="Q16499" s="7"/>
      <c r="R16499" s="7"/>
      <c r="S16499" s="7"/>
      <c r="T16499" s="7"/>
      <c r="U16499" s="7"/>
      <c r="V16499" s="7"/>
      <c r="W16499" s="7"/>
      <c r="X16499" s="7"/>
      <c r="Y16499" s="7"/>
      <c r="Z16499" s="7"/>
      <c r="AA16499" s="7"/>
      <c r="AB16499" s="7"/>
      <c r="AC16499" s="7"/>
      <c r="AD16499" s="7"/>
      <c r="AE16499" s="7"/>
      <c r="AF16499" s="7"/>
    </row>
    <row r="16500" spans="1:32">
      <c r="A16500" s="7"/>
      <c r="B16500" s="7"/>
      <c r="C16500" s="7"/>
      <c r="D16500" s="7"/>
      <c r="E16500" s="7"/>
      <c r="F16500" s="7"/>
      <c r="G16500" s="7"/>
      <c r="H16500" s="7"/>
      <c r="I16500" s="7"/>
      <c r="J16500" s="7"/>
      <c r="K16500" s="7"/>
      <c r="L16500" s="7"/>
      <c r="M16500" s="7"/>
      <c r="N16500" s="7"/>
      <c r="O16500" s="7"/>
      <c r="P16500" s="7"/>
      <c r="Q16500" s="7"/>
      <c r="R16500" s="7"/>
      <c r="S16500" s="7"/>
      <c r="T16500" s="7"/>
      <c r="U16500" s="7"/>
      <c r="V16500" s="7"/>
      <c r="W16500" s="7"/>
      <c r="X16500" s="7"/>
      <c r="Y16500" s="7"/>
      <c r="Z16500" s="7"/>
      <c r="AA16500" s="7"/>
      <c r="AB16500" s="7"/>
      <c r="AC16500" s="7"/>
      <c r="AD16500" s="7"/>
      <c r="AE16500" s="7"/>
      <c r="AF16500" s="7"/>
    </row>
    <row r="16501" spans="1:32">
      <c r="A16501" s="7"/>
      <c r="B16501" s="7"/>
      <c r="C16501" s="7"/>
      <c r="D16501" s="7"/>
      <c r="E16501" s="7"/>
      <c r="F16501" s="7"/>
      <c r="G16501" s="7"/>
      <c r="H16501" s="7"/>
      <c r="I16501" s="7"/>
      <c r="J16501" s="7"/>
      <c r="K16501" s="7"/>
      <c r="L16501" s="7"/>
      <c r="M16501" s="7"/>
      <c r="N16501" s="7"/>
      <c r="O16501" s="7"/>
      <c r="P16501" s="7"/>
      <c r="Q16501" s="7"/>
      <c r="R16501" s="7"/>
      <c r="S16501" s="7"/>
      <c r="T16501" s="7"/>
      <c r="U16501" s="7"/>
      <c r="V16501" s="7"/>
      <c r="W16501" s="7"/>
      <c r="X16501" s="7"/>
      <c r="Y16501" s="7"/>
      <c r="Z16501" s="7"/>
      <c r="AA16501" s="7"/>
      <c r="AB16501" s="7"/>
      <c r="AC16501" s="7"/>
      <c r="AD16501" s="7"/>
      <c r="AE16501" s="7"/>
      <c r="AF16501" s="7"/>
    </row>
    <row r="16502" spans="1:32">
      <c r="A16502" s="7"/>
      <c r="B16502" s="7"/>
      <c r="C16502" s="7"/>
      <c r="D16502" s="7"/>
      <c r="E16502" s="7"/>
      <c r="F16502" s="7"/>
      <c r="G16502" s="7"/>
      <c r="H16502" s="7"/>
      <c r="I16502" s="7"/>
      <c r="J16502" s="7"/>
      <c r="K16502" s="7"/>
      <c r="L16502" s="7"/>
      <c r="M16502" s="7"/>
      <c r="N16502" s="7"/>
      <c r="O16502" s="7"/>
      <c r="P16502" s="7"/>
      <c r="Q16502" s="7"/>
      <c r="R16502" s="7"/>
      <c r="S16502" s="7"/>
      <c r="T16502" s="7"/>
      <c r="U16502" s="7"/>
      <c r="V16502" s="7"/>
      <c r="W16502" s="7"/>
      <c r="X16502" s="7"/>
      <c r="Y16502" s="7"/>
      <c r="Z16502" s="7"/>
      <c r="AA16502" s="7"/>
      <c r="AB16502" s="7"/>
      <c r="AC16502" s="7"/>
      <c r="AD16502" s="7"/>
      <c r="AE16502" s="7"/>
      <c r="AF16502" s="7"/>
    </row>
    <row r="16503" spans="1:32">
      <c r="A16503" s="7"/>
      <c r="B16503" s="7"/>
      <c r="C16503" s="7"/>
      <c r="D16503" s="7"/>
      <c r="E16503" s="7"/>
      <c r="F16503" s="7"/>
      <c r="G16503" s="7"/>
      <c r="H16503" s="7"/>
      <c r="I16503" s="7"/>
      <c r="J16503" s="7"/>
      <c r="K16503" s="7"/>
      <c r="L16503" s="7"/>
      <c r="M16503" s="7"/>
      <c r="N16503" s="7"/>
      <c r="O16503" s="7"/>
      <c r="P16503" s="7"/>
      <c r="Q16503" s="7"/>
      <c r="R16503" s="7"/>
      <c r="S16503" s="7"/>
      <c r="T16503" s="7"/>
      <c r="U16503" s="7"/>
      <c r="V16503" s="7"/>
      <c r="W16503" s="7"/>
      <c r="X16503" s="7"/>
      <c r="Y16503" s="7"/>
      <c r="Z16503" s="7"/>
      <c r="AA16503" s="7"/>
      <c r="AB16503" s="7"/>
      <c r="AC16503" s="7"/>
      <c r="AD16503" s="7"/>
      <c r="AE16503" s="7"/>
      <c r="AF16503" s="7"/>
    </row>
    <row r="16504" spans="1:32">
      <c r="A16504" s="7"/>
      <c r="B16504" s="7"/>
      <c r="C16504" s="7"/>
      <c r="D16504" s="7"/>
      <c r="E16504" s="7"/>
      <c r="F16504" s="7"/>
      <c r="G16504" s="7"/>
      <c r="H16504" s="7"/>
      <c r="I16504" s="7"/>
      <c r="J16504" s="7"/>
      <c r="K16504" s="7"/>
      <c r="L16504" s="7"/>
      <c r="M16504" s="7"/>
      <c r="N16504" s="7"/>
      <c r="O16504" s="7"/>
      <c r="P16504" s="7"/>
      <c r="Q16504" s="7"/>
      <c r="R16504" s="7"/>
      <c r="S16504" s="7"/>
      <c r="T16504" s="7"/>
      <c r="U16504" s="7"/>
      <c r="V16504" s="7"/>
      <c r="W16504" s="7"/>
      <c r="X16504" s="7"/>
      <c r="Y16504" s="7"/>
      <c r="Z16504" s="7"/>
      <c r="AA16504" s="7"/>
      <c r="AB16504" s="7"/>
      <c r="AC16504" s="7"/>
      <c r="AD16504" s="7"/>
      <c r="AE16504" s="7"/>
      <c r="AF16504" s="7"/>
    </row>
    <row r="16505" spans="1:32">
      <c r="A16505" s="7"/>
      <c r="B16505" s="7"/>
      <c r="C16505" s="7"/>
      <c r="D16505" s="7"/>
      <c r="E16505" s="7"/>
      <c r="F16505" s="7"/>
      <c r="G16505" s="7"/>
      <c r="H16505" s="7"/>
      <c r="I16505" s="7"/>
      <c r="J16505" s="7"/>
      <c r="K16505" s="7"/>
      <c r="L16505" s="7"/>
      <c r="M16505" s="7"/>
      <c r="N16505" s="7"/>
      <c r="O16505" s="7"/>
      <c r="P16505" s="7"/>
      <c r="Q16505" s="7"/>
      <c r="R16505" s="7"/>
      <c r="S16505" s="7"/>
      <c r="T16505" s="7"/>
      <c r="U16505" s="7"/>
      <c r="V16505" s="7"/>
      <c r="W16505" s="7"/>
      <c r="X16505" s="7"/>
      <c r="Y16505" s="7"/>
      <c r="Z16505" s="7"/>
      <c r="AA16505" s="7"/>
      <c r="AB16505" s="7"/>
      <c r="AC16505" s="7"/>
      <c r="AD16505" s="7"/>
      <c r="AE16505" s="7"/>
      <c r="AF16505" s="7"/>
    </row>
    <row r="16506" spans="1:32">
      <c r="A16506" s="7"/>
      <c r="B16506" s="7"/>
      <c r="C16506" s="7"/>
      <c r="D16506" s="7"/>
      <c r="E16506" s="7"/>
      <c r="F16506" s="7"/>
      <c r="G16506" s="7"/>
      <c r="H16506" s="7"/>
      <c r="I16506" s="7"/>
      <c r="J16506" s="7"/>
      <c r="K16506" s="7"/>
      <c r="L16506" s="7"/>
      <c r="M16506" s="7"/>
      <c r="N16506" s="7"/>
      <c r="O16506" s="7"/>
      <c r="P16506" s="7"/>
      <c r="Q16506" s="7"/>
      <c r="R16506" s="7"/>
      <c r="S16506" s="7"/>
      <c r="T16506" s="7"/>
      <c r="U16506" s="7"/>
      <c r="V16506" s="7"/>
      <c r="W16506" s="7"/>
      <c r="X16506" s="7"/>
      <c r="Y16506" s="7"/>
      <c r="Z16506" s="7"/>
      <c r="AA16506" s="7"/>
      <c r="AB16506" s="7"/>
      <c r="AC16506" s="7"/>
      <c r="AD16506" s="7"/>
      <c r="AE16506" s="7"/>
      <c r="AF16506" s="7"/>
    </row>
    <row r="16507" spans="1:32">
      <c r="A16507" s="7"/>
      <c r="B16507" s="7"/>
      <c r="C16507" s="7"/>
      <c r="D16507" s="7"/>
      <c r="E16507" s="7"/>
      <c r="F16507" s="7"/>
      <c r="G16507" s="7"/>
      <c r="H16507" s="7"/>
      <c r="I16507" s="7"/>
      <c r="J16507" s="7"/>
      <c r="K16507" s="7"/>
      <c r="L16507" s="7"/>
      <c r="M16507" s="7"/>
      <c r="N16507" s="7"/>
      <c r="O16507" s="7"/>
      <c r="P16507" s="7"/>
      <c r="Q16507" s="7"/>
      <c r="R16507" s="7"/>
      <c r="S16507" s="7"/>
      <c r="T16507" s="7"/>
      <c r="U16507" s="7"/>
      <c r="V16507" s="7"/>
      <c r="W16507" s="7"/>
      <c r="X16507" s="7"/>
      <c r="Y16507" s="7"/>
      <c r="Z16507" s="7"/>
      <c r="AA16507" s="7"/>
      <c r="AB16507" s="7"/>
      <c r="AC16507" s="7"/>
      <c r="AD16507" s="7"/>
      <c r="AE16507" s="7"/>
      <c r="AF16507" s="7"/>
    </row>
    <row r="16508" spans="1:32">
      <c r="A16508" s="7"/>
      <c r="B16508" s="7"/>
      <c r="C16508" s="7"/>
      <c r="D16508" s="7"/>
      <c r="E16508" s="7"/>
      <c r="F16508" s="7"/>
      <c r="G16508" s="7"/>
      <c r="H16508" s="7"/>
      <c r="I16508" s="7"/>
      <c r="J16508" s="7"/>
      <c r="K16508" s="7"/>
      <c r="L16508" s="7"/>
      <c r="M16508" s="7"/>
      <c r="N16508" s="7"/>
      <c r="O16508" s="7"/>
      <c r="P16508" s="7"/>
      <c r="Q16508" s="7"/>
      <c r="R16508" s="7"/>
      <c r="S16508" s="7"/>
      <c r="T16508" s="7"/>
      <c r="U16508" s="7"/>
      <c r="V16508" s="7"/>
      <c r="W16508" s="7"/>
      <c r="X16508" s="7"/>
      <c r="Y16508" s="7"/>
      <c r="Z16508" s="7"/>
      <c r="AA16508" s="7"/>
      <c r="AB16508" s="7"/>
      <c r="AC16508" s="7"/>
      <c r="AD16508" s="7"/>
      <c r="AE16508" s="7"/>
      <c r="AF16508" s="7"/>
    </row>
    <row r="16509" spans="1:32">
      <c r="A16509" s="7"/>
      <c r="B16509" s="7"/>
      <c r="C16509" s="7"/>
      <c r="D16509" s="7"/>
      <c r="E16509" s="7"/>
      <c r="F16509" s="7"/>
      <c r="G16509" s="7"/>
      <c r="H16509" s="7"/>
      <c r="I16509" s="7"/>
      <c r="J16509" s="7"/>
      <c r="K16509" s="7"/>
      <c r="L16509" s="7"/>
      <c r="M16509" s="7"/>
      <c r="N16509" s="7"/>
      <c r="O16509" s="7"/>
      <c r="P16509" s="7"/>
      <c r="Q16509" s="7"/>
      <c r="R16509" s="7"/>
      <c r="S16509" s="7"/>
      <c r="T16509" s="7"/>
      <c r="U16509" s="7"/>
      <c r="V16509" s="7"/>
      <c r="W16509" s="7"/>
      <c r="X16509" s="7"/>
      <c r="Y16509" s="7"/>
      <c r="Z16509" s="7"/>
      <c r="AA16509" s="7"/>
      <c r="AB16509" s="7"/>
      <c r="AC16509" s="7"/>
      <c r="AD16509" s="7"/>
      <c r="AE16509" s="7"/>
      <c r="AF16509" s="7"/>
    </row>
    <row r="16510" spans="1:32">
      <c r="A16510" s="7"/>
      <c r="B16510" s="7"/>
      <c r="C16510" s="7"/>
      <c r="D16510" s="7"/>
      <c r="E16510" s="7"/>
      <c r="F16510" s="7"/>
      <c r="G16510" s="7"/>
      <c r="H16510" s="7"/>
      <c r="I16510" s="7"/>
      <c r="J16510" s="7"/>
      <c r="K16510" s="7"/>
      <c r="L16510" s="7"/>
      <c r="M16510" s="7"/>
      <c r="N16510" s="7"/>
      <c r="O16510" s="7"/>
      <c r="P16510" s="7"/>
      <c r="Q16510" s="7"/>
      <c r="R16510" s="7"/>
      <c r="S16510" s="7"/>
      <c r="T16510" s="7"/>
      <c r="U16510" s="7"/>
      <c r="V16510" s="7"/>
      <c r="W16510" s="7"/>
      <c r="X16510" s="7"/>
      <c r="Y16510" s="7"/>
      <c r="Z16510" s="7"/>
      <c r="AA16510" s="7"/>
      <c r="AB16510" s="7"/>
      <c r="AC16510" s="7"/>
      <c r="AD16510" s="7"/>
      <c r="AE16510" s="7"/>
      <c r="AF16510" s="7"/>
    </row>
    <row r="16511" spans="1:32">
      <c r="A16511" s="7"/>
      <c r="B16511" s="7"/>
      <c r="C16511" s="7"/>
      <c r="D16511" s="7"/>
      <c r="E16511" s="7"/>
      <c r="F16511" s="7"/>
      <c r="G16511" s="7"/>
      <c r="H16511" s="7"/>
      <c r="I16511" s="7"/>
      <c r="J16511" s="7"/>
      <c r="K16511" s="7"/>
      <c r="L16511" s="7"/>
      <c r="M16511" s="7"/>
      <c r="N16511" s="7"/>
      <c r="O16511" s="7"/>
      <c r="P16511" s="7"/>
      <c r="Q16511" s="7"/>
      <c r="R16511" s="7"/>
      <c r="S16511" s="7"/>
      <c r="T16511" s="7"/>
      <c r="U16511" s="7"/>
      <c r="V16511" s="7"/>
      <c r="W16511" s="7"/>
      <c r="X16511" s="7"/>
      <c r="Y16511" s="7"/>
      <c r="Z16511" s="7"/>
      <c r="AA16511" s="7"/>
      <c r="AB16511" s="7"/>
      <c r="AC16511" s="7"/>
      <c r="AD16511" s="7"/>
      <c r="AE16511" s="7"/>
      <c r="AF16511" s="7"/>
    </row>
    <row r="16512" spans="1:32">
      <c r="A16512" s="7"/>
      <c r="B16512" s="7"/>
      <c r="C16512" s="7"/>
      <c r="D16512" s="7"/>
      <c r="E16512" s="7"/>
      <c r="F16512" s="7"/>
      <c r="G16512" s="7"/>
      <c r="H16512" s="7"/>
      <c r="I16512" s="7"/>
      <c r="J16512" s="7"/>
      <c r="K16512" s="7"/>
      <c r="L16512" s="7"/>
      <c r="M16512" s="7"/>
      <c r="N16512" s="7"/>
      <c r="O16512" s="7"/>
      <c r="P16512" s="7"/>
      <c r="Q16512" s="7"/>
      <c r="R16512" s="7"/>
      <c r="S16512" s="7"/>
      <c r="T16512" s="7"/>
      <c r="U16512" s="7"/>
      <c r="V16512" s="7"/>
      <c r="W16512" s="7"/>
      <c r="X16512" s="7"/>
      <c r="Y16512" s="7"/>
      <c r="Z16512" s="7"/>
      <c r="AA16512" s="7"/>
      <c r="AB16512" s="7"/>
      <c r="AC16512" s="7"/>
      <c r="AD16512" s="7"/>
      <c r="AE16512" s="7"/>
      <c r="AF16512" s="7"/>
    </row>
    <row r="16513" spans="1:32">
      <c r="A16513" s="7"/>
      <c r="B16513" s="7"/>
      <c r="C16513" s="7"/>
      <c r="D16513" s="7"/>
      <c r="E16513" s="7"/>
      <c r="F16513" s="7"/>
      <c r="G16513" s="7"/>
      <c r="H16513" s="7"/>
      <c r="I16513" s="7"/>
      <c r="J16513" s="7"/>
      <c r="K16513" s="7"/>
      <c r="L16513" s="7"/>
      <c r="M16513" s="7"/>
      <c r="N16513" s="7"/>
      <c r="O16513" s="7"/>
      <c r="P16513" s="7"/>
      <c r="Q16513" s="7"/>
      <c r="R16513" s="7"/>
      <c r="S16513" s="7"/>
      <c r="T16513" s="7"/>
      <c r="U16513" s="7"/>
      <c r="V16513" s="7"/>
      <c r="W16513" s="7"/>
      <c r="X16513" s="7"/>
      <c r="Y16513" s="7"/>
      <c r="Z16513" s="7"/>
      <c r="AA16513" s="7"/>
      <c r="AB16513" s="7"/>
      <c r="AC16513" s="7"/>
      <c r="AD16513" s="7"/>
      <c r="AE16513" s="7"/>
      <c r="AF16513" s="7"/>
    </row>
    <row r="16514" spans="1:32">
      <c r="A16514" s="7"/>
      <c r="B16514" s="7"/>
      <c r="C16514" s="7"/>
      <c r="D16514" s="7"/>
      <c r="E16514" s="7"/>
      <c r="F16514" s="7"/>
      <c r="G16514" s="7"/>
      <c r="H16514" s="7"/>
      <c r="I16514" s="7"/>
      <c r="J16514" s="7"/>
      <c r="K16514" s="7"/>
      <c r="L16514" s="7"/>
      <c r="M16514" s="7"/>
      <c r="N16514" s="7"/>
      <c r="O16514" s="7"/>
      <c r="P16514" s="7"/>
      <c r="Q16514" s="7"/>
      <c r="R16514" s="7"/>
      <c r="S16514" s="7"/>
      <c r="T16514" s="7"/>
      <c r="U16514" s="7"/>
      <c r="V16514" s="7"/>
      <c r="W16514" s="7"/>
      <c r="X16514" s="7"/>
      <c r="Y16514" s="7"/>
      <c r="Z16514" s="7"/>
      <c r="AA16514" s="7"/>
      <c r="AB16514" s="7"/>
      <c r="AC16514" s="7"/>
      <c r="AD16514" s="7"/>
      <c r="AE16514" s="7"/>
      <c r="AF16514" s="7"/>
    </row>
    <row r="16515" spans="1:32">
      <c r="A16515" s="7"/>
      <c r="B16515" s="7"/>
      <c r="C16515" s="7"/>
      <c r="D16515" s="7"/>
      <c r="E16515" s="7"/>
      <c r="F16515" s="7"/>
      <c r="G16515" s="7"/>
      <c r="H16515" s="7"/>
      <c r="I16515" s="7"/>
      <c r="J16515" s="7"/>
      <c r="K16515" s="7"/>
      <c r="L16515" s="7"/>
      <c r="M16515" s="7"/>
      <c r="N16515" s="7"/>
      <c r="O16515" s="7"/>
      <c r="P16515" s="7"/>
      <c r="Q16515" s="7"/>
      <c r="R16515" s="7"/>
      <c r="S16515" s="7"/>
      <c r="T16515" s="7"/>
      <c r="U16515" s="7"/>
      <c r="V16515" s="7"/>
      <c r="W16515" s="7"/>
      <c r="X16515" s="7"/>
      <c r="Y16515" s="7"/>
      <c r="Z16515" s="7"/>
      <c r="AA16515" s="7"/>
      <c r="AB16515" s="7"/>
      <c r="AC16515" s="7"/>
      <c r="AD16515" s="7"/>
      <c r="AE16515" s="7"/>
      <c r="AF16515" s="7"/>
    </row>
    <row r="16516" spans="1:32">
      <c r="A16516" s="7"/>
      <c r="B16516" s="7"/>
      <c r="C16516" s="7"/>
      <c r="D16516" s="7"/>
      <c r="E16516" s="7"/>
      <c r="F16516" s="7"/>
      <c r="G16516" s="7"/>
      <c r="H16516" s="7"/>
      <c r="I16516" s="7"/>
      <c r="J16516" s="7"/>
      <c r="K16516" s="7"/>
      <c r="L16516" s="7"/>
      <c r="M16516" s="7"/>
      <c r="N16516" s="7"/>
      <c r="O16516" s="7"/>
      <c r="P16516" s="7"/>
      <c r="Q16516" s="7"/>
      <c r="R16516" s="7"/>
      <c r="S16516" s="7"/>
      <c r="T16516" s="7"/>
      <c r="U16516" s="7"/>
      <c r="V16516" s="7"/>
      <c r="W16516" s="7"/>
      <c r="X16516" s="7"/>
      <c r="Y16516" s="7"/>
      <c r="Z16516" s="7"/>
      <c r="AA16516" s="7"/>
      <c r="AB16516" s="7"/>
      <c r="AC16516" s="7"/>
      <c r="AD16516" s="7"/>
      <c r="AE16516" s="7"/>
      <c r="AF16516" s="7"/>
    </row>
    <row r="16517" spans="1:32">
      <c r="A16517" s="7"/>
      <c r="B16517" s="7"/>
      <c r="C16517" s="7"/>
      <c r="D16517" s="7"/>
      <c r="E16517" s="7"/>
      <c r="F16517" s="7"/>
      <c r="G16517" s="7"/>
      <c r="H16517" s="7"/>
      <c r="I16517" s="7"/>
      <c r="J16517" s="7"/>
      <c r="K16517" s="7"/>
      <c r="L16517" s="7"/>
      <c r="M16517" s="7"/>
      <c r="N16517" s="7"/>
      <c r="O16517" s="7"/>
      <c r="P16517" s="7"/>
      <c r="Q16517" s="7"/>
      <c r="R16517" s="7"/>
      <c r="S16517" s="7"/>
      <c r="T16517" s="7"/>
      <c r="U16517" s="7"/>
      <c r="V16517" s="7"/>
      <c r="W16517" s="7"/>
      <c r="X16517" s="7"/>
      <c r="Y16517" s="7"/>
      <c r="Z16517" s="7"/>
      <c r="AA16517" s="7"/>
      <c r="AB16517" s="7"/>
      <c r="AC16517" s="7"/>
      <c r="AD16517" s="7"/>
      <c r="AE16517" s="7"/>
      <c r="AF16517" s="7"/>
    </row>
    <row r="16518" spans="1:32">
      <c r="A16518" s="7"/>
      <c r="B16518" s="7"/>
      <c r="C16518" s="7"/>
      <c r="D16518" s="7"/>
      <c r="E16518" s="7"/>
      <c r="F16518" s="7"/>
      <c r="G16518" s="7"/>
      <c r="H16518" s="7"/>
      <c r="I16518" s="7"/>
      <c r="J16518" s="7"/>
      <c r="K16518" s="7"/>
      <c r="L16518" s="7"/>
      <c r="M16518" s="7"/>
      <c r="N16518" s="7"/>
      <c r="O16518" s="7"/>
      <c r="P16518" s="7"/>
      <c r="Q16518" s="7"/>
      <c r="R16518" s="7"/>
      <c r="S16518" s="7"/>
      <c r="T16518" s="7"/>
      <c r="U16518" s="7"/>
      <c r="V16518" s="7"/>
      <c r="W16518" s="7"/>
      <c r="X16518" s="7"/>
      <c r="Y16518" s="7"/>
      <c r="Z16518" s="7"/>
      <c r="AA16518" s="7"/>
      <c r="AB16518" s="7"/>
      <c r="AC16518" s="7"/>
      <c r="AD16518" s="7"/>
      <c r="AE16518" s="7"/>
      <c r="AF16518" s="7"/>
    </row>
    <row r="16519" spans="1:32">
      <c r="A16519" s="7"/>
      <c r="B16519" s="7"/>
      <c r="C16519" s="7"/>
      <c r="D16519" s="7"/>
      <c r="E16519" s="7"/>
      <c r="F16519" s="7"/>
      <c r="G16519" s="7"/>
      <c r="H16519" s="7"/>
      <c r="I16519" s="7"/>
      <c r="J16519" s="7"/>
      <c r="K16519" s="7"/>
      <c r="L16519" s="7"/>
      <c r="M16519" s="7"/>
      <c r="N16519" s="7"/>
      <c r="O16519" s="7"/>
      <c r="P16519" s="7"/>
      <c r="Q16519" s="7"/>
      <c r="R16519" s="7"/>
      <c r="S16519" s="7"/>
      <c r="T16519" s="7"/>
      <c r="U16519" s="7"/>
      <c r="V16519" s="7"/>
      <c r="W16519" s="7"/>
      <c r="X16519" s="7"/>
      <c r="Y16519" s="7"/>
      <c r="Z16519" s="7"/>
      <c r="AA16519" s="7"/>
      <c r="AB16519" s="7"/>
      <c r="AC16519" s="7"/>
      <c r="AD16519" s="7"/>
      <c r="AE16519" s="7"/>
      <c r="AF16519" s="7"/>
    </row>
    <row r="16520" spans="1:32">
      <c r="A16520" s="7"/>
      <c r="B16520" s="7"/>
      <c r="C16520" s="7"/>
      <c r="D16520" s="7"/>
      <c r="E16520" s="7"/>
      <c r="F16520" s="7"/>
      <c r="G16520" s="7"/>
      <c r="H16520" s="7"/>
      <c r="I16520" s="7"/>
      <c r="J16520" s="7"/>
      <c r="K16520" s="7"/>
      <c r="L16520" s="7"/>
      <c r="M16520" s="7"/>
      <c r="N16520" s="7"/>
      <c r="O16520" s="7"/>
      <c r="P16520" s="7"/>
      <c r="Q16520" s="7"/>
      <c r="R16520" s="7"/>
      <c r="S16520" s="7"/>
      <c r="T16520" s="7"/>
      <c r="U16520" s="7"/>
      <c r="V16520" s="7"/>
      <c r="W16520" s="7"/>
      <c r="X16520" s="7"/>
      <c r="Y16520" s="7"/>
      <c r="Z16520" s="7"/>
      <c r="AA16520" s="7"/>
      <c r="AB16520" s="7"/>
      <c r="AC16520" s="7"/>
      <c r="AD16520" s="7"/>
      <c r="AE16520" s="7"/>
      <c r="AF16520" s="7"/>
    </row>
    <row r="16521" spans="1:32">
      <c r="A16521" s="7"/>
      <c r="B16521" s="7"/>
      <c r="C16521" s="7"/>
      <c r="D16521" s="7"/>
      <c r="E16521" s="7"/>
      <c r="F16521" s="7"/>
      <c r="G16521" s="7"/>
      <c r="H16521" s="7"/>
      <c r="I16521" s="7"/>
      <c r="J16521" s="7"/>
      <c r="K16521" s="7"/>
      <c r="L16521" s="7"/>
      <c r="M16521" s="7"/>
      <c r="N16521" s="7"/>
      <c r="O16521" s="7"/>
      <c r="P16521" s="7"/>
      <c r="Q16521" s="7"/>
      <c r="R16521" s="7"/>
      <c r="S16521" s="7"/>
      <c r="T16521" s="7"/>
      <c r="U16521" s="7"/>
      <c r="V16521" s="7"/>
      <c r="W16521" s="7"/>
      <c r="X16521" s="7"/>
      <c r="Y16521" s="7"/>
      <c r="Z16521" s="7"/>
      <c r="AA16521" s="7"/>
      <c r="AB16521" s="7"/>
      <c r="AC16521" s="7"/>
      <c r="AD16521" s="7"/>
      <c r="AE16521" s="7"/>
      <c r="AF16521" s="7"/>
    </row>
    <row r="16522" spans="1:32">
      <c r="A16522" s="7"/>
      <c r="B16522" s="7"/>
      <c r="C16522" s="7"/>
      <c r="D16522" s="7"/>
      <c r="E16522" s="7"/>
      <c r="F16522" s="7"/>
      <c r="G16522" s="7"/>
      <c r="H16522" s="7"/>
      <c r="I16522" s="7"/>
      <c r="J16522" s="7"/>
      <c r="K16522" s="7"/>
      <c r="L16522" s="7"/>
      <c r="M16522" s="7"/>
      <c r="N16522" s="7"/>
      <c r="O16522" s="7"/>
      <c r="P16522" s="7"/>
      <c r="Q16522" s="7"/>
      <c r="R16522" s="7"/>
      <c r="S16522" s="7"/>
      <c r="T16522" s="7"/>
      <c r="U16522" s="7"/>
      <c r="V16522" s="7"/>
      <c r="W16522" s="7"/>
      <c r="X16522" s="7"/>
      <c r="Y16522" s="7"/>
      <c r="Z16522" s="7"/>
      <c r="AA16522" s="7"/>
      <c r="AB16522" s="7"/>
      <c r="AC16522" s="7"/>
      <c r="AD16522" s="7"/>
      <c r="AE16522" s="7"/>
      <c r="AF16522" s="7"/>
    </row>
    <row r="16523" spans="1:32">
      <c r="A16523" s="7"/>
      <c r="B16523" s="7"/>
      <c r="C16523" s="7"/>
      <c r="D16523" s="7"/>
      <c r="E16523" s="7"/>
      <c r="F16523" s="7"/>
      <c r="G16523" s="7"/>
      <c r="H16523" s="7"/>
      <c r="I16523" s="7"/>
      <c r="J16523" s="7"/>
      <c r="K16523" s="7"/>
      <c r="L16523" s="7"/>
      <c r="M16523" s="7"/>
      <c r="N16523" s="7"/>
      <c r="O16523" s="7"/>
      <c r="P16523" s="7"/>
      <c r="Q16523" s="7"/>
      <c r="R16523" s="7"/>
      <c r="S16523" s="7"/>
      <c r="T16523" s="7"/>
      <c r="U16523" s="7"/>
      <c r="V16523" s="7"/>
      <c r="W16523" s="7"/>
      <c r="X16523" s="7"/>
      <c r="Y16523" s="7"/>
      <c r="Z16523" s="7"/>
      <c r="AA16523" s="7"/>
      <c r="AB16523" s="7"/>
      <c r="AC16523" s="7"/>
      <c r="AD16523" s="7"/>
      <c r="AE16523" s="7"/>
      <c r="AF16523" s="7"/>
    </row>
    <row r="16524" spans="1:32">
      <c r="A16524" s="7"/>
      <c r="B16524" s="7"/>
      <c r="C16524" s="7"/>
      <c r="D16524" s="7"/>
      <c r="E16524" s="7"/>
      <c r="F16524" s="7"/>
      <c r="G16524" s="7"/>
      <c r="H16524" s="7"/>
      <c r="I16524" s="7"/>
      <c r="J16524" s="7"/>
      <c r="K16524" s="7"/>
      <c r="L16524" s="7"/>
      <c r="M16524" s="7"/>
      <c r="N16524" s="7"/>
      <c r="O16524" s="7"/>
      <c r="P16524" s="7"/>
      <c r="Q16524" s="7"/>
      <c r="R16524" s="7"/>
      <c r="S16524" s="7"/>
      <c r="T16524" s="7"/>
      <c r="U16524" s="7"/>
      <c r="V16524" s="7"/>
      <c r="W16524" s="7"/>
      <c r="X16524" s="7"/>
      <c r="Y16524" s="7"/>
      <c r="Z16524" s="7"/>
      <c r="AA16524" s="7"/>
      <c r="AB16524" s="7"/>
      <c r="AC16524" s="7"/>
      <c r="AD16524" s="7"/>
      <c r="AE16524" s="7"/>
      <c r="AF16524" s="7"/>
    </row>
    <row r="16525" spans="1:32">
      <c r="A16525" s="7"/>
      <c r="B16525" s="7"/>
      <c r="C16525" s="7"/>
      <c r="D16525" s="7"/>
      <c r="E16525" s="7"/>
      <c r="F16525" s="7"/>
      <c r="G16525" s="7"/>
      <c r="H16525" s="7"/>
      <c r="I16525" s="7"/>
      <c r="J16525" s="7"/>
      <c r="K16525" s="7"/>
      <c r="L16525" s="7"/>
      <c r="M16525" s="7"/>
      <c r="N16525" s="7"/>
      <c r="O16525" s="7"/>
      <c r="P16525" s="7"/>
      <c r="Q16525" s="7"/>
      <c r="R16525" s="7"/>
      <c r="S16525" s="7"/>
      <c r="T16525" s="7"/>
      <c r="U16525" s="7"/>
      <c r="V16525" s="7"/>
      <c r="W16525" s="7"/>
      <c r="X16525" s="7"/>
      <c r="Y16525" s="7"/>
      <c r="Z16525" s="7"/>
      <c r="AA16525" s="7"/>
      <c r="AB16525" s="7"/>
      <c r="AC16525" s="7"/>
      <c r="AD16525" s="7"/>
      <c r="AE16525" s="7"/>
      <c r="AF16525" s="7"/>
    </row>
    <row r="16526" spans="1:32">
      <c r="A16526" s="7"/>
      <c r="B16526" s="7"/>
      <c r="C16526" s="7"/>
      <c r="D16526" s="7"/>
      <c r="E16526" s="7"/>
      <c r="F16526" s="7"/>
      <c r="G16526" s="7"/>
      <c r="H16526" s="7"/>
      <c r="I16526" s="7"/>
      <c r="J16526" s="7"/>
      <c r="K16526" s="7"/>
      <c r="L16526" s="7"/>
      <c r="M16526" s="7"/>
      <c r="N16526" s="7"/>
      <c r="O16526" s="7"/>
      <c r="P16526" s="7"/>
      <c r="Q16526" s="7"/>
      <c r="R16526" s="7"/>
      <c r="S16526" s="7"/>
      <c r="T16526" s="7"/>
      <c r="U16526" s="7"/>
      <c r="V16526" s="7"/>
      <c r="W16526" s="7"/>
      <c r="X16526" s="7"/>
      <c r="Y16526" s="7"/>
      <c r="Z16526" s="7"/>
      <c r="AA16526" s="7"/>
      <c r="AB16526" s="7"/>
      <c r="AC16526" s="7"/>
      <c r="AD16526" s="7"/>
      <c r="AE16526" s="7"/>
      <c r="AF16526" s="7"/>
    </row>
    <row r="16527" spans="1:32">
      <c r="A16527" s="7"/>
      <c r="B16527" s="7"/>
      <c r="C16527" s="7"/>
      <c r="D16527" s="7"/>
      <c r="E16527" s="7"/>
      <c r="F16527" s="7"/>
      <c r="G16527" s="7"/>
      <c r="H16527" s="7"/>
      <c r="I16527" s="7"/>
      <c r="J16527" s="7"/>
      <c r="K16527" s="7"/>
      <c r="L16527" s="7"/>
      <c r="M16527" s="7"/>
      <c r="N16527" s="7"/>
      <c r="O16527" s="7"/>
      <c r="P16527" s="7"/>
      <c r="Q16527" s="7"/>
      <c r="R16527" s="7"/>
      <c r="S16527" s="7"/>
      <c r="T16527" s="7"/>
      <c r="U16527" s="7"/>
      <c r="V16527" s="7"/>
      <c r="W16527" s="7"/>
      <c r="X16527" s="7"/>
      <c r="Y16527" s="7"/>
      <c r="Z16527" s="7"/>
      <c r="AA16527" s="7"/>
      <c r="AB16527" s="7"/>
      <c r="AC16527" s="7"/>
      <c r="AD16527" s="7"/>
      <c r="AE16527" s="7"/>
      <c r="AF16527" s="7"/>
    </row>
    <row r="16528" spans="1:32">
      <c r="A16528" s="7"/>
      <c r="B16528" s="7"/>
      <c r="C16528" s="7"/>
      <c r="D16528" s="7"/>
      <c r="E16528" s="7"/>
      <c r="F16528" s="7"/>
      <c r="G16528" s="7"/>
      <c r="H16528" s="7"/>
      <c r="I16528" s="7"/>
      <c r="J16528" s="7"/>
      <c r="K16528" s="7"/>
      <c r="L16528" s="7"/>
      <c r="M16528" s="7"/>
      <c r="N16528" s="7"/>
      <c r="O16528" s="7"/>
      <c r="P16528" s="7"/>
      <c r="Q16528" s="7"/>
      <c r="R16528" s="7"/>
      <c r="S16528" s="7"/>
      <c r="T16528" s="7"/>
      <c r="U16528" s="7"/>
      <c r="V16528" s="7"/>
      <c r="W16528" s="7"/>
      <c r="X16528" s="7"/>
      <c r="Y16528" s="7"/>
      <c r="Z16528" s="7"/>
      <c r="AA16528" s="7"/>
      <c r="AB16528" s="7"/>
      <c r="AC16528" s="7"/>
      <c r="AD16528" s="7"/>
      <c r="AE16528" s="7"/>
      <c r="AF16528" s="7"/>
    </row>
    <row r="16529" spans="1:32">
      <c r="A16529" s="7"/>
      <c r="B16529" s="7"/>
      <c r="C16529" s="7"/>
      <c r="D16529" s="7"/>
      <c r="E16529" s="7"/>
      <c r="F16529" s="7"/>
      <c r="G16529" s="7"/>
      <c r="H16529" s="7"/>
      <c r="I16529" s="7"/>
      <c r="J16529" s="7"/>
      <c r="K16529" s="7"/>
      <c r="L16529" s="7"/>
      <c r="M16529" s="7"/>
      <c r="N16529" s="7"/>
      <c r="O16529" s="7"/>
      <c r="P16529" s="7"/>
      <c r="Q16529" s="7"/>
      <c r="R16529" s="7"/>
      <c r="S16529" s="7"/>
      <c r="T16529" s="7"/>
      <c r="U16529" s="7"/>
      <c r="V16529" s="7"/>
      <c r="W16529" s="7"/>
      <c r="X16529" s="7"/>
      <c r="Y16529" s="7"/>
      <c r="Z16529" s="7"/>
      <c r="AA16529" s="7"/>
      <c r="AB16529" s="7"/>
      <c r="AC16529" s="7"/>
      <c r="AD16529" s="7"/>
      <c r="AE16529" s="7"/>
      <c r="AF16529" s="7"/>
    </row>
    <row r="16530" spans="1:32">
      <c r="A16530" s="7"/>
      <c r="B16530" s="7"/>
      <c r="C16530" s="7"/>
      <c r="D16530" s="7"/>
      <c r="E16530" s="7"/>
      <c r="F16530" s="7"/>
      <c r="G16530" s="7"/>
      <c r="H16530" s="7"/>
      <c r="I16530" s="7"/>
      <c r="J16530" s="7"/>
      <c r="K16530" s="7"/>
      <c r="L16530" s="7"/>
      <c r="M16530" s="7"/>
      <c r="N16530" s="7"/>
      <c r="O16530" s="7"/>
      <c r="P16530" s="7"/>
      <c r="Q16530" s="7"/>
      <c r="R16530" s="7"/>
      <c r="S16530" s="7"/>
      <c r="T16530" s="7"/>
      <c r="U16530" s="7"/>
      <c r="V16530" s="7"/>
      <c r="W16530" s="7"/>
      <c r="X16530" s="7"/>
      <c r="Y16530" s="7"/>
      <c r="Z16530" s="7"/>
      <c r="AA16530" s="7"/>
      <c r="AB16530" s="7"/>
      <c r="AC16530" s="7"/>
      <c r="AD16530" s="7"/>
      <c r="AE16530" s="7"/>
      <c r="AF16530" s="7"/>
    </row>
    <row r="16531" spans="1:32">
      <c r="A16531" s="7"/>
      <c r="B16531" s="7"/>
      <c r="C16531" s="7"/>
      <c r="D16531" s="7"/>
      <c r="E16531" s="7"/>
      <c r="F16531" s="7"/>
      <c r="G16531" s="7"/>
      <c r="H16531" s="7"/>
      <c r="I16531" s="7"/>
      <c r="J16531" s="7"/>
      <c r="K16531" s="7"/>
      <c r="L16531" s="7"/>
      <c r="M16531" s="7"/>
      <c r="N16531" s="7"/>
      <c r="O16531" s="7"/>
      <c r="P16531" s="7"/>
      <c r="Q16531" s="7"/>
      <c r="R16531" s="7"/>
      <c r="S16531" s="7"/>
      <c r="T16531" s="7"/>
      <c r="U16531" s="7"/>
      <c r="V16531" s="7"/>
      <c r="W16531" s="7"/>
      <c r="X16531" s="7"/>
      <c r="Y16531" s="7"/>
      <c r="Z16531" s="7"/>
      <c r="AA16531" s="7"/>
      <c r="AB16531" s="7"/>
      <c r="AC16531" s="7"/>
      <c r="AD16531" s="7"/>
      <c r="AE16531" s="7"/>
      <c r="AF16531" s="7"/>
    </row>
    <row r="16532" spans="1:32">
      <c r="A16532" s="7"/>
      <c r="B16532" s="7"/>
      <c r="C16532" s="7"/>
      <c r="D16532" s="7"/>
      <c r="E16532" s="7"/>
      <c r="F16532" s="7"/>
      <c r="G16532" s="7"/>
      <c r="H16532" s="7"/>
      <c r="I16532" s="7"/>
      <c r="J16532" s="7"/>
      <c r="K16532" s="7"/>
      <c r="L16532" s="7"/>
      <c r="M16532" s="7"/>
      <c r="N16532" s="7"/>
      <c r="O16532" s="7"/>
      <c r="P16532" s="7"/>
      <c r="Q16532" s="7"/>
      <c r="R16532" s="7"/>
      <c r="S16532" s="7"/>
      <c r="T16532" s="7"/>
      <c r="U16532" s="7"/>
      <c r="V16532" s="7"/>
      <c r="W16532" s="7"/>
      <c r="X16532" s="7"/>
      <c r="Y16532" s="7"/>
      <c r="Z16532" s="7"/>
      <c r="AA16532" s="7"/>
      <c r="AB16532" s="7"/>
      <c r="AC16532" s="7"/>
      <c r="AD16532" s="7"/>
      <c r="AE16532" s="7"/>
      <c r="AF16532" s="7"/>
    </row>
    <row r="16533" spans="1:32">
      <c r="A16533" s="7"/>
      <c r="B16533" s="7"/>
      <c r="C16533" s="7"/>
      <c r="D16533" s="7"/>
      <c r="E16533" s="7"/>
      <c r="F16533" s="7"/>
      <c r="G16533" s="7"/>
      <c r="H16533" s="7"/>
      <c r="I16533" s="7"/>
      <c r="J16533" s="7"/>
      <c r="K16533" s="7"/>
      <c r="L16533" s="7"/>
      <c r="M16533" s="7"/>
      <c r="N16533" s="7"/>
      <c r="O16533" s="7"/>
      <c r="P16533" s="7"/>
      <c r="Q16533" s="7"/>
      <c r="R16533" s="7"/>
      <c r="S16533" s="7"/>
      <c r="T16533" s="7"/>
      <c r="U16533" s="7"/>
      <c r="V16533" s="7"/>
      <c r="W16533" s="7"/>
      <c r="X16533" s="7"/>
      <c r="Y16533" s="7"/>
      <c r="Z16533" s="7"/>
      <c r="AA16533" s="7"/>
      <c r="AB16533" s="7"/>
      <c r="AC16533" s="7"/>
      <c r="AD16533" s="7"/>
      <c r="AE16533" s="7"/>
      <c r="AF16533" s="7"/>
    </row>
    <row r="16534" spans="1:32">
      <c r="A16534" s="7"/>
      <c r="B16534" s="7"/>
      <c r="C16534" s="7"/>
      <c r="D16534" s="7"/>
      <c r="E16534" s="7"/>
      <c r="F16534" s="7"/>
      <c r="G16534" s="7"/>
      <c r="H16534" s="7"/>
      <c r="I16534" s="7"/>
      <c r="J16534" s="7"/>
      <c r="K16534" s="7"/>
      <c r="L16534" s="7"/>
      <c r="M16534" s="7"/>
      <c r="N16534" s="7"/>
      <c r="O16534" s="7"/>
      <c r="P16534" s="7"/>
      <c r="Q16534" s="7"/>
      <c r="R16534" s="7"/>
      <c r="S16534" s="7"/>
      <c r="T16534" s="7"/>
      <c r="U16534" s="7"/>
      <c r="V16534" s="7"/>
      <c r="W16534" s="7"/>
      <c r="X16534" s="7"/>
      <c r="Y16534" s="7"/>
      <c r="Z16534" s="7"/>
      <c r="AA16534" s="7"/>
      <c r="AB16534" s="7"/>
      <c r="AC16534" s="7"/>
      <c r="AD16534" s="7"/>
      <c r="AE16534" s="7"/>
      <c r="AF16534" s="7"/>
    </row>
    <row r="16535" spans="1:32">
      <c r="A16535" s="7"/>
      <c r="B16535" s="7"/>
      <c r="C16535" s="7"/>
      <c r="D16535" s="7"/>
      <c r="E16535" s="7"/>
      <c r="F16535" s="7"/>
      <c r="G16535" s="7"/>
      <c r="H16535" s="7"/>
      <c r="I16535" s="7"/>
      <c r="J16535" s="7"/>
      <c r="K16535" s="7"/>
      <c r="L16535" s="7"/>
      <c r="M16535" s="7"/>
      <c r="N16535" s="7"/>
      <c r="O16535" s="7"/>
      <c r="P16535" s="7"/>
      <c r="Q16535" s="7"/>
      <c r="R16535" s="7"/>
      <c r="S16535" s="7"/>
      <c r="T16535" s="7"/>
      <c r="U16535" s="7"/>
      <c r="V16535" s="7"/>
      <c r="W16535" s="7"/>
      <c r="X16535" s="7"/>
      <c r="Y16535" s="7"/>
      <c r="Z16535" s="7"/>
      <c r="AA16535" s="7"/>
      <c r="AB16535" s="7"/>
      <c r="AC16535" s="7"/>
      <c r="AD16535" s="7"/>
      <c r="AE16535" s="7"/>
      <c r="AF16535" s="7"/>
    </row>
    <row r="16536" spans="1:32">
      <c r="A16536" s="7"/>
      <c r="B16536" s="7"/>
      <c r="C16536" s="7"/>
      <c r="D16536" s="7"/>
      <c r="E16536" s="7"/>
      <c r="F16536" s="7"/>
      <c r="G16536" s="7"/>
      <c r="H16536" s="7"/>
      <c r="I16536" s="7"/>
      <c r="J16536" s="7"/>
      <c r="K16536" s="7"/>
      <c r="L16536" s="7"/>
      <c r="M16536" s="7"/>
      <c r="N16536" s="7"/>
      <c r="O16536" s="7"/>
      <c r="P16536" s="7"/>
      <c r="Q16536" s="7"/>
      <c r="R16536" s="7"/>
      <c r="S16536" s="7"/>
      <c r="T16536" s="7"/>
      <c r="U16536" s="7"/>
      <c r="V16536" s="7"/>
      <c r="W16536" s="7"/>
      <c r="X16536" s="7"/>
      <c r="Y16536" s="7"/>
      <c r="Z16536" s="7"/>
      <c r="AA16536" s="7"/>
      <c r="AB16536" s="7"/>
      <c r="AC16536" s="7"/>
      <c r="AD16536" s="7"/>
      <c r="AE16536" s="7"/>
      <c r="AF16536" s="7"/>
    </row>
    <row r="16537" spans="1:32">
      <c r="A16537" s="7"/>
      <c r="B16537" s="7"/>
      <c r="C16537" s="7"/>
      <c r="D16537" s="7"/>
      <c r="E16537" s="7"/>
      <c r="F16537" s="7"/>
      <c r="G16537" s="7"/>
      <c r="H16537" s="7"/>
      <c r="I16537" s="7"/>
      <c r="J16537" s="7"/>
      <c r="K16537" s="7"/>
      <c r="L16537" s="7"/>
      <c r="M16537" s="7"/>
      <c r="N16537" s="7"/>
      <c r="O16537" s="7"/>
      <c r="P16537" s="7"/>
      <c r="Q16537" s="7"/>
      <c r="R16537" s="7"/>
      <c r="S16537" s="7"/>
      <c r="T16537" s="7"/>
      <c r="U16537" s="7"/>
      <c r="V16537" s="7"/>
      <c r="W16537" s="7"/>
      <c r="X16537" s="7"/>
      <c r="Y16537" s="7"/>
      <c r="Z16537" s="7"/>
      <c r="AA16537" s="7"/>
      <c r="AB16537" s="7"/>
      <c r="AC16537" s="7"/>
      <c r="AD16537" s="7"/>
      <c r="AE16537" s="7"/>
      <c r="AF16537" s="7"/>
    </row>
    <row r="16538" spans="1:32">
      <c r="A16538" s="7"/>
      <c r="B16538" s="7"/>
      <c r="C16538" s="7"/>
      <c r="D16538" s="7"/>
      <c r="E16538" s="7"/>
      <c r="F16538" s="7"/>
      <c r="G16538" s="7"/>
      <c r="H16538" s="7"/>
      <c r="I16538" s="7"/>
      <c r="J16538" s="7"/>
      <c r="K16538" s="7"/>
      <c r="L16538" s="7"/>
      <c r="M16538" s="7"/>
      <c r="N16538" s="7"/>
      <c r="O16538" s="7"/>
      <c r="P16538" s="7"/>
      <c r="Q16538" s="7"/>
      <c r="R16538" s="7"/>
      <c r="S16538" s="7"/>
      <c r="T16538" s="7"/>
      <c r="U16538" s="7"/>
      <c r="V16538" s="7"/>
      <c r="W16538" s="7"/>
      <c r="X16538" s="7"/>
      <c r="Y16538" s="7"/>
      <c r="Z16538" s="7"/>
      <c r="AA16538" s="7"/>
      <c r="AB16538" s="7"/>
      <c r="AC16538" s="7"/>
      <c r="AD16538" s="7"/>
      <c r="AE16538" s="7"/>
      <c r="AF16538" s="7"/>
    </row>
    <row r="16539" spans="1:32">
      <c r="A16539" s="7"/>
      <c r="B16539" s="7"/>
      <c r="C16539" s="7"/>
      <c r="D16539" s="7"/>
      <c r="E16539" s="7"/>
      <c r="F16539" s="7"/>
      <c r="G16539" s="7"/>
      <c r="H16539" s="7"/>
      <c r="I16539" s="7"/>
      <c r="J16539" s="7"/>
      <c r="K16539" s="7"/>
      <c r="L16539" s="7"/>
      <c r="M16539" s="7"/>
      <c r="N16539" s="7"/>
      <c r="O16539" s="7"/>
      <c r="P16539" s="7"/>
      <c r="Q16539" s="7"/>
      <c r="R16539" s="7"/>
      <c r="S16539" s="7"/>
      <c r="T16539" s="7"/>
      <c r="U16539" s="7"/>
      <c r="V16539" s="7"/>
      <c r="W16539" s="7"/>
      <c r="X16539" s="7"/>
      <c r="Y16539" s="7"/>
      <c r="Z16539" s="7"/>
      <c r="AA16539" s="7"/>
      <c r="AB16539" s="7"/>
      <c r="AC16539" s="7"/>
      <c r="AD16539" s="7"/>
      <c r="AE16539" s="7"/>
      <c r="AF16539" s="7"/>
    </row>
    <row r="16540" spans="1:32">
      <c r="A16540" s="7"/>
      <c r="B16540" s="7"/>
      <c r="C16540" s="7"/>
      <c r="D16540" s="7"/>
      <c r="E16540" s="7"/>
      <c r="F16540" s="7"/>
      <c r="G16540" s="7"/>
      <c r="H16540" s="7"/>
      <c r="I16540" s="7"/>
      <c r="J16540" s="7"/>
      <c r="K16540" s="7"/>
      <c r="L16540" s="7"/>
      <c r="M16540" s="7"/>
      <c r="N16540" s="7"/>
      <c r="O16540" s="7"/>
      <c r="P16540" s="7"/>
      <c r="Q16540" s="7"/>
      <c r="R16540" s="7"/>
      <c r="S16540" s="7"/>
      <c r="T16540" s="7"/>
      <c r="U16540" s="7"/>
      <c r="V16540" s="7"/>
      <c r="W16540" s="7"/>
      <c r="X16540" s="7"/>
      <c r="Y16540" s="7"/>
      <c r="Z16540" s="7"/>
      <c r="AA16540" s="7"/>
      <c r="AB16540" s="7"/>
      <c r="AC16540" s="7"/>
      <c r="AD16540" s="7"/>
      <c r="AE16540" s="7"/>
      <c r="AF16540" s="7"/>
    </row>
    <row r="16541" spans="1:32">
      <c r="A16541" s="7"/>
      <c r="B16541" s="7"/>
      <c r="C16541" s="7"/>
      <c r="D16541" s="7"/>
      <c r="E16541" s="7"/>
      <c r="F16541" s="7"/>
      <c r="G16541" s="7"/>
      <c r="H16541" s="7"/>
      <c r="I16541" s="7"/>
      <c r="J16541" s="7"/>
      <c r="K16541" s="7"/>
      <c r="L16541" s="7"/>
      <c r="M16541" s="7"/>
      <c r="N16541" s="7"/>
      <c r="O16541" s="7"/>
      <c r="P16541" s="7"/>
      <c r="Q16541" s="7"/>
      <c r="R16541" s="7"/>
      <c r="S16541" s="7"/>
      <c r="T16541" s="7"/>
      <c r="U16541" s="7"/>
      <c r="V16541" s="7"/>
      <c r="W16541" s="7"/>
      <c r="X16541" s="7"/>
      <c r="Y16541" s="7"/>
      <c r="Z16541" s="7"/>
      <c r="AA16541" s="7"/>
      <c r="AB16541" s="7"/>
      <c r="AC16541" s="7"/>
      <c r="AD16541" s="7"/>
      <c r="AE16541" s="7"/>
      <c r="AF16541" s="7"/>
    </row>
    <row r="16542" spans="1:32">
      <c r="A16542" s="7"/>
      <c r="B16542" s="7"/>
      <c r="C16542" s="7"/>
      <c r="D16542" s="7"/>
      <c r="E16542" s="7"/>
      <c r="F16542" s="7"/>
      <c r="G16542" s="7"/>
      <c r="H16542" s="7"/>
      <c r="I16542" s="7"/>
      <c r="J16542" s="7"/>
      <c r="K16542" s="7"/>
      <c r="L16542" s="7"/>
      <c r="M16542" s="7"/>
      <c r="N16542" s="7"/>
      <c r="O16542" s="7"/>
      <c r="P16542" s="7"/>
      <c r="Q16542" s="7"/>
      <c r="R16542" s="7"/>
      <c r="S16542" s="7"/>
      <c r="T16542" s="7"/>
      <c r="U16542" s="7"/>
      <c r="V16542" s="7"/>
      <c r="W16542" s="7"/>
      <c r="X16542" s="7"/>
      <c r="Y16542" s="7"/>
      <c r="Z16542" s="7"/>
      <c r="AA16542" s="7"/>
      <c r="AB16542" s="7"/>
      <c r="AC16542" s="7"/>
      <c r="AD16542" s="7"/>
      <c r="AE16542" s="7"/>
      <c r="AF16542" s="7"/>
    </row>
    <row r="16543" spans="1:32">
      <c r="A16543" s="7"/>
      <c r="B16543" s="7"/>
      <c r="C16543" s="7"/>
      <c r="D16543" s="7"/>
      <c r="E16543" s="7"/>
      <c r="F16543" s="7"/>
      <c r="G16543" s="7"/>
      <c r="H16543" s="7"/>
      <c r="I16543" s="7"/>
      <c r="J16543" s="7"/>
      <c r="K16543" s="7"/>
      <c r="L16543" s="7"/>
      <c r="M16543" s="7"/>
      <c r="N16543" s="7"/>
      <c r="O16543" s="7"/>
      <c r="P16543" s="7"/>
      <c r="Q16543" s="7"/>
      <c r="R16543" s="7"/>
      <c r="S16543" s="7"/>
      <c r="T16543" s="7"/>
      <c r="U16543" s="7"/>
      <c r="V16543" s="7"/>
      <c r="W16543" s="7"/>
      <c r="X16543" s="7"/>
      <c r="Y16543" s="7"/>
      <c r="Z16543" s="7"/>
      <c r="AA16543" s="7"/>
      <c r="AB16543" s="7"/>
      <c r="AC16543" s="7"/>
      <c r="AD16543" s="7"/>
      <c r="AE16543" s="7"/>
      <c r="AF16543" s="7"/>
    </row>
    <row r="16544" spans="1:32">
      <c r="A16544" s="7"/>
      <c r="B16544" s="7"/>
      <c r="C16544" s="7"/>
      <c r="D16544" s="7"/>
      <c r="E16544" s="7"/>
      <c r="F16544" s="7"/>
      <c r="G16544" s="7"/>
      <c r="H16544" s="7"/>
      <c r="I16544" s="7"/>
      <c r="J16544" s="7"/>
      <c r="K16544" s="7"/>
      <c r="L16544" s="7"/>
      <c r="M16544" s="7"/>
      <c r="N16544" s="7"/>
      <c r="O16544" s="7"/>
      <c r="P16544" s="7"/>
      <c r="Q16544" s="7"/>
      <c r="R16544" s="7"/>
      <c r="S16544" s="7"/>
      <c r="T16544" s="7"/>
      <c r="U16544" s="7"/>
      <c r="V16544" s="7"/>
      <c r="W16544" s="7"/>
      <c r="X16544" s="7"/>
      <c r="Y16544" s="7"/>
      <c r="Z16544" s="7"/>
      <c r="AA16544" s="7"/>
      <c r="AB16544" s="7"/>
      <c r="AC16544" s="7"/>
      <c r="AD16544" s="7"/>
      <c r="AE16544" s="7"/>
      <c r="AF16544" s="7"/>
    </row>
    <row r="16545" spans="1:32">
      <c r="A16545" s="7"/>
      <c r="B16545" s="7"/>
      <c r="C16545" s="7"/>
      <c r="D16545" s="7"/>
      <c r="E16545" s="7"/>
      <c r="F16545" s="7"/>
      <c r="G16545" s="7"/>
      <c r="H16545" s="7"/>
      <c r="I16545" s="7"/>
      <c r="J16545" s="7"/>
      <c r="K16545" s="7"/>
      <c r="L16545" s="7"/>
      <c r="M16545" s="7"/>
      <c r="N16545" s="7"/>
      <c r="O16545" s="7"/>
      <c r="P16545" s="7"/>
      <c r="Q16545" s="7"/>
      <c r="R16545" s="7"/>
      <c r="S16545" s="7"/>
      <c r="T16545" s="7"/>
      <c r="U16545" s="7"/>
      <c r="V16545" s="7"/>
      <c r="W16545" s="7"/>
      <c r="X16545" s="7"/>
      <c r="Y16545" s="7"/>
      <c r="Z16545" s="7"/>
      <c r="AA16545" s="7"/>
      <c r="AB16545" s="7"/>
      <c r="AC16545" s="7"/>
      <c r="AD16545" s="7"/>
      <c r="AE16545" s="7"/>
      <c r="AF16545" s="7"/>
    </row>
    <row r="16546" spans="1:32">
      <c r="A16546" s="7"/>
      <c r="B16546" s="7"/>
      <c r="C16546" s="7"/>
      <c r="D16546" s="7"/>
      <c r="E16546" s="7"/>
      <c r="F16546" s="7"/>
      <c r="G16546" s="7"/>
      <c r="H16546" s="7"/>
      <c r="I16546" s="7"/>
      <c r="J16546" s="7"/>
      <c r="K16546" s="7"/>
      <c r="L16546" s="7"/>
      <c r="M16546" s="7"/>
      <c r="N16546" s="7"/>
      <c r="O16546" s="7"/>
      <c r="P16546" s="7"/>
      <c r="Q16546" s="7"/>
      <c r="R16546" s="7"/>
      <c r="S16546" s="7"/>
      <c r="T16546" s="7"/>
      <c r="U16546" s="7"/>
      <c r="V16546" s="7"/>
      <c r="W16546" s="7"/>
      <c r="X16546" s="7"/>
      <c r="Y16546" s="7"/>
      <c r="Z16546" s="7"/>
      <c r="AA16546" s="7"/>
      <c r="AB16546" s="7"/>
      <c r="AC16546" s="7"/>
      <c r="AD16546" s="7"/>
      <c r="AE16546" s="7"/>
      <c r="AF16546" s="7"/>
    </row>
    <row r="16547" spans="1:32">
      <c r="A16547" s="7"/>
      <c r="B16547" s="7"/>
      <c r="C16547" s="7"/>
      <c r="D16547" s="7"/>
      <c r="E16547" s="7"/>
      <c r="F16547" s="7"/>
      <c r="G16547" s="7"/>
      <c r="H16547" s="7"/>
      <c r="I16547" s="7"/>
      <c r="J16547" s="7"/>
      <c r="K16547" s="7"/>
      <c r="L16547" s="7"/>
      <c r="M16547" s="7"/>
      <c r="N16547" s="7"/>
      <c r="O16547" s="7"/>
      <c r="P16547" s="7"/>
      <c r="Q16547" s="7"/>
      <c r="R16547" s="7"/>
      <c r="S16547" s="7"/>
      <c r="T16547" s="7"/>
      <c r="U16547" s="7"/>
      <c r="V16547" s="7"/>
      <c r="W16547" s="7"/>
      <c r="X16547" s="7"/>
      <c r="Y16547" s="7"/>
      <c r="Z16547" s="7"/>
      <c r="AA16547" s="7"/>
      <c r="AB16547" s="7"/>
      <c r="AC16547" s="7"/>
      <c r="AD16547" s="7"/>
      <c r="AE16547" s="7"/>
      <c r="AF16547" s="7"/>
    </row>
    <row r="16548" spans="1:32">
      <c r="A16548" s="7"/>
      <c r="B16548" s="7"/>
      <c r="C16548" s="7"/>
      <c r="D16548" s="7"/>
      <c r="E16548" s="7"/>
      <c r="F16548" s="7"/>
      <c r="G16548" s="7"/>
      <c r="H16548" s="7"/>
      <c r="I16548" s="7"/>
      <c r="J16548" s="7"/>
      <c r="K16548" s="7"/>
      <c r="L16548" s="7"/>
      <c r="M16548" s="7"/>
      <c r="N16548" s="7"/>
      <c r="O16548" s="7"/>
      <c r="P16548" s="7"/>
      <c r="Q16548" s="7"/>
      <c r="R16548" s="7"/>
      <c r="S16548" s="7"/>
      <c r="T16548" s="7"/>
      <c r="U16548" s="7"/>
      <c r="V16548" s="7"/>
      <c r="W16548" s="7"/>
      <c r="X16548" s="7"/>
      <c r="Y16548" s="7"/>
      <c r="Z16548" s="7"/>
      <c r="AA16548" s="7"/>
      <c r="AB16548" s="7"/>
      <c r="AC16548" s="7"/>
      <c r="AD16548" s="7"/>
      <c r="AE16548" s="7"/>
      <c r="AF16548" s="7"/>
    </row>
    <row r="16549" spans="1:32">
      <c r="A16549" s="7"/>
      <c r="B16549" s="7"/>
      <c r="C16549" s="7"/>
      <c r="D16549" s="7"/>
      <c r="E16549" s="7"/>
      <c r="F16549" s="7"/>
      <c r="G16549" s="7"/>
      <c r="H16549" s="7"/>
      <c r="I16549" s="7"/>
      <c r="J16549" s="7"/>
      <c r="K16549" s="7"/>
      <c r="L16549" s="7"/>
      <c r="M16549" s="7"/>
      <c r="N16549" s="7"/>
      <c r="O16549" s="7"/>
      <c r="P16549" s="7"/>
      <c r="Q16549" s="7"/>
      <c r="R16549" s="7"/>
      <c r="S16549" s="7"/>
      <c r="T16549" s="7"/>
      <c r="U16549" s="7"/>
      <c r="V16549" s="7"/>
      <c r="W16549" s="7"/>
      <c r="X16549" s="7"/>
      <c r="Y16549" s="7"/>
      <c r="Z16549" s="7"/>
      <c r="AA16549" s="7"/>
      <c r="AB16549" s="7"/>
      <c r="AC16549" s="7"/>
      <c r="AD16549" s="7"/>
      <c r="AE16549" s="7"/>
      <c r="AF16549" s="7"/>
    </row>
    <row r="16550" spans="1:32">
      <c r="A16550" s="7"/>
      <c r="B16550" s="7"/>
      <c r="C16550" s="7"/>
      <c r="D16550" s="7"/>
      <c r="E16550" s="7"/>
      <c r="F16550" s="7"/>
      <c r="G16550" s="7"/>
      <c r="H16550" s="7"/>
      <c r="I16550" s="7"/>
      <c r="J16550" s="7"/>
      <c r="K16550" s="7"/>
      <c r="L16550" s="7"/>
      <c r="M16550" s="7"/>
      <c r="N16550" s="7"/>
      <c r="O16550" s="7"/>
      <c r="P16550" s="7"/>
      <c r="Q16550" s="7"/>
      <c r="R16550" s="7"/>
      <c r="S16550" s="7"/>
      <c r="T16550" s="7"/>
      <c r="U16550" s="7"/>
      <c r="V16550" s="7"/>
      <c r="W16550" s="7"/>
      <c r="X16550" s="7"/>
      <c r="Y16550" s="7"/>
      <c r="Z16550" s="7"/>
      <c r="AA16550" s="7"/>
      <c r="AB16550" s="7"/>
      <c r="AC16550" s="7"/>
      <c r="AD16550" s="7"/>
      <c r="AE16550" s="7"/>
      <c r="AF16550" s="7"/>
    </row>
    <row r="16551" spans="1:32">
      <c r="A16551" s="7"/>
      <c r="B16551" s="7"/>
      <c r="C16551" s="7"/>
      <c r="D16551" s="7"/>
      <c r="E16551" s="7"/>
      <c r="F16551" s="7"/>
      <c r="G16551" s="7"/>
      <c r="H16551" s="7"/>
      <c r="I16551" s="7"/>
      <c r="J16551" s="7"/>
      <c r="K16551" s="7"/>
      <c r="L16551" s="7"/>
      <c r="M16551" s="7"/>
      <c r="N16551" s="7"/>
      <c r="O16551" s="7"/>
      <c r="P16551" s="7"/>
      <c r="Q16551" s="7"/>
      <c r="R16551" s="7"/>
      <c r="S16551" s="7"/>
      <c r="T16551" s="7"/>
      <c r="U16551" s="7"/>
      <c r="V16551" s="7"/>
      <c r="W16551" s="7"/>
      <c r="X16551" s="7"/>
      <c r="Y16551" s="7"/>
      <c r="Z16551" s="7"/>
      <c r="AA16551" s="7"/>
      <c r="AB16551" s="7"/>
      <c r="AC16551" s="7"/>
      <c r="AD16551" s="7"/>
      <c r="AE16551" s="7"/>
      <c r="AF16551" s="7"/>
    </row>
    <row r="16552" spans="1:32">
      <c r="A16552" s="7"/>
      <c r="B16552" s="7"/>
      <c r="C16552" s="7"/>
      <c r="D16552" s="7"/>
      <c r="E16552" s="7"/>
      <c r="F16552" s="7"/>
      <c r="G16552" s="7"/>
      <c r="H16552" s="7"/>
      <c r="I16552" s="7"/>
      <c r="J16552" s="7"/>
      <c r="K16552" s="7"/>
      <c r="L16552" s="7"/>
      <c r="M16552" s="7"/>
      <c r="N16552" s="7"/>
      <c r="O16552" s="7"/>
      <c r="P16552" s="7"/>
      <c r="Q16552" s="7"/>
      <c r="R16552" s="7"/>
      <c r="S16552" s="7"/>
      <c r="T16552" s="7"/>
      <c r="U16552" s="7"/>
      <c r="V16552" s="7"/>
      <c r="W16552" s="7"/>
      <c r="X16552" s="7"/>
      <c r="Y16552" s="7"/>
      <c r="Z16552" s="7"/>
      <c r="AA16552" s="7"/>
      <c r="AB16552" s="7"/>
      <c r="AC16552" s="7"/>
      <c r="AD16552" s="7"/>
      <c r="AE16552" s="7"/>
      <c r="AF16552" s="7"/>
    </row>
    <row r="16553" spans="1:32">
      <c r="A16553" s="7"/>
      <c r="B16553" s="7"/>
      <c r="C16553" s="7"/>
      <c r="D16553" s="7"/>
      <c r="E16553" s="7"/>
      <c r="F16553" s="7"/>
      <c r="G16553" s="7"/>
      <c r="H16553" s="7"/>
      <c r="I16553" s="7"/>
      <c r="J16553" s="7"/>
      <c r="K16553" s="7"/>
      <c r="L16553" s="7"/>
      <c r="M16553" s="7"/>
      <c r="N16553" s="7"/>
      <c r="O16553" s="7"/>
      <c r="P16553" s="7"/>
      <c r="Q16553" s="7"/>
      <c r="R16553" s="7"/>
      <c r="S16553" s="7"/>
      <c r="T16553" s="7"/>
      <c r="U16553" s="7"/>
      <c r="V16553" s="7"/>
      <c r="W16553" s="7"/>
      <c r="X16553" s="7"/>
      <c r="Y16553" s="7"/>
      <c r="Z16553" s="7"/>
      <c r="AA16553" s="7"/>
      <c r="AB16553" s="7"/>
      <c r="AC16553" s="7"/>
      <c r="AD16553" s="7"/>
      <c r="AE16553" s="7"/>
      <c r="AF16553" s="7"/>
    </row>
    <row r="16554" spans="1:32">
      <c r="A16554" s="7"/>
      <c r="B16554" s="7"/>
      <c r="C16554" s="7"/>
      <c r="D16554" s="7"/>
      <c r="E16554" s="7"/>
      <c r="F16554" s="7"/>
      <c r="G16554" s="7"/>
      <c r="H16554" s="7"/>
      <c r="I16554" s="7"/>
      <c r="J16554" s="7"/>
      <c r="K16554" s="7"/>
      <c r="L16554" s="7"/>
      <c r="M16554" s="7"/>
      <c r="N16554" s="7"/>
      <c r="O16554" s="7"/>
      <c r="P16554" s="7"/>
      <c r="Q16554" s="7"/>
      <c r="R16554" s="7"/>
      <c r="S16554" s="7"/>
      <c r="T16554" s="7"/>
      <c r="U16554" s="7"/>
      <c r="V16554" s="7"/>
      <c r="W16554" s="7"/>
      <c r="X16554" s="7"/>
      <c r="Y16554" s="7"/>
      <c r="Z16554" s="7"/>
      <c r="AA16554" s="7"/>
      <c r="AB16554" s="7"/>
      <c r="AC16554" s="7"/>
      <c r="AD16554" s="7"/>
      <c r="AE16554" s="7"/>
      <c r="AF16554" s="7"/>
    </row>
    <row r="16555" spans="1:32">
      <c r="A16555" s="7"/>
      <c r="B16555" s="7"/>
      <c r="C16555" s="7"/>
      <c r="D16555" s="7"/>
      <c r="E16555" s="7"/>
      <c r="F16555" s="7"/>
      <c r="G16555" s="7"/>
      <c r="H16555" s="7"/>
      <c r="I16555" s="7"/>
      <c r="J16555" s="7"/>
      <c r="K16555" s="7"/>
      <c r="L16555" s="7"/>
      <c r="M16555" s="7"/>
      <c r="N16555" s="7"/>
      <c r="O16555" s="7"/>
      <c r="P16555" s="7"/>
      <c r="Q16555" s="7"/>
      <c r="R16555" s="7"/>
      <c r="S16555" s="7"/>
      <c r="T16555" s="7"/>
      <c r="U16555" s="7"/>
      <c r="V16555" s="7"/>
      <c r="W16555" s="7"/>
      <c r="X16555" s="7"/>
      <c r="Y16555" s="7"/>
      <c r="Z16555" s="7"/>
      <c r="AA16555" s="7"/>
      <c r="AB16555" s="7"/>
      <c r="AC16555" s="7"/>
      <c r="AD16555" s="7"/>
      <c r="AE16555" s="7"/>
      <c r="AF16555" s="7"/>
    </row>
    <row r="16556" spans="1:32">
      <c r="A16556" s="7"/>
      <c r="B16556" s="7"/>
      <c r="C16556" s="7"/>
      <c r="D16556" s="7"/>
      <c r="E16556" s="7"/>
      <c r="F16556" s="7"/>
      <c r="G16556" s="7"/>
      <c r="H16556" s="7"/>
      <c r="I16556" s="7"/>
      <c r="J16556" s="7"/>
      <c r="K16556" s="7"/>
      <c r="L16556" s="7"/>
      <c r="M16556" s="7"/>
      <c r="N16556" s="7"/>
      <c r="O16556" s="7"/>
      <c r="P16556" s="7"/>
      <c r="Q16556" s="7"/>
      <c r="R16556" s="7"/>
      <c r="S16556" s="7"/>
      <c r="T16556" s="7"/>
      <c r="U16556" s="7"/>
      <c r="V16556" s="7"/>
      <c r="W16556" s="7"/>
      <c r="X16556" s="7"/>
      <c r="Y16556" s="7"/>
      <c r="Z16556" s="7"/>
      <c r="AA16556" s="7"/>
      <c r="AB16556" s="7"/>
      <c r="AC16556" s="7"/>
      <c r="AD16556" s="7"/>
      <c r="AE16556" s="7"/>
      <c r="AF16556" s="7"/>
    </row>
    <row r="16557" spans="1:32">
      <c r="A16557" s="7"/>
      <c r="B16557" s="7"/>
      <c r="C16557" s="7"/>
      <c r="D16557" s="7"/>
      <c r="E16557" s="7"/>
      <c r="F16557" s="7"/>
      <c r="G16557" s="7"/>
      <c r="H16557" s="7"/>
      <c r="I16557" s="7"/>
      <c r="J16557" s="7"/>
      <c r="K16557" s="7"/>
      <c r="L16557" s="7"/>
      <c r="M16557" s="7"/>
      <c r="N16557" s="7"/>
      <c r="O16557" s="7"/>
      <c r="P16557" s="7"/>
      <c r="Q16557" s="7"/>
      <c r="R16557" s="7"/>
      <c r="S16557" s="7"/>
      <c r="T16557" s="7"/>
      <c r="U16557" s="7"/>
      <c r="V16557" s="7"/>
      <c r="W16557" s="7"/>
      <c r="X16557" s="7"/>
      <c r="Y16557" s="7"/>
      <c r="Z16557" s="7"/>
      <c r="AA16557" s="7"/>
      <c r="AB16557" s="7"/>
      <c r="AC16557" s="7"/>
      <c r="AD16557" s="7"/>
      <c r="AE16557" s="7"/>
      <c r="AF16557" s="7"/>
    </row>
    <row r="16558" spans="1:32">
      <c r="A16558" s="7"/>
      <c r="B16558" s="7"/>
      <c r="C16558" s="7"/>
      <c r="D16558" s="7"/>
      <c r="E16558" s="7"/>
      <c r="F16558" s="7"/>
      <c r="G16558" s="7"/>
      <c r="H16558" s="7"/>
      <c r="I16558" s="7"/>
      <c r="J16558" s="7"/>
      <c r="K16558" s="7"/>
      <c r="L16558" s="7"/>
      <c r="M16558" s="7"/>
      <c r="N16558" s="7"/>
      <c r="O16558" s="7"/>
      <c r="P16558" s="7"/>
      <c r="Q16558" s="7"/>
      <c r="R16558" s="7"/>
      <c r="S16558" s="7"/>
      <c r="T16558" s="7"/>
      <c r="U16558" s="7"/>
      <c r="V16558" s="7"/>
      <c r="W16558" s="7"/>
      <c r="X16558" s="7"/>
      <c r="Y16558" s="7"/>
      <c r="Z16558" s="7"/>
      <c r="AA16558" s="7"/>
      <c r="AB16558" s="7"/>
      <c r="AC16558" s="7"/>
      <c r="AD16558" s="7"/>
      <c r="AE16558" s="7"/>
      <c r="AF16558" s="7"/>
    </row>
    <row r="16559" spans="1:32">
      <c r="A16559" s="7"/>
      <c r="B16559" s="7"/>
      <c r="C16559" s="7"/>
      <c r="D16559" s="7"/>
      <c r="E16559" s="7"/>
      <c r="F16559" s="7"/>
      <c r="G16559" s="7"/>
      <c r="H16559" s="7"/>
      <c r="I16559" s="7"/>
      <c r="J16559" s="7"/>
      <c r="K16559" s="7"/>
      <c r="L16559" s="7"/>
      <c r="M16559" s="7"/>
      <c r="N16559" s="7"/>
      <c r="O16559" s="7"/>
      <c r="P16559" s="7"/>
      <c r="Q16559" s="7"/>
      <c r="R16559" s="7"/>
      <c r="S16559" s="7"/>
      <c r="T16559" s="7"/>
      <c r="U16559" s="7"/>
      <c r="V16559" s="7"/>
      <c r="W16559" s="7"/>
      <c r="X16559" s="7"/>
      <c r="Y16559" s="7"/>
      <c r="Z16559" s="7"/>
      <c r="AA16559" s="7"/>
      <c r="AB16559" s="7"/>
      <c r="AC16559" s="7"/>
      <c r="AD16559" s="7"/>
      <c r="AE16559" s="7"/>
      <c r="AF16559" s="7"/>
    </row>
    <row r="16560" spans="1:32">
      <c r="A16560" s="7"/>
      <c r="B16560" s="7"/>
      <c r="C16560" s="7"/>
      <c r="D16560" s="7"/>
      <c r="E16560" s="7"/>
      <c r="F16560" s="7"/>
      <c r="G16560" s="7"/>
      <c r="H16560" s="7"/>
      <c r="I16560" s="7"/>
      <c r="J16560" s="7"/>
      <c r="K16560" s="7"/>
      <c r="L16560" s="7"/>
      <c r="M16560" s="7"/>
      <c r="N16560" s="7"/>
      <c r="O16560" s="7"/>
      <c r="P16560" s="7"/>
      <c r="Q16560" s="7"/>
      <c r="R16560" s="7"/>
      <c r="S16560" s="7"/>
      <c r="T16560" s="7"/>
      <c r="U16560" s="7"/>
      <c r="V16560" s="7"/>
      <c r="W16560" s="7"/>
      <c r="X16560" s="7"/>
      <c r="Y16560" s="7"/>
      <c r="Z16560" s="7"/>
      <c r="AA16560" s="7"/>
      <c r="AB16560" s="7"/>
      <c r="AC16560" s="7"/>
      <c r="AD16560" s="7"/>
      <c r="AE16560" s="7"/>
      <c r="AF16560" s="7"/>
    </row>
    <row r="16561" spans="1:32">
      <c r="A16561" s="7"/>
      <c r="B16561" s="7"/>
      <c r="C16561" s="7"/>
      <c r="D16561" s="7"/>
      <c r="E16561" s="7"/>
      <c r="F16561" s="7"/>
      <c r="G16561" s="7"/>
      <c r="H16561" s="7"/>
      <c r="I16561" s="7"/>
      <c r="J16561" s="7"/>
      <c r="K16561" s="7"/>
      <c r="L16561" s="7"/>
      <c r="M16561" s="7"/>
      <c r="N16561" s="7"/>
      <c r="O16561" s="7"/>
      <c r="P16561" s="7"/>
      <c r="Q16561" s="7"/>
      <c r="R16561" s="7"/>
      <c r="S16561" s="7"/>
      <c r="T16561" s="7"/>
      <c r="U16561" s="7"/>
      <c r="V16561" s="7"/>
      <c r="W16561" s="7"/>
      <c r="X16561" s="7"/>
      <c r="Y16561" s="7"/>
      <c r="Z16561" s="7"/>
      <c r="AA16561" s="7"/>
      <c r="AB16561" s="7"/>
      <c r="AC16561" s="7"/>
      <c r="AD16561" s="7"/>
      <c r="AE16561" s="7"/>
      <c r="AF16561" s="7"/>
    </row>
    <row r="16562" spans="1:32">
      <c r="A16562" s="7"/>
      <c r="B16562" s="7"/>
      <c r="C16562" s="7"/>
      <c r="D16562" s="7"/>
      <c r="E16562" s="7"/>
      <c r="F16562" s="7"/>
      <c r="G16562" s="7"/>
      <c r="H16562" s="7"/>
      <c r="I16562" s="7"/>
      <c r="J16562" s="7"/>
      <c r="K16562" s="7"/>
      <c r="L16562" s="7"/>
      <c r="M16562" s="7"/>
      <c r="N16562" s="7"/>
      <c r="O16562" s="7"/>
      <c r="P16562" s="7"/>
      <c r="Q16562" s="7"/>
      <c r="R16562" s="7"/>
      <c r="S16562" s="7"/>
      <c r="T16562" s="7"/>
      <c r="U16562" s="7"/>
      <c r="V16562" s="7"/>
      <c r="W16562" s="7"/>
      <c r="X16562" s="7"/>
      <c r="Y16562" s="7"/>
      <c r="Z16562" s="7"/>
      <c r="AA16562" s="7"/>
      <c r="AB16562" s="7"/>
      <c r="AC16562" s="7"/>
      <c r="AD16562" s="7"/>
      <c r="AE16562" s="7"/>
      <c r="AF16562" s="7"/>
    </row>
    <row r="16563" spans="1:32">
      <c r="A16563" s="7"/>
      <c r="B16563" s="7"/>
      <c r="C16563" s="7"/>
      <c r="D16563" s="7"/>
      <c r="E16563" s="7"/>
      <c r="F16563" s="7"/>
      <c r="G16563" s="7"/>
      <c r="H16563" s="7"/>
      <c r="I16563" s="7"/>
      <c r="J16563" s="7"/>
      <c r="K16563" s="7"/>
      <c r="L16563" s="7"/>
      <c r="M16563" s="7"/>
      <c r="N16563" s="7"/>
      <c r="O16563" s="7"/>
      <c r="P16563" s="7"/>
      <c r="Q16563" s="7"/>
      <c r="R16563" s="7"/>
      <c r="S16563" s="7"/>
      <c r="T16563" s="7"/>
      <c r="U16563" s="7"/>
      <c r="V16563" s="7"/>
      <c r="W16563" s="7"/>
      <c r="X16563" s="7"/>
      <c r="Y16563" s="7"/>
      <c r="Z16563" s="7"/>
      <c r="AA16563" s="7"/>
      <c r="AB16563" s="7"/>
      <c r="AC16563" s="7"/>
      <c r="AD16563" s="7"/>
      <c r="AE16563" s="7"/>
      <c r="AF16563" s="7"/>
    </row>
    <row r="16564" spans="1:32">
      <c r="A16564" s="7"/>
      <c r="B16564" s="7"/>
      <c r="C16564" s="7"/>
      <c r="D16564" s="7"/>
      <c r="E16564" s="7"/>
      <c r="F16564" s="7"/>
      <c r="G16564" s="7"/>
      <c r="H16564" s="7"/>
      <c r="I16564" s="7"/>
      <c r="J16564" s="7"/>
      <c r="K16564" s="7"/>
      <c r="L16564" s="7"/>
      <c r="M16564" s="7"/>
      <c r="N16564" s="7"/>
      <c r="O16564" s="7"/>
      <c r="P16564" s="7"/>
      <c r="Q16564" s="7"/>
      <c r="R16564" s="7"/>
      <c r="S16564" s="7"/>
      <c r="T16564" s="7"/>
      <c r="U16564" s="7"/>
      <c r="V16564" s="7"/>
      <c r="W16564" s="7"/>
      <c r="X16564" s="7"/>
      <c r="Y16564" s="7"/>
      <c r="Z16564" s="7"/>
      <c r="AA16564" s="7"/>
      <c r="AB16564" s="7"/>
      <c r="AC16564" s="7"/>
      <c r="AD16564" s="7"/>
      <c r="AE16564" s="7"/>
      <c r="AF16564" s="7"/>
    </row>
    <row r="16565" spans="1:32">
      <c r="A16565" s="7"/>
      <c r="B16565" s="7"/>
      <c r="C16565" s="7"/>
      <c r="D16565" s="7"/>
      <c r="E16565" s="7"/>
      <c r="F16565" s="7"/>
      <c r="G16565" s="7"/>
      <c r="H16565" s="7"/>
      <c r="I16565" s="7"/>
      <c r="J16565" s="7"/>
      <c r="K16565" s="7"/>
      <c r="L16565" s="7"/>
      <c r="M16565" s="7"/>
      <c r="N16565" s="7"/>
      <c r="O16565" s="7"/>
      <c r="P16565" s="7"/>
      <c r="Q16565" s="7"/>
      <c r="R16565" s="7"/>
      <c r="S16565" s="7"/>
      <c r="T16565" s="7"/>
      <c r="U16565" s="7"/>
      <c r="V16565" s="7"/>
      <c r="W16565" s="7"/>
      <c r="X16565" s="7"/>
      <c r="Y16565" s="7"/>
      <c r="Z16565" s="7"/>
      <c r="AA16565" s="7"/>
      <c r="AB16565" s="7"/>
      <c r="AC16565" s="7"/>
      <c r="AD16565" s="7"/>
      <c r="AE16565" s="7"/>
      <c r="AF16565" s="7"/>
    </row>
    <row r="16566" spans="1:32">
      <c r="A16566" s="7"/>
      <c r="B16566" s="7"/>
      <c r="C16566" s="7"/>
      <c r="D16566" s="7"/>
      <c r="E16566" s="7"/>
      <c r="F16566" s="7"/>
      <c r="G16566" s="7"/>
      <c r="H16566" s="7"/>
      <c r="I16566" s="7"/>
      <c r="J16566" s="7"/>
      <c r="K16566" s="7"/>
      <c r="L16566" s="7"/>
      <c r="M16566" s="7"/>
      <c r="N16566" s="7"/>
      <c r="O16566" s="7"/>
      <c r="P16566" s="7"/>
      <c r="Q16566" s="7"/>
      <c r="R16566" s="7"/>
      <c r="S16566" s="7"/>
      <c r="T16566" s="7"/>
      <c r="U16566" s="7"/>
      <c r="V16566" s="7"/>
      <c r="W16566" s="7"/>
      <c r="X16566" s="7"/>
      <c r="Y16566" s="7"/>
      <c r="Z16566" s="7"/>
      <c r="AA16566" s="7"/>
      <c r="AB16566" s="7"/>
      <c r="AC16566" s="7"/>
      <c r="AD16566" s="7"/>
      <c r="AE16566" s="7"/>
      <c r="AF16566" s="7"/>
    </row>
    <row r="16567" spans="1:32">
      <c r="A16567" s="7"/>
      <c r="B16567" s="7"/>
      <c r="C16567" s="7"/>
      <c r="D16567" s="7"/>
      <c r="E16567" s="7"/>
      <c r="F16567" s="7"/>
      <c r="G16567" s="7"/>
      <c r="H16567" s="7"/>
      <c r="I16567" s="7"/>
      <c r="J16567" s="7"/>
      <c r="K16567" s="7"/>
      <c r="L16567" s="7"/>
      <c r="M16567" s="7"/>
      <c r="N16567" s="7"/>
      <c r="O16567" s="7"/>
      <c r="P16567" s="7"/>
      <c r="Q16567" s="7"/>
      <c r="R16567" s="7"/>
      <c r="S16567" s="7"/>
      <c r="T16567" s="7"/>
      <c r="U16567" s="7"/>
      <c r="V16567" s="7"/>
      <c r="W16567" s="7"/>
      <c r="X16567" s="7"/>
      <c r="Y16567" s="7"/>
      <c r="Z16567" s="7"/>
      <c r="AA16567" s="7"/>
      <c r="AB16567" s="7"/>
      <c r="AC16567" s="7"/>
      <c r="AD16567" s="7"/>
      <c r="AE16567" s="7"/>
      <c r="AF16567" s="7"/>
    </row>
    <row r="16568" spans="1:32">
      <c r="A16568" s="7"/>
      <c r="B16568" s="7"/>
      <c r="C16568" s="7"/>
      <c r="D16568" s="7"/>
      <c r="E16568" s="7"/>
      <c r="F16568" s="7"/>
      <c r="G16568" s="7"/>
      <c r="H16568" s="7"/>
      <c r="I16568" s="7"/>
      <c r="J16568" s="7"/>
      <c r="K16568" s="7"/>
      <c r="L16568" s="7"/>
      <c r="M16568" s="7"/>
      <c r="N16568" s="7"/>
      <c r="O16568" s="7"/>
      <c r="P16568" s="7"/>
      <c r="Q16568" s="7"/>
      <c r="R16568" s="7"/>
      <c r="S16568" s="7"/>
      <c r="T16568" s="7"/>
      <c r="U16568" s="7"/>
      <c r="V16568" s="7"/>
      <c r="W16568" s="7"/>
      <c r="X16568" s="7"/>
      <c r="Y16568" s="7"/>
      <c r="Z16568" s="7"/>
      <c r="AA16568" s="7"/>
      <c r="AB16568" s="7"/>
      <c r="AC16568" s="7"/>
      <c r="AD16568" s="7"/>
      <c r="AE16568" s="7"/>
      <c r="AF16568" s="7"/>
    </row>
    <row r="16569" spans="1:32">
      <c r="A16569" s="7"/>
      <c r="B16569" s="7"/>
      <c r="C16569" s="7"/>
      <c r="D16569" s="7"/>
      <c r="E16569" s="7"/>
      <c r="F16569" s="7"/>
      <c r="G16569" s="7"/>
      <c r="H16569" s="7"/>
      <c r="I16569" s="7"/>
      <c r="J16569" s="7"/>
      <c r="K16569" s="7"/>
      <c r="L16569" s="7"/>
      <c r="M16569" s="7"/>
      <c r="N16569" s="7"/>
      <c r="O16569" s="7"/>
      <c r="P16569" s="7"/>
      <c r="Q16569" s="7"/>
      <c r="R16569" s="7"/>
      <c r="S16569" s="7"/>
      <c r="T16569" s="7"/>
      <c r="U16569" s="7"/>
      <c r="V16569" s="7"/>
      <c r="W16569" s="7"/>
      <c r="X16569" s="7"/>
      <c r="Y16569" s="7"/>
      <c r="Z16569" s="7"/>
      <c r="AA16569" s="7"/>
      <c r="AB16569" s="7"/>
      <c r="AC16569" s="7"/>
      <c r="AD16569" s="7"/>
      <c r="AE16569" s="7"/>
      <c r="AF16569" s="7"/>
    </row>
    <row r="16570" spans="1:32">
      <c r="A16570" s="7"/>
      <c r="B16570" s="7"/>
      <c r="C16570" s="7"/>
      <c r="D16570" s="7"/>
      <c r="E16570" s="7"/>
      <c r="F16570" s="7"/>
      <c r="G16570" s="7"/>
      <c r="H16570" s="7"/>
      <c r="I16570" s="7"/>
      <c r="J16570" s="7"/>
      <c r="K16570" s="7"/>
      <c r="L16570" s="7"/>
      <c r="M16570" s="7"/>
      <c r="N16570" s="7"/>
      <c r="O16570" s="7"/>
      <c r="P16570" s="7"/>
      <c r="Q16570" s="7"/>
      <c r="R16570" s="7"/>
      <c r="S16570" s="7"/>
      <c r="T16570" s="7"/>
      <c r="U16570" s="7"/>
      <c r="V16570" s="7"/>
      <c r="W16570" s="7"/>
      <c r="X16570" s="7"/>
      <c r="Y16570" s="7"/>
      <c r="Z16570" s="7"/>
      <c r="AA16570" s="7"/>
      <c r="AB16570" s="7"/>
      <c r="AC16570" s="7"/>
      <c r="AD16570" s="7"/>
      <c r="AE16570" s="7"/>
      <c r="AF16570" s="7"/>
    </row>
    <row r="16571" spans="1:32">
      <c r="A16571" s="7"/>
      <c r="B16571" s="7"/>
      <c r="C16571" s="7"/>
      <c r="D16571" s="7"/>
      <c r="E16571" s="7"/>
      <c r="F16571" s="7"/>
      <c r="G16571" s="7"/>
      <c r="H16571" s="7"/>
      <c r="I16571" s="7"/>
      <c r="J16571" s="7"/>
      <c r="K16571" s="7"/>
      <c r="L16571" s="7"/>
      <c r="M16571" s="7"/>
      <c r="N16571" s="7"/>
      <c r="O16571" s="7"/>
      <c r="P16571" s="7"/>
      <c r="Q16571" s="7"/>
      <c r="R16571" s="7"/>
      <c r="S16571" s="7"/>
      <c r="T16571" s="7"/>
      <c r="U16571" s="7"/>
      <c r="V16571" s="7"/>
      <c r="W16571" s="7"/>
      <c r="X16571" s="7"/>
      <c r="Y16571" s="7"/>
      <c r="Z16571" s="7"/>
      <c r="AA16571" s="7"/>
      <c r="AB16571" s="7"/>
      <c r="AC16571" s="7"/>
      <c r="AD16571" s="7"/>
      <c r="AE16571" s="7"/>
      <c r="AF16571" s="7"/>
    </row>
    <row r="16572" spans="1:32">
      <c r="A16572" s="7"/>
      <c r="B16572" s="7"/>
      <c r="C16572" s="7"/>
      <c r="D16572" s="7"/>
      <c r="E16572" s="7"/>
      <c r="F16572" s="7"/>
      <c r="G16572" s="7"/>
      <c r="H16572" s="7"/>
      <c r="I16572" s="7"/>
      <c r="J16572" s="7"/>
      <c r="K16572" s="7"/>
      <c r="L16572" s="7"/>
      <c r="M16572" s="7"/>
      <c r="N16572" s="7"/>
      <c r="O16572" s="7"/>
      <c r="P16572" s="7"/>
      <c r="Q16572" s="7"/>
      <c r="R16572" s="7"/>
      <c r="S16572" s="7"/>
      <c r="T16572" s="7"/>
      <c r="U16572" s="7"/>
      <c r="V16572" s="7"/>
      <c r="W16572" s="7"/>
      <c r="X16572" s="7"/>
      <c r="Y16572" s="7"/>
      <c r="Z16572" s="7"/>
      <c r="AA16572" s="7"/>
      <c r="AB16572" s="7"/>
      <c r="AC16572" s="7"/>
      <c r="AD16572" s="7"/>
      <c r="AE16572" s="7"/>
      <c r="AF16572" s="7"/>
    </row>
    <row r="16573" spans="1:32">
      <c r="A16573" s="7"/>
      <c r="B16573" s="7"/>
      <c r="C16573" s="7"/>
      <c r="D16573" s="7"/>
      <c r="E16573" s="7"/>
      <c r="F16573" s="7"/>
      <c r="G16573" s="7"/>
      <c r="H16573" s="7"/>
      <c r="I16573" s="7"/>
      <c r="J16573" s="7"/>
      <c r="K16573" s="7"/>
      <c r="L16573" s="7"/>
      <c r="M16573" s="7"/>
      <c r="N16573" s="7"/>
      <c r="O16573" s="7"/>
      <c r="P16573" s="7"/>
      <c r="Q16573" s="7"/>
      <c r="R16573" s="7"/>
      <c r="S16573" s="7"/>
      <c r="T16573" s="7"/>
      <c r="U16573" s="7"/>
      <c r="V16573" s="7"/>
      <c r="W16573" s="7"/>
      <c r="X16573" s="7"/>
      <c r="Y16573" s="7"/>
      <c r="Z16573" s="7"/>
      <c r="AA16573" s="7"/>
      <c r="AB16573" s="7"/>
      <c r="AC16573" s="7"/>
      <c r="AD16573" s="7"/>
      <c r="AE16573" s="7"/>
      <c r="AF16573" s="7"/>
    </row>
    <row r="16574" spans="1:32">
      <c r="A16574" s="7"/>
      <c r="B16574" s="7"/>
      <c r="C16574" s="7"/>
      <c r="D16574" s="7"/>
      <c r="E16574" s="7"/>
      <c r="F16574" s="7"/>
      <c r="G16574" s="7"/>
      <c r="H16574" s="7"/>
      <c r="I16574" s="7"/>
      <c r="J16574" s="7"/>
      <c r="K16574" s="7"/>
      <c r="L16574" s="7"/>
      <c r="M16574" s="7"/>
      <c r="N16574" s="7"/>
      <c r="O16574" s="7"/>
      <c r="P16574" s="7"/>
      <c r="Q16574" s="7"/>
      <c r="R16574" s="7"/>
      <c r="S16574" s="7"/>
      <c r="T16574" s="7"/>
      <c r="U16574" s="7"/>
      <c r="V16574" s="7"/>
      <c r="W16574" s="7"/>
      <c r="X16574" s="7"/>
      <c r="Y16574" s="7"/>
      <c r="Z16574" s="7"/>
      <c r="AA16574" s="7"/>
      <c r="AB16574" s="7"/>
      <c r="AC16574" s="7"/>
      <c r="AD16574" s="7"/>
      <c r="AE16574" s="7"/>
      <c r="AF16574" s="7"/>
    </row>
    <row r="16575" spans="1:32">
      <c r="A16575" s="7"/>
      <c r="B16575" s="7"/>
      <c r="C16575" s="7"/>
      <c r="D16575" s="7"/>
      <c r="E16575" s="7"/>
      <c r="F16575" s="7"/>
      <c r="G16575" s="7"/>
      <c r="H16575" s="7"/>
      <c r="I16575" s="7"/>
      <c r="J16575" s="7"/>
      <c r="K16575" s="7"/>
      <c r="L16575" s="7"/>
      <c r="M16575" s="7"/>
      <c r="N16575" s="7"/>
      <c r="O16575" s="7"/>
      <c r="P16575" s="7"/>
      <c r="Q16575" s="7"/>
      <c r="R16575" s="7"/>
      <c r="S16575" s="7"/>
      <c r="T16575" s="7"/>
      <c r="U16575" s="7"/>
      <c r="V16575" s="7"/>
      <c r="W16575" s="7"/>
      <c r="X16575" s="7"/>
      <c r="Y16575" s="7"/>
      <c r="Z16575" s="7"/>
      <c r="AA16575" s="7"/>
      <c r="AB16575" s="7"/>
      <c r="AC16575" s="7"/>
      <c r="AD16575" s="7"/>
      <c r="AE16575" s="7"/>
      <c r="AF16575" s="7"/>
    </row>
    <row r="16576" spans="1:32">
      <c r="A16576" s="7"/>
      <c r="B16576" s="7"/>
      <c r="C16576" s="7"/>
      <c r="D16576" s="7"/>
      <c r="E16576" s="7"/>
      <c r="F16576" s="7"/>
      <c r="G16576" s="7"/>
      <c r="H16576" s="7"/>
      <c r="I16576" s="7"/>
      <c r="J16576" s="7"/>
      <c r="K16576" s="7"/>
      <c r="L16576" s="7"/>
      <c r="M16576" s="7"/>
      <c r="N16576" s="7"/>
      <c r="O16576" s="7"/>
      <c r="P16576" s="7"/>
      <c r="Q16576" s="7"/>
      <c r="R16576" s="7"/>
      <c r="S16576" s="7"/>
      <c r="T16576" s="7"/>
      <c r="U16576" s="7"/>
      <c r="V16576" s="7"/>
      <c r="W16576" s="7"/>
      <c r="X16576" s="7"/>
      <c r="Y16576" s="7"/>
      <c r="Z16576" s="7"/>
      <c r="AA16576" s="7"/>
      <c r="AB16576" s="7"/>
      <c r="AC16576" s="7"/>
      <c r="AD16576" s="7"/>
      <c r="AE16576" s="7"/>
      <c r="AF16576" s="7"/>
    </row>
    <row r="16577" spans="1:32">
      <c r="A16577" s="7"/>
      <c r="B16577" s="7"/>
      <c r="C16577" s="7"/>
      <c r="D16577" s="7"/>
      <c r="E16577" s="7"/>
      <c r="F16577" s="7"/>
      <c r="G16577" s="7"/>
      <c r="H16577" s="7"/>
      <c r="I16577" s="7"/>
      <c r="J16577" s="7"/>
      <c r="K16577" s="7"/>
      <c r="L16577" s="7"/>
      <c r="M16577" s="7"/>
      <c r="N16577" s="7"/>
      <c r="O16577" s="7"/>
      <c r="P16577" s="7"/>
      <c r="Q16577" s="7"/>
      <c r="R16577" s="7"/>
      <c r="S16577" s="7"/>
      <c r="T16577" s="7"/>
      <c r="U16577" s="7"/>
      <c r="V16577" s="7"/>
      <c r="W16577" s="7"/>
      <c r="X16577" s="7"/>
      <c r="Y16577" s="7"/>
      <c r="Z16577" s="7"/>
      <c r="AA16577" s="7"/>
      <c r="AB16577" s="7"/>
      <c r="AC16577" s="7"/>
      <c r="AD16577" s="7"/>
      <c r="AE16577" s="7"/>
      <c r="AF16577" s="7"/>
    </row>
    <row r="16578" spans="1:32">
      <c r="A16578" s="7"/>
      <c r="B16578" s="7"/>
      <c r="C16578" s="7"/>
      <c r="D16578" s="7"/>
      <c r="E16578" s="7"/>
      <c r="F16578" s="7"/>
      <c r="G16578" s="7"/>
      <c r="H16578" s="7"/>
      <c r="I16578" s="7"/>
      <c r="J16578" s="7"/>
      <c r="K16578" s="7"/>
      <c r="L16578" s="7"/>
      <c r="M16578" s="7"/>
      <c r="N16578" s="7"/>
      <c r="O16578" s="7"/>
      <c r="P16578" s="7"/>
      <c r="Q16578" s="7"/>
      <c r="R16578" s="7"/>
      <c r="S16578" s="7"/>
      <c r="T16578" s="7"/>
      <c r="U16578" s="7"/>
      <c r="V16578" s="7"/>
      <c r="W16578" s="7"/>
      <c r="X16578" s="7"/>
      <c r="Y16578" s="7"/>
      <c r="Z16578" s="7"/>
      <c r="AA16578" s="7"/>
      <c r="AB16578" s="7"/>
      <c r="AC16578" s="7"/>
      <c r="AD16578" s="7"/>
      <c r="AE16578" s="7"/>
      <c r="AF16578" s="7"/>
    </row>
    <row r="16579" spans="1:32">
      <c r="A16579" s="7"/>
      <c r="B16579" s="7"/>
      <c r="C16579" s="7"/>
      <c r="D16579" s="7"/>
      <c r="E16579" s="7"/>
      <c r="F16579" s="7"/>
      <c r="G16579" s="7"/>
      <c r="H16579" s="7"/>
      <c r="I16579" s="7"/>
      <c r="J16579" s="7"/>
      <c r="K16579" s="7"/>
      <c r="L16579" s="7"/>
      <c r="M16579" s="7"/>
      <c r="N16579" s="7"/>
      <c r="O16579" s="7"/>
      <c r="P16579" s="7"/>
      <c r="Q16579" s="7"/>
      <c r="R16579" s="7"/>
      <c r="S16579" s="7"/>
      <c r="T16579" s="7"/>
      <c r="U16579" s="7"/>
      <c r="V16579" s="7"/>
      <c r="W16579" s="7"/>
      <c r="X16579" s="7"/>
      <c r="Y16579" s="7"/>
      <c r="Z16579" s="7"/>
      <c r="AA16579" s="7"/>
      <c r="AB16579" s="7"/>
      <c r="AC16579" s="7"/>
      <c r="AD16579" s="7"/>
      <c r="AE16579" s="7"/>
      <c r="AF16579" s="7"/>
    </row>
    <row r="16580" spans="1:32">
      <c r="A16580" s="7"/>
      <c r="B16580" s="7"/>
      <c r="C16580" s="7"/>
      <c r="D16580" s="7"/>
      <c r="E16580" s="7"/>
      <c r="F16580" s="7"/>
      <c r="G16580" s="7"/>
      <c r="H16580" s="7"/>
      <c r="I16580" s="7"/>
      <c r="J16580" s="7"/>
      <c r="K16580" s="7"/>
      <c r="L16580" s="7"/>
      <c r="M16580" s="7"/>
      <c r="N16580" s="7"/>
      <c r="O16580" s="7"/>
      <c r="P16580" s="7"/>
      <c r="Q16580" s="7"/>
      <c r="R16580" s="7"/>
      <c r="S16580" s="7"/>
      <c r="T16580" s="7"/>
      <c r="U16580" s="7"/>
      <c r="V16580" s="7"/>
      <c r="W16580" s="7"/>
      <c r="X16580" s="7"/>
      <c r="Y16580" s="7"/>
      <c r="Z16580" s="7"/>
      <c r="AA16580" s="7"/>
      <c r="AB16580" s="7"/>
      <c r="AC16580" s="7"/>
      <c r="AD16580" s="7"/>
      <c r="AE16580" s="7"/>
      <c r="AF16580" s="7"/>
    </row>
    <row r="16581" spans="1:32">
      <c r="A16581" s="7"/>
      <c r="B16581" s="7"/>
      <c r="C16581" s="7"/>
      <c r="D16581" s="7"/>
      <c r="E16581" s="7"/>
      <c r="F16581" s="7"/>
      <c r="G16581" s="7"/>
      <c r="H16581" s="7"/>
      <c r="I16581" s="7"/>
      <c r="J16581" s="7"/>
      <c r="K16581" s="7"/>
      <c r="L16581" s="7"/>
      <c r="M16581" s="7"/>
      <c r="N16581" s="7"/>
      <c r="O16581" s="7"/>
      <c r="P16581" s="7"/>
      <c r="Q16581" s="7"/>
      <c r="R16581" s="7"/>
      <c r="S16581" s="7"/>
      <c r="T16581" s="7"/>
      <c r="U16581" s="7"/>
      <c r="V16581" s="7"/>
      <c r="W16581" s="7"/>
      <c r="X16581" s="7"/>
      <c r="Y16581" s="7"/>
      <c r="Z16581" s="7"/>
      <c r="AA16581" s="7"/>
      <c r="AB16581" s="7"/>
      <c r="AC16581" s="7"/>
      <c r="AD16581" s="7"/>
      <c r="AE16581" s="7"/>
      <c r="AF16581" s="7"/>
    </row>
    <row r="16582" spans="1:32">
      <c r="A16582" s="7"/>
      <c r="B16582" s="7"/>
      <c r="C16582" s="7"/>
      <c r="D16582" s="7"/>
      <c r="E16582" s="7"/>
      <c r="F16582" s="7"/>
      <c r="G16582" s="7"/>
      <c r="H16582" s="7"/>
      <c r="I16582" s="7"/>
      <c r="J16582" s="7"/>
      <c r="K16582" s="7"/>
      <c r="L16582" s="7"/>
      <c r="M16582" s="7"/>
      <c r="N16582" s="7"/>
      <c r="O16582" s="7"/>
      <c r="P16582" s="7"/>
      <c r="Q16582" s="7"/>
      <c r="R16582" s="7"/>
      <c r="S16582" s="7"/>
      <c r="T16582" s="7"/>
      <c r="U16582" s="7"/>
      <c r="V16582" s="7"/>
      <c r="W16582" s="7"/>
      <c r="X16582" s="7"/>
      <c r="Y16582" s="7"/>
      <c r="Z16582" s="7"/>
      <c r="AA16582" s="7"/>
      <c r="AB16582" s="7"/>
      <c r="AC16582" s="7"/>
      <c r="AD16582" s="7"/>
      <c r="AE16582" s="7"/>
      <c r="AF16582" s="7"/>
    </row>
    <row r="16583" spans="1:32">
      <c r="A16583" s="7"/>
      <c r="B16583" s="7"/>
      <c r="C16583" s="7"/>
      <c r="D16583" s="7"/>
      <c r="E16583" s="7"/>
      <c r="F16583" s="7"/>
      <c r="G16583" s="7"/>
      <c r="H16583" s="7"/>
      <c r="I16583" s="7"/>
      <c r="J16583" s="7"/>
      <c r="K16583" s="7"/>
      <c r="L16583" s="7"/>
      <c r="M16583" s="7"/>
      <c r="N16583" s="7"/>
      <c r="O16583" s="7"/>
      <c r="P16583" s="7"/>
      <c r="Q16583" s="7"/>
      <c r="R16583" s="7"/>
      <c r="S16583" s="7"/>
      <c r="T16583" s="7"/>
      <c r="U16583" s="7"/>
      <c r="V16583" s="7"/>
      <c r="W16583" s="7"/>
      <c r="X16583" s="7"/>
      <c r="Y16583" s="7"/>
      <c r="Z16583" s="7"/>
      <c r="AA16583" s="7"/>
      <c r="AB16583" s="7"/>
      <c r="AC16583" s="7"/>
      <c r="AD16583" s="7"/>
      <c r="AE16583" s="7"/>
      <c r="AF16583" s="7"/>
    </row>
    <row r="16584" spans="1:32">
      <c r="A16584" s="7"/>
      <c r="B16584" s="7"/>
      <c r="C16584" s="7"/>
      <c r="D16584" s="7"/>
      <c r="E16584" s="7"/>
      <c r="F16584" s="7"/>
      <c r="G16584" s="7"/>
      <c r="H16584" s="7"/>
      <c r="I16584" s="7"/>
      <c r="J16584" s="7"/>
      <c r="K16584" s="7"/>
      <c r="L16584" s="7"/>
      <c r="M16584" s="7"/>
      <c r="N16584" s="7"/>
      <c r="O16584" s="7"/>
      <c r="P16584" s="7"/>
      <c r="Q16584" s="7"/>
      <c r="R16584" s="7"/>
      <c r="S16584" s="7"/>
      <c r="T16584" s="7"/>
      <c r="U16584" s="7"/>
      <c r="V16584" s="7"/>
      <c r="W16584" s="7"/>
      <c r="X16584" s="7"/>
      <c r="Y16584" s="7"/>
      <c r="Z16584" s="7"/>
      <c r="AA16584" s="7"/>
      <c r="AB16584" s="7"/>
      <c r="AC16584" s="7"/>
      <c r="AD16584" s="7"/>
      <c r="AE16584" s="7"/>
      <c r="AF16584" s="7"/>
    </row>
    <row r="16585" spans="1:32">
      <c r="A16585" s="7"/>
      <c r="B16585" s="7"/>
      <c r="C16585" s="7"/>
      <c r="D16585" s="7"/>
      <c r="E16585" s="7"/>
      <c r="F16585" s="7"/>
      <c r="G16585" s="7"/>
      <c r="H16585" s="7"/>
      <c r="I16585" s="7"/>
      <c r="J16585" s="7"/>
      <c r="K16585" s="7"/>
      <c r="L16585" s="7"/>
      <c r="M16585" s="7"/>
      <c r="N16585" s="7"/>
      <c r="O16585" s="7"/>
      <c r="P16585" s="7"/>
      <c r="Q16585" s="7"/>
      <c r="R16585" s="7"/>
      <c r="S16585" s="7"/>
      <c r="T16585" s="7"/>
      <c r="U16585" s="7"/>
      <c r="V16585" s="7"/>
      <c r="W16585" s="7"/>
      <c r="X16585" s="7"/>
      <c r="Y16585" s="7"/>
      <c r="Z16585" s="7"/>
      <c r="AA16585" s="7"/>
      <c r="AB16585" s="7"/>
      <c r="AC16585" s="7"/>
      <c r="AD16585" s="7"/>
      <c r="AE16585" s="7"/>
      <c r="AF16585" s="7"/>
    </row>
    <row r="16586" spans="1:32">
      <c r="A16586" s="7"/>
      <c r="B16586" s="7"/>
      <c r="C16586" s="7"/>
      <c r="D16586" s="7"/>
      <c r="E16586" s="7"/>
      <c r="F16586" s="7"/>
      <c r="G16586" s="7"/>
      <c r="H16586" s="7"/>
      <c r="I16586" s="7"/>
      <c r="J16586" s="7"/>
      <c r="K16586" s="7"/>
      <c r="L16586" s="7"/>
      <c r="M16586" s="7"/>
      <c r="N16586" s="7"/>
      <c r="O16586" s="7"/>
      <c r="P16586" s="7"/>
      <c r="Q16586" s="7"/>
      <c r="R16586" s="7"/>
      <c r="S16586" s="7"/>
      <c r="T16586" s="7"/>
      <c r="U16586" s="7"/>
      <c r="V16586" s="7"/>
      <c r="W16586" s="7"/>
      <c r="X16586" s="7"/>
      <c r="Y16586" s="7"/>
      <c r="Z16586" s="7"/>
      <c r="AA16586" s="7"/>
      <c r="AB16586" s="7"/>
      <c r="AC16586" s="7"/>
      <c r="AD16586" s="7"/>
      <c r="AE16586" s="7"/>
      <c r="AF16586" s="7"/>
    </row>
    <row r="16587" spans="1:32">
      <c r="A16587" s="7"/>
      <c r="B16587" s="7"/>
      <c r="C16587" s="7"/>
      <c r="D16587" s="7"/>
      <c r="E16587" s="7"/>
      <c r="F16587" s="7"/>
      <c r="G16587" s="7"/>
      <c r="H16587" s="7"/>
      <c r="I16587" s="7"/>
      <c r="J16587" s="7"/>
      <c r="K16587" s="7"/>
      <c r="L16587" s="7"/>
      <c r="M16587" s="7"/>
      <c r="N16587" s="7"/>
      <c r="O16587" s="7"/>
      <c r="P16587" s="7"/>
      <c r="Q16587" s="7"/>
      <c r="R16587" s="7"/>
      <c r="S16587" s="7"/>
      <c r="T16587" s="7"/>
      <c r="U16587" s="7"/>
      <c r="V16587" s="7"/>
      <c r="W16587" s="7"/>
      <c r="X16587" s="7"/>
      <c r="Y16587" s="7"/>
      <c r="Z16587" s="7"/>
      <c r="AA16587" s="7"/>
      <c r="AB16587" s="7"/>
      <c r="AC16587" s="7"/>
      <c r="AD16587" s="7"/>
      <c r="AE16587" s="7"/>
      <c r="AF16587" s="7"/>
    </row>
    <row r="16588" spans="1:32">
      <c r="A16588" s="7"/>
      <c r="B16588" s="7"/>
      <c r="C16588" s="7"/>
      <c r="D16588" s="7"/>
      <c r="E16588" s="7"/>
      <c r="F16588" s="7"/>
      <c r="G16588" s="7"/>
      <c r="H16588" s="7"/>
      <c r="I16588" s="7"/>
      <c r="J16588" s="7"/>
      <c r="K16588" s="7"/>
      <c r="L16588" s="7"/>
      <c r="M16588" s="7"/>
      <c r="N16588" s="7"/>
      <c r="O16588" s="7"/>
      <c r="P16588" s="7"/>
      <c r="Q16588" s="7"/>
      <c r="R16588" s="7"/>
      <c r="S16588" s="7"/>
      <c r="T16588" s="7"/>
      <c r="U16588" s="7"/>
      <c r="V16588" s="7"/>
      <c r="W16588" s="7"/>
      <c r="X16588" s="7"/>
      <c r="Y16588" s="7"/>
      <c r="Z16588" s="7"/>
      <c r="AA16588" s="7"/>
      <c r="AB16588" s="7"/>
      <c r="AC16588" s="7"/>
      <c r="AD16588" s="7"/>
      <c r="AE16588" s="7"/>
      <c r="AF16588" s="7"/>
    </row>
    <row r="16589" spans="1:32">
      <c r="A16589" s="7"/>
      <c r="B16589" s="7"/>
      <c r="C16589" s="7"/>
      <c r="D16589" s="7"/>
      <c r="E16589" s="7"/>
      <c r="F16589" s="7"/>
      <c r="G16589" s="7"/>
      <c r="H16589" s="7"/>
      <c r="I16589" s="7"/>
      <c r="J16589" s="7"/>
      <c r="K16589" s="7"/>
      <c r="L16589" s="7"/>
      <c r="M16589" s="7"/>
      <c r="N16589" s="7"/>
      <c r="O16589" s="7"/>
      <c r="P16589" s="7"/>
      <c r="Q16589" s="7"/>
      <c r="R16589" s="7"/>
      <c r="S16589" s="7"/>
      <c r="T16589" s="7"/>
      <c r="U16589" s="7"/>
      <c r="V16589" s="7"/>
      <c r="W16589" s="7"/>
      <c r="X16589" s="7"/>
      <c r="Y16589" s="7"/>
      <c r="Z16589" s="7"/>
      <c r="AA16589" s="7"/>
      <c r="AB16589" s="7"/>
      <c r="AC16589" s="7"/>
      <c r="AD16589" s="7"/>
      <c r="AE16589" s="7"/>
      <c r="AF16589" s="7"/>
    </row>
    <row r="16590" spans="1:32">
      <c r="A16590" s="7"/>
      <c r="B16590" s="7"/>
      <c r="C16590" s="7"/>
      <c r="D16590" s="7"/>
      <c r="E16590" s="7"/>
      <c r="F16590" s="7"/>
      <c r="G16590" s="7"/>
      <c r="H16590" s="7"/>
      <c r="I16590" s="7"/>
      <c r="J16590" s="7"/>
      <c r="K16590" s="7"/>
      <c r="L16590" s="7"/>
      <c r="M16590" s="7"/>
      <c r="N16590" s="7"/>
      <c r="O16590" s="7"/>
      <c r="P16590" s="7"/>
      <c r="Q16590" s="7"/>
      <c r="R16590" s="7"/>
      <c r="S16590" s="7"/>
      <c r="T16590" s="7"/>
      <c r="U16590" s="7"/>
      <c r="V16590" s="7"/>
      <c r="W16590" s="7"/>
      <c r="X16590" s="7"/>
      <c r="Y16590" s="7"/>
      <c r="Z16590" s="7"/>
      <c r="AA16590" s="7"/>
      <c r="AB16590" s="7"/>
      <c r="AC16590" s="7"/>
      <c r="AD16590" s="7"/>
      <c r="AE16590" s="7"/>
      <c r="AF16590" s="7"/>
    </row>
    <row r="16591" spans="1:32">
      <c r="A16591" s="7"/>
      <c r="B16591" s="7"/>
      <c r="C16591" s="7"/>
      <c r="D16591" s="7"/>
      <c r="E16591" s="7"/>
      <c r="F16591" s="7"/>
      <c r="G16591" s="7"/>
      <c r="H16591" s="7"/>
      <c r="I16591" s="7"/>
      <c r="J16591" s="7"/>
      <c r="K16591" s="7"/>
      <c r="L16591" s="7"/>
      <c r="M16591" s="7"/>
      <c r="N16591" s="7"/>
      <c r="O16591" s="7"/>
      <c r="P16591" s="7"/>
      <c r="Q16591" s="7"/>
      <c r="R16591" s="7"/>
      <c r="S16591" s="7"/>
      <c r="T16591" s="7"/>
      <c r="U16591" s="7"/>
      <c r="V16591" s="7"/>
      <c r="W16591" s="7"/>
      <c r="X16591" s="7"/>
      <c r="Y16591" s="7"/>
      <c r="Z16591" s="7"/>
      <c r="AA16591" s="7"/>
      <c r="AB16591" s="7"/>
      <c r="AC16591" s="7"/>
      <c r="AD16591" s="7"/>
      <c r="AE16591" s="7"/>
      <c r="AF16591" s="7"/>
    </row>
    <row r="16592" spans="1:32">
      <c r="A16592" s="7"/>
      <c r="B16592" s="7"/>
      <c r="C16592" s="7"/>
      <c r="D16592" s="7"/>
      <c r="E16592" s="7"/>
      <c r="F16592" s="7"/>
      <c r="G16592" s="7"/>
      <c r="H16592" s="7"/>
      <c r="I16592" s="7"/>
      <c r="J16592" s="7"/>
      <c r="K16592" s="7"/>
      <c r="L16592" s="7"/>
      <c r="M16592" s="7"/>
      <c r="N16592" s="7"/>
      <c r="O16592" s="7"/>
      <c r="P16592" s="7"/>
      <c r="Q16592" s="7"/>
      <c r="R16592" s="7"/>
      <c r="S16592" s="7"/>
      <c r="T16592" s="7"/>
      <c r="U16592" s="7"/>
      <c r="V16592" s="7"/>
      <c r="W16592" s="7"/>
      <c r="X16592" s="7"/>
      <c r="Y16592" s="7"/>
      <c r="Z16592" s="7"/>
      <c r="AA16592" s="7"/>
      <c r="AB16592" s="7"/>
      <c r="AC16592" s="7"/>
      <c r="AD16592" s="7"/>
      <c r="AE16592" s="7"/>
      <c r="AF16592" s="7"/>
    </row>
    <row r="16593" spans="1:32">
      <c r="A16593" s="7"/>
      <c r="B16593" s="7"/>
      <c r="C16593" s="7"/>
      <c r="D16593" s="7"/>
      <c r="E16593" s="7"/>
      <c r="F16593" s="7"/>
      <c r="G16593" s="7"/>
      <c r="H16593" s="7"/>
      <c r="I16593" s="7"/>
      <c r="J16593" s="7"/>
      <c r="K16593" s="7"/>
      <c r="L16593" s="7"/>
      <c r="M16593" s="7"/>
      <c r="N16593" s="7"/>
      <c r="O16593" s="7"/>
      <c r="P16593" s="7"/>
      <c r="Q16593" s="7"/>
      <c r="R16593" s="7"/>
      <c r="S16593" s="7"/>
      <c r="T16593" s="7"/>
      <c r="U16593" s="7"/>
      <c r="V16593" s="7"/>
      <c r="W16593" s="7"/>
      <c r="X16593" s="7"/>
      <c r="Y16593" s="7"/>
      <c r="Z16593" s="7"/>
      <c r="AA16593" s="7"/>
      <c r="AB16593" s="7"/>
      <c r="AC16593" s="7"/>
      <c r="AD16593" s="7"/>
      <c r="AE16593" s="7"/>
      <c r="AF16593" s="7"/>
    </row>
    <row r="16594" spans="1:32">
      <c r="A16594" s="7"/>
      <c r="B16594" s="7"/>
      <c r="C16594" s="7"/>
      <c r="D16594" s="7"/>
      <c r="E16594" s="7"/>
      <c r="F16594" s="7"/>
      <c r="G16594" s="7"/>
      <c r="H16594" s="7"/>
      <c r="I16594" s="7"/>
      <c r="J16594" s="7"/>
      <c r="K16594" s="7"/>
      <c r="L16594" s="7"/>
      <c r="M16594" s="7"/>
      <c r="N16594" s="7"/>
      <c r="O16594" s="7"/>
      <c r="P16594" s="7"/>
      <c r="Q16594" s="7"/>
      <c r="R16594" s="7"/>
      <c r="S16594" s="7"/>
      <c r="T16594" s="7"/>
      <c r="U16594" s="7"/>
      <c r="V16594" s="7"/>
      <c r="W16594" s="7"/>
      <c r="X16594" s="7"/>
      <c r="Y16594" s="7"/>
      <c r="Z16594" s="7"/>
      <c r="AA16594" s="7"/>
      <c r="AB16594" s="7"/>
      <c r="AC16594" s="7"/>
      <c r="AD16594" s="7"/>
      <c r="AE16594" s="7"/>
      <c r="AF16594" s="7"/>
    </row>
    <row r="16595" spans="1:32">
      <c r="A16595" s="7"/>
      <c r="B16595" s="7"/>
      <c r="C16595" s="7"/>
      <c r="D16595" s="7"/>
      <c r="E16595" s="7"/>
      <c r="F16595" s="7"/>
      <c r="G16595" s="7"/>
      <c r="H16595" s="7"/>
      <c r="I16595" s="7"/>
      <c r="J16595" s="7"/>
      <c r="K16595" s="7"/>
      <c r="L16595" s="7"/>
      <c r="M16595" s="7"/>
      <c r="N16595" s="7"/>
      <c r="O16595" s="7"/>
      <c r="P16595" s="7"/>
      <c r="Q16595" s="7"/>
      <c r="R16595" s="7"/>
      <c r="S16595" s="7"/>
      <c r="T16595" s="7"/>
      <c r="U16595" s="7"/>
      <c r="V16595" s="7"/>
      <c r="W16595" s="7"/>
      <c r="X16595" s="7"/>
      <c r="Y16595" s="7"/>
      <c r="Z16595" s="7"/>
      <c r="AA16595" s="7"/>
      <c r="AB16595" s="7"/>
      <c r="AC16595" s="7"/>
      <c r="AD16595" s="7"/>
      <c r="AE16595" s="7"/>
      <c r="AF16595" s="7"/>
    </row>
    <row r="16596" spans="1:32">
      <c r="A16596" s="7"/>
      <c r="B16596" s="7"/>
      <c r="C16596" s="7"/>
      <c r="D16596" s="7"/>
      <c r="E16596" s="7"/>
      <c r="F16596" s="7"/>
      <c r="G16596" s="7"/>
      <c r="H16596" s="7"/>
      <c r="I16596" s="7"/>
      <c r="J16596" s="7"/>
      <c r="K16596" s="7"/>
      <c r="L16596" s="7"/>
      <c r="M16596" s="7"/>
      <c r="N16596" s="7"/>
      <c r="O16596" s="7"/>
      <c r="P16596" s="7"/>
      <c r="Q16596" s="7"/>
      <c r="R16596" s="7"/>
      <c r="S16596" s="7"/>
      <c r="T16596" s="7"/>
      <c r="U16596" s="7"/>
      <c r="V16596" s="7"/>
      <c r="W16596" s="7"/>
      <c r="X16596" s="7"/>
      <c r="Y16596" s="7"/>
      <c r="Z16596" s="7"/>
      <c r="AA16596" s="7"/>
      <c r="AB16596" s="7"/>
      <c r="AC16596" s="7"/>
      <c r="AD16596" s="7"/>
      <c r="AE16596" s="7"/>
      <c r="AF16596" s="7"/>
    </row>
    <row r="16597" spans="1:32">
      <c r="A16597" s="7"/>
      <c r="B16597" s="7"/>
      <c r="C16597" s="7"/>
      <c r="D16597" s="7"/>
      <c r="E16597" s="7"/>
      <c r="F16597" s="7"/>
      <c r="G16597" s="7"/>
      <c r="H16597" s="7"/>
      <c r="I16597" s="7"/>
      <c r="J16597" s="7"/>
      <c r="K16597" s="7"/>
      <c r="L16597" s="7"/>
      <c r="M16597" s="7"/>
      <c r="N16597" s="7"/>
      <c r="O16597" s="7"/>
      <c r="P16597" s="7"/>
      <c r="Q16597" s="7"/>
      <c r="R16597" s="7"/>
      <c r="S16597" s="7"/>
      <c r="T16597" s="7"/>
      <c r="U16597" s="7"/>
      <c r="V16597" s="7"/>
      <c r="W16597" s="7"/>
      <c r="X16597" s="7"/>
      <c r="Y16597" s="7"/>
      <c r="Z16597" s="7"/>
      <c r="AA16597" s="7"/>
      <c r="AB16597" s="7"/>
      <c r="AC16597" s="7"/>
      <c r="AD16597" s="7"/>
      <c r="AE16597" s="7"/>
      <c r="AF16597" s="7"/>
    </row>
    <row r="16598" spans="1:32">
      <c r="A16598" s="7"/>
      <c r="B16598" s="7"/>
      <c r="C16598" s="7"/>
      <c r="D16598" s="7"/>
      <c r="E16598" s="7"/>
      <c r="F16598" s="7"/>
      <c r="G16598" s="7"/>
      <c r="H16598" s="7"/>
      <c r="I16598" s="7"/>
      <c r="J16598" s="7"/>
      <c r="K16598" s="7"/>
      <c r="L16598" s="7"/>
      <c r="M16598" s="7"/>
      <c r="N16598" s="7"/>
      <c r="O16598" s="7"/>
      <c r="P16598" s="7"/>
      <c r="Q16598" s="7"/>
      <c r="R16598" s="7"/>
      <c r="S16598" s="7"/>
      <c r="T16598" s="7"/>
      <c r="U16598" s="7"/>
      <c r="V16598" s="7"/>
      <c r="W16598" s="7"/>
      <c r="X16598" s="7"/>
      <c r="Y16598" s="7"/>
      <c r="Z16598" s="7"/>
      <c r="AA16598" s="7"/>
      <c r="AB16598" s="7"/>
      <c r="AC16598" s="7"/>
      <c r="AD16598" s="7"/>
      <c r="AE16598" s="7"/>
      <c r="AF16598" s="7"/>
    </row>
    <row r="16599" spans="1:32">
      <c r="A16599" s="7"/>
      <c r="B16599" s="7"/>
      <c r="C16599" s="7"/>
      <c r="D16599" s="7"/>
      <c r="E16599" s="7"/>
      <c r="F16599" s="7"/>
      <c r="G16599" s="7"/>
      <c r="H16599" s="7"/>
      <c r="I16599" s="7"/>
      <c r="J16599" s="7"/>
      <c r="K16599" s="7"/>
      <c r="L16599" s="7"/>
      <c r="M16599" s="7"/>
      <c r="N16599" s="7"/>
      <c r="O16599" s="7"/>
      <c r="P16599" s="7"/>
      <c r="Q16599" s="7"/>
      <c r="R16599" s="7"/>
      <c r="S16599" s="7"/>
      <c r="T16599" s="7"/>
      <c r="U16599" s="7"/>
      <c r="V16599" s="7"/>
      <c r="W16599" s="7"/>
      <c r="X16599" s="7"/>
      <c r="Y16599" s="7"/>
      <c r="Z16599" s="7"/>
      <c r="AA16599" s="7"/>
      <c r="AB16599" s="7"/>
      <c r="AC16599" s="7"/>
      <c r="AD16599" s="7"/>
      <c r="AE16599" s="7"/>
      <c r="AF16599" s="7"/>
    </row>
    <row r="16600" spans="1:32">
      <c r="A16600" s="7"/>
      <c r="B16600" s="7"/>
      <c r="C16600" s="7"/>
      <c r="D16600" s="7"/>
      <c r="E16600" s="7"/>
      <c r="F16600" s="7"/>
      <c r="G16600" s="7"/>
      <c r="H16600" s="7"/>
      <c r="I16600" s="7"/>
      <c r="J16600" s="7"/>
      <c r="K16600" s="7"/>
      <c r="L16600" s="7"/>
      <c r="M16600" s="7"/>
      <c r="N16600" s="7"/>
      <c r="O16600" s="7"/>
      <c r="P16600" s="7"/>
      <c r="Q16600" s="7"/>
      <c r="R16600" s="7"/>
      <c r="S16600" s="7"/>
      <c r="T16600" s="7"/>
      <c r="U16600" s="7"/>
      <c r="V16600" s="7"/>
      <c r="W16600" s="7"/>
      <c r="X16600" s="7"/>
      <c r="Y16600" s="7"/>
      <c r="Z16600" s="7"/>
      <c r="AA16600" s="7"/>
      <c r="AB16600" s="7"/>
      <c r="AC16600" s="7"/>
      <c r="AD16600" s="7"/>
      <c r="AE16600" s="7"/>
      <c r="AF16600" s="7"/>
    </row>
    <row r="16601" spans="1:32">
      <c r="A16601" s="7"/>
      <c r="B16601" s="7"/>
      <c r="C16601" s="7"/>
      <c r="D16601" s="7"/>
      <c r="E16601" s="7"/>
      <c r="F16601" s="7"/>
      <c r="G16601" s="7"/>
      <c r="H16601" s="7"/>
      <c r="I16601" s="7"/>
      <c r="J16601" s="7"/>
      <c r="K16601" s="7"/>
      <c r="L16601" s="7"/>
      <c r="M16601" s="7"/>
      <c r="N16601" s="7"/>
      <c r="O16601" s="7"/>
      <c r="P16601" s="7"/>
      <c r="Q16601" s="7"/>
      <c r="R16601" s="7"/>
      <c r="S16601" s="7"/>
      <c r="T16601" s="7"/>
      <c r="U16601" s="7"/>
      <c r="V16601" s="7"/>
      <c r="W16601" s="7"/>
      <c r="X16601" s="7"/>
      <c r="Y16601" s="7"/>
      <c r="Z16601" s="7"/>
      <c r="AA16601" s="7"/>
      <c r="AB16601" s="7"/>
      <c r="AC16601" s="7"/>
      <c r="AD16601" s="7"/>
      <c r="AE16601" s="7"/>
      <c r="AF16601" s="7"/>
    </row>
    <row r="16602" spans="1:32">
      <c r="A16602" s="7"/>
      <c r="B16602" s="7"/>
      <c r="C16602" s="7"/>
      <c r="D16602" s="7"/>
      <c r="E16602" s="7"/>
      <c r="F16602" s="7"/>
      <c r="G16602" s="7"/>
      <c r="H16602" s="7"/>
      <c r="I16602" s="7"/>
      <c r="J16602" s="7"/>
      <c r="K16602" s="7"/>
      <c r="L16602" s="7"/>
      <c r="M16602" s="7"/>
      <c r="N16602" s="7"/>
      <c r="O16602" s="7"/>
      <c r="P16602" s="7"/>
      <c r="Q16602" s="7"/>
      <c r="R16602" s="7"/>
      <c r="S16602" s="7"/>
      <c r="T16602" s="7"/>
      <c r="U16602" s="7"/>
      <c r="V16602" s="7"/>
      <c r="W16602" s="7"/>
      <c r="X16602" s="7"/>
      <c r="Y16602" s="7"/>
      <c r="Z16602" s="7"/>
      <c r="AA16602" s="7"/>
      <c r="AB16602" s="7"/>
      <c r="AC16602" s="7"/>
      <c r="AD16602" s="7"/>
      <c r="AE16602" s="7"/>
      <c r="AF16602" s="7"/>
    </row>
    <row r="16603" spans="1:32">
      <c r="A16603" s="7"/>
      <c r="B16603" s="7"/>
      <c r="C16603" s="7"/>
      <c r="D16603" s="7"/>
      <c r="E16603" s="7"/>
      <c r="F16603" s="7"/>
      <c r="G16603" s="7"/>
      <c r="H16603" s="7"/>
      <c r="I16603" s="7"/>
      <c r="J16603" s="7"/>
      <c r="K16603" s="7"/>
      <c r="L16603" s="7"/>
      <c r="M16603" s="7"/>
      <c r="N16603" s="7"/>
      <c r="O16603" s="7"/>
      <c r="P16603" s="7"/>
      <c r="Q16603" s="7"/>
      <c r="R16603" s="7"/>
      <c r="S16603" s="7"/>
      <c r="T16603" s="7"/>
      <c r="U16603" s="7"/>
      <c r="V16603" s="7"/>
      <c r="W16603" s="7"/>
      <c r="X16603" s="7"/>
      <c r="Y16603" s="7"/>
      <c r="Z16603" s="7"/>
      <c r="AA16603" s="7"/>
      <c r="AB16603" s="7"/>
      <c r="AC16603" s="7"/>
      <c r="AD16603" s="7"/>
      <c r="AE16603" s="7"/>
      <c r="AF16603" s="7"/>
    </row>
    <row r="16604" spans="1:32">
      <c r="A16604" s="7"/>
      <c r="B16604" s="7"/>
      <c r="C16604" s="7"/>
      <c r="D16604" s="7"/>
      <c r="E16604" s="7"/>
      <c r="F16604" s="7"/>
      <c r="G16604" s="7"/>
      <c r="H16604" s="7"/>
      <c r="I16604" s="7"/>
      <c r="J16604" s="7"/>
      <c r="K16604" s="7"/>
      <c r="L16604" s="7"/>
      <c r="M16604" s="7"/>
      <c r="N16604" s="7"/>
      <c r="O16604" s="7"/>
      <c r="P16604" s="7"/>
      <c r="Q16604" s="7"/>
      <c r="R16604" s="7"/>
      <c r="S16604" s="7"/>
      <c r="T16604" s="7"/>
      <c r="U16604" s="7"/>
      <c r="V16604" s="7"/>
      <c r="W16604" s="7"/>
      <c r="X16604" s="7"/>
      <c r="Y16604" s="7"/>
      <c r="Z16604" s="7"/>
      <c r="AA16604" s="7"/>
      <c r="AB16604" s="7"/>
      <c r="AC16604" s="7"/>
      <c r="AD16604" s="7"/>
      <c r="AE16604" s="7"/>
      <c r="AF16604" s="7"/>
    </row>
    <row r="16605" spans="1:32">
      <c r="A16605" s="7"/>
      <c r="B16605" s="7"/>
      <c r="C16605" s="7"/>
      <c r="D16605" s="7"/>
      <c r="E16605" s="7"/>
      <c r="F16605" s="7"/>
      <c r="G16605" s="7"/>
      <c r="H16605" s="7"/>
      <c r="I16605" s="7"/>
      <c r="J16605" s="7"/>
      <c r="K16605" s="7"/>
      <c r="L16605" s="7"/>
      <c r="M16605" s="7"/>
      <c r="N16605" s="7"/>
      <c r="O16605" s="7"/>
      <c r="P16605" s="7"/>
      <c r="Q16605" s="7"/>
      <c r="R16605" s="7"/>
      <c r="S16605" s="7"/>
      <c r="T16605" s="7"/>
      <c r="U16605" s="7"/>
      <c r="V16605" s="7"/>
      <c r="W16605" s="7"/>
      <c r="X16605" s="7"/>
      <c r="Y16605" s="7"/>
      <c r="Z16605" s="7"/>
      <c r="AA16605" s="7"/>
      <c r="AB16605" s="7"/>
      <c r="AC16605" s="7"/>
      <c r="AD16605" s="7"/>
      <c r="AE16605" s="7"/>
      <c r="AF16605" s="7"/>
    </row>
    <row r="16606" spans="1:32">
      <c r="A16606" s="7"/>
      <c r="B16606" s="7"/>
      <c r="C16606" s="7"/>
      <c r="D16606" s="7"/>
      <c r="E16606" s="7"/>
      <c r="F16606" s="7"/>
      <c r="G16606" s="7"/>
      <c r="H16606" s="7"/>
      <c r="I16606" s="7"/>
      <c r="J16606" s="7"/>
      <c r="K16606" s="7"/>
      <c r="L16606" s="7"/>
      <c r="M16606" s="7"/>
      <c r="N16606" s="7"/>
      <c r="O16606" s="7"/>
      <c r="P16606" s="7"/>
      <c r="Q16606" s="7"/>
      <c r="R16606" s="7"/>
      <c r="S16606" s="7"/>
      <c r="T16606" s="7"/>
      <c r="U16606" s="7"/>
      <c r="V16606" s="7"/>
      <c r="W16606" s="7"/>
      <c r="X16606" s="7"/>
      <c r="Y16606" s="7"/>
      <c r="Z16606" s="7"/>
      <c r="AA16606" s="7"/>
      <c r="AB16606" s="7"/>
      <c r="AC16606" s="7"/>
      <c r="AD16606" s="7"/>
      <c r="AE16606" s="7"/>
      <c r="AF16606" s="7"/>
    </row>
    <row r="16607" spans="1:32">
      <c r="A16607" s="7"/>
      <c r="B16607" s="7"/>
      <c r="C16607" s="7"/>
      <c r="D16607" s="7"/>
      <c r="E16607" s="7"/>
      <c r="F16607" s="7"/>
      <c r="G16607" s="7"/>
      <c r="H16607" s="7"/>
      <c r="I16607" s="7"/>
      <c r="J16607" s="7"/>
      <c r="K16607" s="7"/>
      <c r="L16607" s="7"/>
      <c r="M16607" s="7"/>
      <c r="N16607" s="7"/>
      <c r="O16607" s="7"/>
      <c r="P16607" s="7"/>
      <c r="Q16607" s="7"/>
      <c r="R16607" s="7"/>
      <c r="S16607" s="7"/>
      <c r="T16607" s="7"/>
      <c r="U16607" s="7"/>
      <c r="V16607" s="7"/>
      <c r="W16607" s="7"/>
      <c r="X16607" s="7"/>
      <c r="Y16607" s="7"/>
      <c r="Z16607" s="7"/>
      <c r="AA16607" s="7"/>
      <c r="AB16607" s="7"/>
      <c r="AC16607" s="7"/>
      <c r="AD16607" s="7"/>
      <c r="AE16607" s="7"/>
      <c r="AF16607" s="7"/>
    </row>
    <row r="16608" spans="1:32">
      <c r="A16608" s="7"/>
      <c r="B16608" s="7"/>
      <c r="C16608" s="7"/>
      <c r="D16608" s="7"/>
      <c r="E16608" s="7"/>
      <c r="F16608" s="7"/>
      <c r="G16608" s="7"/>
      <c r="H16608" s="7"/>
      <c r="I16608" s="7"/>
      <c r="J16608" s="7"/>
      <c r="K16608" s="7"/>
      <c r="L16608" s="7"/>
      <c r="M16608" s="7"/>
      <c r="N16608" s="7"/>
      <c r="O16608" s="7"/>
      <c r="P16608" s="7"/>
      <c r="Q16608" s="7"/>
      <c r="R16608" s="7"/>
      <c r="S16608" s="7"/>
      <c r="T16608" s="7"/>
      <c r="U16608" s="7"/>
      <c r="V16608" s="7"/>
      <c r="W16608" s="7"/>
      <c r="X16608" s="7"/>
      <c r="Y16608" s="7"/>
      <c r="Z16608" s="7"/>
      <c r="AA16608" s="7"/>
      <c r="AB16608" s="7"/>
      <c r="AC16608" s="7"/>
      <c r="AD16608" s="7"/>
      <c r="AE16608" s="7"/>
      <c r="AF16608" s="7"/>
    </row>
    <row r="16609" spans="1:32">
      <c r="A16609" s="7"/>
      <c r="B16609" s="7"/>
      <c r="C16609" s="7"/>
      <c r="D16609" s="7"/>
      <c r="E16609" s="7"/>
      <c r="F16609" s="7"/>
      <c r="G16609" s="7"/>
      <c r="H16609" s="7"/>
      <c r="I16609" s="7"/>
      <c r="J16609" s="7"/>
      <c r="K16609" s="7"/>
      <c r="L16609" s="7"/>
      <c r="M16609" s="7"/>
      <c r="N16609" s="7"/>
      <c r="O16609" s="7"/>
      <c r="P16609" s="7"/>
      <c r="Q16609" s="7"/>
      <c r="R16609" s="7"/>
      <c r="S16609" s="7"/>
      <c r="T16609" s="7"/>
      <c r="U16609" s="7"/>
      <c r="V16609" s="7"/>
      <c r="W16609" s="7"/>
      <c r="X16609" s="7"/>
      <c r="Y16609" s="7"/>
      <c r="Z16609" s="7"/>
      <c r="AA16609" s="7"/>
      <c r="AB16609" s="7"/>
      <c r="AC16609" s="7"/>
      <c r="AD16609" s="7"/>
      <c r="AE16609" s="7"/>
      <c r="AF16609" s="7"/>
    </row>
    <row r="16610" spans="1:32">
      <c r="A16610" s="7"/>
      <c r="B16610" s="7"/>
      <c r="C16610" s="7"/>
      <c r="D16610" s="7"/>
      <c r="E16610" s="7"/>
      <c r="F16610" s="7"/>
      <c r="G16610" s="7"/>
      <c r="H16610" s="7"/>
      <c r="I16610" s="7"/>
      <c r="J16610" s="7"/>
      <c r="K16610" s="7"/>
      <c r="L16610" s="7"/>
      <c r="M16610" s="7"/>
      <c r="N16610" s="7"/>
      <c r="O16610" s="7"/>
      <c r="P16610" s="7"/>
      <c r="Q16610" s="7"/>
      <c r="R16610" s="7"/>
      <c r="S16610" s="7"/>
      <c r="T16610" s="7"/>
      <c r="U16610" s="7"/>
      <c r="V16610" s="7"/>
      <c r="W16610" s="7"/>
      <c r="X16610" s="7"/>
      <c r="Y16610" s="7"/>
      <c r="Z16610" s="7"/>
      <c r="AA16610" s="7"/>
      <c r="AB16610" s="7"/>
      <c r="AC16610" s="7"/>
      <c r="AD16610" s="7"/>
      <c r="AE16610" s="7"/>
      <c r="AF16610" s="7"/>
    </row>
    <row r="16611" spans="1:32">
      <c r="A16611" s="7"/>
      <c r="B16611" s="7"/>
      <c r="C16611" s="7"/>
      <c r="D16611" s="7"/>
      <c r="E16611" s="7"/>
      <c r="F16611" s="7"/>
      <c r="G16611" s="7"/>
      <c r="H16611" s="7"/>
      <c r="I16611" s="7"/>
      <c r="J16611" s="7"/>
      <c r="K16611" s="7"/>
      <c r="L16611" s="7"/>
      <c r="M16611" s="7"/>
      <c r="N16611" s="7"/>
      <c r="O16611" s="7"/>
      <c r="P16611" s="7"/>
      <c r="Q16611" s="7"/>
      <c r="R16611" s="7"/>
      <c r="S16611" s="7"/>
      <c r="T16611" s="7"/>
      <c r="U16611" s="7"/>
      <c r="V16611" s="7"/>
      <c r="W16611" s="7"/>
      <c r="X16611" s="7"/>
      <c r="Y16611" s="7"/>
      <c r="Z16611" s="7"/>
      <c r="AA16611" s="7"/>
      <c r="AB16611" s="7"/>
      <c r="AC16611" s="7"/>
      <c r="AD16611" s="7"/>
      <c r="AE16611" s="7"/>
      <c r="AF16611" s="7"/>
    </row>
    <row r="16612" spans="1:32">
      <c r="A16612" s="7"/>
      <c r="B16612" s="7"/>
      <c r="C16612" s="7"/>
      <c r="D16612" s="7"/>
      <c r="E16612" s="7"/>
      <c r="F16612" s="7"/>
      <c r="G16612" s="7"/>
      <c r="H16612" s="7"/>
      <c r="I16612" s="7"/>
      <c r="J16612" s="7"/>
      <c r="K16612" s="7"/>
      <c r="L16612" s="7"/>
      <c r="M16612" s="7"/>
      <c r="N16612" s="7"/>
      <c r="O16612" s="7"/>
      <c r="P16612" s="7"/>
      <c r="Q16612" s="7"/>
      <c r="R16612" s="7"/>
      <c r="S16612" s="7"/>
      <c r="T16612" s="7"/>
      <c r="U16612" s="7"/>
      <c r="V16612" s="7"/>
      <c r="W16612" s="7"/>
      <c r="X16612" s="7"/>
      <c r="Y16612" s="7"/>
      <c r="Z16612" s="7"/>
      <c r="AA16612" s="7"/>
      <c r="AB16612" s="7"/>
      <c r="AC16612" s="7"/>
      <c r="AD16612" s="7"/>
      <c r="AE16612" s="7"/>
      <c r="AF16612" s="7"/>
    </row>
    <row r="16613" spans="1:32">
      <c r="A16613" s="7"/>
      <c r="B16613" s="7"/>
      <c r="C16613" s="7"/>
      <c r="D16613" s="7"/>
      <c r="E16613" s="7"/>
      <c r="F16613" s="7"/>
      <c r="G16613" s="7"/>
      <c r="H16613" s="7"/>
      <c r="I16613" s="7"/>
      <c r="J16613" s="7"/>
      <c r="K16613" s="7"/>
      <c r="L16613" s="7"/>
      <c r="M16613" s="7"/>
      <c r="N16613" s="7"/>
      <c r="O16613" s="7"/>
      <c r="P16613" s="7"/>
      <c r="Q16613" s="7"/>
      <c r="R16613" s="7"/>
      <c r="S16613" s="7"/>
      <c r="T16613" s="7"/>
      <c r="U16613" s="7"/>
      <c r="V16613" s="7"/>
      <c r="W16613" s="7"/>
      <c r="X16613" s="7"/>
      <c r="Y16613" s="7"/>
      <c r="Z16613" s="7"/>
      <c r="AA16613" s="7"/>
      <c r="AB16613" s="7"/>
      <c r="AC16613" s="7"/>
      <c r="AD16613" s="7"/>
      <c r="AE16613" s="7"/>
      <c r="AF16613" s="7"/>
    </row>
    <row r="16614" spans="1:32">
      <c r="A16614" s="7"/>
      <c r="B16614" s="7"/>
      <c r="C16614" s="7"/>
      <c r="D16614" s="7"/>
      <c r="E16614" s="7"/>
      <c r="F16614" s="7"/>
      <c r="G16614" s="7"/>
      <c r="H16614" s="7"/>
      <c r="I16614" s="7"/>
      <c r="J16614" s="7"/>
      <c r="K16614" s="7"/>
      <c r="L16614" s="7"/>
      <c r="M16614" s="7"/>
      <c r="N16614" s="7"/>
      <c r="O16614" s="7"/>
      <c r="P16614" s="7"/>
      <c r="Q16614" s="7"/>
      <c r="R16614" s="7"/>
      <c r="S16614" s="7"/>
      <c r="T16614" s="7"/>
      <c r="U16614" s="7"/>
      <c r="V16614" s="7"/>
      <c r="W16614" s="7"/>
      <c r="X16614" s="7"/>
      <c r="Y16614" s="7"/>
      <c r="Z16614" s="7"/>
      <c r="AA16614" s="7"/>
      <c r="AB16614" s="7"/>
      <c r="AC16614" s="7"/>
      <c r="AD16614" s="7"/>
      <c r="AE16614" s="7"/>
      <c r="AF16614" s="7"/>
    </row>
    <row r="16615" spans="1:32">
      <c r="A16615" s="7"/>
      <c r="B16615" s="7"/>
      <c r="C16615" s="7"/>
      <c r="D16615" s="7"/>
      <c r="E16615" s="7"/>
      <c r="F16615" s="7"/>
      <c r="G16615" s="7"/>
      <c r="H16615" s="7"/>
      <c r="I16615" s="7"/>
      <c r="J16615" s="7"/>
      <c r="K16615" s="7"/>
      <c r="L16615" s="7"/>
      <c r="M16615" s="7"/>
      <c r="N16615" s="7"/>
      <c r="O16615" s="7"/>
      <c r="P16615" s="7"/>
      <c r="Q16615" s="7"/>
      <c r="R16615" s="7"/>
      <c r="S16615" s="7"/>
      <c r="T16615" s="7"/>
      <c r="U16615" s="7"/>
      <c r="V16615" s="7"/>
      <c r="W16615" s="7"/>
      <c r="X16615" s="7"/>
      <c r="Y16615" s="7"/>
      <c r="Z16615" s="7"/>
      <c r="AA16615" s="7"/>
      <c r="AB16615" s="7"/>
      <c r="AC16615" s="7"/>
      <c r="AD16615" s="7"/>
      <c r="AE16615" s="7"/>
      <c r="AF16615" s="7"/>
    </row>
    <row r="16616" spans="1:32">
      <c r="A16616" s="7"/>
      <c r="B16616" s="7"/>
      <c r="C16616" s="7"/>
      <c r="D16616" s="7"/>
      <c r="E16616" s="7"/>
      <c r="F16616" s="7"/>
      <c r="G16616" s="7"/>
      <c r="H16616" s="7"/>
      <c r="I16616" s="7"/>
      <c r="J16616" s="7"/>
      <c r="K16616" s="7"/>
      <c r="L16616" s="7"/>
      <c r="M16616" s="7"/>
      <c r="N16616" s="7"/>
      <c r="O16616" s="7"/>
      <c r="P16616" s="7"/>
      <c r="Q16616" s="7"/>
      <c r="R16616" s="7"/>
      <c r="S16616" s="7"/>
      <c r="T16616" s="7"/>
      <c r="U16616" s="7"/>
      <c r="V16616" s="7"/>
      <c r="W16616" s="7"/>
      <c r="X16616" s="7"/>
      <c r="Y16616" s="7"/>
      <c r="Z16616" s="7"/>
      <c r="AA16616" s="7"/>
      <c r="AB16616" s="7"/>
      <c r="AC16616" s="7"/>
      <c r="AD16616" s="7"/>
      <c r="AE16616" s="7"/>
      <c r="AF16616" s="7"/>
    </row>
    <row r="16617" spans="1:32">
      <c r="A16617" s="7"/>
      <c r="B16617" s="7"/>
      <c r="C16617" s="7"/>
      <c r="D16617" s="7"/>
      <c r="E16617" s="7"/>
      <c r="F16617" s="7"/>
      <c r="G16617" s="7"/>
      <c r="H16617" s="7"/>
      <c r="I16617" s="7"/>
      <c r="J16617" s="7"/>
      <c r="K16617" s="7"/>
      <c r="L16617" s="7"/>
      <c r="M16617" s="7"/>
      <c r="N16617" s="7"/>
      <c r="O16617" s="7"/>
      <c r="P16617" s="7"/>
      <c r="Q16617" s="7"/>
      <c r="R16617" s="7"/>
      <c r="S16617" s="7"/>
      <c r="T16617" s="7"/>
      <c r="U16617" s="7"/>
      <c r="V16617" s="7"/>
      <c r="W16617" s="7"/>
      <c r="X16617" s="7"/>
      <c r="Y16617" s="7"/>
      <c r="Z16617" s="7"/>
      <c r="AA16617" s="7"/>
      <c r="AB16617" s="7"/>
      <c r="AC16617" s="7"/>
      <c r="AD16617" s="7"/>
      <c r="AE16617" s="7"/>
      <c r="AF16617" s="7"/>
    </row>
    <row r="16618" spans="1:32">
      <c r="A16618" s="7"/>
      <c r="B16618" s="7"/>
      <c r="C16618" s="7"/>
      <c r="D16618" s="7"/>
      <c r="E16618" s="7"/>
      <c r="F16618" s="7"/>
      <c r="G16618" s="7"/>
      <c r="H16618" s="7"/>
      <c r="I16618" s="7"/>
      <c r="J16618" s="7"/>
      <c r="K16618" s="7"/>
      <c r="L16618" s="7"/>
      <c r="M16618" s="7"/>
      <c r="N16618" s="7"/>
      <c r="O16618" s="7"/>
      <c r="P16618" s="7"/>
      <c r="Q16618" s="7"/>
      <c r="R16618" s="7"/>
      <c r="S16618" s="7"/>
      <c r="T16618" s="7"/>
      <c r="U16618" s="7"/>
      <c r="V16618" s="7"/>
      <c r="W16618" s="7"/>
      <c r="X16618" s="7"/>
      <c r="Y16618" s="7"/>
      <c r="Z16618" s="7"/>
      <c r="AA16618" s="7"/>
      <c r="AB16618" s="7"/>
      <c r="AC16618" s="7"/>
      <c r="AD16618" s="7"/>
      <c r="AE16618" s="7"/>
      <c r="AF16618" s="7"/>
    </row>
    <row r="16619" spans="1:32">
      <c r="A16619" s="7"/>
      <c r="B16619" s="7"/>
      <c r="C16619" s="7"/>
      <c r="D16619" s="7"/>
      <c r="E16619" s="7"/>
      <c r="F16619" s="7"/>
      <c r="G16619" s="7"/>
      <c r="H16619" s="7"/>
      <c r="I16619" s="7"/>
      <c r="J16619" s="7"/>
      <c r="K16619" s="7"/>
      <c r="L16619" s="7"/>
      <c r="M16619" s="7"/>
      <c r="N16619" s="7"/>
      <c r="O16619" s="7"/>
      <c r="P16619" s="7"/>
      <c r="Q16619" s="7"/>
      <c r="R16619" s="7"/>
      <c r="S16619" s="7"/>
      <c r="T16619" s="7"/>
      <c r="U16619" s="7"/>
      <c r="V16619" s="7"/>
      <c r="W16619" s="7"/>
      <c r="X16619" s="7"/>
      <c r="Y16619" s="7"/>
      <c r="Z16619" s="7"/>
      <c r="AA16619" s="7"/>
      <c r="AB16619" s="7"/>
      <c r="AC16619" s="7"/>
      <c r="AD16619" s="7"/>
      <c r="AE16619" s="7"/>
      <c r="AF16619" s="7"/>
    </row>
    <row r="16620" spans="1:32">
      <c r="A16620" s="7"/>
      <c r="B16620" s="7"/>
      <c r="C16620" s="7"/>
      <c r="D16620" s="7"/>
      <c r="E16620" s="7"/>
      <c r="F16620" s="7"/>
      <c r="G16620" s="7"/>
      <c r="H16620" s="7"/>
      <c r="I16620" s="7"/>
      <c r="J16620" s="7"/>
      <c r="K16620" s="7"/>
      <c r="L16620" s="7"/>
      <c r="M16620" s="7"/>
      <c r="N16620" s="7"/>
      <c r="O16620" s="7"/>
      <c r="P16620" s="7"/>
      <c r="Q16620" s="7"/>
      <c r="R16620" s="7"/>
      <c r="S16620" s="7"/>
      <c r="T16620" s="7"/>
      <c r="U16620" s="7"/>
      <c r="V16620" s="7"/>
      <c r="W16620" s="7"/>
      <c r="X16620" s="7"/>
      <c r="Y16620" s="7"/>
      <c r="Z16620" s="7"/>
      <c r="AA16620" s="7"/>
      <c r="AB16620" s="7"/>
      <c r="AC16620" s="7"/>
      <c r="AD16620" s="7"/>
      <c r="AE16620" s="7"/>
      <c r="AF16620" s="7"/>
    </row>
    <row r="16621" spans="1:32">
      <c r="A16621" s="7"/>
      <c r="B16621" s="7"/>
      <c r="C16621" s="7"/>
      <c r="D16621" s="7"/>
      <c r="E16621" s="7"/>
      <c r="F16621" s="7"/>
      <c r="G16621" s="7"/>
      <c r="H16621" s="7"/>
      <c r="I16621" s="7"/>
      <c r="J16621" s="7"/>
      <c r="K16621" s="7"/>
      <c r="L16621" s="7"/>
      <c r="M16621" s="7"/>
      <c r="N16621" s="7"/>
      <c r="O16621" s="7"/>
      <c r="P16621" s="7"/>
      <c r="Q16621" s="7"/>
      <c r="R16621" s="7"/>
      <c r="S16621" s="7"/>
      <c r="T16621" s="7"/>
      <c r="U16621" s="7"/>
      <c r="V16621" s="7"/>
      <c r="W16621" s="7"/>
      <c r="X16621" s="7"/>
      <c r="Y16621" s="7"/>
      <c r="Z16621" s="7"/>
      <c r="AA16621" s="7"/>
      <c r="AB16621" s="7"/>
      <c r="AC16621" s="7"/>
      <c r="AD16621" s="7"/>
      <c r="AE16621" s="7"/>
      <c r="AF16621" s="7"/>
    </row>
    <row r="16622" spans="1:32">
      <c r="A16622" s="7"/>
      <c r="B16622" s="7"/>
      <c r="C16622" s="7"/>
      <c r="D16622" s="7"/>
      <c r="E16622" s="7"/>
      <c r="F16622" s="7"/>
      <c r="G16622" s="7"/>
      <c r="H16622" s="7"/>
      <c r="I16622" s="7"/>
      <c r="J16622" s="7"/>
      <c r="K16622" s="7"/>
      <c r="L16622" s="7"/>
      <c r="M16622" s="7"/>
      <c r="N16622" s="7"/>
      <c r="O16622" s="7"/>
      <c r="P16622" s="7"/>
      <c r="Q16622" s="7"/>
      <c r="R16622" s="7"/>
      <c r="S16622" s="7"/>
      <c r="T16622" s="7"/>
      <c r="U16622" s="7"/>
      <c r="V16622" s="7"/>
      <c r="W16622" s="7"/>
      <c r="X16622" s="7"/>
      <c r="Y16622" s="7"/>
      <c r="Z16622" s="7"/>
      <c r="AA16622" s="7"/>
      <c r="AB16622" s="7"/>
      <c r="AC16622" s="7"/>
      <c r="AD16622" s="7"/>
      <c r="AE16622" s="7"/>
      <c r="AF16622" s="7"/>
    </row>
    <row r="16623" spans="1:32">
      <c r="A16623" s="7"/>
      <c r="B16623" s="7"/>
      <c r="C16623" s="7"/>
      <c r="D16623" s="7"/>
      <c r="E16623" s="7"/>
      <c r="F16623" s="7"/>
      <c r="G16623" s="7"/>
      <c r="H16623" s="7"/>
      <c r="I16623" s="7"/>
      <c r="J16623" s="7"/>
      <c r="K16623" s="7"/>
      <c r="L16623" s="7"/>
      <c r="M16623" s="7"/>
      <c r="N16623" s="7"/>
      <c r="O16623" s="7"/>
      <c r="P16623" s="7"/>
      <c r="Q16623" s="7"/>
      <c r="R16623" s="7"/>
      <c r="S16623" s="7"/>
      <c r="T16623" s="7"/>
      <c r="U16623" s="7"/>
      <c r="V16623" s="7"/>
      <c r="W16623" s="7"/>
      <c r="X16623" s="7"/>
      <c r="Y16623" s="7"/>
      <c r="Z16623" s="7"/>
      <c r="AA16623" s="7"/>
      <c r="AB16623" s="7"/>
      <c r="AC16623" s="7"/>
      <c r="AD16623" s="7"/>
      <c r="AE16623" s="7"/>
      <c r="AF16623" s="7"/>
    </row>
    <row r="16624" spans="1:32">
      <c r="A16624" s="7"/>
      <c r="B16624" s="7"/>
      <c r="C16624" s="7"/>
      <c r="D16624" s="7"/>
      <c r="E16624" s="7"/>
      <c r="F16624" s="7"/>
      <c r="G16624" s="7"/>
      <c r="H16624" s="7"/>
      <c r="I16624" s="7"/>
      <c r="J16624" s="7"/>
      <c r="K16624" s="7"/>
      <c r="L16624" s="7"/>
      <c r="M16624" s="7"/>
      <c r="N16624" s="7"/>
      <c r="O16624" s="7"/>
      <c r="P16624" s="7"/>
      <c r="Q16624" s="7"/>
      <c r="R16624" s="7"/>
      <c r="S16624" s="7"/>
      <c r="T16624" s="7"/>
      <c r="U16624" s="7"/>
      <c r="V16624" s="7"/>
      <c r="W16624" s="7"/>
      <c r="X16624" s="7"/>
      <c r="Y16624" s="7"/>
      <c r="Z16624" s="7"/>
      <c r="AA16624" s="7"/>
      <c r="AB16624" s="7"/>
      <c r="AC16624" s="7"/>
      <c r="AD16624" s="7"/>
      <c r="AE16624" s="7"/>
      <c r="AF16624" s="7"/>
    </row>
    <row r="16625" spans="1:32">
      <c r="A16625" s="7"/>
      <c r="B16625" s="7"/>
      <c r="C16625" s="7"/>
      <c r="D16625" s="7"/>
      <c r="E16625" s="7"/>
      <c r="F16625" s="7"/>
      <c r="G16625" s="7"/>
      <c r="H16625" s="7"/>
      <c r="I16625" s="7"/>
      <c r="J16625" s="7"/>
      <c r="K16625" s="7"/>
      <c r="L16625" s="7"/>
      <c r="M16625" s="7"/>
      <c r="N16625" s="7"/>
      <c r="O16625" s="7"/>
      <c r="P16625" s="7"/>
      <c r="Q16625" s="7"/>
      <c r="R16625" s="7"/>
      <c r="S16625" s="7"/>
      <c r="T16625" s="7"/>
      <c r="U16625" s="7"/>
      <c r="V16625" s="7"/>
      <c r="W16625" s="7"/>
      <c r="X16625" s="7"/>
      <c r="Y16625" s="7"/>
      <c r="Z16625" s="7"/>
      <c r="AA16625" s="7"/>
      <c r="AB16625" s="7"/>
      <c r="AC16625" s="7"/>
      <c r="AD16625" s="7"/>
      <c r="AE16625" s="7"/>
      <c r="AF16625" s="7"/>
    </row>
    <row r="16626" spans="1:32">
      <c r="A16626" s="7"/>
      <c r="B16626" s="7"/>
      <c r="C16626" s="7"/>
      <c r="D16626" s="7"/>
      <c r="E16626" s="7"/>
      <c r="F16626" s="7"/>
      <c r="G16626" s="7"/>
      <c r="H16626" s="7"/>
      <c r="I16626" s="7"/>
      <c r="J16626" s="7"/>
      <c r="K16626" s="7"/>
      <c r="L16626" s="7"/>
      <c r="M16626" s="7"/>
      <c r="N16626" s="7"/>
      <c r="O16626" s="7"/>
      <c r="P16626" s="7"/>
      <c r="Q16626" s="7"/>
      <c r="R16626" s="7"/>
      <c r="S16626" s="7"/>
      <c r="T16626" s="7"/>
      <c r="U16626" s="7"/>
      <c r="V16626" s="7"/>
      <c r="W16626" s="7"/>
      <c r="X16626" s="7"/>
      <c r="Y16626" s="7"/>
      <c r="Z16626" s="7"/>
      <c r="AA16626" s="7"/>
      <c r="AB16626" s="7"/>
      <c r="AC16626" s="7"/>
      <c r="AD16626" s="7"/>
      <c r="AE16626" s="7"/>
      <c r="AF16626" s="7"/>
    </row>
    <row r="16627" spans="1:32">
      <c r="A16627" s="7"/>
      <c r="B16627" s="7"/>
      <c r="C16627" s="7"/>
      <c r="D16627" s="7"/>
      <c r="E16627" s="7"/>
      <c r="F16627" s="7"/>
      <c r="G16627" s="7"/>
      <c r="H16627" s="7"/>
      <c r="I16627" s="7"/>
      <c r="J16627" s="7"/>
      <c r="K16627" s="7"/>
      <c r="L16627" s="7"/>
      <c r="M16627" s="7"/>
      <c r="N16627" s="7"/>
      <c r="O16627" s="7"/>
      <c r="P16627" s="7"/>
      <c r="Q16627" s="7"/>
      <c r="R16627" s="7"/>
      <c r="S16627" s="7"/>
      <c r="T16627" s="7"/>
      <c r="U16627" s="7"/>
      <c r="V16627" s="7"/>
      <c r="W16627" s="7"/>
      <c r="X16627" s="7"/>
      <c r="Y16627" s="7"/>
      <c r="Z16627" s="7"/>
      <c r="AA16627" s="7"/>
      <c r="AB16627" s="7"/>
      <c r="AC16627" s="7"/>
      <c r="AD16627" s="7"/>
      <c r="AE16627" s="7"/>
      <c r="AF16627" s="7"/>
    </row>
    <row r="16628" spans="1:32">
      <c r="A16628" s="7"/>
      <c r="B16628" s="7"/>
      <c r="C16628" s="7"/>
      <c r="D16628" s="7"/>
      <c r="E16628" s="7"/>
      <c r="F16628" s="7"/>
      <c r="G16628" s="7"/>
      <c r="H16628" s="7"/>
      <c r="I16628" s="7"/>
      <c r="J16628" s="7"/>
      <c r="K16628" s="7"/>
      <c r="L16628" s="7"/>
      <c r="M16628" s="7"/>
      <c r="N16628" s="7"/>
      <c r="O16628" s="7"/>
      <c r="P16628" s="7"/>
      <c r="Q16628" s="7"/>
      <c r="R16628" s="7"/>
      <c r="S16628" s="7"/>
      <c r="T16628" s="7"/>
      <c r="U16628" s="7"/>
      <c r="V16628" s="7"/>
      <c r="W16628" s="7"/>
      <c r="X16628" s="7"/>
      <c r="Y16628" s="7"/>
      <c r="Z16628" s="7"/>
      <c r="AA16628" s="7"/>
      <c r="AB16628" s="7"/>
      <c r="AC16628" s="7"/>
      <c r="AD16628" s="7"/>
      <c r="AE16628" s="7"/>
      <c r="AF16628" s="7"/>
    </row>
    <row r="16629" spans="1:32">
      <c r="A16629" s="7"/>
      <c r="B16629" s="7"/>
      <c r="C16629" s="7"/>
      <c r="D16629" s="7"/>
      <c r="E16629" s="7"/>
      <c r="F16629" s="7"/>
      <c r="G16629" s="7"/>
      <c r="H16629" s="7"/>
      <c r="I16629" s="7"/>
      <c r="J16629" s="7"/>
      <c r="K16629" s="7"/>
      <c r="L16629" s="7"/>
      <c r="M16629" s="7"/>
      <c r="N16629" s="7"/>
      <c r="O16629" s="7"/>
      <c r="P16629" s="7"/>
      <c r="Q16629" s="7"/>
      <c r="R16629" s="7"/>
      <c r="S16629" s="7"/>
      <c r="T16629" s="7"/>
      <c r="U16629" s="7"/>
      <c r="V16629" s="7"/>
      <c r="W16629" s="7"/>
      <c r="X16629" s="7"/>
      <c r="Y16629" s="7"/>
      <c r="Z16629" s="7"/>
      <c r="AA16629" s="7"/>
      <c r="AB16629" s="7"/>
      <c r="AC16629" s="7"/>
      <c r="AD16629" s="7"/>
      <c r="AE16629" s="7"/>
      <c r="AF16629" s="7"/>
    </row>
    <row r="16630" spans="1:32">
      <c r="A16630" s="7"/>
      <c r="B16630" s="7"/>
      <c r="C16630" s="7"/>
      <c r="D16630" s="7"/>
      <c r="E16630" s="7"/>
      <c r="F16630" s="7"/>
      <c r="G16630" s="7"/>
      <c r="H16630" s="7"/>
      <c r="I16630" s="7"/>
      <c r="J16630" s="7"/>
      <c r="K16630" s="7"/>
      <c r="L16630" s="7"/>
      <c r="M16630" s="7"/>
      <c r="N16630" s="7"/>
      <c r="O16630" s="7"/>
      <c r="P16630" s="7"/>
      <c r="Q16630" s="7"/>
      <c r="R16630" s="7"/>
      <c r="S16630" s="7"/>
      <c r="T16630" s="7"/>
      <c r="U16630" s="7"/>
      <c r="V16630" s="7"/>
      <c r="W16630" s="7"/>
      <c r="X16630" s="7"/>
      <c r="Y16630" s="7"/>
      <c r="Z16630" s="7"/>
      <c r="AA16630" s="7"/>
      <c r="AB16630" s="7"/>
      <c r="AC16630" s="7"/>
      <c r="AD16630" s="7"/>
      <c r="AE16630" s="7"/>
      <c r="AF16630" s="7"/>
    </row>
    <row r="16631" spans="1:32">
      <c r="A16631" s="7"/>
      <c r="B16631" s="7"/>
      <c r="C16631" s="7"/>
      <c r="D16631" s="7"/>
      <c r="E16631" s="7"/>
      <c r="F16631" s="7"/>
      <c r="G16631" s="7"/>
      <c r="H16631" s="7"/>
      <c r="I16631" s="7"/>
      <c r="J16631" s="7"/>
      <c r="K16631" s="7"/>
      <c r="L16631" s="7"/>
      <c r="M16631" s="7"/>
      <c r="N16631" s="7"/>
      <c r="O16631" s="7"/>
      <c r="P16631" s="7"/>
      <c r="Q16631" s="7"/>
      <c r="R16631" s="7"/>
      <c r="S16631" s="7"/>
      <c r="T16631" s="7"/>
      <c r="U16631" s="7"/>
      <c r="V16631" s="7"/>
      <c r="W16631" s="7"/>
      <c r="X16631" s="7"/>
      <c r="Y16631" s="7"/>
      <c r="Z16631" s="7"/>
      <c r="AA16631" s="7"/>
      <c r="AB16631" s="7"/>
      <c r="AC16631" s="7"/>
      <c r="AD16631" s="7"/>
      <c r="AE16631" s="7"/>
      <c r="AF16631" s="7"/>
    </row>
    <row r="16632" spans="1:32">
      <c r="A16632" s="7"/>
      <c r="B16632" s="7"/>
      <c r="C16632" s="7"/>
      <c r="D16632" s="7"/>
      <c r="E16632" s="7"/>
      <c r="F16632" s="7"/>
      <c r="G16632" s="7"/>
      <c r="H16632" s="7"/>
      <c r="I16632" s="7"/>
      <c r="J16632" s="7"/>
      <c r="K16632" s="7"/>
      <c r="L16632" s="7"/>
      <c r="M16632" s="7"/>
      <c r="N16632" s="7"/>
      <c r="O16632" s="7"/>
      <c r="P16632" s="7"/>
      <c r="Q16632" s="7"/>
      <c r="R16632" s="7"/>
      <c r="S16632" s="7"/>
      <c r="T16632" s="7"/>
      <c r="U16632" s="7"/>
      <c r="V16632" s="7"/>
      <c r="W16632" s="7"/>
      <c r="X16632" s="7"/>
      <c r="Y16632" s="7"/>
      <c r="Z16632" s="7"/>
      <c r="AA16632" s="7"/>
      <c r="AB16632" s="7"/>
      <c r="AC16632" s="7"/>
      <c r="AD16632" s="7"/>
      <c r="AE16632" s="7"/>
      <c r="AF16632" s="7"/>
    </row>
    <row r="16633" spans="1:32">
      <c r="A16633" s="7"/>
      <c r="B16633" s="7"/>
      <c r="C16633" s="7"/>
      <c r="D16633" s="7"/>
      <c r="E16633" s="7"/>
      <c r="F16633" s="7"/>
      <c r="G16633" s="7"/>
      <c r="H16633" s="7"/>
      <c r="I16633" s="7"/>
      <c r="J16633" s="7"/>
      <c r="K16633" s="7"/>
      <c r="L16633" s="7"/>
      <c r="M16633" s="7"/>
      <c r="N16633" s="7"/>
      <c r="O16633" s="7"/>
      <c r="P16633" s="7"/>
      <c r="Q16633" s="7"/>
      <c r="R16633" s="7"/>
      <c r="S16633" s="7"/>
      <c r="T16633" s="7"/>
      <c r="U16633" s="7"/>
      <c r="V16633" s="7"/>
      <c r="W16633" s="7"/>
      <c r="X16633" s="7"/>
      <c r="Y16633" s="7"/>
      <c r="Z16633" s="7"/>
      <c r="AA16633" s="7"/>
      <c r="AB16633" s="7"/>
      <c r="AC16633" s="7"/>
      <c r="AD16633" s="7"/>
      <c r="AE16633" s="7"/>
      <c r="AF16633" s="7"/>
    </row>
    <row r="16634" spans="1:32">
      <c r="A16634" s="7"/>
      <c r="B16634" s="7"/>
      <c r="C16634" s="7"/>
      <c r="D16634" s="7"/>
      <c r="E16634" s="7"/>
      <c r="F16634" s="7"/>
      <c r="G16634" s="7"/>
      <c r="H16634" s="7"/>
      <c r="I16634" s="7"/>
      <c r="J16634" s="7"/>
      <c r="K16634" s="7"/>
      <c r="L16634" s="7"/>
      <c r="M16634" s="7"/>
      <c r="N16634" s="7"/>
      <c r="O16634" s="7"/>
      <c r="P16634" s="7"/>
      <c r="Q16634" s="7"/>
      <c r="R16634" s="7"/>
      <c r="S16634" s="7"/>
      <c r="T16634" s="7"/>
      <c r="U16634" s="7"/>
      <c r="V16634" s="7"/>
      <c r="W16634" s="7"/>
      <c r="X16634" s="7"/>
      <c r="Y16634" s="7"/>
      <c r="Z16634" s="7"/>
      <c r="AA16634" s="7"/>
      <c r="AB16634" s="7"/>
      <c r="AC16634" s="7"/>
      <c r="AD16634" s="7"/>
      <c r="AE16634" s="7"/>
      <c r="AF16634" s="7"/>
    </row>
    <row r="16635" spans="1:32">
      <c r="A16635" s="7"/>
      <c r="B16635" s="7"/>
      <c r="C16635" s="7"/>
      <c r="D16635" s="7"/>
      <c r="E16635" s="7"/>
      <c r="F16635" s="7"/>
      <c r="G16635" s="7"/>
      <c r="H16635" s="7"/>
      <c r="I16635" s="7"/>
      <c r="J16635" s="7"/>
      <c r="K16635" s="7"/>
      <c r="L16635" s="7"/>
      <c r="M16635" s="7"/>
      <c r="N16635" s="7"/>
      <c r="O16635" s="7"/>
      <c r="P16635" s="7"/>
      <c r="Q16635" s="7"/>
      <c r="R16635" s="7"/>
      <c r="S16635" s="7"/>
      <c r="T16635" s="7"/>
      <c r="U16635" s="7"/>
      <c r="V16635" s="7"/>
      <c r="W16635" s="7"/>
      <c r="X16635" s="7"/>
      <c r="Y16635" s="7"/>
      <c r="Z16635" s="7"/>
      <c r="AA16635" s="7"/>
      <c r="AB16635" s="7"/>
      <c r="AC16635" s="7"/>
      <c r="AD16635" s="7"/>
      <c r="AE16635" s="7"/>
      <c r="AF16635" s="7"/>
    </row>
    <row r="16636" spans="1:32">
      <c r="A16636" s="7"/>
      <c r="B16636" s="7"/>
      <c r="C16636" s="7"/>
      <c r="D16636" s="7"/>
      <c r="E16636" s="7"/>
      <c r="F16636" s="7"/>
      <c r="G16636" s="7"/>
      <c r="H16636" s="7"/>
      <c r="I16636" s="7"/>
      <c r="J16636" s="7"/>
      <c r="K16636" s="7"/>
      <c r="L16636" s="7"/>
      <c r="M16636" s="7"/>
      <c r="N16636" s="7"/>
      <c r="O16636" s="7"/>
      <c r="P16636" s="7"/>
      <c r="Q16636" s="7"/>
      <c r="R16636" s="7"/>
      <c r="S16636" s="7"/>
      <c r="T16636" s="7"/>
      <c r="U16636" s="7"/>
      <c r="V16636" s="7"/>
      <c r="W16636" s="7"/>
      <c r="X16636" s="7"/>
      <c r="Y16636" s="7"/>
      <c r="Z16636" s="7"/>
      <c r="AA16636" s="7"/>
      <c r="AB16636" s="7"/>
      <c r="AC16636" s="7"/>
      <c r="AD16636" s="7"/>
      <c r="AE16636" s="7"/>
      <c r="AF16636" s="7"/>
    </row>
    <row r="16637" spans="1:32">
      <c r="A16637" s="7"/>
      <c r="B16637" s="7"/>
      <c r="C16637" s="7"/>
      <c r="D16637" s="7"/>
      <c r="E16637" s="7"/>
      <c r="F16637" s="7"/>
      <c r="G16637" s="7"/>
      <c r="H16637" s="7"/>
      <c r="I16637" s="7"/>
      <c r="J16637" s="7"/>
      <c r="K16637" s="7"/>
      <c r="L16637" s="7"/>
      <c r="M16637" s="7"/>
      <c r="N16637" s="7"/>
      <c r="O16637" s="7"/>
      <c r="P16637" s="7"/>
      <c r="Q16637" s="7"/>
      <c r="R16637" s="7"/>
      <c r="S16637" s="7"/>
      <c r="T16637" s="7"/>
      <c r="U16637" s="7"/>
      <c r="V16637" s="7"/>
      <c r="W16637" s="7"/>
      <c r="X16637" s="7"/>
      <c r="Y16637" s="7"/>
      <c r="Z16637" s="7"/>
      <c r="AA16637" s="7"/>
      <c r="AB16637" s="7"/>
      <c r="AC16637" s="7"/>
      <c r="AD16637" s="7"/>
      <c r="AE16637" s="7"/>
      <c r="AF16637" s="7"/>
    </row>
    <row r="16638" spans="1:32">
      <c r="A16638" s="7"/>
      <c r="B16638" s="7"/>
      <c r="C16638" s="7"/>
      <c r="D16638" s="7"/>
      <c r="E16638" s="7"/>
      <c r="F16638" s="7"/>
      <c r="G16638" s="7"/>
      <c r="H16638" s="7"/>
      <c r="I16638" s="7"/>
      <c r="J16638" s="7"/>
      <c r="K16638" s="7"/>
      <c r="L16638" s="7"/>
      <c r="M16638" s="7"/>
      <c r="N16638" s="7"/>
      <c r="O16638" s="7"/>
      <c r="P16638" s="7"/>
      <c r="Q16638" s="7"/>
      <c r="R16638" s="7"/>
      <c r="S16638" s="7"/>
      <c r="T16638" s="7"/>
      <c r="U16638" s="7"/>
      <c r="V16638" s="7"/>
      <c r="W16638" s="7"/>
      <c r="X16638" s="7"/>
      <c r="Y16638" s="7"/>
      <c r="Z16638" s="7"/>
      <c r="AA16638" s="7"/>
      <c r="AB16638" s="7"/>
      <c r="AC16638" s="7"/>
      <c r="AD16638" s="7"/>
      <c r="AE16638" s="7"/>
      <c r="AF16638" s="7"/>
    </row>
    <row r="16639" spans="1:32">
      <c r="A16639" s="7"/>
      <c r="B16639" s="7"/>
      <c r="C16639" s="7"/>
      <c r="D16639" s="7"/>
      <c r="E16639" s="7"/>
      <c r="F16639" s="7"/>
      <c r="G16639" s="7"/>
      <c r="H16639" s="7"/>
      <c r="I16639" s="7"/>
      <c r="J16639" s="7"/>
      <c r="K16639" s="7"/>
      <c r="L16639" s="7"/>
      <c r="M16639" s="7"/>
      <c r="N16639" s="7"/>
      <c r="O16639" s="7"/>
      <c r="P16639" s="7"/>
      <c r="Q16639" s="7"/>
      <c r="R16639" s="7"/>
      <c r="S16639" s="7"/>
      <c r="T16639" s="7"/>
      <c r="U16639" s="7"/>
      <c r="V16639" s="7"/>
      <c r="W16639" s="7"/>
      <c r="X16639" s="7"/>
      <c r="Y16639" s="7"/>
      <c r="Z16639" s="7"/>
      <c r="AA16639" s="7"/>
      <c r="AB16639" s="7"/>
      <c r="AC16639" s="7"/>
      <c r="AD16639" s="7"/>
      <c r="AE16639" s="7"/>
      <c r="AF16639" s="7"/>
    </row>
    <row r="16640" spans="1:32">
      <c r="A16640" s="7"/>
      <c r="B16640" s="7"/>
      <c r="C16640" s="7"/>
      <c r="D16640" s="7"/>
      <c r="E16640" s="7"/>
      <c r="F16640" s="7"/>
      <c r="G16640" s="7"/>
      <c r="H16640" s="7"/>
      <c r="I16640" s="7"/>
      <c r="J16640" s="7"/>
      <c r="K16640" s="7"/>
      <c r="L16640" s="7"/>
      <c r="M16640" s="7"/>
      <c r="N16640" s="7"/>
      <c r="O16640" s="7"/>
      <c r="P16640" s="7"/>
      <c r="Q16640" s="7"/>
      <c r="R16640" s="7"/>
      <c r="S16640" s="7"/>
      <c r="T16640" s="7"/>
      <c r="U16640" s="7"/>
      <c r="V16640" s="7"/>
      <c r="W16640" s="7"/>
      <c r="X16640" s="7"/>
      <c r="Y16640" s="7"/>
      <c r="Z16640" s="7"/>
      <c r="AA16640" s="7"/>
      <c r="AB16640" s="7"/>
      <c r="AC16640" s="7"/>
      <c r="AD16640" s="7"/>
      <c r="AE16640" s="7"/>
      <c r="AF16640" s="7"/>
    </row>
    <row r="16641" spans="1:32">
      <c r="A16641" s="7"/>
      <c r="B16641" s="7"/>
      <c r="C16641" s="7"/>
      <c r="D16641" s="7"/>
      <c r="E16641" s="7"/>
      <c r="F16641" s="7"/>
      <c r="G16641" s="7"/>
      <c r="H16641" s="7"/>
      <c r="I16641" s="7"/>
      <c r="J16641" s="7"/>
      <c r="K16641" s="7"/>
      <c r="L16641" s="7"/>
      <c r="M16641" s="7"/>
      <c r="N16641" s="7"/>
      <c r="O16641" s="7"/>
      <c r="P16641" s="7"/>
      <c r="Q16641" s="7"/>
      <c r="R16641" s="7"/>
      <c r="S16641" s="7"/>
      <c r="T16641" s="7"/>
      <c r="U16641" s="7"/>
      <c r="V16641" s="7"/>
      <c r="W16641" s="7"/>
      <c r="X16641" s="7"/>
      <c r="Y16641" s="7"/>
      <c r="Z16641" s="7"/>
      <c r="AA16641" s="7"/>
      <c r="AB16641" s="7"/>
      <c r="AC16641" s="7"/>
      <c r="AD16641" s="7"/>
      <c r="AE16641" s="7"/>
      <c r="AF16641" s="7"/>
    </row>
    <row r="16642" spans="1:32">
      <c r="A16642" s="7"/>
      <c r="B16642" s="7"/>
      <c r="C16642" s="7"/>
      <c r="D16642" s="7"/>
      <c r="E16642" s="7"/>
      <c r="F16642" s="7"/>
      <c r="G16642" s="7"/>
      <c r="H16642" s="7"/>
      <c r="I16642" s="7"/>
      <c r="J16642" s="7"/>
      <c r="K16642" s="7"/>
      <c r="L16642" s="7"/>
      <c r="M16642" s="7"/>
      <c r="N16642" s="7"/>
      <c r="O16642" s="7"/>
      <c r="P16642" s="7"/>
      <c r="Q16642" s="7"/>
      <c r="R16642" s="7"/>
      <c r="S16642" s="7"/>
      <c r="T16642" s="7"/>
      <c r="U16642" s="7"/>
      <c r="V16642" s="7"/>
      <c r="W16642" s="7"/>
      <c r="X16642" s="7"/>
      <c r="Y16642" s="7"/>
      <c r="Z16642" s="7"/>
      <c r="AA16642" s="7"/>
      <c r="AB16642" s="7"/>
      <c r="AC16642" s="7"/>
      <c r="AD16642" s="7"/>
      <c r="AE16642" s="7"/>
      <c r="AF16642" s="7"/>
    </row>
    <row r="16643" spans="1:32">
      <c r="A16643" s="7"/>
      <c r="B16643" s="7"/>
      <c r="C16643" s="7"/>
      <c r="D16643" s="7"/>
      <c r="E16643" s="7"/>
      <c r="F16643" s="7"/>
      <c r="G16643" s="7"/>
      <c r="H16643" s="7"/>
      <c r="I16643" s="7"/>
      <c r="J16643" s="7"/>
      <c r="K16643" s="7"/>
      <c r="L16643" s="7"/>
      <c r="M16643" s="7"/>
      <c r="N16643" s="7"/>
      <c r="O16643" s="7"/>
      <c r="P16643" s="7"/>
      <c r="Q16643" s="7"/>
      <c r="R16643" s="7"/>
      <c r="S16643" s="7"/>
      <c r="T16643" s="7"/>
      <c r="U16643" s="7"/>
      <c r="V16643" s="7"/>
      <c r="W16643" s="7"/>
      <c r="X16643" s="7"/>
      <c r="Y16643" s="7"/>
      <c r="Z16643" s="7"/>
      <c r="AA16643" s="7"/>
      <c r="AB16643" s="7"/>
      <c r="AC16643" s="7"/>
      <c r="AD16643" s="7"/>
      <c r="AE16643" s="7"/>
      <c r="AF16643" s="7"/>
    </row>
    <row r="16644" spans="1:32">
      <c r="A16644" s="7"/>
      <c r="B16644" s="7"/>
      <c r="C16644" s="7"/>
      <c r="D16644" s="7"/>
      <c r="E16644" s="7"/>
      <c r="F16644" s="7"/>
      <c r="G16644" s="7"/>
      <c r="H16644" s="7"/>
      <c r="I16644" s="7"/>
      <c r="J16644" s="7"/>
      <c r="K16644" s="7"/>
      <c r="L16644" s="7"/>
      <c r="M16644" s="7"/>
      <c r="N16644" s="7"/>
      <c r="O16644" s="7"/>
      <c r="P16644" s="7"/>
      <c r="Q16644" s="7"/>
      <c r="R16644" s="7"/>
      <c r="S16644" s="7"/>
      <c r="T16644" s="7"/>
      <c r="U16644" s="7"/>
      <c r="V16644" s="7"/>
      <c r="W16644" s="7"/>
      <c r="X16644" s="7"/>
      <c r="Y16644" s="7"/>
      <c r="Z16644" s="7"/>
      <c r="AA16644" s="7"/>
      <c r="AB16644" s="7"/>
      <c r="AC16644" s="7"/>
      <c r="AD16644" s="7"/>
      <c r="AE16644" s="7"/>
      <c r="AF16644" s="7"/>
    </row>
    <row r="16645" spans="1:32">
      <c r="A16645" s="7"/>
      <c r="B16645" s="7"/>
      <c r="C16645" s="7"/>
      <c r="D16645" s="7"/>
      <c r="E16645" s="7"/>
      <c r="F16645" s="7"/>
      <c r="G16645" s="7"/>
      <c r="H16645" s="7"/>
      <c r="I16645" s="7"/>
      <c r="J16645" s="7"/>
      <c r="K16645" s="7"/>
      <c r="L16645" s="7"/>
      <c r="M16645" s="7"/>
      <c r="N16645" s="7"/>
      <c r="O16645" s="7"/>
      <c r="P16645" s="7"/>
      <c r="Q16645" s="7"/>
      <c r="R16645" s="7"/>
      <c r="S16645" s="7"/>
      <c r="T16645" s="7"/>
      <c r="U16645" s="7"/>
      <c r="V16645" s="7"/>
      <c r="W16645" s="7"/>
      <c r="X16645" s="7"/>
      <c r="Y16645" s="7"/>
      <c r="Z16645" s="7"/>
      <c r="AA16645" s="7"/>
      <c r="AB16645" s="7"/>
      <c r="AC16645" s="7"/>
      <c r="AD16645" s="7"/>
      <c r="AE16645" s="7"/>
      <c r="AF16645" s="7"/>
    </row>
    <row r="16646" spans="1:32">
      <c r="A16646" s="7"/>
      <c r="B16646" s="7"/>
      <c r="C16646" s="7"/>
      <c r="D16646" s="7"/>
      <c r="E16646" s="7"/>
      <c r="F16646" s="7"/>
      <c r="G16646" s="7"/>
      <c r="H16646" s="7"/>
      <c r="I16646" s="7"/>
      <c r="J16646" s="7"/>
      <c r="K16646" s="7"/>
      <c r="L16646" s="7"/>
      <c r="M16646" s="7"/>
      <c r="N16646" s="7"/>
      <c r="O16646" s="7"/>
      <c r="P16646" s="7"/>
      <c r="Q16646" s="7"/>
      <c r="R16646" s="7"/>
      <c r="S16646" s="7"/>
      <c r="T16646" s="7"/>
      <c r="U16646" s="7"/>
      <c r="V16646" s="7"/>
      <c r="W16646" s="7"/>
      <c r="X16646" s="7"/>
      <c r="Y16646" s="7"/>
      <c r="Z16646" s="7"/>
      <c r="AA16646" s="7"/>
      <c r="AB16646" s="7"/>
      <c r="AC16646" s="7"/>
      <c r="AD16646" s="7"/>
      <c r="AE16646" s="7"/>
      <c r="AF16646" s="7"/>
    </row>
    <row r="16647" spans="1:32">
      <c r="A16647" s="7"/>
      <c r="B16647" s="7"/>
      <c r="C16647" s="7"/>
      <c r="D16647" s="7"/>
      <c r="E16647" s="7"/>
      <c r="F16647" s="7"/>
      <c r="G16647" s="7"/>
      <c r="H16647" s="7"/>
      <c r="I16647" s="7"/>
      <c r="J16647" s="7"/>
      <c r="K16647" s="7"/>
      <c r="L16647" s="7"/>
      <c r="M16647" s="7"/>
      <c r="N16647" s="7"/>
      <c r="O16647" s="7"/>
      <c r="P16647" s="7"/>
      <c r="Q16647" s="7"/>
      <c r="R16647" s="7"/>
      <c r="S16647" s="7"/>
      <c r="T16647" s="7"/>
      <c r="U16647" s="7"/>
      <c r="V16647" s="7"/>
      <c r="W16647" s="7"/>
      <c r="X16647" s="7"/>
      <c r="Y16647" s="7"/>
      <c r="Z16647" s="7"/>
      <c r="AA16647" s="7"/>
      <c r="AB16647" s="7"/>
      <c r="AC16647" s="7"/>
      <c r="AD16647" s="7"/>
      <c r="AE16647" s="7"/>
      <c r="AF16647" s="7"/>
    </row>
    <row r="16648" spans="1:32">
      <c r="A16648" s="7"/>
      <c r="B16648" s="7"/>
      <c r="C16648" s="7"/>
      <c r="D16648" s="7"/>
      <c r="E16648" s="7"/>
      <c r="F16648" s="7"/>
      <c r="G16648" s="7"/>
      <c r="H16648" s="7"/>
      <c r="I16648" s="7"/>
      <c r="J16648" s="7"/>
      <c r="K16648" s="7"/>
      <c r="L16648" s="7"/>
      <c r="M16648" s="7"/>
      <c r="N16648" s="7"/>
      <c r="O16648" s="7"/>
      <c r="P16648" s="7"/>
      <c r="Q16648" s="7"/>
      <c r="R16648" s="7"/>
      <c r="S16648" s="7"/>
      <c r="T16648" s="7"/>
      <c r="U16648" s="7"/>
      <c r="V16648" s="7"/>
      <c r="W16648" s="7"/>
      <c r="X16648" s="7"/>
      <c r="Y16648" s="7"/>
      <c r="Z16648" s="7"/>
      <c r="AA16648" s="7"/>
      <c r="AB16648" s="7"/>
      <c r="AC16648" s="7"/>
      <c r="AD16648" s="7"/>
      <c r="AE16648" s="7"/>
      <c r="AF16648" s="7"/>
    </row>
    <row r="16649" spans="1:32">
      <c r="A16649" s="7"/>
      <c r="B16649" s="7"/>
      <c r="C16649" s="7"/>
      <c r="D16649" s="7"/>
      <c r="E16649" s="7"/>
      <c r="F16649" s="7"/>
      <c r="G16649" s="7"/>
      <c r="H16649" s="7"/>
      <c r="I16649" s="7"/>
      <c r="J16649" s="7"/>
      <c r="K16649" s="7"/>
      <c r="L16649" s="7"/>
      <c r="M16649" s="7"/>
      <c r="N16649" s="7"/>
      <c r="O16649" s="7"/>
      <c r="P16649" s="7"/>
      <c r="Q16649" s="7"/>
      <c r="R16649" s="7"/>
      <c r="S16649" s="7"/>
      <c r="T16649" s="7"/>
      <c r="U16649" s="7"/>
      <c r="V16649" s="7"/>
      <c r="W16649" s="7"/>
      <c r="X16649" s="7"/>
      <c r="Y16649" s="7"/>
      <c r="Z16649" s="7"/>
      <c r="AA16649" s="7"/>
      <c r="AB16649" s="7"/>
      <c r="AC16649" s="7"/>
      <c r="AD16649" s="7"/>
      <c r="AE16649" s="7"/>
      <c r="AF16649" s="7"/>
    </row>
    <row r="16650" spans="1:32">
      <c r="A16650" s="7"/>
      <c r="B16650" s="7"/>
      <c r="C16650" s="7"/>
      <c r="D16650" s="7"/>
      <c r="E16650" s="7"/>
      <c r="F16650" s="7"/>
      <c r="G16650" s="7"/>
      <c r="H16650" s="7"/>
      <c r="I16650" s="7"/>
      <c r="J16650" s="7"/>
      <c r="K16650" s="7"/>
      <c r="L16650" s="7"/>
      <c r="M16650" s="7"/>
      <c r="N16650" s="7"/>
      <c r="O16650" s="7"/>
      <c r="P16650" s="7"/>
      <c r="Q16650" s="7"/>
      <c r="R16650" s="7"/>
      <c r="S16650" s="7"/>
      <c r="T16650" s="7"/>
      <c r="U16650" s="7"/>
      <c r="V16650" s="7"/>
      <c r="W16650" s="7"/>
      <c r="X16650" s="7"/>
      <c r="Y16650" s="7"/>
      <c r="Z16650" s="7"/>
      <c r="AA16650" s="7"/>
      <c r="AB16650" s="7"/>
      <c r="AC16650" s="7"/>
      <c r="AD16650" s="7"/>
      <c r="AE16650" s="7"/>
      <c r="AF16650" s="7"/>
    </row>
    <row r="16651" spans="1:32">
      <c r="A16651" s="7"/>
      <c r="B16651" s="7"/>
      <c r="C16651" s="7"/>
      <c r="D16651" s="7"/>
      <c r="E16651" s="7"/>
      <c r="F16651" s="7"/>
      <c r="G16651" s="7"/>
      <c r="H16651" s="7"/>
      <c r="I16651" s="7"/>
      <c r="J16651" s="7"/>
      <c r="K16651" s="7"/>
      <c r="L16651" s="7"/>
      <c r="M16651" s="7"/>
      <c r="N16651" s="7"/>
      <c r="O16651" s="7"/>
      <c r="P16651" s="7"/>
      <c r="Q16651" s="7"/>
      <c r="R16651" s="7"/>
      <c r="S16651" s="7"/>
      <c r="T16651" s="7"/>
      <c r="U16651" s="7"/>
      <c r="V16651" s="7"/>
      <c r="W16651" s="7"/>
      <c r="X16651" s="7"/>
      <c r="Y16651" s="7"/>
      <c r="Z16651" s="7"/>
      <c r="AA16651" s="7"/>
      <c r="AB16651" s="7"/>
      <c r="AC16651" s="7"/>
      <c r="AD16651" s="7"/>
      <c r="AE16651" s="7"/>
      <c r="AF16651" s="7"/>
    </row>
    <row r="16652" spans="1:32">
      <c r="A16652" s="7"/>
      <c r="B16652" s="7"/>
      <c r="C16652" s="7"/>
      <c r="D16652" s="7"/>
      <c r="E16652" s="7"/>
      <c r="F16652" s="7"/>
      <c r="G16652" s="7"/>
      <c r="H16652" s="7"/>
      <c r="I16652" s="7"/>
      <c r="J16652" s="7"/>
      <c r="K16652" s="7"/>
      <c r="L16652" s="7"/>
      <c r="M16652" s="7"/>
      <c r="N16652" s="7"/>
      <c r="O16652" s="7"/>
      <c r="P16652" s="7"/>
      <c r="Q16652" s="7"/>
      <c r="R16652" s="7"/>
      <c r="S16652" s="7"/>
      <c r="T16652" s="7"/>
      <c r="U16652" s="7"/>
      <c r="V16652" s="7"/>
      <c r="W16652" s="7"/>
      <c r="X16652" s="7"/>
      <c r="Y16652" s="7"/>
      <c r="Z16652" s="7"/>
      <c r="AA16652" s="7"/>
      <c r="AB16652" s="7"/>
      <c r="AC16652" s="7"/>
      <c r="AD16652" s="7"/>
      <c r="AE16652" s="7"/>
      <c r="AF16652" s="7"/>
    </row>
    <row r="16653" spans="1:32">
      <c r="A16653" s="7"/>
      <c r="B16653" s="7"/>
      <c r="C16653" s="7"/>
      <c r="D16653" s="7"/>
      <c r="E16653" s="7"/>
      <c r="F16653" s="7"/>
      <c r="G16653" s="7"/>
      <c r="H16653" s="7"/>
      <c r="I16653" s="7"/>
      <c r="J16653" s="7"/>
      <c r="K16653" s="7"/>
      <c r="L16653" s="7"/>
      <c r="M16653" s="7"/>
      <c r="N16653" s="7"/>
      <c r="O16653" s="7"/>
      <c r="P16653" s="7"/>
      <c r="Q16653" s="7"/>
      <c r="R16653" s="7"/>
      <c r="S16653" s="7"/>
      <c r="T16653" s="7"/>
      <c r="U16653" s="7"/>
      <c r="V16653" s="7"/>
      <c r="W16653" s="7"/>
      <c r="X16653" s="7"/>
      <c r="Y16653" s="7"/>
      <c r="Z16653" s="7"/>
      <c r="AA16653" s="7"/>
      <c r="AB16653" s="7"/>
      <c r="AC16653" s="7"/>
      <c r="AD16653" s="7"/>
      <c r="AE16653" s="7"/>
      <c r="AF16653" s="7"/>
    </row>
    <row r="16654" spans="1:32">
      <c r="A16654" s="7"/>
      <c r="B16654" s="7"/>
      <c r="C16654" s="7"/>
      <c r="D16654" s="7"/>
      <c r="E16654" s="7"/>
      <c r="F16654" s="7"/>
      <c r="G16654" s="7"/>
      <c r="H16654" s="7"/>
      <c r="I16654" s="7"/>
      <c r="J16654" s="7"/>
      <c r="K16654" s="7"/>
      <c r="L16654" s="7"/>
      <c r="M16654" s="7"/>
      <c r="N16654" s="7"/>
      <c r="O16654" s="7"/>
      <c r="P16654" s="7"/>
      <c r="Q16654" s="7"/>
      <c r="R16654" s="7"/>
      <c r="S16654" s="7"/>
      <c r="T16654" s="7"/>
      <c r="U16654" s="7"/>
      <c r="V16654" s="7"/>
      <c r="W16654" s="7"/>
      <c r="X16654" s="7"/>
      <c r="Y16654" s="7"/>
      <c r="Z16654" s="7"/>
      <c r="AA16654" s="7"/>
      <c r="AB16654" s="7"/>
      <c r="AC16654" s="7"/>
      <c r="AD16654" s="7"/>
      <c r="AE16654" s="7"/>
      <c r="AF16654" s="7"/>
    </row>
    <row r="16655" spans="1:32">
      <c r="A16655" s="7"/>
      <c r="B16655" s="7"/>
      <c r="C16655" s="7"/>
      <c r="D16655" s="7"/>
      <c r="E16655" s="7"/>
      <c r="F16655" s="7"/>
      <c r="G16655" s="7"/>
      <c r="H16655" s="7"/>
      <c r="I16655" s="7"/>
      <c r="J16655" s="7"/>
      <c r="K16655" s="7"/>
      <c r="L16655" s="7"/>
      <c r="M16655" s="7"/>
      <c r="N16655" s="7"/>
      <c r="O16655" s="7"/>
      <c r="P16655" s="7"/>
      <c r="Q16655" s="7"/>
      <c r="R16655" s="7"/>
      <c r="S16655" s="7"/>
      <c r="T16655" s="7"/>
      <c r="U16655" s="7"/>
      <c r="V16655" s="7"/>
      <c r="W16655" s="7"/>
      <c r="X16655" s="7"/>
      <c r="Y16655" s="7"/>
      <c r="Z16655" s="7"/>
      <c r="AA16655" s="7"/>
      <c r="AB16655" s="7"/>
      <c r="AC16655" s="7"/>
      <c r="AD16655" s="7"/>
      <c r="AE16655" s="7"/>
      <c r="AF16655" s="7"/>
    </row>
    <row r="16656" spans="1:32">
      <c r="A16656" s="7"/>
      <c r="B16656" s="7"/>
      <c r="C16656" s="7"/>
      <c r="D16656" s="7"/>
      <c r="E16656" s="7"/>
      <c r="F16656" s="7"/>
      <c r="G16656" s="7"/>
      <c r="H16656" s="7"/>
      <c r="I16656" s="7"/>
      <c r="J16656" s="7"/>
      <c r="K16656" s="7"/>
      <c r="L16656" s="7"/>
      <c r="M16656" s="7"/>
      <c r="N16656" s="7"/>
      <c r="O16656" s="7"/>
      <c r="P16656" s="7"/>
      <c r="Q16656" s="7"/>
      <c r="R16656" s="7"/>
      <c r="S16656" s="7"/>
      <c r="T16656" s="7"/>
      <c r="U16656" s="7"/>
      <c r="V16656" s="7"/>
      <c r="W16656" s="7"/>
      <c r="X16656" s="7"/>
      <c r="Y16656" s="7"/>
      <c r="Z16656" s="7"/>
      <c r="AA16656" s="7"/>
      <c r="AB16656" s="7"/>
      <c r="AC16656" s="7"/>
      <c r="AD16656" s="7"/>
      <c r="AE16656" s="7"/>
      <c r="AF16656" s="7"/>
    </row>
    <row r="16657" spans="1:32">
      <c r="A16657" s="7"/>
      <c r="B16657" s="7"/>
      <c r="C16657" s="7"/>
      <c r="D16657" s="7"/>
      <c r="E16657" s="7"/>
      <c r="F16657" s="7"/>
      <c r="G16657" s="7"/>
      <c r="H16657" s="7"/>
      <c r="I16657" s="7"/>
      <c r="J16657" s="7"/>
      <c r="K16657" s="7"/>
      <c r="L16657" s="7"/>
      <c r="M16657" s="7"/>
      <c r="N16657" s="7"/>
      <c r="O16657" s="7"/>
      <c r="P16657" s="7"/>
      <c r="Q16657" s="7"/>
      <c r="R16657" s="7"/>
      <c r="S16657" s="7"/>
      <c r="T16657" s="7"/>
      <c r="U16657" s="7"/>
      <c r="V16657" s="7"/>
      <c r="W16657" s="7"/>
      <c r="X16657" s="7"/>
      <c r="Y16657" s="7"/>
      <c r="Z16657" s="7"/>
      <c r="AA16657" s="7"/>
      <c r="AB16657" s="7"/>
      <c r="AC16657" s="7"/>
      <c r="AD16657" s="7"/>
      <c r="AE16657" s="7"/>
      <c r="AF16657" s="7"/>
    </row>
    <row r="16658" spans="1:32">
      <c r="A16658" s="7"/>
      <c r="B16658" s="7"/>
      <c r="C16658" s="7"/>
      <c r="D16658" s="7"/>
      <c r="E16658" s="7"/>
      <c r="F16658" s="7"/>
      <c r="G16658" s="7"/>
      <c r="H16658" s="7"/>
      <c r="I16658" s="7"/>
      <c r="J16658" s="7"/>
      <c r="K16658" s="7"/>
      <c r="L16658" s="7"/>
      <c r="M16658" s="7"/>
      <c r="N16658" s="7"/>
      <c r="O16658" s="7"/>
      <c r="P16658" s="7"/>
      <c r="Q16658" s="7"/>
      <c r="R16658" s="7"/>
      <c r="S16658" s="7"/>
      <c r="T16658" s="7"/>
      <c r="U16658" s="7"/>
      <c r="V16658" s="7"/>
      <c r="W16658" s="7"/>
      <c r="X16658" s="7"/>
      <c r="Y16658" s="7"/>
      <c r="Z16658" s="7"/>
      <c r="AA16658" s="7"/>
      <c r="AB16658" s="7"/>
      <c r="AC16658" s="7"/>
      <c r="AD16658" s="7"/>
      <c r="AE16658" s="7"/>
      <c r="AF16658" s="7"/>
    </row>
    <row r="16659" spans="1:32">
      <c r="A16659" s="7"/>
      <c r="B16659" s="7"/>
      <c r="C16659" s="7"/>
      <c r="D16659" s="7"/>
      <c r="E16659" s="7"/>
      <c r="F16659" s="7"/>
      <c r="G16659" s="7"/>
      <c r="H16659" s="7"/>
      <c r="I16659" s="7"/>
      <c r="J16659" s="7"/>
      <c r="K16659" s="7"/>
      <c r="L16659" s="7"/>
      <c r="M16659" s="7"/>
      <c r="N16659" s="7"/>
      <c r="O16659" s="7"/>
      <c r="P16659" s="7"/>
      <c r="Q16659" s="7"/>
      <c r="R16659" s="7"/>
      <c r="S16659" s="7"/>
      <c r="T16659" s="7"/>
      <c r="U16659" s="7"/>
      <c r="V16659" s="7"/>
      <c r="W16659" s="7"/>
      <c r="X16659" s="7"/>
      <c r="Y16659" s="7"/>
      <c r="Z16659" s="7"/>
      <c r="AA16659" s="7"/>
      <c r="AB16659" s="7"/>
      <c r="AC16659" s="7"/>
      <c r="AD16659" s="7"/>
      <c r="AE16659" s="7"/>
      <c r="AF16659" s="7"/>
    </row>
    <row r="16660" spans="1:32">
      <c r="A16660" s="7"/>
      <c r="B16660" s="7"/>
      <c r="C16660" s="7"/>
      <c r="D16660" s="7"/>
      <c r="E16660" s="7"/>
      <c r="F16660" s="7"/>
      <c r="G16660" s="7"/>
      <c r="H16660" s="7"/>
      <c r="I16660" s="7"/>
      <c r="J16660" s="7"/>
      <c r="K16660" s="7"/>
      <c r="L16660" s="7"/>
      <c r="M16660" s="7"/>
      <c r="N16660" s="7"/>
      <c r="O16660" s="7"/>
      <c r="P16660" s="7"/>
      <c r="Q16660" s="7"/>
      <c r="R16660" s="7"/>
      <c r="S16660" s="7"/>
      <c r="T16660" s="7"/>
      <c r="U16660" s="7"/>
      <c r="V16660" s="7"/>
      <c r="W16660" s="7"/>
      <c r="X16660" s="7"/>
      <c r="Y16660" s="7"/>
      <c r="Z16660" s="7"/>
      <c r="AA16660" s="7"/>
      <c r="AB16660" s="7"/>
      <c r="AC16660" s="7"/>
      <c r="AD16660" s="7"/>
      <c r="AE16660" s="7"/>
      <c r="AF16660" s="7"/>
    </row>
    <row r="16661" spans="1:32">
      <c r="A16661" s="7"/>
      <c r="B16661" s="7"/>
      <c r="C16661" s="7"/>
      <c r="D16661" s="7"/>
      <c r="E16661" s="7"/>
      <c r="F16661" s="7"/>
      <c r="G16661" s="7"/>
      <c r="H16661" s="7"/>
      <c r="I16661" s="7"/>
      <c r="J16661" s="7"/>
      <c r="K16661" s="7"/>
      <c r="L16661" s="7"/>
      <c r="M16661" s="7"/>
      <c r="N16661" s="7"/>
      <c r="O16661" s="7"/>
      <c r="P16661" s="7"/>
      <c r="Q16661" s="7"/>
      <c r="R16661" s="7"/>
      <c r="S16661" s="7"/>
      <c r="T16661" s="7"/>
      <c r="U16661" s="7"/>
      <c r="V16661" s="7"/>
      <c r="W16661" s="7"/>
      <c r="X16661" s="7"/>
      <c r="Y16661" s="7"/>
      <c r="Z16661" s="7"/>
      <c r="AA16661" s="7"/>
      <c r="AB16661" s="7"/>
      <c r="AC16661" s="7"/>
      <c r="AD16661" s="7"/>
      <c r="AE16661" s="7"/>
      <c r="AF16661" s="7"/>
    </row>
    <row r="16662" spans="1:32">
      <c r="A16662" s="7"/>
      <c r="B16662" s="7"/>
      <c r="C16662" s="7"/>
      <c r="D16662" s="7"/>
      <c r="E16662" s="7"/>
      <c r="F16662" s="7"/>
      <c r="G16662" s="7"/>
      <c r="H16662" s="7"/>
      <c r="I16662" s="7"/>
      <c r="J16662" s="7"/>
      <c r="K16662" s="7"/>
      <c r="L16662" s="7"/>
      <c r="M16662" s="7"/>
      <c r="N16662" s="7"/>
      <c r="O16662" s="7"/>
      <c r="P16662" s="7"/>
      <c r="Q16662" s="7"/>
      <c r="R16662" s="7"/>
      <c r="S16662" s="7"/>
      <c r="T16662" s="7"/>
      <c r="U16662" s="7"/>
      <c r="V16662" s="7"/>
      <c r="W16662" s="7"/>
      <c r="X16662" s="7"/>
      <c r="Y16662" s="7"/>
      <c r="Z16662" s="7"/>
      <c r="AA16662" s="7"/>
      <c r="AB16662" s="7"/>
      <c r="AC16662" s="7"/>
      <c r="AD16662" s="7"/>
      <c r="AE16662" s="7"/>
      <c r="AF16662" s="7"/>
    </row>
    <row r="16663" spans="1:32">
      <c r="A16663" s="7"/>
      <c r="B16663" s="7"/>
      <c r="C16663" s="7"/>
      <c r="D16663" s="7"/>
      <c r="E16663" s="7"/>
      <c r="F16663" s="7"/>
      <c r="G16663" s="7"/>
      <c r="H16663" s="7"/>
      <c r="I16663" s="7"/>
      <c r="J16663" s="7"/>
      <c r="K16663" s="7"/>
      <c r="L16663" s="7"/>
      <c r="M16663" s="7"/>
      <c r="N16663" s="7"/>
      <c r="O16663" s="7"/>
      <c r="P16663" s="7"/>
      <c r="Q16663" s="7"/>
      <c r="R16663" s="7"/>
      <c r="S16663" s="7"/>
      <c r="T16663" s="7"/>
      <c r="U16663" s="7"/>
      <c r="V16663" s="7"/>
      <c r="W16663" s="7"/>
      <c r="X16663" s="7"/>
      <c r="Y16663" s="7"/>
      <c r="Z16663" s="7"/>
      <c r="AA16663" s="7"/>
      <c r="AB16663" s="7"/>
      <c r="AC16663" s="7"/>
      <c r="AD16663" s="7"/>
      <c r="AE16663" s="7"/>
      <c r="AF16663" s="7"/>
    </row>
    <row r="16664" spans="1:32">
      <c r="A16664" s="7"/>
      <c r="B16664" s="7"/>
      <c r="C16664" s="7"/>
      <c r="D16664" s="7"/>
      <c r="E16664" s="7"/>
      <c r="F16664" s="7"/>
      <c r="G16664" s="7"/>
      <c r="H16664" s="7"/>
      <c r="I16664" s="7"/>
      <c r="J16664" s="7"/>
      <c r="K16664" s="7"/>
      <c r="L16664" s="7"/>
      <c r="M16664" s="7"/>
      <c r="N16664" s="7"/>
      <c r="O16664" s="7"/>
      <c r="P16664" s="7"/>
      <c r="Q16664" s="7"/>
      <c r="R16664" s="7"/>
      <c r="S16664" s="7"/>
      <c r="T16664" s="7"/>
      <c r="U16664" s="7"/>
      <c r="V16664" s="7"/>
      <c r="W16664" s="7"/>
      <c r="X16664" s="7"/>
      <c r="Y16664" s="7"/>
      <c r="Z16664" s="7"/>
      <c r="AA16664" s="7"/>
      <c r="AB16664" s="7"/>
      <c r="AC16664" s="7"/>
      <c r="AD16664" s="7"/>
      <c r="AE16664" s="7"/>
      <c r="AF16664" s="7"/>
    </row>
    <row r="16665" spans="1:32">
      <c r="A16665" s="7"/>
      <c r="B16665" s="7"/>
      <c r="C16665" s="7"/>
      <c r="D16665" s="7"/>
      <c r="E16665" s="7"/>
      <c r="F16665" s="7"/>
      <c r="G16665" s="7"/>
      <c r="H16665" s="7"/>
      <c r="I16665" s="7"/>
      <c r="J16665" s="7"/>
      <c r="K16665" s="7"/>
      <c r="L16665" s="7"/>
      <c r="M16665" s="7"/>
      <c r="N16665" s="7"/>
      <c r="O16665" s="7"/>
      <c r="P16665" s="7"/>
      <c r="Q16665" s="7"/>
      <c r="R16665" s="7"/>
      <c r="S16665" s="7"/>
      <c r="T16665" s="7"/>
      <c r="U16665" s="7"/>
      <c r="V16665" s="7"/>
      <c r="W16665" s="7"/>
      <c r="X16665" s="7"/>
      <c r="Y16665" s="7"/>
      <c r="Z16665" s="7"/>
      <c r="AA16665" s="7"/>
      <c r="AB16665" s="7"/>
      <c r="AC16665" s="7"/>
      <c r="AD16665" s="7"/>
      <c r="AE16665" s="7"/>
      <c r="AF16665" s="7"/>
    </row>
    <row r="16666" spans="1:32">
      <c r="A16666" s="7"/>
      <c r="B16666" s="7"/>
      <c r="C16666" s="7"/>
      <c r="D16666" s="7"/>
      <c r="E16666" s="7"/>
      <c r="F16666" s="7"/>
      <c r="G16666" s="7"/>
      <c r="H16666" s="7"/>
      <c r="I16666" s="7"/>
      <c r="J16666" s="7"/>
      <c r="K16666" s="7"/>
      <c r="L16666" s="7"/>
      <c r="M16666" s="7"/>
      <c r="N16666" s="7"/>
      <c r="O16666" s="7"/>
      <c r="P16666" s="7"/>
      <c r="Q16666" s="7"/>
      <c r="R16666" s="7"/>
      <c r="S16666" s="7"/>
      <c r="T16666" s="7"/>
      <c r="U16666" s="7"/>
      <c r="V16666" s="7"/>
      <c r="W16666" s="7"/>
      <c r="X16666" s="7"/>
      <c r="Y16666" s="7"/>
      <c r="Z16666" s="7"/>
      <c r="AA16666" s="7"/>
      <c r="AB16666" s="7"/>
      <c r="AC16666" s="7"/>
      <c r="AD16666" s="7"/>
      <c r="AE16666" s="7"/>
      <c r="AF16666" s="7"/>
    </row>
    <row r="16667" spans="1:32">
      <c r="A16667" s="7"/>
      <c r="B16667" s="7"/>
      <c r="C16667" s="7"/>
      <c r="D16667" s="7"/>
      <c r="E16667" s="7"/>
      <c r="F16667" s="7"/>
      <c r="G16667" s="7"/>
      <c r="H16667" s="7"/>
      <c r="I16667" s="7"/>
      <c r="J16667" s="7"/>
      <c r="K16667" s="7"/>
      <c r="L16667" s="7"/>
      <c r="M16667" s="7"/>
      <c r="N16667" s="7"/>
      <c r="O16667" s="7"/>
      <c r="P16667" s="7"/>
      <c r="Q16667" s="7"/>
      <c r="R16667" s="7"/>
      <c r="S16667" s="7"/>
      <c r="T16667" s="7"/>
      <c r="U16667" s="7"/>
      <c r="V16667" s="7"/>
      <c r="W16667" s="7"/>
      <c r="X16667" s="7"/>
      <c r="Y16667" s="7"/>
      <c r="Z16667" s="7"/>
      <c r="AA16667" s="7"/>
      <c r="AB16667" s="7"/>
      <c r="AC16667" s="7"/>
      <c r="AD16667" s="7"/>
      <c r="AE16667" s="7"/>
      <c r="AF16667" s="7"/>
    </row>
    <row r="16668" spans="1:32">
      <c r="A16668" s="7"/>
      <c r="B16668" s="7"/>
      <c r="C16668" s="7"/>
      <c r="D16668" s="7"/>
      <c r="E16668" s="7"/>
      <c r="F16668" s="7"/>
      <c r="G16668" s="7"/>
      <c r="H16668" s="7"/>
      <c r="I16668" s="7"/>
      <c r="J16668" s="7"/>
      <c r="K16668" s="7"/>
      <c r="L16668" s="7"/>
      <c r="M16668" s="7"/>
      <c r="N16668" s="7"/>
      <c r="O16668" s="7"/>
      <c r="P16668" s="7"/>
      <c r="Q16668" s="7"/>
      <c r="R16668" s="7"/>
      <c r="S16668" s="7"/>
      <c r="T16668" s="7"/>
      <c r="U16668" s="7"/>
      <c r="V16668" s="7"/>
      <c r="W16668" s="7"/>
      <c r="X16668" s="7"/>
      <c r="Y16668" s="7"/>
      <c r="Z16668" s="7"/>
      <c r="AA16668" s="7"/>
      <c r="AB16668" s="7"/>
      <c r="AC16668" s="7"/>
      <c r="AD16668" s="7"/>
      <c r="AE16668" s="7"/>
      <c r="AF16668" s="7"/>
    </row>
    <row r="16669" spans="1:32">
      <c r="A16669" s="7"/>
      <c r="B16669" s="7"/>
      <c r="C16669" s="7"/>
      <c r="D16669" s="7"/>
      <c r="E16669" s="7"/>
      <c r="F16669" s="7"/>
      <c r="G16669" s="7"/>
      <c r="H16669" s="7"/>
      <c r="I16669" s="7"/>
      <c r="J16669" s="7"/>
      <c r="K16669" s="7"/>
      <c r="L16669" s="7"/>
      <c r="M16669" s="7"/>
      <c r="N16669" s="7"/>
      <c r="O16669" s="7"/>
      <c r="P16669" s="7"/>
      <c r="Q16669" s="7"/>
      <c r="R16669" s="7"/>
      <c r="S16669" s="7"/>
      <c r="T16669" s="7"/>
      <c r="U16669" s="7"/>
      <c r="V16669" s="7"/>
      <c r="W16669" s="7"/>
      <c r="X16669" s="7"/>
      <c r="Y16669" s="7"/>
      <c r="Z16669" s="7"/>
      <c r="AA16669" s="7"/>
      <c r="AB16669" s="7"/>
      <c r="AC16669" s="7"/>
      <c r="AD16669" s="7"/>
      <c r="AE16669" s="7"/>
      <c r="AF16669" s="7"/>
    </row>
    <row r="16670" spans="1:32">
      <c r="A16670" s="7"/>
      <c r="B16670" s="7"/>
      <c r="C16670" s="7"/>
      <c r="D16670" s="7"/>
      <c r="E16670" s="7"/>
      <c r="F16670" s="7"/>
      <c r="G16670" s="7"/>
      <c r="H16670" s="7"/>
      <c r="I16670" s="7"/>
      <c r="J16670" s="7"/>
      <c r="K16670" s="7"/>
      <c r="L16670" s="7"/>
      <c r="M16670" s="7"/>
      <c r="N16670" s="7"/>
      <c r="O16670" s="7"/>
      <c r="P16670" s="7"/>
      <c r="Q16670" s="7"/>
      <c r="R16670" s="7"/>
      <c r="S16670" s="7"/>
      <c r="T16670" s="7"/>
      <c r="U16670" s="7"/>
      <c r="V16670" s="7"/>
      <c r="W16670" s="7"/>
      <c r="X16670" s="7"/>
      <c r="Y16670" s="7"/>
      <c r="Z16670" s="7"/>
      <c r="AA16670" s="7"/>
      <c r="AB16670" s="7"/>
      <c r="AC16670" s="7"/>
      <c r="AD16670" s="7"/>
      <c r="AE16670" s="7"/>
      <c r="AF16670" s="7"/>
    </row>
    <row r="16671" spans="1:32">
      <c r="A16671" s="7"/>
      <c r="B16671" s="7"/>
      <c r="C16671" s="7"/>
      <c r="D16671" s="7"/>
      <c r="E16671" s="7"/>
      <c r="F16671" s="7"/>
      <c r="G16671" s="7"/>
      <c r="H16671" s="7"/>
      <c r="I16671" s="7"/>
      <c r="J16671" s="7"/>
      <c r="K16671" s="7"/>
      <c r="L16671" s="7"/>
      <c r="M16671" s="7"/>
      <c r="N16671" s="7"/>
      <c r="O16671" s="7"/>
      <c r="P16671" s="7"/>
      <c r="Q16671" s="7"/>
      <c r="R16671" s="7"/>
      <c r="S16671" s="7"/>
      <c r="T16671" s="7"/>
      <c r="U16671" s="7"/>
      <c r="V16671" s="7"/>
      <c r="W16671" s="7"/>
      <c r="X16671" s="7"/>
      <c r="Y16671" s="7"/>
      <c r="Z16671" s="7"/>
      <c r="AA16671" s="7"/>
      <c r="AB16671" s="7"/>
      <c r="AC16671" s="7"/>
      <c r="AD16671" s="7"/>
      <c r="AE16671" s="7"/>
      <c r="AF16671" s="7"/>
    </row>
    <row r="16672" spans="1:32">
      <c r="A16672" s="7"/>
      <c r="B16672" s="7"/>
      <c r="C16672" s="7"/>
      <c r="D16672" s="7"/>
      <c r="E16672" s="7"/>
      <c r="F16672" s="7"/>
      <c r="G16672" s="7"/>
      <c r="H16672" s="7"/>
      <c r="I16672" s="7"/>
      <c r="J16672" s="7"/>
      <c r="K16672" s="7"/>
      <c r="L16672" s="7"/>
      <c r="M16672" s="7"/>
      <c r="N16672" s="7"/>
      <c r="O16672" s="7"/>
      <c r="P16672" s="7"/>
      <c r="Q16672" s="7"/>
      <c r="R16672" s="7"/>
      <c r="S16672" s="7"/>
      <c r="T16672" s="7"/>
      <c r="U16672" s="7"/>
      <c r="V16672" s="7"/>
      <c r="W16672" s="7"/>
      <c r="X16672" s="7"/>
      <c r="Y16672" s="7"/>
      <c r="Z16672" s="7"/>
      <c r="AA16672" s="7"/>
      <c r="AB16672" s="7"/>
      <c r="AC16672" s="7"/>
      <c r="AD16672" s="7"/>
      <c r="AE16672" s="7"/>
      <c r="AF16672" s="7"/>
    </row>
    <row r="16673" spans="1:32">
      <c r="A16673" s="7"/>
      <c r="B16673" s="7"/>
      <c r="C16673" s="7"/>
      <c r="D16673" s="7"/>
      <c r="E16673" s="7"/>
      <c r="F16673" s="7"/>
      <c r="G16673" s="7"/>
      <c r="H16673" s="7"/>
      <c r="I16673" s="7"/>
      <c r="J16673" s="7"/>
      <c r="K16673" s="7"/>
      <c r="L16673" s="7"/>
      <c r="M16673" s="7"/>
      <c r="N16673" s="7"/>
      <c r="O16673" s="7"/>
      <c r="P16673" s="7"/>
      <c r="Q16673" s="7"/>
      <c r="R16673" s="7"/>
      <c r="S16673" s="7"/>
      <c r="T16673" s="7"/>
      <c r="U16673" s="7"/>
      <c r="V16673" s="7"/>
      <c r="W16673" s="7"/>
      <c r="X16673" s="7"/>
      <c r="Y16673" s="7"/>
      <c r="Z16673" s="7"/>
      <c r="AA16673" s="7"/>
      <c r="AB16673" s="7"/>
      <c r="AC16673" s="7"/>
      <c r="AD16673" s="7"/>
      <c r="AE16673" s="7"/>
      <c r="AF16673" s="7"/>
    </row>
    <row r="16674" spans="1:32">
      <c r="A16674" s="7"/>
      <c r="B16674" s="7"/>
      <c r="C16674" s="7"/>
      <c r="D16674" s="7"/>
      <c r="E16674" s="7"/>
      <c r="F16674" s="7"/>
      <c r="G16674" s="7"/>
      <c r="H16674" s="7"/>
      <c r="I16674" s="7"/>
      <c r="J16674" s="7"/>
      <c r="K16674" s="7"/>
      <c r="L16674" s="7"/>
      <c r="M16674" s="7"/>
      <c r="N16674" s="7"/>
      <c r="O16674" s="7"/>
      <c r="P16674" s="7"/>
      <c r="Q16674" s="7"/>
      <c r="R16674" s="7"/>
      <c r="S16674" s="7"/>
      <c r="T16674" s="7"/>
      <c r="U16674" s="7"/>
      <c r="V16674" s="7"/>
      <c r="W16674" s="7"/>
      <c r="X16674" s="7"/>
      <c r="Y16674" s="7"/>
      <c r="Z16674" s="7"/>
      <c r="AA16674" s="7"/>
      <c r="AB16674" s="7"/>
      <c r="AC16674" s="7"/>
      <c r="AD16674" s="7"/>
      <c r="AE16674" s="7"/>
      <c r="AF16674" s="7"/>
    </row>
    <row r="16675" spans="1:32">
      <c r="A16675" s="7"/>
      <c r="B16675" s="7"/>
      <c r="C16675" s="7"/>
      <c r="D16675" s="7"/>
      <c r="E16675" s="7"/>
      <c r="F16675" s="7"/>
      <c r="G16675" s="7"/>
      <c r="H16675" s="7"/>
      <c r="I16675" s="7"/>
      <c r="J16675" s="7"/>
      <c r="K16675" s="7"/>
      <c r="L16675" s="7"/>
      <c r="M16675" s="7"/>
      <c r="N16675" s="7"/>
      <c r="O16675" s="7"/>
      <c r="P16675" s="7"/>
      <c r="Q16675" s="7"/>
      <c r="R16675" s="7"/>
      <c r="S16675" s="7"/>
      <c r="T16675" s="7"/>
      <c r="U16675" s="7"/>
      <c r="V16675" s="7"/>
      <c r="W16675" s="7"/>
      <c r="X16675" s="7"/>
      <c r="Y16675" s="7"/>
      <c r="Z16675" s="7"/>
      <c r="AA16675" s="7"/>
      <c r="AB16675" s="7"/>
      <c r="AC16675" s="7"/>
      <c r="AD16675" s="7"/>
      <c r="AE16675" s="7"/>
      <c r="AF16675" s="7"/>
    </row>
    <row r="16676" spans="1:32">
      <c r="A16676" s="7"/>
      <c r="B16676" s="7"/>
      <c r="C16676" s="7"/>
      <c r="D16676" s="7"/>
      <c r="E16676" s="7"/>
      <c r="F16676" s="7"/>
      <c r="G16676" s="7"/>
      <c r="H16676" s="7"/>
      <c r="I16676" s="7"/>
      <c r="J16676" s="7"/>
      <c r="K16676" s="7"/>
      <c r="L16676" s="7"/>
      <c r="M16676" s="7"/>
      <c r="N16676" s="7"/>
      <c r="O16676" s="7"/>
      <c r="P16676" s="7"/>
      <c r="Q16676" s="7"/>
      <c r="R16676" s="7"/>
      <c r="S16676" s="7"/>
      <c r="T16676" s="7"/>
      <c r="U16676" s="7"/>
      <c r="V16676" s="7"/>
      <c r="W16676" s="7"/>
      <c r="X16676" s="7"/>
      <c r="Y16676" s="7"/>
      <c r="Z16676" s="7"/>
      <c r="AA16676" s="7"/>
      <c r="AB16676" s="7"/>
      <c r="AC16676" s="7"/>
      <c r="AD16676" s="7"/>
      <c r="AE16676" s="7"/>
      <c r="AF16676" s="7"/>
    </row>
    <row r="16677" spans="1:32">
      <c r="A16677" s="7"/>
      <c r="B16677" s="7"/>
      <c r="C16677" s="7"/>
      <c r="D16677" s="7"/>
      <c r="E16677" s="7"/>
      <c r="F16677" s="7"/>
      <c r="G16677" s="7"/>
      <c r="H16677" s="7"/>
      <c r="I16677" s="7"/>
      <c r="J16677" s="7"/>
      <c r="K16677" s="7"/>
      <c r="L16677" s="7"/>
      <c r="M16677" s="7"/>
      <c r="N16677" s="7"/>
      <c r="O16677" s="7"/>
      <c r="P16677" s="7"/>
      <c r="Q16677" s="7"/>
      <c r="R16677" s="7"/>
      <c r="S16677" s="7"/>
      <c r="T16677" s="7"/>
      <c r="U16677" s="7"/>
      <c r="V16677" s="7"/>
      <c r="W16677" s="7"/>
      <c r="X16677" s="7"/>
      <c r="Y16677" s="7"/>
      <c r="Z16677" s="7"/>
      <c r="AA16677" s="7"/>
      <c r="AB16677" s="7"/>
      <c r="AC16677" s="7"/>
      <c r="AD16677" s="7"/>
      <c r="AE16677" s="7"/>
      <c r="AF16677" s="7"/>
    </row>
    <row r="16678" spans="1:32">
      <c r="A16678" s="7"/>
      <c r="B16678" s="7"/>
      <c r="C16678" s="7"/>
      <c r="D16678" s="7"/>
      <c r="E16678" s="7"/>
      <c r="F16678" s="7"/>
      <c r="G16678" s="7"/>
      <c r="H16678" s="7"/>
      <c r="I16678" s="7"/>
      <c r="J16678" s="7"/>
      <c r="K16678" s="7"/>
      <c r="L16678" s="7"/>
      <c r="M16678" s="7"/>
      <c r="N16678" s="7"/>
      <c r="O16678" s="7"/>
      <c r="P16678" s="7"/>
      <c r="Q16678" s="7"/>
      <c r="R16678" s="7"/>
      <c r="S16678" s="7"/>
      <c r="T16678" s="7"/>
      <c r="U16678" s="7"/>
      <c r="V16678" s="7"/>
      <c r="W16678" s="7"/>
      <c r="X16678" s="7"/>
      <c r="Y16678" s="7"/>
      <c r="Z16678" s="7"/>
      <c r="AA16678" s="7"/>
      <c r="AB16678" s="7"/>
      <c r="AC16678" s="7"/>
      <c r="AD16678" s="7"/>
      <c r="AE16678" s="7"/>
      <c r="AF16678" s="7"/>
    </row>
    <row r="16679" spans="1:32">
      <c r="A16679" s="7"/>
      <c r="B16679" s="7"/>
      <c r="C16679" s="7"/>
      <c r="D16679" s="7"/>
      <c r="E16679" s="7"/>
      <c r="F16679" s="7"/>
      <c r="G16679" s="7"/>
      <c r="H16679" s="7"/>
      <c r="I16679" s="7"/>
      <c r="J16679" s="7"/>
      <c r="K16679" s="7"/>
      <c r="L16679" s="7"/>
      <c r="M16679" s="7"/>
      <c r="N16679" s="7"/>
      <c r="O16679" s="7"/>
      <c r="P16679" s="7"/>
      <c r="Q16679" s="7"/>
      <c r="R16679" s="7"/>
      <c r="S16679" s="7"/>
      <c r="T16679" s="7"/>
      <c r="U16679" s="7"/>
      <c r="V16679" s="7"/>
      <c r="W16679" s="7"/>
      <c r="X16679" s="7"/>
      <c r="Y16679" s="7"/>
      <c r="Z16679" s="7"/>
      <c r="AA16679" s="7"/>
      <c r="AB16679" s="7"/>
      <c r="AC16679" s="7"/>
      <c r="AD16679" s="7"/>
      <c r="AE16679" s="7"/>
      <c r="AF16679" s="7"/>
    </row>
    <row r="16680" spans="1:32">
      <c r="A16680" s="7"/>
      <c r="B16680" s="7"/>
      <c r="C16680" s="7"/>
      <c r="D16680" s="7"/>
      <c r="E16680" s="7"/>
      <c r="F16680" s="7"/>
      <c r="G16680" s="7"/>
      <c r="H16680" s="7"/>
      <c r="I16680" s="7"/>
      <c r="J16680" s="7"/>
      <c r="K16680" s="7"/>
      <c r="L16680" s="7"/>
      <c r="M16680" s="7"/>
      <c r="N16680" s="7"/>
      <c r="O16680" s="7"/>
      <c r="P16680" s="7"/>
      <c r="Q16680" s="7"/>
      <c r="R16680" s="7"/>
      <c r="S16680" s="7"/>
      <c r="T16680" s="7"/>
      <c r="U16680" s="7"/>
      <c r="V16680" s="7"/>
      <c r="W16680" s="7"/>
      <c r="X16680" s="7"/>
      <c r="Y16680" s="7"/>
      <c r="Z16680" s="7"/>
      <c r="AA16680" s="7"/>
      <c r="AB16680" s="7"/>
      <c r="AC16680" s="7"/>
      <c r="AD16680" s="7"/>
      <c r="AE16680" s="7"/>
      <c r="AF16680" s="7"/>
    </row>
    <row r="16681" spans="1:32">
      <c r="A16681" s="7"/>
      <c r="B16681" s="7"/>
      <c r="C16681" s="7"/>
      <c r="D16681" s="7"/>
      <c r="E16681" s="7"/>
      <c r="F16681" s="7"/>
      <c r="G16681" s="7"/>
      <c r="H16681" s="7"/>
      <c r="I16681" s="7"/>
      <c r="J16681" s="7"/>
      <c r="K16681" s="7"/>
      <c r="L16681" s="7"/>
      <c r="M16681" s="7"/>
      <c r="N16681" s="7"/>
      <c r="O16681" s="7"/>
      <c r="P16681" s="7"/>
      <c r="Q16681" s="7"/>
      <c r="R16681" s="7"/>
      <c r="S16681" s="7"/>
      <c r="T16681" s="7"/>
      <c r="U16681" s="7"/>
      <c r="V16681" s="7"/>
      <c r="W16681" s="7"/>
      <c r="X16681" s="7"/>
      <c r="Y16681" s="7"/>
      <c r="Z16681" s="7"/>
      <c r="AA16681" s="7"/>
      <c r="AB16681" s="7"/>
      <c r="AC16681" s="7"/>
      <c r="AD16681" s="7"/>
      <c r="AE16681" s="7"/>
      <c r="AF16681" s="7"/>
    </row>
    <row r="16682" spans="1:32">
      <c r="A16682" s="7"/>
      <c r="B16682" s="7"/>
      <c r="C16682" s="7"/>
      <c r="D16682" s="7"/>
      <c r="E16682" s="7"/>
      <c r="F16682" s="7"/>
      <c r="G16682" s="7"/>
      <c r="H16682" s="7"/>
      <c r="I16682" s="7"/>
      <c r="J16682" s="7"/>
      <c r="K16682" s="7"/>
      <c r="L16682" s="7"/>
      <c r="M16682" s="7"/>
      <c r="N16682" s="7"/>
      <c r="O16682" s="7"/>
      <c r="P16682" s="7"/>
      <c r="Q16682" s="7"/>
      <c r="R16682" s="7"/>
      <c r="S16682" s="7"/>
      <c r="T16682" s="7"/>
      <c r="U16682" s="7"/>
      <c r="V16682" s="7"/>
      <c r="W16682" s="7"/>
      <c r="X16682" s="7"/>
      <c r="Y16682" s="7"/>
      <c r="Z16682" s="7"/>
      <c r="AA16682" s="7"/>
      <c r="AB16682" s="7"/>
      <c r="AC16682" s="7"/>
      <c r="AD16682" s="7"/>
      <c r="AE16682" s="7"/>
      <c r="AF16682" s="7"/>
    </row>
    <row r="16683" spans="1:32">
      <c r="A16683" s="7"/>
      <c r="B16683" s="7"/>
      <c r="C16683" s="7"/>
      <c r="D16683" s="7"/>
      <c r="E16683" s="7"/>
      <c r="F16683" s="7"/>
      <c r="G16683" s="7"/>
      <c r="H16683" s="7"/>
      <c r="I16683" s="7"/>
      <c r="J16683" s="7"/>
      <c r="K16683" s="7"/>
      <c r="L16683" s="7"/>
      <c r="M16683" s="7"/>
      <c r="N16683" s="7"/>
      <c r="O16683" s="7"/>
      <c r="P16683" s="7"/>
      <c r="Q16683" s="7"/>
      <c r="R16683" s="7"/>
      <c r="S16683" s="7"/>
      <c r="T16683" s="7"/>
      <c r="U16683" s="7"/>
      <c r="V16683" s="7"/>
      <c r="W16683" s="7"/>
      <c r="X16683" s="7"/>
      <c r="Y16683" s="7"/>
      <c r="Z16683" s="7"/>
      <c r="AA16683" s="7"/>
      <c r="AB16683" s="7"/>
      <c r="AC16683" s="7"/>
      <c r="AD16683" s="7"/>
      <c r="AE16683" s="7"/>
      <c r="AF16683" s="7"/>
    </row>
    <row r="16684" spans="1:32">
      <c r="A16684" s="7"/>
      <c r="B16684" s="7"/>
      <c r="C16684" s="7"/>
      <c r="D16684" s="7"/>
      <c r="E16684" s="7"/>
      <c r="F16684" s="7"/>
      <c r="G16684" s="7"/>
      <c r="H16684" s="7"/>
      <c r="I16684" s="7"/>
      <c r="J16684" s="7"/>
      <c r="K16684" s="7"/>
      <c r="L16684" s="7"/>
      <c r="M16684" s="7"/>
      <c r="N16684" s="7"/>
      <c r="O16684" s="7"/>
      <c r="P16684" s="7"/>
      <c r="Q16684" s="7"/>
      <c r="R16684" s="7"/>
      <c r="S16684" s="7"/>
      <c r="T16684" s="7"/>
      <c r="U16684" s="7"/>
      <c r="V16684" s="7"/>
      <c r="W16684" s="7"/>
      <c r="X16684" s="7"/>
      <c r="Y16684" s="7"/>
      <c r="Z16684" s="7"/>
      <c r="AA16684" s="7"/>
      <c r="AB16684" s="7"/>
      <c r="AC16684" s="7"/>
      <c r="AD16684" s="7"/>
      <c r="AE16684" s="7"/>
      <c r="AF16684" s="7"/>
    </row>
    <row r="16685" spans="1:32">
      <c r="A16685" s="7"/>
      <c r="B16685" s="7"/>
      <c r="C16685" s="7"/>
      <c r="D16685" s="7"/>
      <c r="E16685" s="7"/>
      <c r="F16685" s="7"/>
      <c r="G16685" s="7"/>
      <c r="H16685" s="7"/>
      <c r="I16685" s="7"/>
      <c r="J16685" s="7"/>
      <c r="K16685" s="7"/>
      <c r="L16685" s="7"/>
      <c r="M16685" s="7"/>
      <c r="N16685" s="7"/>
      <c r="O16685" s="7"/>
      <c r="P16685" s="7"/>
      <c r="Q16685" s="7"/>
      <c r="R16685" s="7"/>
      <c r="S16685" s="7"/>
      <c r="T16685" s="7"/>
      <c r="U16685" s="7"/>
      <c r="V16685" s="7"/>
      <c r="W16685" s="7"/>
      <c r="X16685" s="7"/>
      <c r="Y16685" s="7"/>
      <c r="Z16685" s="7"/>
      <c r="AA16685" s="7"/>
      <c r="AB16685" s="7"/>
      <c r="AC16685" s="7"/>
      <c r="AD16685" s="7"/>
      <c r="AE16685" s="7"/>
      <c r="AF16685" s="7"/>
    </row>
    <row r="16686" spans="1:32">
      <c r="A16686" s="7"/>
      <c r="B16686" s="7"/>
      <c r="C16686" s="7"/>
      <c r="D16686" s="7"/>
      <c r="E16686" s="7"/>
      <c r="F16686" s="7"/>
      <c r="G16686" s="7"/>
      <c r="H16686" s="7"/>
      <c r="I16686" s="7"/>
      <c r="J16686" s="7"/>
      <c r="K16686" s="7"/>
      <c r="L16686" s="7"/>
      <c r="M16686" s="7"/>
      <c r="N16686" s="7"/>
      <c r="O16686" s="7"/>
      <c r="P16686" s="7"/>
      <c r="Q16686" s="7"/>
      <c r="R16686" s="7"/>
      <c r="S16686" s="7"/>
      <c r="T16686" s="7"/>
      <c r="U16686" s="7"/>
      <c r="V16686" s="7"/>
      <c r="W16686" s="7"/>
      <c r="X16686" s="7"/>
      <c r="Y16686" s="7"/>
      <c r="Z16686" s="7"/>
      <c r="AA16686" s="7"/>
      <c r="AB16686" s="7"/>
      <c r="AC16686" s="7"/>
      <c r="AD16686" s="7"/>
      <c r="AE16686" s="7"/>
      <c r="AF16686" s="7"/>
    </row>
    <row r="16687" spans="1:32">
      <c r="A16687" s="7"/>
      <c r="B16687" s="7"/>
      <c r="C16687" s="7"/>
      <c r="D16687" s="7"/>
      <c r="E16687" s="7"/>
      <c r="F16687" s="7"/>
      <c r="G16687" s="7"/>
      <c r="H16687" s="7"/>
      <c r="I16687" s="7"/>
      <c r="J16687" s="7"/>
      <c r="K16687" s="7"/>
      <c r="L16687" s="7"/>
      <c r="M16687" s="7"/>
      <c r="N16687" s="7"/>
      <c r="O16687" s="7"/>
      <c r="P16687" s="7"/>
      <c r="Q16687" s="7"/>
      <c r="R16687" s="7"/>
      <c r="S16687" s="7"/>
      <c r="T16687" s="7"/>
      <c r="U16687" s="7"/>
      <c r="V16687" s="7"/>
      <c r="W16687" s="7"/>
      <c r="X16687" s="7"/>
      <c r="Y16687" s="7"/>
      <c r="Z16687" s="7"/>
      <c r="AA16687" s="7"/>
      <c r="AB16687" s="7"/>
      <c r="AC16687" s="7"/>
      <c r="AD16687" s="7"/>
      <c r="AE16687" s="7"/>
      <c r="AF16687" s="7"/>
    </row>
    <row r="16688" spans="1:32">
      <c r="A16688" s="7"/>
      <c r="B16688" s="7"/>
      <c r="C16688" s="7"/>
      <c r="D16688" s="7"/>
      <c r="E16688" s="7"/>
      <c r="F16688" s="7"/>
      <c r="G16688" s="7"/>
      <c r="H16688" s="7"/>
      <c r="I16688" s="7"/>
      <c r="J16688" s="7"/>
      <c r="K16688" s="7"/>
      <c r="L16688" s="7"/>
      <c r="M16688" s="7"/>
      <c r="N16688" s="7"/>
      <c r="O16688" s="7"/>
      <c r="P16688" s="7"/>
      <c r="Q16688" s="7"/>
      <c r="R16688" s="7"/>
      <c r="S16688" s="7"/>
      <c r="T16688" s="7"/>
      <c r="U16688" s="7"/>
      <c r="V16688" s="7"/>
      <c r="W16688" s="7"/>
      <c r="X16688" s="7"/>
      <c r="Y16688" s="7"/>
      <c r="Z16688" s="7"/>
      <c r="AA16688" s="7"/>
      <c r="AB16688" s="7"/>
      <c r="AC16688" s="7"/>
      <c r="AD16688" s="7"/>
      <c r="AE16688" s="7"/>
      <c r="AF16688" s="7"/>
    </row>
    <row r="16689" spans="1:32">
      <c r="A16689" s="7"/>
      <c r="B16689" s="7"/>
      <c r="C16689" s="7"/>
      <c r="D16689" s="7"/>
      <c r="E16689" s="7"/>
      <c r="F16689" s="7"/>
      <c r="G16689" s="7"/>
      <c r="H16689" s="7"/>
      <c r="I16689" s="7"/>
      <c r="J16689" s="7"/>
      <c r="K16689" s="7"/>
      <c r="L16689" s="7"/>
      <c r="M16689" s="7"/>
      <c r="N16689" s="7"/>
      <c r="O16689" s="7"/>
      <c r="P16689" s="7"/>
      <c r="Q16689" s="7"/>
      <c r="R16689" s="7"/>
      <c r="S16689" s="7"/>
      <c r="T16689" s="7"/>
      <c r="U16689" s="7"/>
      <c r="V16689" s="7"/>
      <c r="W16689" s="7"/>
      <c r="X16689" s="7"/>
      <c r="Y16689" s="7"/>
      <c r="Z16689" s="7"/>
      <c r="AA16689" s="7"/>
      <c r="AB16689" s="7"/>
      <c r="AC16689" s="7"/>
      <c r="AD16689" s="7"/>
      <c r="AE16689" s="7"/>
      <c r="AF16689" s="7"/>
    </row>
    <row r="16690" spans="1:32">
      <c r="A16690" s="7"/>
      <c r="B16690" s="7"/>
      <c r="C16690" s="7"/>
      <c r="D16690" s="7"/>
      <c r="E16690" s="7"/>
      <c r="F16690" s="7"/>
      <c r="G16690" s="7"/>
      <c r="H16690" s="7"/>
      <c r="I16690" s="7"/>
      <c r="J16690" s="7"/>
      <c r="K16690" s="7"/>
      <c r="L16690" s="7"/>
      <c r="M16690" s="7"/>
      <c r="N16690" s="7"/>
      <c r="O16690" s="7"/>
      <c r="P16690" s="7"/>
      <c r="Q16690" s="7"/>
      <c r="R16690" s="7"/>
      <c r="S16690" s="7"/>
      <c r="T16690" s="7"/>
      <c r="U16690" s="7"/>
      <c r="V16690" s="7"/>
      <c r="W16690" s="7"/>
      <c r="X16690" s="7"/>
      <c r="Y16690" s="7"/>
      <c r="Z16690" s="7"/>
      <c r="AA16690" s="7"/>
      <c r="AB16690" s="7"/>
      <c r="AC16690" s="7"/>
      <c r="AD16690" s="7"/>
      <c r="AE16690" s="7"/>
      <c r="AF16690" s="7"/>
    </row>
    <row r="16691" spans="1:32">
      <c r="A16691" s="7"/>
      <c r="B16691" s="7"/>
      <c r="C16691" s="7"/>
      <c r="D16691" s="7"/>
      <c r="E16691" s="7"/>
      <c r="F16691" s="7"/>
      <c r="G16691" s="7"/>
      <c r="H16691" s="7"/>
      <c r="I16691" s="7"/>
      <c r="J16691" s="7"/>
      <c r="K16691" s="7"/>
      <c r="L16691" s="7"/>
      <c r="M16691" s="7"/>
      <c r="N16691" s="7"/>
      <c r="O16691" s="7"/>
      <c r="P16691" s="7"/>
      <c r="Q16691" s="7"/>
      <c r="R16691" s="7"/>
      <c r="S16691" s="7"/>
      <c r="T16691" s="7"/>
      <c r="U16691" s="7"/>
      <c r="V16691" s="7"/>
      <c r="W16691" s="7"/>
      <c r="X16691" s="7"/>
      <c r="Y16691" s="7"/>
      <c r="Z16691" s="7"/>
      <c r="AA16691" s="7"/>
      <c r="AB16691" s="7"/>
      <c r="AC16691" s="7"/>
      <c r="AD16691" s="7"/>
      <c r="AE16691" s="7"/>
      <c r="AF16691" s="7"/>
    </row>
    <row r="16692" spans="1:32">
      <c r="A16692" s="7"/>
      <c r="B16692" s="7"/>
      <c r="C16692" s="7"/>
      <c r="D16692" s="7"/>
      <c r="E16692" s="7"/>
      <c r="F16692" s="7"/>
      <c r="G16692" s="7"/>
      <c r="H16692" s="7"/>
      <c r="I16692" s="7"/>
      <c r="J16692" s="7"/>
      <c r="K16692" s="7"/>
      <c r="L16692" s="7"/>
      <c r="M16692" s="7"/>
      <c r="N16692" s="7"/>
      <c r="O16692" s="7"/>
      <c r="P16692" s="7"/>
      <c r="Q16692" s="7"/>
      <c r="R16692" s="7"/>
      <c r="S16692" s="7"/>
      <c r="T16692" s="7"/>
      <c r="U16692" s="7"/>
      <c r="V16692" s="7"/>
      <c r="W16692" s="7"/>
      <c r="X16692" s="7"/>
      <c r="Y16692" s="7"/>
      <c r="Z16692" s="7"/>
      <c r="AA16692" s="7"/>
      <c r="AB16692" s="7"/>
      <c r="AC16692" s="7"/>
      <c r="AD16692" s="7"/>
      <c r="AE16692" s="7"/>
      <c r="AF16692" s="7"/>
    </row>
    <row r="16693" spans="1:32">
      <c r="A16693" s="7"/>
      <c r="B16693" s="7"/>
      <c r="C16693" s="7"/>
      <c r="D16693" s="7"/>
      <c r="E16693" s="7"/>
      <c r="F16693" s="7"/>
      <c r="G16693" s="7"/>
      <c r="H16693" s="7"/>
      <c r="I16693" s="7"/>
      <c r="J16693" s="7"/>
      <c r="K16693" s="7"/>
      <c r="L16693" s="7"/>
      <c r="M16693" s="7"/>
      <c r="N16693" s="7"/>
      <c r="O16693" s="7"/>
      <c r="P16693" s="7"/>
      <c r="Q16693" s="7"/>
      <c r="R16693" s="7"/>
      <c r="S16693" s="7"/>
      <c r="T16693" s="7"/>
      <c r="U16693" s="7"/>
      <c r="V16693" s="7"/>
      <c r="W16693" s="7"/>
      <c r="X16693" s="7"/>
      <c r="Y16693" s="7"/>
      <c r="Z16693" s="7"/>
      <c r="AA16693" s="7"/>
      <c r="AB16693" s="7"/>
      <c r="AC16693" s="7"/>
      <c r="AD16693" s="7"/>
      <c r="AE16693" s="7"/>
      <c r="AF16693" s="7"/>
    </row>
    <row r="16694" spans="1:32">
      <c r="A16694" s="7"/>
      <c r="B16694" s="7"/>
      <c r="C16694" s="7"/>
      <c r="D16694" s="7"/>
      <c r="E16694" s="7"/>
      <c r="F16694" s="7"/>
      <c r="G16694" s="7"/>
      <c r="H16694" s="7"/>
      <c r="I16694" s="7"/>
      <c r="J16694" s="7"/>
      <c r="K16694" s="7"/>
      <c r="L16694" s="7"/>
      <c r="M16694" s="7"/>
      <c r="N16694" s="7"/>
      <c r="O16694" s="7"/>
      <c r="P16694" s="7"/>
      <c r="Q16694" s="7"/>
      <c r="R16694" s="7"/>
      <c r="S16694" s="7"/>
      <c r="T16694" s="7"/>
      <c r="U16694" s="7"/>
      <c r="V16694" s="7"/>
      <c r="W16694" s="7"/>
      <c r="X16694" s="7"/>
      <c r="Y16694" s="7"/>
      <c r="Z16694" s="7"/>
      <c r="AA16694" s="7"/>
      <c r="AB16694" s="7"/>
      <c r="AC16694" s="7"/>
      <c r="AD16694" s="7"/>
      <c r="AE16694" s="7"/>
      <c r="AF16694" s="7"/>
    </row>
    <row r="16695" spans="1:32">
      <c r="A16695" s="7"/>
      <c r="B16695" s="7"/>
      <c r="C16695" s="7"/>
      <c r="D16695" s="7"/>
      <c r="E16695" s="7"/>
      <c r="F16695" s="7"/>
      <c r="G16695" s="7"/>
      <c r="H16695" s="7"/>
      <c r="I16695" s="7"/>
      <c r="J16695" s="7"/>
      <c r="K16695" s="7"/>
      <c r="L16695" s="7"/>
      <c r="M16695" s="7"/>
      <c r="N16695" s="7"/>
      <c r="O16695" s="7"/>
      <c r="P16695" s="7"/>
      <c r="Q16695" s="7"/>
      <c r="R16695" s="7"/>
      <c r="S16695" s="7"/>
      <c r="T16695" s="7"/>
      <c r="U16695" s="7"/>
      <c r="V16695" s="7"/>
      <c r="W16695" s="7"/>
      <c r="X16695" s="7"/>
      <c r="Y16695" s="7"/>
      <c r="Z16695" s="7"/>
      <c r="AA16695" s="7"/>
      <c r="AB16695" s="7"/>
      <c r="AC16695" s="7"/>
      <c r="AD16695" s="7"/>
      <c r="AE16695" s="7"/>
      <c r="AF16695" s="7"/>
    </row>
    <row r="16696" spans="1:32">
      <c r="A16696" s="7"/>
      <c r="B16696" s="7"/>
      <c r="C16696" s="7"/>
      <c r="D16696" s="7"/>
      <c r="E16696" s="7"/>
      <c r="F16696" s="7"/>
      <c r="G16696" s="7"/>
      <c r="H16696" s="7"/>
      <c r="I16696" s="7"/>
      <c r="J16696" s="7"/>
      <c r="K16696" s="7"/>
      <c r="L16696" s="7"/>
      <c r="M16696" s="7"/>
      <c r="N16696" s="7"/>
      <c r="O16696" s="7"/>
      <c r="P16696" s="7"/>
      <c r="Q16696" s="7"/>
      <c r="R16696" s="7"/>
      <c r="S16696" s="7"/>
      <c r="T16696" s="7"/>
      <c r="U16696" s="7"/>
      <c r="V16696" s="7"/>
      <c r="W16696" s="7"/>
      <c r="X16696" s="7"/>
      <c r="Y16696" s="7"/>
      <c r="Z16696" s="7"/>
      <c r="AA16696" s="7"/>
      <c r="AB16696" s="7"/>
      <c r="AC16696" s="7"/>
      <c r="AD16696" s="7"/>
      <c r="AE16696" s="7"/>
      <c r="AF16696" s="7"/>
    </row>
    <row r="16697" spans="1:32">
      <c r="A16697" s="7"/>
      <c r="B16697" s="7"/>
      <c r="C16697" s="7"/>
      <c r="D16697" s="7"/>
      <c r="E16697" s="7"/>
      <c r="F16697" s="7"/>
      <c r="G16697" s="7"/>
      <c r="H16697" s="7"/>
      <c r="I16697" s="7"/>
      <c r="J16697" s="7"/>
      <c r="K16697" s="7"/>
      <c r="L16697" s="7"/>
      <c r="M16697" s="7"/>
      <c r="N16697" s="7"/>
      <c r="O16697" s="7"/>
      <c r="P16697" s="7"/>
      <c r="Q16697" s="7"/>
      <c r="R16697" s="7"/>
      <c r="S16697" s="7"/>
      <c r="T16697" s="7"/>
      <c r="U16697" s="7"/>
      <c r="V16697" s="7"/>
      <c r="W16697" s="7"/>
      <c r="X16697" s="7"/>
      <c r="Y16697" s="7"/>
      <c r="Z16697" s="7"/>
      <c r="AA16697" s="7"/>
      <c r="AB16697" s="7"/>
      <c r="AC16697" s="7"/>
      <c r="AD16697" s="7"/>
      <c r="AE16697" s="7"/>
      <c r="AF16697" s="7"/>
    </row>
    <row r="16698" spans="1:32">
      <c r="A16698" s="7"/>
      <c r="B16698" s="7"/>
      <c r="C16698" s="7"/>
      <c r="D16698" s="7"/>
      <c r="E16698" s="7"/>
      <c r="F16698" s="7"/>
      <c r="G16698" s="7"/>
      <c r="H16698" s="7"/>
      <c r="I16698" s="7"/>
      <c r="J16698" s="7"/>
      <c r="K16698" s="7"/>
      <c r="L16698" s="7"/>
      <c r="M16698" s="7"/>
      <c r="N16698" s="7"/>
      <c r="O16698" s="7"/>
      <c r="P16698" s="7"/>
      <c r="Q16698" s="7"/>
      <c r="R16698" s="7"/>
      <c r="S16698" s="7"/>
      <c r="T16698" s="7"/>
      <c r="U16698" s="7"/>
      <c r="V16698" s="7"/>
      <c r="W16698" s="7"/>
      <c r="X16698" s="7"/>
      <c r="Y16698" s="7"/>
      <c r="Z16698" s="7"/>
      <c r="AA16698" s="7"/>
      <c r="AB16698" s="7"/>
      <c r="AC16698" s="7"/>
      <c r="AD16698" s="7"/>
      <c r="AE16698" s="7"/>
      <c r="AF16698" s="7"/>
    </row>
    <row r="16699" spans="1:32">
      <c r="A16699" s="7"/>
      <c r="B16699" s="7"/>
      <c r="C16699" s="7"/>
      <c r="D16699" s="7"/>
      <c r="E16699" s="7"/>
      <c r="F16699" s="7"/>
      <c r="G16699" s="7"/>
      <c r="H16699" s="7"/>
      <c r="I16699" s="7"/>
      <c r="J16699" s="7"/>
      <c r="K16699" s="7"/>
      <c r="L16699" s="7"/>
      <c r="M16699" s="7"/>
      <c r="N16699" s="7"/>
      <c r="O16699" s="7"/>
      <c r="P16699" s="7"/>
      <c r="Q16699" s="7"/>
      <c r="R16699" s="7"/>
      <c r="S16699" s="7"/>
      <c r="T16699" s="7"/>
      <c r="U16699" s="7"/>
      <c r="V16699" s="7"/>
      <c r="W16699" s="7"/>
      <c r="X16699" s="7"/>
      <c r="Y16699" s="7"/>
      <c r="Z16699" s="7"/>
      <c r="AA16699" s="7"/>
      <c r="AB16699" s="7"/>
      <c r="AC16699" s="7"/>
      <c r="AD16699" s="7"/>
      <c r="AE16699" s="7"/>
      <c r="AF16699" s="7"/>
    </row>
    <row r="16700" spans="1:32">
      <c r="A16700" s="7"/>
      <c r="B16700" s="7"/>
      <c r="C16700" s="7"/>
      <c r="D16700" s="7"/>
      <c r="E16700" s="7"/>
      <c r="F16700" s="7"/>
      <c r="G16700" s="7"/>
      <c r="H16700" s="7"/>
      <c r="I16700" s="7"/>
      <c r="J16700" s="7"/>
      <c r="K16700" s="7"/>
      <c r="L16700" s="7"/>
      <c r="M16700" s="7"/>
      <c r="N16700" s="7"/>
      <c r="O16700" s="7"/>
      <c r="P16700" s="7"/>
      <c r="Q16700" s="7"/>
      <c r="R16700" s="7"/>
      <c r="S16700" s="7"/>
      <c r="T16700" s="7"/>
      <c r="U16700" s="7"/>
      <c r="V16700" s="7"/>
      <c r="W16700" s="7"/>
      <c r="X16700" s="7"/>
      <c r="Y16700" s="7"/>
      <c r="Z16700" s="7"/>
      <c r="AA16700" s="7"/>
      <c r="AB16700" s="7"/>
      <c r="AC16700" s="7"/>
      <c r="AD16700" s="7"/>
      <c r="AE16700" s="7"/>
      <c r="AF16700" s="7"/>
    </row>
    <row r="16701" spans="1:32">
      <c r="A16701" s="7"/>
      <c r="B16701" s="7"/>
      <c r="C16701" s="7"/>
      <c r="D16701" s="7"/>
      <c r="E16701" s="7"/>
      <c r="F16701" s="7"/>
      <c r="G16701" s="7"/>
      <c r="H16701" s="7"/>
      <c r="I16701" s="7"/>
      <c r="J16701" s="7"/>
      <c r="K16701" s="7"/>
      <c r="L16701" s="7"/>
      <c r="M16701" s="7"/>
      <c r="N16701" s="7"/>
      <c r="O16701" s="7"/>
      <c r="P16701" s="7"/>
      <c r="Q16701" s="7"/>
      <c r="R16701" s="7"/>
      <c r="S16701" s="7"/>
      <c r="T16701" s="7"/>
      <c r="U16701" s="7"/>
      <c r="V16701" s="7"/>
      <c r="W16701" s="7"/>
      <c r="X16701" s="7"/>
      <c r="Y16701" s="7"/>
      <c r="Z16701" s="7"/>
      <c r="AA16701" s="7"/>
      <c r="AB16701" s="7"/>
      <c r="AC16701" s="7"/>
      <c r="AD16701" s="7"/>
      <c r="AE16701" s="7"/>
      <c r="AF16701" s="7"/>
    </row>
    <row r="16702" spans="1:32">
      <c r="A16702" s="7"/>
      <c r="B16702" s="7"/>
      <c r="C16702" s="7"/>
      <c r="D16702" s="7"/>
      <c r="E16702" s="7"/>
      <c r="F16702" s="7"/>
      <c r="G16702" s="7"/>
      <c r="H16702" s="7"/>
      <c r="I16702" s="7"/>
      <c r="J16702" s="7"/>
      <c r="K16702" s="7"/>
      <c r="L16702" s="7"/>
      <c r="M16702" s="7"/>
      <c r="N16702" s="7"/>
      <c r="O16702" s="7"/>
      <c r="P16702" s="7"/>
      <c r="Q16702" s="7"/>
      <c r="R16702" s="7"/>
      <c r="S16702" s="7"/>
      <c r="T16702" s="7"/>
      <c r="U16702" s="7"/>
      <c r="V16702" s="7"/>
      <c r="W16702" s="7"/>
      <c r="X16702" s="7"/>
      <c r="Y16702" s="7"/>
      <c r="Z16702" s="7"/>
      <c r="AA16702" s="7"/>
      <c r="AB16702" s="7"/>
      <c r="AC16702" s="7"/>
      <c r="AD16702" s="7"/>
      <c r="AE16702" s="7"/>
      <c r="AF16702" s="7"/>
    </row>
    <row r="16703" spans="1:32">
      <c r="A16703" s="7"/>
      <c r="B16703" s="7"/>
      <c r="C16703" s="7"/>
      <c r="D16703" s="7"/>
      <c r="E16703" s="7"/>
      <c r="F16703" s="7"/>
      <c r="G16703" s="7"/>
      <c r="H16703" s="7"/>
      <c r="I16703" s="7"/>
      <c r="J16703" s="7"/>
      <c r="K16703" s="7"/>
      <c r="L16703" s="7"/>
      <c r="M16703" s="7"/>
      <c r="N16703" s="7"/>
      <c r="O16703" s="7"/>
      <c r="P16703" s="7"/>
      <c r="Q16703" s="7"/>
      <c r="R16703" s="7"/>
      <c r="S16703" s="7"/>
      <c r="T16703" s="7"/>
      <c r="U16703" s="7"/>
      <c r="V16703" s="7"/>
      <c r="W16703" s="7"/>
      <c r="X16703" s="7"/>
      <c r="Y16703" s="7"/>
      <c r="Z16703" s="7"/>
      <c r="AA16703" s="7"/>
      <c r="AB16703" s="7"/>
      <c r="AC16703" s="7"/>
      <c r="AD16703" s="7"/>
      <c r="AE16703" s="7"/>
      <c r="AF16703" s="7"/>
    </row>
    <row r="16704" spans="1:32">
      <c r="A16704" s="7"/>
      <c r="B16704" s="7"/>
      <c r="C16704" s="7"/>
      <c r="D16704" s="7"/>
      <c r="E16704" s="7"/>
      <c r="F16704" s="7"/>
      <c r="G16704" s="7"/>
      <c r="H16704" s="7"/>
      <c r="I16704" s="7"/>
      <c r="J16704" s="7"/>
      <c r="K16704" s="7"/>
      <c r="L16704" s="7"/>
      <c r="M16704" s="7"/>
      <c r="N16704" s="7"/>
      <c r="O16704" s="7"/>
      <c r="P16704" s="7"/>
      <c r="Q16704" s="7"/>
      <c r="R16704" s="7"/>
      <c r="S16704" s="7"/>
      <c r="T16704" s="7"/>
      <c r="U16704" s="7"/>
      <c r="V16704" s="7"/>
      <c r="W16704" s="7"/>
      <c r="X16704" s="7"/>
      <c r="Y16704" s="7"/>
      <c r="Z16704" s="7"/>
      <c r="AA16704" s="7"/>
      <c r="AB16704" s="7"/>
      <c r="AC16704" s="7"/>
      <c r="AD16704" s="7"/>
      <c r="AE16704" s="7"/>
      <c r="AF16704" s="7"/>
    </row>
    <row r="16705" spans="1:32">
      <c r="A16705" s="7"/>
      <c r="B16705" s="7"/>
      <c r="C16705" s="7"/>
      <c r="D16705" s="7"/>
      <c r="E16705" s="7"/>
      <c r="F16705" s="7"/>
      <c r="G16705" s="7"/>
      <c r="H16705" s="7"/>
      <c r="I16705" s="7"/>
      <c r="J16705" s="7"/>
      <c r="K16705" s="7"/>
      <c r="L16705" s="7"/>
      <c r="M16705" s="7"/>
      <c r="N16705" s="7"/>
      <c r="O16705" s="7"/>
      <c r="P16705" s="7"/>
      <c r="Q16705" s="7"/>
      <c r="R16705" s="7"/>
      <c r="S16705" s="7"/>
      <c r="T16705" s="7"/>
      <c r="U16705" s="7"/>
      <c r="V16705" s="7"/>
      <c r="W16705" s="7"/>
      <c r="X16705" s="7"/>
      <c r="Y16705" s="7"/>
      <c r="Z16705" s="7"/>
      <c r="AA16705" s="7"/>
      <c r="AB16705" s="7"/>
      <c r="AC16705" s="7"/>
      <c r="AD16705" s="7"/>
      <c r="AE16705" s="7"/>
      <c r="AF16705" s="7"/>
    </row>
    <row r="16706" spans="1:32">
      <c r="A16706" s="7"/>
      <c r="B16706" s="7"/>
      <c r="C16706" s="7"/>
      <c r="D16706" s="7"/>
      <c r="E16706" s="7"/>
      <c r="F16706" s="7"/>
      <c r="G16706" s="7"/>
      <c r="H16706" s="7"/>
      <c r="I16706" s="7"/>
      <c r="J16706" s="7"/>
      <c r="K16706" s="7"/>
      <c r="L16706" s="7"/>
      <c r="M16706" s="7"/>
      <c r="N16706" s="7"/>
      <c r="O16706" s="7"/>
      <c r="P16706" s="7"/>
      <c r="Q16706" s="7"/>
      <c r="R16706" s="7"/>
      <c r="S16706" s="7"/>
      <c r="T16706" s="7"/>
      <c r="U16706" s="7"/>
      <c r="V16706" s="7"/>
      <c r="W16706" s="7"/>
      <c r="X16706" s="7"/>
      <c r="Y16706" s="7"/>
      <c r="Z16706" s="7"/>
      <c r="AA16706" s="7"/>
      <c r="AB16706" s="7"/>
      <c r="AC16706" s="7"/>
      <c r="AD16706" s="7"/>
      <c r="AE16706" s="7"/>
      <c r="AF16706" s="7"/>
    </row>
    <row r="16707" spans="1:32">
      <c r="A16707" s="7"/>
      <c r="B16707" s="7"/>
      <c r="C16707" s="7"/>
      <c r="D16707" s="7"/>
      <c r="E16707" s="7"/>
      <c r="F16707" s="7"/>
      <c r="G16707" s="7"/>
      <c r="H16707" s="7"/>
      <c r="I16707" s="7"/>
      <c r="J16707" s="7"/>
      <c r="K16707" s="7"/>
      <c r="L16707" s="7"/>
      <c r="M16707" s="7"/>
      <c r="N16707" s="7"/>
      <c r="O16707" s="7"/>
      <c r="P16707" s="7"/>
      <c r="Q16707" s="7"/>
      <c r="R16707" s="7"/>
      <c r="S16707" s="7"/>
      <c r="T16707" s="7"/>
      <c r="U16707" s="7"/>
      <c r="V16707" s="7"/>
      <c r="W16707" s="7"/>
      <c r="X16707" s="7"/>
      <c r="Y16707" s="7"/>
      <c r="Z16707" s="7"/>
      <c r="AA16707" s="7"/>
      <c r="AB16707" s="7"/>
      <c r="AC16707" s="7"/>
      <c r="AD16707" s="7"/>
      <c r="AE16707" s="7"/>
      <c r="AF16707" s="7"/>
    </row>
    <row r="16708" spans="1:32">
      <c r="A16708" s="7"/>
      <c r="B16708" s="7"/>
      <c r="C16708" s="7"/>
      <c r="D16708" s="7"/>
      <c r="E16708" s="7"/>
      <c r="F16708" s="7"/>
      <c r="G16708" s="7"/>
      <c r="H16708" s="7"/>
      <c r="I16708" s="7"/>
      <c r="J16708" s="7"/>
      <c r="K16708" s="7"/>
      <c r="L16708" s="7"/>
      <c r="M16708" s="7"/>
      <c r="N16708" s="7"/>
      <c r="O16708" s="7"/>
      <c r="P16708" s="7"/>
      <c r="Q16708" s="7"/>
      <c r="R16708" s="7"/>
      <c r="S16708" s="7"/>
      <c r="T16708" s="7"/>
      <c r="U16708" s="7"/>
      <c r="V16708" s="7"/>
      <c r="W16708" s="7"/>
      <c r="X16708" s="7"/>
      <c r="Y16708" s="7"/>
      <c r="Z16708" s="7"/>
      <c r="AA16708" s="7"/>
      <c r="AB16708" s="7"/>
      <c r="AC16708" s="7"/>
      <c r="AD16708" s="7"/>
      <c r="AE16708" s="7"/>
      <c r="AF16708" s="7"/>
    </row>
    <row r="16709" spans="1:32">
      <c r="A16709" s="7"/>
      <c r="B16709" s="7"/>
      <c r="C16709" s="7"/>
      <c r="D16709" s="7"/>
      <c r="E16709" s="7"/>
      <c r="F16709" s="7"/>
      <c r="G16709" s="7"/>
      <c r="H16709" s="7"/>
      <c r="I16709" s="7"/>
      <c r="J16709" s="7"/>
      <c r="K16709" s="7"/>
      <c r="L16709" s="7"/>
      <c r="M16709" s="7"/>
      <c r="N16709" s="7"/>
      <c r="O16709" s="7"/>
      <c r="P16709" s="7"/>
      <c r="Q16709" s="7"/>
      <c r="R16709" s="7"/>
      <c r="S16709" s="7"/>
      <c r="T16709" s="7"/>
      <c r="U16709" s="7"/>
      <c r="V16709" s="7"/>
      <c r="W16709" s="7"/>
      <c r="X16709" s="7"/>
      <c r="Y16709" s="7"/>
      <c r="Z16709" s="7"/>
      <c r="AA16709" s="7"/>
      <c r="AB16709" s="7"/>
      <c r="AC16709" s="7"/>
      <c r="AD16709" s="7"/>
      <c r="AE16709" s="7"/>
      <c r="AF16709" s="7"/>
    </row>
    <row r="16710" spans="1:32">
      <c r="A16710" s="7"/>
      <c r="B16710" s="7"/>
      <c r="C16710" s="7"/>
      <c r="D16710" s="7"/>
      <c r="E16710" s="7"/>
      <c r="F16710" s="7"/>
      <c r="G16710" s="7"/>
      <c r="H16710" s="7"/>
      <c r="I16710" s="7"/>
      <c r="J16710" s="7"/>
      <c r="K16710" s="7"/>
      <c r="L16710" s="7"/>
      <c r="M16710" s="7"/>
      <c r="N16710" s="7"/>
      <c r="O16710" s="7"/>
      <c r="P16710" s="7"/>
      <c r="Q16710" s="7"/>
      <c r="R16710" s="7"/>
      <c r="S16710" s="7"/>
      <c r="T16710" s="7"/>
      <c r="U16710" s="7"/>
      <c r="V16710" s="7"/>
      <c r="W16710" s="7"/>
      <c r="X16710" s="7"/>
      <c r="Y16710" s="7"/>
      <c r="Z16710" s="7"/>
      <c r="AA16710" s="7"/>
      <c r="AB16710" s="7"/>
      <c r="AC16710" s="7"/>
      <c r="AD16710" s="7"/>
      <c r="AE16710" s="7"/>
      <c r="AF16710" s="7"/>
    </row>
    <row r="16711" spans="1:32">
      <c r="A16711" s="7"/>
      <c r="B16711" s="7"/>
      <c r="C16711" s="7"/>
      <c r="D16711" s="7"/>
      <c r="E16711" s="7"/>
      <c r="F16711" s="7"/>
      <c r="G16711" s="7"/>
      <c r="H16711" s="7"/>
      <c r="I16711" s="7"/>
      <c r="J16711" s="7"/>
      <c r="K16711" s="7"/>
      <c r="L16711" s="7"/>
      <c r="M16711" s="7"/>
      <c r="N16711" s="7"/>
      <c r="O16711" s="7"/>
      <c r="P16711" s="7"/>
      <c r="Q16711" s="7"/>
      <c r="R16711" s="7"/>
      <c r="S16711" s="7"/>
      <c r="T16711" s="7"/>
      <c r="U16711" s="7"/>
      <c r="V16711" s="7"/>
      <c r="W16711" s="7"/>
      <c r="X16711" s="7"/>
      <c r="Y16711" s="7"/>
      <c r="Z16711" s="7"/>
      <c r="AA16711" s="7"/>
      <c r="AB16711" s="7"/>
      <c r="AC16711" s="7"/>
      <c r="AD16711" s="7"/>
      <c r="AE16711" s="7"/>
      <c r="AF16711" s="7"/>
    </row>
    <row r="16712" spans="1:32">
      <c r="A16712" s="7"/>
      <c r="B16712" s="7"/>
      <c r="C16712" s="7"/>
      <c r="D16712" s="7"/>
      <c r="E16712" s="7"/>
      <c r="F16712" s="7"/>
      <c r="G16712" s="7"/>
      <c r="H16712" s="7"/>
      <c r="I16712" s="7"/>
      <c r="J16712" s="7"/>
      <c r="K16712" s="7"/>
      <c r="L16712" s="7"/>
      <c r="M16712" s="7"/>
      <c r="N16712" s="7"/>
      <c r="O16712" s="7"/>
      <c r="P16712" s="7"/>
      <c r="Q16712" s="7"/>
      <c r="R16712" s="7"/>
      <c r="S16712" s="7"/>
      <c r="T16712" s="7"/>
      <c r="U16712" s="7"/>
      <c r="V16712" s="7"/>
      <c r="W16712" s="7"/>
      <c r="X16712" s="7"/>
      <c r="Y16712" s="7"/>
      <c r="Z16712" s="7"/>
      <c r="AA16712" s="7"/>
      <c r="AB16712" s="7"/>
      <c r="AC16712" s="7"/>
      <c r="AD16712" s="7"/>
      <c r="AE16712" s="7"/>
      <c r="AF16712" s="7"/>
    </row>
    <row r="16713" spans="1:32">
      <c r="A16713" s="7"/>
      <c r="B16713" s="7"/>
      <c r="C16713" s="7"/>
      <c r="D16713" s="7"/>
      <c r="E16713" s="7"/>
      <c r="F16713" s="7"/>
      <c r="G16713" s="7"/>
      <c r="H16713" s="7"/>
      <c r="I16713" s="7"/>
      <c r="J16713" s="7"/>
      <c r="K16713" s="7"/>
      <c r="L16713" s="7"/>
      <c r="M16713" s="7"/>
      <c r="N16713" s="7"/>
      <c r="O16713" s="7"/>
      <c r="P16713" s="7"/>
      <c r="Q16713" s="7"/>
      <c r="R16713" s="7"/>
      <c r="S16713" s="7"/>
      <c r="T16713" s="7"/>
      <c r="U16713" s="7"/>
      <c r="V16713" s="7"/>
      <c r="W16713" s="7"/>
      <c r="X16713" s="7"/>
      <c r="Y16713" s="7"/>
      <c r="Z16713" s="7"/>
      <c r="AA16713" s="7"/>
      <c r="AB16713" s="7"/>
      <c r="AC16713" s="7"/>
      <c r="AD16713" s="7"/>
      <c r="AE16713" s="7"/>
      <c r="AF16713" s="7"/>
    </row>
    <row r="16714" spans="1:32">
      <c r="A16714" s="7"/>
      <c r="B16714" s="7"/>
      <c r="C16714" s="7"/>
      <c r="D16714" s="7"/>
      <c r="E16714" s="7"/>
      <c r="F16714" s="7"/>
      <c r="G16714" s="7"/>
      <c r="H16714" s="7"/>
      <c r="I16714" s="7"/>
      <c r="J16714" s="7"/>
      <c r="K16714" s="7"/>
      <c r="L16714" s="7"/>
      <c r="M16714" s="7"/>
      <c r="N16714" s="7"/>
      <c r="O16714" s="7"/>
      <c r="P16714" s="7"/>
      <c r="Q16714" s="7"/>
      <c r="R16714" s="7"/>
      <c r="S16714" s="7"/>
      <c r="T16714" s="7"/>
      <c r="U16714" s="7"/>
      <c r="V16714" s="7"/>
      <c r="W16714" s="7"/>
      <c r="X16714" s="7"/>
      <c r="Y16714" s="7"/>
      <c r="Z16714" s="7"/>
      <c r="AA16714" s="7"/>
      <c r="AB16714" s="7"/>
      <c r="AC16714" s="7"/>
      <c r="AD16714" s="7"/>
      <c r="AE16714" s="7"/>
      <c r="AF16714" s="7"/>
    </row>
    <row r="16715" spans="1:32">
      <c r="A16715" s="7"/>
      <c r="B16715" s="7"/>
      <c r="C16715" s="7"/>
      <c r="D16715" s="7"/>
      <c r="E16715" s="7"/>
      <c r="F16715" s="7"/>
      <c r="G16715" s="7"/>
      <c r="H16715" s="7"/>
      <c r="I16715" s="7"/>
      <c r="J16715" s="7"/>
      <c r="K16715" s="7"/>
      <c r="L16715" s="7"/>
      <c r="M16715" s="7"/>
      <c r="N16715" s="7"/>
      <c r="O16715" s="7"/>
      <c r="P16715" s="7"/>
      <c r="Q16715" s="7"/>
      <c r="R16715" s="7"/>
      <c r="S16715" s="7"/>
      <c r="T16715" s="7"/>
      <c r="U16715" s="7"/>
      <c r="V16715" s="7"/>
      <c r="W16715" s="7"/>
      <c r="X16715" s="7"/>
      <c r="Y16715" s="7"/>
      <c r="Z16715" s="7"/>
      <c r="AA16715" s="7"/>
      <c r="AB16715" s="7"/>
      <c r="AC16715" s="7"/>
      <c r="AD16715" s="7"/>
      <c r="AE16715" s="7"/>
      <c r="AF16715" s="7"/>
    </row>
    <row r="16716" spans="1:32">
      <c r="A16716" s="7"/>
      <c r="B16716" s="7"/>
      <c r="C16716" s="7"/>
      <c r="D16716" s="7"/>
      <c r="E16716" s="7"/>
      <c r="F16716" s="7"/>
      <c r="G16716" s="7"/>
      <c r="H16716" s="7"/>
      <c r="I16716" s="7"/>
      <c r="J16716" s="7"/>
      <c r="K16716" s="7"/>
      <c r="L16716" s="7"/>
      <c r="M16716" s="7"/>
      <c r="N16716" s="7"/>
      <c r="O16716" s="7"/>
      <c r="P16716" s="7"/>
      <c r="Q16716" s="7"/>
      <c r="R16716" s="7"/>
      <c r="S16716" s="7"/>
      <c r="T16716" s="7"/>
      <c r="U16716" s="7"/>
      <c r="V16716" s="7"/>
      <c r="W16716" s="7"/>
      <c r="X16716" s="7"/>
      <c r="Y16716" s="7"/>
      <c r="Z16716" s="7"/>
      <c r="AA16716" s="7"/>
      <c r="AB16716" s="7"/>
      <c r="AC16716" s="7"/>
      <c r="AD16716" s="7"/>
      <c r="AE16716" s="7"/>
      <c r="AF16716" s="7"/>
    </row>
    <row r="16717" spans="1:32">
      <c r="A16717" s="7"/>
      <c r="B16717" s="7"/>
      <c r="C16717" s="7"/>
      <c r="D16717" s="7"/>
      <c r="E16717" s="7"/>
      <c r="F16717" s="7"/>
      <c r="G16717" s="7"/>
      <c r="H16717" s="7"/>
      <c r="I16717" s="7"/>
      <c r="J16717" s="7"/>
      <c r="K16717" s="7"/>
      <c r="L16717" s="7"/>
      <c r="M16717" s="7"/>
      <c r="N16717" s="7"/>
      <c r="O16717" s="7"/>
      <c r="P16717" s="7"/>
      <c r="Q16717" s="7"/>
      <c r="R16717" s="7"/>
      <c r="S16717" s="7"/>
      <c r="T16717" s="7"/>
      <c r="U16717" s="7"/>
      <c r="V16717" s="7"/>
      <c r="W16717" s="7"/>
      <c r="X16717" s="7"/>
      <c r="Y16717" s="7"/>
      <c r="Z16717" s="7"/>
      <c r="AA16717" s="7"/>
      <c r="AB16717" s="7"/>
      <c r="AC16717" s="7"/>
      <c r="AD16717" s="7"/>
      <c r="AE16717" s="7"/>
      <c r="AF16717" s="7"/>
    </row>
    <row r="16718" spans="1:32">
      <c r="A16718" s="7"/>
      <c r="B16718" s="7"/>
      <c r="C16718" s="7"/>
      <c r="D16718" s="7"/>
      <c r="E16718" s="7"/>
      <c r="F16718" s="7"/>
      <c r="G16718" s="7"/>
      <c r="H16718" s="7"/>
      <c r="I16718" s="7"/>
      <c r="J16718" s="7"/>
      <c r="K16718" s="7"/>
      <c r="L16718" s="7"/>
      <c r="M16718" s="7"/>
      <c r="N16718" s="7"/>
      <c r="O16718" s="7"/>
      <c r="P16718" s="7"/>
      <c r="Q16718" s="7"/>
      <c r="R16718" s="7"/>
      <c r="S16718" s="7"/>
      <c r="T16718" s="7"/>
      <c r="U16718" s="7"/>
      <c r="V16718" s="7"/>
      <c r="W16718" s="7"/>
      <c r="X16718" s="7"/>
      <c r="Y16718" s="7"/>
      <c r="Z16718" s="7"/>
      <c r="AA16718" s="7"/>
      <c r="AB16718" s="7"/>
      <c r="AC16718" s="7"/>
      <c r="AD16718" s="7"/>
      <c r="AE16718" s="7"/>
      <c r="AF16718" s="7"/>
    </row>
    <row r="16719" spans="1:32">
      <c r="A16719" s="7"/>
      <c r="B16719" s="7"/>
      <c r="C16719" s="7"/>
      <c r="D16719" s="7"/>
      <c r="E16719" s="7"/>
      <c r="F16719" s="7"/>
      <c r="G16719" s="7"/>
      <c r="H16719" s="7"/>
      <c r="I16719" s="7"/>
      <c r="J16719" s="7"/>
      <c r="K16719" s="7"/>
      <c r="L16719" s="7"/>
      <c r="M16719" s="7"/>
      <c r="N16719" s="7"/>
      <c r="O16719" s="7"/>
      <c r="P16719" s="7"/>
      <c r="Q16719" s="7"/>
      <c r="R16719" s="7"/>
      <c r="S16719" s="7"/>
      <c r="T16719" s="7"/>
      <c r="U16719" s="7"/>
      <c r="V16719" s="7"/>
      <c r="W16719" s="7"/>
      <c r="X16719" s="7"/>
      <c r="Y16719" s="7"/>
      <c r="Z16719" s="7"/>
      <c r="AA16719" s="7"/>
      <c r="AB16719" s="7"/>
      <c r="AC16719" s="7"/>
      <c r="AD16719" s="7"/>
      <c r="AE16719" s="7"/>
      <c r="AF16719" s="7"/>
    </row>
    <row r="16720" spans="1:32">
      <c r="A16720" s="7"/>
      <c r="B16720" s="7"/>
      <c r="C16720" s="7"/>
      <c r="D16720" s="7"/>
      <c r="E16720" s="7"/>
      <c r="F16720" s="7"/>
      <c r="G16720" s="7"/>
      <c r="H16720" s="7"/>
      <c r="I16720" s="7"/>
      <c r="J16720" s="7"/>
      <c r="K16720" s="7"/>
      <c r="L16720" s="7"/>
      <c r="M16720" s="7"/>
      <c r="N16720" s="7"/>
      <c r="O16720" s="7"/>
      <c r="P16720" s="7"/>
      <c r="Q16720" s="7"/>
      <c r="R16720" s="7"/>
      <c r="S16720" s="7"/>
      <c r="T16720" s="7"/>
      <c r="U16720" s="7"/>
      <c r="V16720" s="7"/>
      <c r="W16720" s="7"/>
      <c r="X16720" s="7"/>
      <c r="Y16720" s="7"/>
      <c r="Z16720" s="7"/>
      <c r="AA16720" s="7"/>
      <c r="AB16720" s="7"/>
      <c r="AC16720" s="7"/>
      <c r="AD16720" s="7"/>
      <c r="AE16720" s="7"/>
      <c r="AF16720" s="7"/>
    </row>
    <row r="16721" spans="1:32">
      <c r="A16721" s="7"/>
      <c r="B16721" s="7"/>
      <c r="C16721" s="7"/>
      <c r="D16721" s="7"/>
      <c r="E16721" s="7"/>
      <c r="F16721" s="7"/>
      <c r="G16721" s="7"/>
      <c r="H16721" s="7"/>
      <c r="I16721" s="7"/>
      <c r="J16721" s="7"/>
      <c r="K16721" s="7"/>
      <c r="L16721" s="7"/>
      <c r="M16721" s="7"/>
      <c r="N16721" s="7"/>
      <c r="O16721" s="7"/>
      <c r="P16721" s="7"/>
      <c r="Q16721" s="7"/>
      <c r="R16721" s="7"/>
      <c r="S16721" s="7"/>
      <c r="T16721" s="7"/>
      <c r="U16721" s="7"/>
      <c r="V16721" s="7"/>
      <c r="W16721" s="7"/>
      <c r="X16721" s="7"/>
      <c r="Y16721" s="7"/>
      <c r="Z16721" s="7"/>
      <c r="AA16721" s="7"/>
      <c r="AB16721" s="7"/>
      <c r="AC16721" s="7"/>
      <c r="AD16721" s="7"/>
      <c r="AE16721" s="7"/>
      <c r="AF16721" s="7"/>
    </row>
    <row r="16722" spans="1:32">
      <c r="A16722" s="7"/>
      <c r="B16722" s="7"/>
      <c r="C16722" s="7"/>
      <c r="D16722" s="7"/>
      <c r="E16722" s="7"/>
      <c r="F16722" s="7"/>
      <c r="G16722" s="7"/>
      <c r="H16722" s="7"/>
      <c r="I16722" s="7"/>
      <c r="J16722" s="7"/>
      <c r="K16722" s="7"/>
      <c r="L16722" s="7"/>
      <c r="M16722" s="7"/>
      <c r="N16722" s="7"/>
      <c r="O16722" s="7"/>
      <c r="P16722" s="7"/>
      <c r="Q16722" s="7"/>
      <c r="R16722" s="7"/>
      <c r="S16722" s="7"/>
      <c r="T16722" s="7"/>
      <c r="U16722" s="7"/>
      <c r="V16722" s="7"/>
      <c r="W16722" s="7"/>
      <c r="X16722" s="7"/>
      <c r="Y16722" s="7"/>
      <c r="Z16722" s="7"/>
      <c r="AA16722" s="7"/>
      <c r="AB16722" s="7"/>
      <c r="AC16722" s="7"/>
      <c r="AD16722" s="7"/>
      <c r="AE16722" s="7"/>
      <c r="AF16722" s="7"/>
    </row>
    <row r="16723" spans="1:32">
      <c r="A16723" s="7"/>
      <c r="B16723" s="7"/>
      <c r="C16723" s="7"/>
      <c r="D16723" s="7"/>
      <c r="E16723" s="7"/>
      <c r="F16723" s="7"/>
      <c r="G16723" s="7"/>
      <c r="H16723" s="7"/>
      <c r="I16723" s="7"/>
      <c r="J16723" s="7"/>
      <c r="K16723" s="7"/>
      <c r="L16723" s="7"/>
      <c r="M16723" s="7"/>
      <c r="N16723" s="7"/>
      <c r="O16723" s="7"/>
      <c r="P16723" s="7"/>
      <c r="Q16723" s="7"/>
      <c r="R16723" s="7"/>
      <c r="S16723" s="7"/>
      <c r="T16723" s="7"/>
      <c r="U16723" s="7"/>
      <c r="V16723" s="7"/>
      <c r="W16723" s="7"/>
      <c r="X16723" s="7"/>
      <c r="Y16723" s="7"/>
      <c r="Z16723" s="7"/>
      <c r="AA16723" s="7"/>
      <c r="AB16723" s="7"/>
      <c r="AC16723" s="7"/>
      <c r="AD16723" s="7"/>
      <c r="AE16723" s="7"/>
      <c r="AF16723" s="7"/>
    </row>
    <row r="16724" spans="1:32">
      <c r="A16724" s="7"/>
      <c r="B16724" s="7"/>
      <c r="C16724" s="7"/>
      <c r="D16724" s="7"/>
      <c r="E16724" s="7"/>
      <c r="F16724" s="7"/>
      <c r="G16724" s="7"/>
      <c r="H16724" s="7"/>
      <c r="I16724" s="7"/>
      <c r="J16724" s="7"/>
      <c r="K16724" s="7"/>
      <c r="L16724" s="7"/>
      <c r="M16724" s="7"/>
      <c r="N16724" s="7"/>
      <c r="O16724" s="7"/>
      <c r="P16724" s="7"/>
      <c r="Q16724" s="7"/>
      <c r="R16724" s="7"/>
      <c r="S16724" s="7"/>
      <c r="T16724" s="7"/>
      <c r="U16724" s="7"/>
      <c r="V16724" s="7"/>
      <c r="W16724" s="7"/>
      <c r="X16724" s="7"/>
      <c r="Y16724" s="7"/>
      <c r="Z16724" s="7"/>
      <c r="AA16724" s="7"/>
      <c r="AB16724" s="7"/>
      <c r="AC16724" s="7"/>
      <c r="AD16724" s="7"/>
      <c r="AE16724" s="7"/>
      <c r="AF16724" s="7"/>
    </row>
    <row r="16725" spans="1:32">
      <c r="A16725" s="7"/>
      <c r="B16725" s="7"/>
      <c r="C16725" s="7"/>
      <c r="D16725" s="7"/>
      <c r="E16725" s="7"/>
      <c r="F16725" s="7"/>
      <c r="G16725" s="7"/>
      <c r="H16725" s="7"/>
      <c r="I16725" s="7"/>
      <c r="J16725" s="7"/>
      <c r="K16725" s="7"/>
      <c r="L16725" s="7"/>
      <c r="M16725" s="7"/>
      <c r="N16725" s="7"/>
      <c r="O16725" s="7"/>
      <c r="P16725" s="7"/>
      <c r="Q16725" s="7"/>
      <c r="R16725" s="7"/>
      <c r="S16725" s="7"/>
      <c r="T16725" s="7"/>
      <c r="U16725" s="7"/>
      <c r="V16725" s="7"/>
      <c r="W16725" s="7"/>
      <c r="X16725" s="7"/>
      <c r="Y16725" s="7"/>
      <c r="Z16725" s="7"/>
      <c r="AA16725" s="7"/>
      <c r="AB16725" s="7"/>
      <c r="AC16725" s="7"/>
      <c r="AD16725" s="7"/>
      <c r="AE16725" s="7"/>
      <c r="AF16725" s="7"/>
    </row>
    <row r="16726" spans="1:32">
      <c r="A16726" s="7"/>
      <c r="B16726" s="7"/>
      <c r="C16726" s="7"/>
      <c r="D16726" s="7"/>
      <c r="E16726" s="7"/>
      <c r="F16726" s="7"/>
      <c r="G16726" s="7"/>
      <c r="H16726" s="7"/>
      <c r="I16726" s="7"/>
      <c r="J16726" s="7"/>
      <c r="K16726" s="7"/>
      <c r="L16726" s="7"/>
      <c r="M16726" s="7"/>
      <c r="N16726" s="7"/>
      <c r="O16726" s="7"/>
      <c r="P16726" s="7"/>
      <c r="Q16726" s="7"/>
      <c r="R16726" s="7"/>
      <c r="S16726" s="7"/>
      <c r="T16726" s="7"/>
      <c r="U16726" s="7"/>
      <c r="V16726" s="7"/>
      <c r="W16726" s="7"/>
      <c r="X16726" s="7"/>
      <c r="Y16726" s="7"/>
      <c r="Z16726" s="7"/>
      <c r="AA16726" s="7"/>
      <c r="AB16726" s="7"/>
      <c r="AC16726" s="7"/>
      <c r="AD16726" s="7"/>
      <c r="AE16726" s="7"/>
      <c r="AF16726" s="7"/>
    </row>
    <row r="16727" spans="1:32">
      <c r="A16727" s="7"/>
      <c r="B16727" s="7"/>
      <c r="C16727" s="7"/>
      <c r="D16727" s="7"/>
      <c r="E16727" s="7"/>
      <c r="F16727" s="7"/>
      <c r="G16727" s="7"/>
      <c r="H16727" s="7"/>
      <c r="I16727" s="7"/>
      <c r="J16727" s="7"/>
      <c r="K16727" s="7"/>
      <c r="L16727" s="7"/>
      <c r="M16727" s="7"/>
      <c r="N16727" s="7"/>
      <c r="O16727" s="7"/>
      <c r="P16727" s="7"/>
      <c r="Q16727" s="7"/>
      <c r="R16727" s="7"/>
      <c r="S16727" s="7"/>
      <c r="T16727" s="7"/>
      <c r="U16727" s="7"/>
      <c r="V16727" s="7"/>
      <c r="W16727" s="7"/>
      <c r="X16727" s="7"/>
      <c r="Y16727" s="7"/>
      <c r="Z16727" s="7"/>
      <c r="AA16727" s="7"/>
      <c r="AB16727" s="7"/>
      <c r="AC16727" s="7"/>
      <c r="AD16727" s="7"/>
      <c r="AE16727" s="7"/>
      <c r="AF16727" s="7"/>
    </row>
    <row r="16728" spans="1:32">
      <c r="A16728" s="7"/>
      <c r="B16728" s="7"/>
      <c r="C16728" s="7"/>
      <c r="D16728" s="7"/>
      <c r="E16728" s="7"/>
      <c r="F16728" s="7"/>
      <c r="G16728" s="7"/>
      <c r="H16728" s="7"/>
      <c r="I16728" s="7"/>
      <c r="J16728" s="7"/>
      <c r="K16728" s="7"/>
      <c r="L16728" s="7"/>
      <c r="M16728" s="7"/>
      <c r="N16728" s="7"/>
      <c r="O16728" s="7"/>
      <c r="P16728" s="7"/>
      <c r="Q16728" s="7"/>
      <c r="R16728" s="7"/>
      <c r="S16728" s="7"/>
      <c r="T16728" s="7"/>
      <c r="U16728" s="7"/>
      <c r="V16728" s="7"/>
      <c r="W16728" s="7"/>
      <c r="X16728" s="7"/>
      <c r="Y16728" s="7"/>
      <c r="Z16728" s="7"/>
      <c r="AA16728" s="7"/>
      <c r="AB16728" s="7"/>
      <c r="AC16728" s="7"/>
      <c r="AD16728" s="7"/>
      <c r="AE16728" s="7"/>
      <c r="AF16728" s="7"/>
    </row>
    <row r="16729" spans="1:32">
      <c r="A16729" s="7"/>
      <c r="B16729" s="7"/>
      <c r="C16729" s="7"/>
      <c r="D16729" s="7"/>
      <c r="E16729" s="7"/>
      <c r="F16729" s="7"/>
      <c r="G16729" s="7"/>
      <c r="H16729" s="7"/>
      <c r="I16729" s="7"/>
      <c r="J16729" s="7"/>
      <c r="K16729" s="7"/>
      <c r="L16729" s="7"/>
      <c r="M16729" s="7"/>
      <c r="N16729" s="7"/>
      <c r="O16729" s="7"/>
      <c r="P16729" s="7"/>
      <c r="Q16729" s="7"/>
      <c r="R16729" s="7"/>
      <c r="S16729" s="7"/>
      <c r="T16729" s="7"/>
      <c r="U16729" s="7"/>
      <c r="V16729" s="7"/>
      <c r="W16729" s="7"/>
      <c r="X16729" s="7"/>
      <c r="Y16729" s="7"/>
      <c r="Z16729" s="7"/>
      <c r="AA16729" s="7"/>
      <c r="AB16729" s="7"/>
      <c r="AC16729" s="7"/>
      <c r="AD16729" s="7"/>
      <c r="AE16729" s="7"/>
      <c r="AF16729" s="7"/>
    </row>
    <row r="16730" spans="1:32">
      <c r="A16730" s="7"/>
      <c r="B16730" s="7"/>
      <c r="C16730" s="7"/>
      <c r="D16730" s="7"/>
      <c r="E16730" s="7"/>
      <c r="F16730" s="7"/>
      <c r="G16730" s="7"/>
      <c r="H16730" s="7"/>
      <c r="I16730" s="7"/>
      <c r="J16730" s="7"/>
      <c r="K16730" s="7"/>
      <c r="L16730" s="7"/>
      <c r="M16730" s="7"/>
      <c r="N16730" s="7"/>
      <c r="O16730" s="7"/>
      <c r="P16730" s="7"/>
      <c r="Q16730" s="7"/>
      <c r="R16730" s="7"/>
      <c r="S16730" s="7"/>
      <c r="T16730" s="7"/>
      <c r="U16730" s="7"/>
      <c r="V16730" s="7"/>
      <c r="W16730" s="7"/>
      <c r="X16730" s="7"/>
      <c r="Y16730" s="7"/>
      <c r="Z16730" s="7"/>
      <c r="AA16730" s="7"/>
      <c r="AB16730" s="7"/>
      <c r="AC16730" s="7"/>
      <c r="AD16730" s="7"/>
      <c r="AE16730" s="7"/>
      <c r="AF16730" s="7"/>
    </row>
    <row r="16731" spans="1:32">
      <c r="A16731" s="7"/>
      <c r="B16731" s="7"/>
      <c r="C16731" s="7"/>
      <c r="D16731" s="7"/>
      <c r="E16731" s="7"/>
      <c r="F16731" s="7"/>
      <c r="G16731" s="7"/>
      <c r="H16731" s="7"/>
      <c r="I16731" s="7"/>
      <c r="J16731" s="7"/>
      <c r="K16731" s="7"/>
      <c r="L16731" s="7"/>
      <c r="M16731" s="7"/>
      <c r="N16731" s="7"/>
      <c r="O16731" s="7"/>
      <c r="P16731" s="7"/>
      <c r="Q16731" s="7"/>
      <c r="R16731" s="7"/>
      <c r="S16731" s="7"/>
      <c r="T16731" s="7"/>
      <c r="U16731" s="7"/>
      <c r="V16731" s="7"/>
      <c r="W16731" s="7"/>
      <c r="X16731" s="7"/>
      <c r="Y16731" s="7"/>
      <c r="Z16731" s="7"/>
      <c r="AA16731" s="7"/>
      <c r="AB16731" s="7"/>
      <c r="AC16731" s="7"/>
      <c r="AD16731" s="7"/>
      <c r="AE16731" s="7"/>
      <c r="AF16731" s="7"/>
    </row>
    <row r="16732" spans="1:32">
      <c r="A16732" s="7"/>
      <c r="B16732" s="7"/>
      <c r="C16732" s="7"/>
      <c r="D16732" s="7"/>
      <c r="E16732" s="7"/>
      <c r="F16732" s="7"/>
      <c r="G16732" s="7"/>
      <c r="H16732" s="7"/>
      <c r="I16732" s="7"/>
      <c r="J16732" s="7"/>
      <c r="K16732" s="7"/>
      <c r="L16732" s="7"/>
      <c r="M16732" s="7"/>
      <c r="N16732" s="7"/>
      <c r="O16732" s="7"/>
      <c r="P16732" s="7"/>
      <c r="Q16732" s="7"/>
      <c r="R16732" s="7"/>
      <c r="S16732" s="7"/>
      <c r="T16732" s="7"/>
      <c r="U16732" s="7"/>
      <c r="V16732" s="7"/>
      <c r="W16732" s="7"/>
      <c r="X16732" s="7"/>
      <c r="Y16732" s="7"/>
      <c r="Z16732" s="7"/>
      <c r="AA16732" s="7"/>
      <c r="AB16732" s="7"/>
      <c r="AC16732" s="7"/>
      <c r="AD16732" s="7"/>
      <c r="AE16732" s="7"/>
      <c r="AF16732" s="7"/>
    </row>
    <row r="16733" spans="1:32">
      <c r="A16733" s="7"/>
      <c r="B16733" s="7"/>
      <c r="C16733" s="7"/>
      <c r="D16733" s="7"/>
      <c r="E16733" s="7"/>
      <c r="F16733" s="7"/>
      <c r="G16733" s="7"/>
      <c r="H16733" s="7"/>
      <c r="I16733" s="7"/>
      <c r="J16733" s="7"/>
      <c r="K16733" s="7"/>
      <c r="L16733" s="7"/>
      <c r="M16733" s="7"/>
      <c r="N16733" s="7"/>
      <c r="O16733" s="7"/>
      <c r="P16733" s="7"/>
      <c r="Q16733" s="7"/>
      <c r="R16733" s="7"/>
      <c r="S16733" s="7"/>
      <c r="T16733" s="7"/>
      <c r="U16733" s="7"/>
      <c r="V16733" s="7"/>
      <c r="W16733" s="7"/>
      <c r="X16733" s="7"/>
      <c r="Y16733" s="7"/>
      <c r="Z16733" s="7"/>
      <c r="AA16733" s="7"/>
      <c r="AB16733" s="7"/>
      <c r="AC16733" s="7"/>
      <c r="AD16733" s="7"/>
      <c r="AE16733" s="7"/>
      <c r="AF16733" s="7"/>
    </row>
    <row r="16734" spans="1:32">
      <c r="A16734" s="7"/>
      <c r="B16734" s="7"/>
      <c r="C16734" s="7"/>
      <c r="D16734" s="7"/>
      <c r="E16734" s="7"/>
      <c r="F16734" s="7"/>
      <c r="G16734" s="7"/>
      <c r="H16734" s="7"/>
      <c r="I16734" s="7"/>
      <c r="J16734" s="7"/>
      <c r="K16734" s="7"/>
      <c r="L16734" s="7"/>
      <c r="M16734" s="7"/>
      <c r="N16734" s="7"/>
      <c r="O16734" s="7"/>
      <c r="P16734" s="7"/>
      <c r="Q16734" s="7"/>
      <c r="R16734" s="7"/>
      <c r="S16734" s="7"/>
      <c r="T16734" s="7"/>
      <c r="U16734" s="7"/>
      <c r="V16734" s="7"/>
      <c r="W16734" s="7"/>
      <c r="X16734" s="7"/>
      <c r="Y16734" s="7"/>
      <c r="Z16734" s="7"/>
      <c r="AA16734" s="7"/>
      <c r="AB16734" s="7"/>
      <c r="AC16734" s="7"/>
      <c r="AD16734" s="7"/>
      <c r="AE16734" s="7"/>
      <c r="AF16734" s="7"/>
    </row>
    <row r="16735" spans="1:32">
      <c r="A16735" s="7"/>
      <c r="B16735" s="7"/>
      <c r="C16735" s="7"/>
      <c r="D16735" s="7"/>
      <c r="E16735" s="7"/>
      <c r="F16735" s="7"/>
      <c r="G16735" s="7"/>
      <c r="H16735" s="7"/>
      <c r="I16735" s="7"/>
      <c r="J16735" s="7"/>
      <c r="K16735" s="7"/>
      <c r="L16735" s="7"/>
      <c r="M16735" s="7"/>
      <c r="N16735" s="7"/>
      <c r="O16735" s="7"/>
      <c r="P16735" s="7"/>
      <c r="Q16735" s="7"/>
      <c r="R16735" s="7"/>
      <c r="S16735" s="7"/>
      <c r="T16735" s="7"/>
      <c r="U16735" s="7"/>
      <c r="V16735" s="7"/>
      <c r="W16735" s="7"/>
      <c r="X16735" s="7"/>
      <c r="Y16735" s="7"/>
      <c r="Z16735" s="7"/>
      <c r="AA16735" s="7"/>
      <c r="AB16735" s="7"/>
      <c r="AC16735" s="7"/>
      <c r="AD16735" s="7"/>
      <c r="AE16735" s="7"/>
      <c r="AF16735" s="7"/>
    </row>
    <row r="16736" spans="1:32">
      <c r="A16736" s="7"/>
      <c r="B16736" s="7"/>
      <c r="C16736" s="7"/>
      <c r="D16736" s="7"/>
      <c r="E16736" s="7"/>
      <c r="F16736" s="7"/>
      <c r="G16736" s="7"/>
      <c r="H16736" s="7"/>
      <c r="I16736" s="7"/>
      <c r="J16736" s="7"/>
      <c r="K16736" s="7"/>
      <c r="L16736" s="7"/>
      <c r="M16736" s="7"/>
      <c r="N16736" s="7"/>
      <c r="O16736" s="7"/>
      <c r="P16736" s="7"/>
      <c r="Q16736" s="7"/>
      <c r="R16736" s="7"/>
      <c r="S16736" s="7"/>
      <c r="T16736" s="7"/>
      <c r="U16736" s="7"/>
      <c r="V16736" s="7"/>
      <c r="W16736" s="7"/>
      <c r="X16736" s="7"/>
      <c r="Y16736" s="7"/>
      <c r="Z16736" s="7"/>
      <c r="AA16736" s="7"/>
      <c r="AB16736" s="7"/>
      <c r="AC16736" s="7"/>
      <c r="AD16736" s="7"/>
      <c r="AE16736" s="7"/>
      <c r="AF16736" s="7"/>
    </row>
    <row r="16737" spans="1:32">
      <c r="A16737" s="7"/>
      <c r="B16737" s="7"/>
      <c r="C16737" s="7"/>
      <c r="D16737" s="7"/>
      <c r="E16737" s="7"/>
      <c r="F16737" s="7"/>
      <c r="G16737" s="7"/>
      <c r="H16737" s="7"/>
      <c r="I16737" s="7"/>
      <c r="J16737" s="7"/>
      <c r="K16737" s="7"/>
      <c r="L16737" s="7"/>
      <c r="M16737" s="7"/>
      <c r="N16737" s="7"/>
      <c r="O16737" s="7"/>
      <c r="P16737" s="7"/>
      <c r="Q16737" s="7"/>
      <c r="R16737" s="7"/>
      <c r="S16737" s="7"/>
      <c r="T16737" s="7"/>
      <c r="U16737" s="7"/>
      <c r="V16737" s="7"/>
      <c r="W16737" s="7"/>
      <c r="X16737" s="7"/>
      <c r="Y16737" s="7"/>
      <c r="Z16737" s="7"/>
      <c r="AA16737" s="7"/>
      <c r="AB16737" s="7"/>
      <c r="AC16737" s="7"/>
      <c r="AD16737" s="7"/>
      <c r="AE16737" s="7"/>
      <c r="AF16737" s="7"/>
    </row>
    <row r="16738" spans="1:32">
      <c r="A16738" s="7"/>
      <c r="B16738" s="7"/>
      <c r="C16738" s="7"/>
      <c r="D16738" s="7"/>
      <c r="E16738" s="7"/>
      <c r="F16738" s="7"/>
      <c r="G16738" s="7"/>
      <c r="H16738" s="7"/>
      <c r="I16738" s="7"/>
      <c r="J16738" s="7"/>
      <c r="K16738" s="7"/>
      <c r="L16738" s="7"/>
      <c r="M16738" s="7"/>
      <c r="N16738" s="7"/>
      <c r="O16738" s="7"/>
      <c r="P16738" s="7"/>
      <c r="Q16738" s="7"/>
      <c r="R16738" s="7"/>
      <c r="S16738" s="7"/>
      <c r="T16738" s="7"/>
      <c r="U16738" s="7"/>
      <c r="V16738" s="7"/>
      <c r="W16738" s="7"/>
      <c r="X16738" s="7"/>
      <c r="Y16738" s="7"/>
      <c r="Z16738" s="7"/>
      <c r="AA16738" s="7"/>
      <c r="AB16738" s="7"/>
      <c r="AC16738" s="7"/>
      <c r="AD16738" s="7"/>
      <c r="AE16738" s="7"/>
      <c r="AF16738" s="7"/>
    </row>
    <row r="16739" spans="1:32">
      <c r="A16739" s="7"/>
      <c r="B16739" s="7"/>
      <c r="C16739" s="7"/>
      <c r="D16739" s="7"/>
      <c r="E16739" s="7"/>
      <c r="F16739" s="7"/>
      <c r="G16739" s="7"/>
      <c r="H16739" s="7"/>
      <c r="I16739" s="7"/>
      <c r="J16739" s="7"/>
      <c r="K16739" s="7"/>
      <c r="L16739" s="7"/>
      <c r="M16739" s="7"/>
      <c r="N16739" s="7"/>
      <c r="O16739" s="7"/>
      <c r="P16739" s="7"/>
      <c r="Q16739" s="7"/>
      <c r="R16739" s="7"/>
      <c r="S16739" s="7"/>
      <c r="T16739" s="7"/>
      <c r="U16739" s="7"/>
      <c r="V16739" s="7"/>
      <c r="W16739" s="7"/>
      <c r="X16739" s="7"/>
      <c r="Y16739" s="7"/>
      <c r="Z16739" s="7"/>
      <c r="AA16739" s="7"/>
      <c r="AB16739" s="7"/>
      <c r="AC16739" s="7"/>
      <c r="AD16739" s="7"/>
      <c r="AE16739" s="7"/>
      <c r="AF16739" s="7"/>
    </row>
    <row r="16740" spans="1:32">
      <c r="A16740" s="7"/>
      <c r="B16740" s="7"/>
      <c r="C16740" s="7"/>
      <c r="D16740" s="7"/>
      <c r="E16740" s="7"/>
      <c r="F16740" s="7"/>
      <c r="G16740" s="7"/>
      <c r="H16740" s="7"/>
      <c r="I16740" s="7"/>
      <c r="J16740" s="7"/>
      <c r="K16740" s="7"/>
      <c r="L16740" s="7"/>
      <c r="M16740" s="7"/>
      <c r="N16740" s="7"/>
      <c r="O16740" s="7"/>
      <c r="P16740" s="7"/>
      <c r="Q16740" s="7"/>
      <c r="R16740" s="7"/>
      <c r="S16740" s="7"/>
      <c r="T16740" s="7"/>
      <c r="U16740" s="7"/>
      <c r="V16740" s="7"/>
      <c r="W16740" s="7"/>
      <c r="X16740" s="7"/>
      <c r="Y16740" s="7"/>
      <c r="Z16740" s="7"/>
      <c r="AA16740" s="7"/>
      <c r="AB16740" s="7"/>
      <c r="AC16740" s="7"/>
      <c r="AD16740" s="7"/>
      <c r="AE16740" s="7"/>
      <c r="AF16740" s="7"/>
    </row>
    <row r="16741" spans="1:32">
      <c r="A16741" s="7"/>
      <c r="B16741" s="7"/>
      <c r="C16741" s="7"/>
      <c r="D16741" s="7"/>
      <c r="E16741" s="7"/>
      <c r="F16741" s="7"/>
      <c r="G16741" s="7"/>
      <c r="H16741" s="7"/>
      <c r="I16741" s="7"/>
      <c r="J16741" s="7"/>
      <c r="K16741" s="7"/>
      <c r="L16741" s="7"/>
      <c r="M16741" s="7"/>
      <c r="N16741" s="7"/>
      <c r="O16741" s="7"/>
      <c r="P16741" s="7"/>
      <c r="Q16741" s="7"/>
      <c r="R16741" s="7"/>
      <c r="S16741" s="7"/>
      <c r="T16741" s="7"/>
      <c r="U16741" s="7"/>
      <c r="V16741" s="7"/>
      <c r="W16741" s="7"/>
      <c r="X16741" s="7"/>
      <c r="Y16741" s="7"/>
      <c r="Z16741" s="7"/>
      <c r="AA16741" s="7"/>
      <c r="AB16741" s="7"/>
      <c r="AC16741" s="7"/>
      <c r="AD16741" s="7"/>
      <c r="AE16741" s="7"/>
      <c r="AF16741" s="7"/>
    </row>
    <row r="16742" spans="1:32">
      <c r="A16742" s="7"/>
      <c r="B16742" s="7"/>
      <c r="C16742" s="7"/>
      <c r="D16742" s="7"/>
      <c r="E16742" s="7"/>
      <c r="F16742" s="7"/>
      <c r="G16742" s="7"/>
      <c r="H16742" s="7"/>
      <c r="I16742" s="7"/>
      <c r="J16742" s="7"/>
      <c r="K16742" s="7"/>
      <c r="L16742" s="7"/>
      <c r="M16742" s="7"/>
      <c r="N16742" s="7"/>
      <c r="O16742" s="7"/>
      <c r="P16742" s="7"/>
      <c r="Q16742" s="7"/>
      <c r="R16742" s="7"/>
      <c r="S16742" s="7"/>
      <c r="T16742" s="7"/>
      <c r="U16742" s="7"/>
      <c r="V16742" s="7"/>
      <c r="W16742" s="7"/>
      <c r="X16742" s="7"/>
      <c r="Y16742" s="7"/>
      <c r="Z16742" s="7"/>
      <c r="AA16742" s="7"/>
      <c r="AB16742" s="7"/>
      <c r="AC16742" s="7"/>
      <c r="AD16742" s="7"/>
      <c r="AE16742" s="7"/>
      <c r="AF16742" s="7"/>
    </row>
    <row r="16743" spans="1:32">
      <c r="A16743" s="7"/>
      <c r="B16743" s="7"/>
      <c r="C16743" s="7"/>
      <c r="D16743" s="7"/>
      <c r="E16743" s="7"/>
      <c r="F16743" s="7"/>
      <c r="G16743" s="7"/>
      <c r="H16743" s="7"/>
      <c r="I16743" s="7"/>
      <c r="J16743" s="7"/>
      <c r="K16743" s="7"/>
      <c r="L16743" s="7"/>
      <c r="M16743" s="7"/>
      <c r="N16743" s="7"/>
      <c r="O16743" s="7"/>
      <c r="P16743" s="7"/>
      <c r="Q16743" s="7"/>
      <c r="R16743" s="7"/>
      <c r="S16743" s="7"/>
      <c r="T16743" s="7"/>
      <c r="U16743" s="7"/>
      <c r="V16743" s="7"/>
      <c r="W16743" s="7"/>
      <c r="X16743" s="7"/>
      <c r="Y16743" s="7"/>
      <c r="Z16743" s="7"/>
      <c r="AA16743" s="7"/>
      <c r="AB16743" s="7"/>
      <c r="AC16743" s="7"/>
      <c r="AD16743" s="7"/>
      <c r="AE16743" s="7"/>
      <c r="AF16743" s="7"/>
    </row>
    <row r="16744" spans="1:32">
      <c r="A16744" s="7"/>
      <c r="B16744" s="7"/>
      <c r="C16744" s="7"/>
      <c r="D16744" s="7"/>
      <c r="E16744" s="7"/>
      <c r="F16744" s="7"/>
      <c r="G16744" s="7"/>
      <c r="H16744" s="7"/>
      <c r="I16744" s="7"/>
      <c r="J16744" s="7"/>
      <c r="K16744" s="7"/>
      <c r="L16744" s="7"/>
      <c r="M16744" s="7"/>
      <c r="N16744" s="7"/>
      <c r="O16744" s="7"/>
      <c r="P16744" s="7"/>
      <c r="Q16744" s="7"/>
      <c r="R16744" s="7"/>
      <c r="S16744" s="7"/>
      <c r="T16744" s="7"/>
      <c r="U16744" s="7"/>
      <c r="V16744" s="7"/>
      <c r="W16744" s="7"/>
      <c r="X16744" s="7"/>
      <c r="Y16744" s="7"/>
      <c r="Z16744" s="7"/>
      <c r="AA16744" s="7"/>
      <c r="AB16744" s="7"/>
      <c r="AC16744" s="7"/>
      <c r="AD16744" s="7"/>
      <c r="AE16744" s="7"/>
      <c r="AF16744" s="7"/>
    </row>
    <row r="16745" spans="1:32">
      <c r="A16745" s="7"/>
      <c r="B16745" s="7"/>
      <c r="C16745" s="7"/>
      <c r="D16745" s="7"/>
      <c r="E16745" s="7"/>
      <c r="F16745" s="7"/>
      <c r="G16745" s="7"/>
      <c r="H16745" s="7"/>
      <c r="I16745" s="7"/>
      <c r="J16745" s="7"/>
      <c r="K16745" s="7"/>
      <c r="L16745" s="7"/>
      <c r="M16745" s="7"/>
      <c r="N16745" s="7"/>
      <c r="O16745" s="7"/>
      <c r="P16745" s="7"/>
      <c r="Q16745" s="7"/>
      <c r="R16745" s="7"/>
      <c r="S16745" s="7"/>
      <c r="T16745" s="7"/>
      <c r="U16745" s="7"/>
      <c r="V16745" s="7"/>
      <c r="W16745" s="7"/>
      <c r="X16745" s="7"/>
      <c r="Y16745" s="7"/>
      <c r="Z16745" s="7"/>
      <c r="AA16745" s="7"/>
      <c r="AB16745" s="7"/>
      <c r="AC16745" s="7"/>
      <c r="AD16745" s="7"/>
      <c r="AE16745" s="7"/>
      <c r="AF16745" s="7"/>
    </row>
    <row r="16746" spans="1:32">
      <c r="A16746" s="7"/>
      <c r="B16746" s="7"/>
      <c r="C16746" s="7"/>
      <c r="D16746" s="7"/>
      <c r="E16746" s="7"/>
      <c r="F16746" s="7"/>
      <c r="G16746" s="7"/>
      <c r="H16746" s="7"/>
      <c r="I16746" s="7"/>
      <c r="J16746" s="7"/>
      <c r="K16746" s="7"/>
      <c r="L16746" s="7"/>
      <c r="M16746" s="7"/>
      <c r="N16746" s="7"/>
      <c r="O16746" s="7"/>
      <c r="P16746" s="7"/>
      <c r="Q16746" s="7"/>
      <c r="R16746" s="7"/>
      <c r="S16746" s="7"/>
      <c r="T16746" s="7"/>
      <c r="U16746" s="7"/>
      <c r="V16746" s="7"/>
      <c r="W16746" s="7"/>
      <c r="X16746" s="7"/>
      <c r="Y16746" s="7"/>
      <c r="Z16746" s="7"/>
      <c r="AA16746" s="7"/>
      <c r="AB16746" s="7"/>
      <c r="AC16746" s="7"/>
      <c r="AD16746" s="7"/>
      <c r="AE16746" s="7"/>
      <c r="AF16746" s="7"/>
    </row>
    <row r="16747" spans="1:32">
      <c r="A16747" s="7"/>
      <c r="B16747" s="7"/>
      <c r="C16747" s="7"/>
      <c r="D16747" s="7"/>
      <c r="E16747" s="7"/>
      <c r="F16747" s="7"/>
      <c r="G16747" s="7"/>
      <c r="H16747" s="7"/>
      <c r="I16747" s="7"/>
      <c r="J16747" s="7"/>
      <c r="K16747" s="7"/>
      <c r="L16747" s="7"/>
      <c r="M16747" s="7"/>
      <c r="N16747" s="7"/>
      <c r="O16747" s="7"/>
      <c r="P16747" s="7"/>
      <c r="Q16747" s="7"/>
      <c r="R16747" s="7"/>
      <c r="S16747" s="7"/>
      <c r="T16747" s="7"/>
      <c r="U16747" s="7"/>
      <c r="V16747" s="7"/>
      <c r="W16747" s="7"/>
      <c r="X16747" s="7"/>
      <c r="Y16747" s="7"/>
      <c r="Z16747" s="7"/>
      <c r="AA16747" s="7"/>
      <c r="AB16747" s="7"/>
      <c r="AC16747" s="7"/>
      <c r="AD16747" s="7"/>
      <c r="AE16747" s="7"/>
      <c r="AF16747" s="7"/>
    </row>
    <row r="16748" spans="1:32">
      <c r="A16748" s="7"/>
      <c r="B16748" s="7"/>
      <c r="C16748" s="7"/>
      <c r="D16748" s="7"/>
      <c r="E16748" s="7"/>
      <c r="F16748" s="7"/>
      <c r="G16748" s="7"/>
      <c r="H16748" s="7"/>
      <c r="I16748" s="7"/>
      <c r="J16748" s="7"/>
      <c r="K16748" s="7"/>
      <c r="L16748" s="7"/>
      <c r="M16748" s="7"/>
      <c r="N16748" s="7"/>
      <c r="O16748" s="7"/>
      <c r="P16748" s="7"/>
      <c r="Q16748" s="7"/>
      <c r="R16748" s="7"/>
      <c r="S16748" s="7"/>
      <c r="T16748" s="7"/>
      <c r="U16748" s="7"/>
      <c r="V16748" s="7"/>
      <c r="W16748" s="7"/>
      <c r="X16748" s="7"/>
      <c r="Y16748" s="7"/>
      <c r="Z16748" s="7"/>
      <c r="AA16748" s="7"/>
      <c r="AB16748" s="7"/>
      <c r="AC16748" s="7"/>
      <c r="AD16748" s="7"/>
      <c r="AE16748" s="7"/>
      <c r="AF16748" s="7"/>
    </row>
    <row r="16749" spans="1:32">
      <c r="A16749" s="7"/>
      <c r="B16749" s="7"/>
      <c r="C16749" s="7"/>
      <c r="D16749" s="7"/>
      <c r="E16749" s="7"/>
      <c r="F16749" s="7"/>
      <c r="G16749" s="7"/>
      <c r="H16749" s="7"/>
      <c r="I16749" s="7"/>
      <c r="J16749" s="7"/>
      <c r="K16749" s="7"/>
      <c r="L16749" s="7"/>
      <c r="M16749" s="7"/>
      <c r="N16749" s="7"/>
      <c r="O16749" s="7"/>
      <c r="P16749" s="7"/>
      <c r="Q16749" s="7"/>
      <c r="R16749" s="7"/>
      <c r="S16749" s="7"/>
      <c r="T16749" s="7"/>
      <c r="U16749" s="7"/>
      <c r="V16749" s="7"/>
      <c r="W16749" s="7"/>
      <c r="X16749" s="7"/>
      <c r="Y16749" s="7"/>
      <c r="Z16749" s="7"/>
      <c r="AA16749" s="7"/>
      <c r="AB16749" s="7"/>
      <c r="AC16749" s="7"/>
      <c r="AD16749" s="7"/>
      <c r="AE16749" s="7"/>
      <c r="AF16749" s="7"/>
    </row>
    <row r="16750" spans="1:32">
      <c r="A16750" s="7"/>
      <c r="B16750" s="7"/>
      <c r="C16750" s="7"/>
      <c r="D16750" s="7"/>
      <c r="E16750" s="7"/>
      <c r="F16750" s="7"/>
      <c r="G16750" s="7"/>
      <c r="H16750" s="7"/>
      <c r="I16750" s="7"/>
      <c r="J16750" s="7"/>
      <c r="K16750" s="7"/>
      <c r="L16750" s="7"/>
      <c r="M16750" s="7"/>
      <c r="N16750" s="7"/>
      <c r="O16750" s="7"/>
      <c r="P16750" s="7"/>
      <c r="Q16750" s="7"/>
      <c r="R16750" s="7"/>
      <c r="S16750" s="7"/>
      <c r="T16750" s="7"/>
      <c r="U16750" s="7"/>
      <c r="V16750" s="7"/>
      <c r="W16750" s="7"/>
      <c r="X16750" s="7"/>
      <c r="Y16750" s="7"/>
      <c r="Z16750" s="7"/>
      <c r="AA16750" s="7"/>
      <c r="AB16750" s="7"/>
      <c r="AC16750" s="7"/>
      <c r="AD16750" s="7"/>
      <c r="AE16750" s="7"/>
      <c r="AF16750" s="7"/>
    </row>
    <row r="16751" spans="1:32">
      <c r="A16751" s="7"/>
      <c r="B16751" s="7"/>
      <c r="C16751" s="7"/>
      <c r="D16751" s="7"/>
      <c r="E16751" s="7"/>
      <c r="F16751" s="7"/>
      <c r="G16751" s="7"/>
      <c r="H16751" s="7"/>
      <c r="I16751" s="7"/>
      <c r="J16751" s="7"/>
      <c r="K16751" s="7"/>
      <c r="L16751" s="7"/>
      <c r="M16751" s="7"/>
      <c r="N16751" s="7"/>
      <c r="O16751" s="7"/>
      <c r="P16751" s="7"/>
      <c r="Q16751" s="7"/>
      <c r="R16751" s="7"/>
      <c r="S16751" s="7"/>
      <c r="T16751" s="7"/>
      <c r="U16751" s="7"/>
      <c r="V16751" s="7"/>
      <c r="W16751" s="7"/>
      <c r="X16751" s="7"/>
      <c r="Y16751" s="7"/>
      <c r="Z16751" s="7"/>
      <c r="AA16751" s="7"/>
      <c r="AB16751" s="7"/>
      <c r="AC16751" s="7"/>
      <c r="AD16751" s="7"/>
      <c r="AE16751" s="7"/>
      <c r="AF16751" s="7"/>
    </row>
    <row r="16752" spans="1:32">
      <c r="A16752" s="7"/>
      <c r="B16752" s="7"/>
      <c r="C16752" s="7"/>
      <c r="D16752" s="7"/>
      <c r="E16752" s="7"/>
      <c r="F16752" s="7"/>
      <c r="G16752" s="7"/>
      <c r="H16752" s="7"/>
      <c r="I16752" s="7"/>
      <c r="J16752" s="7"/>
      <c r="K16752" s="7"/>
      <c r="L16752" s="7"/>
      <c r="M16752" s="7"/>
      <c r="N16752" s="7"/>
      <c r="O16752" s="7"/>
      <c r="P16752" s="7"/>
      <c r="Q16752" s="7"/>
      <c r="R16752" s="7"/>
      <c r="S16752" s="7"/>
      <c r="T16752" s="7"/>
      <c r="U16752" s="7"/>
      <c r="V16752" s="7"/>
      <c r="W16752" s="7"/>
      <c r="X16752" s="7"/>
      <c r="Y16752" s="7"/>
      <c r="Z16752" s="7"/>
      <c r="AA16752" s="7"/>
      <c r="AB16752" s="7"/>
      <c r="AC16752" s="7"/>
      <c r="AD16752" s="7"/>
      <c r="AE16752" s="7"/>
      <c r="AF16752" s="7"/>
    </row>
    <row r="16753" spans="1:32">
      <c r="A16753" s="7"/>
      <c r="B16753" s="7"/>
      <c r="C16753" s="7"/>
      <c r="D16753" s="7"/>
      <c r="E16753" s="7"/>
      <c r="F16753" s="7"/>
      <c r="G16753" s="7"/>
      <c r="H16753" s="7"/>
      <c r="I16753" s="7"/>
      <c r="J16753" s="7"/>
      <c r="K16753" s="7"/>
      <c r="L16753" s="7"/>
      <c r="M16753" s="7"/>
      <c r="N16753" s="7"/>
      <c r="O16753" s="7"/>
      <c r="P16753" s="7"/>
      <c r="Q16753" s="7"/>
      <c r="R16753" s="7"/>
      <c r="S16753" s="7"/>
      <c r="T16753" s="7"/>
      <c r="U16753" s="7"/>
      <c r="V16753" s="7"/>
      <c r="W16753" s="7"/>
      <c r="X16753" s="7"/>
      <c r="Y16753" s="7"/>
      <c r="Z16753" s="7"/>
      <c r="AA16753" s="7"/>
      <c r="AB16753" s="7"/>
      <c r="AC16753" s="7"/>
      <c r="AD16753" s="7"/>
      <c r="AE16753" s="7"/>
      <c r="AF16753" s="7"/>
    </row>
    <row r="16754" spans="1:32">
      <c r="A16754" s="7"/>
      <c r="B16754" s="7"/>
      <c r="C16754" s="7"/>
      <c r="D16754" s="7"/>
      <c r="E16754" s="7"/>
      <c r="F16754" s="7"/>
      <c r="G16754" s="7"/>
      <c r="H16754" s="7"/>
      <c r="I16754" s="7"/>
      <c r="J16754" s="7"/>
      <c r="K16754" s="7"/>
      <c r="L16754" s="7"/>
      <c r="M16754" s="7"/>
      <c r="N16754" s="7"/>
      <c r="O16754" s="7"/>
      <c r="P16754" s="7"/>
      <c r="Q16754" s="7"/>
      <c r="R16754" s="7"/>
      <c r="S16754" s="7"/>
      <c r="T16754" s="7"/>
      <c r="U16754" s="7"/>
      <c r="V16754" s="7"/>
      <c r="W16754" s="7"/>
      <c r="X16754" s="7"/>
      <c r="Y16754" s="7"/>
      <c r="Z16754" s="7"/>
      <c r="AA16754" s="7"/>
      <c r="AB16754" s="7"/>
      <c r="AC16754" s="7"/>
      <c r="AD16754" s="7"/>
      <c r="AE16754" s="7"/>
      <c r="AF16754" s="7"/>
    </row>
    <row r="16755" spans="1:32">
      <c r="A16755" s="7"/>
      <c r="B16755" s="7"/>
      <c r="C16755" s="7"/>
      <c r="D16755" s="7"/>
      <c r="E16755" s="7"/>
      <c r="F16755" s="7"/>
      <c r="G16755" s="7"/>
      <c r="H16755" s="7"/>
      <c r="I16755" s="7"/>
      <c r="J16755" s="7"/>
      <c r="K16755" s="7"/>
      <c r="L16755" s="7"/>
      <c r="M16755" s="7"/>
      <c r="N16755" s="7"/>
      <c r="O16755" s="7"/>
      <c r="P16755" s="7"/>
      <c r="Q16755" s="7"/>
      <c r="R16755" s="7"/>
      <c r="S16755" s="7"/>
      <c r="T16755" s="7"/>
      <c r="U16755" s="7"/>
      <c r="V16755" s="7"/>
      <c r="W16755" s="7"/>
      <c r="X16755" s="7"/>
      <c r="Y16755" s="7"/>
      <c r="Z16755" s="7"/>
      <c r="AA16755" s="7"/>
      <c r="AB16755" s="7"/>
      <c r="AC16755" s="7"/>
      <c r="AD16755" s="7"/>
      <c r="AE16755" s="7"/>
      <c r="AF16755" s="7"/>
    </row>
    <row r="16756" spans="1:32">
      <c r="A16756" s="7"/>
      <c r="B16756" s="7"/>
      <c r="C16756" s="7"/>
      <c r="D16756" s="7"/>
      <c r="E16756" s="7"/>
      <c r="F16756" s="7"/>
      <c r="G16756" s="7"/>
      <c r="H16756" s="7"/>
      <c r="I16756" s="7"/>
      <c r="J16756" s="7"/>
      <c r="K16756" s="7"/>
      <c r="L16756" s="7"/>
      <c r="M16756" s="7"/>
      <c r="N16756" s="7"/>
      <c r="O16756" s="7"/>
      <c r="P16756" s="7"/>
      <c r="Q16756" s="7"/>
      <c r="R16756" s="7"/>
      <c r="S16756" s="7"/>
      <c r="T16756" s="7"/>
      <c r="U16756" s="7"/>
      <c r="V16756" s="7"/>
      <c r="W16756" s="7"/>
      <c r="X16756" s="7"/>
      <c r="Y16756" s="7"/>
      <c r="Z16756" s="7"/>
      <c r="AA16756" s="7"/>
      <c r="AB16756" s="7"/>
      <c r="AC16756" s="7"/>
      <c r="AD16756" s="7"/>
      <c r="AE16756" s="7"/>
      <c r="AF16756" s="7"/>
    </row>
    <row r="16757" spans="1:32">
      <c r="A16757" s="7"/>
      <c r="B16757" s="7"/>
      <c r="C16757" s="7"/>
      <c r="D16757" s="7"/>
      <c r="E16757" s="7"/>
      <c r="F16757" s="7"/>
      <c r="G16757" s="7"/>
      <c r="H16757" s="7"/>
      <c r="I16757" s="7"/>
      <c r="J16757" s="7"/>
      <c r="K16757" s="7"/>
      <c r="L16757" s="7"/>
      <c r="M16757" s="7"/>
      <c r="N16757" s="7"/>
      <c r="O16757" s="7"/>
      <c r="P16757" s="7"/>
      <c r="Q16757" s="7"/>
      <c r="R16757" s="7"/>
      <c r="S16757" s="7"/>
      <c r="T16757" s="7"/>
      <c r="U16757" s="7"/>
      <c r="V16757" s="7"/>
      <c r="W16757" s="7"/>
      <c r="X16757" s="7"/>
      <c r="Y16757" s="7"/>
      <c r="Z16757" s="7"/>
      <c r="AA16757" s="7"/>
      <c r="AB16757" s="7"/>
      <c r="AC16757" s="7"/>
      <c r="AD16757" s="7"/>
      <c r="AE16757" s="7"/>
      <c r="AF16757" s="7"/>
    </row>
    <row r="16758" spans="1:32">
      <c r="A16758" s="7"/>
      <c r="B16758" s="7"/>
      <c r="C16758" s="7"/>
      <c r="D16758" s="7"/>
      <c r="E16758" s="7"/>
      <c r="F16758" s="7"/>
      <c r="G16758" s="7"/>
      <c r="H16758" s="7"/>
      <c r="I16758" s="7"/>
      <c r="J16758" s="7"/>
      <c r="K16758" s="7"/>
      <c r="L16758" s="7"/>
      <c r="M16758" s="7"/>
      <c r="N16758" s="7"/>
      <c r="O16758" s="7"/>
      <c r="P16758" s="7"/>
      <c r="Q16758" s="7"/>
      <c r="R16758" s="7"/>
      <c r="S16758" s="7"/>
      <c r="T16758" s="7"/>
      <c r="U16758" s="7"/>
      <c r="V16758" s="7"/>
      <c r="W16758" s="7"/>
      <c r="X16758" s="7"/>
      <c r="Y16758" s="7"/>
      <c r="Z16758" s="7"/>
      <c r="AA16758" s="7"/>
      <c r="AB16758" s="7"/>
      <c r="AC16758" s="7"/>
      <c r="AD16758" s="7"/>
      <c r="AE16758" s="7"/>
      <c r="AF16758" s="7"/>
    </row>
    <row r="16759" spans="1:32">
      <c r="A16759" s="7"/>
      <c r="B16759" s="7"/>
      <c r="C16759" s="7"/>
      <c r="D16759" s="7"/>
      <c r="E16759" s="7"/>
      <c r="F16759" s="7"/>
      <c r="G16759" s="7"/>
      <c r="H16759" s="7"/>
      <c r="I16759" s="7"/>
      <c r="J16759" s="7"/>
      <c r="K16759" s="7"/>
      <c r="L16759" s="7"/>
      <c r="M16759" s="7"/>
      <c r="N16759" s="7"/>
      <c r="O16759" s="7"/>
      <c r="P16759" s="7"/>
      <c r="Q16759" s="7"/>
      <c r="R16759" s="7"/>
      <c r="S16759" s="7"/>
      <c r="T16759" s="7"/>
      <c r="U16759" s="7"/>
      <c r="V16759" s="7"/>
      <c r="W16759" s="7"/>
      <c r="X16759" s="7"/>
      <c r="Y16759" s="7"/>
      <c r="Z16759" s="7"/>
      <c r="AA16759" s="7"/>
      <c r="AB16759" s="7"/>
      <c r="AC16759" s="7"/>
      <c r="AD16759" s="7"/>
      <c r="AE16759" s="7"/>
      <c r="AF16759" s="7"/>
    </row>
    <row r="16760" spans="1:32">
      <c r="A16760" s="7"/>
      <c r="B16760" s="7"/>
      <c r="C16760" s="7"/>
      <c r="D16760" s="7"/>
      <c r="E16760" s="7"/>
      <c r="F16760" s="7"/>
      <c r="G16760" s="7"/>
      <c r="H16760" s="7"/>
      <c r="I16760" s="7"/>
      <c r="J16760" s="7"/>
      <c r="K16760" s="7"/>
      <c r="L16760" s="7"/>
      <c r="M16760" s="7"/>
      <c r="N16760" s="7"/>
      <c r="O16760" s="7"/>
      <c r="P16760" s="7"/>
      <c r="Q16760" s="7"/>
      <c r="R16760" s="7"/>
      <c r="S16760" s="7"/>
      <c r="T16760" s="7"/>
      <c r="U16760" s="7"/>
      <c r="V16760" s="7"/>
      <c r="W16760" s="7"/>
      <c r="X16760" s="7"/>
      <c r="Y16760" s="7"/>
      <c r="Z16760" s="7"/>
      <c r="AA16760" s="7"/>
      <c r="AB16760" s="7"/>
      <c r="AC16760" s="7"/>
      <c r="AD16760" s="7"/>
      <c r="AE16760" s="7"/>
      <c r="AF16760" s="7"/>
    </row>
    <row r="16761" spans="1:32">
      <c r="A16761" s="7"/>
      <c r="B16761" s="7"/>
      <c r="C16761" s="7"/>
      <c r="D16761" s="7"/>
      <c r="E16761" s="7"/>
      <c r="F16761" s="7"/>
      <c r="G16761" s="7"/>
      <c r="H16761" s="7"/>
      <c r="I16761" s="7"/>
      <c r="J16761" s="7"/>
      <c r="K16761" s="7"/>
      <c r="L16761" s="7"/>
      <c r="M16761" s="7"/>
      <c r="N16761" s="7"/>
      <c r="O16761" s="7"/>
      <c r="P16761" s="7"/>
      <c r="Q16761" s="7"/>
      <c r="R16761" s="7"/>
      <c r="S16761" s="7"/>
      <c r="T16761" s="7"/>
      <c r="U16761" s="7"/>
      <c r="V16761" s="7"/>
      <c r="W16761" s="7"/>
      <c r="X16761" s="7"/>
      <c r="Y16761" s="7"/>
      <c r="Z16761" s="7"/>
      <c r="AA16761" s="7"/>
      <c r="AB16761" s="7"/>
      <c r="AC16761" s="7"/>
      <c r="AD16761" s="7"/>
      <c r="AE16761" s="7"/>
      <c r="AF16761" s="7"/>
    </row>
    <row r="16762" spans="1:32">
      <c r="A16762" s="7"/>
      <c r="B16762" s="7"/>
      <c r="C16762" s="7"/>
      <c r="D16762" s="7"/>
      <c r="E16762" s="7"/>
      <c r="F16762" s="7"/>
      <c r="G16762" s="7"/>
      <c r="H16762" s="7"/>
      <c r="I16762" s="7"/>
      <c r="J16762" s="7"/>
      <c r="K16762" s="7"/>
      <c r="L16762" s="7"/>
      <c r="M16762" s="7"/>
      <c r="N16762" s="7"/>
      <c r="O16762" s="7"/>
      <c r="P16762" s="7"/>
      <c r="Q16762" s="7"/>
      <c r="R16762" s="7"/>
      <c r="S16762" s="7"/>
      <c r="T16762" s="7"/>
      <c r="U16762" s="7"/>
      <c r="V16762" s="7"/>
      <c r="W16762" s="7"/>
      <c r="X16762" s="7"/>
      <c r="Y16762" s="7"/>
      <c r="Z16762" s="7"/>
      <c r="AA16762" s="7"/>
      <c r="AB16762" s="7"/>
      <c r="AC16762" s="7"/>
      <c r="AD16762" s="7"/>
      <c r="AE16762" s="7"/>
      <c r="AF16762" s="7"/>
    </row>
    <row r="16763" spans="1:32">
      <c r="A16763" s="7"/>
      <c r="B16763" s="7"/>
      <c r="C16763" s="7"/>
      <c r="D16763" s="7"/>
      <c r="E16763" s="7"/>
      <c r="F16763" s="7"/>
      <c r="G16763" s="7"/>
      <c r="H16763" s="7"/>
      <c r="I16763" s="7"/>
      <c r="J16763" s="7"/>
      <c r="K16763" s="7"/>
      <c r="L16763" s="7"/>
      <c r="M16763" s="7"/>
      <c r="N16763" s="7"/>
      <c r="O16763" s="7"/>
      <c r="P16763" s="7"/>
      <c r="Q16763" s="7"/>
      <c r="R16763" s="7"/>
      <c r="S16763" s="7"/>
      <c r="T16763" s="7"/>
      <c r="U16763" s="7"/>
      <c r="V16763" s="7"/>
      <c r="W16763" s="7"/>
      <c r="X16763" s="7"/>
      <c r="Y16763" s="7"/>
      <c r="Z16763" s="7"/>
      <c r="AA16763" s="7"/>
      <c r="AB16763" s="7"/>
      <c r="AC16763" s="7"/>
      <c r="AD16763" s="7"/>
      <c r="AE16763" s="7"/>
      <c r="AF16763" s="7"/>
    </row>
    <row r="16764" spans="1:32">
      <c r="A16764" s="7"/>
      <c r="B16764" s="7"/>
      <c r="C16764" s="7"/>
      <c r="D16764" s="7"/>
      <c r="E16764" s="7"/>
      <c r="F16764" s="7"/>
      <c r="G16764" s="7"/>
      <c r="H16764" s="7"/>
      <c r="I16764" s="7"/>
      <c r="J16764" s="7"/>
      <c r="K16764" s="7"/>
      <c r="L16764" s="7"/>
      <c r="M16764" s="7"/>
      <c r="N16764" s="7"/>
      <c r="O16764" s="7"/>
      <c r="P16764" s="7"/>
      <c r="Q16764" s="7"/>
      <c r="R16764" s="7"/>
      <c r="S16764" s="7"/>
      <c r="T16764" s="7"/>
      <c r="U16764" s="7"/>
      <c r="V16764" s="7"/>
      <c r="W16764" s="7"/>
      <c r="X16764" s="7"/>
      <c r="Y16764" s="7"/>
      <c r="Z16764" s="7"/>
      <c r="AA16764" s="7"/>
      <c r="AB16764" s="7"/>
      <c r="AC16764" s="7"/>
      <c r="AD16764" s="7"/>
      <c r="AE16764" s="7"/>
      <c r="AF16764" s="7"/>
    </row>
    <row r="16765" spans="1:32">
      <c r="A16765" s="7"/>
      <c r="B16765" s="7"/>
      <c r="C16765" s="7"/>
      <c r="D16765" s="7"/>
      <c r="E16765" s="7"/>
      <c r="F16765" s="7"/>
      <c r="G16765" s="7"/>
      <c r="H16765" s="7"/>
      <c r="I16765" s="7"/>
      <c r="J16765" s="7"/>
      <c r="K16765" s="7"/>
      <c r="L16765" s="7"/>
      <c r="M16765" s="7"/>
      <c r="N16765" s="7"/>
      <c r="O16765" s="7"/>
      <c r="P16765" s="7"/>
      <c r="Q16765" s="7"/>
      <c r="R16765" s="7"/>
      <c r="S16765" s="7"/>
      <c r="T16765" s="7"/>
      <c r="U16765" s="7"/>
      <c r="V16765" s="7"/>
      <c r="W16765" s="7"/>
      <c r="X16765" s="7"/>
      <c r="Y16765" s="7"/>
      <c r="Z16765" s="7"/>
      <c r="AA16765" s="7"/>
      <c r="AB16765" s="7"/>
      <c r="AC16765" s="7"/>
      <c r="AD16765" s="7"/>
      <c r="AE16765" s="7"/>
      <c r="AF16765" s="7"/>
    </row>
    <row r="16766" spans="1:32">
      <c r="A16766" s="7"/>
      <c r="B16766" s="7"/>
      <c r="C16766" s="7"/>
      <c r="D16766" s="7"/>
      <c r="E16766" s="7"/>
      <c r="F16766" s="7"/>
      <c r="G16766" s="7"/>
      <c r="H16766" s="7"/>
      <c r="I16766" s="7"/>
      <c r="J16766" s="7"/>
      <c r="K16766" s="7"/>
      <c r="L16766" s="7"/>
      <c r="M16766" s="7"/>
      <c r="N16766" s="7"/>
      <c r="O16766" s="7"/>
      <c r="P16766" s="7"/>
      <c r="Q16766" s="7"/>
      <c r="R16766" s="7"/>
      <c r="S16766" s="7"/>
      <c r="T16766" s="7"/>
      <c r="U16766" s="7"/>
      <c r="V16766" s="7"/>
      <c r="W16766" s="7"/>
      <c r="X16766" s="7"/>
      <c r="Y16766" s="7"/>
      <c r="Z16766" s="7"/>
      <c r="AA16766" s="7"/>
      <c r="AB16766" s="7"/>
      <c r="AC16766" s="7"/>
      <c r="AD16766" s="7"/>
      <c r="AE16766" s="7"/>
      <c r="AF16766" s="7"/>
    </row>
    <row r="16767" spans="1:32">
      <c r="A16767" s="7"/>
      <c r="B16767" s="7"/>
      <c r="C16767" s="7"/>
      <c r="D16767" s="7"/>
      <c r="E16767" s="7"/>
      <c r="F16767" s="7"/>
      <c r="G16767" s="7"/>
      <c r="H16767" s="7"/>
      <c r="I16767" s="7"/>
      <c r="J16767" s="7"/>
      <c r="K16767" s="7"/>
      <c r="L16767" s="7"/>
      <c r="M16767" s="7"/>
      <c r="N16767" s="7"/>
      <c r="O16767" s="7"/>
      <c r="P16767" s="7"/>
      <c r="Q16767" s="7"/>
      <c r="R16767" s="7"/>
      <c r="S16767" s="7"/>
      <c r="T16767" s="7"/>
      <c r="U16767" s="7"/>
      <c r="V16767" s="7"/>
      <c r="W16767" s="7"/>
      <c r="X16767" s="7"/>
      <c r="Y16767" s="7"/>
      <c r="Z16767" s="7"/>
      <c r="AA16767" s="7"/>
      <c r="AB16767" s="7"/>
      <c r="AC16767" s="7"/>
      <c r="AD16767" s="7"/>
      <c r="AE16767" s="7"/>
      <c r="AF16767" s="7"/>
    </row>
    <row r="16768" spans="1:32">
      <c r="A16768" s="7"/>
      <c r="B16768" s="7"/>
      <c r="C16768" s="7"/>
      <c r="D16768" s="7"/>
      <c r="E16768" s="7"/>
      <c r="F16768" s="7"/>
      <c r="G16768" s="7"/>
      <c r="H16768" s="7"/>
      <c r="I16768" s="7"/>
      <c r="J16768" s="7"/>
      <c r="K16768" s="7"/>
      <c r="L16768" s="7"/>
      <c r="M16768" s="7"/>
      <c r="N16768" s="7"/>
      <c r="O16768" s="7"/>
      <c r="P16768" s="7"/>
      <c r="Q16768" s="7"/>
      <c r="R16768" s="7"/>
      <c r="S16768" s="7"/>
      <c r="T16768" s="7"/>
      <c r="U16768" s="7"/>
      <c r="V16768" s="7"/>
      <c r="W16768" s="7"/>
      <c r="X16768" s="7"/>
      <c r="Y16768" s="7"/>
      <c r="Z16768" s="7"/>
      <c r="AA16768" s="7"/>
      <c r="AB16768" s="7"/>
      <c r="AC16768" s="7"/>
      <c r="AD16768" s="7"/>
      <c r="AE16768" s="7"/>
      <c r="AF16768" s="7"/>
    </row>
    <row r="16769" spans="1:32">
      <c r="A16769" s="7"/>
      <c r="B16769" s="7"/>
      <c r="C16769" s="7"/>
      <c r="D16769" s="7"/>
      <c r="E16769" s="7"/>
      <c r="F16769" s="7"/>
      <c r="G16769" s="7"/>
      <c r="H16769" s="7"/>
      <c r="I16769" s="7"/>
      <c r="J16769" s="7"/>
      <c r="K16769" s="7"/>
      <c r="L16769" s="7"/>
      <c r="M16769" s="7"/>
      <c r="N16769" s="7"/>
      <c r="O16769" s="7"/>
      <c r="P16769" s="7"/>
      <c r="Q16769" s="7"/>
      <c r="R16769" s="7"/>
      <c r="S16769" s="7"/>
      <c r="T16769" s="7"/>
      <c r="U16769" s="7"/>
      <c r="V16769" s="7"/>
      <c r="W16769" s="7"/>
      <c r="X16769" s="7"/>
      <c r="Y16769" s="7"/>
      <c r="Z16769" s="7"/>
      <c r="AA16769" s="7"/>
      <c r="AB16769" s="7"/>
      <c r="AC16769" s="7"/>
      <c r="AD16769" s="7"/>
      <c r="AE16769" s="7"/>
      <c r="AF16769" s="7"/>
    </row>
    <row r="16770" spans="1:32">
      <c r="A16770" s="7"/>
      <c r="B16770" s="7"/>
      <c r="C16770" s="7"/>
      <c r="D16770" s="7"/>
      <c r="E16770" s="7"/>
      <c r="F16770" s="7"/>
      <c r="G16770" s="7"/>
      <c r="H16770" s="7"/>
      <c r="I16770" s="7"/>
      <c r="J16770" s="7"/>
      <c r="K16770" s="7"/>
      <c r="L16770" s="7"/>
      <c r="M16770" s="7"/>
      <c r="N16770" s="7"/>
      <c r="O16770" s="7"/>
      <c r="P16770" s="7"/>
      <c r="Q16770" s="7"/>
      <c r="R16770" s="7"/>
      <c r="S16770" s="7"/>
      <c r="T16770" s="7"/>
      <c r="U16770" s="7"/>
      <c r="V16770" s="7"/>
      <c r="W16770" s="7"/>
      <c r="X16770" s="7"/>
      <c r="Y16770" s="7"/>
      <c r="Z16770" s="7"/>
      <c r="AA16770" s="7"/>
      <c r="AB16770" s="7"/>
      <c r="AC16770" s="7"/>
      <c r="AD16770" s="7"/>
      <c r="AE16770" s="7"/>
      <c r="AF16770" s="7"/>
    </row>
    <row r="16771" spans="1:32">
      <c r="A16771" s="7"/>
      <c r="B16771" s="7"/>
      <c r="C16771" s="7"/>
      <c r="D16771" s="7"/>
      <c r="E16771" s="7"/>
      <c r="F16771" s="7"/>
      <c r="G16771" s="7"/>
      <c r="H16771" s="7"/>
      <c r="I16771" s="7"/>
      <c r="J16771" s="7"/>
      <c r="K16771" s="7"/>
      <c r="L16771" s="7"/>
      <c r="M16771" s="7"/>
      <c r="N16771" s="7"/>
      <c r="O16771" s="7"/>
      <c r="P16771" s="7"/>
      <c r="Q16771" s="7"/>
      <c r="R16771" s="7"/>
      <c r="S16771" s="7"/>
      <c r="T16771" s="7"/>
      <c r="U16771" s="7"/>
      <c r="V16771" s="7"/>
      <c r="W16771" s="7"/>
      <c r="X16771" s="7"/>
      <c r="Y16771" s="7"/>
      <c r="Z16771" s="7"/>
      <c r="AA16771" s="7"/>
      <c r="AB16771" s="7"/>
      <c r="AC16771" s="7"/>
      <c r="AD16771" s="7"/>
      <c r="AE16771" s="7"/>
      <c r="AF16771" s="7"/>
    </row>
    <row r="16772" spans="1:32">
      <c r="A16772" s="7"/>
      <c r="B16772" s="7"/>
      <c r="C16772" s="7"/>
      <c r="D16772" s="7"/>
      <c r="E16772" s="7"/>
      <c r="F16772" s="7"/>
      <c r="G16772" s="7"/>
      <c r="H16772" s="7"/>
      <c r="I16772" s="7"/>
      <c r="J16772" s="7"/>
      <c r="K16772" s="7"/>
      <c r="L16772" s="7"/>
      <c r="M16772" s="7"/>
      <c r="N16772" s="7"/>
      <c r="O16772" s="7"/>
      <c r="P16772" s="7"/>
      <c r="Q16772" s="7"/>
      <c r="R16772" s="7"/>
      <c r="S16772" s="7"/>
      <c r="T16772" s="7"/>
      <c r="U16772" s="7"/>
      <c r="V16772" s="7"/>
      <c r="W16772" s="7"/>
      <c r="X16772" s="7"/>
      <c r="Y16772" s="7"/>
      <c r="Z16772" s="7"/>
      <c r="AA16772" s="7"/>
      <c r="AB16772" s="7"/>
      <c r="AC16772" s="7"/>
      <c r="AD16772" s="7"/>
      <c r="AE16772" s="7"/>
      <c r="AF16772" s="7"/>
    </row>
    <row r="16773" spans="1:32">
      <c r="A16773" s="7"/>
      <c r="B16773" s="7"/>
      <c r="C16773" s="7"/>
      <c r="D16773" s="7"/>
      <c r="E16773" s="7"/>
      <c r="F16773" s="7"/>
      <c r="G16773" s="7"/>
      <c r="H16773" s="7"/>
      <c r="I16773" s="7"/>
      <c r="J16773" s="7"/>
      <c r="K16773" s="7"/>
      <c r="L16773" s="7"/>
      <c r="M16773" s="7"/>
      <c r="N16773" s="7"/>
      <c r="O16773" s="7"/>
      <c r="P16773" s="7"/>
      <c r="Q16773" s="7"/>
      <c r="R16773" s="7"/>
      <c r="S16773" s="7"/>
      <c r="T16773" s="7"/>
      <c r="U16773" s="7"/>
      <c r="V16773" s="7"/>
      <c r="W16773" s="7"/>
      <c r="X16773" s="7"/>
      <c r="Y16773" s="7"/>
      <c r="Z16773" s="7"/>
      <c r="AA16773" s="7"/>
      <c r="AB16773" s="7"/>
      <c r="AC16773" s="7"/>
      <c r="AD16773" s="7"/>
      <c r="AE16773" s="7"/>
      <c r="AF16773" s="7"/>
    </row>
    <row r="16774" spans="1:32">
      <c r="A16774" s="7"/>
      <c r="B16774" s="7"/>
      <c r="C16774" s="7"/>
      <c r="D16774" s="7"/>
      <c r="E16774" s="7"/>
      <c r="F16774" s="7"/>
      <c r="G16774" s="7"/>
      <c r="H16774" s="7"/>
      <c r="I16774" s="7"/>
      <c r="J16774" s="7"/>
      <c r="K16774" s="7"/>
      <c r="L16774" s="7"/>
      <c r="M16774" s="7"/>
      <c r="N16774" s="7"/>
      <c r="O16774" s="7"/>
      <c r="P16774" s="7"/>
      <c r="Q16774" s="7"/>
      <c r="R16774" s="7"/>
      <c r="S16774" s="7"/>
      <c r="T16774" s="7"/>
      <c r="U16774" s="7"/>
      <c r="V16774" s="7"/>
      <c r="W16774" s="7"/>
      <c r="X16774" s="7"/>
      <c r="Y16774" s="7"/>
      <c r="Z16774" s="7"/>
      <c r="AA16774" s="7"/>
      <c r="AB16774" s="7"/>
      <c r="AC16774" s="7"/>
      <c r="AD16774" s="7"/>
      <c r="AE16774" s="7"/>
      <c r="AF16774" s="7"/>
    </row>
    <row r="16775" spans="1:32">
      <c r="A16775" s="7"/>
      <c r="B16775" s="7"/>
      <c r="C16775" s="7"/>
      <c r="D16775" s="7"/>
      <c r="E16775" s="7"/>
      <c r="F16775" s="7"/>
      <c r="G16775" s="7"/>
      <c r="H16775" s="7"/>
      <c r="I16775" s="7"/>
      <c r="J16775" s="7"/>
      <c r="K16775" s="7"/>
      <c r="L16775" s="7"/>
      <c r="M16775" s="7"/>
      <c r="N16775" s="7"/>
      <c r="O16775" s="7"/>
      <c r="P16775" s="7"/>
      <c r="Q16775" s="7"/>
      <c r="R16775" s="7"/>
      <c r="S16775" s="7"/>
      <c r="T16775" s="7"/>
      <c r="U16775" s="7"/>
      <c r="V16775" s="7"/>
      <c r="W16775" s="7"/>
      <c r="X16775" s="7"/>
      <c r="Y16775" s="7"/>
      <c r="Z16775" s="7"/>
      <c r="AA16775" s="7"/>
      <c r="AB16775" s="7"/>
      <c r="AC16775" s="7"/>
      <c r="AD16775" s="7"/>
      <c r="AE16775" s="7"/>
      <c r="AF16775" s="7"/>
    </row>
    <row r="16776" spans="1:32">
      <c r="A16776" s="7"/>
      <c r="B16776" s="7"/>
      <c r="C16776" s="7"/>
      <c r="D16776" s="7"/>
      <c r="E16776" s="7"/>
      <c r="F16776" s="7"/>
      <c r="G16776" s="7"/>
      <c r="H16776" s="7"/>
      <c r="I16776" s="7"/>
      <c r="J16776" s="7"/>
      <c r="K16776" s="7"/>
      <c r="L16776" s="7"/>
      <c r="M16776" s="7"/>
      <c r="N16776" s="7"/>
      <c r="O16776" s="7"/>
      <c r="P16776" s="7"/>
      <c r="Q16776" s="7"/>
      <c r="R16776" s="7"/>
      <c r="S16776" s="7"/>
      <c r="T16776" s="7"/>
      <c r="U16776" s="7"/>
      <c r="V16776" s="7"/>
      <c r="W16776" s="7"/>
      <c r="X16776" s="7"/>
      <c r="Y16776" s="7"/>
      <c r="Z16776" s="7"/>
      <c r="AA16776" s="7"/>
      <c r="AB16776" s="7"/>
      <c r="AC16776" s="7"/>
      <c r="AD16776" s="7"/>
      <c r="AE16776" s="7"/>
      <c r="AF16776" s="7"/>
    </row>
    <row r="16777" spans="1:32">
      <c r="A16777" s="7"/>
      <c r="B16777" s="7"/>
      <c r="C16777" s="7"/>
      <c r="D16777" s="7"/>
      <c r="E16777" s="7"/>
      <c r="F16777" s="7"/>
      <c r="G16777" s="7"/>
      <c r="H16777" s="7"/>
      <c r="I16777" s="7"/>
      <c r="J16777" s="7"/>
      <c r="K16777" s="7"/>
      <c r="L16777" s="7"/>
      <c r="M16777" s="7"/>
      <c r="N16777" s="7"/>
      <c r="O16777" s="7"/>
      <c r="P16777" s="7"/>
      <c r="Q16777" s="7"/>
      <c r="R16777" s="7"/>
      <c r="S16777" s="7"/>
      <c r="T16777" s="7"/>
      <c r="U16777" s="7"/>
      <c r="V16777" s="7"/>
      <c r="W16777" s="7"/>
      <c r="X16777" s="7"/>
      <c r="Y16777" s="7"/>
      <c r="Z16777" s="7"/>
      <c r="AA16777" s="7"/>
      <c r="AB16777" s="7"/>
      <c r="AC16777" s="7"/>
      <c r="AD16777" s="7"/>
      <c r="AE16777" s="7"/>
      <c r="AF16777" s="7"/>
    </row>
    <row r="16778" spans="1:32">
      <c r="A16778" s="7"/>
      <c r="B16778" s="7"/>
      <c r="C16778" s="7"/>
      <c r="D16778" s="7"/>
      <c r="E16778" s="7"/>
      <c r="F16778" s="7"/>
      <c r="G16778" s="7"/>
      <c r="H16778" s="7"/>
      <c r="I16778" s="7"/>
      <c r="J16778" s="7"/>
      <c r="K16778" s="7"/>
      <c r="L16778" s="7"/>
      <c r="M16778" s="7"/>
      <c r="N16778" s="7"/>
      <c r="O16778" s="7"/>
      <c r="P16778" s="7"/>
      <c r="Q16778" s="7"/>
      <c r="R16778" s="7"/>
      <c r="S16778" s="7"/>
      <c r="T16778" s="7"/>
      <c r="U16778" s="7"/>
      <c r="V16778" s="7"/>
      <c r="W16778" s="7"/>
      <c r="X16778" s="7"/>
      <c r="Y16778" s="7"/>
      <c r="Z16778" s="7"/>
      <c r="AA16778" s="7"/>
      <c r="AB16778" s="7"/>
      <c r="AC16778" s="7"/>
      <c r="AD16778" s="7"/>
      <c r="AE16778" s="7"/>
      <c r="AF16778" s="7"/>
    </row>
    <row r="16779" spans="1:32">
      <c r="A16779" s="7"/>
      <c r="B16779" s="7"/>
      <c r="C16779" s="7"/>
      <c r="D16779" s="7"/>
      <c r="E16779" s="7"/>
      <c r="F16779" s="7"/>
      <c r="G16779" s="7"/>
      <c r="H16779" s="7"/>
      <c r="I16779" s="7"/>
      <c r="J16779" s="7"/>
      <c r="K16779" s="7"/>
      <c r="L16779" s="7"/>
      <c r="M16779" s="7"/>
      <c r="N16779" s="7"/>
      <c r="O16779" s="7"/>
      <c r="P16779" s="7"/>
      <c r="Q16779" s="7"/>
      <c r="R16779" s="7"/>
      <c r="S16779" s="7"/>
      <c r="T16779" s="7"/>
      <c r="U16779" s="7"/>
      <c r="V16779" s="7"/>
      <c r="W16779" s="7"/>
      <c r="X16779" s="7"/>
      <c r="Y16779" s="7"/>
      <c r="Z16779" s="7"/>
      <c r="AA16779" s="7"/>
      <c r="AB16779" s="7"/>
      <c r="AC16779" s="7"/>
      <c r="AD16779" s="7"/>
      <c r="AE16779" s="7"/>
      <c r="AF16779" s="7"/>
    </row>
    <row r="16780" spans="1:32">
      <c r="A16780" s="7"/>
      <c r="B16780" s="7"/>
      <c r="C16780" s="7"/>
      <c r="D16780" s="7"/>
      <c r="E16780" s="7"/>
      <c r="F16780" s="7"/>
      <c r="G16780" s="7"/>
      <c r="H16780" s="7"/>
      <c r="I16780" s="7"/>
      <c r="J16780" s="7"/>
      <c r="K16780" s="7"/>
      <c r="L16780" s="7"/>
      <c r="M16780" s="7"/>
      <c r="N16780" s="7"/>
      <c r="O16780" s="7"/>
      <c r="P16780" s="7"/>
      <c r="Q16780" s="7"/>
      <c r="R16780" s="7"/>
      <c r="S16780" s="7"/>
      <c r="T16780" s="7"/>
      <c r="U16780" s="7"/>
      <c r="V16780" s="7"/>
      <c r="W16780" s="7"/>
      <c r="X16780" s="7"/>
      <c r="Y16780" s="7"/>
      <c r="Z16780" s="7"/>
      <c r="AA16780" s="7"/>
      <c r="AB16780" s="7"/>
      <c r="AC16780" s="7"/>
      <c r="AD16780" s="7"/>
      <c r="AE16780" s="7"/>
      <c r="AF16780" s="7"/>
    </row>
    <row r="16781" spans="1:32">
      <c r="A16781" s="7"/>
      <c r="B16781" s="7"/>
      <c r="C16781" s="7"/>
      <c r="D16781" s="7"/>
      <c r="E16781" s="7"/>
      <c r="F16781" s="7"/>
      <c r="G16781" s="7"/>
      <c r="H16781" s="7"/>
      <c r="I16781" s="7"/>
      <c r="J16781" s="7"/>
      <c r="K16781" s="7"/>
      <c r="L16781" s="7"/>
      <c r="M16781" s="7"/>
      <c r="N16781" s="7"/>
      <c r="O16781" s="7"/>
      <c r="P16781" s="7"/>
      <c r="Q16781" s="7"/>
      <c r="R16781" s="7"/>
      <c r="S16781" s="7"/>
      <c r="T16781" s="7"/>
      <c r="U16781" s="7"/>
      <c r="V16781" s="7"/>
      <c r="W16781" s="7"/>
      <c r="X16781" s="7"/>
      <c r="Y16781" s="7"/>
      <c r="Z16781" s="7"/>
      <c r="AA16781" s="7"/>
      <c r="AB16781" s="7"/>
      <c r="AC16781" s="7"/>
      <c r="AD16781" s="7"/>
      <c r="AE16781" s="7"/>
      <c r="AF16781" s="7"/>
    </row>
    <row r="16782" spans="1:32">
      <c r="A16782" s="7"/>
      <c r="B16782" s="7"/>
      <c r="C16782" s="7"/>
      <c r="D16782" s="7"/>
      <c r="E16782" s="7"/>
      <c r="F16782" s="7"/>
      <c r="G16782" s="7"/>
      <c r="H16782" s="7"/>
      <c r="I16782" s="7"/>
      <c r="J16782" s="7"/>
      <c r="K16782" s="7"/>
      <c r="L16782" s="7"/>
      <c r="M16782" s="7"/>
      <c r="N16782" s="7"/>
      <c r="O16782" s="7"/>
      <c r="P16782" s="7"/>
      <c r="Q16782" s="7"/>
      <c r="R16782" s="7"/>
      <c r="S16782" s="7"/>
      <c r="T16782" s="7"/>
      <c r="U16782" s="7"/>
      <c r="V16782" s="7"/>
      <c r="W16782" s="7"/>
      <c r="X16782" s="7"/>
      <c r="Y16782" s="7"/>
      <c r="Z16782" s="7"/>
      <c r="AA16782" s="7"/>
      <c r="AB16782" s="7"/>
      <c r="AC16782" s="7"/>
      <c r="AD16782" s="7"/>
      <c r="AE16782" s="7"/>
      <c r="AF16782" s="7"/>
    </row>
    <row r="16783" spans="1:32">
      <c r="A16783" s="7"/>
      <c r="B16783" s="7"/>
      <c r="C16783" s="7"/>
      <c r="D16783" s="7"/>
      <c r="E16783" s="7"/>
      <c r="F16783" s="7"/>
      <c r="G16783" s="7"/>
      <c r="H16783" s="7"/>
      <c r="I16783" s="7"/>
      <c r="J16783" s="7"/>
      <c r="K16783" s="7"/>
      <c r="L16783" s="7"/>
      <c r="M16783" s="7"/>
      <c r="N16783" s="7"/>
      <c r="O16783" s="7"/>
      <c r="P16783" s="7"/>
      <c r="Q16783" s="7"/>
      <c r="R16783" s="7"/>
      <c r="S16783" s="7"/>
      <c r="T16783" s="7"/>
      <c r="U16783" s="7"/>
      <c r="V16783" s="7"/>
      <c r="W16783" s="7"/>
      <c r="X16783" s="7"/>
      <c r="Y16783" s="7"/>
      <c r="Z16783" s="7"/>
      <c r="AA16783" s="7"/>
      <c r="AB16783" s="7"/>
      <c r="AC16783" s="7"/>
      <c r="AD16783" s="7"/>
      <c r="AE16783" s="7"/>
      <c r="AF16783" s="7"/>
    </row>
    <row r="16784" spans="1:32">
      <c r="A16784" s="7"/>
      <c r="B16784" s="7"/>
      <c r="C16784" s="7"/>
      <c r="D16784" s="7"/>
      <c r="E16784" s="7"/>
      <c r="F16784" s="7"/>
      <c r="G16784" s="7"/>
      <c r="H16784" s="7"/>
      <c r="I16784" s="7"/>
      <c r="J16784" s="7"/>
      <c r="K16784" s="7"/>
      <c r="L16784" s="7"/>
      <c r="M16784" s="7"/>
      <c r="N16784" s="7"/>
      <c r="O16784" s="7"/>
      <c r="P16784" s="7"/>
      <c r="Q16784" s="7"/>
      <c r="R16784" s="7"/>
      <c r="S16784" s="7"/>
      <c r="T16784" s="7"/>
      <c r="U16784" s="7"/>
      <c r="V16784" s="7"/>
      <c r="W16784" s="7"/>
      <c r="X16784" s="7"/>
      <c r="Y16784" s="7"/>
      <c r="Z16784" s="7"/>
      <c r="AA16784" s="7"/>
      <c r="AB16784" s="7"/>
      <c r="AC16784" s="7"/>
      <c r="AD16784" s="7"/>
      <c r="AE16784" s="7"/>
      <c r="AF16784" s="7"/>
    </row>
    <row r="16785" spans="1:32">
      <c r="A16785" s="7"/>
      <c r="B16785" s="7"/>
      <c r="C16785" s="7"/>
      <c r="D16785" s="7"/>
      <c r="E16785" s="7"/>
      <c r="F16785" s="7"/>
      <c r="G16785" s="7"/>
      <c r="H16785" s="7"/>
      <c r="I16785" s="7"/>
      <c r="J16785" s="7"/>
      <c r="K16785" s="7"/>
      <c r="L16785" s="7"/>
      <c r="M16785" s="7"/>
      <c r="N16785" s="7"/>
      <c r="O16785" s="7"/>
      <c r="P16785" s="7"/>
      <c r="Q16785" s="7"/>
      <c r="R16785" s="7"/>
      <c r="S16785" s="7"/>
      <c r="T16785" s="7"/>
      <c r="U16785" s="7"/>
      <c r="V16785" s="7"/>
      <c r="W16785" s="7"/>
      <c r="X16785" s="7"/>
      <c r="Y16785" s="7"/>
      <c r="Z16785" s="7"/>
      <c r="AA16785" s="7"/>
      <c r="AB16785" s="7"/>
      <c r="AC16785" s="7"/>
      <c r="AD16785" s="7"/>
      <c r="AE16785" s="7"/>
      <c r="AF16785" s="7"/>
    </row>
    <row r="16786" spans="1:32">
      <c r="A16786" s="7"/>
      <c r="B16786" s="7"/>
      <c r="C16786" s="7"/>
      <c r="D16786" s="7"/>
      <c r="E16786" s="7"/>
      <c r="F16786" s="7"/>
      <c r="G16786" s="7"/>
      <c r="H16786" s="7"/>
      <c r="I16786" s="7"/>
      <c r="J16786" s="7"/>
      <c r="K16786" s="7"/>
      <c r="L16786" s="7"/>
      <c r="M16786" s="7"/>
      <c r="N16786" s="7"/>
      <c r="O16786" s="7"/>
      <c r="P16786" s="7"/>
      <c r="Q16786" s="7"/>
      <c r="R16786" s="7"/>
      <c r="S16786" s="7"/>
      <c r="T16786" s="7"/>
      <c r="U16786" s="7"/>
      <c r="V16786" s="7"/>
      <c r="W16786" s="7"/>
      <c r="X16786" s="7"/>
      <c r="Y16786" s="7"/>
      <c r="Z16786" s="7"/>
      <c r="AA16786" s="7"/>
      <c r="AB16786" s="7"/>
      <c r="AC16786" s="7"/>
      <c r="AD16786" s="7"/>
      <c r="AE16786" s="7"/>
      <c r="AF16786" s="7"/>
    </row>
    <row r="16787" spans="1:32">
      <c r="A16787" s="7"/>
      <c r="B16787" s="7"/>
      <c r="C16787" s="7"/>
      <c r="D16787" s="7"/>
      <c r="E16787" s="7"/>
      <c r="F16787" s="7"/>
      <c r="G16787" s="7"/>
      <c r="H16787" s="7"/>
      <c r="I16787" s="7"/>
      <c r="J16787" s="7"/>
      <c r="K16787" s="7"/>
      <c r="L16787" s="7"/>
      <c r="M16787" s="7"/>
      <c r="N16787" s="7"/>
      <c r="O16787" s="7"/>
      <c r="P16787" s="7"/>
      <c r="Q16787" s="7"/>
      <c r="R16787" s="7"/>
      <c r="S16787" s="7"/>
      <c r="T16787" s="7"/>
      <c r="U16787" s="7"/>
      <c r="V16787" s="7"/>
      <c r="W16787" s="7"/>
      <c r="X16787" s="7"/>
      <c r="Y16787" s="7"/>
      <c r="Z16787" s="7"/>
      <c r="AA16787" s="7"/>
      <c r="AB16787" s="7"/>
      <c r="AC16787" s="7"/>
      <c r="AD16787" s="7"/>
      <c r="AE16787" s="7"/>
      <c r="AF16787" s="7"/>
    </row>
    <row r="16788" spans="1:32">
      <c r="A16788" s="7"/>
      <c r="B16788" s="7"/>
      <c r="C16788" s="7"/>
      <c r="D16788" s="7"/>
      <c r="E16788" s="7"/>
      <c r="F16788" s="7"/>
      <c r="G16788" s="7"/>
      <c r="H16788" s="7"/>
      <c r="I16788" s="7"/>
      <c r="J16788" s="7"/>
      <c r="K16788" s="7"/>
      <c r="L16788" s="7"/>
      <c r="M16788" s="7"/>
      <c r="N16788" s="7"/>
      <c r="O16788" s="7"/>
      <c r="P16788" s="7"/>
      <c r="Q16788" s="7"/>
      <c r="R16788" s="7"/>
      <c r="S16788" s="7"/>
      <c r="T16788" s="7"/>
      <c r="U16788" s="7"/>
      <c r="V16788" s="7"/>
      <c r="W16788" s="7"/>
      <c r="X16788" s="7"/>
      <c r="Y16788" s="7"/>
      <c r="Z16788" s="7"/>
      <c r="AA16788" s="7"/>
      <c r="AB16788" s="7"/>
      <c r="AC16788" s="7"/>
      <c r="AD16788" s="7"/>
      <c r="AE16788" s="7"/>
      <c r="AF16788" s="7"/>
    </row>
    <row r="16789" spans="1:32">
      <c r="A16789" s="7"/>
      <c r="B16789" s="7"/>
      <c r="C16789" s="7"/>
      <c r="D16789" s="7"/>
      <c r="E16789" s="7"/>
      <c r="F16789" s="7"/>
      <c r="G16789" s="7"/>
      <c r="H16789" s="7"/>
      <c r="I16789" s="7"/>
      <c r="J16789" s="7"/>
      <c r="K16789" s="7"/>
      <c r="L16789" s="7"/>
      <c r="M16789" s="7"/>
      <c r="N16789" s="7"/>
      <c r="O16789" s="7"/>
      <c r="P16789" s="7"/>
      <c r="Q16789" s="7"/>
      <c r="R16789" s="7"/>
      <c r="S16789" s="7"/>
      <c r="T16789" s="7"/>
      <c r="U16789" s="7"/>
      <c r="V16789" s="7"/>
      <c r="W16789" s="7"/>
      <c r="X16789" s="7"/>
      <c r="Y16789" s="7"/>
      <c r="Z16789" s="7"/>
      <c r="AA16789" s="7"/>
      <c r="AB16789" s="7"/>
      <c r="AC16789" s="7"/>
      <c r="AD16789" s="7"/>
      <c r="AE16789" s="7"/>
      <c r="AF16789" s="7"/>
    </row>
    <row r="16790" spans="1:32">
      <c r="A16790" s="7"/>
      <c r="B16790" s="7"/>
      <c r="C16790" s="7"/>
      <c r="D16790" s="7"/>
      <c r="E16790" s="7"/>
      <c r="F16790" s="7"/>
      <c r="G16790" s="7"/>
      <c r="H16790" s="7"/>
      <c r="I16790" s="7"/>
      <c r="J16790" s="7"/>
      <c r="K16790" s="7"/>
      <c r="L16790" s="7"/>
      <c r="M16790" s="7"/>
      <c r="N16790" s="7"/>
      <c r="O16790" s="7"/>
      <c r="P16790" s="7"/>
      <c r="Q16790" s="7"/>
      <c r="R16790" s="7"/>
      <c r="S16790" s="7"/>
      <c r="T16790" s="7"/>
      <c r="U16790" s="7"/>
      <c r="V16790" s="7"/>
      <c r="W16790" s="7"/>
      <c r="X16790" s="7"/>
      <c r="Y16790" s="7"/>
      <c r="Z16790" s="7"/>
      <c r="AA16790" s="7"/>
      <c r="AB16790" s="7"/>
      <c r="AC16790" s="7"/>
      <c r="AD16790" s="7"/>
      <c r="AE16790" s="7"/>
      <c r="AF16790" s="7"/>
    </row>
    <row r="16791" spans="1:32">
      <c r="A16791" s="7"/>
      <c r="B16791" s="7"/>
      <c r="C16791" s="7"/>
      <c r="D16791" s="7"/>
      <c r="E16791" s="7"/>
      <c r="F16791" s="7"/>
      <c r="G16791" s="7"/>
      <c r="H16791" s="7"/>
      <c r="I16791" s="7"/>
      <c r="J16791" s="7"/>
      <c r="K16791" s="7"/>
      <c r="L16791" s="7"/>
      <c r="M16791" s="7"/>
      <c r="N16791" s="7"/>
      <c r="O16791" s="7"/>
      <c r="P16791" s="7"/>
      <c r="Q16791" s="7"/>
      <c r="R16791" s="7"/>
      <c r="S16791" s="7"/>
      <c r="T16791" s="7"/>
      <c r="U16791" s="7"/>
      <c r="V16791" s="7"/>
      <c r="W16791" s="7"/>
      <c r="X16791" s="7"/>
      <c r="Y16791" s="7"/>
      <c r="Z16791" s="7"/>
      <c r="AA16791" s="7"/>
      <c r="AB16791" s="7"/>
      <c r="AC16791" s="7"/>
      <c r="AD16791" s="7"/>
      <c r="AE16791" s="7"/>
      <c r="AF16791" s="7"/>
    </row>
    <row r="16792" spans="1:32">
      <c r="A16792" s="7"/>
      <c r="B16792" s="7"/>
      <c r="C16792" s="7"/>
      <c r="D16792" s="7"/>
      <c r="E16792" s="7"/>
      <c r="F16792" s="7"/>
      <c r="G16792" s="7"/>
      <c r="H16792" s="7"/>
      <c r="I16792" s="7"/>
      <c r="J16792" s="7"/>
      <c r="K16792" s="7"/>
      <c r="L16792" s="7"/>
      <c r="M16792" s="7"/>
      <c r="N16792" s="7"/>
      <c r="O16792" s="7"/>
      <c r="P16792" s="7"/>
      <c r="Q16792" s="7"/>
      <c r="R16792" s="7"/>
      <c r="S16792" s="7"/>
      <c r="T16792" s="7"/>
      <c r="U16792" s="7"/>
      <c r="V16792" s="7"/>
      <c r="W16792" s="7"/>
      <c r="X16792" s="7"/>
      <c r="Y16792" s="7"/>
      <c r="Z16792" s="7"/>
      <c r="AA16792" s="7"/>
      <c r="AB16792" s="7"/>
      <c r="AC16792" s="7"/>
      <c r="AD16792" s="7"/>
      <c r="AE16792" s="7"/>
      <c r="AF16792" s="7"/>
    </row>
    <row r="16793" spans="1:32">
      <c r="A16793" s="7"/>
      <c r="B16793" s="7"/>
      <c r="C16793" s="7"/>
      <c r="D16793" s="7"/>
      <c r="E16793" s="7"/>
      <c r="F16793" s="7"/>
      <c r="G16793" s="7"/>
      <c r="H16793" s="7"/>
      <c r="I16793" s="7"/>
      <c r="J16793" s="7"/>
      <c r="K16793" s="7"/>
      <c r="L16793" s="7"/>
      <c r="M16793" s="7"/>
      <c r="N16793" s="7"/>
      <c r="O16793" s="7"/>
      <c r="P16793" s="7"/>
      <c r="Q16793" s="7"/>
      <c r="R16793" s="7"/>
      <c r="S16793" s="7"/>
      <c r="T16793" s="7"/>
      <c r="U16793" s="7"/>
      <c r="V16793" s="7"/>
      <c r="W16793" s="7"/>
      <c r="X16793" s="7"/>
      <c r="Y16793" s="7"/>
      <c r="Z16793" s="7"/>
      <c r="AA16793" s="7"/>
      <c r="AB16793" s="7"/>
      <c r="AC16793" s="7"/>
      <c r="AD16793" s="7"/>
      <c r="AE16793" s="7"/>
      <c r="AF16793" s="7"/>
    </row>
    <row r="16794" spans="1:32">
      <c r="A16794" s="7"/>
      <c r="B16794" s="7"/>
      <c r="C16794" s="7"/>
      <c r="D16794" s="7"/>
      <c r="E16794" s="7"/>
      <c r="F16794" s="7"/>
      <c r="G16794" s="7"/>
      <c r="H16794" s="7"/>
      <c r="I16794" s="7"/>
      <c r="J16794" s="7"/>
      <c r="K16794" s="7"/>
      <c r="L16794" s="7"/>
      <c r="M16794" s="7"/>
      <c r="N16794" s="7"/>
      <c r="O16794" s="7"/>
      <c r="P16794" s="7"/>
      <c r="Q16794" s="7"/>
      <c r="R16794" s="7"/>
      <c r="S16794" s="7"/>
      <c r="T16794" s="7"/>
      <c r="U16794" s="7"/>
      <c r="V16794" s="7"/>
      <c r="W16794" s="7"/>
      <c r="X16794" s="7"/>
      <c r="Y16794" s="7"/>
      <c r="Z16794" s="7"/>
      <c r="AA16794" s="7"/>
      <c r="AB16794" s="7"/>
      <c r="AC16794" s="7"/>
      <c r="AD16794" s="7"/>
      <c r="AE16794" s="7"/>
      <c r="AF16794" s="7"/>
    </row>
    <row r="16795" spans="1:32">
      <c r="A16795" s="7"/>
      <c r="B16795" s="7"/>
      <c r="C16795" s="7"/>
      <c r="D16795" s="7"/>
      <c r="E16795" s="7"/>
      <c r="F16795" s="7"/>
      <c r="G16795" s="7"/>
      <c r="H16795" s="7"/>
      <c r="I16795" s="7"/>
      <c r="J16795" s="7"/>
      <c r="K16795" s="7"/>
      <c r="L16795" s="7"/>
      <c r="M16795" s="7"/>
      <c r="N16795" s="7"/>
      <c r="O16795" s="7"/>
      <c r="P16795" s="7"/>
      <c r="Q16795" s="7"/>
      <c r="R16795" s="7"/>
      <c r="S16795" s="7"/>
      <c r="T16795" s="7"/>
      <c r="U16795" s="7"/>
      <c r="V16795" s="7"/>
      <c r="W16795" s="7"/>
      <c r="X16795" s="7"/>
      <c r="Y16795" s="7"/>
      <c r="Z16795" s="7"/>
      <c r="AA16795" s="7"/>
      <c r="AB16795" s="7"/>
      <c r="AC16795" s="7"/>
      <c r="AD16795" s="7"/>
      <c r="AE16795" s="7"/>
      <c r="AF16795" s="7"/>
    </row>
    <row r="16796" spans="1:32">
      <c r="A16796" s="7"/>
      <c r="B16796" s="7"/>
      <c r="C16796" s="7"/>
      <c r="D16796" s="7"/>
      <c r="E16796" s="7"/>
      <c r="F16796" s="7"/>
      <c r="G16796" s="7"/>
      <c r="H16796" s="7"/>
      <c r="I16796" s="7"/>
      <c r="J16796" s="7"/>
      <c r="K16796" s="7"/>
      <c r="L16796" s="7"/>
      <c r="M16796" s="7"/>
      <c r="N16796" s="7"/>
      <c r="O16796" s="7"/>
      <c r="P16796" s="7"/>
      <c r="Q16796" s="7"/>
      <c r="R16796" s="7"/>
      <c r="S16796" s="7"/>
      <c r="T16796" s="7"/>
      <c r="U16796" s="7"/>
      <c r="V16796" s="7"/>
      <c r="W16796" s="7"/>
      <c r="X16796" s="7"/>
      <c r="Y16796" s="7"/>
      <c r="Z16796" s="7"/>
      <c r="AA16796" s="7"/>
      <c r="AB16796" s="7"/>
      <c r="AC16796" s="7"/>
      <c r="AD16796" s="7"/>
      <c r="AE16796" s="7"/>
      <c r="AF16796" s="7"/>
    </row>
    <row r="16797" spans="1:32">
      <c r="A16797" s="7"/>
      <c r="B16797" s="7"/>
      <c r="C16797" s="7"/>
      <c r="D16797" s="7"/>
      <c r="E16797" s="7"/>
      <c r="F16797" s="7"/>
      <c r="G16797" s="7"/>
      <c r="H16797" s="7"/>
      <c r="I16797" s="7"/>
      <c r="J16797" s="7"/>
      <c r="K16797" s="7"/>
      <c r="L16797" s="7"/>
      <c r="M16797" s="7"/>
      <c r="N16797" s="7"/>
      <c r="O16797" s="7"/>
      <c r="P16797" s="7"/>
      <c r="Q16797" s="7"/>
      <c r="R16797" s="7"/>
      <c r="S16797" s="7"/>
      <c r="T16797" s="7"/>
      <c r="U16797" s="7"/>
      <c r="V16797" s="7"/>
      <c r="W16797" s="7"/>
      <c r="X16797" s="7"/>
      <c r="Y16797" s="7"/>
      <c r="Z16797" s="7"/>
      <c r="AA16797" s="7"/>
      <c r="AB16797" s="7"/>
      <c r="AC16797" s="7"/>
      <c r="AD16797" s="7"/>
      <c r="AE16797" s="7"/>
      <c r="AF16797" s="7"/>
    </row>
    <row r="16798" spans="1:32">
      <c r="A16798" s="7"/>
      <c r="B16798" s="7"/>
      <c r="C16798" s="7"/>
      <c r="D16798" s="7"/>
      <c r="E16798" s="7"/>
      <c r="F16798" s="7"/>
      <c r="G16798" s="7"/>
      <c r="H16798" s="7"/>
      <c r="I16798" s="7"/>
      <c r="J16798" s="7"/>
      <c r="K16798" s="7"/>
      <c r="L16798" s="7"/>
      <c r="M16798" s="7"/>
      <c r="N16798" s="7"/>
      <c r="O16798" s="7"/>
      <c r="P16798" s="7"/>
      <c r="Q16798" s="7"/>
      <c r="R16798" s="7"/>
      <c r="S16798" s="7"/>
      <c r="T16798" s="7"/>
      <c r="U16798" s="7"/>
      <c r="V16798" s="7"/>
      <c r="W16798" s="7"/>
      <c r="X16798" s="7"/>
      <c r="Y16798" s="7"/>
      <c r="Z16798" s="7"/>
      <c r="AA16798" s="7"/>
      <c r="AB16798" s="7"/>
      <c r="AC16798" s="7"/>
      <c r="AD16798" s="7"/>
      <c r="AE16798" s="7"/>
      <c r="AF16798" s="7"/>
    </row>
    <row r="16799" spans="1:32">
      <c r="A16799" s="7"/>
      <c r="B16799" s="7"/>
      <c r="C16799" s="7"/>
      <c r="D16799" s="7"/>
      <c r="E16799" s="7"/>
      <c r="F16799" s="7"/>
      <c r="G16799" s="7"/>
      <c r="H16799" s="7"/>
      <c r="I16799" s="7"/>
      <c r="J16799" s="7"/>
      <c r="K16799" s="7"/>
      <c r="L16799" s="7"/>
      <c r="M16799" s="7"/>
      <c r="N16799" s="7"/>
      <c r="O16799" s="7"/>
      <c r="P16799" s="7"/>
      <c r="Q16799" s="7"/>
      <c r="R16799" s="7"/>
      <c r="S16799" s="7"/>
      <c r="T16799" s="7"/>
      <c r="U16799" s="7"/>
      <c r="V16799" s="7"/>
      <c r="W16799" s="7"/>
      <c r="X16799" s="7"/>
      <c r="Y16799" s="7"/>
      <c r="Z16799" s="7"/>
      <c r="AA16799" s="7"/>
      <c r="AB16799" s="7"/>
      <c r="AC16799" s="7"/>
      <c r="AD16799" s="7"/>
      <c r="AE16799" s="7"/>
      <c r="AF16799" s="7"/>
    </row>
    <row r="16800" spans="1:32">
      <c r="A16800" s="7"/>
      <c r="B16800" s="7"/>
      <c r="C16800" s="7"/>
      <c r="D16800" s="7"/>
      <c r="E16800" s="7"/>
      <c r="F16800" s="7"/>
      <c r="G16800" s="7"/>
      <c r="H16800" s="7"/>
      <c r="I16800" s="7"/>
      <c r="J16800" s="7"/>
      <c r="K16800" s="7"/>
      <c r="L16800" s="7"/>
      <c r="M16800" s="7"/>
      <c r="N16800" s="7"/>
      <c r="O16800" s="7"/>
      <c r="P16800" s="7"/>
      <c r="Q16800" s="7"/>
      <c r="R16800" s="7"/>
      <c r="S16800" s="7"/>
      <c r="T16800" s="7"/>
      <c r="U16800" s="7"/>
      <c r="V16800" s="7"/>
      <c r="W16800" s="7"/>
      <c r="X16800" s="7"/>
      <c r="Y16800" s="7"/>
      <c r="Z16800" s="7"/>
      <c r="AA16800" s="7"/>
      <c r="AB16800" s="7"/>
      <c r="AC16800" s="7"/>
      <c r="AD16800" s="7"/>
      <c r="AE16800" s="7"/>
      <c r="AF16800" s="7"/>
    </row>
    <row r="16801" spans="1:32">
      <c r="A16801" s="7"/>
      <c r="B16801" s="7"/>
      <c r="C16801" s="7"/>
      <c r="D16801" s="7"/>
      <c r="E16801" s="7"/>
      <c r="F16801" s="7"/>
      <c r="G16801" s="7"/>
      <c r="H16801" s="7"/>
      <c r="I16801" s="7"/>
      <c r="J16801" s="7"/>
      <c r="K16801" s="7"/>
      <c r="L16801" s="7"/>
      <c r="M16801" s="7"/>
      <c r="N16801" s="7"/>
      <c r="O16801" s="7"/>
      <c r="P16801" s="7"/>
      <c r="Q16801" s="7"/>
      <c r="R16801" s="7"/>
      <c r="S16801" s="7"/>
      <c r="T16801" s="7"/>
      <c r="U16801" s="7"/>
      <c r="V16801" s="7"/>
      <c r="W16801" s="7"/>
      <c r="X16801" s="7"/>
      <c r="Y16801" s="7"/>
      <c r="Z16801" s="7"/>
      <c r="AA16801" s="7"/>
      <c r="AB16801" s="7"/>
      <c r="AC16801" s="7"/>
      <c r="AD16801" s="7"/>
      <c r="AE16801" s="7"/>
      <c r="AF16801" s="7"/>
    </row>
    <row r="16802" spans="1:32">
      <c r="A16802" s="7"/>
      <c r="B16802" s="7"/>
      <c r="C16802" s="7"/>
      <c r="D16802" s="7"/>
      <c r="E16802" s="7"/>
      <c r="F16802" s="7"/>
      <c r="G16802" s="7"/>
      <c r="H16802" s="7"/>
      <c r="I16802" s="7"/>
      <c r="J16802" s="7"/>
      <c r="K16802" s="7"/>
      <c r="L16802" s="7"/>
      <c r="M16802" s="7"/>
      <c r="N16802" s="7"/>
      <c r="O16802" s="7"/>
      <c r="P16802" s="7"/>
      <c r="Q16802" s="7"/>
      <c r="R16802" s="7"/>
      <c r="S16802" s="7"/>
      <c r="T16802" s="7"/>
      <c r="U16802" s="7"/>
      <c r="V16802" s="7"/>
      <c r="W16802" s="7"/>
      <c r="X16802" s="7"/>
      <c r="Y16802" s="7"/>
      <c r="Z16802" s="7"/>
      <c r="AA16802" s="7"/>
      <c r="AB16802" s="7"/>
      <c r="AC16802" s="7"/>
      <c r="AD16802" s="7"/>
      <c r="AE16802" s="7"/>
      <c r="AF16802" s="7"/>
    </row>
    <row r="16803" spans="1:32">
      <c r="A16803" s="7"/>
      <c r="B16803" s="7"/>
      <c r="C16803" s="7"/>
      <c r="D16803" s="7"/>
      <c r="E16803" s="7"/>
      <c r="F16803" s="7"/>
      <c r="G16803" s="7"/>
      <c r="H16803" s="7"/>
      <c r="I16803" s="7"/>
      <c r="J16803" s="7"/>
      <c r="K16803" s="7"/>
      <c r="L16803" s="7"/>
      <c r="M16803" s="7"/>
      <c r="N16803" s="7"/>
      <c r="O16803" s="7"/>
      <c r="P16803" s="7"/>
      <c r="Q16803" s="7"/>
      <c r="R16803" s="7"/>
      <c r="S16803" s="7"/>
      <c r="T16803" s="7"/>
      <c r="U16803" s="7"/>
      <c r="V16803" s="7"/>
      <c r="W16803" s="7"/>
      <c r="X16803" s="7"/>
      <c r="Y16803" s="7"/>
      <c r="Z16803" s="7"/>
      <c r="AA16803" s="7"/>
      <c r="AB16803" s="7"/>
      <c r="AC16803" s="7"/>
      <c r="AD16803" s="7"/>
      <c r="AE16803" s="7"/>
      <c r="AF16803" s="7"/>
    </row>
    <row r="16804" spans="1:32">
      <c r="A16804" s="7"/>
      <c r="B16804" s="7"/>
      <c r="C16804" s="7"/>
      <c r="D16804" s="7"/>
      <c r="E16804" s="7"/>
      <c r="F16804" s="7"/>
      <c r="G16804" s="7"/>
      <c r="H16804" s="7"/>
      <c r="I16804" s="7"/>
      <c r="J16804" s="7"/>
      <c r="K16804" s="7"/>
      <c r="L16804" s="7"/>
      <c r="M16804" s="7"/>
      <c r="N16804" s="7"/>
      <c r="O16804" s="7"/>
      <c r="P16804" s="7"/>
      <c r="Q16804" s="7"/>
      <c r="R16804" s="7"/>
      <c r="S16804" s="7"/>
      <c r="T16804" s="7"/>
      <c r="U16804" s="7"/>
      <c r="V16804" s="7"/>
      <c r="W16804" s="7"/>
      <c r="X16804" s="7"/>
      <c r="Y16804" s="7"/>
      <c r="Z16804" s="7"/>
      <c r="AA16804" s="7"/>
      <c r="AB16804" s="7"/>
      <c r="AC16804" s="7"/>
      <c r="AD16804" s="7"/>
      <c r="AE16804" s="7"/>
      <c r="AF16804" s="7"/>
    </row>
    <row r="16805" spans="1:32">
      <c r="A16805" s="7"/>
      <c r="B16805" s="7"/>
      <c r="C16805" s="7"/>
      <c r="D16805" s="7"/>
      <c r="E16805" s="7"/>
      <c r="F16805" s="7"/>
      <c r="G16805" s="7"/>
      <c r="H16805" s="7"/>
      <c r="I16805" s="7"/>
      <c r="J16805" s="7"/>
      <c r="K16805" s="7"/>
      <c r="L16805" s="7"/>
      <c r="M16805" s="7"/>
      <c r="N16805" s="7"/>
      <c r="O16805" s="7"/>
      <c r="P16805" s="7"/>
      <c r="Q16805" s="7"/>
      <c r="R16805" s="7"/>
      <c r="S16805" s="7"/>
      <c r="T16805" s="7"/>
      <c r="U16805" s="7"/>
      <c r="V16805" s="7"/>
      <c r="W16805" s="7"/>
      <c r="X16805" s="7"/>
      <c r="Y16805" s="7"/>
      <c r="Z16805" s="7"/>
      <c r="AA16805" s="7"/>
      <c r="AB16805" s="7"/>
      <c r="AC16805" s="7"/>
      <c r="AD16805" s="7"/>
      <c r="AE16805" s="7"/>
      <c r="AF16805" s="7"/>
    </row>
    <row r="16806" spans="1:32">
      <c r="A16806" s="7"/>
      <c r="B16806" s="7"/>
      <c r="C16806" s="7"/>
      <c r="D16806" s="7"/>
      <c r="E16806" s="7"/>
      <c r="F16806" s="7"/>
      <c r="G16806" s="7"/>
      <c r="H16806" s="7"/>
      <c r="I16806" s="7"/>
      <c r="J16806" s="7"/>
      <c r="K16806" s="7"/>
      <c r="L16806" s="7"/>
      <c r="M16806" s="7"/>
      <c r="N16806" s="7"/>
      <c r="O16806" s="7"/>
      <c r="P16806" s="7"/>
      <c r="Q16806" s="7"/>
      <c r="R16806" s="7"/>
      <c r="S16806" s="7"/>
      <c r="T16806" s="7"/>
      <c r="U16806" s="7"/>
      <c r="V16806" s="7"/>
      <c r="W16806" s="7"/>
      <c r="X16806" s="7"/>
      <c r="Y16806" s="7"/>
      <c r="Z16806" s="7"/>
      <c r="AA16806" s="7"/>
      <c r="AB16806" s="7"/>
      <c r="AC16806" s="7"/>
      <c r="AD16806" s="7"/>
      <c r="AE16806" s="7"/>
      <c r="AF16806" s="7"/>
    </row>
    <row r="16807" spans="1:32">
      <c r="A16807" s="7"/>
      <c r="B16807" s="7"/>
      <c r="C16807" s="7"/>
      <c r="D16807" s="7"/>
      <c r="E16807" s="7"/>
      <c r="F16807" s="7"/>
      <c r="G16807" s="7"/>
      <c r="H16807" s="7"/>
      <c r="I16807" s="7"/>
      <c r="J16807" s="7"/>
      <c r="K16807" s="7"/>
      <c r="L16807" s="7"/>
      <c r="M16807" s="7"/>
      <c r="N16807" s="7"/>
      <c r="O16807" s="7"/>
      <c r="P16807" s="7"/>
      <c r="Q16807" s="7"/>
      <c r="R16807" s="7"/>
      <c r="S16807" s="7"/>
      <c r="T16807" s="7"/>
      <c r="U16807" s="7"/>
      <c r="V16807" s="7"/>
      <c r="W16807" s="7"/>
      <c r="X16807" s="7"/>
      <c r="Y16807" s="7"/>
      <c r="Z16807" s="7"/>
      <c r="AA16807" s="7"/>
      <c r="AB16807" s="7"/>
      <c r="AC16807" s="7"/>
      <c r="AD16807" s="7"/>
      <c r="AE16807" s="7"/>
      <c r="AF16807" s="7"/>
    </row>
    <row r="16808" spans="1:32">
      <c r="A16808" s="7"/>
      <c r="B16808" s="7"/>
      <c r="C16808" s="7"/>
      <c r="D16808" s="7"/>
      <c r="E16808" s="7"/>
      <c r="F16808" s="7"/>
      <c r="G16808" s="7"/>
      <c r="H16808" s="7"/>
      <c r="I16808" s="7"/>
      <c r="J16808" s="7"/>
      <c r="K16808" s="7"/>
      <c r="L16808" s="7"/>
      <c r="M16808" s="7"/>
      <c r="N16808" s="7"/>
      <c r="O16808" s="7"/>
      <c r="P16808" s="7"/>
      <c r="Q16808" s="7"/>
      <c r="R16808" s="7"/>
      <c r="S16808" s="7"/>
      <c r="T16808" s="7"/>
      <c r="U16808" s="7"/>
      <c r="V16808" s="7"/>
      <c r="W16808" s="7"/>
      <c r="X16808" s="7"/>
      <c r="Y16808" s="7"/>
      <c r="Z16808" s="7"/>
      <c r="AA16808" s="7"/>
      <c r="AB16808" s="7"/>
      <c r="AC16808" s="7"/>
      <c r="AD16808" s="7"/>
      <c r="AE16808" s="7"/>
      <c r="AF16808" s="7"/>
    </row>
    <row r="16809" spans="1:32">
      <c r="A16809" s="7"/>
      <c r="B16809" s="7"/>
      <c r="C16809" s="7"/>
      <c r="D16809" s="7"/>
      <c r="E16809" s="7"/>
      <c r="F16809" s="7"/>
      <c r="G16809" s="7"/>
      <c r="H16809" s="7"/>
      <c r="I16809" s="7"/>
      <c r="J16809" s="7"/>
      <c r="K16809" s="7"/>
      <c r="L16809" s="7"/>
      <c r="M16809" s="7"/>
      <c r="N16809" s="7"/>
      <c r="O16809" s="7"/>
      <c r="P16809" s="7"/>
      <c r="Q16809" s="7"/>
      <c r="R16809" s="7"/>
      <c r="S16809" s="7"/>
      <c r="T16809" s="7"/>
      <c r="U16809" s="7"/>
      <c r="V16809" s="7"/>
      <c r="W16809" s="7"/>
      <c r="X16809" s="7"/>
      <c r="Y16809" s="7"/>
      <c r="Z16809" s="7"/>
      <c r="AA16809" s="7"/>
      <c r="AB16809" s="7"/>
      <c r="AC16809" s="7"/>
      <c r="AD16809" s="7"/>
      <c r="AE16809" s="7"/>
      <c r="AF16809" s="7"/>
    </row>
    <row r="16810" spans="1:32">
      <c r="A16810" s="7"/>
      <c r="B16810" s="7"/>
      <c r="C16810" s="7"/>
      <c r="D16810" s="7"/>
      <c r="E16810" s="7"/>
      <c r="F16810" s="7"/>
      <c r="G16810" s="7"/>
      <c r="H16810" s="7"/>
      <c r="I16810" s="7"/>
      <c r="J16810" s="7"/>
      <c r="K16810" s="7"/>
      <c r="L16810" s="7"/>
      <c r="M16810" s="7"/>
      <c r="N16810" s="7"/>
      <c r="O16810" s="7"/>
      <c r="P16810" s="7"/>
      <c r="Q16810" s="7"/>
      <c r="R16810" s="7"/>
      <c r="S16810" s="7"/>
      <c r="T16810" s="7"/>
      <c r="U16810" s="7"/>
      <c r="V16810" s="7"/>
      <c r="W16810" s="7"/>
      <c r="X16810" s="7"/>
      <c r="Y16810" s="7"/>
      <c r="Z16810" s="7"/>
      <c r="AA16810" s="7"/>
      <c r="AB16810" s="7"/>
      <c r="AC16810" s="7"/>
      <c r="AD16810" s="7"/>
      <c r="AE16810" s="7"/>
      <c r="AF16810" s="7"/>
    </row>
    <row r="16811" spans="1:32">
      <c r="A16811" s="7"/>
      <c r="B16811" s="7"/>
      <c r="C16811" s="7"/>
      <c r="D16811" s="7"/>
      <c r="E16811" s="7"/>
      <c r="F16811" s="7"/>
      <c r="G16811" s="7"/>
      <c r="H16811" s="7"/>
      <c r="I16811" s="7"/>
      <c r="J16811" s="7"/>
      <c r="K16811" s="7"/>
      <c r="L16811" s="7"/>
      <c r="M16811" s="7"/>
      <c r="N16811" s="7"/>
      <c r="O16811" s="7"/>
      <c r="P16811" s="7"/>
      <c r="Q16811" s="7"/>
      <c r="R16811" s="7"/>
      <c r="S16811" s="7"/>
      <c r="T16811" s="7"/>
      <c r="U16811" s="7"/>
      <c r="V16811" s="7"/>
      <c r="W16811" s="7"/>
      <c r="X16811" s="7"/>
      <c r="Y16811" s="7"/>
      <c r="Z16811" s="7"/>
      <c r="AA16811" s="7"/>
      <c r="AB16811" s="7"/>
      <c r="AC16811" s="7"/>
      <c r="AD16811" s="7"/>
      <c r="AE16811" s="7"/>
      <c r="AF16811" s="7"/>
    </row>
    <row r="16812" spans="1:32">
      <c r="A16812" s="7"/>
      <c r="B16812" s="7"/>
      <c r="C16812" s="7"/>
      <c r="D16812" s="7"/>
      <c r="E16812" s="7"/>
      <c r="F16812" s="7"/>
      <c r="G16812" s="7"/>
      <c r="H16812" s="7"/>
      <c r="I16812" s="7"/>
      <c r="J16812" s="7"/>
      <c r="K16812" s="7"/>
      <c r="L16812" s="7"/>
      <c r="M16812" s="7"/>
      <c r="N16812" s="7"/>
      <c r="O16812" s="7"/>
      <c r="P16812" s="7"/>
      <c r="Q16812" s="7"/>
      <c r="R16812" s="7"/>
      <c r="S16812" s="7"/>
      <c r="T16812" s="7"/>
      <c r="U16812" s="7"/>
      <c r="V16812" s="7"/>
      <c r="W16812" s="7"/>
      <c r="X16812" s="7"/>
      <c r="Y16812" s="7"/>
      <c r="Z16812" s="7"/>
      <c r="AA16812" s="7"/>
      <c r="AB16812" s="7"/>
      <c r="AC16812" s="7"/>
      <c r="AD16812" s="7"/>
      <c r="AE16812" s="7"/>
      <c r="AF16812" s="7"/>
    </row>
    <row r="16813" spans="1:32">
      <c r="A16813" s="7"/>
      <c r="B16813" s="7"/>
      <c r="C16813" s="7"/>
      <c r="D16813" s="7"/>
      <c r="E16813" s="7"/>
      <c r="F16813" s="7"/>
      <c r="G16813" s="7"/>
      <c r="H16813" s="7"/>
      <c r="I16813" s="7"/>
      <c r="J16813" s="7"/>
      <c r="K16813" s="7"/>
      <c r="L16813" s="7"/>
      <c r="M16813" s="7"/>
      <c r="N16813" s="7"/>
      <c r="O16813" s="7"/>
      <c r="P16813" s="7"/>
      <c r="Q16813" s="7"/>
      <c r="R16813" s="7"/>
      <c r="S16813" s="7"/>
      <c r="T16813" s="7"/>
      <c r="U16813" s="7"/>
      <c r="V16813" s="7"/>
      <c r="W16813" s="7"/>
      <c r="X16813" s="7"/>
      <c r="Y16813" s="7"/>
      <c r="Z16813" s="7"/>
      <c r="AA16813" s="7"/>
      <c r="AB16813" s="7"/>
      <c r="AC16813" s="7"/>
      <c r="AD16813" s="7"/>
      <c r="AE16813" s="7"/>
      <c r="AF16813" s="7"/>
    </row>
    <row r="16814" spans="1:32">
      <c r="A16814" s="7"/>
      <c r="B16814" s="7"/>
      <c r="C16814" s="7"/>
      <c r="D16814" s="7"/>
      <c r="E16814" s="7"/>
      <c r="F16814" s="7"/>
      <c r="G16814" s="7"/>
      <c r="H16814" s="7"/>
      <c r="I16814" s="7"/>
      <c r="J16814" s="7"/>
      <c r="K16814" s="7"/>
      <c r="L16814" s="7"/>
      <c r="M16814" s="7"/>
      <c r="N16814" s="7"/>
      <c r="O16814" s="7"/>
      <c r="P16814" s="7"/>
      <c r="Q16814" s="7"/>
      <c r="R16814" s="7"/>
      <c r="S16814" s="7"/>
      <c r="T16814" s="7"/>
      <c r="U16814" s="7"/>
      <c r="V16814" s="7"/>
      <c r="W16814" s="7"/>
      <c r="X16814" s="7"/>
      <c r="Y16814" s="7"/>
      <c r="Z16814" s="7"/>
      <c r="AA16814" s="7"/>
      <c r="AB16814" s="7"/>
      <c r="AC16814" s="7"/>
      <c r="AD16814" s="7"/>
      <c r="AE16814" s="7"/>
      <c r="AF16814" s="7"/>
    </row>
    <row r="16815" spans="1:32">
      <c r="A16815" s="7"/>
      <c r="B16815" s="7"/>
      <c r="C16815" s="7"/>
      <c r="D16815" s="7"/>
      <c r="E16815" s="7"/>
      <c r="F16815" s="7"/>
      <c r="G16815" s="7"/>
      <c r="H16815" s="7"/>
      <c r="I16815" s="7"/>
      <c r="J16815" s="7"/>
      <c r="K16815" s="7"/>
      <c r="L16815" s="7"/>
      <c r="M16815" s="7"/>
      <c r="N16815" s="7"/>
      <c r="O16815" s="7"/>
      <c r="P16815" s="7"/>
      <c r="Q16815" s="7"/>
      <c r="R16815" s="7"/>
      <c r="S16815" s="7"/>
      <c r="T16815" s="7"/>
      <c r="U16815" s="7"/>
      <c r="V16815" s="7"/>
      <c r="W16815" s="7"/>
      <c r="X16815" s="7"/>
      <c r="Y16815" s="7"/>
      <c r="Z16815" s="7"/>
      <c r="AA16815" s="7"/>
      <c r="AB16815" s="7"/>
      <c r="AC16815" s="7"/>
      <c r="AD16815" s="7"/>
      <c r="AE16815" s="7"/>
      <c r="AF16815" s="7"/>
    </row>
    <row r="16816" spans="1:32">
      <c r="A16816" s="7"/>
      <c r="B16816" s="7"/>
      <c r="C16816" s="7"/>
      <c r="D16816" s="7"/>
      <c r="E16816" s="7"/>
      <c r="F16816" s="7"/>
      <c r="G16816" s="7"/>
      <c r="H16816" s="7"/>
      <c r="I16816" s="7"/>
      <c r="J16816" s="7"/>
      <c r="K16816" s="7"/>
      <c r="L16816" s="7"/>
      <c r="M16816" s="7"/>
      <c r="N16816" s="7"/>
      <c r="O16816" s="7"/>
      <c r="P16816" s="7"/>
      <c r="Q16816" s="7"/>
      <c r="R16816" s="7"/>
      <c r="S16816" s="7"/>
      <c r="T16816" s="7"/>
      <c r="U16816" s="7"/>
      <c r="V16816" s="7"/>
      <c r="W16816" s="7"/>
      <c r="X16816" s="7"/>
      <c r="Y16816" s="7"/>
      <c r="Z16816" s="7"/>
      <c r="AA16816" s="7"/>
      <c r="AB16816" s="7"/>
      <c r="AC16816" s="7"/>
      <c r="AD16816" s="7"/>
      <c r="AE16816" s="7"/>
      <c r="AF16816" s="7"/>
    </row>
    <row r="16817" spans="1:32">
      <c r="A16817" s="7"/>
      <c r="B16817" s="7"/>
      <c r="C16817" s="7"/>
      <c r="D16817" s="7"/>
      <c r="E16817" s="7"/>
      <c r="F16817" s="7"/>
      <c r="G16817" s="7"/>
      <c r="H16817" s="7"/>
      <c r="I16817" s="7"/>
      <c r="J16817" s="7"/>
      <c r="K16817" s="7"/>
      <c r="L16817" s="7"/>
      <c r="M16817" s="7"/>
      <c r="N16817" s="7"/>
      <c r="O16817" s="7"/>
      <c r="P16817" s="7"/>
      <c r="Q16817" s="7"/>
      <c r="R16817" s="7"/>
      <c r="S16817" s="7"/>
      <c r="T16817" s="7"/>
      <c r="U16817" s="7"/>
      <c r="V16817" s="7"/>
      <c r="W16817" s="7"/>
      <c r="X16817" s="7"/>
      <c r="Y16817" s="7"/>
      <c r="Z16817" s="7"/>
      <c r="AA16817" s="7"/>
      <c r="AB16817" s="7"/>
      <c r="AC16817" s="7"/>
      <c r="AD16817" s="7"/>
      <c r="AE16817" s="7"/>
      <c r="AF16817" s="7"/>
    </row>
    <row r="16818" spans="1:32">
      <c r="A16818" s="7"/>
      <c r="B16818" s="7"/>
      <c r="C16818" s="7"/>
      <c r="D16818" s="7"/>
      <c r="E16818" s="7"/>
      <c r="F16818" s="7"/>
      <c r="G16818" s="7"/>
      <c r="H16818" s="7"/>
      <c r="I16818" s="7"/>
      <c r="J16818" s="7"/>
      <c r="K16818" s="7"/>
      <c r="L16818" s="7"/>
      <c r="M16818" s="7"/>
      <c r="N16818" s="7"/>
      <c r="O16818" s="7"/>
      <c r="P16818" s="7"/>
      <c r="Q16818" s="7"/>
      <c r="R16818" s="7"/>
      <c r="S16818" s="7"/>
      <c r="T16818" s="7"/>
      <c r="U16818" s="7"/>
      <c r="V16818" s="7"/>
      <c r="W16818" s="7"/>
      <c r="X16818" s="7"/>
      <c r="Y16818" s="7"/>
      <c r="Z16818" s="7"/>
      <c r="AA16818" s="7"/>
      <c r="AB16818" s="7"/>
      <c r="AC16818" s="7"/>
      <c r="AD16818" s="7"/>
      <c r="AE16818" s="7"/>
      <c r="AF16818" s="7"/>
    </row>
    <row r="16819" spans="1:32">
      <c r="A16819" s="7"/>
      <c r="B16819" s="7"/>
      <c r="C16819" s="7"/>
      <c r="D16819" s="7"/>
      <c r="E16819" s="7"/>
      <c r="F16819" s="7"/>
      <c r="G16819" s="7"/>
      <c r="H16819" s="7"/>
      <c r="I16819" s="7"/>
      <c r="J16819" s="7"/>
      <c r="K16819" s="7"/>
      <c r="L16819" s="7"/>
      <c r="M16819" s="7"/>
      <c r="N16819" s="7"/>
      <c r="O16819" s="7"/>
      <c r="P16819" s="7"/>
      <c r="Q16819" s="7"/>
      <c r="R16819" s="7"/>
      <c r="S16819" s="7"/>
      <c r="T16819" s="7"/>
      <c r="U16819" s="7"/>
      <c r="V16819" s="7"/>
      <c r="W16819" s="7"/>
      <c r="X16819" s="7"/>
      <c r="Y16819" s="7"/>
      <c r="Z16819" s="7"/>
      <c r="AA16819" s="7"/>
      <c r="AB16819" s="7"/>
      <c r="AC16819" s="7"/>
      <c r="AD16819" s="7"/>
      <c r="AE16819" s="7"/>
      <c r="AF16819" s="7"/>
    </row>
    <row r="16820" spans="1:32">
      <c r="A16820" s="7"/>
      <c r="B16820" s="7"/>
      <c r="C16820" s="7"/>
      <c r="D16820" s="7"/>
      <c r="E16820" s="7"/>
      <c r="F16820" s="7"/>
      <c r="G16820" s="7"/>
      <c r="H16820" s="7"/>
      <c r="I16820" s="7"/>
      <c r="J16820" s="7"/>
      <c r="K16820" s="7"/>
      <c r="L16820" s="7"/>
      <c r="M16820" s="7"/>
      <c r="N16820" s="7"/>
      <c r="O16820" s="7"/>
      <c r="P16820" s="7"/>
      <c r="Q16820" s="7"/>
      <c r="R16820" s="7"/>
      <c r="S16820" s="7"/>
      <c r="T16820" s="7"/>
      <c r="U16820" s="7"/>
      <c r="V16820" s="7"/>
      <c r="W16820" s="7"/>
      <c r="X16820" s="7"/>
      <c r="Y16820" s="7"/>
      <c r="Z16820" s="7"/>
      <c r="AA16820" s="7"/>
      <c r="AB16820" s="7"/>
      <c r="AC16820" s="7"/>
      <c r="AD16820" s="7"/>
      <c r="AE16820" s="7"/>
      <c r="AF16820" s="7"/>
    </row>
    <row r="16821" spans="1:32">
      <c r="A16821" s="7"/>
      <c r="B16821" s="7"/>
      <c r="C16821" s="7"/>
      <c r="D16821" s="7"/>
      <c r="E16821" s="7"/>
      <c r="F16821" s="7"/>
      <c r="G16821" s="7"/>
      <c r="H16821" s="7"/>
      <c r="I16821" s="7"/>
      <c r="J16821" s="7"/>
      <c r="K16821" s="7"/>
      <c r="L16821" s="7"/>
      <c r="M16821" s="7"/>
      <c r="N16821" s="7"/>
      <c r="O16821" s="7"/>
      <c r="P16821" s="7"/>
      <c r="Q16821" s="7"/>
      <c r="R16821" s="7"/>
      <c r="S16821" s="7"/>
      <c r="T16821" s="7"/>
      <c r="U16821" s="7"/>
      <c r="V16821" s="7"/>
      <c r="W16821" s="7"/>
      <c r="X16821" s="7"/>
      <c r="Y16821" s="7"/>
      <c r="Z16821" s="7"/>
      <c r="AA16821" s="7"/>
      <c r="AB16821" s="7"/>
      <c r="AC16821" s="7"/>
      <c r="AD16821" s="7"/>
      <c r="AE16821" s="7"/>
      <c r="AF16821" s="7"/>
    </row>
    <row r="16822" spans="1:32">
      <c r="A16822" s="7"/>
      <c r="B16822" s="7"/>
      <c r="C16822" s="7"/>
      <c r="D16822" s="7"/>
      <c r="E16822" s="7"/>
      <c r="F16822" s="7"/>
      <c r="G16822" s="7"/>
      <c r="H16822" s="7"/>
      <c r="I16822" s="7"/>
      <c r="J16822" s="7"/>
      <c r="K16822" s="7"/>
      <c r="L16822" s="7"/>
      <c r="M16822" s="7"/>
      <c r="N16822" s="7"/>
      <c r="O16822" s="7"/>
      <c r="P16822" s="7"/>
      <c r="Q16822" s="7"/>
      <c r="R16822" s="7"/>
      <c r="S16822" s="7"/>
      <c r="T16822" s="7"/>
      <c r="U16822" s="7"/>
      <c r="V16822" s="7"/>
      <c r="W16822" s="7"/>
      <c r="X16822" s="7"/>
      <c r="Y16822" s="7"/>
      <c r="Z16822" s="7"/>
      <c r="AA16822" s="7"/>
      <c r="AB16822" s="7"/>
      <c r="AC16822" s="7"/>
      <c r="AD16822" s="7"/>
      <c r="AE16822" s="7"/>
      <c r="AF16822" s="7"/>
    </row>
    <row r="16823" spans="1:32">
      <c r="A16823" s="7"/>
      <c r="B16823" s="7"/>
      <c r="C16823" s="7"/>
      <c r="D16823" s="7"/>
      <c r="E16823" s="7"/>
      <c r="F16823" s="7"/>
      <c r="G16823" s="7"/>
      <c r="H16823" s="7"/>
      <c r="I16823" s="7"/>
      <c r="J16823" s="7"/>
      <c r="K16823" s="7"/>
      <c r="L16823" s="7"/>
      <c r="M16823" s="7"/>
      <c r="N16823" s="7"/>
      <c r="O16823" s="7"/>
      <c r="P16823" s="7"/>
      <c r="Q16823" s="7"/>
      <c r="R16823" s="7"/>
      <c r="S16823" s="7"/>
      <c r="T16823" s="7"/>
      <c r="U16823" s="7"/>
      <c r="V16823" s="7"/>
      <c r="W16823" s="7"/>
      <c r="X16823" s="7"/>
      <c r="Y16823" s="7"/>
      <c r="Z16823" s="7"/>
      <c r="AA16823" s="7"/>
      <c r="AB16823" s="7"/>
      <c r="AC16823" s="7"/>
      <c r="AD16823" s="7"/>
      <c r="AE16823" s="7"/>
      <c r="AF16823" s="7"/>
    </row>
    <row r="16824" spans="1:32">
      <c r="A16824" s="7"/>
      <c r="B16824" s="7"/>
      <c r="C16824" s="7"/>
      <c r="D16824" s="7"/>
      <c r="E16824" s="7"/>
      <c r="F16824" s="7"/>
      <c r="G16824" s="7"/>
      <c r="H16824" s="7"/>
      <c r="I16824" s="7"/>
      <c r="J16824" s="7"/>
      <c r="K16824" s="7"/>
      <c r="L16824" s="7"/>
      <c r="M16824" s="7"/>
      <c r="N16824" s="7"/>
      <c r="O16824" s="7"/>
      <c r="P16824" s="7"/>
      <c r="Q16824" s="7"/>
      <c r="R16824" s="7"/>
      <c r="S16824" s="7"/>
      <c r="T16824" s="7"/>
      <c r="U16824" s="7"/>
      <c r="V16824" s="7"/>
      <c r="W16824" s="7"/>
      <c r="X16824" s="7"/>
      <c r="Y16824" s="7"/>
      <c r="Z16824" s="7"/>
      <c r="AA16824" s="7"/>
      <c r="AB16824" s="7"/>
      <c r="AC16824" s="7"/>
      <c r="AD16824" s="7"/>
      <c r="AE16824" s="7"/>
      <c r="AF16824" s="7"/>
    </row>
    <row r="16825" spans="1:32">
      <c r="A16825" s="7"/>
      <c r="B16825" s="7"/>
      <c r="C16825" s="7"/>
      <c r="D16825" s="7"/>
      <c r="E16825" s="7"/>
      <c r="F16825" s="7"/>
      <c r="G16825" s="7"/>
      <c r="H16825" s="7"/>
      <c r="I16825" s="7"/>
      <c r="J16825" s="7"/>
      <c r="K16825" s="7"/>
      <c r="L16825" s="7"/>
      <c r="M16825" s="7"/>
      <c r="N16825" s="7"/>
      <c r="O16825" s="7"/>
      <c r="P16825" s="7"/>
      <c r="Q16825" s="7"/>
      <c r="R16825" s="7"/>
      <c r="S16825" s="7"/>
      <c r="T16825" s="7"/>
      <c r="U16825" s="7"/>
      <c r="V16825" s="7"/>
      <c r="W16825" s="7"/>
      <c r="X16825" s="7"/>
      <c r="Y16825" s="7"/>
      <c r="Z16825" s="7"/>
      <c r="AA16825" s="7"/>
      <c r="AB16825" s="7"/>
      <c r="AC16825" s="7"/>
      <c r="AD16825" s="7"/>
      <c r="AE16825" s="7"/>
      <c r="AF16825" s="7"/>
    </row>
    <row r="16826" spans="1:32">
      <c r="A16826" s="7"/>
      <c r="B16826" s="7"/>
      <c r="C16826" s="7"/>
      <c r="D16826" s="7"/>
      <c r="E16826" s="7"/>
      <c r="F16826" s="7"/>
      <c r="G16826" s="7"/>
      <c r="H16826" s="7"/>
      <c r="I16826" s="7"/>
      <c r="J16826" s="7"/>
      <c r="K16826" s="7"/>
      <c r="L16826" s="7"/>
      <c r="M16826" s="7"/>
      <c r="N16826" s="7"/>
      <c r="O16826" s="7"/>
      <c r="P16826" s="7"/>
      <c r="Q16826" s="7"/>
      <c r="R16826" s="7"/>
      <c r="S16826" s="7"/>
      <c r="T16826" s="7"/>
      <c r="U16826" s="7"/>
      <c r="V16826" s="7"/>
      <c r="W16826" s="7"/>
      <c r="X16826" s="7"/>
      <c r="Y16826" s="7"/>
      <c r="Z16826" s="7"/>
      <c r="AA16826" s="7"/>
      <c r="AB16826" s="7"/>
      <c r="AC16826" s="7"/>
      <c r="AD16826" s="7"/>
      <c r="AE16826" s="7"/>
      <c r="AF16826" s="7"/>
    </row>
    <row r="16827" spans="1:32">
      <c r="A16827" s="7"/>
      <c r="B16827" s="7"/>
      <c r="C16827" s="7"/>
      <c r="D16827" s="7"/>
      <c r="E16827" s="7"/>
      <c r="F16827" s="7"/>
      <c r="G16827" s="7"/>
      <c r="H16827" s="7"/>
      <c r="I16827" s="7"/>
      <c r="J16827" s="7"/>
      <c r="K16827" s="7"/>
      <c r="L16827" s="7"/>
      <c r="M16827" s="7"/>
      <c r="N16827" s="7"/>
      <c r="O16827" s="7"/>
      <c r="P16827" s="7"/>
      <c r="Q16827" s="7"/>
      <c r="R16827" s="7"/>
      <c r="S16827" s="7"/>
      <c r="T16827" s="7"/>
      <c r="U16827" s="7"/>
      <c r="V16827" s="7"/>
      <c r="W16827" s="7"/>
      <c r="X16827" s="7"/>
      <c r="Y16827" s="7"/>
      <c r="Z16827" s="7"/>
      <c r="AA16827" s="7"/>
      <c r="AB16827" s="7"/>
      <c r="AC16827" s="7"/>
      <c r="AD16827" s="7"/>
      <c r="AE16827" s="7"/>
      <c r="AF16827" s="7"/>
    </row>
    <row r="16828" spans="1:32">
      <c r="A16828" s="7"/>
      <c r="B16828" s="7"/>
      <c r="C16828" s="7"/>
      <c r="D16828" s="7"/>
      <c r="E16828" s="7"/>
      <c r="F16828" s="7"/>
      <c r="G16828" s="7"/>
      <c r="H16828" s="7"/>
      <c r="I16828" s="7"/>
      <c r="J16828" s="7"/>
      <c r="K16828" s="7"/>
      <c r="L16828" s="7"/>
      <c r="M16828" s="7"/>
      <c r="N16828" s="7"/>
      <c r="O16828" s="7"/>
      <c r="P16828" s="7"/>
      <c r="Q16828" s="7"/>
      <c r="R16828" s="7"/>
      <c r="S16828" s="7"/>
      <c r="T16828" s="7"/>
      <c r="U16828" s="7"/>
      <c r="V16828" s="7"/>
      <c r="W16828" s="7"/>
      <c r="X16828" s="7"/>
      <c r="Y16828" s="7"/>
      <c r="Z16828" s="7"/>
      <c r="AA16828" s="7"/>
      <c r="AB16828" s="7"/>
      <c r="AC16828" s="7"/>
      <c r="AD16828" s="7"/>
      <c r="AE16828" s="7"/>
      <c r="AF16828" s="7"/>
    </row>
    <row r="16829" spans="1:32">
      <c r="A16829" s="7"/>
      <c r="B16829" s="7"/>
      <c r="C16829" s="7"/>
      <c r="D16829" s="7"/>
      <c r="E16829" s="7"/>
      <c r="F16829" s="7"/>
      <c r="G16829" s="7"/>
      <c r="H16829" s="7"/>
      <c r="I16829" s="7"/>
      <c r="J16829" s="7"/>
      <c r="K16829" s="7"/>
      <c r="L16829" s="7"/>
      <c r="M16829" s="7"/>
      <c r="N16829" s="7"/>
      <c r="O16829" s="7"/>
      <c r="P16829" s="7"/>
      <c r="Q16829" s="7"/>
      <c r="R16829" s="7"/>
      <c r="S16829" s="7"/>
      <c r="T16829" s="7"/>
      <c r="U16829" s="7"/>
      <c r="V16829" s="7"/>
      <c r="W16829" s="7"/>
      <c r="X16829" s="7"/>
      <c r="Y16829" s="7"/>
      <c r="Z16829" s="7"/>
      <c r="AA16829" s="7"/>
      <c r="AB16829" s="7"/>
      <c r="AC16829" s="7"/>
      <c r="AD16829" s="7"/>
      <c r="AE16829" s="7"/>
      <c r="AF16829" s="7"/>
    </row>
    <row r="16830" spans="1:32">
      <c r="A16830" s="7"/>
      <c r="B16830" s="7"/>
      <c r="C16830" s="7"/>
      <c r="D16830" s="7"/>
      <c r="E16830" s="7"/>
      <c r="F16830" s="7"/>
      <c r="G16830" s="7"/>
      <c r="H16830" s="7"/>
      <c r="I16830" s="7"/>
      <c r="J16830" s="7"/>
      <c r="K16830" s="7"/>
      <c r="L16830" s="7"/>
      <c r="M16830" s="7"/>
      <c r="N16830" s="7"/>
      <c r="O16830" s="7"/>
      <c r="P16830" s="7"/>
      <c r="Q16830" s="7"/>
      <c r="R16830" s="7"/>
      <c r="S16830" s="7"/>
      <c r="T16830" s="7"/>
      <c r="U16830" s="7"/>
      <c r="V16830" s="7"/>
      <c r="W16830" s="7"/>
      <c r="X16830" s="7"/>
      <c r="Y16830" s="7"/>
      <c r="Z16830" s="7"/>
      <c r="AA16830" s="7"/>
      <c r="AB16830" s="7"/>
      <c r="AC16830" s="7"/>
      <c r="AD16830" s="7"/>
      <c r="AE16830" s="7"/>
      <c r="AF16830" s="7"/>
    </row>
    <row r="16831" spans="1:32">
      <c r="A16831" s="7"/>
      <c r="B16831" s="7"/>
      <c r="C16831" s="7"/>
      <c r="D16831" s="7"/>
      <c r="E16831" s="7"/>
      <c r="F16831" s="7"/>
      <c r="G16831" s="7"/>
      <c r="H16831" s="7"/>
      <c r="I16831" s="7"/>
      <c r="J16831" s="7"/>
      <c r="K16831" s="7"/>
      <c r="L16831" s="7"/>
      <c r="M16831" s="7"/>
      <c r="N16831" s="7"/>
      <c r="O16831" s="7"/>
      <c r="P16831" s="7"/>
      <c r="Q16831" s="7"/>
      <c r="R16831" s="7"/>
      <c r="S16831" s="7"/>
      <c r="T16831" s="7"/>
      <c r="U16831" s="7"/>
      <c r="V16831" s="7"/>
      <c r="W16831" s="7"/>
      <c r="X16831" s="7"/>
      <c r="Y16831" s="7"/>
      <c r="Z16831" s="7"/>
      <c r="AA16831" s="7"/>
      <c r="AB16831" s="7"/>
      <c r="AC16831" s="7"/>
      <c r="AD16831" s="7"/>
      <c r="AE16831" s="7"/>
      <c r="AF16831" s="7"/>
    </row>
    <row r="16832" spans="1:32">
      <c r="A16832" s="7"/>
      <c r="B16832" s="7"/>
      <c r="C16832" s="7"/>
      <c r="D16832" s="7"/>
      <c r="E16832" s="7"/>
      <c r="F16832" s="7"/>
      <c r="G16832" s="7"/>
      <c r="H16832" s="7"/>
      <c r="I16832" s="7"/>
      <c r="J16832" s="7"/>
      <c r="K16832" s="7"/>
      <c r="L16832" s="7"/>
      <c r="M16832" s="7"/>
      <c r="N16832" s="7"/>
      <c r="O16832" s="7"/>
      <c r="P16832" s="7"/>
      <c r="Q16832" s="7"/>
      <c r="R16832" s="7"/>
      <c r="S16832" s="7"/>
      <c r="T16832" s="7"/>
      <c r="U16832" s="7"/>
      <c r="V16832" s="7"/>
      <c r="W16832" s="7"/>
      <c r="X16832" s="7"/>
      <c r="Y16832" s="7"/>
      <c r="Z16832" s="7"/>
      <c r="AA16832" s="7"/>
      <c r="AB16832" s="7"/>
      <c r="AC16832" s="7"/>
      <c r="AD16832" s="7"/>
      <c r="AE16832" s="7"/>
      <c r="AF16832" s="7"/>
    </row>
    <row r="16833" spans="1:32">
      <c r="A16833" s="7"/>
      <c r="B16833" s="7"/>
      <c r="C16833" s="7"/>
      <c r="D16833" s="7"/>
      <c r="E16833" s="7"/>
      <c r="F16833" s="7"/>
      <c r="G16833" s="7"/>
      <c r="H16833" s="7"/>
      <c r="I16833" s="7"/>
      <c r="J16833" s="7"/>
      <c r="K16833" s="7"/>
      <c r="L16833" s="7"/>
      <c r="M16833" s="7"/>
      <c r="N16833" s="7"/>
      <c r="O16833" s="7"/>
      <c r="P16833" s="7"/>
      <c r="Q16833" s="7"/>
      <c r="R16833" s="7"/>
      <c r="S16833" s="7"/>
      <c r="T16833" s="7"/>
      <c r="U16833" s="7"/>
      <c r="V16833" s="7"/>
      <c r="W16833" s="7"/>
      <c r="X16833" s="7"/>
      <c r="Y16833" s="7"/>
      <c r="Z16833" s="7"/>
      <c r="AA16833" s="7"/>
      <c r="AB16833" s="7"/>
      <c r="AC16833" s="7"/>
      <c r="AD16833" s="7"/>
      <c r="AE16833" s="7"/>
      <c r="AF16833" s="7"/>
    </row>
    <row r="16834" spans="1:32">
      <c r="A16834" s="7"/>
      <c r="B16834" s="7"/>
      <c r="C16834" s="7"/>
      <c r="D16834" s="7"/>
      <c r="E16834" s="7"/>
      <c r="F16834" s="7"/>
      <c r="G16834" s="7"/>
      <c r="H16834" s="7"/>
      <c r="I16834" s="7"/>
      <c r="J16834" s="7"/>
      <c r="K16834" s="7"/>
      <c r="L16834" s="7"/>
      <c r="M16834" s="7"/>
      <c r="N16834" s="7"/>
      <c r="O16834" s="7"/>
      <c r="P16834" s="7"/>
      <c r="Q16834" s="7"/>
      <c r="R16834" s="7"/>
      <c r="S16834" s="7"/>
      <c r="T16834" s="7"/>
      <c r="U16834" s="7"/>
      <c r="V16834" s="7"/>
      <c r="W16834" s="7"/>
      <c r="X16834" s="7"/>
      <c r="Y16834" s="7"/>
      <c r="Z16834" s="7"/>
      <c r="AA16834" s="7"/>
      <c r="AB16834" s="7"/>
      <c r="AC16834" s="7"/>
      <c r="AD16834" s="7"/>
      <c r="AE16834" s="7"/>
      <c r="AF16834" s="7"/>
    </row>
    <row r="16835" spans="1:32">
      <c r="A16835" s="7"/>
      <c r="B16835" s="7"/>
      <c r="C16835" s="7"/>
      <c r="D16835" s="7"/>
      <c r="E16835" s="7"/>
      <c r="F16835" s="7"/>
      <c r="G16835" s="7"/>
      <c r="H16835" s="7"/>
      <c r="I16835" s="7"/>
      <c r="J16835" s="7"/>
      <c r="K16835" s="7"/>
      <c r="L16835" s="7"/>
      <c r="M16835" s="7"/>
      <c r="N16835" s="7"/>
      <c r="O16835" s="7"/>
      <c r="P16835" s="7"/>
      <c r="Q16835" s="7"/>
      <c r="R16835" s="7"/>
      <c r="S16835" s="7"/>
      <c r="T16835" s="7"/>
      <c r="U16835" s="7"/>
      <c r="V16835" s="7"/>
      <c r="W16835" s="7"/>
      <c r="X16835" s="7"/>
      <c r="Y16835" s="7"/>
      <c r="Z16835" s="7"/>
      <c r="AA16835" s="7"/>
      <c r="AB16835" s="7"/>
      <c r="AC16835" s="7"/>
      <c r="AD16835" s="7"/>
      <c r="AE16835" s="7"/>
      <c r="AF16835" s="7"/>
    </row>
    <row r="16836" spans="1:32">
      <c r="A16836" s="7"/>
      <c r="B16836" s="7"/>
      <c r="C16836" s="7"/>
      <c r="D16836" s="7"/>
      <c r="E16836" s="7"/>
      <c r="F16836" s="7"/>
      <c r="G16836" s="7"/>
      <c r="H16836" s="7"/>
      <c r="I16836" s="7"/>
      <c r="J16836" s="7"/>
      <c r="K16836" s="7"/>
      <c r="L16836" s="7"/>
      <c r="M16836" s="7"/>
      <c r="N16836" s="7"/>
      <c r="O16836" s="7"/>
      <c r="P16836" s="7"/>
      <c r="Q16836" s="7"/>
      <c r="R16836" s="7"/>
      <c r="S16836" s="7"/>
      <c r="T16836" s="7"/>
      <c r="U16836" s="7"/>
      <c r="V16836" s="7"/>
      <c r="W16836" s="7"/>
      <c r="X16836" s="7"/>
      <c r="Y16836" s="7"/>
      <c r="Z16836" s="7"/>
      <c r="AA16836" s="7"/>
      <c r="AB16836" s="7"/>
      <c r="AC16836" s="7"/>
      <c r="AD16836" s="7"/>
      <c r="AE16836" s="7"/>
      <c r="AF16836" s="7"/>
    </row>
    <row r="16837" spans="1:32">
      <c r="A16837" s="7"/>
      <c r="B16837" s="7"/>
      <c r="C16837" s="7"/>
      <c r="D16837" s="7"/>
      <c r="E16837" s="7"/>
      <c r="F16837" s="7"/>
      <c r="G16837" s="7"/>
      <c r="H16837" s="7"/>
      <c r="I16837" s="7"/>
      <c r="J16837" s="7"/>
      <c r="K16837" s="7"/>
      <c r="L16837" s="7"/>
      <c r="M16837" s="7"/>
      <c r="N16837" s="7"/>
      <c r="O16837" s="7"/>
      <c r="P16837" s="7"/>
      <c r="Q16837" s="7"/>
      <c r="R16837" s="7"/>
      <c r="S16837" s="7"/>
      <c r="T16837" s="7"/>
      <c r="U16837" s="7"/>
      <c r="V16837" s="7"/>
      <c r="W16837" s="7"/>
      <c r="X16837" s="7"/>
      <c r="Y16837" s="7"/>
      <c r="Z16837" s="7"/>
      <c r="AA16837" s="7"/>
      <c r="AB16837" s="7"/>
      <c r="AC16837" s="7"/>
      <c r="AD16837" s="7"/>
      <c r="AE16837" s="7"/>
      <c r="AF16837" s="7"/>
    </row>
    <row r="16838" spans="1:32">
      <c r="A16838" s="7"/>
      <c r="B16838" s="7"/>
      <c r="C16838" s="7"/>
      <c r="D16838" s="7"/>
      <c r="E16838" s="7"/>
      <c r="F16838" s="7"/>
      <c r="G16838" s="7"/>
      <c r="H16838" s="7"/>
      <c r="I16838" s="7"/>
      <c r="J16838" s="7"/>
      <c r="K16838" s="7"/>
      <c r="L16838" s="7"/>
      <c r="M16838" s="7"/>
      <c r="N16838" s="7"/>
      <c r="O16838" s="7"/>
      <c r="P16838" s="7"/>
      <c r="Q16838" s="7"/>
      <c r="R16838" s="7"/>
      <c r="S16838" s="7"/>
      <c r="T16838" s="7"/>
      <c r="U16838" s="7"/>
      <c r="V16838" s="7"/>
      <c r="W16838" s="7"/>
      <c r="X16838" s="7"/>
      <c r="Y16838" s="7"/>
      <c r="Z16838" s="7"/>
      <c r="AA16838" s="7"/>
      <c r="AB16838" s="7"/>
      <c r="AC16838" s="7"/>
      <c r="AD16838" s="7"/>
      <c r="AE16838" s="7"/>
      <c r="AF16838" s="7"/>
    </row>
    <row r="16839" spans="1:32">
      <c r="A16839" s="7"/>
      <c r="B16839" s="7"/>
      <c r="C16839" s="7"/>
      <c r="D16839" s="7"/>
      <c r="E16839" s="7"/>
      <c r="F16839" s="7"/>
      <c r="G16839" s="7"/>
      <c r="H16839" s="7"/>
      <c r="I16839" s="7"/>
      <c r="J16839" s="7"/>
      <c r="K16839" s="7"/>
      <c r="L16839" s="7"/>
      <c r="M16839" s="7"/>
      <c r="N16839" s="7"/>
      <c r="O16839" s="7"/>
      <c r="P16839" s="7"/>
      <c r="Q16839" s="7"/>
      <c r="R16839" s="7"/>
      <c r="S16839" s="7"/>
      <c r="T16839" s="7"/>
      <c r="U16839" s="7"/>
      <c r="V16839" s="7"/>
      <c r="W16839" s="7"/>
      <c r="X16839" s="7"/>
      <c r="Y16839" s="7"/>
      <c r="Z16839" s="7"/>
      <c r="AA16839" s="7"/>
      <c r="AB16839" s="7"/>
      <c r="AC16839" s="7"/>
      <c r="AD16839" s="7"/>
      <c r="AE16839" s="7"/>
      <c r="AF16839" s="7"/>
    </row>
    <row r="16840" spans="1:32">
      <c r="A16840" s="7"/>
      <c r="B16840" s="7"/>
      <c r="C16840" s="7"/>
      <c r="D16840" s="7"/>
      <c r="E16840" s="7"/>
      <c r="F16840" s="7"/>
      <c r="G16840" s="7"/>
      <c r="H16840" s="7"/>
      <c r="I16840" s="7"/>
      <c r="J16840" s="7"/>
      <c r="K16840" s="7"/>
      <c r="L16840" s="7"/>
      <c r="M16840" s="7"/>
      <c r="N16840" s="7"/>
      <c r="O16840" s="7"/>
      <c r="P16840" s="7"/>
      <c r="Q16840" s="7"/>
      <c r="R16840" s="7"/>
      <c r="S16840" s="7"/>
      <c r="T16840" s="7"/>
      <c r="U16840" s="7"/>
      <c r="V16840" s="7"/>
      <c r="W16840" s="7"/>
      <c r="X16840" s="7"/>
      <c r="Y16840" s="7"/>
      <c r="Z16840" s="7"/>
      <c r="AA16840" s="7"/>
      <c r="AB16840" s="7"/>
      <c r="AC16840" s="7"/>
      <c r="AD16840" s="7"/>
      <c r="AE16840" s="7"/>
      <c r="AF16840" s="7"/>
    </row>
    <row r="16841" spans="1:32">
      <c r="A16841" s="7"/>
      <c r="B16841" s="7"/>
      <c r="C16841" s="7"/>
      <c r="D16841" s="7"/>
      <c r="E16841" s="7"/>
      <c r="F16841" s="7"/>
      <c r="G16841" s="7"/>
      <c r="H16841" s="7"/>
      <c r="I16841" s="7"/>
      <c r="J16841" s="7"/>
      <c r="K16841" s="7"/>
      <c r="L16841" s="7"/>
      <c r="M16841" s="7"/>
      <c r="N16841" s="7"/>
      <c r="O16841" s="7"/>
      <c r="P16841" s="7"/>
      <c r="Q16841" s="7"/>
      <c r="R16841" s="7"/>
      <c r="S16841" s="7"/>
      <c r="T16841" s="7"/>
      <c r="U16841" s="7"/>
      <c r="V16841" s="7"/>
      <c r="W16841" s="7"/>
      <c r="X16841" s="7"/>
      <c r="Y16841" s="7"/>
      <c r="Z16841" s="7"/>
      <c r="AA16841" s="7"/>
      <c r="AB16841" s="7"/>
      <c r="AC16841" s="7"/>
      <c r="AD16841" s="7"/>
      <c r="AE16841" s="7"/>
      <c r="AF16841" s="7"/>
    </row>
    <row r="16842" spans="1:32">
      <c r="A16842" s="7"/>
      <c r="B16842" s="7"/>
      <c r="C16842" s="7"/>
      <c r="D16842" s="7"/>
      <c r="E16842" s="7"/>
      <c r="F16842" s="7"/>
      <c r="G16842" s="7"/>
      <c r="H16842" s="7"/>
      <c r="I16842" s="7"/>
      <c r="J16842" s="7"/>
      <c r="K16842" s="7"/>
      <c r="L16842" s="7"/>
      <c r="M16842" s="7"/>
      <c r="N16842" s="7"/>
      <c r="O16842" s="7"/>
      <c r="P16842" s="7"/>
      <c r="Q16842" s="7"/>
      <c r="R16842" s="7"/>
      <c r="S16842" s="7"/>
      <c r="T16842" s="7"/>
      <c r="U16842" s="7"/>
      <c r="V16842" s="7"/>
      <c r="W16842" s="7"/>
      <c r="X16842" s="7"/>
      <c r="Y16842" s="7"/>
      <c r="Z16842" s="7"/>
      <c r="AA16842" s="7"/>
      <c r="AB16842" s="7"/>
      <c r="AC16842" s="7"/>
      <c r="AD16842" s="7"/>
      <c r="AE16842" s="7"/>
      <c r="AF16842" s="7"/>
    </row>
    <row r="16843" spans="1:32">
      <c r="A16843" s="7"/>
      <c r="B16843" s="7"/>
      <c r="C16843" s="7"/>
      <c r="D16843" s="7"/>
      <c r="E16843" s="7"/>
      <c r="F16843" s="7"/>
      <c r="G16843" s="7"/>
      <c r="H16843" s="7"/>
      <c r="I16843" s="7"/>
      <c r="J16843" s="7"/>
      <c r="K16843" s="7"/>
      <c r="L16843" s="7"/>
      <c r="M16843" s="7"/>
      <c r="N16843" s="7"/>
      <c r="O16843" s="7"/>
      <c r="P16843" s="7"/>
      <c r="Q16843" s="7"/>
      <c r="R16843" s="7"/>
      <c r="S16843" s="7"/>
      <c r="T16843" s="7"/>
      <c r="U16843" s="7"/>
      <c r="V16843" s="7"/>
      <c r="W16843" s="7"/>
      <c r="X16843" s="7"/>
      <c r="Y16843" s="7"/>
      <c r="Z16843" s="7"/>
      <c r="AA16843" s="7"/>
      <c r="AB16843" s="7"/>
      <c r="AC16843" s="7"/>
      <c r="AD16843" s="7"/>
      <c r="AE16843" s="7"/>
      <c r="AF16843" s="7"/>
    </row>
    <row r="16844" spans="1:32">
      <c r="A16844" s="7"/>
      <c r="B16844" s="7"/>
      <c r="C16844" s="7"/>
      <c r="D16844" s="7"/>
      <c r="E16844" s="7"/>
      <c r="F16844" s="7"/>
      <c r="G16844" s="7"/>
      <c r="H16844" s="7"/>
      <c r="I16844" s="7"/>
      <c r="J16844" s="7"/>
      <c r="K16844" s="7"/>
      <c r="L16844" s="7"/>
      <c r="M16844" s="7"/>
      <c r="N16844" s="7"/>
      <c r="O16844" s="7"/>
      <c r="P16844" s="7"/>
      <c r="Q16844" s="7"/>
      <c r="R16844" s="7"/>
      <c r="S16844" s="7"/>
      <c r="T16844" s="7"/>
      <c r="U16844" s="7"/>
      <c r="V16844" s="7"/>
      <c r="W16844" s="7"/>
      <c r="X16844" s="7"/>
      <c r="Y16844" s="7"/>
      <c r="Z16844" s="7"/>
      <c r="AA16844" s="7"/>
      <c r="AB16844" s="7"/>
      <c r="AC16844" s="7"/>
      <c r="AD16844" s="7"/>
      <c r="AE16844" s="7"/>
      <c r="AF16844" s="7"/>
    </row>
    <row r="16845" spans="1:32">
      <c r="A16845" s="7"/>
      <c r="B16845" s="7"/>
      <c r="C16845" s="7"/>
      <c r="D16845" s="7"/>
      <c r="E16845" s="7"/>
      <c r="F16845" s="7"/>
      <c r="G16845" s="7"/>
      <c r="H16845" s="7"/>
      <c r="I16845" s="7"/>
      <c r="J16845" s="7"/>
      <c r="K16845" s="7"/>
      <c r="L16845" s="7"/>
      <c r="M16845" s="7"/>
      <c r="N16845" s="7"/>
      <c r="O16845" s="7"/>
      <c r="P16845" s="7"/>
      <c r="Q16845" s="7"/>
      <c r="R16845" s="7"/>
      <c r="S16845" s="7"/>
      <c r="T16845" s="7"/>
      <c r="U16845" s="7"/>
      <c r="V16845" s="7"/>
      <c r="W16845" s="7"/>
      <c r="X16845" s="7"/>
      <c r="Y16845" s="7"/>
      <c r="Z16845" s="7"/>
      <c r="AA16845" s="7"/>
      <c r="AB16845" s="7"/>
      <c r="AC16845" s="7"/>
      <c r="AD16845" s="7"/>
      <c r="AE16845" s="7"/>
      <c r="AF16845" s="7"/>
    </row>
    <row r="16846" spans="1:32">
      <c r="A16846" s="7"/>
      <c r="B16846" s="7"/>
      <c r="C16846" s="7"/>
      <c r="D16846" s="7"/>
      <c r="E16846" s="7"/>
      <c r="F16846" s="7"/>
      <c r="G16846" s="7"/>
      <c r="H16846" s="7"/>
      <c r="I16846" s="7"/>
      <c r="J16846" s="7"/>
      <c r="K16846" s="7"/>
      <c r="L16846" s="7"/>
      <c r="M16846" s="7"/>
      <c r="N16846" s="7"/>
      <c r="O16846" s="7"/>
      <c r="P16846" s="7"/>
      <c r="Q16846" s="7"/>
      <c r="R16846" s="7"/>
      <c r="S16846" s="7"/>
      <c r="T16846" s="7"/>
      <c r="U16846" s="7"/>
      <c r="V16846" s="7"/>
      <c r="W16846" s="7"/>
      <c r="X16846" s="7"/>
      <c r="Y16846" s="7"/>
      <c r="Z16846" s="7"/>
      <c r="AA16846" s="7"/>
      <c r="AB16846" s="7"/>
      <c r="AC16846" s="7"/>
      <c r="AD16846" s="7"/>
      <c r="AE16846" s="7"/>
      <c r="AF16846" s="7"/>
    </row>
    <row r="16847" spans="1:32">
      <c r="A16847" s="7"/>
      <c r="B16847" s="7"/>
      <c r="C16847" s="7"/>
      <c r="D16847" s="7"/>
      <c r="E16847" s="7"/>
      <c r="F16847" s="7"/>
      <c r="G16847" s="7"/>
      <c r="H16847" s="7"/>
      <c r="I16847" s="7"/>
      <c r="J16847" s="7"/>
      <c r="K16847" s="7"/>
      <c r="L16847" s="7"/>
      <c r="M16847" s="7"/>
      <c r="N16847" s="7"/>
      <c r="O16847" s="7"/>
      <c r="P16847" s="7"/>
      <c r="Q16847" s="7"/>
      <c r="R16847" s="7"/>
      <c r="S16847" s="7"/>
      <c r="T16847" s="7"/>
      <c r="U16847" s="7"/>
      <c r="V16847" s="7"/>
      <c r="W16847" s="7"/>
      <c r="X16847" s="7"/>
      <c r="Y16847" s="7"/>
      <c r="Z16847" s="7"/>
      <c r="AA16847" s="7"/>
      <c r="AB16847" s="7"/>
      <c r="AC16847" s="7"/>
      <c r="AD16847" s="7"/>
      <c r="AE16847" s="7"/>
      <c r="AF16847" s="7"/>
    </row>
    <row r="16848" spans="1:32">
      <c r="A16848" s="7"/>
      <c r="B16848" s="7"/>
      <c r="C16848" s="7"/>
      <c r="D16848" s="7"/>
      <c r="E16848" s="7"/>
      <c r="F16848" s="7"/>
      <c r="G16848" s="7"/>
      <c r="H16848" s="7"/>
      <c r="I16848" s="7"/>
      <c r="J16848" s="7"/>
      <c r="K16848" s="7"/>
      <c r="L16848" s="7"/>
      <c r="M16848" s="7"/>
      <c r="N16848" s="7"/>
      <c r="O16848" s="7"/>
      <c r="P16848" s="7"/>
      <c r="Q16848" s="7"/>
      <c r="R16848" s="7"/>
      <c r="S16848" s="7"/>
      <c r="T16848" s="7"/>
      <c r="U16848" s="7"/>
      <c r="V16848" s="7"/>
      <c r="W16848" s="7"/>
      <c r="X16848" s="7"/>
      <c r="Y16848" s="7"/>
      <c r="Z16848" s="7"/>
      <c r="AA16848" s="7"/>
      <c r="AB16848" s="7"/>
      <c r="AC16848" s="7"/>
      <c r="AD16848" s="7"/>
      <c r="AE16848" s="7"/>
      <c r="AF16848" s="7"/>
    </row>
    <row r="16849" spans="1:32">
      <c r="A16849" s="7"/>
      <c r="B16849" s="7"/>
      <c r="C16849" s="7"/>
      <c r="D16849" s="7"/>
      <c r="E16849" s="7"/>
      <c r="F16849" s="7"/>
      <c r="G16849" s="7"/>
      <c r="H16849" s="7"/>
      <c r="I16849" s="7"/>
      <c r="J16849" s="7"/>
      <c r="K16849" s="7"/>
      <c r="L16849" s="7"/>
      <c r="M16849" s="7"/>
      <c r="N16849" s="7"/>
      <c r="O16849" s="7"/>
      <c r="P16849" s="7"/>
      <c r="Q16849" s="7"/>
      <c r="R16849" s="7"/>
      <c r="S16849" s="7"/>
      <c r="T16849" s="7"/>
      <c r="U16849" s="7"/>
      <c r="V16849" s="7"/>
      <c r="W16849" s="7"/>
      <c r="X16849" s="7"/>
      <c r="Y16849" s="7"/>
      <c r="Z16849" s="7"/>
      <c r="AA16849" s="7"/>
      <c r="AB16849" s="7"/>
      <c r="AC16849" s="7"/>
      <c r="AD16849" s="7"/>
      <c r="AE16849" s="7"/>
      <c r="AF16849" s="7"/>
    </row>
    <row r="16850" spans="1:32">
      <c r="A16850" s="7"/>
      <c r="B16850" s="7"/>
      <c r="C16850" s="7"/>
      <c r="D16850" s="7"/>
      <c r="E16850" s="7"/>
      <c r="F16850" s="7"/>
      <c r="G16850" s="7"/>
      <c r="H16850" s="7"/>
      <c r="I16850" s="7"/>
      <c r="J16850" s="7"/>
      <c r="K16850" s="7"/>
      <c r="L16850" s="7"/>
      <c r="M16850" s="7"/>
      <c r="N16850" s="7"/>
      <c r="O16850" s="7"/>
      <c r="P16850" s="7"/>
      <c r="Q16850" s="7"/>
      <c r="R16850" s="7"/>
      <c r="S16850" s="7"/>
      <c r="T16850" s="7"/>
      <c r="U16850" s="7"/>
      <c r="V16850" s="7"/>
      <c r="W16850" s="7"/>
      <c r="X16850" s="7"/>
      <c r="Y16850" s="7"/>
      <c r="Z16850" s="7"/>
      <c r="AA16850" s="7"/>
      <c r="AB16850" s="7"/>
      <c r="AC16850" s="7"/>
      <c r="AD16850" s="7"/>
      <c r="AE16850" s="7"/>
      <c r="AF16850" s="7"/>
    </row>
    <row r="16851" spans="1:32">
      <c r="A16851" s="7"/>
      <c r="B16851" s="7"/>
      <c r="C16851" s="7"/>
      <c r="D16851" s="7"/>
      <c r="E16851" s="7"/>
      <c r="F16851" s="7"/>
      <c r="G16851" s="7"/>
      <c r="H16851" s="7"/>
      <c r="I16851" s="7"/>
      <c r="J16851" s="7"/>
      <c r="K16851" s="7"/>
      <c r="L16851" s="7"/>
      <c r="M16851" s="7"/>
      <c r="N16851" s="7"/>
      <c r="O16851" s="7"/>
      <c r="P16851" s="7"/>
      <c r="Q16851" s="7"/>
      <c r="R16851" s="7"/>
      <c r="S16851" s="7"/>
      <c r="T16851" s="7"/>
      <c r="U16851" s="7"/>
      <c r="V16851" s="7"/>
      <c r="W16851" s="7"/>
      <c r="X16851" s="7"/>
      <c r="Y16851" s="7"/>
      <c r="Z16851" s="7"/>
      <c r="AA16851" s="7"/>
      <c r="AB16851" s="7"/>
      <c r="AC16851" s="7"/>
      <c r="AD16851" s="7"/>
      <c r="AE16851" s="7"/>
      <c r="AF16851" s="7"/>
    </row>
    <row r="16852" spans="1:32">
      <c r="A16852" s="7"/>
      <c r="B16852" s="7"/>
      <c r="C16852" s="7"/>
      <c r="D16852" s="7"/>
      <c r="E16852" s="7"/>
      <c r="F16852" s="7"/>
      <c r="G16852" s="7"/>
      <c r="H16852" s="7"/>
      <c r="I16852" s="7"/>
      <c r="J16852" s="7"/>
      <c r="K16852" s="7"/>
      <c r="L16852" s="7"/>
      <c r="M16852" s="7"/>
      <c r="N16852" s="7"/>
      <c r="O16852" s="7"/>
      <c r="P16852" s="7"/>
      <c r="Q16852" s="7"/>
      <c r="R16852" s="7"/>
      <c r="S16852" s="7"/>
      <c r="T16852" s="7"/>
      <c r="U16852" s="7"/>
      <c r="V16852" s="7"/>
      <c r="W16852" s="7"/>
      <c r="X16852" s="7"/>
      <c r="Y16852" s="7"/>
      <c r="Z16852" s="7"/>
      <c r="AA16852" s="7"/>
      <c r="AB16852" s="7"/>
      <c r="AC16852" s="7"/>
      <c r="AD16852" s="7"/>
      <c r="AE16852" s="7"/>
      <c r="AF16852" s="7"/>
    </row>
    <row r="16853" spans="1:32">
      <c r="A16853" s="7"/>
      <c r="B16853" s="7"/>
      <c r="C16853" s="7"/>
      <c r="D16853" s="7"/>
      <c r="E16853" s="7"/>
      <c r="F16853" s="7"/>
      <c r="G16853" s="7"/>
      <c r="H16853" s="7"/>
      <c r="I16853" s="7"/>
      <c r="J16853" s="7"/>
      <c r="K16853" s="7"/>
      <c r="L16853" s="7"/>
      <c r="M16853" s="7"/>
      <c r="N16853" s="7"/>
      <c r="O16853" s="7"/>
      <c r="P16853" s="7"/>
      <c r="Q16853" s="7"/>
      <c r="R16853" s="7"/>
      <c r="S16853" s="7"/>
      <c r="T16853" s="7"/>
      <c r="U16853" s="7"/>
      <c r="V16853" s="7"/>
      <c r="W16853" s="7"/>
      <c r="X16853" s="7"/>
      <c r="Y16853" s="7"/>
      <c r="Z16853" s="7"/>
      <c r="AA16853" s="7"/>
      <c r="AB16853" s="7"/>
      <c r="AC16853" s="7"/>
      <c r="AD16853" s="7"/>
      <c r="AE16853" s="7"/>
      <c r="AF16853" s="7"/>
    </row>
    <row r="16854" spans="1:32">
      <c r="A16854" s="7"/>
      <c r="B16854" s="7"/>
      <c r="C16854" s="7"/>
      <c r="D16854" s="7"/>
      <c r="E16854" s="7"/>
      <c r="F16854" s="7"/>
      <c r="G16854" s="7"/>
      <c r="H16854" s="7"/>
      <c r="I16854" s="7"/>
      <c r="J16854" s="7"/>
      <c r="K16854" s="7"/>
      <c r="L16854" s="7"/>
      <c r="M16854" s="7"/>
      <c r="N16854" s="7"/>
      <c r="O16854" s="7"/>
      <c r="P16854" s="7"/>
      <c r="Q16854" s="7"/>
      <c r="R16854" s="7"/>
      <c r="S16854" s="7"/>
      <c r="T16854" s="7"/>
      <c r="U16854" s="7"/>
      <c r="V16854" s="7"/>
      <c r="W16854" s="7"/>
      <c r="X16854" s="7"/>
      <c r="Y16854" s="7"/>
      <c r="Z16854" s="7"/>
      <c r="AA16854" s="7"/>
      <c r="AB16854" s="7"/>
      <c r="AC16854" s="7"/>
      <c r="AD16854" s="7"/>
      <c r="AE16854" s="7"/>
      <c r="AF16854" s="7"/>
    </row>
    <row r="16855" spans="1:32">
      <c r="A16855" s="7"/>
      <c r="B16855" s="7"/>
      <c r="C16855" s="7"/>
      <c r="D16855" s="7"/>
      <c r="E16855" s="7"/>
      <c r="F16855" s="7"/>
      <c r="G16855" s="7"/>
      <c r="H16855" s="7"/>
      <c r="I16855" s="7"/>
      <c r="J16855" s="7"/>
      <c r="K16855" s="7"/>
      <c r="L16855" s="7"/>
      <c r="M16855" s="7"/>
      <c r="N16855" s="7"/>
      <c r="O16855" s="7"/>
      <c r="P16855" s="7"/>
      <c r="Q16855" s="7"/>
      <c r="R16855" s="7"/>
      <c r="S16855" s="7"/>
      <c r="T16855" s="7"/>
      <c r="U16855" s="7"/>
      <c r="V16855" s="7"/>
      <c r="W16855" s="7"/>
      <c r="X16855" s="7"/>
      <c r="Y16855" s="7"/>
      <c r="Z16855" s="7"/>
      <c r="AA16855" s="7"/>
      <c r="AB16855" s="7"/>
      <c r="AC16855" s="7"/>
      <c r="AD16855" s="7"/>
      <c r="AE16855" s="7"/>
      <c r="AF16855" s="7"/>
    </row>
    <row r="16856" spans="1:32">
      <c r="A16856" s="7"/>
      <c r="B16856" s="7"/>
      <c r="C16856" s="7"/>
      <c r="D16856" s="7"/>
      <c r="E16856" s="7"/>
      <c r="F16856" s="7"/>
      <c r="G16856" s="7"/>
      <c r="H16856" s="7"/>
      <c r="I16856" s="7"/>
      <c r="J16856" s="7"/>
      <c r="K16856" s="7"/>
      <c r="L16856" s="7"/>
      <c r="M16856" s="7"/>
      <c r="N16856" s="7"/>
      <c r="O16856" s="7"/>
      <c r="P16856" s="7"/>
      <c r="Q16856" s="7"/>
      <c r="R16856" s="7"/>
      <c r="S16856" s="7"/>
      <c r="T16856" s="7"/>
      <c r="U16856" s="7"/>
      <c r="V16856" s="7"/>
      <c r="W16856" s="7"/>
      <c r="X16856" s="7"/>
      <c r="Y16856" s="7"/>
      <c r="Z16856" s="7"/>
      <c r="AA16856" s="7"/>
      <c r="AB16856" s="7"/>
      <c r="AC16856" s="7"/>
      <c r="AD16856" s="7"/>
      <c r="AE16856" s="7"/>
      <c r="AF16856" s="7"/>
    </row>
    <row r="16857" spans="1:32">
      <c r="A16857" s="7"/>
      <c r="B16857" s="7"/>
      <c r="C16857" s="7"/>
      <c r="D16857" s="7"/>
      <c r="E16857" s="7"/>
      <c r="F16857" s="7"/>
      <c r="G16857" s="7"/>
      <c r="H16857" s="7"/>
      <c r="I16857" s="7"/>
      <c r="J16857" s="7"/>
      <c r="K16857" s="7"/>
      <c r="L16857" s="7"/>
      <c r="M16857" s="7"/>
      <c r="N16857" s="7"/>
      <c r="O16857" s="7"/>
      <c r="P16857" s="7"/>
      <c r="Q16857" s="7"/>
      <c r="R16857" s="7"/>
      <c r="S16857" s="7"/>
      <c r="T16857" s="7"/>
      <c r="U16857" s="7"/>
      <c r="V16857" s="7"/>
      <c r="W16857" s="7"/>
      <c r="X16857" s="7"/>
      <c r="Y16857" s="7"/>
      <c r="Z16857" s="7"/>
      <c r="AA16857" s="7"/>
      <c r="AB16857" s="7"/>
      <c r="AC16857" s="7"/>
      <c r="AD16857" s="7"/>
      <c r="AE16857" s="7"/>
      <c r="AF16857" s="7"/>
    </row>
    <row r="16858" spans="1:32">
      <c r="A16858" s="7"/>
      <c r="B16858" s="7"/>
      <c r="C16858" s="7"/>
      <c r="D16858" s="7"/>
      <c r="E16858" s="7"/>
      <c r="F16858" s="7"/>
      <c r="G16858" s="7"/>
      <c r="H16858" s="7"/>
      <c r="I16858" s="7"/>
      <c r="J16858" s="7"/>
      <c r="K16858" s="7"/>
      <c r="L16858" s="7"/>
      <c r="M16858" s="7"/>
      <c r="N16858" s="7"/>
      <c r="O16858" s="7"/>
      <c r="P16858" s="7"/>
      <c r="Q16858" s="7"/>
      <c r="R16858" s="7"/>
      <c r="S16858" s="7"/>
      <c r="T16858" s="7"/>
      <c r="U16858" s="7"/>
      <c r="V16858" s="7"/>
      <c r="W16858" s="7"/>
      <c r="X16858" s="7"/>
      <c r="Y16858" s="7"/>
      <c r="Z16858" s="7"/>
      <c r="AA16858" s="7"/>
      <c r="AB16858" s="7"/>
      <c r="AC16858" s="7"/>
      <c r="AD16858" s="7"/>
      <c r="AE16858" s="7"/>
      <c r="AF16858" s="7"/>
    </row>
    <row r="16859" spans="1:32">
      <c r="A16859" s="7"/>
      <c r="B16859" s="7"/>
      <c r="C16859" s="7"/>
      <c r="D16859" s="7"/>
      <c r="E16859" s="7"/>
      <c r="F16859" s="7"/>
      <c r="G16859" s="7"/>
      <c r="H16859" s="7"/>
      <c r="I16859" s="7"/>
      <c r="J16859" s="7"/>
      <c r="K16859" s="7"/>
      <c r="L16859" s="7"/>
      <c r="M16859" s="7"/>
      <c r="N16859" s="7"/>
      <c r="O16859" s="7"/>
      <c r="P16859" s="7"/>
      <c r="Q16859" s="7"/>
      <c r="R16859" s="7"/>
      <c r="S16859" s="7"/>
      <c r="T16859" s="7"/>
      <c r="U16859" s="7"/>
      <c r="V16859" s="7"/>
      <c r="W16859" s="7"/>
      <c r="X16859" s="7"/>
      <c r="Y16859" s="7"/>
      <c r="Z16859" s="7"/>
      <c r="AA16859" s="7"/>
      <c r="AB16859" s="7"/>
      <c r="AC16859" s="7"/>
      <c r="AD16859" s="7"/>
      <c r="AE16859" s="7"/>
      <c r="AF16859" s="7"/>
    </row>
    <row r="16860" spans="1:32">
      <c r="A16860" s="7"/>
      <c r="B16860" s="7"/>
      <c r="C16860" s="7"/>
      <c r="D16860" s="7"/>
      <c r="E16860" s="7"/>
      <c r="F16860" s="7"/>
      <c r="G16860" s="7"/>
      <c r="H16860" s="7"/>
      <c r="I16860" s="7"/>
      <c r="J16860" s="7"/>
      <c r="K16860" s="7"/>
      <c r="L16860" s="7"/>
      <c r="M16860" s="7"/>
      <c r="N16860" s="7"/>
      <c r="O16860" s="7"/>
      <c r="P16860" s="7"/>
      <c r="Q16860" s="7"/>
      <c r="R16860" s="7"/>
      <c r="S16860" s="7"/>
      <c r="T16860" s="7"/>
      <c r="U16860" s="7"/>
      <c r="V16860" s="7"/>
      <c r="W16860" s="7"/>
      <c r="X16860" s="7"/>
      <c r="Y16860" s="7"/>
      <c r="Z16860" s="7"/>
      <c r="AA16860" s="7"/>
      <c r="AB16860" s="7"/>
      <c r="AC16860" s="7"/>
      <c r="AD16860" s="7"/>
      <c r="AE16860" s="7"/>
      <c r="AF16860" s="7"/>
    </row>
    <row r="16861" spans="1:32">
      <c r="A16861" s="7"/>
      <c r="B16861" s="7"/>
      <c r="C16861" s="7"/>
      <c r="D16861" s="7"/>
      <c r="E16861" s="7"/>
      <c r="F16861" s="7"/>
      <c r="G16861" s="7"/>
      <c r="H16861" s="7"/>
      <c r="I16861" s="7"/>
      <c r="J16861" s="7"/>
      <c r="K16861" s="7"/>
      <c r="L16861" s="7"/>
      <c r="M16861" s="7"/>
      <c r="N16861" s="7"/>
      <c r="O16861" s="7"/>
      <c r="P16861" s="7"/>
      <c r="Q16861" s="7"/>
      <c r="R16861" s="7"/>
      <c r="S16861" s="7"/>
      <c r="T16861" s="7"/>
      <c r="U16861" s="7"/>
      <c r="V16861" s="7"/>
      <c r="W16861" s="7"/>
      <c r="X16861" s="7"/>
      <c r="Y16861" s="7"/>
      <c r="Z16861" s="7"/>
      <c r="AA16861" s="7"/>
      <c r="AB16861" s="7"/>
      <c r="AC16861" s="7"/>
      <c r="AD16861" s="7"/>
      <c r="AE16861" s="7"/>
      <c r="AF16861" s="7"/>
    </row>
    <row r="16862" spans="1:32">
      <c r="A16862" s="7"/>
      <c r="B16862" s="7"/>
      <c r="C16862" s="7"/>
      <c r="D16862" s="7"/>
      <c r="E16862" s="7"/>
      <c r="F16862" s="7"/>
      <c r="G16862" s="7"/>
      <c r="H16862" s="7"/>
      <c r="I16862" s="7"/>
      <c r="J16862" s="7"/>
      <c r="K16862" s="7"/>
      <c r="L16862" s="7"/>
      <c r="M16862" s="7"/>
      <c r="N16862" s="7"/>
      <c r="O16862" s="7"/>
      <c r="P16862" s="7"/>
      <c r="Q16862" s="7"/>
      <c r="R16862" s="7"/>
      <c r="S16862" s="7"/>
      <c r="T16862" s="7"/>
      <c r="U16862" s="7"/>
      <c r="V16862" s="7"/>
      <c r="W16862" s="7"/>
      <c r="X16862" s="7"/>
      <c r="Y16862" s="7"/>
      <c r="Z16862" s="7"/>
      <c r="AA16862" s="7"/>
      <c r="AB16862" s="7"/>
      <c r="AC16862" s="7"/>
      <c r="AD16862" s="7"/>
      <c r="AE16862" s="7"/>
      <c r="AF16862" s="7"/>
    </row>
    <row r="16863" spans="1:32">
      <c r="A16863" s="7"/>
      <c r="B16863" s="7"/>
      <c r="C16863" s="7"/>
      <c r="D16863" s="7"/>
      <c r="E16863" s="7"/>
      <c r="F16863" s="7"/>
      <c r="G16863" s="7"/>
      <c r="H16863" s="7"/>
      <c r="I16863" s="7"/>
      <c r="J16863" s="7"/>
      <c r="K16863" s="7"/>
      <c r="L16863" s="7"/>
      <c r="M16863" s="7"/>
      <c r="N16863" s="7"/>
      <c r="O16863" s="7"/>
      <c r="P16863" s="7"/>
      <c r="Q16863" s="7"/>
      <c r="R16863" s="7"/>
      <c r="S16863" s="7"/>
      <c r="T16863" s="7"/>
      <c r="U16863" s="7"/>
      <c r="V16863" s="7"/>
      <c r="W16863" s="7"/>
      <c r="X16863" s="7"/>
      <c r="Y16863" s="7"/>
      <c r="Z16863" s="7"/>
      <c r="AA16863" s="7"/>
      <c r="AB16863" s="7"/>
      <c r="AC16863" s="7"/>
      <c r="AD16863" s="7"/>
      <c r="AE16863" s="7"/>
      <c r="AF16863" s="7"/>
    </row>
    <row r="16864" spans="1:32">
      <c r="A16864" s="7"/>
      <c r="B16864" s="7"/>
      <c r="C16864" s="7"/>
      <c r="D16864" s="7"/>
      <c r="E16864" s="7"/>
      <c r="F16864" s="7"/>
      <c r="G16864" s="7"/>
      <c r="H16864" s="7"/>
      <c r="I16864" s="7"/>
      <c r="J16864" s="7"/>
      <c r="K16864" s="7"/>
      <c r="L16864" s="7"/>
      <c r="M16864" s="7"/>
      <c r="N16864" s="7"/>
      <c r="O16864" s="7"/>
      <c r="P16864" s="7"/>
      <c r="Q16864" s="7"/>
      <c r="R16864" s="7"/>
      <c r="S16864" s="7"/>
      <c r="T16864" s="7"/>
      <c r="U16864" s="7"/>
      <c r="V16864" s="7"/>
      <c r="W16864" s="7"/>
      <c r="X16864" s="7"/>
      <c r="Y16864" s="7"/>
      <c r="Z16864" s="7"/>
      <c r="AA16864" s="7"/>
      <c r="AB16864" s="7"/>
      <c r="AC16864" s="7"/>
      <c r="AD16864" s="7"/>
      <c r="AE16864" s="7"/>
      <c r="AF16864" s="7"/>
    </row>
    <row r="16865" spans="1:32">
      <c r="A16865" s="7"/>
      <c r="B16865" s="7"/>
      <c r="C16865" s="7"/>
      <c r="D16865" s="7"/>
      <c r="E16865" s="7"/>
      <c r="F16865" s="7"/>
      <c r="G16865" s="7"/>
      <c r="H16865" s="7"/>
      <c r="I16865" s="7"/>
      <c r="J16865" s="7"/>
      <c r="K16865" s="7"/>
      <c r="L16865" s="7"/>
      <c r="M16865" s="7"/>
      <c r="N16865" s="7"/>
      <c r="O16865" s="7"/>
      <c r="P16865" s="7"/>
      <c r="Q16865" s="7"/>
      <c r="R16865" s="7"/>
      <c r="S16865" s="7"/>
      <c r="T16865" s="7"/>
      <c r="U16865" s="7"/>
      <c r="V16865" s="7"/>
      <c r="W16865" s="7"/>
      <c r="X16865" s="7"/>
      <c r="Y16865" s="7"/>
      <c r="Z16865" s="7"/>
      <c r="AA16865" s="7"/>
      <c r="AB16865" s="7"/>
      <c r="AC16865" s="7"/>
      <c r="AD16865" s="7"/>
      <c r="AE16865" s="7"/>
      <c r="AF16865" s="7"/>
    </row>
    <row r="16866" spans="1:32">
      <c r="A16866" s="7"/>
      <c r="B16866" s="7"/>
      <c r="C16866" s="7"/>
      <c r="D16866" s="7"/>
      <c r="E16866" s="7"/>
      <c r="F16866" s="7"/>
      <c r="G16866" s="7"/>
      <c r="H16866" s="7"/>
      <c r="I16866" s="7"/>
      <c r="J16866" s="7"/>
      <c r="K16866" s="7"/>
      <c r="L16866" s="7"/>
      <c r="M16866" s="7"/>
      <c r="N16866" s="7"/>
      <c r="O16866" s="7"/>
      <c r="P16866" s="7"/>
      <c r="Q16866" s="7"/>
      <c r="R16866" s="7"/>
      <c r="S16866" s="7"/>
      <c r="T16866" s="7"/>
      <c r="U16866" s="7"/>
      <c r="V16866" s="7"/>
      <c r="W16866" s="7"/>
      <c r="X16866" s="7"/>
      <c r="Y16866" s="7"/>
      <c r="Z16866" s="7"/>
      <c r="AA16866" s="7"/>
      <c r="AB16866" s="7"/>
      <c r="AC16866" s="7"/>
      <c r="AD16866" s="7"/>
      <c r="AE16866" s="7"/>
      <c r="AF16866" s="7"/>
    </row>
    <row r="16867" spans="1:32">
      <c r="A16867" s="7"/>
      <c r="B16867" s="7"/>
      <c r="C16867" s="7"/>
      <c r="D16867" s="7"/>
      <c r="E16867" s="7"/>
      <c r="F16867" s="7"/>
      <c r="G16867" s="7"/>
      <c r="H16867" s="7"/>
      <c r="I16867" s="7"/>
      <c r="J16867" s="7"/>
      <c r="K16867" s="7"/>
      <c r="L16867" s="7"/>
      <c r="M16867" s="7"/>
      <c r="N16867" s="7"/>
      <c r="O16867" s="7"/>
      <c r="P16867" s="7"/>
      <c r="Q16867" s="7"/>
      <c r="R16867" s="7"/>
      <c r="S16867" s="7"/>
      <c r="T16867" s="7"/>
      <c r="U16867" s="7"/>
      <c r="V16867" s="7"/>
      <c r="W16867" s="7"/>
      <c r="X16867" s="7"/>
      <c r="Y16867" s="7"/>
      <c r="Z16867" s="7"/>
      <c r="AA16867" s="7"/>
      <c r="AB16867" s="7"/>
      <c r="AC16867" s="7"/>
      <c r="AD16867" s="7"/>
      <c r="AE16867" s="7"/>
      <c r="AF16867" s="7"/>
    </row>
    <row r="16868" spans="1:32">
      <c r="A16868" s="7"/>
      <c r="B16868" s="7"/>
      <c r="C16868" s="7"/>
      <c r="D16868" s="7"/>
      <c r="E16868" s="7"/>
      <c r="F16868" s="7"/>
      <c r="G16868" s="7"/>
      <c r="H16868" s="7"/>
      <c r="I16868" s="7"/>
      <c r="J16868" s="7"/>
      <c r="K16868" s="7"/>
      <c r="L16868" s="7"/>
      <c r="M16868" s="7"/>
      <c r="N16868" s="7"/>
      <c r="O16868" s="7"/>
      <c r="P16868" s="7"/>
      <c r="Q16868" s="7"/>
      <c r="R16868" s="7"/>
      <c r="S16868" s="7"/>
      <c r="T16868" s="7"/>
      <c r="U16868" s="7"/>
      <c r="V16868" s="7"/>
      <c r="W16868" s="7"/>
      <c r="X16868" s="7"/>
      <c r="Y16868" s="7"/>
      <c r="Z16868" s="7"/>
      <c r="AA16868" s="7"/>
      <c r="AB16868" s="7"/>
      <c r="AC16868" s="7"/>
      <c r="AD16868" s="7"/>
      <c r="AE16868" s="7"/>
      <c r="AF16868" s="7"/>
    </row>
    <row r="16869" spans="1:32">
      <c r="A16869" s="7"/>
      <c r="B16869" s="7"/>
      <c r="C16869" s="7"/>
      <c r="D16869" s="7"/>
      <c r="E16869" s="7"/>
      <c r="F16869" s="7"/>
      <c r="G16869" s="7"/>
      <c r="H16869" s="7"/>
      <c r="I16869" s="7"/>
      <c r="J16869" s="7"/>
      <c r="K16869" s="7"/>
      <c r="L16869" s="7"/>
      <c r="M16869" s="7"/>
      <c r="N16869" s="7"/>
      <c r="O16869" s="7"/>
      <c r="P16869" s="7"/>
      <c r="Q16869" s="7"/>
      <c r="R16869" s="7"/>
      <c r="S16869" s="7"/>
      <c r="T16869" s="7"/>
      <c r="U16869" s="7"/>
      <c r="V16869" s="7"/>
      <c r="W16869" s="7"/>
      <c r="X16869" s="7"/>
      <c r="Y16869" s="7"/>
      <c r="Z16869" s="7"/>
      <c r="AA16869" s="7"/>
      <c r="AB16869" s="7"/>
      <c r="AC16869" s="7"/>
      <c r="AD16869" s="7"/>
      <c r="AE16869" s="7"/>
      <c r="AF16869" s="7"/>
    </row>
    <row r="16870" spans="1:32">
      <c r="A16870" s="7"/>
      <c r="B16870" s="7"/>
      <c r="C16870" s="7"/>
      <c r="D16870" s="7"/>
      <c r="E16870" s="7"/>
      <c r="F16870" s="7"/>
      <c r="G16870" s="7"/>
      <c r="H16870" s="7"/>
      <c r="I16870" s="7"/>
      <c r="J16870" s="7"/>
      <c r="K16870" s="7"/>
      <c r="L16870" s="7"/>
      <c r="M16870" s="7"/>
      <c r="N16870" s="7"/>
      <c r="O16870" s="7"/>
      <c r="P16870" s="7"/>
      <c r="Q16870" s="7"/>
      <c r="R16870" s="7"/>
      <c r="S16870" s="7"/>
      <c r="T16870" s="7"/>
      <c r="U16870" s="7"/>
      <c r="V16870" s="7"/>
      <c r="W16870" s="7"/>
      <c r="X16870" s="7"/>
      <c r="Y16870" s="7"/>
      <c r="Z16870" s="7"/>
      <c r="AA16870" s="7"/>
      <c r="AB16870" s="7"/>
      <c r="AC16870" s="7"/>
      <c r="AD16870" s="7"/>
      <c r="AE16870" s="7"/>
      <c r="AF16870" s="7"/>
    </row>
    <row r="16871" spans="1:32">
      <c r="A16871" s="7"/>
      <c r="B16871" s="7"/>
      <c r="C16871" s="7"/>
      <c r="D16871" s="7"/>
      <c r="E16871" s="7"/>
      <c r="F16871" s="7"/>
      <c r="G16871" s="7"/>
      <c r="H16871" s="7"/>
      <c r="I16871" s="7"/>
      <c r="J16871" s="7"/>
      <c r="K16871" s="7"/>
      <c r="L16871" s="7"/>
      <c r="M16871" s="7"/>
      <c r="N16871" s="7"/>
      <c r="O16871" s="7"/>
      <c r="P16871" s="7"/>
      <c r="Q16871" s="7"/>
      <c r="R16871" s="7"/>
      <c r="S16871" s="7"/>
      <c r="T16871" s="7"/>
      <c r="U16871" s="7"/>
      <c r="V16871" s="7"/>
      <c r="W16871" s="7"/>
      <c r="X16871" s="7"/>
      <c r="Y16871" s="7"/>
      <c r="Z16871" s="7"/>
      <c r="AA16871" s="7"/>
      <c r="AB16871" s="7"/>
      <c r="AC16871" s="7"/>
      <c r="AD16871" s="7"/>
      <c r="AE16871" s="7"/>
      <c r="AF16871" s="7"/>
    </row>
    <row r="16872" spans="1:32">
      <c r="A16872" s="7"/>
      <c r="B16872" s="7"/>
      <c r="C16872" s="7"/>
      <c r="D16872" s="7"/>
      <c r="E16872" s="7"/>
      <c r="F16872" s="7"/>
      <c r="G16872" s="7"/>
      <c r="H16872" s="7"/>
      <c r="I16872" s="7"/>
      <c r="J16872" s="7"/>
      <c r="K16872" s="7"/>
      <c r="L16872" s="7"/>
      <c r="M16872" s="7"/>
      <c r="N16872" s="7"/>
      <c r="O16872" s="7"/>
      <c r="P16872" s="7"/>
      <c r="Q16872" s="7"/>
      <c r="R16872" s="7"/>
      <c r="S16872" s="7"/>
      <c r="T16872" s="7"/>
      <c r="U16872" s="7"/>
      <c r="V16872" s="7"/>
      <c r="W16872" s="7"/>
      <c r="X16872" s="7"/>
      <c r="Y16872" s="7"/>
      <c r="Z16872" s="7"/>
      <c r="AA16872" s="7"/>
      <c r="AB16872" s="7"/>
      <c r="AC16872" s="7"/>
      <c r="AD16872" s="7"/>
      <c r="AE16872" s="7"/>
      <c r="AF16872" s="7"/>
    </row>
    <row r="16873" spans="1:32">
      <c r="A16873" s="7"/>
      <c r="B16873" s="7"/>
      <c r="C16873" s="7"/>
      <c r="D16873" s="7"/>
      <c r="E16873" s="7"/>
      <c r="F16873" s="7"/>
      <c r="G16873" s="7"/>
      <c r="H16873" s="7"/>
      <c r="I16873" s="7"/>
      <c r="J16873" s="7"/>
      <c r="K16873" s="7"/>
      <c r="L16873" s="7"/>
      <c r="M16873" s="7"/>
      <c r="N16873" s="7"/>
      <c r="O16873" s="7"/>
      <c r="P16873" s="7"/>
      <c r="Q16873" s="7"/>
      <c r="R16873" s="7"/>
      <c r="S16873" s="7"/>
      <c r="T16873" s="7"/>
      <c r="U16873" s="7"/>
      <c r="V16873" s="7"/>
      <c r="W16873" s="7"/>
      <c r="X16873" s="7"/>
      <c r="Y16873" s="7"/>
      <c r="Z16873" s="7"/>
      <c r="AA16873" s="7"/>
      <c r="AB16873" s="7"/>
      <c r="AC16873" s="7"/>
      <c r="AD16873" s="7"/>
      <c r="AE16873" s="7"/>
      <c r="AF16873" s="7"/>
    </row>
    <row r="16874" spans="1:32">
      <c r="A16874" s="7"/>
      <c r="B16874" s="7"/>
      <c r="C16874" s="7"/>
      <c r="D16874" s="7"/>
      <c r="E16874" s="7"/>
      <c r="F16874" s="7"/>
      <c r="G16874" s="7"/>
      <c r="H16874" s="7"/>
      <c r="I16874" s="7"/>
      <c r="J16874" s="7"/>
      <c r="K16874" s="7"/>
      <c r="L16874" s="7"/>
      <c r="M16874" s="7"/>
      <c r="N16874" s="7"/>
      <c r="O16874" s="7"/>
      <c r="P16874" s="7"/>
      <c r="Q16874" s="7"/>
      <c r="R16874" s="7"/>
      <c r="S16874" s="7"/>
      <c r="T16874" s="7"/>
      <c r="U16874" s="7"/>
      <c r="V16874" s="7"/>
      <c r="W16874" s="7"/>
      <c r="X16874" s="7"/>
      <c r="Y16874" s="7"/>
      <c r="Z16874" s="7"/>
      <c r="AA16874" s="7"/>
      <c r="AB16874" s="7"/>
      <c r="AC16874" s="7"/>
      <c r="AD16874" s="7"/>
      <c r="AE16874" s="7"/>
      <c r="AF16874" s="7"/>
    </row>
    <row r="16875" spans="1:32">
      <c r="A16875" s="7"/>
      <c r="B16875" s="7"/>
      <c r="C16875" s="7"/>
      <c r="D16875" s="7"/>
      <c r="E16875" s="7"/>
      <c r="F16875" s="7"/>
      <c r="G16875" s="7"/>
      <c r="H16875" s="7"/>
      <c r="I16875" s="7"/>
      <c r="J16875" s="7"/>
      <c r="K16875" s="7"/>
      <c r="L16875" s="7"/>
      <c r="M16875" s="7"/>
      <c r="N16875" s="7"/>
      <c r="O16875" s="7"/>
      <c r="P16875" s="7"/>
      <c r="Q16875" s="7"/>
      <c r="R16875" s="7"/>
      <c r="S16875" s="7"/>
      <c r="T16875" s="7"/>
      <c r="U16875" s="7"/>
      <c r="V16875" s="7"/>
      <c r="W16875" s="7"/>
      <c r="X16875" s="7"/>
      <c r="Y16875" s="7"/>
      <c r="Z16875" s="7"/>
      <c r="AA16875" s="7"/>
      <c r="AB16875" s="7"/>
      <c r="AC16875" s="7"/>
      <c r="AD16875" s="7"/>
      <c r="AE16875" s="7"/>
      <c r="AF16875" s="7"/>
    </row>
    <row r="16876" spans="1:32">
      <c r="A16876" s="7"/>
      <c r="B16876" s="7"/>
      <c r="C16876" s="7"/>
      <c r="D16876" s="7"/>
      <c r="E16876" s="7"/>
      <c r="F16876" s="7"/>
      <c r="G16876" s="7"/>
      <c r="H16876" s="7"/>
      <c r="I16876" s="7"/>
      <c r="J16876" s="7"/>
      <c r="K16876" s="7"/>
      <c r="L16876" s="7"/>
      <c r="M16876" s="7"/>
      <c r="N16876" s="7"/>
      <c r="O16876" s="7"/>
      <c r="P16876" s="7"/>
      <c r="Q16876" s="7"/>
      <c r="R16876" s="7"/>
      <c r="S16876" s="7"/>
      <c r="T16876" s="7"/>
      <c r="U16876" s="7"/>
      <c r="V16876" s="7"/>
      <c r="W16876" s="7"/>
      <c r="X16876" s="7"/>
      <c r="Y16876" s="7"/>
      <c r="Z16876" s="7"/>
      <c r="AA16876" s="7"/>
      <c r="AB16876" s="7"/>
      <c r="AC16876" s="7"/>
      <c r="AD16876" s="7"/>
      <c r="AE16876" s="7"/>
      <c r="AF16876" s="7"/>
    </row>
    <row r="16877" spans="1:32">
      <c r="A16877" s="7"/>
      <c r="B16877" s="7"/>
      <c r="C16877" s="7"/>
      <c r="D16877" s="7"/>
      <c r="E16877" s="7"/>
      <c r="F16877" s="7"/>
      <c r="G16877" s="7"/>
      <c r="H16877" s="7"/>
      <c r="I16877" s="7"/>
      <c r="J16877" s="7"/>
      <c r="K16877" s="7"/>
      <c r="L16877" s="7"/>
      <c r="M16877" s="7"/>
      <c r="N16877" s="7"/>
      <c r="O16877" s="7"/>
      <c r="P16877" s="7"/>
      <c r="Q16877" s="7"/>
      <c r="R16877" s="7"/>
      <c r="S16877" s="7"/>
      <c r="T16877" s="7"/>
      <c r="U16877" s="7"/>
      <c r="V16877" s="7"/>
      <c r="W16877" s="7"/>
      <c r="X16877" s="7"/>
      <c r="Y16877" s="7"/>
      <c r="Z16877" s="7"/>
      <c r="AA16877" s="7"/>
      <c r="AB16877" s="7"/>
      <c r="AC16877" s="7"/>
      <c r="AD16877" s="7"/>
      <c r="AE16877" s="7"/>
      <c r="AF16877" s="7"/>
    </row>
    <row r="16878" spans="1:32">
      <c r="A16878" s="7"/>
      <c r="B16878" s="7"/>
      <c r="C16878" s="7"/>
      <c r="D16878" s="7"/>
      <c r="E16878" s="7"/>
      <c r="F16878" s="7"/>
      <c r="G16878" s="7"/>
      <c r="H16878" s="7"/>
      <c r="I16878" s="7"/>
      <c r="J16878" s="7"/>
      <c r="K16878" s="7"/>
      <c r="L16878" s="7"/>
      <c r="M16878" s="7"/>
      <c r="N16878" s="7"/>
      <c r="O16878" s="7"/>
      <c r="P16878" s="7"/>
      <c r="Q16878" s="7"/>
      <c r="R16878" s="7"/>
      <c r="S16878" s="7"/>
      <c r="T16878" s="7"/>
      <c r="U16878" s="7"/>
      <c r="V16878" s="7"/>
      <c r="W16878" s="7"/>
      <c r="X16878" s="7"/>
      <c r="Y16878" s="7"/>
      <c r="Z16878" s="7"/>
      <c r="AA16878" s="7"/>
      <c r="AB16878" s="7"/>
      <c r="AC16878" s="7"/>
      <c r="AD16878" s="7"/>
      <c r="AE16878" s="7"/>
      <c r="AF16878" s="7"/>
    </row>
    <row r="16879" spans="1:32">
      <c r="A16879" s="7"/>
      <c r="B16879" s="7"/>
      <c r="C16879" s="7"/>
      <c r="D16879" s="7"/>
      <c r="E16879" s="7"/>
      <c r="F16879" s="7"/>
      <c r="G16879" s="7"/>
      <c r="H16879" s="7"/>
      <c r="I16879" s="7"/>
      <c r="J16879" s="7"/>
      <c r="K16879" s="7"/>
      <c r="L16879" s="7"/>
      <c r="M16879" s="7"/>
      <c r="N16879" s="7"/>
      <c r="O16879" s="7"/>
      <c r="P16879" s="7"/>
      <c r="Q16879" s="7"/>
      <c r="R16879" s="7"/>
      <c r="S16879" s="7"/>
      <c r="T16879" s="7"/>
      <c r="U16879" s="7"/>
      <c r="V16879" s="7"/>
      <c r="W16879" s="7"/>
      <c r="X16879" s="7"/>
      <c r="Y16879" s="7"/>
      <c r="Z16879" s="7"/>
      <c r="AA16879" s="7"/>
      <c r="AB16879" s="7"/>
      <c r="AC16879" s="7"/>
      <c r="AD16879" s="7"/>
      <c r="AE16879" s="7"/>
      <c r="AF16879" s="7"/>
    </row>
    <row r="16880" spans="1:32">
      <c r="A16880" s="7"/>
      <c r="B16880" s="7"/>
      <c r="C16880" s="7"/>
      <c r="D16880" s="7"/>
      <c r="E16880" s="7"/>
      <c r="F16880" s="7"/>
      <c r="G16880" s="7"/>
      <c r="H16880" s="7"/>
      <c r="I16880" s="7"/>
      <c r="J16880" s="7"/>
      <c r="K16880" s="7"/>
      <c r="L16880" s="7"/>
      <c r="M16880" s="7"/>
      <c r="N16880" s="7"/>
      <c r="O16880" s="7"/>
      <c r="P16880" s="7"/>
      <c r="Q16880" s="7"/>
      <c r="R16880" s="7"/>
      <c r="S16880" s="7"/>
      <c r="T16880" s="7"/>
      <c r="U16880" s="7"/>
      <c r="V16880" s="7"/>
      <c r="W16880" s="7"/>
      <c r="X16880" s="7"/>
      <c r="Y16880" s="7"/>
      <c r="Z16880" s="7"/>
      <c r="AA16880" s="7"/>
      <c r="AB16880" s="7"/>
      <c r="AC16880" s="7"/>
      <c r="AD16880" s="7"/>
      <c r="AE16880" s="7"/>
      <c r="AF16880" s="7"/>
    </row>
    <row r="16881" spans="1:32">
      <c r="A16881" s="7"/>
      <c r="B16881" s="7"/>
      <c r="C16881" s="7"/>
      <c r="D16881" s="7"/>
      <c r="E16881" s="7"/>
      <c r="F16881" s="7"/>
      <c r="G16881" s="7"/>
      <c r="H16881" s="7"/>
      <c r="I16881" s="7"/>
      <c r="J16881" s="7"/>
      <c r="K16881" s="7"/>
      <c r="L16881" s="7"/>
      <c r="M16881" s="7"/>
      <c r="N16881" s="7"/>
      <c r="O16881" s="7"/>
      <c r="P16881" s="7"/>
      <c r="Q16881" s="7"/>
      <c r="R16881" s="7"/>
      <c r="S16881" s="7"/>
      <c r="T16881" s="7"/>
      <c r="U16881" s="7"/>
      <c r="V16881" s="7"/>
      <c r="W16881" s="7"/>
      <c r="X16881" s="7"/>
      <c r="Y16881" s="7"/>
      <c r="Z16881" s="7"/>
      <c r="AA16881" s="7"/>
      <c r="AB16881" s="7"/>
      <c r="AC16881" s="7"/>
      <c r="AD16881" s="7"/>
      <c r="AE16881" s="7"/>
      <c r="AF16881" s="7"/>
    </row>
    <row r="16882" spans="1:32">
      <c r="A16882" s="7"/>
      <c r="B16882" s="7"/>
      <c r="C16882" s="7"/>
      <c r="D16882" s="7"/>
      <c r="E16882" s="7"/>
      <c r="F16882" s="7"/>
      <c r="G16882" s="7"/>
      <c r="H16882" s="7"/>
      <c r="I16882" s="7"/>
      <c r="J16882" s="7"/>
      <c r="K16882" s="7"/>
      <c r="L16882" s="7"/>
      <c r="M16882" s="7"/>
      <c r="N16882" s="7"/>
      <c r="O16882" s="7"/>
      <c r="P16882" s="7"/>
      <c r="Q16882" s="7"/>
      <c r="R16882" s="7"/>
      <c r="S16882" s="7"/>
      <c r="T16882" s="7"/>
      <c r="U16882" s="7"/>
      <c r="V16882" s="7"/>
      <c r="W16882" s="7"/>
      <c r="X16882" s="7"/>
      <c r="Y16882" s="7"/>
      <c r="Z16882" s="7"/>
      <c r="AA16882" s="7"/>
      <c r="AB16882" s="7"/>
      <c r="AC16882" s="7"/>
      <c r="AD16882" s="7"/>
      <c r="AE16882" s="7"/>
      <c r="AF16882" s="7"/>
    </row>
    <row r="16883" spans="1:32">
      <c r="A16883" s="7"/>
      <c r="B16883" s="7"/>
      <c r="C16883" s="7"/>
      <c r="D16883" s="7"/>
      <c r="E16883" s="7"/>
      <c r="F16883" s="7"/>
      <c r="G16883" s="7"/>
      <c r="H16883" s="7"/>
      <c r="I16883" s="7"/>
      <c r="J16883" s="7"/>
      <c r="K16883" s="7"/>
      <c r="L16883" s="7"/>
      <c r="M16883" s="7"/>
      <c r="N16883" s="7"/>
      <c r="O16883" s="7"/>
      <c r="P16883" s="7"/>
      <c r="Q16883" s="7"/>
      <c r="R16883" s="7"/>
      <c r="S16883" s="7"/>
      <c r="T16883" s="7"/>
      <c r="U16883" s="7"/>
      <c r="V16883" s="7"/>
      <c r="W16883" s="7"/>
      <c r="X16883" s="7"/>
      <c r="Y16883" s="7"/>
      <c r="Z16883" s="7"/>
      <c r="AA16883" s="7"/>
      <c r="AB16883" s="7"/>
      <c r="AC16883" s="7"/>
      <c r="AD16883" s="7"/>
      <c r="AE16883" s="7"/>
      <c r="AF16883" s="7"/>
    </row>
    <row r="16884" spans="1:32">
      <c r="A16884" s="7"/>
      <c r="B16884" s="7"/>
      <c r="C16884" s="7"/>
      <c r="D16884" s="7"/>
      <c r="E16884" s="7"/>
      <c r="F16884" s="7"/>
      <c r="G16884" s="7"/>
      <c r="H16884" s="7"/>
      <c r="I16884" s="7"/>
      <c r="J16884" s="7"/>
      <c r="K16884" s="7"/>
      <c r="L16884" s="7"/>
      <c r="M16884" s="7"/>
      <c r="N16884" s="7"/>
      <c r="O16884" s="7"/>
      <c r="P16884" s="7"/>
      <c r="Q16884" s="7"/>
      <c r="R16884" s="7"/>
      <c r="S16884" s="7"/>
      <c r="T16884" s="7"/>
      <c r="U16884" s="7"/>
      <c r="V16884" s="7"/>
      <c r="W16884" s="7"/>
      <c r="X16884" s="7"/>
      <c r="Y16884" s="7"/>
      <c r="Z16884" s="7"/>
      <c r="AA16884" s="7"/>
      <c r="AB16884" s="7"/>
      <c r="AC16884" s="7"/>
      <c r="AD16884" s="7"/>
      <c r="AE16884" s="7"/>
      <c r="AF16884" s="7"/>
    </row>
    <row r="16885" spans="1:32">
      <c r="A16885" s="7"/>
      <c r="B16885" s="7"/>
      <c r="C16885" s="7"/>
      <c r="D16885" s="7"/>
      <c r="E16885" s="7"/>
      <c r="F16885" s="7"/>
      <c r="G16885" s="7"/>
      <c r="H16885" s="7"/>
      <c r="I16885" s="7"/>
      <c r="J16885" s="7"/>
      <c r="K16885" s="7"/>
      <c r="L16885" s="7"/>
      <c r="M16885" s="7"/>
      <c r="N16885" s="7"/>
      <c r="O16885" s="7"/>
      <c r="P16885" s="7"/>
      <c r="Q16885" s="7"/>
      <c r="R16885" s="7"/>
      <c r="S16885" s="7"/>
      <c r="T16885" s="7"/>
      <c r="U16885" s="7"/>
      <c r="V16885" s="7"/>
      <c r="W16885" s="7"/>
      <c r="X16885" s="7"/>
      <c r="Y16885" s="7"/>
      <c r="Z16885" s="7"/>
      <c r="AA16885" s="7"/>
      <c r="AB16885" s="7"/>
      <c r="AC16885" s="7"/>
      <c r="AD16885" s="7"/>
      <c r="AE16885" s="7"/>
      <c r="AF16885" s="7"/>
    </row>
    <row r="16886" spans="1:32">
      <c r="A16886" s="7"/>
      <c r="B16886" s="7"/>
      <c r="C16886" s="7"/>
      <c r="D16886" s="7"/>
      <c r="E16886" s="7"/>
      <c r="F16886" s="7"/>
      <c r="G16886" s="7"/>
      <c r="H16886" s="7"/>
      <c r="I16886" s="7"/>
      <c r="J16886" s="7"/>
      <c r="K16886" s="7"/>
      <c r="L16886" s="7"/>
      <c r="M16886" s="7"/>
      <c r="N16886" s="7"/>
      <c r="O16886" s="7"/>
      <c r="P16886" s="7"/>
      <c r="Q16886" s="7"/>
      <c r="R16886" s="7"/>
      <c r="S16886" s="7"/>
      <c r="T16886" s="7"/>
      <c r="U16886" s="7"/>
      <c r="V16886" s="7"/>
      <c r="W16886" s="7"/>
      <c r="X16886" s="7"/>
      <c r="Y16886" s="7"/>
      <c r="Z16886" s="7"/>
      <c r="AA16886" s="7"/>
      <c r="AB16886" s="7"/>
      <c r="AC16886" s="7"/>
      <c r="AD16886" s="7"/>
      <c r="AE16886" s="7"/>
      <c r="AF16886" s="7"/>
    </row>
    <row r="16887" spans="1:32">
      <c r="A16887" s="7"/>
      <c r="B16887" s="7"/>
      <c r="C16887" s="7"/>
      <c r="D16887" s="7"/>
      <c r="E16887" s="7"/>
      <c r="F16887" s="7"/>
      <c r="G16887" s="7"/>
      <c r="H16887" s="7"/>
      <c r="I16887" s="7"/>
      <c r="J16887" s="7"/>
      <c r="K16887" s="7"/>
      <c r="L16887" s="7"/>
      <c r="M16887" s="7"/>
      <c r="N16887" s="7"/>
      <c r="O16887" s="7"/>
      <c r="P16887" s="7"/>
      <c r="Q16887" s="7"/>
      <c r="R16887" s="7"/>
      <c r="S16887" s="7"/>
      <c r="T16887" s="7"/>
      <c r="U16887" s="7"/>
      <c r="V16887" s="7"/>
      <c r="W16887" s="7"/>
      <c r="X16887" s="7"/>
      <c r="Y16887" s="7"/>
      <c r="Z16887" s="7"/>
      <c r="AA16887" s="7"/>
      <c r="AB16887" s="7"/>
      <c r="AC16887" s="7"/>
      <c r="AD16887" s="7"/>
      <c r="AE16887" s="7"/>
      <c r="AF16887" s="7"/>
    </row>
    <row r="16888" spans="1:32">
      <c r="A16888" s="7"/>
      <c r="B16888" s="7"/>
      <c r="C16888" s="7"/>
      <c r="D16888" s="7"/>
      <c r="E16888" s="7"/>
      <c r="F16888" s="7"/>
      <c r="G16888" s="7"/>
      <c r="H16888" s="7"/>
      <c r="I16888" s="7"/>
      <c r="J16888" s="7"/>
      <c r="K16888" s="7"/>
      <c r="L16888" s="7"/>
      <c r="M16888" s="7"/>
      <c r="N16888" s="7"/>
      <c r="O16888" s="7"/>
      <c r="P16888" s="7"/>
      <c r="Q16888" s="7"/>
      <c r="R16888" s="7"/>
      <c r="S16888" s="7"/>
      <c r="T16888" s="7"/>
      <c r="U16888" s="7"/>
      <c r="V16888" s="7"/>
      <c r="W16888" s="7"/>
      <c r="X16888" s="7"/>
      <c r="Y16888" s="7"/>
      <c r="Z16888" s="7"/>
      <c r="AA16888" s="7"/>
      <c r="AB16888" s="7"/>
      <c r="AC16888" s="7"/>
      <c r="AD16888" s="7"/>
      <c r="AE16888" s="7"/>
      <c r="AF16888" s="7"/>
    </row>
    <row r="16889" spans="1:32">
      <c r="A16889" s="7"/>
      <c r="B16889" s="7"/>
      <c r="C16889" s="7"/>
      <c r="D16889" s="7"/>
      <c r="E16889" s="7"/>
      <c r="F16889" s="7"/>
      <c r="G16889" s="7"/>
      <c r="H16889" s="7"/>
      <c r="I16889" s="7"/>
      <c r="J16889" s="7"/>
      <c r="K16889" s="7"/>
      <c r="L16889" s="7"/>
      <c r="M16889" s="7"/>
      <c r="N16889" s="7"/>
      <c r="O16889" s="7"/>
      <c r="P16889" s="7"/>
      <c r="Q16889" s="7"/>
      <c r="R16889" s="7"/>
      <c r="S16889" s="7"/>
      <c r="T16889" s="7"/>
      <c r="U16889" s="7"/>
      <c r="V16889" s="7"/>
      <c r="W16889" s="7"/>
      <c r="X16889" s="7"/>
      <c r="Y16889" s="7"/>
      <c r="Z16889" s="7"/>
      <c r="AA16889" s="7"/>
      <c r="AB16889" s="7"/>
      <c r="AC16889" s="7"/>
      <c r="AD16889" s="7"/>
      <c r="AE16889" s="7"/>
      <c r="AF16889" s="7"/>
    </row>
    <row r="16890" spans="1:32">
      <c r="A16890" s="7"/>
      <c r="B16890" s="7"/>
      <c r="C16890" s="7"/>
      <c r="D16890" s="7"/>
      <c r="E16890" s="7"/>
      <c r="F16890" s="7"/>
      <c r="G16890" s="7"/>
      <c r="H16890" s="7"/>
      <c r="I16890" s="7"/>
      <c r="J16890" s="7"/>
      <c r="K16890" s="7"/>
      <c r="L16890" s="7"/>
      <c r="M16890" s="7"/>
      <c r="N16890" s="7"/>
      <c r="O16890" s="7"/>
      <c r="P16890" s="7"/>
      <c r="Q16890" s="7"/>
      <c r="R16890" s="7"/>
      <c r="S16890" s="7"/>
      <c r="T16890" s="7"/>
      <c r="U16890" s="7"/>
      <c r="V16890" s="7"/>
      <c r="W16890" s="7"/>
      <c r="X16890" s="7"/>
      <c r="Y16890" s="7"/>
      <c r="Z16890" s="7"/>
      <c r="AA16890" s="7"/>
      <c r="AB16890" s="7"/>
      <c r="AC16890" s="7"/>
      <c r="AD16890" s="7"/>
      <c r="AE16890" s="7"/>
      <c r="AF16890" s="7"/>
    </row>
    <row r="16891" spans="1:32">
      <c r="A16891" s="7"/>
      <c r="B16891" s="7"/>
      <c r="C16891" s="7"/>
      <c r="D16891" s="7"/>
      <c r="E16891" s="7"/>
      <c r="F16891" s="7"/>
      <c r="G16891" s="7"/>
      <c r="H16891" s="7"/>
      <c r="I16891" s="7"/>
      <c r="J16891" s="7"/>
      <c r="K16891" s="7"/>
      <c r="L16891" s="7"/>
      <c r="M16891" s="7"/>
      <c r="N16891" s="7"/>
      <c r="O16891" s="7"/>
      <c r="P16891" s="7"/>
      <c r="Q16891" s="7"/>
      <c r="R16891" s="7"/>
      <c r="S16891" s="7"/>
      <c r="T16891" s="7"/>
      <c r="U16891" s="7"/>
      <c r="V16891" s="7"/>
      <c r="W16891" s="7"/>
      <c r="X16891" s="7"/>
      <c r="Y16891" s="7"/>
      <c r="Z16891" s="7"/>
      <c r="AA16891" s="7"/>
      <c r="AB16891" s="7"/>
      <c r="AC16891" s="7"/>
      <c r="AD16891" s="7"/>
      <c r="AE16891" s="7"/>
      <c r="AF16891" s="7"/>
    </row>
    <row r="16892" spans="1:32">
      <c r="A16892" s="7"/>
      <c r="B16892" s="7"/>
      <c r="C16892" s="7"/>
      <c r="D16892" s="7"/>
      <c r="E16892" s="7"/>
      <c r="F16892" s="7"/>
      <c r="G16892" s="7"/>
      <c r="H16892" s="7"/>
      <c r="I16892" s="7"/>
      <c r="J16892" s="7"/>
      <c r="K16892" s="7"/>
      <c r="L16892" s="7"/>
      <c r="M16892" s="7"/>
      <c r="N16892" s="7"/>
      <c r="O16892" s="7"/>
      <c r="P16892" s="7"/>
      <c r="Q16892" s="7"/>
      <c r="R16892" s="7"/>
      <c r="S16892" s="7"/>
      <c r="T16892" s="7"/>
      <c r="U16892" s="7"/>
      <c r="V16892" s="7"/>
      <c r="W16892" s="7"/>
      <c r="X16892" s="7"/>
      <c r="Y16892" s="7"/>
      <c r="Z16892" s="7"/>
      <c r="AA16892" s="7"/>
      <c r="AB16892" s="7"/>
      <c r="AC16892" s="7"/>
      <c r="AD16892" s="7"/>
      <c r="AE16892" s="7"/>
      <c r="AF16892" s="7"/>
    </row>
    <row r="16893" spans="1:32">
      <c r="A16893" s="7"/>
      <c r="B16893" s="7"/>
      <c r="C16893" s="7"/>
      <c r="D16893" s="7"/>
      <c r="E16893" s="7"/>
      <c r="F16893" s="7"/>
      <c r="G16893" s="7"/>
      <c r="H16893" s="7"/>
      <c r="I16893" s="7"/>
      <c r="J16893" s="7"/>
      <c r="K16893" s="7"/>
      <c r="L16893" s="7"/>
      <c r="M16893" s="7"/>
      <c r="N16893" s="7"/>
      <c r="O16893" s="7"/>
      <c r="P16893" s="7"/>
      <c r="Q16893" s="7"/>
      <c r="R16893" s="7"/>
      <c r="S16893" s="7"/>
      <c r="T16893" s="7"/>
      <c r="U16893" s="7"/>
      <c r="V16893" s="7"/>
      <c r="W16893" s="7"/>
      <c r="X16893" s="7"/>
      <c r="Y16893" s="7"/>
      <c r="Z16893" s="7"/>
      <c r="AA16893" s="7"/>
      <c r="AB16893" s="7"/>
      <c r="AC16893" s="7"/>
      <c r="AD16893" s="7"/>
      <c r="AE16893" s="7"/>
      <c r="AF16893" s="7"/>
    </row>
    <row r="16894" spans="1:32">
      <c r="A16894" s="7"/>
      <c r="B16894" s="7"/>
      <c r="C16894" s="7"/>
      <c r="D16894" s="7"/>
      <c r="E16894" s="7"/>
      <c r="F16894" s="7"/>
      <c r="G16894" s="7"/>
      <c r="H16894" s="7"/>
      <c r="I16894" s="7"/>
      <c r="J16894" s="7"/>
      <c r="K16894" s="7"/>
      <c r="L16894" s="7"/>
      <c r="M16894" s="7"/>
      <c r="N16894" s="7"/>
      <c r="O16894" s="7"/>
      <c r="P16894" s="7"/>
      <c r="Q16894" s="7"/>
      <c r="R16894" s="7"/>
      <c r="S16894" s="7"/>
      <c r="T16894" s="7"/>
      <c r="U16894" s="7"/>
      <c r="V16894" s="7"/>
      <c r="W16894" s="7"/>
      <c r="X16894" s="7"/>
      <c r="Y16894" s="7"/>
      <c r="Z16894" s="7"/>
      <c r="AA16894" s="7"/>
      <c r="AB16894" s="7"/>
      <c r="AC16894" s="7"/>
      <c r="AD16894" s="7"/>
      <c r="AE16894" s="7"/>
      <c r="AF16894" s="7"/>
    </row>
    <row r="16895" spans="1:32">
      <c r="A16895" s="7"/>
      <c r="B16895" s="7"/>
      <c r="C16895" s="7"/>
      <c r="D16895" s="7"/>
      <c r="E16895" s="7"/>
      <c r="F16895" s="7"/>
      <c r="G16895" s="7"/>
      <c r="H16895" s="7"/>
      <c r="I16895" s="7"/>
      <c r="J16895" s="7"/>
      <c r="K16895" s="7"/>
      <c r="L16895" s="7"/>
      <c r="M16895" s="7"/>
      <c r="N16895" s="7"/>
      <c r="O16895" s="7"/>
      <c r="P16895" s="7"/>
      <c r="Q16895" s="7"/>
      <c r="R16895" s="7"/>
      <c r="S16895" s="7"/>
      <c r="T16895" s="7"/>
      <c r="U16895" s="7"/>
      <c r="V16895" s="7"/>
      <c r="W16895" s="7"/>
      <c r="X16895" s="7"/>
      <c r="Y16895" s="7"/>
      <c r="Z16895" s="7"/>
      <c r="AA16895" s="7"/>
      <c r="AB16895" s="7"/>
      <c r="AC16895" s="7"/>
      <c r="AD16895" s="7"/>
      <c r="AE16895" s="7"/>
      <c r="AF16895" s="7"/>
    </row>
    <row r="16896" spans="1:32">
      <c r="A16896" s="7"/>
      <c r="B16896" s="7"/>
      <c r="C16896" s="7"/>
      <c r="D16896" s="7"/>
      <c r="E16896" s="7"/>
      <c r="F16896" s="7"/>
      <c r="G16896" s="7"/>
      <c r="H16896" s="7"/>
      <c r="I16896" s="7"/>
      <c r="J16896" s="7"/>
      <c r="K16896" s="7"/>
      <c r="L16896" s="7"/>
      <c r="M16896" s="7"/>
      <c r="N16896" s="7"/>
      <c r="O16896" s="7"/>
      <c r="P16896" s="7"/>
      <c r="Q16896" s="7"/>
      <c r="R16896" s="7"/>
      <c r="S16896" s="7"/>
      <c r="T16896" s="7"/>
      <c r="U16896" s="7"/>
      <c r="V16896" s="7"/>
      <c r="W16896" s="7"/>
      <c r="X16896" s="7"/>
      <c r="Y16896" s="7"/>
      <c r="Z16896" s="7"/>
      <c r="AA16896" s="7"/>
      <c r="AB16896" s="7"/>
      <c r="AC16896" s="7"/>
      <c r="AD16896" s="7"/>
      <c r="AE16896" s="7"/>
      <c r="AF16896" s="7"/>
    </row>
    <row r="16897" spans="1:32">
      <c r="A16897" s="7"/>
      <c r="B16897" s="7"/>
      <c r="C16897" s="7"/>
      <c r="D16897" s="7"/>
      <c r="E16897" s="7"/>
      <c r="F16897" s="7"/>
      <c r="G16897" s="7"/>
      <c r="H16897" s="7"/>
      <c r="I16897" s="7"/>
      <c r="J16897" s="7"/>
      <c r="K16897" s="7"/>
      <c r="L16897" s="7"/>
      <c r="M16897" s="7"/>
      <c r="N16897" s="7"/>
      <c r="O16897" s="7"/>
      <c r="P16897" s="7"/>
      <c r="Q16897" s="7"/>
      <c r="R16897" s="7"/>
      <c r="S16897" s="7"/>
      <c r="T16897" s="7"/>
      <c r="U16897" s="7"/>
      <c r="V16897" s="7"/>
      <c r="W16897" s="7"/>
      <c r="X16897" s="7"/>
      <c r="Y16897" s="7"/>
      <c r="Z16897" s="7"/>
      <c r="AA16897" s="7"/>
      <c r="AB16897" s="7"/>
      <c r="AC16897" s="7"/>
      <c r="AD16897" s="7"/>
      <c r="AE16897" s="7"/>
      <c r="AF16897" s="7"/>
    </row>
    <row r="16898" spans="1:32">
      <c r="A16898" s="7"/>
      <c r="B16898" s="7"/>
      <c r="C16898" s="7"/>
      <c r="D16898" s="7"/>
      <c r="E16898" s="7"/>
      <c r="F16898" s="7"/>
      <c r="G16898" s="7"/>
      <c r="H16898" s="7"/>
      <c r="I16898" s="7"/>
      <c r="J16898" s="7"/>
      <c r="K16898" s="7"/>
      <c r="L16898" s="7"/>
      <c r="M16898" s="7"/>
      <c r="N16898" s="7"/>
      <c r="O16898" s="7"/>
      <c r="P16898" s="7"/>
      <c r="Q16898" s="7"/>
      <c r="R16898" s="7"/>
      <c r="S16898" s="7"/>
      <c r="T16898" s="7"/>
      <c r="U16898" s="7"/>
      <c r="V16898" s="7"/>
      <c r="W16898" s="7"/>
      <c r="X16898" s="7"/>
      <c r="Y16898" s="7"/>
      <c r="Z16898" s="7"/>
      <c r="AA16898" s="7"/>
      <c r="AB16898" s="7"/>
      <c r="AC16898" s="7"/>
      <c r="AD16898" s="7"/>
      <c r="AE16898" s="7"/>
      <c r="AF16898" s="7"/>
    </row>
    <row r="16899" spans="1:32">
      <c r="A16899" s="7"/>
      <c r="B16899" s="7"/>
      <c r="C16899" s="7"/>
      <c r="D16899" s="7"/>
      <c r="E16899" s="7"/>
      <c r="F16899" s="7"/>
      <c r="G16899" s="7"/>
      <c r="H16899" s="7"/>
      <c r="I16899" s="7"/>
      <c r="J16899" s="7"/>
      <c r="K16899" s="7"/>
      <c r="L16899" s="7"/>
      <c r="M16899" s="7"/>
      <c r="N16899" s="7"/>
      <c r="O16899" s="7"/>
      <c r="P16899" s="7"/>
      <c r="Q16899" s="7"/>
      <c r="R16899" s="7"/>
      <c r="S16899" s="7"/>
      <c r="T16899" s="7"/>
      <c r="U16899" s="7"/>
      <c r="V16899" s="7"/>
      <c r="W16899" s="7"/>
      <c r="X16899" s="7"/>
      <c r="Y16899" s="7"/>
      <c r="Z16899" s="7"/>
      <c r="AA16899" s="7"/>
      <c r="AB16899" s="7"/>
      <c r="AC16899" s="7"/>
      <c r="AD16899" s="7"/>
      <c r="AE16899" s="7"/>
      <c r="AF16899" s="7"/>
    </row>
    <row r="16900" spans="1:32">
      <c r="A16900" s="7"/>
      <c r="B16900" s="7"/>
      <c r="C16900" s="7"/>
      <c r="D16900" s="7"/>
      <c r="E16900" s="7"/>
      <c r="F16900" s="7"/>
      <c r="G16900" s="7"/>
      <c r="H16900" s="7"/>
      <c r="I16900" s="7"/>
      <c r="J16900" s="7"/>
      <c r="K16900" s="7"/>
      <c r="L16900" s="7"/>
      <c r="M16900" s="7"/>
      <c r="N16900" s="7"/>
      <c r="O16900" s="7"/>
      <c r="P16900" s="7"/>
      <c r="Q16900" s="7"/>
      <c r="R16900" s="7"/>
      <c r="S16900" s="7"/>
      <c r="T16900" s="7"/>
      <c r="U16900" s="7"/>
      <c r="V16900" s="7"/>
      <c r="W16900" s="7"/>
      <c r="X16900" s="7"/>
      <c r="Y16900" s="7"/>
      <c r="Z16900" s="7"/>
      <c r="AA16900" s="7"/>
      <c r="AB16900" s="7"/>
      <c r="AC16900" s="7"/>
      <c r="AD16900" s="7"/>
      <c r="AE16900" s="7"/>
      <c r="AF16900" s="7"/>
    </row>
    <row r="16901" spans="1:32">
      <c r="A16901" s="7"/>
      <c r="B16901" s="7"/>
      <c r="C16901" s="7"/>
      <c r="D16901" s="7"/>
      <c r="E16901" s="7"/>
      <c r="F16901" s="7"/>
      <c r="G16901" s="7"/>
      <c r="H16901" s="7"/>
      <c r="I16901" s="7"/>
      <c r="J16901" s="7"/>
      <c r="K16901" s="7"/>
      <c r="L16901" s="7"/>
      <c r="M16901" s="7"/>
      <c r="N16901" s="7"/>
      <c r="O16901" s="7"/>
      <c r="P16901" s="7"/>
      <c r="Q16901" s="7"/>
      <c r="R16901" s="7"/>
      <c r="S16901" s="7"/>
      <c r="T16901" s="7"/>
      <c r="U16901" s="7"/>
      <c r="V16901" s="7"/>
      <c r="W16901" s="7"/>
      <c r="X16901" s="7"/>
      <c r="Y16901" s="7"/>
      <c r="Z16901" s="7"/>
      <c r="AA16901" s="7"/>
      <c r="AB16901" s="7"/>
      <c r="AC16901" s="7"/>
      <c r="AD16901" s="7"/>
      <c r="AE16901" s="7"/>
      <c r="AF16901" s="7"/>
    </row>
    <row r="16902" spans="1:32">
      <c r="A16902" s="7"/>
      <c r="B16902" s="7"/>
      <c r="C16902" s="7"/>
      <c r="D16902" s="7"/>
      <c r="E16902" s="7"/>
      <c r="F16902" s="7"/>
      <c r="G16902" s="7"/>
      <c r="H16902" s="7"/>
      <c r="I16902" s="7"/>
      <c r="J16902" s="7"/>
      <c r="K16902" s="7"/>
      <c r="L16902" s="7"/>
      <c r="M16902" s="7"/>
      <c r="N16902" s="7"/>
      <c r="O16902" s="7"/>
      <c r="P16902" s="7"/>
      <c r="Q16902" s="7"/>
      <c r="R16902" s="7"/>
      <c r="S16902" s="7"/>
      <c r="T16902" s="7"/>
      <c r="U16902" s="7"/>
      <c r="V16902" s="7"/>
      <c r="W16902" s="7"/>
      <c r="X16902" s="7"/>
      <c r="Y16902" s="7"/>
      <c r="Z16902" s="7"/>
      <c r="AA16902" s="7"/>
      <c r="AB16902" s="7"/>
      <c r="AC16902" s="7"/>
      <c r="AD16902" s="7"/>
      <c r="AE16902" s="7"/>
      <c r="AF16902" s="7"/>
    </row>
    <row r="16903" spans="1:32">
      <c r="A16903" s="7"/>
      <c r="B16903" s="7"/>
      <c r="C16903" s="7"/>
      <c r="D16903" s="7"/>
      <c r="E16903" s="7"/>
      <c r="F16903" s="7"/>
      <c r="G16903" s="7"/>
      <c r="H16903" s="7"/>
      <c r="I16903" s="7"/>
      <c r="J16903" s="7"/>
      <c r="K16903" s="7"/>
      <c r="L16903" s="7"/>
      <c r="M16903" s="7"/>
      <c r="N16903" s="7"/>
      <c r="O16903" s="7"/>
      <c r="P16903" s="7"/>
      <c r="Q16903" s="7"/>
      <c r="R16903" s="7"/>
      <c r="S16903" s="7"/>
      <c r="T16903" s="7"/>
      <c r="U16903" s="7"/>
      <c r="V16903" s="7"/>
      <c r="W16903" s="7"/>
      <c r="X16903" s="7"/>
      <c r="Y16903" s="7"/>
      <c r="Z16903" s="7"/>
      <c r="AA16903" s="7"/>
      <c r="AB16903" s="7"/>
      <c r="AC16903" s="7"/>
      <c r="AD16903" s="7"/>
      <c r="AE16903" s="7"/>
      <c r="AF16903" s="7"/>
    </row>
    <row r="16904" spans="1:32">
      <c r="A16904" s="7"/>
      <c r="B16904" s="7"/>
      <c r="C16904" s="7"/>
      <c r="D16904" s="7"/>
      <c r="E16904" s="7"/>
      <c r="F16904" s="7"/>
      <c r="G16904" s="7"/>
      <c r="H16904" s="7"/>
      <c r="I16904" s="7"/>
      <c r="J16904" s="7"/>
      <c r="K16904" s="7"/>
      <c r="L16904" s="7"/>
      <c r="M16904" s="7"/>
      <c r="N16904" s="7"/>
      <c r="O16904" s="7"/>
      <c r="P16904" s="7"/>
      <c r="Q16904" s="7"/>
      <c r="R16904" s="7"/>
      <c r="S16904" s="7"/>
      <c r="T16904" s="7"/>
      <c r="U16904" s="7"/>
      <c r="V16904" s="7"/>
      <c r="W16904" s="7"/>
      <c r="X16904" s="7"/>
      <c r="Y16904" s="7"/>
      <c r="Z16904" s="7"/>
      <c r="AA16904" s="7"/>
      <c r="AB16904" s="7"/>
      <c r="AC16904" s="7"/>
      <c r="AD16904" s="7"/>
      <c r="AE16904" s="7"/>
      <c r="AF16904" s="7"/>
    </row>
    <row r="16905" spans="1:32">
      <c r="A16905" s="7"/>
      <c r="B16905" s="7"/>
      <c r="C16905" s="7"/>
      <c r="D16905" s="7"/>
      <c r="E16905" s="7"/>
      <c r="F16905" s="7"/>
      <c r="G16905" s="7"/>
      <c r="H16905" s="7"/>
      <c r="I16905" s="7"/>
      <c r="J16905" s="7"/>
      <c r="K16905" s="7"/>
      <c r="L16905" s="7"/>
      <c r="M16905" s="7"/>
      <c r="N16905" s="7"/>
      <c r="O16905" s="7"/>
      <c r="P16905" s="7"/>
      <c r="Q16905" s="7"/>
      <c r="R16905" s="7"/>
      <c r="S16905" s="7"/>
      <c r="T16905" s="7"/>
      <c r="U16905" s="7"/>
      <c r="V16905" s="7"/>
      <c r="W16905" s="7"/>
      <c r="X16905" s="7"/>
      <c r="Y16905" s="7"/>
      <c r="Z16905" s="7"/>
      <c r="AA16905" s="7"/>
      <c r="AB16905" s="7"/>
      <c r="AC16905" s="7"/>
      <c r="AD16905" s="7"/>
      <c r="AE16905" s="7"/>
      <c r="AF16905" s="7"/>
    </row>
    <row r="16906" spans="1:32">
      <c r="A16906" s="7"/>
      <c r="B16906" s="7"/>
      <c r="C16906" s="7"/>
      <c r="D16906" s="7"/>
      <c r="E16906" s="7"/>
      <c r="F16906" s="7"/>
      <c r="G16906" s="7"/>
      <c r="H16906" s="7"/>
      <c r="I16906" s="7"/>
      <c r="J16906" s="7"/>
      <c r="K16906" s="7"/>
      <c r="L16906" s="7"/>
      <c r="M16906" s="7"/>
      <c r="N16906" s="7"/>
      <c r="O16906" s="7"/>
      <c r="P16906" s="7"/>
      <c r="Q16906" s="7"/>
      <c r="R16906" s="7"/>
      <c r="S16906" s="7"/>
      <c r="T16906" s="7"/>
      <c r="U16906" s="7"/>
      <c r="V16906" s="7"/>
      <c r="W16906" s="7"/>
      <c r="X16906" s="7"/>
      <c r="Y16906" s="7"/>
      <c r="Z16906" s="7"/>
      <c r="AA16906" s="7"/>
      <c r="AB16906" s="7"/>
      <c r="AC16906" s="7"/>
      <c r="AD16906" s="7"/>
      <c r="AE16906" s="7"/>
      <c r="AF16906" s="7"/>
    </row>
    <row r="16907" spans="1:32">
      <c r="A16907" s="7"/>
      <c r="B16907" s="7"/>
      <c r="C16907" s="7"/>
      <c r="D16907" s="7"/>
      <c r="E16907" s="7"/>
      <c r="F16907" s="7"/>
      <c r="G16907" s="7"/>
      <c r="H16907" s="7"/>
      <c r="I16907" s="7"/>
      <c r="J16907" s="7"/>
      <c r="K16907" s="7"/>
      <c r="L16907" s="7"/>
      <c r="M16907" s="7"/>
      <c r="N16907" s="7"/>
      <c r="O16907" s="7"/>
      <c r="P16907" s="7"/>
      <c r="Q16907" s="7"/>
      <c r="R16907" s="7"/>
      <c r="S16907" s="7"/>
      <c r="T16907" s="7"/>
      <c r="U16907" s="7"/>
      <c r="V16907" s="7"/>
      <c r="W16907" s="7"/>
      <c r="X16907" s="7"/>
      <c r="Y16907" s="7"/>
      <c r="Z16907" s="7"/>
      <c r="AA16907" s="7"/>
      <c r="AB16907" s="7"/>
      <c r="AC16907" s="7"/>
      <c r="AD16907" s="7"/>
      <c r="AE16907" s="7"/>
      <c r="AF16907" s="7"/>
    </row>
    <row r="16908" spans="1:32">
      <c r="A16908" s="7"/>
      <c r="B16908" s="7"/>
      <c r="C16908" s="7"/>
      <c r="D16908" s="7"/>
      <c r="E16908" s="7"/>
      <c r="F16908" s="7"/>
      <c r="G16908" s="7"/>
      <c r="H16908" s="7"/>
      <c r="I16908" s="7"/>
      <c r="J16908" s="7"/>
      <c r="K16908" s="7"/>
      <c r="L16908" s="7"/>
      <c r="M16908" s="7"/>
      <c r="N16908" s="7"/>
      <c r="O16908" s="7"/>
      <c r="P16908" s="7"/>
      <c r="Q16908" s="7"/>
      <c r="R16908" s="7"/>
      <c r="S16908" s="7"/>
      <c r="T16908" s="7"/>
      <c r="U16908" s="7"/>
      <c r="V16908" s="7"/>
      <c r="W16908" s="7"/>
      <c r="X16908" s="7"/>
      <c r="Y16908" s="7"/>
      <c r="Z16908" s="7"/>
      <c r="AA16908" s="7"/>
      <c r="AB16908" s="7"/>
      <c r="AC16908" s="7"/>
      <c r="AD16908" s="7"/>
      <c r="AE16908" s="7"/>
      <c r="AF16908" s="7"/>
    </row>
    <row r="16909" spans="1:32">
      <c r="A16909" s="7"/>
      <c r="B16909" s="7"/>
      <c r="C16909" s="7"/>
      <c r="D16909" s="7"/>
      <c r="E16909" s="7"/>
      <c r="F16909" s="7"/>
      <c r="G16909" s="7"/>
      <c r="H16909" s="7"/>
      <c r="I16909" s="7"/>
      <c r="J16909" s="7"/>
      <c r="K16909" s="7"/>
      <c r="L16909" s="7"/>
      <c r="M16909" s="7"/>
      <c r="N16909" s="7"/>
      <c r="O16909" s="7"/>
      <c r="P16909" s="7"/>
      <c r="Q16909" s="7"/>
      <c r="R16909" s="7"/>
      <c r="S16909" s="7"/>
      <c r="T16909" s="7"/>
      <c r="U16909" s="7"/>
      <c r="V16909" s="7"/>
      <c r="W16909" s="7"/>
      <c r="X16909" s="7"/>
      <c r="Y16909" s="7"/>
      <c r="Z16909" s="7"/>
      <c r="AA16909" s="7"/>
      <c r="AB16909" s="7"/>
      <c r="AC16909" s="7"/>
      <c r="AD16909" s="7"/>
      <c r="AE16909" s="7"/>
      <c r="AF16909" s="7"/>
    </row>
    <row r="16910" spans="1:32">
      <c r="A16910" s="7"/>
      <c r="B16910" s="7"/>
      <c r="C16910" s="7"/>
      <c r="D16910" s="7"/>
      <c r="E16910" s="7"/>
      <c r="F16910" s="7"/>
      <c r="G16910" s="7"/>
      <c r="H16910" s="7"/>
      <c r="I16910" s="7"/>
      <c r="J16910" s="7"/>
      <c r="K16910" s="7"/>
      <c r="L16910" s="7"/>
      <c r="M16910" s="7"/>
      <c r="N16910" s="7"/>
      <c r="O16910" s="7"/>
      <c r="P16910" s="7"/>
      <c r="Q16910" s="7"/>
      <c r="R16910" s="7"/>
      <c r="S16910" s="7"/>
      <c r="T16910" s="7"/>
      <c r="U16910" s="7"/>
      <c r="V16910" s="7"/>
      <c r="W16910" s="7"/>
      <c r="X16910" s="7"/>
      <c r="Y16910" s="7"/>
      <c r="Z16910" s="7"/>
      <c r="AA16910" s="7"/>
      <c r="AB16910" s="7"/>
      <c r="AC16910" s="7"/>
      <c r="AD16910" s="7"/>
      <c r="AE16910" s="7"/>
      <c r="AF16910" s="7"/>
    </row>
    <row r="16911" spans="1:32">
      <c r="A16911" s="7"/>
      <c r="B16911" s="7"/>
      <c r="C16911" s="7"/>
      <c r="D16911" s="7"/>
      <c r="E16911" s="7"/>
      <c r="F16911" s="7"/>
      <c r="G16911" s="7"/>
      <c r="H16911" s="7"/>
      <c r="I16911" s="7"/>
      <c r="J16911" s="7"/>
      <c r="K16911" s="7"/>
      <c r="L16911" s="7"/>
      <c r="M16911" s="7"/>
      <c r="N16911" s="7"/>
      <c r="O16911" s="7"/>
      <c r="P16911" s="7"/>
      <c r="Q16911" s="7"/>
      <c r="R16911" s="7"/>
      <c r="S16911" s="7"/>
      <c r="T16911" s="7"/>
      <c r="U16911" s="7"/>
      <c r="V16911" s="7"/>
      <c r="W16911" s="7"/>
      <c r="X16911" s="7"/>
      <c r="Y16911" s="7"/>
      <c r="Z16911" s="7"/>
      <c r="AA16911" s="7"/>
      <c r="AB16911" s="7"/>
      <c r="AC16911" s="7"/>
      <c r="AD16911" s="7"/>
      <c r="AE16911" s="7"/>
      <c r="AF16911" s="7"/>
    </row>
    <row r="16912" spans="1:32">
      <c r="A16912" s="7"/>
      <c r="B16912" s="7"/>
      <c r="C16912" s="7"/>
      <c r="D16912" s="7"/>
      <c r="E16912" s="7"/>
      <c r="F16912" s="7"/>
      <c r="G16912" s="7"/>
      <c r="H16912" s="7"/>
      <c r="I16912" s="7"/>
      <c r="J16912" s="7"/>
      <c r="K16912" s="7"/>
      <c r="L16912" s="7"/>
      <c r="M16912" s="7"/>
      <c r="N16912" s="7"/>
      <c r="O16912" s="7"/>
      <c r="P16912" s="7"/>
      <c r="Q16912" s="7"/>
      <c r="R16912" s="7"/>
      <c r="S16912" s="7"/>
      <c r="T16912" s="7"/>
      <c r="U16912" s="7"/>
      <c r="V16912" s="7"/>
      <c r="W16912" s="7"/>
      <c r="X16912" s="7"/>
      <c r="Y16912" s="7"/>
      <c r="Z16912" s="7"/>
      <c r="AA16912" s="7"/>
      <c r="AB16912" s="7"/>
      <c r="AC16912" s="7"/>
      <c r="AD16912" s="7"/>
      <c r="AE16912" s="7"/>
      <c r="AF16912" s="7"/>
    </row>
    <row r="16913" spans="1:32">
      <c r="A16913" s="7"/>
      <c r="B16913" s="7"/>
      <c r="C16913" s="7"/>
      <c r="D16913" s="7"/>
      <c r="E16913" s="7"/>
      <c r="F16913" s="7"/>
      <c r="G16913" s="7"/>
      <c r="H16913" s="7"/>
      <c r="I16913" s="7"/>
      <c r="J16913" s="7"/>
      <c r="K16913" s="7"/>
      <c r="L16913" s="7"/>
      <c r="M16913" s="7"/>
      <c r="N16913" s="7"/>
      <c r="O16913" s="7"/>
      <c r="P16913" s="7"/>
      <c r="Q16913" s="7"/>
      <c r="R16913" s="7"/>
      <c r="S16913" s="7"/>
      <c r="T16913" s="7"/>
      <c r="U16913" s="7"/>
      <c r="V16913" s="7"/>
      <c r="W16913" s="7"/>
      <c r="X16913" s="7"/>
      <c r="Y16913" s="7"/>
      <c r="Z16913" s="7"/>
      <c r="AA16913" s="7"/>
      <c r="AB16913" s="7"/>
      <c r="AC16913" s="7"/>
      <c r="AD16913" s="7"/>
      <c r="AE16913" s="7"/>
      <c r="AF16913" s="7"/>
    </row>
    <row r="16914" spans="1:32">
      <c r="A16914" s="7"/>
      <c r="B16914" s="7"/>
      <c r="C16914" s="7"/>
      <c r="D16914" s="7"/>
      <c r="E16914" s="7"/>
      <c r="F16914" s="7"/>
      <c r="G16914" s="7"/>
      <c r="H16914" s="7"/>
      <c r="I16914" s="7"/>
      <c r="J16914" s="7"/>
      <c r="K16914" s="7"/>
      <c r="L16914" s="7"/>
      <c r="M16914" s="7"/>
      <c r="N16914" s="7"/>
      <c r="O16914" s="7"/>
      <c r="P16914" s="7"/>
      <c r="Q16914" s="7"/>
      <c r="R16914" s="7"/>
      <c r="S16914" s="7"/>
      <c r="T16914" s="7"/>
      <c r="U16914" s="7"/>
      <c r="V16914" s="7"/>
      <c r="W16914" s="7"/>
      <c r="X16914" s="7"/>
      <c r="Y16914" s="7"/>
      <c r="Z16914" s="7"/>
      <c r="AA16914" s="7"/>
      <c r="AB16914" s="7"/>
      <c r="AC16914" s="7"/>
      <c r="AD16914" s="7"/>
      <c r="AE16914" s="7"/>
      <c r="AF16914" s="7"/>
    </row>
    <row r="16915" spans="1:32">
      <c r="A16915" s="7"/>
      <c r="B16915" s="7"/>
      <c r="C16915" s="7"/>
      <c r="D16915" s="7"/>
      <c r="E16915" s="7"/>
      <c r="F16915" s="7"/>
      <c r="G16915" s="7"/>
      <c r="H16915" s="7"/>
      <c r="I16915" s="7"/>
      <c r="J16915" s="7"/>
      <c r="K16915" s="7"/>
      <c r="L16915" s="7"/>
      <c r="M16915" s="7"/>
      <c r="N16915" s="7"/>
      <c r="O16915" s="7"/>
      <c r="P16915" s="7"/>
      <c r="Q16915" s="7"/>
      <c r="R16915" s="7"/>
      <c r="S16915" s="7"/>
      <c r="T16915" s="7"/>
      <c r="U16915" s="7"/>
      <c r="V16915" s="7"/>
      <c r="W16915" s="7"/>
      <c r="X16915" s="7"/>
      <c r="Y16915" s="7"/>
      <c r="Z16915" s="7"/>
      <c r="AA16915" s="7"/>
      <c r="AB16915" s="7"/>
      <c r="AC16915" s="7"/>
      <c r="AD16915" s="7"/>
      <c r="AE16915" s="7"/>
      <c r="AF16915" s="7"/>
    </row>
    <row r="16916" spans="1:32">
      <c r="A16916" s="7"/>
      <c r="B16916" s="7"/>
      <c r="C16916" s="7"/>
      <c r="D16916" s="7"/>
      <c r="E16916" s="7"/>
      <c r="F16916" s="7"/>
      <c r="G16916" s="7"/>
      <c r="H16916" s="7"/>
      <c r="I16916" s="7"/>
      <c r="J16916" s="7"/>
      <c r="K16916" s="7"/>
      <c r="L16916" s="7"/>
      <c r="M16916" s="7"/>
      <c r="N16916" s="7"/>
      <c r="O16916" s="7"/>
      <c r="P16916" s="7"/>
      <c r="Q16916" s="7"/>
      <c r="R16916" s="7"/>
      <c r="S16916" s="7"/>
      <c r="T16916" s="7"/>
      <c r="U16916" s="7"/>
      <c r="V16916" s="7"/>
      <c r="W16916" s="7"/>
      <c r="X16916" s="7"/>
      <c r="Y16916" s="7"/>
      <c r="Z16916" s="7"/>
      <c r="AA16916" s="7"/>
      <c r="AB16916" s="7"/>
      <c r="AC16916" s="7"/>
      <c r="AD16916" s="7"/>
      <c r="AE16916" s="7"/>
      <c r="AF16916" s="7"/>
    </row>
    <row r="16917" spans="1:32">
      <c r="A16917" s="7"/>
      <c r="B16917" s="7"/>
      <c r="C16917" s="7"/>
      <c r="D16917" s="7"/>
      <c r="E16917" s="7"/>
      <c r="F16917" s="7"/>
      <c r="G16917" s="7"/>
      <c r="H16917" s="7"/>
      <c r="I16917" s="7"/>
      <c r="J16917" s="7"/>
      <c r="K16917" s="7"/>
      <c r="L16917" s="7"/>
      <c r="M16917" s="7"/>
      <c r="N16917" s="7"/>
      <c r="O16917" s="7"/>
      <c r="P16917" s="7"/>
      <c r="Q16917" s="7"/>
      <c r="R16917" s="7"/>
      <c r="S16917" s="7"/>
      <c r="T16917" s="7"/>
      <c r="U16917" s="7"/>
      <c r="V16917" s="7"/>
      <c r="W16917" s="7"/>
      <c r="X16917" s="7"/>
      <c r="Y16917" s="7"/>
      <c r="Z16917" s="7"/>
      <c r="AA16917" s="7"/>
      <c r="AB16917" s="7"/>
      <c r="AC16917" s="7"/>
      <c r="AD16917" s="7"/>
      <c r="AE16917" s="7"/>
      <c r="AF16917" s="7"/>
    </row>
    <row r="16918" spans="1:32">
      <c r="A16918" s="7"/>
      <c r="B16918" s="7"/>
      <c r="C16918" s="7"/>
      <c r="D16918" s="7"/>
      <c r="E16918" s="7"/>
      <c r="F16918" s="7"/>
      <c r="G16918" s="7"/>
      <c r="H16918" s="7"/>
      <c r="I16918" s="7"/>
      <c r="J16918" s="7"/>
      <c r="K16918" s="7"/>
      <c r="L16918" s="7"/>
      <c r="M16918" s="7"/>
      <c r="N16918" s="7"/>
      <c r="O16918" s="7"/>
      <c r="P16918" s="7"/>
      <c r="Q16918" s="7"/>
      <c r="R16918" s="7"/>
      <c r="S16918" s="7"/>
      <c r="T16918" s="7"/>
      <c r="U16918" s="7"/>
      <c r="V16918" s="7"/>
      <c r="W16918" s="7"/>
      <c r="X16918" s="7"/>
      <c r="Y16918" s="7"/>
      <c r="Z16918" s="7"/>
      <c r="AA16918" s="7"/>
      <c r="AB16918" s="7"/>
      <c r="AC16918" s="7"/>
      <c r="AD16918" s="7"/>
      <c r="AE16918" s="7"/>
      <c r="AF16918" s="7"/>
    </row>
    <row r="16919" spans="1:32">
      <c r="A16919" s="7"/>
      <c r="B16919" s="7"/>
      <c r="C16919" s="7"/>
      <c r="D16919" s="7"/>
      <c r="E16919" s="7"/>
      <c r="F16919" s="7"/>
      <c r="G16919" s="7"/>
      <c r="H16919" s="7"/>
      <c r="I16919" s="7"/>
      <c r="J16919" s="7"/>
      <c r="K16919" s="7"/>
      <c r="L16919" s="7"/>
      <c r="M16919" s="7"/>
      <c r="N16919" s="7"/>
      <c r="O16919" s="7"/>
      <c r="P16919" s="7"/>
      <c r="Q16919" s="7"/>
      <c r="R16919" s="7"/>
      <c r="S16919" s="7"/>
      <c r="T16919" s="7"/>
      <c r="U16919" s="7"/>
      <c r="V16919" s="7"/>
      <c r="W16919" s="7"/>
      <c r="X16919" s="7"/>
      <c r="Y16919" s="7"/>
      <c r="Z16919" s="7"/>
      <c r="AA16919" s="7"/>
      <c r="AB16919" s="7"/>
      <c r="AC16919" s="7"/>
      <c r="AD16919" s="7"/>
      <c r="AE16919" s="7"/>
      <c r="AF16919" s="7"/>
    </row>
    <row r="16920" spans="1:32">
      <c r="A16920" s="7"/>
      <c r="B16920" s="7"/>
      <c r="C16920" s="7"/>
      <c r="D16920" s="7"/>
      <c r="E16920" s="7"/>
      <c r="F16920" s="7"/>
      <c r="G16920" s="7"/>
      <c r="H16920" s="7"/>
      <c r="I16920" s="7"/>
      <c r="J16920" s="7"/>
      <c r="K16920" s="7"/>
      <c r="L16920" s="7"/>
      <c r="M16920" s="7"/>
      <c r="N16920" s="7"/>
      <c r="O16920" s="7"/>
      <c r="P16920" s="7"/>
      <c r="Q16920" s="7"/>
      <c r="R16920" s="7"/>
      <c r="S16920" s="7"/>
      <c r="T16920" s="7"/>
      <c r="U16920" s="7"/>
      <c r="V16920" s="7"/>
      <c r="W16920" s="7"/>
      <c r="X16920" s="7"/>
      <c r="Y16920" s="7"/>
      <c r="Z16920" s="7"/>
      <c r="AA16920" s="7"/>
      <c r="AB16920" s="7"/>
      <c r="AC16920" s="7"/>
      <c r="AD16920" s="7"/>
      <c r="AE16920" s="7"/>
      <c r="AF16920" s="7"/>
    </row>
    <row r="16921" spans="1:32">
      <c r="A16921" s="7"/>
      <c r="B16921" s="7"/>
      <c r="C16921" s="7"/>
      <c r="D16921" s="7"/>
      <c r="E16921" s="7"/>
      <c r="F16921" s="7"/>
      <c r="G16921" s="7"/>
      <c r="H16921" s="7"/>
      <c r="I16921" s="7"/>
      <c r="J16921" s="7"/>
      <c r="K16921" s="7"/>
      <c r="L16921" s="7"/>
      <c r="M16921" s="7"/>
      <c r="N16921" s="7"/>
      <c r="O16921" s="7"/>
      <c r="P16921" s="7"/>
      <c r="Q16921" s="7"/>
      <c r="R16921" s="7"/>
      <c r="S16921" s="7"/>
      <c r="T16921" s="7"/>
      <c r="U16921" s="7"/>
      <c r="V16921" s="7"/>
      <c r="W16921" s="7"/>
      <c r="X16921" s="7"/>
      <c r="Y16921" s="7"/>
      <c r="Z16921" s="7"/>
      <c r="AA16921" s="7"/>
      <c r="AB16921" s="7"/>
      <c r="AC16921" s="7"/>
      <c r="AD16921" s="7"/>
      <c r="AE16921" s="7"/>
      <c r="AF16921" s="7"/>
    </row>
    <row r="16922" spans="1:32">
      <c r="A16922" s="7"/>
      <c r="B16922" s="7"/>
      <c r="C16922" s="7"/>
      <c r="D16922" s="7"/>
      <c r="E16922" s="7"/>
      <c r="F16922" s="7"/>
      <c r="G16922" s="7"/>
      <c r="H16922" s="7"/>
      <c r="I16922" s="7"/>
      <c r="J16922" s="7"/>
      <c r="K16922" s="7"/>
      <c r="L16922" s="7"/>
      <c r="M16922" s="7"/>
      <c r="N16922" s="7"/>
      <c r="O16922" s="7"/>
      <c r="P16922" s="7"/>
      <c r="Q16922" s="7"/>
      <c r="R16922" s="7"/>
      <c r="S16922" s="7"/>
      <c r="T16922" s="7"/>
      <c r="U16922" s="7"/>
      <c r="V16922" s="7"/>
      <c r="W16922" s="7"/>
      <c r="X16922" s="7"/>
      <c r="Y16922" s="7"/>
      <c r="Z16922" s="7"/>
      <c r="AA16922" s="7"/>
      <c r="AB16922" s="7"/>
      <c r="AC16922" s="7"/>
      <c r="AD16922" s="7"/>
      <c r="AE16922" s="7"/>
      <c r="AF16922" s="7"/>
    </row>
    <row r="16923" spans="1:32">
      <c r="A16923" s="7"/>
      <c r="B16923" s="7"/>
      <c r="C16923" s="7"/>
      <c r="D16923" s="7"/>
      <c r="E16923" s="7"/>
      <c r="F16923" s="7"/>
      <c r="G16923" s="7"/>
      <c r="H16923" s="7"/>
      <c r="I16923" s="7"/>
      <c r="J16923" s="7"/>
      <c r="K16923" s="7"/>
      <c r="L16923" s="7"/>
      <c r="M16923" s="7"/>
      <c r="N16923" s="7"/>
      <c r="O16923" s="7"/>
      <c r="P16923" s="7"/>
      <c r="Q16923" s="7"/>
      <c r="R16923" s="7"/>
      <c r="S16923" s="7"/>
      <c r="T16923" s="7"/>
      <c r="U16923" s="7"/>
      <c r="V16923" s="7"/>
      <c r="W16923" s="7"/>
      <c r="X16923" s="7"/>
      <c r="Y16923" s="7"/>
      <c r="Z16923" s="7"/>
      <c r="AA16923" s="7"/>
      <c r="AB16923" s="7"/>
      <c r="AC16923" s="7"/>
      <c r="AD16923" s="7"/>
      <c r="AE16923" s="7"/>
      <c r="AF16923" s="7"/>
    </row>
    <row r="16924" spans="1:32">
      <c r="A16924" s="7"/>
      <c r="B16924" s="7"/>
      <c r="C16924" s="7"/>
      <c r="D16924" s="7"/>
      <c r="E16924" s="7"/>
      <c r="F16924" s="7"/>
      <c r="G16924" s="7"/>
      <c r="H16924" s="7"/>
      <c r="I16924" s="7"/>
      <c r="J16924" s="7"/>
      <c r="K16924" s="7"/>
      <c r="L16924" s="7"/>
      <c r="M16924" s="7"/>
      <c r="N16924" s="7"/>
      <c r="O16924" s="7"/>
      <c r="P16924" s="7"/>
      <c r="Q16924" s="7"/>
      <c r="R16924" s="7"/>
      <c r="S16924" s="7"/>
      <c r="T16924" s="7"/>
      <c r="U16924" s="7"/>
      <c r="V16924" s="7"/>
      <c r="W16924" s="7"/>
      <c r="X16924" s="7"/>
      <c r="Y16924" s="7"/>
      <c r="Z16924" s="7"/>
      <c r="AA16924" s="7"/>
      <c r="AB16924" s="7"/>
      <c r="AC16924" s="7"/>
      <c r="AD16924" s="7"/>
      <c r="AE16924" s="7"/>
      <c r="AF16924" s="7"/>
    </row>
    <row r="16925" spans="1:32">
      <c r="A16925" s="7"/>
      <c r="B16925" s="7"/>
      <c r="C16925" s="7"/>
      <c r="D16925" s="7"/>
      <c r="E16925" s="7"/>
      <c r="F16925" s="7"/>
      <c r="G16925" s="7"/>
      <c r="H16925" s="7"/>
      <c r="I16925" s="7"/>
      <c r="J16925" s="7"/>
      <c r="K16925" s="7"/>
      <c r="L16925" s="7"/>
      <c r="M16925" s="7"/>
      <c r="N16925" s="7"/>
      <c r="O16925" s="7"/>
      <c r="P16925" s="7"/>
      <c r="Q16925" s="7"/>
      <c r="R16925" s="7"/>
      <c r="S16925" s="7"/>
      <c r="T16925" s="7"/>
      <c r="U16925" s="7"/>
      <c r="V16925" s="7"/>
      <c r="W16925" s="7"/>
      <c r="X16925" s="7"/>
      <c r="Y16925" s="7"/>
      <c r="Z16925" s="7"/>
      <c r="AA16925" s="7"/>
      <c r="AB16925" s="7"/>
      <c r="AC16925" s="7"/>
      <c r="AD16925" s="7"/>
      <c r="AE16925" s="7"/>
      <c r="AF16925" s="7"/>
    </row>
    <row r="16926" spans="1:32">
      <c r="A16926" s="7"/>
      <c r="B16926" s="7"/>
      <c r="C16926" s="7"/>
      <c r="D16926" s="7"/>
      <c r="E16926" s="7"/>
      <c r="F16926" s="7"/>
      <c r="G16926" s="7"/>
      <c r="H16926" s="7"/>
      <c r="I16926" s="7"/>
      <c r="J16926" s="7"/>
      <c r="K16926" s="7"/>
      <c r="L16926" s="7"/>
      <c r="M16926" s="7"/>
      <c r="N16926" s="7"/>
      <c r="O16926" s="7"/>
      <c r="P16926" s="7"/>
      <c r="Q16926" s="7"/>
      <c r="R16926" s="7"/>
      <c r="S16926" s="7"/>
      <c r="T16926" s="7"/>
      <c r="U16926" s="7"/>
      <c r="V16926" s="7"/>
      <c r="W16926" s="7"/>
      <c r="X16926" s="7"/>
      <c r="Y16926" s="7"/>
      <c r="Z16926" s="7"/>
      <c r="AA16926" s="7"/>
      <c r="AB16926" s="7"/>
      <c r="AC16926" s="7"/>
      <c r="AD16926" s="7"/>
      <c r="AE16926" s="7"/>
      <c r="AF16926" s="7"/>
    </row>
    <row r="16927" spans="1:32">
      <c r="A16927" s="7"/>
      <c r="B16927" s="7"/>
      <c r="C16927" s="7"/>
      <c r="D16927" s="7"/>
      <c r="E16927" s="7"/>
      <c r="F16927" s="7"/>
      <c r="G16927" s="7"/>
      <c r="H16927" s="7"/>
      <c r="I16927" s="7"/>
      <c r="J16927" s="7"/>
      <c r="K16927" s="7"/>
      <c r="L16927" s="7"/>
      <c r="M16927" s="7"/>
      <c r="N16927" s="7"/>
      <c r="O16927" s="7"/>
      <c r="P16927" s="7"/>
      <c r="Q16927" s="7"/>
      <c r="R16927" s="7"/>
      <c r="S16927" s="7"/>
      <c r="T16927" s="7"/>
      <c r="U16927" s="7"/>
      <c r="V16927" s="7"/>
      <c r="W16927" s="7"/>
      <c r="X16927" s="7"/>
      <c r="Y16927" s="7"/>
      <c r="Z16927" s="7"/>
      <c r="AA16927" s="7"/>
      <c r="AB16927" s="7"/>
      <c r="AC16927" s="7"/>
      <c r="AD16927" s="7"/>
      <c r="AE16927" s="7"/>
      <c r="AF16927" s="7"/>
    </row>
    <row r="16928" spans="1:32">
      <c r="A16928" s="7"/>
      <c r="B16928" s="7"/>
      <c r="C16928" s="7"/>
      <c r="D16928" s="7"/>
      <c r="E16928" s="7"/>
      <c r="F16928" s="7"/>
      <c r="G16928" s="7"/>
      <c r="H16928" s="7"/>
      <c r="I16928" s="7"/>
      <c r="J16928" s="7"/>
      <c r="K16928" s="7"/>
      <c r="L16928" s="7"/>
      <c r="M16928" s="7"/>
      <c r="N16928" s="7"/>
      <c r="O16928" s="7"/>
      <c r="P16928" s="7"/>
      <c r="Q16928" s="7"/>
      <c r="R16928" s="7"/>
      <c r="S16928" s="7"/>
      <c r="T16928" s="7"/>
      <c r="U16928" s="7"/>
      <c r="V16928" s="7"/>
      <c r="W16928" s="7"/>
      <c r="X16928" s="7"/>
      <c r="Y16928" s="7"/>
      <c r="Z16928" s="7"/>
      <c r="AA16928" s="7"/>
      <c r="AB16928" s="7"/>
      <c r="AC16928" s="7"/>
      <c r="AD16928" s="7"/>
      <c r="AE16928" s="7"/>
      <c r="AF16928" s="7"/>
    </row>
    <row r="16929" spans="1:32">
      <c r="A16929" s="7"/>
      <c r="B16929" s="7"/>
      <c r="C16929" s="7"/>
      <c r="D16929" s="7"/>
      <c r="E16929" s="7"/>
      <c r="F16929" s="7"/>
      <c r="G16929" s="7"/>
      <c r="H16929" s="7"/>
      <c r="I16929" s="7"/>
      <c r="J16929" s="7"/>
      <c r="K16929" s="7"/>
      <c r="L16929" s="7"/>
      <c r="M16929" s="7"/>
      <c r="N16929" s="7"/>
      <c r="O16929" s="7"/>
      <c r="P16929" s="7"/>
      <c r="Q16929" s="7"/>
      <c r="R16929" s="7"/>
      <c r="S16929" s="7"/>
      <c r="T16929" s="7"/>
      <c r="U16929" s="7"/>
      <c r="V16929" s="7"/>
      <c r="W16929" s="7"/>
      <c r="X16929" s="7"/>
      <c r="Y16929" s="7"/>
      <c r="Z16929" s="7"/>
      <c r="AA16929" s="7"/>
      <c r="AB16929" s="7"/>
      <c r="AC16929" s="7"/>
      <c r="AD16929" s="7"/>
      <c r="AE16929" s="7"/>
      <c r="AF16929" s="7"/>
    </row>
    <row r="16930" spans="1:32">
      <c r="A16930" s="7"/>
      <c r="B16930" s="7"/>
      <c r="C16930" s="7"/>
      <c r="D16930" s="7"/>
      <c r="E16930" s="7"/>
      <c r="F16930" s="7"/>
      <c r="G16930" s="7"/>
      <c r="H16930" s="7"/>
      <c r="I16930" s="7"/>
      <c r="J16930" s="7"/>
      <c r="K16930" s="7"/>
      <c r="L16930" s="7"/>
      <c r="M16930" s="7"/>
      <c r="N16930" s="7"/>
      <c r="O16930" s="7"/>
      <c r="P16930" s="7"/>
      <c r="Q16930" s="7"/>
      <c r="R16930" s="7"/>
      <c r="S16930" s="7"/>
      <c r="T16930" s="7"/>
      <c r="U16930" s="7"/>
      <c r="V16930" s="7"/>
      <c r="W16930" s="7"/>
      <c r="X16930" s="7"/>
      <c r="Y16930" s="7"/>
      <c r="Z16930" s="7"/>
      <c r="AA16930" s="7"/>
      <c r="AB16930" s="7"/>
      <c r="AC16930" s="7"/>
      <c r="AD16930" s="7"/>
      <c r="AE16930" s="7"/>
      <c r="AF16930" s="7"/>
    </row>
    <row r="16931" spans="1:32">
      <c r="A16931" s="7"/>
      <c r="B16931" s="7"/>
      <c r="C16931" s="7"/>
      <c r="D16931" s="7"/>
      <c r="E16931" s="7"/>
      <c r="F16931" s="7"/>
      <c r="G16931" s="7"/>
      <c r="H16931" s="7"/>
      <c r="I16931" s="7"/>
      <c r="J16931" s="7"/>
      <c r="K16931" s="7"/>
      <c r="L16931" s="7"/>
      <c r="M16931" s="7"/>
      <c r="N16931" s="7"/>
      <c r="O16931" s="7"/>
      <c r="P16931" s="7"/>
      <c r="Q16931" s="7"/>
      <c r="R16931" s="7"/>
      <c r="S16931" s="7"/>
      <c r="T16931" s="7"/>
      <c r="U16931" s="7"/>
      <c r="V16931" s="7"/>
      <c r="W16931" s="7"/>
      <c r="X16931" s="7"/>
      <c r="Y16931" s="7"/>
      <c r="Z16931" s="7"/>
      <c r="AA16931" s="7"/>
      <c r="AB16931" s="7"/>
      <c r="AC16931" s="7"/>
      <c r="AD16931" s="7"/>
      <c r="AE16931" s="7"/>
      <c r="AF16931" s="7"/>
    </row>
    <row r="16932" spans="1:32">
      <c r="A16932" s="7"/>
      <c r="B16932" s="7"/>
      <c r="C16932" s="7"/>
      <c r="D16932" s="7"/>
      <c r="E16932" s="7"/>
      <c r="F16932" s="7"/>
      <c r="G16932" s="7"/>
      <c r="H16932" s="7"/>
      <c r="I16932" s="7"/>
      <c r="J16932" s="7"/>
      <c r="K16932" s="7"/>
      <c r="L16932" s="7"/>
      <c r="M16932" s="7"/>
      <c r="N16932" s="7"/>
      <c r="O16932" s="7"/>
      <c r="P16932" s="7"/>
      <c r="Q16932" s="7"/>
      <c r="R16932" s="7"/>
      <c r="S16932" s="7"/>
      <c r="T16932" s="7"/>
      <c r="U16932" s="7"/>
      <c r="V16932" s="7"/>
      <c r="W16932" s="7"/>
      <c r="X16932" s="7"/>
      <c r="Y16932" s="7"/>
      <c r="Z16932" s="7"/>
      <c r="AA16932" s="7"/>
      <c r="AB16932" s="7"/>
      <c r="AC16932" s="7"/>
      <c r="AD16932" s="7"/>
      <c r="AE16932" s="7"/>
      <c r="AF16932" s="7"/>
    </row>
    <row r="16933" spans="1:32">
      <c r="A16933" s="7"/>
      <c r="B16933" s="7"/>
      <c r="C16933" s="7"/>
      <c r="D16933" s="7"/>
      <c r="E16933" s="7"/>
      <c r="F16933" s="7"/>
      <c r="G16933" s="7"/>
      <c r="H16933" s="7"/>
      <c r="I16933" s="7"/>
      <c r="J16933" s="7"/>
      <c r="K16933" s="7"/>
      <c r="L16933" s="7"/>
      <c r="M16933" s="7"/>
      <c r="N16933" s="7"/>
      <c r="O16933" s="7"/>
      <c r="P16933" s="7"/>
      <c r="Q16933" s="7"/>
      <c r="R16933" s="7"/>
      <c r="S16933" s="7"/>
      <c r="T16933" s="7"/>
      <c r="U16933" s="7"/>
      <c r="V16933" s="7"/>
      <c r="W16933" s="7"/>
      <c r="X16933" s="7"/>
      <c r="Y16933" s="7"/>
      <c r="Z16933" s="7"/>
      <c r="AA16933" s="7"/>
      <c r="AB16933" s="7"/>
      <c r="AC16933" s="7"/>
      <c r="AD16933" s="7"/>
      <c r="AE16933" s="7"/>
      <c r="AF16933" s="7"/>
    </row>
    <row r="16934" spans="1:32">
      <c r="A16934" s="7"/>
      <c r="B16934" s="7"/>
      <c r="C16934" s="7"/>
      <c r="D16934" s="7"/>
      <c r="E16934" s="7"/>
      <c r="F16934" s="7"/>
      <c r="G16934" s="7"/>
      <c r="H16934" s="7"/>
      <c r="I16934" s="7"/>
      <c r="J16934" s="7"/>
      <c r="K16934" s="7"/>
      <c r="L16934" s="7"/>
      <c r="M16934" s="7"/>
      <c r="N16934" s="7"/>
      <c r="O16934" s="7"/>
      <c r="P16934" s="7"/>
      <c r="Q16934" s="7"/>
      <c r="R16934" s="7"/>
      <c r="S16934" s="7"/>
      <c r="T16934" s="7"/>
      <c r="U16934" s="7"/>
      <c r="V16934" s="7"/>
      <c r="W16934" s="7"/>
      <c r="X16934" s="7"/>
      <c r="Y16934" s="7"/>
      <c r="Z16934" s="7"/>
      <c r="AA16934" s="7"/>
      <c r="AB16934" s="7"/>
      <c r="AC16934" s="7"/>
      <c r="AD16934" s="7"/>
      <c r="AE16934" s="7"/>
      <c r="AF16934" s="7"/>
    </row>
    <row r="16935" spans="1:32">
      <c r="A16935" s="7"/>
      <c r="B16935" s="7"/>
      <c r="C16935" s="7"/>
      <c r="D16935" s="7"/>
      <c r="E16935" s="7"/>
      <c r="F16935" s="7"/>
      <c r="G16935" s="7"/>
      <c r="H16935" s="7"/>
      <c r="I16935" s="7"/>
      <c r="J16935" s="7"/>
      <c r="K16935" s="7"/>
      <c r="L16935" s="7"/>
      <c r="M16935" s="7"/>
      <c r="N16935" s="7"/>
      <c r="O16935" s="7"/>
      <c r="P16935" s="7"/>
      <c r="Q16935" s="7"/>
      <c r="R16935" s="7"/>
      <c r="S16935" s="7"/>
      <c r="T16935" s="7"/>
      <c r="U16935" s="7"/>
      <c r="V16935" s="7"/>
      <c r="W16935" s="7"/>
      <c r="X16935" s="7"/>
      <c r="Y16935" s="7"/>
      <c r="Z16935" s="7"/>
      <c r="AA16935" s="7"/>
      <c r="AB16935" s="7"/>
      <c r="AC16935" s="7"/>
      <c r="AD16935" s="7"/>
      <c r="AE16935" s="7"/>
      <c r="AF16935" s="7"/>
    </row>
    <row r="16936" spans="1:32">
      <c r="A16936" s="7"/>
      <c r="B16936" s="7"/>
      <c r="C16936" s="7"/>
      <c r="D16936" s="7"/>
      <c r="E16936" s="7"/>
      <c r="F16936" s="7"/>
      <c r="G16936" s="7"/>
      <c r="H16936" s="7"/>
      <c r="I16936" s="7"/>
      <c r="J16936" s="7"/>
      <c r="K16936" s="7"/>
      <c r="L16936" s="7"/>
      <c r="M16936" s="7"/>
      <c r="N16936" s="7"/>
      <c r="O16936" s="7"/>
      <c r="P16936" s="7"/>
      <c r="Q16936" s="7"/>
      <c r="R16936" s="7"/>
      <c r="S16936" s="7"/>
      <c r="T16936" s="7"/>
      <c r="U16936" s="7"/>
      <c r="V16936" s="7"/>
      <c r="W16936" s="7"/>
      <c r="X16936" s="7"/>
      <c r="Y16936" s="7"/>
      <c r="Z16936" s="7"/>
      <c r="AA16936" s="7"/>
      <c r="AB16936" s="7"/>
      <c r="AC16936" s="7"/>
      <c r="AD16936" s="7"/>
      <c r="AE16936" s="7"/>
      <c r="AF16936" s="7"/>
    </row>
    <row r="16937" spans="1:32">
      <c r="A16937" s="7"/>
      <c r="B16937" s="7"/>
      <c r="C16937" s="7"/>
      <c r="D16937" s="7"/>
      <c r="E16937" s="7"/>
      <c r="F16937" s="7"/>
      <c r="G16937" s="7"/>
      <c r="H16937" s="7"/>
      <c r="I16937" s="7"/>
      <c r="J16937" s="7"/>
      <c r="K16937" s="7"/>
      <c r="L16937" s="7"/>
      <c r="M16937" s="7"/>
      <c r="N16937" s="7"/>
      <c r="O16937" s="7"/>
      <c r="P16937" s="7"/>
      <c r="Q16937" s="7"/>
      <c r="R16937" s="7"/>
      <c r="S16937" s="7"/>
      <c r="T16937" s="7"/>
      <c r="U16937" s="7"/>
      <c r="V16937" s="7"/>
      <c r="W16937" s="7"/>
      <c r="X16937" s="7"/>
      <c r="Y16937" s="7"/>
      <c r="Z16937" s="7"/>
      <c r="AA16937" s="7"/>
      <c r="AB16937" s="7"/>
      <c r="AC16937" s="7"/>
      <c r="AD16937" s="7"/>
      <c r="AE16937" s="7"/>
      <c r="AF16937" s="7"/>
    </row>
    <row r="16938" spans="1:32">
      <c r="A16938" s="7"/>
      <c r="B16938" s="7"/>
      <c r="C16938" s="7"/>
      <c r="D16938" s="7"/>
      <c r="E16938" s="7"/>
      <c r="F16938" s="7"/>
      <c r="G16938" s="7"/>
      <c r="H16938" s="7"/>
      <c r="I16938" s="7"/>
      <c r="J16938" s="7"/>
      <c r="K16938" s="7"/>
      <c r="L16938" s="7"/>
      <c r="M16938" s="7"/>
      <c r="N16938" s="7"/>
      <c r="O16938" s="7"/>
      <c r="P16938" s="7"/>
      <c r="Q16938" s="7"/>
      <c r="R16938" s="7"/>
      <c r="S16938" s="7"/>
      <c r="T16938" s="7"/>
      <c r="U16938" s="7"/>
      <c r="V16938" s="7"/>
      <c r="W16938" s="7"/>
      <c r="X16938" s="7"/>
      <c r="Y16938" s="7"/>
      <c r="Z16938" s="7"/>
      <c r="AA16938" s="7"/>
      <c r="AB16938" s="7"/>
      <c r="AC16938" s="7"/>
      <c r="AD16938" s="7"/>
      <c r="AE16938" s="7"/>
      <c r="AF16938" s="7"/>
    </row>
    <row r="16939" spans="1:32">
      <c r="A16939" s="7"/>
      <c r="B16939" s="7"/>
      <c r="C16939" s="7"/>
      <c r="D16939" s="7"/>
      <c r="E16939" s="7"/>
      <c r="F16939" s="7"/>
      <c r="G16939" s="7"/>
      <c r="H16939" s="7"/>
      <c r="I16939" s="7"/>
      <c r="J16939" s="7"/>
      <c r="K16939" s="7"/>
      <c r="L16939" s="7"/>
      <c r="M16939" s="7"/>
      <c r="N16939" s="7"/>
      <c r="O16939" s="7"/>
      <c r="P16939" s="7"/>
      <c r="Q16939" s="7"/>
      <c r="R16939" s="7"/>
      <c r="S16939" s="7"/>
      <c r="T16939" s="7"/>
      <c r="U16939" s="7"/>
      <c r="V16939" s="7"/>
      <c r="W16939" s="7"/>
      <c r="X16939" s="7"/>
      <c r="Y16939" s="7"/>
      <c r="Z16939" s="7"/>
      <c r="AA16939" s="7"/>
      <c r="AB16939" s="7"/>
      <c r="AC16939" s="7"/>
      <c r="AD16939" s="7"/>
      <c r="AE16939" s="7"/>
      <c r="AF16939" s="7"/>
    </row>
    <row r="16940" spans="1:32">
      <c r="A16940" s="7"/>
      <c r="B16940" s="7"/>
      <c r="C16940" s="7"/>
      <c r="D16940" s="7"/>
      <c r="E16940" s="7"/>
      <c r="F16940" s="7"/>
      <c r="G16940" s="7"/>
      <c r="H16940" s="7"/>
      <c r="I16940" s="7"/>
      <c r="J16940" s="7"/>
      <c r="K16940" s="7"/>
      <c r="L16940" s="7"/>
      <c r="M16940" s="7"/>
      <c r="N16940" s="7"/>
      <c r="O16940" s="7"/>
      <c r="P16940" s="7"/>
      <c r="Q16940" s="7"/>
      <c r="R16940" s="7"/>
      <c r="S16940" s="7"/>
      <c r="T16940" s="7"/>
      <c r="U16940" s="7"/>
      <c r="V16940" s="7"/>
      <c r="W16940" s="7"/>
      <c r="X16940" s="7"/>
      <c r="Y16940" s="7"/>
      <c r="Z16940" s="7"/>
      <c r="AA16940" s="7"/>
      <c r="AB16940" s="7"/>
      <c r="AC16940" s="7"/>
      <c r="AD16940" s="7"/>
      <c r="AE16940" s="7"/>
      <c r="AF16940" s="7"/>
    </row>
    <row r="16941" spans="1:32">
      <c r="A16941" s="7"/>
      <c r="B16941" s="7"/>
      <c r="C16941" s="7"/>
      <c r="D16941" s="7"/>
      <c r="E16941" s="7"/>
      <c r="F16941" s="7"/>
      <c r="G16941" s="7"/>
      <c r="H16941" s="7"/>
      <c r="I16941" s="7"/>
      <c r="J16941" s="7"/>
      <c r="K16941" s="7"/>
      <c r="L16941" s="7"/>
      <c r="M16941" s="7"/>
      <c r="N16941" s="7"/>
      <c r="O16941" s="7"/>
      <c r="P16941" s="7"/>
      <c r="Q16941" s="7"/>
      <c r="R16941" s="7"/>
      <c r="S16941" s="7"/>
      <c r="T16941" s="7"/>
      <c r="U16941" s="7"/>
      <c r="V16941" s="7"/>
      <c r="W16941" s="7"/>
      <c r="X16941" s="7"/>
      <c r="Y16941" s="7"/>
      <c r="Z16941" s="7"/>
      <c r="AA16941" s="7"/>
      <c r="AB16941" s="7"/>
      <c r="AC16941" s="7"/>
      <c r="AD16941" s="7"/>
      <c r="AE16941" s="7"/>
      <c r="AF16941" s="7"/>
    </row>
    <row r="16942" spans="1:32">
      <c r="A16942" s="7"/>
      <c r="B16942" s="7"/>
      <c r="C16942" s="7"/>
      <c r="D16942" s="7"/>
      <c r="E16942" s="7"/>
      <c r="F16942" s="7"/>
      <c r="G16942" s="7"/>
      <c r="H16942" s="7"/>
      <c r="I16942" s="7"/>
      <c r="J16942" s="7"/>
      <c r="K16942" s="7"/>
      <c r="L16942" s="7"/>
      <c r="M16942" s="7"/>
      <c r="N16942" s="7"/>
      <c r="O16942" s="7"/>
      <c r="P16942" s="7"/>
      <c r="Q16942" s="7"/>
      <c r="R16942" s="7"/>
      <c r="S16942" s="7"/>
      <c r="T16942" s="7"/>
      <c r="U16942" s="7"/>
      <c r="V16942" s="7"/>
      <c r="W16942" s="7"/>
      <c r="X16942" s="7"/>
      <c r="Y16942" s="7"/>
      <c r="Z16942" s="7"/>
      <c r="AA16942" s="7"/>
      <c r="AB16942" s="7"/>
      <c r="AC16942" s="7"/>
      <c r="AD16942" s="7"/>
      <c r="AE16942" s="7"/>
      <c r="AF16942" s="7"/>
    </row>
    <row r="16943" spans="1:32">
      <c r="A16943" s="7"/>
      <c r="B16943" s="7"/>
      <c r="C16943" s="7"/>
      <c r="D16943" s="7"/>
      <c r="E16943" s="7"/>
      <c r="F16943" s="7"/>
      <c r="G16943" s="7"/>
      <c r="H16943" s="7"/>
      <c r="I16943" s="7"/>
      <c r="J16943" s="7"/>
      <c r="K16943" s="7"/>
      <c r="L16943" s="7"/>
      <c r="M16943" s="7"/>
      <c r="N16943" s="7"/>
      <c r="O16943" s="7"/>
      <c r="P16943" s="7"/>
      <c r="Q16943" s="7"/>
      <c r="R16943" s="7"/>
      <c r="S16943" s="7"/>
      <c r="T16943" s="7"/>
      <c r="U16943" s="7"/>
      <c r="V16943" s="7"/>
      <c r="W16943" s="7"/>
      <c r="X16943" s="7"/>
      <c r="Y16943" s="7"/>
      <c r="Z16943" s="7"/>
      <c r="AA16943" s="7"/>
      <c r="AB16943" s="7"/>
      <c r="AC16943" s="7"/>
      <c r="AD16943" s="7"/>
      <c r="AE16943" s="7"/>
      <c r="AF16943" s="7"/>
    </row>
    <row r="16944" spans="1:32">
      <c r="A16944" s="7"/>
      <c r="B16944" s="7"/>
      <c r="C16944" s="7"/>
      <c r="D16944" s="7"/>
      <c r="E16944" s="7"/>
      <c r="F16944" s="7"/>
      <c r="G16944" s="7"/>
      <c r="H16944" s="7"/>
      <c r="I16944" s="7"/>
      <c r="J16944" s="7"/>
      <c r="K16944" s="7"/>
      <c r="L16944" s="7"/>
      <c r="M16944" s="7"/>
      <c r="N16944" s="7"/>
      <c r="O16944" s="7"/>
      <c r="P16944" s="7"/>
      <c r="Q16944" s="7"/>
      <c r="R16944" s="7"/>
      <c r="S16944" s="7"/>
      <c r="T16944" s="7"/>
      <c r="U16944" s="7"/>
      <c r="V16944" s="7"/>
      <c r="W16944" s="7"/>
      <c r="X16944" s="7"/>
      <c r="Y16944" s="7"/>
      <c r="Z16944" s="7"/>
      <c r="AA16944" s="7"/>
      <c r="AB16944" s="7"/>
      <c r="AC16944" s="7"/>
      <c r="AD16944" s="7"/>
      <c r="AE16944" s="7"/>
      <c r="AF16944" s="7"/>
    </row>
    <row r="16945" spans="1:32">
      <c r="A16945" s="7"/>
      <c r="B16945" s="7"/>
      <c r="C16945" s="7"/>
      <c r="D16945" s="7"/>
      <c r="E16945" s="7"/>
      <c r="F16945" s="7"/>
      <c r="G16945" s="7"/>
      <c r="H16945" s="7"/>
      <c r="I16945" s="7"/>
      <c r="J16945" s="7"/>
      <c r="K16945" s="7"/>
      <c r="L16945" s="7"/>
      <c r="M16945" s="7"/>
      <c r="N16945" s="7"/>
      <c r="O16945" s="7"/>
      <c r="P16945" s="7"/>
      <c r="Q16945" s="7"/>
      <c r="R16945" s="7"/>
      <c r="S16945" s="7"/>
      <c r="T16945" s="7"/>
      <c r="U16945" s="7"/>
      <c r="V16945" s="7"/>
      <c r="W16945" s="7"/>
      <c r="X16945" s="7"/>
      <c r="Y16945" s="7"/>
      <c r="Z16945" s="7"/>
      <c r="AA16945" s="7"/>
      <c r="AB16945" s="7"/>
      <c r="AC16945" s="7"/>
      <c r="AD16945" s="7"/>
      <c r="AE16945" s="7"/>
      <c r="AF16945" s="7"/>
    </row>
    <row r="16946" spans="1:32">
      <c r="A16946" s="7"/>
      <c r="B16946" s="7"/>
      <c r="C16946" s="7"/>
      <c r="D16946" s="7"/>
      <c r="E16946" s="7"/>
      <c r="F16946" s="7"/>
      <c r="G16946" s="7"/>
      <c r="H16946" s="7"/>
      <c r="I16946" s="7"/>
      <c r="J16946" s="7"/>
      <c r="K16946" s="7"/>
      <c r="L16946" s="7"/>
      <c r="M16946" s="7"/>
      <c r="N16946" s="7"/>
      <c r="O16946" s="7"/>
      <c r="P16946" s="7"/>
      <c r="Q16946" s="7"/>
      <c r="R16946" s="7"/>
      <c r="S16946" s="7"/>
      <c r="T16946" s="7"/>
      <c r="U16946" s="7"/>
      <c r="V16946" s="7"/>
      <c r="W16946" s="7"/>
      <c r="X16946" s="7"/>
      <c r="Y16946" s="7"/>
      <c r="Z16946" s="7"/>
      <c r="AA16946" s="7"/>
      <c r="AB16946" s="7"/>
      <c r="AC16946" s="7"/>
      <c r="AD16946" s="7"/>
      <c r="AE16946" s="7"/>
      <c r="AF16946" s="7"/>
    </row>
    <row r="16947" spans="1:32">
      <c r="A16947" s="7"/>
      <c r="B16947" s="7"/>
      <c r="C16947" s="7"/>
      <c r="D16947" s="7"/>
      <c r="E16947" s="7"/>
      <c r="F16947" s="7"/>
      <c r="G16947" s="7"/>
      <c r="H16947" s="7"/>
      <c r="I16947" s="7"/>
      <c r="J16947" s="7"/>
      <c r="K16947" s="7"/>
      <c r="L16947" s="7"/>
      <c r="M16947" s="7"/>
      <c r="N16947" s="7"/>
      <c r="O16947" s="7"/>
      <c r="P16947" s="7"/>
      <c r="Q16947" s="7"/>
      <c r="R16947" s="7"/>
      <c r="S16947" s="7"/>
      <c r="T16947" s="7"/>
      <c r="U16947" s="7"/>
      <c r="V16947" s="7"/>
      <c r="W16947" s="7"/>
      <c r="X16947" s="7"/>
      <c r="Y16947" s="7"/>
      <c r="Z16947" s="7"/>
      <c r="AA16947" s="7"/>
      <c r="AB16947" s="7"/>
      <c r="AC16947" s="7"/>
      <c r="AD16947" s="7"/>
      <c r="AE16947" s="7"/>
      <c r="AF16947" s="7"/>
    </row>
    <row r="16948" spans="1:32">
      <c r="A16948" s="7"/>
      <c r="B16948" s="7"/>
      <c r="C16948" s="7"/>
      <c r="D16948" s="7"/>
      <c r="E16948" s="7"/>
      <c r="F16948" s="7"/>
      <c r="G16948" s="7"/>
      <c r="H16948" s="7"/>
      <c r="I16948" s="7"/>
      <c r="J16948" s="7"/>
      <c r="K16948" s="7"/>
      <c r="L16948" s="7"/>
      <c r="M16948" s="7"/>
      <c r="N16948" s="7"/>
      <c r="O16948" s="7"/>
      <c r="P16948" s="7"/>
      <c r="Q16948" s="7"/>
      <c r="R16948" s="7"/>
      <c r="S16948" s="7"/>
      <c r="T16948" s="7"/>
      <c r="U16948" s="7"/>
      <c r="V16948" s="7"/>
      <c r="W16948" s="7"/>
      <c r="X16948" s="7"/>
      <c r="Y16948" s="7"/>
      <c r="Z16948" s="7"/>
      <c r="AA16948" s="7"/>
      <c r="AB16948" s="7"/>
      <c r="AC16948" s="7"/>
      <c r="AD16948" s="7"/>
      <c r="AE16948" s="7"/>
      <c r="AF16948" s="7"/>
    </row>
    <row r="16949" spans="1:32">
      <c r="A16949" s="7"/>
      <c r="B16949" s="7"/>
      <c r="C16949" s="7"/>
      <c r="D16949" s="7"/>
      <c r="E16949" s="7"/>
      <c r="F16949" s="7"/>
      <c r="G16949" s="7"/>
      <c r="H16949" s="7"/>
      <c r="I16949" s="7"/>
      <c r="J16949" s="7"/>
      <c r="K16949" s="7"/>
      <c r="L16949" s="7"/>
      <c r="M16949" s="7"/>
      <c r="N16949" s="7"/>
      <c r="O16949" s="7"/>
      <c r="P16949" s="7"/>
      <c r="Q16949" s="7"/>
      <c r="R16949" s="7"/>
      <c r="S16949" s="7"/>
      <c r="T16949" s="7"/>
      <c r="U16949" s="7"/>
      <c r="V16949" s="7"/>
      <c r="W16949" s="7"/>
      <c r="X16949" s="7"/>
      <c r="Y16949" s="7"/>
      <c r="Z16949" s="7"/>
      <c r="AA16949" s="7"/>
      <c r="AB16949" s="7"/>
      <c r="AC16949" s="7"/>
      <c r="AD16949" s="7"/>
      <c r="AE16949" s="7"/>
      <c r="AF16949" s="7"/>
    </row>
    <row r="16950" spans="1:32">
      <c r="A16950" s="7"/>
      <c r="B16950" s="7"/>
      <c r="C16950" s="7"/>
      <c r="D16950" s="7"/>
      <c r="E16950" s="7"/>
      <c r="F16950" s="7"/>
      <c r="G16950" s="7"/>
      <c r="H16950" s="7"/>
      <c r="I16950" s="7"/>
      <c r="J16950" s="7"/>
      <c r="K16950" s="7"/>
      <c r="L16950" s="7"/>
      <c r="M16950" s="7"/>
      <c r="N16950" s="7"/>
      <c r="O16950" s="7"/>
      <c r="P16950" s="7"/>
      <c r="Q16950" s="7"/>
      <c r="R16950" s="7"/>
      <c r="S16950" s="7"/>
      <c r="T16950" s="7"/>
      <c r="U16950" s="7"/>
      <c r="V16950" s="7"/>
      <c r="W16950" s="7"/>
      <c r="X16950" s="7"/>
      <c r="Y16950" s="7"/>
      <c r="Z16950" s="7"/>
      <c r="AA16950" s="7"/>
      <c r="AB16950" s="7"/>
      <c r="AC16950" s="7"/>
      <c r="AD16950" s="7"/>
      <c r="AE16950" s="7"/>
      <c r="AF16950" s="7"/>
    </row>
    <row r="16951" spans="1:32">
      <c r="A16951" s="7"/>
      <c r="B16951" s="7"/>
      <c r="C16951" s="7"/>
      <c r="D16951" s="7"/>
      <c r="E16951" s="7"/>
      <c r="F16951" s="7"/>
      <c r="G16951" s="7"/>
      <c r="H16951" s="7"/>
      <c r="I16951" s="7"/>
      <c r="J16951" s="7"/>
      <c r="K16951" s="7"/>
      <c r="L16951" s="7"/>
      <c r="M16951" s="7"/>
      <c r="N16951" s="7"/>
      <c r="O16951" s="7"/>
      <c r="P16951" s="7"/>
      <c r="Q16951" s="7"/>
      <c r="R16951" s="7"/>
      <c r="S16951" s="7"/>
      <c r="T16951" s="7"/>
      <c r="U16951" s="7"/>
      <c r="V16951" s="7"/>
      <c r="W16951" s="7"/>
      <c r="X16951" s="7"/>
      <c r="Y16951" s="7"/>
      <c r="Z16951" s="7"/>
      <c r="AA16951" s="7"/>
      <c r="AB16951" s="7"/>
      <c r="AC16951" s="7"/>
      <c r="AD16951" s="7"/>
      <c r="AE16951" s="7"/>
      <c r="AF16951" s="7"/>
    </row>
    <row r="16952" spans="1:32">
      <c r="A16952" s="7"/>
      <c r="B16952" s="7"/>
      <c r="C16952" s="7"/>
      <c r="D16952" s="7"/>
      <c r="E16952" s="7"/>
      <c r="F16952" s="7"/>
      <c r="G16952" s="7"/>
      <c r="H16952" s="7"/>
      <c r="I16952" s="7"/>
      <c r="J16952" s="7"/>
      <c r="K16952" s="7"/>
      <c r="L16952" s="7"/>
      <c r="M16952" s="7"/>
      <c r="N16952" s="7"/>
      <c r="O16952" s="7"/>
      <c r="P16952" s="7"/>
      <c r="Q16952" s="7"/>
      <c r="R16952" s="7"/>
      <c r="S16952" s="7"/>
      <c r="T16952" s="7"/>
      <c r="U16952" s="7"/>
      <c r="V16952" s="7"/>
      <c r="W16952" s="7"/>
      <c r="X16952" s="7"/>
      <c r="Y16952" s="7"/>
      <c r="Z16952" s="7"/>
      <c r="AA16952" s="7"/>
      <c r="AB16952" s="7"/>
      <c r="AC16952" s="7"/>
      <c r="AD16952" s="7"/>
      <c r="AE16952" s="7"/>
      <c r="AF16952" s="7"/>
    </row>
    <row r="16953" spans="1:32">
      <c r="A16953" s="7"/>
      <c r="B16953" s="7"/>
      <c r="C16953" s="7"/>
      <c r="D16953" s="7"/>
      <c r="E16953" s="7"/>
      <c r="F16953" s="7"/>
      <c r="G16953" s="7"/>
      <c r="H16953" s="7"/>
      <c r="I16953" s="7"/>
      <c r="J16953" s="7"/>
      <c r="K16953" s="7"/>
      <c r="L16953" s="7"/>
      <c r="M16953" s="7"/>
      <c r="N16953" s="7"/>
      <c r="O16953" s="7"/>
      <c r="P16953" s="7"/>
      <c r="Q16953" s="7"/>
      <c r="R16953" s="7"/>
      <c r="S16953" s="7"/>
      <c r="T16953" s="7"/>
      <c r="U16953" s="7"/>
      <c r="V16953" s="7"/>
      <c r="W16953" s="7"/>
      <c r="X16953" s="7"/>
      <c r="Y16953" s="7"/>
      <c r="Z16953" s="7"/>
      <c r="AA16953" s="7"/>
      <c r="AB16953" s="7"/>
      <c r="AC16953" s="7"/>
      <c r="AD16953" s="7"/>
      <c r="AE16953" s="7"/>
      <c r="AF16953" s="7"/>
    </row>
    <row r="16954" spans="1:32">
      <c r="A16954" s="7"/>
      <c r="B16954" s="7"/>
      <c r="C16954" s="7"/>
      <c r="D16954" s="7"/>
      <c r="E16954" s="7"/>
      <c r="F16954" s="7"/>
      <c r="G16954" s="7"/>
      <c r="H16954" s="7"/>
      <c r="I16954" s="7"/>
      <c r="J16954" s="7"/>
      <c r="K16954" s="7"/>
      <c r="L16954" s="7"/>
      <c r="M16954" s="7"/>
      <c r="N16954" s="7"/>
      <c r="O16954" s="7"/>
      <c r="P16954" s="7"/>
      <c r="Q16954" s="7"/>
      <c r="R16954" s="7"/>
      <c r="S16954" s="7"/>
      <c r="T16954" s="7"/>
      <c r="U16954" s="7"/>
      <c r="V16954" s="7"/>
      <c r="W16954" s="7"/>
      <c r="X16954" s="7"/>
      <c r="Y16954" s="7"/>
      <c r="Z16954" s="7"/>
      <c r="AA16954" s="7"/>
      <c r="AB16954" s="7"/>
      <c r="AC16954" s="7"/>
      <c r="AD16954" s="7"/>
      <c r="AE16954" s="7"/>
      <c r="AF16954" s="7"/>
    </row>
    <row r="16955" spans="1:32">
      <c r="A16955" s="7"/>
      <c r="B16955" s="7"/>
      <c r="C16955" s="7"/>
      <c r="D16955" s="7"/>
      <c r="E16955" s="7"/>
      <c r="F16955" s="7"/>
      <c r="G16955" s="7"/>
      <c r="H16955" s="7"/>
      <c r="I16955" s="7"/>
      <c r="J16955" s="7"/>
      <c r="K16955" s="7"/>
      <c r="L16955" s="7"/>
      <c r="M16955" s="7"/>
      <c r="N16955" s="7"/>
      <c r="O16955" s="7"/>
      <c r="P16955" s="7"/>
      <c r="Q16955" s="7"/>
      <c r="R16955" s="7"/>
      <c r="S16955" s="7"/>
      <c r="T16955" s="7"/>
      <c r="U16955" s="7"/>
      <c r="V16955" s="7"/>
      <c r="W16955" s="7"/>
      <c r="X16955" s="7"/>
      <c r="Y16955" s="7"/>
      <c r="Z16955" s="7"/>
      <c r="AA16955" s="7"/>
      <c r="AB16955" s="7"/>
      <c r="AC16955" s="7"/>
      <c r="AD16955" s="7"/>
      <c r="AE16955" s="7"/>
      <c r="AF16955" s="7"/>
    </row>
    <row r="16956" spans="1:32">
      <c r="A16956" s="7"/>
      <c r="B16956" s="7"/>
      <c r="C16956" s="7"/>
      <c r="D16956" s="7"/>
      <c r="E16956" s="7"/>
      <c r="F16956" s="7"/>
      <c r="G16956" s="7"/>
      <c r="H16956" s="7"/>
      <c r="I16956" s="7"/>
      <c r="J16956" s="7"/>
      <c r="K16956" s="7"/>
      <c r="L16956" s="7"/>
      <c r="M16956" s="7"/>
      <c r="N16956" s="7"/>
      <c r="O16956" s="7"/>
      <c r="P16956" s="7"/>
      <c r="Q16956" s="7"/>
      <c r="R16956" s="7"/>
      <c r="S16956" s="7"/>
      <c r="T16956" s="7"/>
      <c r="U16956" s="7"/>
      <c r="V16956" s="7"/>
      <c r="W16956" s="7"/>
      <c r="X16956" s="7"/>
      <c r="Y16956" s="7"/>
      <c r="Z16956" s="7"/>
      <c r="AA16956" s="7"/>
      <c r="AB16956" s="7"/>
      <c r="AC16956" s="7"/>
      <c r="AD16956" s="7"/>
      <c r="AE16956" s="7"/>
      <c r="AF16956" s="7"/>
    </row>
    <row r="16957" spans="1:32">
      <c r="A16957" s="7"/>
      <c r="B16957" s="7"/>
      <c r="C16957" s="7"/>
      <c r="D16957" s="7"/>
      <c r="E16957" s="7"/>
      <c r="F16957" s="7"/>
      <c r="G16957" s="7"/>
      <c r="H16957" s="7"/>
      <c r="I16957" s="7"/>
      <c r="J16957" s="7"/>
      <c r="K16957" s="7"/>
      <c r="L16957" s="7"/>
      <c r="M16957" s="7"/>
      <c r="N16957" s="7"/>
      <c r="O16957" s="7"/>
      <c r="P16957" s="7"/>
      <c r="Q16957" s="7"/>
      <c r="R16957" s="7"/>
      <c r="S16957" s="7"/>
      <c r="T16957" s="7"/>
      <c r="U16957" s="7"/>
      <c r="V16957" s="7"/>
      <c r="W16957" s="7"/>
      <c r="X16957" s="7"/>
      <c r="Y16957" s="7"/>
      <c r="Z16957" s="7"/>
      <c r="AA16957" s="7"/>
      <c r="AB16957" s="7"/>
      <c r="AC16957" s="7"/>
      <c r="AD16957" s="7"/>
      <c r="AE16957" s="7"/>
      <c r="AF16957" s="7"/>
    </row>
    <row r="16958" spans="1:32">
      <c r="A16958" s="7"/>
      <c r="B16958" s="7"/>
      <c r="C16958" s="7"/>
      <c r="D16958" s="7"/>
      <c r="E16958" s="7"/>
      <c r="F16958" s="7"/>
      <c r="G16958" s="7"/>
      <c r="H16958" s="7"/>
      <c r="I16958" s="7"/>
      <c r="J16958" s="7"/>
      <c r="K16958" s="7"/>
      <c r="L16958" s="7"/>
      <c r="M16958" s="7"/>
      <c r="N16958" s="7"/>
      <c r="O16958" s="7"/>
      <c r="P16958" s="7"/>
      <c r="Q16958" s="7"/>
      <c r="R16958" s="7"/>
      <c r="S16958" s="7"/>
      <c r="T16958" s="7"/>
      <c r="U16958" s="7"/>
      <c r="V16958" s="7"/>
      <c r="W16958" s="7"/>
      <c r="X16958" s="7"/>
      <c r="Y16958" s="7"/>
      <c r="Z16958" s="7"/>
      <c r="AA16958" s="7"/>
      <c r="AB16958" s="7"/>
      <c r="AC16958" s="7"/>
      <c r="AD16958" s="7"/>
      <c r="AE16958" s="7"/>
      <c r="AF16958" s="7"/>
    </row>
    <row r="16959" spans="1:32">
      <c r="A16959" s="7"/>
      <c r="B16959" s="7"/>
      <c r="C16959" s="7"/>
      <c r="D16959" s="7"/>
      <c r="E16959" s="7"/>
      <c r="F16959" s="7"/>
      <c r="G16959" s="7"/>
      <c r="H16959" s="7"/>
      <c r="I16959" s="7"/>
      <c r="J16959" s="7"/>
      <c r="K16959" s="7"/>
      <c r="L16959" s="7"/>
      <c r="M16959" s="7"/>
      <c r="N16959" s="7"/>
      <c r="O16959" s="7"/>
      <c r="P16959" s="7"/>
      <c r="Q16959" s="7"/>
      <c r="R16959" s="7"/>
      <c r="S16959" s="7"/>
      <c r="T16959" s="7"/>
      <c r="U16959" s="7"/>
      <c r="V16959" s="7"/>
      <c r="W16959" s="7"/>
      <c r="X16959" s="7"/>
      <c r="Y16959" s="7"/>
      <c r="Z16959" s="7"/>
      <c r="AA16959" s="7"/>
      <c r="AB16959" s="7"/>
      <c r="AC16959" s="7"/>
      <c r="AD16959" s="7"/>
      <c r="AE16959" s="7"/>
      <c r="AF16959" s="7"/>
    </row>
    <row r="16960" spans="1:32">
      <c r="A16960" s="7"/>
      <c r="B16960" s="7"/>
      <c r="C16960" s="7"/>
      <c r="D16960" s="7"/>
      <c r="E16960" s="7"/>
      <c r="F16960" s="7"/>
      <c r="G16960" s="7"/>
      <c r="H16960" s="7"/>
      <c r="I16960" s="7"/>
      <c r="J16960" s="7"/>
      <c r="K16960" s="7"/>
      <c r="L16960" s="7"/>
      <c r="M16960" s="7"/>
      <c r="N16960" s="7"/>
      <c r="O16960" s="7"/>
      <c r="P16960" s="7"/>
      <c r="Q16960" s="7"/>
      <c r="R16960" s="7"/>
      <c r="S16960" s="7"/>
      <c r="T16960" s="7"/>
      <c r="U16960" s="7"/>
      <c r="V16960" s="7"/>
      <c r="W16960" s="7"/>
      <c r="X16960" s="7"/>
      <c r="Y16960" s="7"/>
      <c r="Z16960" s="7"/>
      <c r="AA16960" s="7"/>
      <c r="AB16960" s="7"/>
      <c r="AC16960" s="7"/>
      <c r="AD16960" s="7"/>
      <c r="AE16960" s="7"/>
      <c r="AF16960" s="7"/>
    </row>
    <row r="16961" spans="1:32">
      <c r="A16961" s="7"/>
      <c r="B16961" s="7"/>
      <c r="C16961" s="7"/>
      <c r="D16961" s="7"/>
      <c r="E16961" s="7"/>
      <c r="F16961" s="7"/>
      <c r="G16961" s="7"/>
      <c r="H16961" s="7"/>
      <c r="I16961" s="7"/>
      <c r="J16961" s="7"/>
      <c r="K16961" s="7"/>
      <c r="L16961" s="7"/>
      <c r="M16961" s="7"/>
      <c r="N16961" s="7"/>
      <c r="O16961" s="7"/>
      <c r="P16961" s="7"/>
      <c r="Q16961" s="7"/>
      <c r="R16961" s="7"/>
      <c r="S16961" s="7"/>
      <c r="T16961" s="7"/>
      <c r="U16961" s="7"/>
      <c r="V16961" s="7"/>
      <c r="W16961" s="7"/>
      <c r="X16961" s="7"/>
      <c r="Y16961" s="7"/>
      <c r="Z16961" s="7"/>
      <c r="AA16961" s="7"/>
      <c r="AB16961" s="7"/>
      <c r="AC16961" s="7"/>
      <c r="AD16961" s="7"/>
      <c r="AE16961" s="7"/>
      <c r="AF16961" s="7"/>
    </row>
    <row r="16962" spans="1:32">
      <c r="A16962" s="7"/>
      <c r="B16962" s="7"/>
      <c r="C16962" s="7"/>
      <c r="D16962" s="7"/>
      <c r="E16962" s="7"/>
      <c r="F16962" s="7"/>
      <c r="G16962" s="7"/>
      <c r="H16962" s="7"/>
      <c r="I16962" s="7"/>
      <c r="J16962" s="7"/>
      <c r="K16962" s="7"/>
      <c r="L16962" s="7"/>
      <c r="M16962" s="7"/>
      <c r="N16962" s="7"/>
      <c r="O16962" s="7"/>
      <c r="P16962" s="7"/>
      <c r="Q16962" s="7"/>
      <c r="R16962" s="7"/>
      <c r="S16962" s="7"/>
      <c r="T16962" s="7"/>
      <c r="U16962" s="7"/>
      <c r="V16962" s="7"/>
      <c r="W16962" s="7"/>
      <c r="X16962" s="7"/>
      <c r="Y16962" s="7"/>
      <c r="Z16962" s="7"/>
      <c r="AA16962" s="7"/>
      <c r="AB16962" s="7"/>
      <c r="AC16962" s="7"/>
      <c r="AD16962" s="7"/>
      <c r="AE16962" s="7"/>
      <c r="AF16962" s="7"/>
    </row>
    <row r="16963" spans="1:32">
      <c r="A16963" s="7"/>
      <c r="B16963" s="7"/>
      <c r="C16963" s="7"/>
      <c r="D16963" s="7"/>
      <c r="E16963" s="7"/>
      <c r="F16963" s="7"/>
      <c r="G16963" s="7"/>
      <c r="H16963" s="7"/>
      <c r="I16963" s="7"/>
      <c r="J16963" s="7"/>
      <c r="K16963" s="7"/>
      <c r="L16963" s="7"/>
      <c r="M16963" s="7"/>
      <c r="N16963" s="7"/>
      <c r="O16963" s="7"/>
      <c r="P16963" s="7"/>
      <c r="Q16963" s="7"/>
      <c r="R16963" s="7"/>
      <c r="S16963" s="7"/>
      <c r="T16963" s="7"/>
      <c r="U16963" s="7"/>
      <c r="V16963" s="7"/>
      <c r="W16963" s="7"/>
      <c r="X16963" s="7"/>
      <c r="Y16963" s="7"/>
      <c r="Z16963" s="7"/>
      <c r="AA16963" s="7"/>
      <c r="AB16963" s="7"/>
      <c r="AC16963" s="7"/>
      <c r="AD16963" s="7"/>
      <c r="AE16963" s="7"/>
      <c r="AF16963" s="7"/>
    </row>
    <row r="16964" spans="1:32">
      <c r="A16964" s="7"/>
      <c r="B16964" s="7"/>
      <c r="C16964" s="7"/>
      <c r="D16964" s="7"/>
      <c r="E16964" s="7"/>
      <c r="F16964" s="7"/>
      <c r="G16964" s="7"/>
      <c r="H16964" s="7"/>
      <c r="I16964" s="7"/>
      <c r="J16964" s="7"/>
      <c r="K16964" s="7"/>
      <c r="L16964" s="7"/>
      <c r="M16964" s="7"/>
      <c r="N16964" s="7"/>
      <c r="O16964" s="7"/>
      <c r="P16964" s="7"/>
      <c r="Q16964" s="7"/>
      <c r="R16964" s="7"/>
      <c r="S16964" s="7"/>
      <c r="T16964" s="7"/>
      <c r="U16964" s="7"/>
      <c r="V16964" s="7"/>
      <c r="W16964" s="7"/>
      <c r="X16964" s="7"/>
      <c r="Y16964" s="7"/>
      <c r="Z16964" s="7"/>
      <c r="AA16964" s="7"/>
      <c r="AB16964" s="7"/>
      <c r="AC16964" s="7"/>
      <c r="AD16964" s="7"/>
      <c r="AE16964" s="7"/>
      <c r="AF16964" s="7"/>
    </row>
    <row r="16965" spans="1:32">
      <c r="A16965" s="7"/>
      <c r="B16965" s="7"/>
      <c r="C16965" s="7"/>
      <c r="D16965" s="7"/>
      <c r="E16965" s="7"/>
      <c r="F16965" s="7"/>
      <c r="G16965" s="7"/>
      <c r="H16965" s="7"/>
      <c r="I16965" s="7"/>
      <c r="J16965" s="7"/>
      <c r="K16965" s="7"/>
      <c r="L16965" s="7"/>
      <c r="M16965" s="7"/>
      <c r="N16965" s="7"/>
      <c r="O16965" s="7"/>
      <c r="P16965" s="7"/>
      <c r="Q16965" s="7"/>
      <c r="R16965" s="7"/>
      <c r="S16965" s="7"/>
      <c r="T16965" s="7"/>
      <c r="U16965" s="7"/>
      <c r="V16965" s="7"/>
      <c r="W16965" s="7"/>
      <c r="X16965" s="7"/>
      <c r="Y16965" s="7"/>
      <c r="Z16965" s="7"/>
      <c r="AA16965" s="7"/>
      <c r="AB16965" s="7"/>
      <c r="AC16965" s="7"/>
      <c r="AD16965" s="7"/>
      <c r="AE16965" s="7"/>
      <c r="AF16965" s="7"/>
    </row>
    <row r="16966" spans="1:32">
      <c r="A16966" s="7"/>
      <c r="B16966" s="7"/>
      <c r="C16966" s="7"/>
      <c r="D16966" s="7"/>
      <c r="E16966" s="7"/>
      <c r="F16966" s="7"/>
      <c r="G16966" s="7"/>
      <c r="H16966" s="7"/>
      <c r="I16966" s="7"/>
      <c r="J16966" s="7"/>
      <c r="K16966" s="7"/>
      <c r="L16966" s="7"/>
      <c r="M16966" s="7"/>
      <c r="N16966" s="7"/>
      <c r="O16966" s="7"/>
      <c r="P16966" s="7"/>
      <c r="Q16966" s="7"/>
      <c r="R16966" s="7"/>
      <c r="S16966" s="7"/>
      <c r="T16966" s="7"/>
      <c r="U16966" s="7"/>
      <c r="V16966" s="7"/>
      <c r="W16966" s="7"/>
      <c r="X16966" s="7"/>
      <c r="Y16966" s="7"/>
      <c r="Z16966" s="7"/>
      <c r="AA16966" s="7"/>
      <c r="AB16966" s="7"/>
      <c r="AC16966" s="7"/>
      <c r="AD16966" s="7"/>
      <c r="AE16966" s="7"/>
      <c r="AF16966" s="7"/>
    </row>
    <row r="16967" spans="1:32">
      <c r="A16967" s="7"/>
      <c r="B16967" s="7"/>
      <c r="C16967" s="7"/>
      <c r="D16967" s="7"/>
      <c r="E16967" s="7"/>
      <c r="F16967" s="7"/>
      <c r="G16967" s="7"/>
      <c r="H16967" s="7"/>
      <c r="I16967" s="7"/>
      <c r="J16967" s="7"/>
      <c r="K16967" s="7"/>
      <c r="L16967" s="7"/>
      <c r="M16967" s="7"/>
      <c r="N16967" s="7"/>
      <c r="O16967" s="7"/>
      <c r="P16967" s="7"/>
      <c r="Q16967" s="7"/>
      <c r="R16967" s="7"/>
      <c r="S16967" s="7"/>
      <c r="T16967" s="7"/>
      <c r="U16967" s="7"/>
      <c r="V16967" s="7"/>
      <c r="W16967" s="7"/>
      <c r="X16967" s="7"/>
      <c r="Y16967" s="7"/>
      <c r="Z16967" s="7"/>
      <c r="AA16967" s="7"/>
      <c r="AB16967" s="7"/>
      <c r="AC16967" s="7"/>
      <c r="AD16967" s="7"/>
      <c r="AE16967" s="7"/>
      <c r="AF16967" s="7"/>
    </row>
    <row r="16968" spans="1:32">
      <c r="A16968" s="7"/>
      <c r="B16968" s="7"/>
      <c r="C16968" s="7"/>
      <c r="D16968" s="7"/>
      <c r="E16968" s="7"/>
      <c r="F16968" s="7"/>
      <c r="G16968" s="7"/>
      <c r="H16968" s="7"/>
      <c r="I16968" s="7"/>
      <c r="J16968" s="7"/>
      <c r="K16968" s="7"/>
      <c r="L16968" s="7"/>
      <c r="M16968" s="7"/>
      <c r="N16968" s="7"/>
      <c r="O16968" s="7"/>
      <c r="P16968" s="7"/>
      <c r="Q16968" s="7"/>
      <c r="R16968" s="7"/>
      <c r="S16968" s="7"/>
      <c r="T16968" s="7"/>
      <c r="U16968" s="7"/>
      <c r="V16968" s="7"/>
      <c r="W16968" s="7"/>
      <c r="X16968" s="7"/>
      <c r="Y16968" s="7"/>
      <c r="Z16968" s="7"/>
      <c r="AA16968" s="7"/>
      <c r="AB16968" s="7"/>
      <c r="AC16968" s="7"/>
      <c r="AD16968" s="7"/>
      <c r="AE16968" s="7"/>
      <c r="AF16968" s="7"/>
    </row>
    <row r="16969" spans="1:32">
      <c r="A16969" s="7"/>
      <c r="B16969" s="7"/>
      <c r="C16969" s="7"/>
      <c r="D16969" s="7"/>
      <c r="E16969" s="7"/>
      <c r="F16969" s="7"/>
      <c r="G16969" s="7"/>
      <c r="H16969" s="7"/>
      <c r="I16969" s="7"/>
      <c r="J16969" s="7"/>
      <c r="K16969" s="7"/>
      <c r="L16969" s="7"/>
      <c r="M16969" s="7"/>
      <c r="N16969" s="7"/>
      <c r="O16969" s="7"/>
      <c r="P16969" s="7"/>
      <c r="Q16969" s="7"/>
      <c r="R16969" s="7"/>
      <c r="S16969" s="7"/>
      <c r="T16969" s="7"/>
      <c r="U16969" s="7"/>
      <c r="V16969" s="7"/>
      <c r="W16969" s="7"/>
      <c r="X16969" s="7"/>
      <c r="Y16969" s="7"/>
      <c r="Z16969" s="7"/>
      <c r="AA16969" s="7"/>
      <c r="AB16969" s="7"/>
      <c r="AC16969" s="7"/>
      <c r="AD16969" s="7"/>
      <c r="AE16969" s="7"/>
      <c r="AF16969" s="7"/>
    </row>
    <row r="16970" spans="1:32">
      <c r="A16970" s="7"/>
      <c r="B16970" s="7"/>
      <c r="C16970" s="7"/>
      <c r="D16970" s="7"/>
      <c r="E16970" s="7"/>
      <c r="F16970" s="7"/>
      <c r="G16970" s="7"/>
      <c r="H16970" s="7"/>
      <c r="I16970" s="7"/>
      <c r="J16970" s="7"/>
      <c r="K16970" s="7"/>
      <c r="L16970" s="7"/>
      <c r="M16970" s="7"/>
      <c r="N16970" s="7"/>
      <c r="O16970" s="7"/>
      <c r="P16970" s="7"/>
      <c r="Q16970" s="7"/>
      <c r="R16970" s="7"/>
      <c r="S16970" s="7"/>
      <c r="T16970" s="7"/>
      <c r="U16970" s="7"/>
      <c r="V16970" s="7"/>
      <c r="W16970" s="7"/>
      <c r="X16970" s="7"/>
      <c r="Y16970" s="7"/>
      <c r="Z16970" s="7"/>
      <c r="AA16970" s="7"/>
      <c r="AB16970" s="7"/>
      <c r="AC16970" s="7"/>
      <c r="AD16970" s="7"/>
      <c r="AE16970" s="7"/>
      <c r="AF16970" s="7"/>
    </row>
    <row r="16971" spans="1:32">
      <c r="A16971" s="7"/>
      <c r="B16971" s="7"/>
      <c r="C16971" s="7"/>
      <c r="D16971" s="7"/>
      <c r="E16971" s="7"/>
      <c r="F16971" s="7"/>
      <c r="G16971" s="7"/>
      <c r="H16971" s="7"/>
      <c r="I16971" s="7"/>
      <c r="J16971" s="7"/>
      <c r="K16971" s="7"/>
      <c r="L16971" s="7"/>
      <c r="M16971" s="7"/>
      <c r="N16971" s="7"/>
      <c r="O16971" s="7"/>
      <c r="P16971" s="7"/>
      <c r="Q16971" s="7"/>
      <c r="R16971" s="7"/>
      <c r="S16971" s="7"/>
      <c r="T16971" s="7"/>
      <c r="U16971" s="7"/>
      <c r="V16971" s="7"/>
      <c r="W16971" s="7"/>
      <c r="X16971" s="7"/>
      <c r="Y16971" s="7"/>
      <c r="Z16971" s="7"/>
      <c r="AA16971" s="7"/>
      <c r="AB16971" s="7"/>
      <c r="AC16971" s="7"/>
      <c r="AD16971" s="7"/>
      <c r="AE16971" s="7"/>
      <c r="AF16971" s="7"/>
    </row>
    <row r="16972" spans="1:32">
      <c r="A16972" s="7"/>
      <c r="B16972" s="7"/>
      <c r="C16972" s="7"/>
      <c r="D16972" s="7"/>
      <c r="E16972" s="7"/>
      <c r="F16972" s="7"/>
      <c r="G16972" s="7"/>
      <c r="H16972" s="7"/>
      <c r="I16972" s="7"/>
      <c r="J16972" s="7"/>
      <c r="K16972" s="7"/>
      <c r="L16972" s="7"/>
      <c r="M16972" s="7"/>
      <c r="N16972" s="7"/>
      <c r="O16972" s="7"/>
      <c r="P16972" s="7"/>
      <c r="Q16972" s="7"/>
      <c r="R16972" s="7"/>
      <c r="S16972" s="7"/>
      <c r="T16972" s="7"/>
      <c r="U16972" s="7"/>
      <c r="V16972" s="7"/>
      <c r="W16972" s="7"/>
      <c r="X16972" s="7"/>
      <c r="Y16972" s="7"/>
      <c r="Z16972" s="7"/>
      <c r="AA16972" s="7"/>
      <c r="AB16972" s="7"/>
      <c r="AC16972" s="7"/>
      <c r="AD16972" s="7"/>
      <c r="AE16972" s="7"/>
      <c r="AF16972" s="7"/>
    </row>
    <row r="16973" spans="1:32">
      <c r="A16973" s="7"/>
      <c r="B16973" s="7"/>
      <c r="C16973" s="7"/>
      <c r="D16973" s="7"/>
      <c r="E16973" s="7"/>
      <c r="F16973" s="7"/>
      <c r="G16973" s="7"/>
      <c r="H16973" s="7"/>
      <c r="I16973" s="7"/>
      <c r="J16973" s="7"/>
      <c r="K16973" s="7"/>
      <c r="L16973" s="7"/>
      <c r="M16973" s="7"/>
      <c r="N16973" s="7"/>
      <c r="O16973" s="7"/>
      <c r="P16973" s="7"/>
      <c r="Q16973" s="7"/>
      <c r="R16973" s="7"/>
      <c r="S16973" s="7"/>
      <c r="T16973" s="7"/>
      <c r="U16973" s="7"/>
      <c r="V16973" s="7"/>
      <c r="W16973" s="7"/>
      <c r="X16973" s="7"/>
      <c r="Y16973" s="7"/>
      <c r="Z16973" s="7"/>
      <c r="AA16973" s="7"/>
      <c r="AB16973" s="7"/>
      <c r="AC16973" s="7"/>
      <c r="AD16973" s="7"/>
      <c r="AE16973" s="7"/>
      <c r="AF16973" s="7"/>
    </row>
    <row r="16974" spans="1:32">
      <c r="A16974" s="7"/>
      <c r="B16974" s="7"/>
      <c r="C16974" s="7"/>
      <c r="D16974" s="7"/>
      <c r="E16974" s="7"/>
      <c r="F16974" s="7"/>
      <c r="G16974" s="7"/>
      <c r="H16974" s="7"/>
      <c r="I16974" s="7"/>
      <c r="J16974" s="7"/>
      <c r="K16974" s="7"/>
      <c r="L16974" s="7"/>
      <c r="M16974" s="7"/>
      <c r="N16974" s="7"/>
      <c r="O16974" s="7"/>
      <c r="P16974" s="7"/>
      <c r="Q16974" s="7"/>
      <c r="R16974" s="7"/>
      <c r="S16974" s="7"/>
      <c r="T16974" s="7"/>
      <c r="U16974" s="7"/>
      <c r="V16974" s="7"/>
      <c r="W16974" s="7"/>
      <c r="X16974" s="7"/>
      <c r="Y16974" s="7"/>
      <c r="Z16974" s="7"/>
      <c r="AA16974" s="7"/>
      <c r="AB16974" s="7"/>
      <c r="AC16974" s="7"/>
      <c r="AD16974" s="7"/>
      <c r="AE16974" s="7"/>
      <c r="AF16974" s="7"/>
    </row>
    <row r="16975" spans="1:32">
      <c r="A16975" s="7"/>
      <c r="B16975" s="7"/>
      <c r="C16975" s="7"/>
      <c r="D16975" s="7"/>
      <c r="E16975" s="7"/>
      <c r="F16975" s="7"/>
      <c r="G16975" s="7"/>
      <c r="H16975" s="7"/>
      <c r="I16975" s="7"/>
      <c r="J16975" s="7"/>
      <c r="K16975" s="7"/>
      <c r="L16975" s="7"/>
      <c r="M16975" s="7"/>
      <c r="N16975" s="7"/>
      <c r="O16975" s="7"/>
      <c r="P16975" s="7"/>
      <c r="Q16975" s="7"/>
      <c r="R16975" s="7"/>
      <c r="S16975" s="7"/>
      <c r="T16975" s="7"/>
      <c r="U16975" s="7"/>
      <c r="V16975" s="7"/>
      <c r="W16975" s="7"/>
      <c r="X16975" s="7"/>
      <c r="Y16975" s="7"/>
      <c r="Z16975" s="7"/>
      <c r="AA16975" s="7"/>
      <c r="AB16975" s="7"/>
      <c r="AC16975" s="7"/>
      <c r="AD16975" s="7"/>
      <c r="AE16975" s="7"/>
      <c r="AF16975" s="7"/>
    </row>
    <row r="16976" spans="1:32">
      <c r="A16976" s="7"/>
      <c r="B16976" s="7"/>
      <c r="C16976" s="7"/>
      <c r="D16976" s="7"/>
      <c r="E16976" s="7"/>
      <c r="F16976" s="7"/>
      <c r="G16976" s="7"/>
      <c r="H16976" s="7"/>
      <c r="I16976" s="7"/>
      <c r="J16976" s="7"/>
      <c r="K16976" s="7"/>
      <c r="L16976" s="7"/>
      <c r="M16976" s="7"/>
      <c r="N16976" s="7"/>
      <c r="O16976" s="7"/>
      <c r="P16976" s="7"/>
      <c r="Q16976" s="7"/>
      <c r="R16976" s="7"/>
      <c r="S16976" s="7"/>
      <c r="T16976" s="7"/>
      <c r="U16976" s="7"/>
      <c r="V16976" s="7"/>
      <c r="W16976" s="7"/>
      <c r="X16976" s="7"/>
      <c r="Y16976" s="7"/>
      <c r="Z16976" s="7"/>
      <c r="AA16976" s="7"/>
      <c r="AB16976" s="7"/>
      <c r="AC16976" s="7"/>
      <c r="AD16976" s="7"/>
      <c r="AE16976" s="7"/>
      <c r="AF16976" s="7"/>
    </row>
    <row r="16977" spans="1:32">
      <c r="A16977" s="7"/>
      <c r="B16977" s="7"/>
      <c r="C16977" s="7"/>
      <c r="D16977" s="7"/>
      <c r="E16977" s="7"/>
      <c r="F16977" s="7"/>
      <c r="G16977" s="7"/>
      <c r="H16977" s="7"/>
      <c r="I16977" s="7"/>
      <c r="J16977" s="7"/>
      <c r="K16977" s="7"/>
      <c r="L16977" s="7"/>
      <c r="M16977" s="7"/>
      <c r="N16977" s="7"/>
      <c r="O16977" s="7"/>
      <c r="P16977" s="7"/>
      <c r="Q16977" s="7"/>
      <c r="R16977" s="7"/>
      <c r="S16977" s="7"/>
      <c r="T16977" s="7"/>
      <c r="U16977" s="7"/>
      <c r="V16977" s="7"/>
      <c r="W16977" s="7"/>
      <c r="X16977" s="7"/>
      <c r="Y16977" s="7"/>
      <c r="Z16977" s="7"/>
      <c r="AA16977" s="7"/>
      <c r="AB16977" s="7"/>
      <c r="AC16977" s="7"/>
      <c r="AD16977" s="7"/>
      <c r="AE16977" s="7"/>
      <c r="AF16977" s="7"/>
    </row>
    <row r="16978" spans="1:32">
      <c r="A16978" s="7"/>
      <c r="B16978" s="7"/>
      <c r="C16978" s="7"/>
      <c r="D16978" s="7"/>
      <c r="E16978" s="7"/>
      <c r="F16978" s="7"/>
      <c r="G16978" s="7"/>
      <c r="H16978" s="7"/>
      <c r="I16978" s="7"/>
      <c r="J16978" s="7"/>
      <c r="K16978" s="7"/>
      <c r="L16978" s="7"/>
      <c r="M16978" s="7"/>
      <c r="N16978" s="7"/>
      <c r="O16978" s="7"/>
      <c r="P16978" s="7"/>
      <c r="Q16978" s="7"/>
      <c r="R16978" s="7"/>
      <c r="S16978" s="7"/>
      <c r="T16978" s="7"/>
      <c r="U16978" s="7"/>
      <c r="V16978" s="7"/>
      <c r="W16978" s="7"/>
      <c r="X16978" s="7"/>
      <c r="Y16978" s="7"/>
      <c r="Z16978" s="7"/>
      <c r="AA16978" s="7"/>
      <c r="AB16978" s="7"/>
      <c r="AC16978" s="7"/>
      <c r="AD16978" s="7"/>
      <c r="AE16978" s="7"/>
      <c r="AF16978" s="7"/>
    </row>
    <row r="16979" spans="1:32">
      <c r="A16979" s="7"/>
      <c r="B16979" s="7"/>
      <c r="C16979" s="7"/>
      <c r="D16979" s="7"/>
      <c r="E16979" s="7"/>
      <c r="F16979" s="7"/>
      <c r="G16979" s="7"/>
      <c r="H16979" s="7"/>
      <c r="I16979" s="7"/>
      <c r="J16979" s="7"/>
      <c r="K16979" s="7"/>
      <c r="L16979" s="7"/>
      <c r="M16979" s="7"/>
      <c r="N16979" s="7"/>
      <c r="O16979" s="7"/>
      <c r="P16979" s="7"/>
      <c r="Q16979" s="7"/>
      <c r="R16979" s="7"/>
      <c r="S16979" s="7"/>
      <c r="T16979" s="7"/>
      <c r="U16979" s="7"/>
      <c r="V16979" s="7"/>
      <c r="W16979" s="7"/>
      <c r="X16979" s="7"/>
      <c r="Y16979" s="7"/>
      <c r="Z16979" s="7"/>
      <c r="AA16979" s="7"/>
      <c r="AB16979" s="7"/>
      <c r="AC16979" s="7"/>
      <c r="AD16979" s="7"/>
      <c r="AE16979" s="7"/>
      <c r="AF16979" s="7"/>
    </row>
    <row r="16980" spans="1:32">
      <c r="A16980" s="7"/>
      <c r="B16980" s="7"/>
      <c r="C16980" s="7"/>
      <c r="D16980" s="7"/>
      <c r="E16980" s="7"/>
      <c r="F16980" s="7"/>
      <c r="G16980" s="7"/>
      <c r="H16980" s="7"/>
      <c r="I16980" s="7"/>
      <c r="J16980" s="7"/>
      <c r="K16980" s="7"/>
      <c r="L16980" s="7"/>
      <c r="M16980" s="7"/>
      <c r="N16980" s="7"/>
      <c r="O16980" s="7"/>
      <c r="P16980" s="7"/>
      <c r="Q16980" s="7"/>
      <c r="R16980" s="7"/>
      <c r="S16980" s="7"/>
      <c r="T16980" s="7"/>
      <c r="U16980" s="7"/>
      <c r="V16980" s="7"/>
      <c r="W16980" s="7"/>
      <c r="X16980" s="7"/>
      <c r="Y16980" s="7"/>
      <c r="Z16980" s="7"/>
      <c r="AA16980" s="7"/>
      <c r="AB16980" s="7"/>
      <c r="AC16980" s="7"/>
      <c r="AD16980" s="7"/>
      <c r="AE16980" s="7"/>
      <c r="AF16980" s="7"/>
    </row>
    <row r="16981" spans="1:32">
      <c r="A16981" s="7"/>
      <c r="B16981" s="7"/>
      <c r="C16981" s="7"/>
      <c r="D16981" s="7"/>
      <c r="E16981" s="7"/>
      <c r="F16981" s="7"/>
      <c r="G16981" s="7"/>
      <c r="H16981" s="7"/>
      <c r="I16981" s="7"/>
      <c r="J16981" s="7"/>
      <c r="K16981" s="7"/>
      <c r="L16981" s="7"/>
      <c r="M16981" s="7"/>
      <c r="N16981" s="7"/>
      <c r="O16981" s="7"/>
      <c r="P16981" s="7"/>
      <c r="Q16981" s="7"/>
      <c r="R16981" s="7"/>
      <c r="S16981" s="7"/>
      <c r="T16981" s="7"/>
      <c r="U16981" s="7"/>
      <c r="V16981" s="7"/>
      <c r="W16981" s="7"/>
      <c r="X16981" s="7"/>
      <c r="Y16981" s="7"/>
      <c r="Z16981" s="7"/>
      <c r="AA16981" s="7"/>
      <c r="AB16981" s="7"/>
      <c r="AC16981" s="7"/>
      <c r="AD16981" s="7"/>
      <c r="AE16981" s="7"/>
      <c r="AF16981" s="7"/>
    </row>
    <row r="16982" spans="1:32">
      <c r="A16982" s="7"/>
      <c r="B16982" s="7"/>
      <c r="C16982" s="7"/>
      <c r="D16982" s="7"/>
      <c r="E16982" s="7"/>
      <c r="F16982" s="7"/>
      <c r="G16982" s="7"/>
      <c r="H16982" s="7"/>
      <c r="I16982" s="7"/>
      <c r="J16982" s="7"/>
      <c r="K16982" s="7"/>
      <c r="L16982" s="7"/>
      <c r="M16982" s="7"/>
      <c r="N16982" s="7"/>
      <c r="O16982" s="7"/>
      <c r="P16982" s="7"/>
      <c r="Q16982" s="7"/>
      <c r="R16982" s="7"/>
      <c r="S16982" s="7"/>
      <c r="T16982" s="7"/>
      <c r="U16982" s="7"/>
      <c r="V16982" s="7"/>
      <c r="W16982" s="7"/>
      <c r="X16982" s="7"/>
      <c r="Y16982" s="7"/>
      <c r="Z16982" s="7"/>
      <c r="AA16982" s="7"/>
      <c r="AB16982" s="7"/>
      <c r="AC16982" s="7"/>
      <c r="AD16982" s="7"/>
      <c r="AE16982" s="7"/>
      <c r="AF16982" s="7"/>
    </row>
    <row r="16983" spans="1:32">
      <c r="A16983" s="7"/>
      <c r="B16983" s="7"/>
      <c r="C16983" s="7"/>
      <c r="D16983" s="7"/>
      <c r="E16983" s="7"/>
      <c r="F16983" s="7"/>
      <c r="G16983" s="7"/>
      <c r="H16983" s="7"/>
      <c r="I16983" s="7"/>
      <c r="J16983" s="7"/>
      <c r="K16983" s="7"/>
      <c r="L16983" s="7"/>
      <c r="M16983" s="7"/>
      <c r="N16983" s="7"/>
      <c r="O16983" s="7"/>
      <c r="P16983" s="7"/>
      <c r="Q16983" s="7"/>
      <c r="R16983" s="7"/>
      <c r="S16983" s="7"/>
      <c r="T16983" s="7"/>
      <c r="U16983" s="7"/>
      <c r="V16983" s="7"/>
      <c r="W16983" s="7"/>
      <c r="X16983" s="7"/>
      <c r="Y16983" s="7"/>
      <c r="Z16983" s="7"/>
      <c r="AA16983" s="7"/>
      <c r="AB16983" s="7"/>
      <c r="AC16983" s="7"/>
      <c r="AD16983" s="7"/>
      <c r="AE16983" s="7"/>
      <c r="AF16983" s="7"/>
    </row>
    <row r="16984" spans="1:32">
      <c r="A16984" s="7"/>
      <c r="B16984" s="7"/>
      <c r="C16984" s="7"/>
      <c r="D16984" s="7"/>
      <c r="E16984" s="7"/>
      <c r="F16984" s="7"/>
      <c r="G16984" s="7"/>
      <c r="H16984" s="7"/>
      <c r="I16984" s="7"/>
      <c r="J16984" s="7"/>
      <c r="K16984" s="7"/>
      <c r="L16984" s="7"/>
      <c r="M16984" s="7"/>
      <c r="N16984" s="7"/>
      <c r="O16984" s="7"/>
      <c r="P16984" s="7"/>
      <c r="Q16984" s="7"/>
      <c r="R16984" s="7"/>
      <c r="S16984" s="7"/>
      <c r="T16984" s="7"/>
      <c r="U16984" s="7"/>
      <c r="V16984" s="7"/>
      <c r="W16984" s="7"/>
      <c r="X16984" s="7"/>
      <c r="Y16984" s="7"/>
      <c r="Z16984" s="7"/>
      <c r="AA16984" s="7"/>
      <c r="AB16984" s="7"/>
      <c r="AC16984" s="7"/>
      <c r="AD16984" s="7"/>
      <c r="AE16984" s="7"/>
      <c r="AF16984" s="7"/>
    </row>
    <row r="16985" spans="1:32">
      <c r="A16985" s="7"/>
      <c r="B16985" s="7"/>
      <c r="C16985" s="7"/>
      <c r="D16985" s="7"/>
      <c r="E16985" s="7"/>
      <c r="F16985" s="7"/>
      <c r="G16985" s="7"/>
      <c r="H16985" s="7"/>
      <c r="I16985" s="7"/>
      <c r="J16985" s="7"/>
      <c r="K16985" s="7"/>
      <c r="L16985" s="7"/>
      <c r="M16985" s="7"/>
      <c r="N16985" s="7"/>
      <c r="O16985" s="7"/>
      <c r="P16985" s="7"/>
      <c r="Q16985" s="7"/>
      <c r="R16985" s="7"/>
      <c r="S16985" s="7"/>
      <c r="T16985" s="7"/>
      <c r="U16985" s="7"/>
      <c r="V16985" s="7"/>
      <c r="W16985" s="7"/>
      <c r="X16985" s="7"/>
      <c r="Y16985" s="7"/>
      <c r="Z16985" s="7"/>
      <c r="AA16985" s="7"/>
      <c r="AB16985" s="7"/>
      <c r="AC16985" s="7"/>
      <c r="AD16985" s="7"/>
      <c r="AE16985" s="7"/>
      <c r="AF16985" s="7"/>
    </row>
    <row r="16986" spans="1:32">
      <c r="A16986" s="7"/>
      <c r="B16986" s="7"/>
      <c r="C16986" s="7"/>
      <c r="D16986" s="7"/>
      <c r="E16986" s="7"/>
      <c r="F16986" s="7"/>
      <c r="G16986" s="7"/>
      <c r="H16986" s="7"/>
      <c r="I16986" s="7"/>
      <c r="J16986" s="7"/>
      <c r="K16986" s="7"/>
      <c r="L16986" s="7"/>
      <c r="M16986" s="7"/>
      <c r="N16986" s="7"/>
      <c r="O16986" s="7"/>
      <c r="P16986" s="7"/>
      <c r="Q16986" s="7"/>
      <c r="R16986" s="7"/>
      <c r="S16986" s="7"/>
      <c r="T16986" s="7"/>
      <c r="U16986" s="7"/>
      <c r="V16986" s="7"/>
      <c r="W16986" s="7"/>
      <c r="X16986" s="7"/>
      <c r="Y16986" s="7"/>
      <c r="Z16986" s="7"/>
      <c r="AA16986" s="7"/>
      <c r="AB16986" s="7"/>
      <c r="AC16986" s="7"/>
      <c r="AD16986" s="7"/>
      <c r="AE16986" s="7"/>
      <c r="AF16986" s="7"/>
    </row>
    <row r="16987" spans="1:32">
      <c r="A16987" s="7"/>
      <c r="B16987" s="7"/>
      <c r="C16987" s="7"/>
      <c r="D16987" s="7"/>
      <c r="E16987" s="7"/>
      <c r="F16987" s="7"/>
      <c r="G16987" s="7"/>
      <c r="H16987" s="7"/>
      <c r="I16987" s="7"/>
      <c r="J16987" s="7"/>
      <c r="K16987" s="7"/>
      <c r="L16987" s="7"/>
      <c r="M16987" s="7"/>
      <c r="N16987" s="7"/>
      <c r="O16987" s="7"/>
      <c r="P16987" s="7"/>
      <c r="Q16987" s="7"/>
      <c r="R16987" s="7"/>
      <c r="S16987" s="7"/>
      <c r="T16987" s="7"/>
      <c r="U16987" s="7"/>
      <c r="V16987" s="7"/>
      <c r="W16987" s="7"/>
      <c r="X16987" s="7"/>
      <c r="Y16987" s="7"/>
      <c r="Z16987" s="7"/>
      <c r="AA16987" s="7"/>
      <c r="AB16987" s="7"/>
      <c r="AC16987" s="7"/>
      <c r="AD16987" s="7"/>
      <c r="AE16987" s="7"/>
      <c r="AF16987" s="7"/>
    </row>
    <row r="16988" spans="1:32">
      <c r="A16988" s="7"/>
      <c r="B16988" s="7"/>
      <c r="C16988" s="7"/>
      <c r="D16988" s="7"/>
      <c r="E16988" s="7"/>
      <c r="F16988" s="7"/>
      <c r="G16988" s="7"/>
      <c r="H16988" s="7"/>
      <c r="I16988" s="7"/>
      <c r="J16988" s="7"/>
      <c r="K16988" s="7"/>
      <c r="L16988" s="7"/>
      <c r="M16988" s="7"/>
      <c r="N16988" s="7"/>
      <c r="O16988" s="7"/>
      <c r="P16988" s="7"/>
      <c r="Q16988" s="7"/>
      <c r="R16988" s="7"/>
      <c r="S16988" s="7"/>
      <c r="T16988" s="7"/>
      <c r="U16988" s="7"/>
      <c r="V16988" s="7"/>
      <c r="W16988" s="7"/>
      <c r="X16988" s="7"/>
      <c r="Y16988" s="7"/>
      <c r="Z16988" s="7"/>
      <c r="AA16988" s="7"/>
      <c r="AB16988" s="7"/>
      <c r="AC16988" s="7"/>
      <c r="AD16988" s="7"/>
      <c r="AE16988" s="7"/>
      <c r="AF16988" s="7"/>
    </row>
    <row r="16989" spans="1:32">
      <c r="A16989" s="7"/>
      <c r="B16989" s="7"/>
      <c r="C16989" s="7"/>
      <c r="D16989" s="7"/>
      <c r="E16989" s="7"/>
      <c r="F16989" s="7"/>
      <c r="G16989" s="7"/>
      <c r="H16989" s="7"/>
      <c r="I16989" s="7"/>
      <c r="J16989" s="7"/>
      <c r="K16989" s="7"/>
      <c r="L16989" s="7"/>
      <c r="M16989" s="7"/>
      <c r="N16989" s="7"/>
      <c r="O16989" s="7"/>
      <c r="P16989" s="7"/>
      <c r="Q16989" s="7"/>
      <c r="R16989" s="7"/>
      <c r="S16989" s="7"/>
      <c r="T16989" s="7"/>
      <c r="U16989" s="7"/>
      <c r="V16989" s="7"/>
      <c r="W16989" s="7"/>
      <c r="X16989" s="7"/>
      <c r="Y16989" s="7"/>
      <c r="Z16989" s="7"/>
      <c r="AA16989" s="7"/>
      <c r="AB16989" s="7"/>
      <c r="AC16989" s="7"/>
      <c r="AD16989" s="7"/>
      <c r="AE16989" s="7"/>
      <c r="AF16989" s="7"/>
    </row>
    <row r="16990" spans="1:32">
      <c r="A16990" s="7"/>
      <c r="B16990" s="7"/>
      <c r="C16990" s="7"/>
      <c r="D16990" s="7"/>
      <c r="E16990" s="7"/>
      <c r="F16990" s="7"/>
      <c r="G16990" s="7"/>
      <c r="H16990" s="7"/>
      <c r="I16990" s="7"/>
      <c r="J16990" s="7"/>
      <c r="K16990" s="7"/>
      <c r="L16990" s="7"/>
      <c r="M16990" s="7"/>
      <c r="N16990" s="7"/>
      <c r="O16990" s="7"/>
      <c r="P16990" s="7"/>
      <c r="Q16990" s="7"/>
      <c r="R16990" s="7"/>
      <c r="S16990" s="7"/>
      <c r="T16990" s="7"/>
      <c r="U16990" s="7"/>
      <c r="V16990" s="7"/>
      <c r="W16990" s="7"/>
      <c r="X16990" s="7"/>
      <c r="Y16990" s="7"/>
      <c r="Z16990" s="7"/>
      <c r="AA16990" s="7"/>
      <c r="AB16990" s="7"/>
      <c r="AC16990" s="7"/>
      <c r="AD16990" s="7"/>
      <c r="AE16990" s="7"/>
      <c r="AF16990" s="7"/>
    </row>
    <row r="16991" spans="1:32">
      <c r="A16991" s="7"/>
      <c r="B16991" s="7"/>
      <c r="C16991" s="7"/>
      <c r="D16991" s="7"/>
      <c r="E16991" s="7"/>
      <c r="F16991" s="7"/>
      <c r="G16991" s="7"/>
      <c r="H16991" s="7"/>
      <c r="I16991" s="7"/>
      <c r="J16991" s="7"/>
      <c r="K16991" s="7"/>
      <c r="L16991" s="7"/>
      <c r="M16991" s="7"/>
      <c r="N16991" s="7"/>
      <c r="O16991" s="7"/>
      <c r="P16991" s="7"/>
      <c r="Q16991" s="7"/>
      <c r="R16991" s="7"/>
      <c r="S16991" s="7"/>
      <c r="T16991" s="7"/>
      <c r="U16991" s="7"/>
      <c r="V16991" s="7"/>
      <c r="W16991" s="7"/>
      <c r="X16991" s="7"/>
      <c r="Y16991" s="7"/>
      <c r="Z16991" s="7"/>
      <c r="AA16991" s="7"/>
      <c r="AB16991" s="7"/>
      <c r="AC16991" s="7"/>
      <c r="AD16991" s="7"/>
      <c r="AE16991" s="7"/>
      <c r="AF16991" s="7"/>
    </row>
    <row r="16992" spans="1:32">
      <c r="A16992" s="7"/>
      <c r="B16992" s="7"/>
      <c r="C16992" s="7"/>
      <c r="D16992" s="7"/>
      <c r="E16992" s="7"/>
      <c r="F16992" s="7"/>
      <c r="G16992" s="7"/>
      <c r="H16992" s="7"/>
      <c r="I16992" s="7"/>
      <c r="J16992" s="7"/>
      <c r="K16992" s="7"/>
      <c r="L16992" s="7"/>
      <c r="M16992" s="7"/>
      <c r="N16992" s="7"/>
      <c r="O16992" s="7"/>
      <c r="P16992" s="7"/>
      <c r="Q16992" s="7"/>
      <c r="R16992" s="7"/>
      <c r="S16992" s="7"/>
      <c r="T16992" s="7"/>
      <c r="U16992" s="7"/>
      <c r="V16992" s="7"/>
      <c r="W16992" s="7"/>
      <c r="X16992" s="7"/>
      <c r="Y16992" s="7"/>
      <c r="Z16992" s="7"/>
      <c r="AA16992" s="7"/>
      <c r="AB16992" s="7"/>
      <c r="AC16992" s="7"/>
      <c r="AD16992" s="7"/>
      <c r="AE16992" s="7"/>
      <c r="AF16992" s="7"/>
    </row>
    <row r="16993" spans="1:32">
      <c r="A16993" s="7"/>
      <c r="B16993" s="7"/>
      <c r="C16993" s="7"/>
      <c r="D16993" s="7"/>
      <c r="E16993" s="7"/>
      <c r="F16993" s="7"/>
      <c r="G16993" s="7"/>
      <c r="H16993" s="7"/>
      <c r="I16993" s="7"/>
      <c r="J16993" s="7"/>
      <c r="K16993" s="7"/>
      <c r="L16993" s="7"/>
      <c r="M16993" s="7"/>
      <c r="N16993" s="7"/>
      <c r="O16993" s="7"/>
      <c r="P16993" s="7"/>
      <c r="Q16993" s="7"/>
      <c r="R16993" s="7"/>
      <c r="S16993" s="7"/>
      <c r="T16993" s="7"/>
      <c r="U16993" s="7"/>
      <c r="V16993" s="7"/>
      <c r="W16993" s="7"/>
      <c r="X16993" s="7"/>
      <c r="Y16993" s="7"/>
      <c r="Z16993" s="7"/>
      <c r="AA16993" s="7"/>
      <c r="AB16993" s="7"/>
      <c r="AC16993" s="7"/>
      <c r="AD16993" s="7"/>
      <c r="AE16993" s="7"/>
      <c r="AF16993" s="7"/>
    </row>
    <row r="16994" spans="1:32">
      <c r="A16994" s="7"/>
      <c r="B16994" s="7"/>
      <c r="C16994" s="7"/>
      <c r="D16994" s="7"/>
      <c r="E16994" s="7"/>
      <c r="F16994" s="7"/>
      <c r="G16994" s="7"/>
      <c r="H16994" s="7"/>
      <c r="I16994" s="7"/>
      <c r="J16994" s="7"/>
      <c r="K16994" s="7"/>
      <c r="L16994" s="7"/>
      <c r="M16994" s="7"/>
      <c r="N16994" s="7"/>
      <c r="O16994" s="7"/>
      <c r="P16994" s="7"/>
      <c r="Q16994" s="7"/>
      <c r="R16994" s="7"/>
      <c r="S16994" s="7"/>
      <c r="T16994" s="7"/>
      <c r="U16994" s="7"/>
      <c r="V16994" s="7"/>
      <c r="W16994" s="7"/>
      <c r="X16994" s="7"/>
      <c r="Y16994" s="7"/>
      <c r="Z16994" s="7"/>
      <c r="AA16994" s="7"/>
      <c r="AB16994" s="7"/>
      <c r="AC16994" s="7"/>
      <c r="AD16994" s="7"/>
      <c r="AE16994" s="7"/>
      <c r="AF16994" s="7"/>
    </row>
    <row r="16995" spans="1:32">
      <c r="A16995" s="7"/>
      <c r="B16995" s="7"/>
      <c r="C16995" s="7"/>
      <c r="D16995" s="7"/>
      <c r="E16995" s="7"/>
      <c r="F16995" s="7"/>
      <c r="G16995" s="7"/>
      <c r="H16995" s="7"/>
      <c r="I16995" s="7"/>
      <c r="J16995" s="7"/>
      <c r="K16995" s="7"/>
      <c r="L16995" s="7"/>
      <c r="M16995" s="7"/>
      <c r="N16995" s="7"/>
      <c r="O16995" s="7"/>
      <c r="P16995" s="7"/>
      <c r="Q16995" s="7"/>
      <c r="R16995" s="7"/>
      <c r="S16995" s="7"/>
      <c r="T16995" s="7"/>
      <c r="U16995" s="7"/>
      <c r="V16995" s="7"/>
      <c r="W16995" s="7"/>
      <c r="X16995" s="7"/>
      <c r="Y16995" s="7"/>
      <c r="Z16995" s="7"/>
      <c r="AA16995" s="7"/>
      <c r="AB16995" s="7"/>
      <c r="AC16995" s="7"/>
      <c r="AD16995" s="7"/>
      <c r="AE16995" s="7"/>
      <c r="AF16995" s="7"/>
    </row>
    <row r="16996" spans="1:32">
      <c r="A16996" s="7"/>
      <c r="B16996" s="7"/>
      <c r="C16996" s="7"/>
      <c r="D16996" s="7"/>
      <c r="E16996" s="7"/>
      <c r="F16996" s="7"/>
      <c r="G16996" s="7"/>
      <c r="H16996" s="7"/>
      <c r="I16996" s="7"/>
      <c r="J16996" s="7"/>
      <c r="K16996" s="7"/>
      <c r="L16996" s="7"/>
      <c r="M16996" s="7"/>
      <c r="N16996" s="7"/>
      <c r="O16996" s="7"/>
      <c r="P16996" s="7"/>
      <c r="Q16996" s="7"/>
      <c r="R16996" s="7"/>
      <c r="S16996" s="7"/>
      <c r="T16996" s="7"/>
      <c r="U16996" s="7"/>
      <c r="V16996" s="7"/>
      <c r="W16996" s="7"/>
      <c r="X16996" s="7"/>
      <c r="Y16996" s="7"/>
      <c r="Z16996" s="7"/>
      <c r="AA16996" s="7"/>
      <c r="AB16996" s="7"/>
      <c r="AC16996" s="7"/>
      <c r="AD16996" s="7"/>
      <c r="AE16996" s="7"/>
      <c r="AF16996" s="7"/>
    </row>
    <row r="16997" spans="1:32">
      <c r="A16997" s="7"/>
      <c r="B16997" s="7"/>
      <c r="C16997" s="7"/>
      <c r="D16997" s="7"/>
      <c r="E16997" s="7"/>
      <c r="F16997" s="7"/>
      <c r="G16997" s="7"/>
      <c r="H16997" s="7"/>
      <c r="I16997" s="7"/>
      <c r="J16997" s="7"/>
      <c r="K16997" s="7"/>
      <c r="L16997" s="7"/>
      <c r="M16997" s="7"/>
      <c r="N16997" s="7"/>
      <c r="O16997" s="7"/>
      <c r="P16997" s="7"/>
      <c r="Q16997" s="7"/>
      <c r="R16997" s="7"/>
      <c r="S16997" s="7"/>
      <c r="T16997" s="7"/>
      <c r="U16997" s="7"/>
      <c r="V16997" s="7"/>
      <c r="W16997" s="7"/>
      <c r="X16997" s="7"/>
      <c r="Y16997" s="7"/>
      <c r="Z16997" s="7"/>
      <c r="AA16997" s="7"/>
      <c r="AB16997" s="7"/>
      <c r="AC16997" s="7"/>
      <c r="AD16997" s="7"/>
      <c r="AE16997" s="7"/>
      <c r="AF16997" s="7"/>
    </row>
    <row r="16998" spans="1:32">
      <c r="A16998" s="7"/>
      <c r="B16998" s="7"/>
      <c r="C16998" s="7"/>
      <c r="D16998" s="7"/>
      <c r="E16998" s="7"/>
      <c r="F16998" s="7"/>
      <c r="G16998" s="7"/>
      <c r="H16998" s="7"/>
      <c r="I16998" s="7"/>
      <c r="J16998" s="7"/>
      <c r="K16998" s="7"/>
      <c r="L16998" s="7"/>
      <c r="M16998" s="7"/>
      <c r="N16998" s="7"/>
      <c r="O16998" s="7"/>
      <c r="P16998" s="7"/>
      <c r="Q16998" s="7"/>
      <c r="R16998" s="7"/>
      <c r="S16998" s="7"/>
      <c r="T16998" s="7"/>
      <c r="U16998" s="7"/>
      <c r="V16998" s="7"/>
      <c r="W16998" s="7"/>
      <c r="X16998" s="7"/>
      <c r="Y16998" s="7"/>
      <c r="Z16998" s="7"/>
      <c r="AA16998" s="7"/>
      <c r="AB16998" s="7"/>
      <c r="AC16998" s="7"/>
      <c r="AD16998" s="7"/>
      <c r="AE16998" s="7"/>
      <c r="AF16998" s="7"/>
    </row>
    <row r="16999" spans="1:32">
      <c r="A16999" s="7"/>
      <c r="B16999" s="7"/>
      <c r="C16999" s="7"/>
      <c r="D16999" s="7"/>
      <c r="E16999" s="7"/>
      <c r="F16999" s="7"/>
      <c r="G16999" s="7"/>
      <c r="H16999" s="7"/>
      <c r="I16999" s="7"/>
      <c r="J16999" s="7"/>
      <c r="K16999" s="7"/>
      <c r="L16999" s="7"/>
      <c r="M16999" s="7"/>
      <c r="N16999" s="7"/>
      <c r="O16999" s="7"/>
      <c r="P16999" s="7"/>
      <c r="Q16999" s="7"/>
      <c r="R16999" s="7"/>
      <c r="S16999" s="7"/>
      <c r="T16999" s="7"/>
      <c r="U16999" s="7"/>
      <c r="V16999" s="7"/>
      <c r="W16999" s="7"/>
      <c r="X16999" s="7"/>
      <c r="Y16999" s="7"/>
      <c r="Z16999" s="7"/>
      <c r="AA16999" s="7"/>
      <c r="AB16999" s="7"/>
      <c r="AC16999" s="7"/>
      <c r="AD16999" s="7"/>
      <c r="AE16999" s="7"/>
      <c r="AF16999" s="7"/>
    </row>
    <row r="17000" spans="1:32">
      <c r="A17000" s="7"/>
      <c r="B17000" s="7"/>
      <c r="C17000" s="7"/>
      <c r="D17000" s="7"/>
      <c r="E17000" s="7"/>
      <c r="F17000" s="7"/>
      <c r="G17000" s="7"/>
      <c r="H17000" s="7"/>
      <c r="I17000" s="7"/>
      <c r="J17000" s="7"/>
      <c r="K17000" s="7"/>
      <c r="L17000" s="7"/>
      <c r="M17000" s="7"/>
      <c r="N17000" s="7"/>
      <c r="O17000" s="7"/>
      <c r="P17000" s="7"/>
      <c r="Q17000" s="7"/>
      <c r="R17000" s="7"/>
      <c r="S17000" s="7"/>
      <c r="T17000" s="7"/>
      <c r="U17000" s="7"/>
      <c r="V17000" s="7"/>
      <c r="W17000" s="7"/>
      <c r="X17000" s="7"/>
      <c r="Y17000" s="7"/>
      <c r="Z17000" s="7"/>
      <c r="AA17000" s="7"/>
      <c r="AB17000" s="7"/>
      <c r="AC17000" s="7"/>
      <c r="AD17000" s="7"/>
      <c r="AE17000" s="7"/>
      <c r="AF17000" s="7"/>
    </row>
    <row r="17001" spans="1:32">
      <c r="A17001" s="7"/>
      <c r="B17001" s="7"/>
      <c r="C17001" s="7"/>
      <c r="D17001" s="7"/>
      <c r="E17001" s="7"/>
      <c r="F17001" s="7"/>
      <c r="G17001" s="7"/>
      <c r="H17001" s="7"/>
      <c r="I17001" s="7"/>
      <c r="J17001" s="7"/>
      <c r="K17001" s="7"/>
      <c r="L17001" s="7"/>
      <c r="M17001" s="7"/>
      <c r="N17001" s="7"/>
      <c r="O17001" s="7"/>
      <c r="P17001" s="7"/>
      <c r="Q17001" s="7"/>
      <c r="R17001" s="7"/>
      <c r="S17001" s="7"/>
      <c r="T17001" s="7"/>
      <c r="U17001" s="7"/>
      <c r="V17001" s="7"/>
      <c r="W17001" s="7"/>
      <c r="X17001" s="7"/>
      <c r="Y17001" s="7"/>
      <c r="Z17001" s="7"/>
      <c r="AA17001" s="7"/>
      <c r="AB17001" s="7"/>
      <c r="AC17001" s="7"/>
      <c r="AD17001" s="7"/>
      <c r="AE17001" s="7"/>
      <c r="AF17001" s="7"/>
    </row>
    <row r="17002" spans="1:32">
      <c r="A17002" s="7"/>
      <c r="B17002" s="7"/>
      <c r="C17002" s="7"/>
      <c r="D17002" s="7"/>
      <c r="E17002" s="7"/>
      <c r="F17002" s="7"/>
      <c r="G17002" s="7"/>
      <c r="H17002" s="7"/>
      <c r="I17002" s="7"/>
      <c r="J17002" s="7"/>
      <c r="K17002" s="7"/>
      <c r="L17002" s="7"/>
      <c r="M17002" s="7"/>
      <c r="N17002" s="7"/>
      <c r="O17002" s="7"/>
      <c r="P17002" s="7"/>
      <c r="Q17002" s="7"/>
      <c r="R17002" s="7"/>
      <c r="S17002" s="7"/>
      <c r="T17002" s="7"/>
      <c r="U17002" s="7"/>
      <c r="V17002" s="7"/>
      <c r="W17002" s="7"/>
      <c r="X17002" s="7"/>
      <c r="Y17002" s="7"/>
      <c r="Z17002" s="7"/>
      <c r="AA17002" s="7"/>
      <c r="AB17002" s="7"/>
      <c r="AC17002" s="7"/>
      <c r="AD17002" s="7"/>
      <c r="AE17002" s="7"/>
      <c r="AF17002" s="7"/>
    </row>
    <row r="17003" spans="1:32">
      <c r="A17003" s="7"/>
      <c r="B17003" s="7"/>
      <c r="C17003" s="7"/>
      <c r="D17003" s="7"/>
      <c r="E17003" s="7"/>
      <c r="F17003" s="7"/>
      <c r="G17003" s="7"/>
      <c r="H17003" s="7"/>
      <c r="I17003" s="7"/>
      <c r="J17003" s="7"/>
      <c r="K17003" s="7"/>
      <c r="L17003" s="7"/>
      <c r="M17003" s="7"/>
      <c r="N17003" s="7"/>
      <c r="O17003" s="7"/>
      <c r="P17003" s="7"/>
      <c r="Q17003" s="7"/>
      <c r="R17003" s="7"/>
      <c r="S17003" s="7"/>
      <c r="T17003" s="7"/>
      <c r="U17003" s="7"/>
      <c r="V17003" s="7"/>
      <c r="W17003" s="7"/>
      <c r="X17003" s="7"/>
      <c r="Y17003" s="7"/>
      <c r="Z17003" s="7"/>
      <c r="AA17003" s="7"/>
      <c r="AB17003" s="7"/>
      <c r="AC17003" s="7"/>
      <c r="AD17003" s="7"/>
      <c r="AE17003" s="7"/>
      <c r="AF17003" s="7"/>
    </row>
    <row r="17004" spans="1:32">
      <c r="A17004" s="7"/>
      <c r="B17004" s="7"/>
      <c r="C17004" s="7"/>
      <c r="D17004" s="7"/>
      <c r="E17004" s="7"/>
      <c r="F17004" s="7"/>
      <c r="G17004" s="7"/>
      <c r="H17004" s="7"/>
      <c r="I17004" s="7"/>
      <c r="J17004" s="7"/>
      <c r="K17004" s="7"/>
      <c r="L17004" s="7"/>
      <c r="M17004" s="7"/>
      <c r="N17004" s="7"/>
      <c r="O17004" s="7"/>
      <c r="P17004" s="7"/>
      <c r="Q17004" s="7"/>
      <c r="R17004" s="7"/>
      <c r="S17004" s="7"/>
      <c r="T17004" s="7"/>
      <c r="U17004" s="7"/>
      <c r="V17004" s="7"/>
      <c r="W17004" s="7"/>
      <c r="X17004" s="7"/>
      <c r="Y17004" s="7"/>
      <c r="Z17004" s="7"/>
      <c r="AA17004" s="7"/>
      <c r="AB17004" s="7"/>
      <c r="AC17004" s="7"/>
      <c r="AD17004" s="7"/>
      <c r="AE17004" s="7"/>
      <c r="AF17004" s="7"/>
    </row>
    <row r="17005" spans="1:32">
      <c r="A17005" s="7"/>
      <c r="B17005" s="7"/>
      <c r="C17005" s="7"/>
      <c r="D17005" s="7"/>
      <c r="E17005" s="7"/>
      <c r="F17005" s="7"/>
      <c r="G17005" s="7"/>
      <c r="H17005" s="7"/>
      <c r="I17005" s="7"/>
      <c r="J17005" s="7"/>
      <c r="K17005" s="7"/>
      <c r="L17005" s="7"/>
      <c r="M17005" s="7"/>
      <c r="N17005" s="7"/>
      <c r="O17005" s="7"/>
      <c r="P17005" s="7"/>
      <c r="Q17005" s="7"/>
      <c r="R17005" s="7"/>
      <c r="S17005" s="7"/>
      <c r="T17005" s="7"/>
      <c r="U17005" s="7"/>
      <c r="V17005" s="7"/>
      <c r="W17005" s="7"/>
      <c r="X17005" s="7"/>
      <c r="Y17005" s="7"/>
      <c r="Z17005" s="7"/>
      <c r="AA17005" s="7"/>
      <c r="AB17005" s="7"/>
      <c r="AC17005" s="7"/>
      <c r="AD17005" s="7"/>
      <c r="AE17005" s="7"/>
      <c r="AF17005" s="7"/>
    </row>
    <row r="17006" spans="1:32">
      <c r="A17006" s="7"/>
      <c r="B17006" s="7"/>
      <c r="C17006" s="7"/>
      <c r="D17006" s="7"/>
      <c r="E17006" s="7"/>
      <c r="F17006" s="7"/>
      <c r="G17006" s="7"/>
      <c r="H17006" s="7"/>
      <c r="I17006" s="7"/>
      <c r="J17006" s="7"/>
      <c r="K17006" s="7"/>
      <c r="L17006" s="7"/>
      <c r="M17006" s="7"/>
      <c r="N17006" s="7"/>
      <c r="O17006" s="7"/>
      <c r="P17006" s="7"/>
      <c r="Q17006" s="7"/>
      <c r="R17006" s="7"/>
      <c r="S17006" s="7"/>
      <c r="T17006" s="7"/>
      <c r="U17006" s="7"/>
      <c r="V17006" s="7"/>
      <c r="W17006" s="7"/>
      <c r="X17006" s="7"/>
      <c r="Y17006" s="7"/>
      <c r="Z17006" s="7"/>
      <c r="AA17006" s="7"/>
      <c r="AB17006" s="7"/>
      <c r="AC17006" s="7"/>
      <c r="AD17006" s="7"/>
      <c r="AE17006" s="7"/>
      <c r="AF17006" s="7"/>
    </row>
    <row r="17007" spans="1:32">
      <c r="A17007" s="7"/>
      <c r="B17007" s="7"/>
      <c r="C17007" s="7"/>
      <c r="D17007" s="7"/>
      <c r="E17007" s="7"/>
      <c r="F17007" s="7"/>
      <c r="G17007" s="7"/>
      <c r="H17007" s="7"/>
      <c r="I17007" s="7"/>
      <c r="J17007" s="7"/>
      <c r="K17007" s="7"/>
      <c r="L17007" s="7"/>
      <c r="M17007" s="7"/>
      <c r="N17007" s="7"/>
      <c r="O17007" s="7"/>
      <c r="P17007" s="7"/>
      <c r="Q17007" s="7"/>
      <c r="R17007" s="7"/>
      <c r="S17007" s="7"/>
      <c r="T17007" s="7"/>
      <c r="U17007" s="7"/>
      <c r="V17007" s="7"/>
      <c r="W17007" s="7"/>
      <c r="X17007" s="7"/>
      <c r="Y17007" s="7"/>
      <c r="Z17007" s="7"/>
      <c r="AA17007" s="7"/>
      <c r="AB17007" s="7"/>
      <c r="AC17007" s="7"/>
      <c r="AD17007" s="7"/>
      <c r="AE17007" s="7"/>
      <c r="AF17007" s="7"/>
    </row>
    <row r="17008" spans="1:32">
      <c r="A17008" s="7"/>
      <c r="B17008" s="7"/>
      <c r="C17008" s="7"/>
      <c r="D17008" s="7"/>
      <c r="E17008" s="7"/>
      <c r="F17008" s="7"/>
      <c r="G17008" s="7"/>
      <c r="H17008" s="7"/>
      <c r="I17008" s="7"/>
      <c r="J17008" s="7"/>
      <c r="K17008" s="7"/>
      <c r="L17008" s="7"/>
      <c r="M17008" s="7"/>
      <c r="N17008" s="7"/>
      <c r="O17008" s="7"/>
      <c r="P17008" s="7"/>
      <c r="Q17008" s="7"/>
      <c r="R17008" s="7"/>
      <c r="S17008" s="7"/>
      <c r="T17008" s="7"/>
      <c r="U17008" s="7"/>
      <c r="V17008" s="7"/>
      <c r="W17008" s="7"/>
      <c r="X17008" s="7"/>
      <c r="Y17008" s="7"/>
      <c r="Z17008" s="7"/>
      <c r="AA17008" s="7"/>
      <c r="AB17008" s="7"/>
      <c r="AC17008" s="7"/>
      <c r="AD17008" s="7"/>
      <c r="AE17008" s="7"/>
      <c r="AF17008" s="7"/>
    </row>
    <row r="17009" spans="1:32">
      <c r="A17009" s="7"/>
      <c r="B17009" s="7"/>
      <c r="C17009" s="7"/>
      <c r="D17009" s="7"/>
      <c r="E17009" s="7"/>
      <c r="F17009" s="7"/>
      <c r="G17009" s="7"/>
      <c r="H17009" s="7"/>
      <c r="I17009" s="7"/>
      <c r="J17009" s="7"/>
      <c r="K17009" s="7"/>
      <c r="L17009" s="7"/>
      <c r="M17009" s="7"/>
      <c r="N17009" s="7"/>
      <c r="O17009" s="7"/>
      <c r="P17009" s="7"/>
      <c r="Q17009" s="7"/>
      <c r="R17009" s="7"/>
      <c r="S17009" s="7"/>
      <c r="T17009" s="7"/>
      <c r="U17009" s="7"/>
      <c r="V17009" s="7"/>
      <c r="W17009" s="7"/>
      <c r="X17009" s="7"/>
      <c r="Y17009" s="7"/>
      <c r="Z17009" s="7"/>
      <c r="AA17009" s="7"/>
      <c r="AB17009" s="7"/>
      <c r="AC17009" s="7"/>
      <c r="AD17009" s="7"/>
      <c r="AE17009" s="7"/>
      <c r="AF17009" s="7"/>
    </row>
    <row r="17010" spans="1:32">
      <c r="A17010" s="7"/>
      <c r="B17010" s="7"/>
      <c r="C17010" s="7"/>
      <c r="D17010" s="7"/>
      <c r="E17010" s="7"/>
      <c r="F17010" s="7"/>
      <c r="G17010" s="7"/>
      <c r="H17010" s="7"/>
      <c r="I17010" s="7"/>
      <c r="J17010" s="7"/>
      <c r="K17010" s="7"/>
      <c r="L17010" s="7"/>
      <c r="M17010" s="7"/>
      <c r="N17010" s="7"/>
      <c r="O17010" s="7"/>
      <c r="P17010" s="7"/>
      <c r="Q17010" s="7"/>
      <c r="R17010" s="7"/>
      <c r="S17010" s="7"/>
      <c r="T17010" s="7"/>
      <c r="U17010" s="7"/>
      <c r="V17010" s="7"/>
      <c r="W17010" s="7"/>
      <c r="X17010" s="7"/>
      <c r="Y17010" s="7"/>
      <c r="Z17010" s="7"/>
      <c r="AA17010" s="7"/>
      <c r="AB17010" s="7"/>
      <c r="AC17010" s="7"/>
      <c r="AD17010" s="7"/>
      <c r="AE17010" s="7"/>
      <c r="AF17010" s="7"/>
    </row>
    <row r="17011" spans="1:32">
      <c r="A17011" s="7"/>
      <c r="B17011" s="7"/>
      <c r="C17011" s="7"/>
      <c r="D17011" s="7"/>
      <c r="E17011" s="7"/>
      <c r="F17011" s="7"/>
      <c r="G17011" s="7"/>
      <c r="H17011" s="7"/>
      <c r="I17011" s="7"/>
      <c r="J17011" s="7"/>
      <c r="K17011" s="7"/>
      <c r="L17011" s="7"/>
      <c r="M17011" s="7"/>
      <c r="N17011" s="7"/>
      <c r="O17011" s="7"/>
      <c r="P17011" s="7"/>
      <c r="Q17011" s="7"/>
      <c r="R17011" s="7"/>
      <c r="S17011" s="7"/>
      <c r="T17011" s="7"/>
      <c r="U17011" s="7"/>
      <c r="V17011" s="7"/>
      <c r="W17011" s="7"/>
      <c r="X17011" s="7"/>
      <c r="Y17011" s="7"/>
      <c r="Z17011" s="7"/>
      <c r="AA17011" s="7"/>
      <c r="AB17011" s="7"/>
      <c r="AC17011" s="7"/>
      <c r="AD17011" s="7"/>
      <c r="AE17011" s="7"/>
      <c r="AF17011" s="7"/>
    </row>
    <row r="17012" spans="1:32">
      <c r="A17012" s="7"/>
      <c r="B17012" s="7"/>
      <c r="C17012" s="7"/>
      <c r="D17012" s="7"/>
      <c r="E17012" s="7"/>
      <c r="F17012" s="7"/>
      <c r="G17012" s="7"/>
      <c r="H17012" s="7"/>
      <c r="I17012" s="7"/>
      <c r="J17012" s="7"/>
      <c r="K17012" s="7"/>
      <c r="L17012" s="7"/>
      <c r="M17012" s="7"/>
      <c r="N17012" s="7"/>
      <c r="O17012" s="7"/>
      <c r="P17012" s="7"/>
      <c r="Q17012" s="7"/>
      <c r="R17012" s="7"/>
      <c r="S17012" s="7"/>
      <c r="T17012" s="7"/>
      <c r="U17012" s="7"/>
      <c r="V17012" s="7"/>
      <c r="W17012" s="7"/>
      <c r="X17012" s="7"/>
      <c r="Y17012" s="7"/>
      <c r="Z17012" s="7"/>
      <c r="AA17012" s="7"/>
      <c r="AB17012" s="7"/>
      <c r="AC17012" s="7"/>
      <c r="AD17012" s="7"/>
      <c r="AE17012" s="7"/>
      <c r="AF17012" s="7"/>
    </row>
    <row r="17013" spans="1:32">
      <c r="A17013" s="7"/>
      <c r="B17013" s="7"/>
      <c r="C17013" s="7"/>
      <c r="D17013" s="7"/>
      <c r="E17013" s="7"/>
      <c r="F17013" s="7"/>
      <c r="G17013" s="7"/>
      <c r="H17013" s="7"/>
      <c r="I17013" s="7"/>
      <c r="J17013" s="7"/>
      <c r="K17013" s="7"/>
      <c r="L17013" s="7"/>
      <c r="M17013" s="7"/>
      <c r="N17013" s="7"/>
      <c r="O17013" s="7"/>
      <c r="P17013" s="7"/>
      <c r="Q17013" s="7"/>
      <c r="R17013" s="7"/>
      <c r="S17013" s="7"/>
      <c r="T17013" s="7"/>
      <c r="U17013" s="7"/>
      <c r="V17013" s="7"/>
      <c r="W17013" s="7"/>
      <c r="X17013" s="7"/>
      <c r="Y17013" s="7"/>
      <c r="Z17013" s="7"/>
      <c r="AA17013" s="7"/>
      <c r="AB17013" s="7"/>
      <c r="AC17013" s="7"/>
      <c r="AD17013" s="7"/>
      <c r="AE17013" s="7"/>
      <c r="AF17013" s="7"/>
    </row>
    <row r="17014" spans="1:32">
      <c r="A17014" s="7"/>
      <c r="B17014" s="7"/>
      <c r="C17014" s="7"/>
      <c r="D17014" s="7"/>
      <c r="E17014" s="7"/>
      <c r="F17014" s="7"/>
      <c r="G17014" s="7"/>
      <c r="H17014" s="7"/>
      <c r="I17014" s="7"/>
      <c r="J17014" s="7"/>
      <c r="K17014" s="7"/>
      <c r="L17014" s="7"/>
      <c r="M17014" s="7"/>
      <c r="N17014" s="7"/>
      <c r="O17014" s="7"/>
      <c r="P17014" s="7"/>
      <c r="Q17014" s="7"/>
      <c r="R17014" s="7"/>
      <c r="S17014" s="7"/>
      <c r="T17014" s="7"/>
      <c r="U17014" s="7"/>
      <c r="V17014" s="7"/>
      <c r="W17014" s="7"/>
      <c r="X17014" s="7"/>
      <c r="Y17014" s="7"/>
      <c r="Z17014" s="7"/>
      <c r="AA17014" s="7"/>
      <c r="AB17014" s="7"/>
      <c r="AC17014" s="7"/>
      <c r="AD17014" s="7"/>
      <c r="AE17014" s="7"/>
      <c r="AF17014" s="7"/>
    </row>
    <row r="17015" spans="1:32">
      <c r="A17015" s="7"/>
      <c r="B17015" s="7"/>
      <c r="C17015" s="7"/>
      <c r="D17015" s="7"/>
      <c r="E17015" s="7"/>
      <c r="F17015" s="7"/>
      <c r="G17015" s="7"/>
      <c r="H17015" s="7"/>
      <c r="I17015" s="7"/>
      <c r="J17015" s="7"/>
      <c r="K17015" s="7"/>
      <c r="L17015" s="7"/>
      <c r="M17015" s="7"/>
      <c r="N17015" s="7"/>
      <c r="O17015" s="7"/>
      <c r="P17015" s="7"/>
      <c r="Q17015" s="7"/>
      <c r="R17015" s="7"/>
      <c r="S17015" s="7"/>
      <c r="T17015" s="7"/>
      <c r="U17015" s="7"/>
      <c r="V17015" s="7"/>
      <c r="W17015" s="7"/>
      <c r="X17015" s="7"/>
      <c r="Y17015" s="7"/>
      <c r="Z17015" s="7"/>
      <c r="AA17015" s="7"/>
      <c r="AB17015" s="7"/>
      <c r="AC17015" s="7"/>
      <c r="AD17015" s="7"/>
      <c r="AE17015" s="7"/>
      <c r="AF17015" s="7"/>
    </row>
    <row r="17016" spans="1:32">
      <c r="A17016" s="7"/>
      <c r="B17016" s="7"/>
      <c r="C17016" s="7"/>
      <c r="D17016" s="7"/>
      <c r="E17016" s="7"/>
      <c r="F17016" s="7"/>
      <c r="G17016" s="7"/>
      <c r="H17016" s="7"/>
      <c r="I17016" s="7"/>
      <c r="J17016" s="7"/>
      <c r="K17016" s="7"/>
      <c r="L17016" s="7"/>
      <c r="M17016" s="7"/>
      <c r="N17016" s="7"/>
      <c r="O17016" s="7"/>
      <c r="P17016" s="7"/>
      <c r="Q17016" s="7"/>
      <c r="R17016" s="7"/>
      <c r="S17016" s="7"/>
      <c r="T17016" s="7"/>
      <c r="U17016" s="7"/>
      <c r="V17016" s="7"/>
      <c r="W17016" s="7"/>
      <c r="X17016" s="7"/>
      <c r="Y17016" s="7"/>
      <c r="Z17016" s="7"/>
      <c r="AA17016" s="7"/>
      <c r="AB17016" s="7"/>
      <c r="AC17016" s="7"/>
      <c r="AD17016" s="7"/>
      <c r="AE17016" s="7"/>
      <c r="AF17016" s="7"/>
    </row>
    <row r="17017" spans="1:32">
      <c r="A17017" s="7"/>
      <c r="B17017" s="7"/>
      <c r="C17017" s="7"/>
      <c r="D17017" s="7"/>
      <c r="E17017" s="7"/>
      <c r="F17017" s="7"/>
      <c r="G17017" s="7"/>
      <c r="H17017" s="7"/>
      <c r="I17017" s="7"/>
      <c r="J17017" s="7"/>
      <c r="K17017" s="7"/>
      <c r="L17017" s="7"/>
      <c r="M17017" s="7"/>
      <c r="N17017" s="7"/>
      <c r="O17017" s="7"/>
      <c r="P17017" s="7"/>
      <c r="Q17017" s="7"/>
      <c r="R17017" s="7"/>
      <c r="S17017" s="7"/>
      <c r="T17017" s="7"/>
      <c r="U17017" s="7"/>
      <c r="V17017" s="7"/>
      <c r="W17017" s="7"/>
      <c r="X17017" s="7"/>
      <c r="Y17017" s="7"/>
      <c r="Z17017" s="7"/>
      <c r="AA17017" s="7"/>
      <c r="AB17017" s="7"/>
      <c r="AC17017" s="7"/>
      <c r="AD17017" s="7"/>
      <c r="AE17017" s="7"/>
      <c r="AF17017" s="7"/>
    </row>
    <row r="17018" spans="1:32">
      <c r="A17018" s="7"/>
      <c r="B17018" s="7"/>
      <c r="C17018" s="7"/>
      <c r="D17018" s="7"/>
      <c r="E17018" s="7"/>
      <c r="F17018" s="7"/>
      <c r="G17018" s="7"/>
      <c r="H17018" s="7"/>
      <c r="I17018" s="7"/>
      <c r="J17018" s="7"/>
      <c r="K17018" s="7"/>
      <c r="L17018" s="7"/>
      <c r="M17018" s="7"/>
      <c r="N17018" s="7"/>
      <c r="O17018" s="7"/>
      <c r="P17018" s="7"/>
      <c r="Q17018" s="7"/>
      <c r="R17018" s="7"/>
      <c r="S17018" s="7"/>
      <c r="T17018" s="7"/>
      <c r="U17018" s="7"/>
      <c r="V17018" s="7"/>
      <c r="W17018" s="7"/>
      <c r="X17018" s="7"/>
      <c r="Y17018" s="7"/>
      <c r="Z17018" s="7"/>
      <c r="AA17018" s="7"/>
      <c r="AB17018" s="7"/>
      <c r="AC17018" s="7"/>
      <c r="AD17018" s="7"/>
      <c r="AE17018" s="7"/>
      <c r="AF17018" s="7"/>
    </row>
    <row r="17019" spans="1:32">
      <c r="A17019" s="7"/>
      <c r="B17019" s="7"/>
      <c r="C17019" s="7"/>
      <c r="D17019" s="7"/>
      <c r="E17019" s="7"/>
      <c r="F17019" s="7"/>
      <c r="G17019" s="7"/>
      <c r="H17019" s="7"/>
      <c r="I17019" s="7"/>
      <c r="J17019" s="7"/>
      <c r="K17019" s="7"/>
      <c r="L17019" s="7"/>
      <c r="M17019" s="7"/>
      <c r="N17019" s="7"/>
      <c r="O17019" s="7"/>
      <c r="P17019" s="7"/>
      <c r="Q17019" s="7"/>
      <c r="R17019" s="7"/>
      <c r="S17019" s="7"/>
      <c r="T17019" s="7"/>
      <c r="U17019" s="7"/>
      <c r="V17019" s="7"/>
      <c r="W17019" s="7"/>
      <c r="X17019" s="7"/>
      <c r="Y17019" s="7"/>
      <c r="Z17019" s="7"/>
      <c r="AA17019" s="7"/>
      <c r="AB17019" s="7"/>
      <c r="AC17019" s="7"/>
      <c r="AD17019" s="7"/>
      <c r="AE17019" s="7"/>
      <c r="AF17019" s="7"/>
    </row>
    <row r="17020" spans="1:32">
      <c r="A17020" s="7"/>
      <c r="B17020" s="7"/>
      <c r="C17020" s="7"/>
      <c r="D17020" s="7"/>
      <c r="E17020" s="7"/>
      <c r="F17020" s="7"/>
      <c r="G17020" s="7"/>
      <c r="H17020" s="7"/>
      <c r="I17020" s="7"/>
      <c r="J17020" s="7"/>
      <c r="K17020" s="7"/>
      <c r="L17020" s="7"/>
      <c r="M17020" s="7"/>
      <c r="N17020" s="7"/>
      <c r="O17020" s="7"/>
      <c r="P17020" s="7"/>
      <c r="Q17020" s="7"/>
      <c r="R17020" s="7"/>
      <c r="S17020" s="7"/>
      <c r="T17020" s="7"/>
      <c r="U17020" s="7"/>
      <c r="V17020" s="7"/>
      <c r="W17020" s="7"/>
      <c r="X17020" s="7"/>
      <c r="Y17020" s="7"/>
      <c r="Z17020" s="7"/>
      <c r="AA17020" s="7"/>
      <c r="AB17020" s="7"/>
      <c r="AC17020" s="7"/>
      <c r="AD17020" s="7"/>
      <c r="AE17020" s="7"/>
      <c r="AF17020" s="7"/>
    </row>
    <row r="17021" spans="1:32">
      <c r="A17021" s="7"/>
      <c r="B17021" s="7"/>
      <c r="C17021" s="7"/>
      <c r="D17021" s="7"/>
      <c r="E17021" s="7"/>
      <c r="F17021" s="7"/>
      <c r="G17021" s="7"/>
      <c r="H17021" s="7"/>
      <c r="I17021" s="7"/>
      <c r="J17021" s="7"/>
      <c r="K17021" s="7"/>
      <c r="L17021" s="7"/>
      <c r="M17021" s="7"/>
      <c r="N17021" s="7"/>
      <c r="O17021" s="7"/>
      <c r="P17021" s="7"/>
      <c r="Q17021" s="7"/>
      <c r="R17021" s="7"/>
      <c r="S17021" s="7"/>
      <c r="T17021" s="7"/>
      <c r="U17021" s="7"/>
      <c r="V17021" s="7"/>
      <c r="W17021" s="7"/>
      <c r="X17021" s="7"/>
      <c r="Y17021" s="7"/>
      <c r="Z17021" s="7"/>
      <c r="AA17021" s="7"/>
      <c r="AB17021" s="7"/>
      <c r="AC17021" s="7"/>
      <c r="AD17021" s="7"/>
      <c r="AE17021" s="7"/>
      <c r="AF17021" s="7"/>
    </row>
    <row r="17022" spans="1:32">
      <c r="A17022" s="7"/>
      <c r="B17022" s="7"/>
      <c r="C17022" s="7"/>
      <c r="D17022" s="7"/>
      <c r="E17022" s="7"/>
      <c r="F17022" s="7"/>
      <c r="G17022" s="7"/>
      <c r="H17022" s="7"/>
      <c r="I17022" s="7"/>
      <c r="J17022" s="7"/>
      <c r="K17022" s="7"/>
      <c r="L17022" s="7"/>
      <c r="M17022" s="7"/>
      <c r="N17022" s="7"/>
      <c r="O17022" s="7"/>
      <c r="P17022" s="7"/>
      <c r="Q17022" s="7"/>
      <c r="R17022" s="7"/>
      <c r="S17022" s="7"/>
      <c r="T17022" s="7"/>
      <c r="U17022" s="7"/>
      <c r="V17022" s="7"/>
      <c r="W17022" s="7"/>
      <c r="X17022" s="7"/>
      <c r="Y17022" s="7"/>
      <c r="Z17022" s="7"/>
      <c r="AA17022" s="7"/>
      <c r="AB17022" s="7"/>
      <c r="AC17022" s="7"/>
      <c r="AD17022" s="7"/>
      <c r="AE17022" s="7"/>
      <c r="AF17022" s="7"/>
    </row>
    <row r="17023" spans="1:32">
      <c r="A17023" s="7"/>
      <c r="B17023" s="7"/>
      <c r="C17023" s="7"/>
      <c r="D17023" s="7"/>
      <c r="E17023" s="7"/>
      <c r="F17023" s="7"/>
      <c r="G17023" s="7"/>
      <c r="H17023" s="7"/>
      <c r="I17023" s="7"/>
      <c r="J17023" s="7"/>
      <c r="K17023" s="7"/>
      <c r="L17023" s="7"/>
      <c r="M17023" s="7"/>
      <c r="N17023" s="7"/>
      <c r="O17023" s="7"/>
      <c r="P17023" s="7"/>
      <c r="Q17023" s="7"/>
      <c r="R17023" s="7"/>
      <c r="S17023" s="7"/>
      <c r="T17023" s="7"/>
      <c r="U17023" s="7"/>
      <c r="V17023" s="7"/>
      <c r="W17023" s="7"/>
      <c r="X17023" s="7"/>
      <c r="Y17023" s="7"/>
      <c r="Z17023" s="7"/>
      <c r="AA17023" s="7"/>
      <c r="AB17023" s="7"/>
      <c r="AC17023" s="7"/>
      <c r="AD17023" s="7"/>
      <c r="AE17023" s="7"/>
      <c r="AF17023" s="7"/>
    </row>
    <row r="17024" spans="1:32">
      <c r="A17024" s="7"/>
      <c r="B17024" s="7"/>
      <c r="C17024" s="7"/>
      <c r="D17024" s="7"/>
      <c r="E17024" s="7"/>
      <c r="F17024" s="7"/>
      <c r="G17024" s="7"/>
      <c r="H17024" s="7"/>
      <c r="I17024" s="7"/>
      <c r="J17024" s="7"/>
      <c r="K17024" s="7"/>
      <c r="L17024" s="7"/>
      <c r="M17024" s="7"/>
      <c r="N17024" s="7"/>
      <c r="O17024" s="7"/>
      <c r="P17024" s="7"/>
      <c r="Q17024" s="7"/>
      <c r="R17024" s="7"/>
      <c r="S17024" s="7"/>
      <c r="T17024" s="7"/>
      <c r="U17024" s="7"/>
      <c r="V17024" s="7"/>
      <c r="W17024" s="7"/>
      <c r="X17024" s="7"/>
      <c r="Y17024" s="7"/>
      <c r="Z17024" s="7"/>
      <c r="AA17024" s="7"/>
      <c r="AB17024" s="7"/>
      <c r="AC17024" s="7"/>
      <c r="AD17024" s="7"/>
      <c r="AE17024" s="7"/>
      <c r="AF17024" s="7"/>
    </row>
    <row r="17025" spans="1:32">
      <c r="A17025" s="7"/>
      <c r="B17025" s="7"/>
      <c r="C17025" s="7"/>
      <c r="D17025" s="7"/>
      <c r="E17025" s="7"/>
      <c r="F17025" s="7"/>
      <c r="G17025" s="7"/>
      <c r="H17025" s="7"/>
      <c r="I17025" s="7"/>
      <c r="J17025" s="7"/>
      <c r="K17025" s="7"/>
      <c r="L17025" s="7"/>
      <c r="M17025" s="7"/>
      <c r="N17025" s="7"/>
      <c r="O17025" s="7"/>
      <c r="P17025" s="7"/>
      <c r="Q17025" s="7"/>
      <c r="R17025" s="7"/>
      <c r="S17025" s="7"/>
      <c r="T17025" s="7"/>
      <c r="U17025" s="7"/>
      <c r="V17025" s="7"/>
      <c r="W17025" s="7"/>
      <c r="X17025" s="7"/>
      <c r="Y17025" s="7"/>
      <c r="Z17025" s="7"/>
      <c r="AA17025" s="7"/>
      <c r="AB17025" s="7"/>
      <c r="AC17025" s="7"/>
      <c r="AD17025" s="7"/>
      <c r="AE17025" s="7"/>
      <c r="AF17025" s="7"/>
    </row>
    <row r="17026" spans="1:32">
      <c r="A17026" s="7"/>
      <c r="B17026" s="7"/>
      <c r="C17026" s="7"/>
      <c r="D17026" s="7"/>
      <c r="E17026" s="7"/>
      <c r="F17026" s="7"/>
      <c r="G17026" s="7"/>
      <c r="H17026" s="7"/>
      <c r="I17026" s="7"/>
      <c r="J17026" s="7"/>
      <c r="K17026" s="7"/>
      <c r="L17026" s="7"/>
      <c r="M17026" s="7"/>
      <c r="N17026" s="7"/>
      <c r="O17026" s="7"/>
      <c r="P17026" s="7"/>
      <c r="Q17026" s="7"/>
      <c r="R17026" s="7"/>
      <c r="S17026" s="7"/>
      <c r="T17026" s="7"/>
      <c r="U17026" s="7"/>
      <c r="V17026" s="7"/>
      <c r="W17026" s="7"/>
      <c r="X17026" s="7"/>
      <c r="Y17026" s="7"/>
      <c r="Z17026" s="7"/>
      <c r="AA17026" s="7"/>
      <c r="AB17026" s="7"/>
      <c r="AC17026" s="7"/>
      <c r="AD17026" s="7"/>
      <c r="AE17026" s="7"/>
      <c r="AF17026" s="7"/>
    </row>
    <row r="17027" spans="1:32">
      <c r="A17027" s="7"/>
      <c r="B17027" s="7"/>
      <c r="C17027" s="7"/>
      <c r="D17027" s="7"/>
      <c r="E17027" s="7"/>
      <c r="F17027" s="7"/>
      <c r="G17027" s="7"/>
      <c r="H17027" s="7"/>
      <c r="I17027" s="7"/>
      <c r="J17027" s="7"/>
      <c r="K17027" s="7"/>
      <c r="L17027" s="7"/>
      <c r="M17027" s="7"/>
      <c r="N17027" s="7"/>
      <c r="O17027" s="7"/>
      <c r="P17027" s="7"/>
      <c r="Q17027" s="7"/>
      <c r="R17027" s="7"/>
      <c r="S17027" s="7"/>
      <c r="T17027" s="7"/>
      <c r="U17027" s="7"/>
      <c r="V17027" s="7"/>
      <c r="W17027" s="7"/>
      <c r="X17027" s="7"/>
      <c r="Y17027" s="7"/>
      <c r="Z17027" s="7"/>
      <c r="AA17027" s="7"/>
      <c r="AB17027" s="7"/>
      <c r="AC17027" s="7"/>
      <c r="AD17027" s="7"/>
      <c r="AE17027" s="7"/>
      <c r="AF17027" s="7"/>
    </row>
    <row r="17028" spans="1:32">
      <c r="A17028" s="7"/>
      <c r="B17028" s="7"/>
      <c r="C17028" s="7"/>
      <c r="D17028" s="7"/>
      <c r="E17028" s="7"/>
      <c r="F17028" s="7"/>
      <c r="G17028" s="7"/>
      <c r="H17028" s="7"/>
      <c r="I17028" s="7"/>
      <c r="J17028" s="7"/>
      <c r="K17028" s="7"/>
      <c r="L17028" s="7"/>
      <c r="M17028" s="7"/>
      <c r="N17028" s="7"/>
      <c r="O17028" s="7"/>
      <c r="P17028" s="7"/>
      <c r="Q17028" s="7"/>
      <c r="R17028" s="7"/>
      <c r="S17028" s="7"/>
      <c r="T17028" s="7"/>
      <c r="U17028" s="7"/>
      <c r="V17028" s="7"/>
      <c r="W17028" s="7"/>
      <c r="X17028" s="7"/>
      <c r="Y17028" s="7"/>
      <c r="Z17028" s="7"/>
      <c r="AA17028" s="7"/>
      <c r="AB17028" s="7"/>
      <c r="AC17028" s="7"/>
      <c r="AD17028" s="7"/>
      <c r="AE17028" s="7"/>
      <c r="AF17028" s="7"/>
    </row>
    <row r="17029" spans="1:32">
      <c r="A17029" s="7"/>
      <c r="B17029" s="7"/>
      <c r="C17029" s="7"/>
      <c r="D17029" s="7"/>
      <c r="E17029" s="7"/>
      <c r="F17029" s="7"/>
      <c r="G17029" s="7"/>
      <c r="H17029" s="7"/>
      <c r="I17029" s="7"/>
      <c r="J17029" s="7"/>
      <c r="K17029" s="7"/>
      <c r="L17029" s="7"/>
      <c r="M17029" s="7"/>
      <c r="N17029" s="7"/>
      <c r="O17029" s="7"/>
      <c r="P17029" s="7"/>
      <c r="Q17029" s="7"/>
      <c r="R17029" s="7"/>
      <c r="S17029" s="7"/>
      <c r="T17029" s="7"/>
      <c r="U17029" s="7"/>
      <c r="V17029" s="7"/>
      <c r="W17029" s="7"/>
      <c r="X17029" s="7"/>
      <c r="Y17029" s="7"/>
      <c r="Z17029" s="7"/>
      <c r="AA17029" s="7"/>
      <c r="AB17029" s="7"/>
      <c r="AC17029" s="7"/>
      <c r="AD17029" s="7"/>
      <c r="AE17029" s="7"/>
      <c r="AF17029" s="7"/>
    </row>
    <row r="17030" spans="1:32">
      <c r="A17030" s="7"/>
      <c r="B17030" s="7"/>
      <c r="C17030" s="7"/>
      <c r="D17030" s="7"/>
      <c r="E17030" s="7"/>
      <c r="F17030" s="7"/>
      <c r="G17030" s="7"/>
      <c r="H17030" s="7"/>
      <c r="I17030" s="7"/>
      <c r="J17030" s="7"/>
      <c r="K17030" s="7"/>
      <c r="L17030" s="7"/>
      <c r="M17030" s="7"/>
      <c r="N17030" s="7"/>
      <c r="O17030" s="7"/>
      <c r="P17030" s="7"/>
      <c r="Q17030" s="7"/>
      <c r="R17030" s="7"/>
      <c r="S17030" s="7"/>
      <c r="T17030" s="7"/>
      <c r="U17030" s="7"/>
      <c r="V17030" s="7"/>
      <c r="W17030" s="7"/>
      <c r="X17030" s="7"/>
      <c r="Y17030" s="7"/>
      <c r="Z17030" s="7"/>
      <c r="AA17030" s="7"/>
      <c r="AB17030" s="7"/>
      <c r="AC17030" s="7"/>
      <c r="AD17030" s="7"/>
      <c r="AE17030" s="7"/>
      <c r="AF17030" s="7"/>
    </row>
    <row r="17031" spans="1:32">
      <c r="A17031" s="7"/>
      <c r="B17031" s="7"/>
      <c r="C17031" s="7"/>
      <c r="D17031" s="7"/>
      <c r="E17031" s="7"/>
      <c r="F17031" s="7"/>
      <c r="G17031" s="7"/>
      <c r="H17031" s="7"/>
      <c r="I17031" s="7"/>
      <c r="J17031" s="7"/>
      <c r="K17031" s="7"/>
      <c r="L17031" s="7"/>
      <c r="M17031" s="7"/>
      <c r="N17031" s="7"/>
      <c r="O17031" s="7"/>
      <c r="P17031" s="7"/>
      <c r="Q17031" s="7"/>
      <c r="R17031" s="7"/>
      <c r="S17031" s="7"/>
      <c r="T17031" s="7"/>
      <c r="U17031" s="7"/>
      <c r="V17031" s="7"/>
      <c r="W17031" s="7"/>
      <c r="X17031" s="7"/>
      <c r="Y17031" s="7"/>
      <c r="Z17031" s="7"/>
      <c r="AA17031" s="7"/>
      <c r="AB17031" s="7"/>
      <c r="AC17031" s="7"/>
      <c r="AD17031" s="7"/>
      <c r="AE17031" s="7"/>
      <c r="AF17031" s="7"/>
    </row>
    <row r="17032" spans="1:32">
      <c r="A17032" s="7"/>
      <c r="B17032" s="7"/>
      <c r="C17032" s="7"/>
      <c r="D17032" s="7"/>
      <c r="E17032" s="7"/>
      <c r="F17032" s="7"/>
      <c r="G17032" s="7"/>
      <c r="H17032" s="7"/>
      <c r="I17032" s="7"/>
      <c r="J17032" s="7"/>
      <c r="K17032" s="7"/>
      <c r="L17032" s="7"/>
      <c r="M17032" s="7"/>
      <c r="N17032" s="7"/>
      <c r="O17032" s="7"/>
      <c r="P17032" s="7"/>
      <c r="Q17032" s="7"/>
      <c r="R17032" s="7"/>
      <c r="S17032" s="7"/>
      <c r="T17032" s="7"/>
      <c r="U17032" s="7"/>
      <c r="V17032" s="7"/>
      <c r="W17032" s="7"/>
      <c r="X17032" s="7"/>
      <c r="Y17032" s="7"/>
      <c r="Z17032" s="7"/>
      <c r="AA17032" s="7"/>
      <c r="AB17032" s="7"/>
      <c r="AC17032" s="7"/>
      <c r="AD17032" s="7"/>
      <c r="AE17032" s="7"/>
      <c r="AF17032" s="7"/>
    </row>
    <row r="17033" spans="1:32">
      <c r="A17033" s="7"/>
      <c r="B17033" s="7"/>
      <c r="C17033" s="7"/>
      <c r="D17033" s="7"/>
      <c r="E17033" s="7"/>
      <c r="F17033" s="7"/>
      <c r="G17033" s="7"/>
      <c r="H17033" s="7"/>
      <c r="I17033" s="7"/>
      <c r="J17033" s="7"/>
      <c r="K17033" s="7"/>
      <c r="L17033" s="7"/>
      <c r="M17033" s="7"/>
      <c r="N17033" s="7"/>
      <c r="O17033" s="7"/>
      <c r="P17033" s="7"/>
      <c r="Q17033" s="7"/>
      <c r="R17033" s="7"/>
      <c r="S17033" s="7"/>
      <c r="T17033" s="7"/>
      <c r="U17033" s="7"/>
      <c r="V17033" s="7"/>
      <c r="W17033" s="7"/>
      <c r="X17033" s="7"/>
      <c r="Y17033" s="7"/>
      <c r="Z17033" s="7"/>
      <c r="AA17033" s="7"/>
      <c r="AB17033" s="7"/>
      <c r="AC17033" s="7"/>
      <c r="AD17033" s="7"/>
      <c r="AE17033" s="7"/>
      <c r="AF17033" s="7"/>
    </row>
    <row r="17034" spans="1:32">
      <c r="A17034" s="7"/>
      <c r="B17034" s="7"/>
      <c r="C17034" s="7"/>
      <c r="D17034" s="7"/>
      <c r="E17034" s="7"/>
      <c r="F17034" s="7"/>
      <c r="G17034" s="7"/>
      <c r="H17034" s="7"/>
      <c r="I17034" s="7"/>
      <c r="J17034" s="7"/>
      <c r="K17034" s="7"/>
      <c r="L17034" s="7"/>
      <c r="M17034" s="7"/>
      <c r="N17034" s="7"/>
      <c r="O17034" s="7"/>
      <c r="P17034" s="7"/>
      <c r="Q17034" s="7"/>
      <c r="R17034" s="7"/>
      <c r="S17034" s="7"/>
      <c r="T17034" s="7"/>
      <c r="U17034" s="7"/>
      <c r="V17034" s="7"/>
      <c r="W17034" s="7"/>
      <c r="X17034" s="7"/>
      <c r="Y17034" s="7"/>
      <c r="Z17034" s="7"/>
      <c r="AA17034" s="7"/>
      <c r="AB17034" s="7"/>
      <c r="AC17034" s="7"/>
      <c r="AD17034" s="7"/>
      <c r="AE17034" s="7"/>
      <c r="AF17034" s="7"/>
    </row>
    <row r="17035" spans="1:32">
      <c r="A17035" s="7"/>
      <c r="B17035" s="7"/>
      <c r="C17035" s="7"/>
      <c r="D17035" s="7"/>
      <c r="E17035" s="7"/>
      <c r="F17035" s="7"/>
      <c r="G17035" s="7"/>
      <c r="H17035" s="7"/>
      <c r="I17035" s="7"/>
      <c r="J17035" s="7"/>
      <c r="K17035" s="7"/>
      <c r="L17035" s="7"/>
      <c r="M17035" s="7"/>
      <c r="N17035" s="7"/>
      <c r="O17035" s="7"/>
      <c r="P17035" s="7"/>
      <c r="Q17035" s="7"/>
      <c r="R17035" s="7"/>
      <c r="S17035" s="7"/>
      <c r="T17035" s="7"/>
      <c r="U17035" s="7"/>
      <c r="V17035" s="7"/>
      <c r="W17035" s="7"/>
      <c r="X17035" s="7"/>
      <c r="Y17035" s="7"/>
      <c r="Z17035" s="7"/>
      <c r="AA17035" s="7"/>
      <c r="AB17035" s="7"/>
      <c r="AC17035" s="7"/>
      <c r="AD17035" s="7"/>
      <c r="AE17035" s="7"/>
      <c r="AF17035" s="7"/>
    </row>
    <row r="17036" spans="1:32">
      <c r="A17036" s="7"/>
      <c r="B17036" s="7"/>
      <c r="C17036" s="7"/>
      <c r="D17036" s="7"/>
      <c r="E17036" s="7"/>
      <c r="F17036" s="7"/>
      <c r="G17036" s="7"/>
      <c r="H17036" s="7"/>
      <c r="I17036" s="7"/>
      <c r="J17036" s="7"/>
      <c r="K17036" s="7"/>
      <c r="L17036" s="7"/>
      <c r="M17036" s="7"/>
      <c r="N17036" s="7"/>
      <c r="O17036" s="7"/>
      <c r="P17036" s="7"/>
      <c r="Q17036" s="7"/>
      <c r="R17036" s="7"/>
      <c r="S17036" s="7"/>
      <c r="T17036" s="7"/>
      <c r="U17036" s="7"/>
      <c r="V17036" s="7"/>
      <c r="W17036" s="7"/>
      <c r="X17036" s="7"/>
      <c r="Y17036" s="7"/>
      <c r="Z17036" s="7"/>
      <c r="AA17036" s="7"/>
      <c r="AB17036" s="7"/>
      <c r="AC17036" s="7"/>
      <c r="AD17036" s="7"/>
      <c r="AE17036" s="7"/>
      <c r="AF17036" s="7"/>
    </row>
    <row r="17037" spans="1:32">
      <c r="A17037" s="7"/>
      <c r="B17037" s="7"/>
      <c r="C17037" s="7"/>
      <c r="D17037" s="7"/>
      <c r="E17037" s="7"/>
      <c r="F17037" s="7"/>
      <c r="G17037" s="7"/>
      <c r="H17037" s="7"/>
      <c r="I17037" s="7"/>
      <c r="J17037" s="7"/>
      <c r="K17037" s="7"/>
      <c r="L17037" s="7"/>
      <c r="M17037" s="7"/>
      <c r="N17037" s="7"/>
      <c r="O17037" s="7"/>
      <c r="P17037" s="7"/>
      <c r="Q17037" s="7"/>
      <c r="R17037" s="7"/>
      <c r="S17037" s="7"/>
      <c r="T17037" s="7"/>
      <c r="U17037" s="7"/>
      <c r="V17037" s="7"/>
      <c r="W17037" s="7"/>
      <c r="X17037" s="7"/>
      <c r="Y17037" s="7"/>
      <c r="Z17037" s="7"/>
      <c r="AA17037" s="7"/>
      <c r="AB17037" s="7"/>
      <c r="AC17037" s="7"/>
      <c r="AD17037" s="7"/>
      <c r="AE17037" s="7"/>
      <c r="AF17037" s="7"/>
    </row>
    <row r="17038" spans="1:32">
      <c r="A17038" s="7"/>
      <c r="B17038" s="7"/>
      <c r="C17038" s="7"/>
      <c r="D17038" s="7"/>
      <c r="E17038" s="7"/>
      <c r="F17038" s="7"/>
      <c r="G17038" s="7"/>
      <c r="H17038" s="7"/>
      <c r="I17038" s="7"/>
      <c r="J17038" s="7"/>
      <c r="K17038" s="7"/>
      <c r="L17038" s="7"/>
      <c r="M17038" s="7"/>
      <c r="N17038" s="7"/>
      <c r="O17038" s="7"/>
      <c r="P17038" s="7"/>
      <c r="Q17038" s="7"/>
      <c r="R17038" s="7"/>
      <c r="S17038" s="7"/>
      <c r="T17038" s="7"/>
      <c r="U17038" s="7"/>
      <c r="V17038" s="7"/>
      <c r="W17038" s="7"/>
      <c r="X17038" s="7"/>
      <c r="Y17038" s="7"/>
      <c r="Z17038" s="7"/>
      <c r="AA17038" s="7"/>
      <c r="AB17038" s="7"/>
      <c r="AC17038" s="7"/>
      <c r="AD17038" s="7"/>
      <c r="AE17038" s="7"/>
      <c r="AF17038" s="7"/>
    </row>
    <row r="17039" spans="1:32">
      <c r="A17039" s="7"/>
      <c r="B17039" s="7"/>
      <c r="C17039" s="7"/>
      <c r="D17039" s="7"/>
      <c r="E17039" s="7"/>
      <c r="F17039" s="7"/>
      <c r="G17039" s="7"/>
      <c r="H17039" s="7"/>
      <c r="I17039" s="7"/>
      <c r="J17039" s="7"/>
      <c r="K17039" s="7"/>
      <c r="L17039" s="7"/>
      <c r="M17039" s="7"/>
      <c r="N17039" s="7"/>
      <c r="O17039" s="7"/>
      <c r="P17039" s="7"/>
      <c r="Q17039" s="7"/>
      <c r="R17039" s="7"/>
      <c r="S17039" s="7"/>
      <c r="T17039" s="7"/>
      <c r="U17039" s="7"/>
      <c r="V17039" s="7"/>
      <c r="W17039" s="7"/>
      <c r="X17039" s="7"/>
      <c r="Y17039" s="7"/>
      <c r="Z17039" s="7"/>
      <c r="AA17039" s="7"/>
      <c r="AB17039" s="7"/>
      <c r="AC17039" s="7"/>
      <c r="AD17039" s="7"/>
      <c r="AE17039" s="7"/>
      <c r="AF17039" s="7"/>
    </row>
    <row r="17040" spans="1:32">
      <c r="A17040" s="7"/>
      <c r="B17040" s="7"/>
      <c r="C17040" s="7"/>
      <c r="D17040" s="7"/>
      <c r="E17040" s="7"/>
      <c r="F17040" s="7"/>
      <c r="G17040" s="7"/>
      <c r="H17040" s="7"/>
      <c r="I17040" s="7"/>
      <c r="J17040" s="7"/>
      <c r="K17040" s="7"/>
      <c r="L17040" s="7"/>
      <c r="M17040" s="7"/>
      <c r="N17040" s="7"/>
      <c r="O17040" s="7"/>
      <c r="P17040" s="7"/>
      <c r="Q17040" s="7"/>
      <c r="R17040" s="7"/>
      <c r="S17040" s="7"/>
      <c r="T17040" s="7"/>
      <c r="U17040" s="7"/>
      <c r="V17040" s="7"/>
      <c r="W17040" s="7"/>
      <c r="X17040" s="7"/>
      <c r="Y17040" s="7"/>
      <c r="Z17040" s="7"/>
      <c r="AA17040" s="7"/>
      <c r="AB17040" s="7"/>
      <c r="AC17040" s="7"/>
      <c r="AD17040" s="7"/>
      <c r="AE17040" s="7"/>
      <c r="AF17040" s="7"/>
    </row>
    <row r="17041" spans="1:32">
      <c r="A17041" s="7"/>
      <c r="B17041" s="7"/>
      <c r="C17041" s="7"/>
      <c r="D17041" s="7"/>
      <c r="E17041" s="7"/>
      <c r="F17041" s="7"/>
      <c r="G17041" s="7"/>
      <c r="H17041" s="7"/>
      <c r="I17041" s="7"/>
      <c r="J17041" s="7"/>
      <c r="K17041" s="7"/>
      <c r="L17041" s="7"/>
      <c r="M17041" s="7"/>
      <c r="N17041" s="7"/>
      <c r="O17041" s="7"/>
      <c r="P17041" s="7"/>
      <c r="Q17041" s="7"/>
      <c r="R17041" s="7"/>
      <c r="S17041" s="7"/>
      <c r="T17041" s="7"/>
      <c r="U17041" s="7"/>
      <c r="V17041" s="7"/>
      <c r="W17041" s="7"/>
      <c r="X17041" s="7"/>
      <c r="Y17041" s="7"/>
      <c r="Z17041" s="7"/>
      <c r="AA17041" s="7"/>
      <c r="AB17041" s="7"/>
      <c r="AC17041" s="7"/>
      <c r="AD17041" s="7"/>
      <c r="AE17041" s="7"/>
      <c r="AF17041" s="7"/>
    </row>
    <row r="17042" spans="1:32">
      <c r="A17042" s="7"/>
      <c r="B17042" s="7"/>
      <c r="C17042" s="7"/>
      <c r="D17042" s="7"/>
      <c r="E17042" s="7"/>
      <c r="F17042" s="7"/>
      <c r="G17042" s="7"/>
      <c r="H17042" s="7"/>
      <c r="I17042" s="7"/>
      <c r="J17042" s="7"/>
      <c r="K17042" s="7"/>
      <c r="L17042" s="7"/>
      <c r="M17042" s="7"/>
      <c r="N17042" s="7"/>
      <c r="O17042" s="7"/>
      <c r="P17042" s="7"/>
      <c r="Q17042" s="7"/>
      <c r="R17042" s="7"/>
      <c r="S17042" s="7"/>
      <c r="T17042" s="7"/>
      <c r="U17042" s="7"/>
      <c r="V17042" s="7"/>
      <c r="W17042" s="7"/>
      <c r="X17042" s="7"/>
      <c r="Y17042" s="7"/>
      <c r="Z17042" s="7"/>
      <c r="AA17042" s="7"/>
      <c r="AB17042" s="7"/>
      <c r="AC17042" s="7"/>
      <c r="AD17042" s="7"/>
      <c r="AE17042" s="7"/>
      <c r="AF17042" s="7"/>
    </row>
    <row r="17043" spans="1:32">
      <c r="A17043" s="7"/>
      <c r="B17043" s="7"/>
      <c r="C17043" s="7"/>
      <c r="D17043" s="7"/>
      <c r="E17043" s="7"/>
      <c r="F17043" s="7"/>
      <c r="G17043" s="7"/>
      <c r="H17043" s="7"/>
      <c r="I17043" s="7"/>
      <c r="J17043" s="7"/>
      <c r="K17043" s="7"/>
      <c r="L17043" s="7"/>
      <c r="M17043" s="7"/>
      <c r="N17043" s="7"/>
      <c r="O17043" s="7"/>
      <c r="P17043" s="7"/>
      <c r="Q17043" s="7"/>
      <c r="R17043" s="7"/>
      <c r="S17043" s="7"/>
      <c r="T17043" s="7"/>
      <c r="U17043" s="7"/>
      <c r="V17043" s="7"/>
      <c r="W17043" s="7"/>
      <c r="X17043" s="7"/>
      <c r="Y17043" s="7"/>
      <c r="Z17043" s="7"/>
      <c r="AA17043" s="7"/>
      <c r="AB17043" s="7"/>
      <c r="AC17043" s="7"/>
      <c r="AD17043" s="7"/>
      <c r="AE17043" s="7"/>
      <c r="AF17043" s="7"/>
    </row>
    <row r="17044" spans="1:32">
      <c r="A17044" s="7"/>
      <c r="B17044" s="7"/>
      <c r="C17044" s="7"/>
      <c r="D17044" s="7"/>
      <c r="E17044" s="7"/>
      <c r="F17044" s="7"/>
      <c r="G17044" s="7"/>
      <c r="H17044" s="7"/>
      <c r="I17044" s="7"/>
      <c r="J17044" s="7"/>
      <c r="K17044" s="7"/>
      <c r="L17044" s="7"/>
      <c r="M17044" s="7"/>
      <c r="N17044" s="7"/>
      <c r="O17044" s="7"/>
      <c r="P17044" s="7"/>
      <c r="Q17044" s="7"/>
      <c r="R17044" s="7"/>
      <c r="S17044" s="7"/>
      <c r="T17044" s="7"/>
      <c r="U17044" s="7"/>
      <c r="V17044" s="7"/>
      <c r="W17044" s="7"/>
      <c r="X17044" s="7"/>
      <c r="Y17044" s="7"/>
      <c r="Z17044" s="7"/>
      <c r="AA17044" s="7"/>
      <c r="AB17044" s="7"/>
      <c r="AC17044" s="7"/>
      <c r="AD17044" s="7"/>
      <c r="AE17044" s="7"/>
      <c r="AF17044" s="7"/>
    </row>
    <row r="17045" spans="1:32">
      <c r="A17045" s="7"/>
      <c r="B17045" s="7"/>
      <c r="C17045" s="7"/>
      <c r="D17045" s="7"/>
      <c r="E17045" s="7"/>
      <c r="F17045" s="7"/>
      <c r="G17045" s="7"/>
      <c r="H17045" s="7"/>
      <c r="I17045" s="7"/>
      <c r="J17045" s="7"/>
      <c r="K17045" s="7"/>
      <c r="L17045" s="7"/>
      <c r="M17045" s="7"/>
      <c r="N17045" s="7"/>
      <c r="O17045" s="7"/>
      <c r="P17045" s="7"/>
      <c r="Q17045" s="7"/>
      <c r="R17045" s="7"/>
      <c r="S17045" s="7"/>
      <c r="T17045" s="7"/>
      <c r="U17045" s="7"/>
      <c r="V17045" s="7"/>
      <c r="W17045" s="7"/>
      <c r="X17045" s="7"/>
      <c r="Y17045" s="7"/>
      <c r="Z17045" s="7"/>
      <c r="AA17045" s="7"/>
      <c r="AB17045" s="7"/>
      <c r="AC17045" s="7"/>
      <c r="AD17045" s="7"/>
      <c r="AE17045" s="7"/>
      <c r="AF17045" s="7"/>
    </row>
    <row r="17046" spans="1:32">
      <c r="A17046" s="7"/>
      <c r="B17046" s="7"/>
      <c r="C17046" s="7"/>
      <c r="D17046" s="7"/>
      <c r="E17046" s="7"/>
      <c r="F17046" s="7"/>
      <c r="G17046" s="7"/>
      <c r="H17046" s="7"/>
      <c r="I17046" s="7"/>
      <c r="J17046" s="7"/>
      <c r="K17046" s="7"/>
      <c r="L17046" s="7"/>
      <c r="M17046" s="7"/>
      <c r="N17046" s="7"/>
      <c r="O17046" s="7"/>
      <c r="P17046" s="7"/>
      <c r="Q17046" s="7"/>
      <c r="R17046" s="7"/>
      <c r="S17046" s="7"/>
      <c r="T17046" s="7"/>
      <c r="U17046" s="7"/>
      <c r="V17046" s="7"/>
      <c r="W17046" s="7"/>
      <c r="X17046" s="7"/>
      <c r="Y17046" s="7"/>
      <c r="Z17046" s="7"/>
      <c r="AA17046" s="7"/>
      <c r="AB17046" s="7"/>
      <c r="AC17046" s="7"/>
      <c r="AD17046" s="7"/>
      <c r="AE17046" s="7"/>
      <c r="AF17046" s="7"/>
    </row>
    <row r="17047" spans="1:32">
      <c r="A17047" s="7"/>
      <c r="B17047" s="7"/>
      <c r="C17047" s="7"/>
      <c r="D17047" s="7"/>
      <c r="E17047" s="7"/>
      <c r="F17047" s="7"/>
      <c r="G17047" s="7"/>
      <c r="H17047" s="7"/>
      <c r="I17047" s="7"/>
      <c r="J17047" s="7"/>
      <c r="K17047" s="7"/>
      <c r="L17047" s="7"/>
      <c r="M17047" s="7"/>
      <c r="N17047" s="7"/>
      <c r="O17047" s="7"/>
      <c r="P17047" s="7"/>
      <c r="Q17047" s="7"/>
      <c r="R17047" s="7"/>
      <c r="S17047" s="7"/>
      <c r="T17047" s="7"/>
      <c r="U17047" s="7"/>
      <c r="V17047" s="7"/>
      <c r="W17047" s="7"/>
      <c r="X17047" s="7"/>
      <c r="Y17047" s="7"/>
      <c r="Z17047" s="7"/>
      <c r="AA17047" s="7"/>
      <c r="AB17047" s="7"/>
      <c r="AC17047" s="7"/>
      <c r="AD17047" s="7"/>
      <c r="AE17047" s="7"/>
      <c r="AF17047" s="7"/>
    </row>
    <row r="17048" spans="1:32">
      <c r="A17048" s="7"/>
      <c r="B17048" s="7"/>
      <c r="C17048" s="7"/>
      <c r="D17048" s="7"/>
      <c r="E17048" s="7"/>
      <c r="F17048" s="7"/>
      <c r="G17048" s="7"/>
      <c r="H17048" s="7"/>
      <c r="I17048" s="7"/>
      <c r="J17048" s="7"/>
      <c r="K17048" s="7"/>
      <c r="L17048" s="7"/>
      <c r="M17048" s="7"/>
      <c r="N17048" s="7"/>
      <c r="O17048" s="7"/>
      <c r="P17048" s="7"/>
      <c r="Q17048" s="7"/>
      <c r="R17048" s="7"/>
      <c r="S17048" s="7"/>
      <c r="T17048" s="7"/>
      <c r="U17048" s="7"/>
      <c r="V17048" s="7"/>
      <c r="W17048" s="7"/>
      <c r="X17048" s="7"/>
      <c r="Y17048" s="7"/>
      <c r="Z17048" s="7"/>
      <c r="AA17048" s="7"/>
      <c r="AB17048" s="7"/>
      <c r="AC17048" s="7"/>
      <c r="AD17048" s="7"/>
      <c r="AE17048" s="7"/>
      <c r="AF17048" s="7"/>
    </row>
    <row r="17049" spans="1:32">
      <c r="A17049" s="7"/>
      <c r="B17049" s="7"/>
      <c r="C17049" s="7"/>
      <c r="D17049" s="7"/>
      <c r="E17049" s="7"/>
      <c r="F17049" s="7"/>
      <c r="G17049" s="7"/>
      <c r="H17049" s="7"/>
      <c r="I17049" s="7"/>
      <c r="J17049" s="7"/>
      <c r="K17049" s="7"/>
      <c r="L17049" s="7"/>
      <c r="M17049" s="7"/>
      <c r="N17049" s="7"/>
      <c r="O17049" s="7"/>
      <c r="P17049" s="7"/>
      <c r="Q17049" s="7"/>
      <c r="R17049" s="7"/>
      <c r="S17049" s="7"/>
      <c r="T17049" s="7"/>
      <c r="U17049" s="7"/>
      <c r="V17049" s="7"/>
      <c r="W17049" s="7"/>
      <c r="X17049" s="7"/>
      <c r="Y17049" s="7"/>
      <c r="Z17049" s="7"/>
      <c r="AA17049" s="7"/>
      <c r="AB17049" s="7"/>
      <c r="AC17049" s="7"/>
      <c r="AD17049" s="7"/>
      <c r="AE17049" s="7"/>
      <c r="AF17049" s="7"/>
    </row>
    <row r="17050" spans="1:32">
      <c r="A17050" s="7"/>
      <c r="B17050" s="7"/>
      <c r="C17050" s="7"/>
      <c r="D17050" s="7"/>
      <c r="E17050" s="7"/>
      <c r="F17050" s="7"/>
      <c r="G17050" s="7"/>
      <c r="H17050" s="7"/>
      <c r="I17050" s="7"/>
      <c r="J17050" s="7"/>
      <c r="K17050" s="7"/>
      <c r="L17050" s="7"/>
      <c r="M17050" s="7"/>
      <c r="N17050" s="7"/>
      <c r="O17050" s="7"/>
      <c r="P17050" s="7"/>
      <c r="Q17050" s="7"/>
      <c r="R17050" s="7"/>
      <c r="S17050" s="7"/>
      <c r="T17050" s="7"/>
      <c r="U17050" s="7"/>
      <c r="V17050" s="7"/>
      <c r="W17050" s="7"/>
      <c r="X17050" s="7"/>
      <c r="Y17050" s="7"/>
      <c r="Z17050" s="7"/>
      <c r="AA17050" s="7"/>
      <c r="AB17050" s="7"/>
      <c r="AC17050" s="7"/>
      <c r="AD17050" s="7"/>
      <c r="AE17050" s="7"/>
      <c r="AF17050" s="7"/>
    </row>
    <row r="17051" spans="1:32">
      <c r="A17051" s="7"/>
      <c r="B17051" s="7"/>
      <c r="C17051" s="7"/>
      <c r="D17051" s="7"/>
      <c r="E17051" s="7"/>
      <c r="F17051" s="7"/>
      <c r="G17051" s="7"/>
      <c r="H17051" s="7"/>
      <c r="I17051" s="7"/>
      <c r="J17051" s="7"/>
      <c r="K17051" s="7"/>
      <c r="L17051" s="7"/>
      <c r="M17051" s="7"/>
      <c r="N17051" s="7"/>
      <c r="O17051" s="7"/>
      <c r="P17051" s="7"/>
      <c r="Q17051" s="7"/>
      <c r="R17051" s="7"/>
      <c r="S17051" s="7"/>
      <c r="T17051" s="7"/>
      <c r="U17051" s="7"/>
      <c r="V17051" s="7"/>
      <c r="W17051" s="7"/>
      <c r="X17051" s="7"/>
      <c r="Y17051" s="7"/>
      <c r="Z17051" s="7"/>
      <c r="AA17051" s="7"/>
      <c r="AB17051" s="7"/>
      <c r="AC17051" s="7"/>
      <c r="AD17051" s="7"/>
      <c r="AE17051" s="7"/>
      <c r="AF17051" s="7"/>
    </row>
    <row r="17052" spans="1:32">
      <c r="A17052" s="7"/>
      <c r="B17052" s="7"/>
      <c r="C17052" s="7"/>
      <c r="D17052" s="7"/>
      <c r="E17052" s="7"/>
      <c r="F17052" s="7"/>
      <c r="G17052" s="7"/>
      <c r="H17052" s="7"/>
      <c r="I17052" s="7"/>
      <c r="J17052" s="7"/>
      <c r="K17052" s="7"/>
      <c r="L17052" s="7"/>
      <c r="M17052" s="7"/>
      <c r="N17052" s="7"/>
      <c r="O17052" s="7"/>
      <c r="P17052" s="7"/>
      <c r="Q17052" s="7"/>
      <c r="R17052" s="7"/>
      <c r="S17052" s="7"/>
      <c r="T17052" s="7"/>
      <c r="U17052" s="7"/>
      <c r="V17052" s="7"/>
      <c r="W17052" s="7"/>
      <c r="X17052" s="7"/>
      <c r="Y17052" s="7"/>
      <c r="Z17052" s="7"/>
      <c r="AA17052" s="7"/>
      <c r="AB17052" s="7"/>
      <c r="AC17052" s="7"/>
      <c r="AD17052" s="7"/>
      <c r="AE17052" s="7"/>
      <c r="AF17052" s="7"/>
    </row>
    <row r="17053" spans="1:32">
      <c r="A17053" s="7"/>
      <c r="B17053" s="7"/>
      <c r="C17053" s="7"/>
      <c r="D17053" s="7"/>
      <c r="E17053" s="7"/>
      <c r="F17053" s="7"/>
      <c r="G17053" s="7"/>
      <c r="H17053" s="7"/>
      <c r="I17053" s="7"/>
      <c r="J17053" s="7"/>
      <c r="K17053" s="7"/>
      <c r="L17053" s="7"/>
      <c r="M17053" s="7"/>
      <c r="N17053" s="7"/>
      <c r="O17053" s="7"/>
      <c r="P17053" s="7"/>
      <c r="Q17053" s="7"/>
      <c r="R17053" s="7"/>
      <c r="S17053" s="7"/>
      <c r="T17053" s="7"/>
      <c r="U17053" s="7"/>
      <c r="V17053" s="7"/>
      <c r="W17053" s="7"/>
      <c r="X17053" s="7"/>
      <c r="Y17053" s="7"/>
      <c r="Z17053" s="7"/>
      <c r="AA17053" s="7"/>
      <c r="AB17053" s="7"/>
      <c r="AC17053" s="7"/>
      <c r="AD17053" s="7"/>
      <c r="AE17053" s="7"/>
      <c r="AF17053" s="7"/>
    </row>
    <row r="17054" spans="1:32">
      <c r="A17054" s="7"/>
      <c r="B17054" s="7"/>
      <c r="C17054" s="7"/>
      <c r="D17054" s="7"/>
      <c r="E17054" s="7"/>
      <c r="F17054" s="7"/>
      <c r="G17054" s="7"/>
      <c r="H17054" s="7"/>
      <c r="I17054" s="7"/>
      <c r="J17054" s="7"/>
      <c r="K17054" s="7"/>
      <c r="L17054" s="7"/>
      <c r="M17054" s="7"/>
      <c r="N17054" s="7"/>
      <c r="O17054" s="7"/>
      <c r="P17054" s="7"/>
      <c r="Q17054" s="7"/>
      <c r="R17054" s="7"/>
      <c r="S17054" s="7"/>
      <c r="T17054" s="7"/>
      <c r="U17054" s="7"/>
      <c r="V17054" s="7"/>
      <c r="W17054" s="7"/>
      <c r="X17054" s="7"/>
      <c r="Y17054" s="7"/>
      <c r="Z17054" s="7"/>
      <c r="AA17054" s="7"/>
      <c r="AB17054" s="7"/>
      <c r="AC17054" s="7"/>
      <c r="AD17054" s="7"/>
      <c r="AE17054" s="7"/>
      <c r="AF17054" s="7"/>
    </row>
    <row r="17055" spans="1:32">
      <c r="A17055" s="7"/>
      <c r="B17055" s="7"/>
      <c r="C17055" s="7"/>
      <c r="D17055" s="7"/>
      <c r="E17055" s="7"/>
      <c r="F17055" s="7"/>
      <c r="G17055" s="7"/>
      <c r="H17055" s="7"/>
      <c r="I17055" s="7"/>
      <c r="J17055" s="7"/>
      <c r="K17055" s="7"/>
      <c r="L17055" s="7"/>
      <c r="M17055" s="7"/>
      <c r="N17055" s="7"/>
      <c r="O17055" s="7"/>
      <c r="P17055" s="7"/>
      <c r="Q17055" s="7"/>
      <c r="R17055" s="7"/>
      <c r="S17055" s="7"/>
      <c r="T17055" s="7"/>
      <c r="U17055" s="7"/>
      <c r="V17055" s="7"/>
      <c r="W17055" s="7"/>
      <c r="X17055" s="7"/>
      <c r="Y17055" s="7"/>
      <c r="Z17055" s="7"/>
      <c r="AA17055" s="7"/>
      <c r="AB17055" s="7"/>
      <c r="AC17055" s="7"/>
      <c r="AD17055" s="7"/>
      <c r="AE17055" s="7"/>
      <c r="AF17055" s="7"/>
    </row>
    <row r="17056" spans="1:32">
      <c r="A17056" s="7"/>
      <c r="B17056" s="7"/>
      <c r="C17056" s="7"/>
      <c r="D17056" s="7"/>
      <c r="E17056" s="7"/>
      <c r="F17056" s="7"/>
      <c r="G17056" s="7"/>
      <c r="H17056" s="7"/>
      <c r="I17056" s="7"/>
      <c r="J17056" s="7"/>
      <c r="K17056" s="7"/>
      <c r="L17056" s="7"/>
      <c r="M17056" s="7"/>
      <c r="N17056" s="7"/>
      <c r="O17056" s="7"/>
      <c r="P17056" s="7"/>
      <c r="Q17056" s="7"/>
      <c r="R17056" s="7"/>
      <c r="S17056" s="7"/>
      <c r="T17056" s="7"/>
      <c r="U17056" s="7"/>
      <c r="V17056" s="7"/>
      <c r="W17056" s="7"/>
      <c r="X17056" s="7"/>
      <c r="Y17056" s="7"/>
      <c r="Z17056" s="7"/>
      <c r="AA17056" s="7"/>
      <c r="AB17056" s="7"/>
      <c r="AC17056" s="7"/>
      <c r="AD17056" s="7"/>
      <c r="AE17056" s="7"/>
      <c r="AF17056" s="7"/>
    </row>
    <row r="17057" spans="1:32">
      <c r="A17057" s="7"/>
      <c r="B17057" s="7"/>
      <c r="C17057" s="7"/>
      <c r="D17057" s="7"/>
      <c r="E17057" s="7"/>
      <c r="F17057" s="7"/>
      <c r="G17057" s="7"/>
      <c r="H17057" s="7"/>
      <c r="I17057" s="7"/>
      <c r="J17057" s="7"/>
      <c r="K17057" s="7"/>
      <c r="L17057" s="7"/>
      <c r="M17057" s="7"/>
      <c r="N17057" s="7"/>
      <c r="O17057" s="7"/>
      <c r="P17057" s="7"/>
      <c r="Q17057" s="7"/>
      <c r="R17057" s="7"/>
      <c r="S17057" s="7"/>
      <c r="T17057" s="7"/>
      <c r="U17057" s="7"/>
      <c r="V17057" s="7"/>
      <c r="W17057" s="7"/>
      <c r="X17057" s="7"/>
      <c r="Y17057" s="7"/>
      <c r="Z17057" s="7"/>
      <c r="AA17057" s="7"/>
      <c r="AB17057" s="7"/>
      <c r="AC17057" s="7"/>
      <c r="AD17057" s="7"/>
      <c r="AE17057" s="7"/>
      <c r="AF17057" s="7"/>
    </row>
    <row r="17058" spans="1:32">
      <c r="A17058" s="7"/>
      <c r="B17058" s="7"/>
      <c r="C17058" s="7"/>
      <c r="D17058" s="7"/>
      <c r="E17058" s="7"/>
      <c r="F17058" s="7"/>
      <c r="G17058" s="7"/>
      <c r="H17058" s="7"/>
      <c r="I17058" s="7"/>
      <c r="J17058" s="7"/>
      <c r="K17058" s="7"/>
      <c r="L17058" s="7"/>
      <c r="M17058" s="7"/>
      <c r="N17058" s="7"/>
      <c r="O17058" s="7"/>
      <c r="P17058" s="7"/>
      <c r="Q17058" s="7"/>
      <c r="R17058" s="7"/>
      <c r="S17058" s="7"/>
      <c r="T17058" s="7"/>
      <c r="U17058" s="7"/>
      <c r="V17058" s="7"/>
      <c r="W17058" s="7"/>
      <c r="X17058" s="7"/>
      <c r="Y17058" s="7"/>
      <c r="Z17058" s="7"/>
      <c r="AA17058" s="7"/>
      <c r="AB17058" s="7"/>
      <c r="AC17058" s="7"/>
      <c r="AD17058" s="7"/>
      <c r="AE17058" s="7"/>
      <c r="AF17058" s="7"/>
    </row>
    <row r="17059" spans="1:32">
      <c r="A17059" s="7"/>
      <c r="B17059" s="7"/>
      <c r="C17059" s="7"/>
      <c r="D17059" s="7"/>
      <c r="E17059" s="7"/>
      <c r="F17059" s="7"/>
      <c r="G17059" s="7"/>
      <c r="H17059" s="7"/>
      <c r="I17059" s="7"/>
      <c r="J17059" s="7"/>
      <c r="K17059" s="7"/>
      <c r="L17059" s="7"/>
      <c r="M17059" s="7"/>
      <c r="N17059" s="7"/>
      <c r="O17059" s="7"/>
      <c r="P17059" s="7"/>
      <c r="Q17059" s="7"/>
      <c r="R17059" s="7"/>
      <c r="S17059" s="7"/>
      <c r="T17059" s="7"/>
      <c r="U17059" s="7"/>
      <c r="V17059" s="7"/>
      <c r="W17059" s="7"/>
      <c r="X17059" s="7"/>
      <c r="Y17059" s="7"/>
      <c r="Z17059" s="7"/>
      <c r="AA17059" s="7"/>
      <c r="AB17059" s="7"/>
      <c r="AC17059" s="7"/>
      <c r="AD17059" s="7"/>
      <c r="AE17059" s="7"/>
      <c r="AF17059" s="7"/>
    </row>
    <row r="17060" spans="1:32">
      <c r="A17060" s="7"/>
      <c r="B17060" s="7"/>
      <c r="C17060" s="7"/>
      <c r="D17060" s="7"/>
      <c r="E17060" s="7"/>
      <c r="F17060" s="7"/>
      <c r="G17060" s="7"/>
      <c r="H17060" s="7"/>
      <c r="I17060" s="7"/>
      <c r="J17060" s="7"/>
      <c r="K17060" s="7"/>
      <c r="L17060" s="7"/>
      <c r="M17060" s="7"/>
      <c r="N17060" s="7"/>
      <c r="O17060" s="7"/>
      <c r="P17060" s="7"/>
      <c r="Q17060" s="7"/>
      <c r="R17060" s="7"/>
      <c r="S17060" s="7"/>
      <c r="T17060" s="7"/>
      <c r="U17060" s="7"/>
      <c r="V17060" s="7"/>
      <c r="W17060" s="7"/>
      <c r="X17060" s="7"/>
      <c r="Y17060" s="7"/>
      <c r="Z17060" s="7"/>
      <c r="AA17060" s="7"/>
      <c r="AB17060" s="7"/>
      <c r="AC17060" s="7"/>
      <c r="AD17060" s="7"/>
      <c r="AE17060" s="7"/>
      <c r="AF17060" s="7"/>
    </row>
    <row r="17061" spans="1:32">
      <c r="A17061" s="7"/>
      <c r="B17061" s="7"/>
      <c r="C17061" s="7"/>
      <c r="D17061" s="7"/>
      <c r="E17061" s="7"/>
      <c r="F17061" s="7"/>
      <c r="G17061" s="7"/>
      <c r="H17061" s="7"/>
      <c r="I17061" s="7"/>
      <c r="J17061" s="7"/>
      <c r="K17061" s="7"/>
      <c r="L17061" s="7"/>
      <c r="M17061" s="7"/>
      <c r="N17061" s="7"/>
      <c r="O17061" s="7"/>
      <c r="P17061" s="7"/>
      <c r="Q17061" s="7"/>
      <c r="R17061" s="7"/>
      <c r="S17061" s="7"/>
      <c r="T17061" s="7"/>
      <c r="U17061" s="7"/>
      <c r="V17061" s="7"/>
      <c r="W17061" s="7"/>
      <c r="X17061" s="7"/>
      <c r="Y17061" s="7"/>
      <c r="Z17061" s="7"/>
      <c r="AA17061" s="7"/>
      <c r="AB17061" s="7"/>
      <c r="AC17061" s="7"/>
      <c r="AD17061" s="7"/>
      <c r="AE17061" s="7"/>
      <c r="AF17061" s="7"/>
    </row>
    <row r="17062" spans="1:32">
      <c r="A17062" s="7"/>
      <c r="B17062" s="7"/>
      <c r="C17062" s="7"/>
      <c r="D17062" s="7"/>
      <c r="E17062" s="7"/>
      <c r="F17062" s="7"/>
      <c r="G17062" s="7"/>
      <c r="H17062" s="7"/>
      <c r="I17062" s="7"/>
      <c r="J17062" s="7"/>
      <c r="K17062" s="7"/>
      <c r="L17062" s="7"/>
      <c r="M17062" s="7"/>
      <c r="N17062" s="7"/>
      <c r="O17062" s="7"/>
      <c r="P17062" s="7"/>
      <c r="Q17062" s="7"/>
      <c r="R17062" s="7"/>
      <c r="S17062" s="7"/>
      <c r="T17062" s="7"/>
      <c r="U17062" s="7"/>
      <c r="V17062" s="7"/>
      <c r="W17062" s="7"/>
      <c r="X17062" s="7"/>
      <c r="Y17062" s="7"/>
      <c r="Z17062" s="7"/>
      <c r="AA17062" s="7"/>
      <c r="AB17062" s="7"/>
      <c r="AC17062" s="7"/>
      <c r="AD17062" s="7"/>
      <c r="AE17062" s="7"/>
      <c r="AF17062" s="7"/>
    </row>
    <row r="17063" spans="1:32">
      <c r="A17063" s="7"/>
      <c r="B17063" s="7"/>
      <c r="C17063" s="7"/>
      <c r="D17063" s="7"/>
      <c r="E17063" s="7"/>
      <c r="F17063" s="7"/>
      <c r="G17063" s="7"/>
      <c r="H17063" s="7"/>
      <c r="I17063" s="7"/>
      <c r="J17063" s="7"/>
      <c r="K17063" s="7"/>
      <c r="L17063" s="7"/>
      <c r="M17063" s="7"/>
      <c r="N17063" s="7"/>
      <c r="O17063" s="7"/>
      <c r="P17063" s="7"/>
      <c r="Q17063" s="7"/>
      <c r="R17063" s="7"/>
      <c r="S17063" s="7"/>
      <c r="T17063" s="7"/>
      <c r="U17063" s="7"/>
      <c r="V17063" s="7"/>
      <c r="W17063" s="7"/>
      <c r="X17063" s="7"/>
      <c r="Y17063" s="7"/>
      <c r="Z17063" s="7"/>
      <c r="AA17063" s="7"/>
      <c r="AB17063" s="7"/>
      <c r="AC17063" s="7"/>
      <c r="AD17063" s="7"/>
      <c r="AE17063" s="7"/>
      <c r="AF17063" s="7"/>
    </row>
    <row r="17064" spans="1:32">
      <c r="A17064" s="7"/>
      <c r="B17064" s="7"/>
      <c r="C17064" s="7"/>
      <c r="D17064" s="7"/>
      <c r="E17064" s="7"/>
      <c r="F17064" s="7"/>
      <c r="G17064" s="7"/>
      <c r="H17064" s="7"/>
      <c r="I17064" s="7"/>
      <c r="J17064" s="7"/>
      <c r="K17064" s="7"/>
      <c r="L17064" s="7"/>
      <c r="M17064" s="7"/>
      <c r="N17064" s="7"/>
      <c r="O17064" s="7"/>
      <c r="P17064" s="7"/>
      <c r="Q17064" s="7"/>
      <c r="R17064" s="7"/>
      <c r="S17064" s="7"/>
      <c r="T17064" s="7"/>
      <c r="U17064" s="7"/>
      <c r="V17064" s="7"/>
      <c r="W17064" s="7"/>
      <c r="X17064" s="7"/>
      <c r="Y17064" s="7"/>
      <c r="Z17064" s="7"/>
      <c r="AA17064" s="7"/>
      <c r="AB17064" s="7"/>
      <c r="AC17064" s="7"/>
      <c r="AD17064" s="7"/>
      <c r="AE17064" s="7"/>
      <c r="AF17064" s="7"/>
    </row>
    <row r="17065" spans="1:32">
      <c r="A17065" s="7"/>
      <c r="B17065" s="7"/>
      <c r="C17065" s="7"/>
      <c r="D17065" s="7"/>
      <c r="E17065" s="7"/>
      <c r="F17065" s="7"/>
      <c r="G17065" s="7"/>
      <c r="H17065" s="7"/>
      <c r="I17065" s="7"/>
      <c r="J17065" s="7"/>
      <c r="K17065" s="7"/>
      <c r="L17065" s="7"/>
      <c r="M17065" s="7"/>
      <c r="N17065" s="7"/>
      <c r="O17065" s="7"/>
      <c r="P17065" s="7"/>
      <c r="Q17065" s="7"/>
      <c r="R17065" s="7"/>
      <c r="S17065" s="7"/>
      <c r="T17065" s="7"/>
      <c r="U17065" s="7"/>
      <c r="V17065" s="7"/>
      <c r="W17065" s="7"/>
      <c r="X17065" s="7"/>
      <c r="Y17065" s="7"/>
      <c r="Z17065" s="7"/>
      <c r="AA17065" s="7"/>
      <c r="AB17065" s="7"/>
      <c r="AC17065" s="7"/>
      <c r="AD17065" s="7"/>
      <c r="AE17065" s="7"/>
      <c r="AF17065" s="7"/>
    </row>
    <row r="17066" spans="1:32">
      <c r="A17066" s="7"/>
      <c r="B17066" s="7"/>
      <c r="C17066" s="7"/>
      <c r="D17066" s="7"/>
      <c r="E17066" s="7"/>
      <c r="F17066" s="7"/>
      <c r="G17066" s="7"/>
      <c r="H17066" s="7"/>
      <c r="I17066" s="7"/>
      <c r="J17066" s="7"/>
      <c r="K17066" s="7"/>
      <c r="L17066" s="7"/>
      <c r="M17066" s="7"/>
      <c r="N17066" s="7"/>
      <c r="O17066" s="7"/>
      <c r="P17066" s="7"/>
      <c r="Q17066" s="7"/>
      <c r="R17066" s="7"/>
      <c r="S17066" s="7"/>
      <c r="T17066" s="7"/>
      <c r="U17066" s="7"/>
      <c r="V17066" s="7"/>
      <c r="W17066" s="7"/>
      <c r="X17066" s="7"/>
      <c r="Y17066" s="7"/>
      <c r="Z17066" s="7"/>
      <c r="AA17066" s="7"/>
      <c r="AB17066" s="7"/>
      <c r="AC17066" s="7"/>
      <c r="AD17066" s="7"/>
      <c r="AE17066" s="7"/>
      <c r="AF17066" s="7"/>
    </row>
    <row r="17067" spans="1:32">
      <c r="A17067" s="7"/>
      <c r="B17067" s="7"/>
      <c r="C17067" s="7"/>
      <c r="D17067" s="7"/>
      <c r="E17067" s="7"/>
      <c r="F17067" s="7"/>
      <c r="G17067" s="7"/>
      <c r="H17067" s="7"/>
      <c r="I17067" s="7"/>
      <c r="J17067" s="7"/>
      <c r="K17067" s="7"/>
      <c r="L17067" s="7"/>
      <c r="M17067" s="7"/>
      <c r="N17067" s="7"/>
      <c r="O17067" s="7"/>
      <c r="P17067" s="7"/>
      <c r="Q17067" s="7"/>
      <c r="R17067" s="7"/>
      <c r="S17067" s="7"/>
      <c r="T17067" s="7"/>
      <c r="U17067" s="7"/>
      <c r="V17067" s="7"/>
      <c r="W17067" s="7"/>
      <c r="X17067" s="7"/>
      <c r="Y17067" s="7"/>
      <c r="Z17067" s="7"/>
      <c r="AA17067" s="7"/>
      <c r="AB17067" s="7"/>
      <c r="AC17067" s="7"/>
      <c r="AD17067" s="7"/>
      <c r="AE17067" s="7"/>
      <c r="AF17067" s="7"/>
    </row>
    <row r="17068" spans="1:32">
      <c r="A17068" s="7"/>
      <c r="B17068" s="7"/>
      <c r="C17068" s="7"/>
      <c r="D17068" s="7"/>
      <c r="E17068" s="7"/>
      <c r="F17068" s="7"/>
      <c r="G17068" s="7"/>
      <c r="H17068" s="7"/>
      <c r="I17068" s="7"/>
      <c r="J17068" s="7"/>
      <c r="K17068" s="7"/>
      <c r="L17068" s="7"/>
      <c r="M17068" s="7"/>
      <c r="N17068" s="7"/>
      <c r="O17068" s="7"/>
      <c r="P17068" s="7"/>
      <c r="Q17068" s="7"/>
      <c r="R17068" s="7"/>
      <c r="S17068" s="7"/>
      <c r="T17068" s="7"/>
      <c r="U17068" s="7"/>
      <c r="V17068" s="7"/>
      <c r="W17068" s="7"/>
      <c r="X17068" s="7"/>
      <c r="Y17068" s="7"/>
      <c r="Z17068" s="7"/>
      <c r="AA17068" s="7"/>
      <c r="AB17068" s="7"/>
      <c r="AC17068" s="7"/>
      <c r="AD17068" s="7"/>
      <c r="AE17068" s="7"/>
      <c r="AF17068" s="7"/>
    </row>
    <row r="17069" spans="1:32">
      <c r="A17069" s="7"/>
      <c r="B17069" s="7"/>
      <c r="C17069" s="7"/>
      <c r="D17069" s="7"/>
      <c r="E17069" s="7"/>
      <c r="F17069" s="7"/>
      <c r="G17069" s="7"/>
      <c r="H17069" s="7"/>
      <c r="I17069" s="7"/>
      <c r="J17069" s="7"/>
      <c r="K17069" s="7"/>
      <c r="L17069" s="7"/>
      <c r="M17069" s="7"/>
      <c r="N17069" s="7"/>
      <c r="O17069" s="7"/>
      <c r="P17069" s="7"/>
      <c r="Q17069" s="7"/>
      <c r="R17069" s="7"/>
      <c r="S17069" s="7"/>
      <c r="T17069" s="7"/>
      <c r="U17069" s="7"/>
      <c r="V17069" s="7"/>
      <c r="W17069" s="7"/>
      <c r="X17069" s="7"/>
      <c r="Y17069" s="7"/>
      <c r="Z17069" s="7"/>
      <c r="AA17069" s="7"/>
      <c r="AB17069" s="7"/>
      <c r="AC17069" s="7"/>
      <c r="AD17069" s="7"/>
      <c r="AE17069" s="7"/>
      <c r="AF17069" s="7"/>
    </row>
    <row r="17070" spans="1:32">
      <c r="A17070" s="7"/>
      <c r="B17070" s="7"/>
      <c r="C17070" s="7"/>
      <c r="D17070" s="7"/>
      <c r="E17070" s="7"/>
      <c r="F17070" s="7"/>
      <c r="G17070" s="7"/>
      <c r="H17070" s="7"/>
      <c r="I17070" s="7"/>
      <c r="J17070" s="7"/>
      <c r="K17070" s="7"/>
      <c r="L17070" s="7"/>
      <c r="M17070" s="7"/>
      <c r="N17070" s="7"/>
      <c r="O17070" s="7"/>
      <c r="P17070" s="7"/>
      <c r="Q17070" s="7"/>
      <c r="R17070" s="7"/>
      <c r="S17070" s="7"/>
      <c r="T17070" s="7"/>
      <c r="U17070" s="7"/>
      <c r="V17070" s="7"/>
      <c r="W17070" s="7"/>
      <c r="X17070" s="7"/>
      <c r="Y17070" s="7"/>
      <c r="Z17070" s="7"/>
      <c r="AA17070" s="7"/>
      <c r="AB17070" s="7"/>
      <c r="AC17070" s="7"/>
      <c r="AD17070" s="7"/>
      <c r="AE17070" s="7"/>
      <c r="AF17070" s="7"/>
    </row>
    <row r="17071" spans="1:32">
      <c r="A17071" s="7"/>
      <c r="B17071" s="7"/>
      <c r="C17071" s="7"/>
      <c r="D17071" s="7"/>
      <c r="E17071" s="7"/>
      <c r="F17071" s="7"/>
      <c r="G17071" s="7"/>
      <c r="H17071" s="7"/>
      <c r="I17071" s="7"/>
      <c r="J17071" s="7"/>
      <c r="K17071" s="7"/>
      <c r="L17071" s="7"/>
      <c r="M17071" s="7"/>
      <c r="N17071" s="7"/>
      <c r="O17071" s="7"/>
      <c r="P17071" s="7"/>
      <c r="Q17071" s="7"/>
      <c r="R17071" s="7"/>
      <c r="S17071" s="7"/>
      <c r="T17071" s="7"/>
      <c r="U17071" s="7"/>
      <c r="V17071" s="7"/>
      <c r="W17071" s="7"/>
      <c r="X17071" s="7"/>
      <c r="Y17071" s="7"/>
      <c r="Z17071" s="7"/>
      <c r="AA17071" s="7"/>
      <c r="AB17071" s="7"/>
      <c r="AC17071" s="7"/>
      <c r="AD17071" s="7"/>
      <c r="AE17071" s="7"/>
      <c r="AF17071" s="7"/>
    </row>
    <row r="17072" spans="1:32">
      <c r="A17072" s="7"/>
      <c r="B17072" s="7"/>
      <c r="C17072" s="7"/>
      <c r="D17072" s="7"/>
      <c r="E17072" s="7"/>
      <c r="F17072" s="7"/>
      <c r="G17072" s="7"/>
      <c r="H17072" s="7"/>
      <c r="I17072" s="7"/>
      <c r="J17072" s="7"/>
      <c r="K17072" s="7"/>
      <c r="L17072" s="7"/>
      <c r="M17072" s="7"/>
      <c r="N17072" s="7"/>
      <c r="O17072" s="7"/>
      <c r="P17072" s="7"/>
      <c r="Q17072" s="7"/>
      <c r="R17072" s="7"/>
      <c r="S17072" s="7"/>
      <c r="T17072" s="7"/>
      <c r="U17072" s="7"/>
      <c r="V17072" s="7"/>
      <c r="W17072" s="7"/>
      <c r="X17072" s="7"/>
      <c r="Y17072" s="7"/>
      <c r="Z17072" s="7"/>
      <c r="AA17072" s="7"/>
      <c r="AB17072" s="7"/>
      <c r="AC17072" s="7"/>
      <c r="AD17072" s="7"/>
      <c r="AE17072" s="7"/>
      <c r="AF17072" s="7"/>
    </row>
    <row r="17073" spans="1:32">
      <c r="A17073" s="7"/>
      <c r="B17073" s="7"/>
      <c r="C17073" s="7"/>
      <c r="D17073" s="7"/>
      <c r="E17073" s="7"/>
      <c r="F17073" s="7"/>
      <c r="G17073" s="7"/>
      <c r="H17073" s="7"/>
      <c r="I17073" s="7"/>
      <c r="J17073" s="7"/>
      <c r="K17073" s="7"/>
      <c r="L17073" s="7"/>
      <c r="M17073" s="7"/>
      <c r="N17073" s="7"/>
      <c r="O17073" s="7"/>
      <c r="P17073" s="7"/>
      <c r="Q17073" s="7"/>
      <c r="R17073" s="7"/>
      <c r="S17073" s="7"/>
      <c r="T17073" s="7"/>
      <c r="U17073" s="7"/>
      <c r="V17073" s="7"/>
      <c r="W17073" s="7"/>
      <c r="X17073" s="7"/>
      <c r="Y17073" s="7"/>
      <c r="Z17073" s="7"/>
      <c r="AA17073" s="7"/>
      <c r="AB17073" s="7"/>
      <c r="AC17073" s="7"/>
      <c r="AD17073" s="7"/>
      <c r="AE17073" s="7"/>
      <c r="AF17073" s="7"/>
    </row>
    <row r="17074" spans="1:32">
      <c r="A17074" s="7"/>
      <c r="B17074" s="7"/>
      <c r="C17074" s="7"/>
      <c r="D17074" s="7"/>
      <c r="E17074" s="7"/>
      <c r="F17074" s="7"/>
      <c r="G17074" s="7"/>
      <c r="H17074" s="7"/>
      <c r="I17074" s="7"/>
      <c r="J17074" s="7"/>
      <c r="K17074" s="7"/>
      <c r="L17074" s="7"/>
      <c r="M17074" s="7"/>
      <c r="N17074" s="7"/>
      <c r="O17074" s="7"/>
      <c r="P17074" s="7"/>
      <c r="Q17074" s="7"/>
      <c r="R17074" s="7"/>
      <c r="S17074" s="7"/>
      <c r="T17074" s="7"/>
      <c r="U17074" s="7"/>
      <c r="V17074" s="7"/>
      <c r="W17074" s="7"/>
      <c r="X17074" s="7"/>
      <c r="Y17074" s="7"/>
      <c r="Z17074" s="7"/>
      <c r="AA17074" s="7"/>
      <c r="AB17074" s="7"/>
      <c r="AC17074" s="7"/>
      <c r="AD17074" s="7"/>
      <c r="AE17074" s="7"/>
      <c r="AF17074" s="7"/>
    </row>
    <row r="17075" spans="1:32">
      <c r="A17075" s="7"/>
      <c r="B17075" s="7"/>
      <c r="C17075" s="7"/>
      <c r="D17075" s="7"/>
      <c r="E17075" s="7"/>
      <c r="F17075" s="7"/>
      <c r="G17075" s="7"/>
      <c r="H17075" s="7"/>
      <c r="I17075" s="7"/>
      <c r="J17075" s="7"/>
      <c r="K17075" s="7"/>
      <c r="L17075" s="7"/>
      <c r="M17075" s="7"/>
      <c r="N17075" s="7"/>
      <c r="O17075" s="7"/>
      <c r="P17075" s="7"/>
      <c r="Q17075" s="7"/>
      <c r="R17075" s="7"/>
      <c r="S17075" s="7"/>
      <c r="T17075" s="7"/>
      <c r="U17075" s="7"/>
      <c r="V17075" s="7"/>
      <c r="W17075" s="7"/>
      <c r="X17075" s="7"/>
      <c r="Y17075" s="7"/>
      <c r="Z17075" s="7"/>
      <c r="AA17075" s="7"/>
      <c r="AB17075" s="7"/>
      <c r="AC17075" s="7"/>
      <c r="AD17075" s="7"/>
      <c r="AE17075" s="7"/>
      <c r="AF17075" s="7"/>
    </row>
    <row r="17076" spans="1:32">
      <c r="A17076" s="7"/>
      <c r="B17076" s="7"/>
      <c r="C17076" s="7"/>
      <c r="D17076" s="7"/>
      <c r="E17076" s="7"/>
      <c r="F17076" s="7"/>
      <c r="G17076" s="7"/>
      <c r="H17076" s="7"/>
      <c r="I17076" s="7"/>
      <c r="J17076" s="7"/>
      <c r="K17076" s="7"/>
      <c r="L17076" s="7"/>
      <c r="M17076" s="7"/>
      <c r="N17076" s="7"/>
      <c r="O17076" s="7"/>
      <c r="P17076" s="7"/>
      <c r="Q17076" s="7"/>
      <c r="R17076" s="7"/>
      <c r="S17076" s="7"/>
      <c r="T17076" s="7"/>
      <c r="U17076" s="7"/>
      <c r="V17076" s="7"/>
      <c r="W17076" s="7"/>
      <c r="X17076" s="7"/>
      <c r="Y17076" s="7"/>
      <c r="Z17076" s="7"/>
      <c r="AA17076" s="7"/>
      <c r="AB17076" s="7"/>
      <c r="AC17076" s="7"/>
      <c r="AD17076" s="7"/>
      <c r="AE17076" s="7"/>
      <c r="AF17076" s="7"/>
    </row>
    <row r="17077" spans="1:32">
      <c r="A17077" s="7"/>
      <c r="B17077" s="7"/>
      <c r="C17077" s="7"/>
      <c r="D17077" s="7"/>
      <c r="E17077" s="7"/>
      <c r="F17077" s="7"/>
      <c r="G17077" s="7"/>
      <c r="H17077" s="7"/>
      <c r="I17077" s="7"/>
      <c r="J17077" s="7"/>
      <c r="K17077" s="7"/>
      <c r="L17077" s="7"/>
      <c r="M17077" s="7"/>
      <c r="N17077" s="7"/>
      <c r="O17077" s="7"/>
      <c r="P17077" s="7"/>
      <c r="Q17077" s="7"/>
      <c r="R17077" s="7"/>
      <c r="S17077" s="7"/>
      <c r="T17077" s="7"/>
      <c r="U17077" s="7"/>
      <c r="V17077" s="7"/>
      <c r="W17077" s="7"/>
      <c r="X17077" s="7"/>
      <c r="Y17077" s="7"/>
      <c r="Z17077" s="7"/>
      <c r="AA17077" s="7"/>
      <c r="AB17077" s="7"/>
      <c r="AC17077" s="7"/>
      <c r="AD17077" s="7"/>
      <c r="AE17077" s="7"/>
      <c r="AF17077" s="7"/>
    </row>
    <row r="17078" spans="1:32">
      <c r="A17078" s="7"/>
      <c r="B17078" s="7"/>
      <c r="C17078" s="7"/>
      <c r="D17078" s="7"/>
      <c r="E17078" s="7"/>
      <c r="F17078" s="7"/>
      <c r="G17078" s="7"/>
      <c r="H17078" s="7"/>
      <c r="I17078" s="7"/>
      <c r="J17078" s="7"/>
      <c r="K17078" s="7"/>
      <c r="L17078" s="7"/>
      <c r="M17078" s="7"/>
      <c r="N17078" s="7"/>
      <c r="O17078" s="7"/>
      <c r="P17078" s="7"/>
      <c r="Q17078" s="7"/>
      <c r="R17078" s="7"/>
      <c r="S17078" s="7"/>
      <c r="T17078" s="7"/>
      <c r="U17078" s="7"/>
      <c r="V17078" s="7"/>
      <c r="W17078" s="7"/>
      <c r="X17078" s="7"/>
      <c r="Y17078" s="7"/>
      <c r="Z17078" s="7"/>
      <c r="AA17078" s="7"/>
      <c r="AB17078" s="7"/>
      <c r="AC17078" s="7"/>
      <c r="AD17078" s="7"/>
      <c r="AE17078" s="7"/>
      <c r="AF17078" s="7"/>
    </row>
    <row r="17079" spans="1:32">
      <c r="A17079" s="7"/>
      <c r="B17079" s="7"/>
      <c r="C17079" s="7"/>
      <c r="D17079" s="7"/>
      <c r="E17079" s="7"/>
      <c r="F17079" s="7"/>
      <c r="G17079" s="7"/>
      <c r="H17079" s="7"/>
      <c r="I17079" s="7"/>
      <c r="J17079" s="7"/>
      <c r="K17079" s="7"/>
      <c r="L17079" s="7"/>
      <c r="M17079" s="7"/>
      <c r="N17079" s="7"/>
      <c r="O17079" s="7"/>
      <c r="P17079" s="7"/>
      <c r="Q17079" s="7"/>
      <c r="R17079" s="7"/>
      <c r="S17079" s="7"/>
      <c r="T17079" s="7"/>
      <c r="U17079" s="7"/>
      <c r="V17079" s="7"/>
      <c r="W17079" s="7"/>
      <c r="X17079" s="7"/>
      <c r="Y17079" s="7"/>
      <c r="Z17079" s="7"/>
      <c r="AA17079" s="7"/>
      <c r="AB17079" s="7"/>
      <c r="AC17079" s="7"/>
      <c r="AD17079" s="7"/>
      <c r="AE17079" s="7"/>
      <c r="AF17079" s="7"/>
    </row>
    <row r="17080" spans="1:32">
      <c r="A17080" s="7"/>
      <c r="B17080" s="7"/>
      <c r="C17080" s="7"/>
      <c r="D17080" s="7"/>
      <c r="E17080" s="7"/>
      <c r="F17080" s="7"/>
      <c r="G17080" s="7"/>
      <c r="H17080" s="7"/>
      <c r="I17080" s="7"/>
      <c r="J17080" s="7"/>
      <c r="K17080" s="7"/>
      <c r="L17080" s="7"/>
      <c r="M17080" s="7"/>
      <c r="N17080" s="7"/>
      <c r="O17080" s="7"/>
      <c r="P17080" s="7"/>
      <c r="Q17080" s="7"/>
      <c r="R17080" s="7"/>
      <c r="S17080" s="7"/>
      <c r="T17080" s="7"/>
      <c r="U17080" s="7"/>
      <c r="V17080" s="7"/>
      <c r="W17080" s="7"/>
      <c r="X17080" s="7"/>
      <c r="Y17080" s="7"/>
      <c r="Z17080" s="7"/>
      <c r="AA17080" s="7"/>
      <c r="AB17080" s="7"/>
      <c r="AC17080" s="7"/>
      <c r="AD17080" s="7"/>
      <c r="AE17080" s="7"/>
      <c r="AF17080" s="7"/>
    </row>
    <row r="17081" spans="1:32">
      <c r="A17081" s="7"/>
      <c r="B17081" s="7"/>
      <c r="C17081" s="7"/>
      <c r="D17081" s="7"/>
      <c r="E17081" s="7"/>
      <c r="F17081" s="7"/>
      <c r="G17081" s="7"/>
      <c r="H17081" s="7"/>
      <c r="I17081" s="7"/>
      <c r="J17081" s="7"/>
      <c r="K17081" s="7"/>
      <c r="L17081" s="7"/>
      <c r="M17081" s="7"/>
      <c r="N17081" s="7"/>
      <c r="O17081" s="7"/>
      <c r="P17081" s="7"/>
      <c r="Q17081" s="7"/>
      <c r="R17081" s="7"/>
      <c r="S17081" s="7"/>
      <c r="T17081" s="7"/>
      <c r="U17081" s="7"/>
      <c r="V17081" s="7"/>
      <c r="W17081" s="7"/>
      <c r="X17081" s="7"/>
      <c r="Y17081" s="7"/>
      <c r="Z17081" s="7"/>
      <c r="AA17081" s="7"/>
      <c r="AB17081" s="7"/>
      <c r="AC17081" s="7"/>
      <c r="AD17081" s="7"/>
      <c r="AE17081" s="7"/>
      <c r="AF17081" s="7"/>
    </row>
    <row r="17082" spans="1:32">
      <c r="A17082" s="7"/>
      <c r="B17082" s="7"/>
      <c r="C17082" s="7"/>
      <c r="D17082" s="7"/>
      <c r="E17082" s="7"/>
      <c r="F17082" s="7"/>
      <c r="G17082" s="7"/>
      <c r="H17082" s="7"/>
      <c r="I17082" s="7"/>
      <c r="J17082" s="7"/>
      <c r="K17082" s="7"/>
      <c r="L17082" s="7"/>
      <c r="M17082" s="7"/>
      <c r="N17082" s="7"/>
      <c r="O17082" s="7"/>
      <c r="P17082" s="7"/>
      <c r="Q17082" s="7"/>
      <c r="R17082" s="7"/>
      <c r="S17082" s="7"/>
      <c r="T17082" s="7"/>
      <c r="U17082" s="7"/>
      <c r="V17082" s="7"/>
      <c r="W17082" s="7"/>
      <c r="X17082" s="7"/>
      <c r="Y17082" s="7"/>
      <c r="Z17082" s="7"/>
      <c r="AA17082" s="7"/>
      <c r="AB17082" s="7"/>
      <c r="AC17082" s="7"/>
      <c r="AD17082" s="7"/>
      <c r="AE17082" s="7"/>
      <c r="AF17082" s="7"/>
    </row>
    <row r="17083" spans="1:32">
      <c r="A17083" s="7"/>
      <c r="B17083" s="7"/>
      <c r="C17083" s="7"/>
      <c r="D17083" s="7"/>
      <c r="E17083" s="7"/>
      <c r="F17083" s="7"/>
      <c r="G17083" s="7"/>
      <c r="H17083" s="7"/>
      <c r="I17083" s="7"/>
      <c r="J17083" s="7"/>
      <c r="K17083" s="7"/>
      <c r="L17083" s="7"/>
      <c r="M17083" s="7"/>
      <c r="N17083" s="7"/>
      <c r="O17083" s="7"/>
      <c r="P17083" s="7"/>
      <c r="Q17083" s="7"/>
      <c r="R17083" s="7"/>
      <c r="S17083" s="7"/>
      <c r="T17083" s="7"/>
      <c r="U17083" s="7"/>
      <c r="V17083" s="7"/>
      <c r="W17083" s="7"/>
      <c r="X17083" s="7"/>
      <c r="Y17083" s="7"/>
      <c r="Z17083" s="7"/>
      <c r="AA17083" s="7"/>
      <c r="AB17083" s="7"/>
      <c r="AC17083" s="7"/>
      <c r="AD17083" s="7"/>
      <c r="AE17083" s="7"/>
      <c r="AF17083" s="7"/>
    </row>
    <row r="17084" spans="1:32">
      <c r="A17084" s="7"/>
      <c r="B17084" s="7"/>
      <c r="C17084" s="7"/>
      <c r="D17084" s="7"/>
      <c r="E17084" s="7"/>
      <c r="F17084" s="7"/>
      <c r="G17084" s="7"/>
      <c r="H17084" s="7"/>
      <c r="I17084" s="7"/>
      <c r="J17084" s="7"/>
      <c r="K17084" s="7"/>
      <c r="L17084" s="7"/>
      <c r="M17084" s="7"/>
      <c r="N17084" s="7"/>
      <c r="O17084" s="7"/>
      <c r="P17084" s="7"/>
      <c r="Q17084" s="7"/>
      <c r="R17084" s="7"/>
      <c r="S17084" s="7"/>
      <c r="T17084" s="7"/>
      <c r="U17084" s="7"/>
      <c r="V17084" s="7"/>
      <c r="W17084" s="7"/>
      <c r="X17084" s="7"/>
      <c r="Y17084" s="7"/>
      <c r="Z17084" s="7"/>
      <c r="AA17084" s="7"/>
      <c r="AB17084" s="7"/>
      <c r="AC17084" s="7"/>
      <c r="AD17084" s="7"/>
      <c r="AE17084" s="7"/>
      <c r="AF17084" s="7"/>
    </row>
    <row r="17085" spans="1:32">
      <c r="A17085" s="7"/>
      <c r="B17085" s="7"/>
      <c r="C17085" s="7"/>
      <c r="D17085" s="7"/>
      <c r="E17085" s="7"/>
      <c r="F17085" s="7"/>
      <c r="G17085" s="7"/>
      <c r="H17085" s="7"/>
      <c r="I17085" s="7"/>
      <c r="J17085" s="7"/>
      <c r="K17085" s="7"/>
      <c r="L17085" s="7"/>
      <c r="M17085" s="7"/>
      <c r="N17085" s="7"/>
      <c r="O17085" s="7"/>
      <c r="P17085" s="7"/>
      <c r="Q17085" s="7"/>
      <c r="R17085" s="7"/>
      <c r="S17085" s="7"/>
      <c r="T17085" s="7"/>
      <c r="U17085" s="7"/>
      <c r="V17085" s="7"/>
      <c r="W17085" s="7"/>
      <c r="X17085" s="7"/>
      <c r="Y17085" s="7"/>
      <c r="Z17085" s="7"/>
      <c r="AA17085" s="7"/>
      <c r="AB17085" s="7"/>
      <c r="AC17085" s="7"/>
      <c r="AD17085" s="7"/>
      <c r="AE17085" s="7"/>
      <c r="AF17085" s="7"/>
    </row>
    <row r="17086" spans="1:32">
      <c r="A17086" s="7"/>
      <c r="B17086" s="7"/>
      <c r="C17086" s="7"/>
      <c r="D17086" s="7"/>
      <c r="E17086" s="7"/>
      <c r="F17086" s="7"/>
      <c r="G17086" s="7"/>
      <c r="H17086" s="7"/>
      <c r="I17086" s="7"/>
      <c r="J17086" s="7"/>
      <c r="K17086" s="7"/>
      <c r="L17086" s="7"/>
      <c r="M17086" s="7"/>
      <c r="N17086" s="7"/>
      <c r="O17086" s="7"/>
      <c r="P17086" s="7"/>
      <c r="Q17086" s="7"/>
      <c r="R17086" s="7"/>
      <c r="S17086" s="7"/>
      <c r="T17086" s="7"/>
      <c r="U17086" s="7"/>
      <c r="V17086" s="7"/>
      <c r="W17086" s="7"/>
      <c r="X17086" s="7"/>
      <c r="Y17086" s="7"/>
      <c r="Z17086" s="7"/>
      <c r="AA17086" s="7"/>
      <c r="AB17086" s="7"/>
      <c r="AC17086" s="7"/>
      <c r="AD17086" s="7"/>
      <c r="AE17086" s="7"/>
      <c r="AF17086" s="7"/>
    </row>
    <row r="17087" spans="1:32">
      <c r="A17087" s="7"/>
      <c r="B17087" s="7"/>
      <c r="C17087" s="7"/>
      <c r="D17087" s="7"/>
      <c r="E17087" s="7"/>
      <c r="F17087" s="7"/>
      <c r="G17087" s="7"/>
      <c r="H17087" s="7"/>
      <c r="I17087" s="7"/>
      <c r="J17087" s="7"/>
      <c r="K17087" s="7"/>
      <c r="L17087" s="7"/>
      <c r="M17087" s="7"/>
      <c r="N17087" s="7"/>
      <c r="O17087" s="7"/>
      <c r="P17087" s="7"/>
      <c r="Q17087" s="7"/>
      <c r="R17087" s="7"/>
      <c r="S17087" s="7"/>
      <c r="T17087" s="7"/>
      <c r="U17087" s="7"/>
      <c r="V17087" s="7"/>
      <c r="W17087" s="7"/>
      <c r="X17087" s="7"/>
      <c r="Y17087" s="7"/>
      <c r="Z17087" s="7"/>
      <c r="AA17087" s="7"/>
      <c r="AB17087" s="7"/>
      <c r="AC17087" s="7"/>
      <c r="AD17087" s="7"/>
      <c r="AE17087" s="7"/>
      <c r="AF17087" s="7"/>
    </row>
    <row r="17088" spans="1:32">
      <c r="A17088" s="7"/>
      <c r="B17088" s="7"/>
      <c r="C17088" s="7"/>
      <c r="D17088" s="7"/>
      <c r="E17088" s="7"/>
      <c r="F17088" s="7"/>
      <c r="G17088" s="7"/>
      <c r="H17088" s="7"/>
      <c r="I17088" s="7"/>
      <c r="J17088" s="7"/>
      <c r="K17088" s="7"/>
      <c r="L17088" s="7"/>
      <c r="M17088" s="7"/>
      <c r="N17088" s="7"/>
      <c r="O17088" s="7"/>
      <c r="P17088" s="7"/>
      <c r="Q17088" s="7"/>
      <c r="R17088" s="7"/>
      <c r="S17088" s="7"/>
      <c r="T17088" s="7"/>
      <c r="U17088" s="7"/>
      <c r="V17088" s="7"/>
      <c r="W17088" s="7"/>
      <c r="X17088" s="7"/>
      <c r="Y17088" s="7"/>
      <c r="Z17088" s="7"/>
      <c r="AA17088" s="7"/>
      <c r="AB17088" s="7"/>
      <c r="AC17088" s="7"/>
      <c r="AD17088" s="7"/>
      <c r="AE17088" s="7"/>
      <c r="AF17088" s="7"/>
    </row>
    <row r="17089" spans="1:32">
      <c r="A17089" s="7"/>
      <c r="B17089" s="7"/>
      <c r="C17089" s="7"/>
      <c r="D17089" s="7"/>
      <c r="E17089" s="7"/>
      <c r="F17089" s="7"/>
      <c r="G17089" s="7"/>
      <c r="H17089" s="7"/>
      <c r="I17089" s="7"/>
      <c r="J17089" s="7"/>
      <c r="K17089" s="7"/>
      <c r="L17089" s="7"/>
      <c r="M17089" s="7"/>
      <c r="N17089" s="7"/>
      <c r="O17089" s="7"/>
      <c r="P17089" s="7"/>
      <c r="Q17089" s="7"/>
      <c r="R17089" s="7"/>
      <c r="S17089" s="7"/>
      <c r="T17089" s="7"/>
      <c r="U17089" s="7"/>
      <c r="V17089" s="7"/>
      <c r="W17089" s="7"/>
      <c r="X17089" s="7"/>
      <c r="Y17089" s="7"/>
      <c r="Z17089" s="7"/>
      <c r="AA17089" s="7"/>
      <c r="AB17089" s="7"/>
      <c r="AC17089" s="7"/>
      <c r="AD17089" s="7"/>
      <c r="AE17089" s="7"/>
      <c r="AF17089" s="7"/>
    </row>
    <row r="17090" spans="1:32">
      <c r="A17090" s="7"/>
      <c r="B17090" s="7"/>
      <c r="C17090" s="7"/>
      <c r="D17090" s="7"/>
      <c r="E17090" s="7"/>
      <c r="F17090" s="7"/>
      <c r="G17090" s="7"/>
      <c r="H17090" s="7"/>
      <c r="I17090" s="7"/>
      <c r="J17090" s="7"/>
      <c r="K17090" s="7"/>
      <c r="L17090" s="7"/>
      <c r="M17090" s="7"/>
      <c r="N17090" s="7"/>
      <c r="O17090" s="7"/>
      <c r="P17090" s="7"/>
      <c r="Q17090" s="7"/>
      <c r="R17090" s="7"/>
      <c r="S17090" s="7"/>
      <c r="T17090" s="7"/>
      <c r="U17090" s="7"/>
      <c r="V17090" s="7"/>
      <c r="W17090" s="7"/>
      <c r="X17090" s="7"/>
      <c r="Y17090" s="7"/>
      <c r="Z17090" s="7"/>
      <c r="AA17090" s="7"/>
      <c r="AB17090" s="7"/>
      <c r="AC17090" s="7"/>
      <c r="AD17090" s="7"/>
      <c r="AE17090" s="7"/>
      <c r="AF17090" s="7"/>
    </row>
    <row r="17091" spans="1:32">
      <c r="A17091" s="7"/>
      <c r="B17091" s="7"/>
      <c r="C17091" s="7"/>
      <c r="D17091" s="7"/>
      <c r="E17091" s="7"/>
      <c r="F17091" s="7"/>
      <c r="G17091" s="7"/>
      <c r="H17091" s="7"/>
      <c r="I17091" s="7"/>
      <c r="J17091" s="7"/>
      <c r="K17091" s="7"/>
      <c r="L17091" s="7"/>
      <c r="M17091" s="7"/>
      <c r="N17091" s="7"/>
      <c r="O17091" s="7"/>
      <c r="P17091" s="7"/>
      <c r="Q17091" s="7"/>
      <c r="R17091" s="7"/>
      <c r="S17091" s="7"/>
      <c r="T17091" s="7"/>
      <c r="U17091" s="7"/>
      <c r="V17091" s="7"/>
      <c r="W17091" s="7"/>
      <c r="X17091" s="7"/>
      <c r="Y17091" s="7"/>
      <c r="Z17091" s="7"/>
      <c r="AA17091" s="7"/>
      <c r="AB17091" s="7"/>
      <c r="AC17091" s="7"/>
      <c r="AD17091" s="7"/>
      <c r="AE17091" s="7"/>
      <c r="AF17091" s="7"/>
    </row>
    <row r="17092" spans="1:32">
      <c r="A17092" s="7"/>
      <c r="B17092" s="7"/>
      <c r="C17092" s="7"/>
      <c r="D17092" s="7"/>
      <c r="E17092" s="7"/>
      <c r="F17092" s="7"/>
      <c r="G17092" s="7"/>
      <c r="H17092" s="7"/>
      <c r="I17092" s="7"/>
      <c r="J17092" s="7"/>
      <c r="K17092" s="7"/>
      <c r="L17092" s="7"/>
      <c r="M17092" s="7"/>
      <c r="N17092" s="7"/>
      <c r="O17092" s="7"/>
      <c r="P17092" s="7"/>
      <c r="Q17092" s="7"/>
      <c r="R17092" s="7"/>
      <c r="S17092" s="7"/>
      <c r="T17092" s="7"/>
      <c r="U17092" s="7"/>
      <c r="V17092" s="7"/>
      <c r="W17092" s="7"/>
      <c r="X17092" s="7"/>
      <c r="Y17092" s="7"/>
      <c r="Z17092" s="7"/>
      <c r="AA17092" s="7"/>
      <c r="AB17092" s="7"/>
      <c r="AC17092" s="7"/>
      <c r="AD17092" s="7"/>
      <c r="AE17092" s="7"/>
      <c r="AF17092" s="7"/>
    </row>
    <row r="17093" spans="1:32">
      <c r="A17093" s="7"/>
      <c r="B17093" s="7"/>
      <c r="C17093" s="7"/>
      <c r="D17093" s="7"/>
      <c r="E17093" s="7"/>
      <c r="F17093" s="7"/>
      <c r="G17093" s="7"/>
      <c r="H17093" s="7"/>
      <c r="I17093" s="7"/>
      <c r="J17093" s="7"/>
      <c r="K17093" s="7"/>
      <c r="L17093" s="7"/>
      <c r="M17093" s="7"/>
      <c r="N17093" s="7"/>
      <c r="O17093" s="7"/>
      <c r="P17093" s="7"/>
      <c r="Q17093" s="7"/>
      <c r="R17093" s="7"/>
      <c r="S17093" s="7"/>
      <c r="T17093" s="7"/>
      <c r="U17093" s="7"/>
      <c r="V17093" s="7"/>
      <c r="W17093" s="7"/>
      <c r="X17093" s="7"/>
      <c r="Y17093" s="7"/>
      <c r="Z17093" s="7"/>
      <c r="AA17093" s="7"/>
      <c r="AB17093" s="7"/>
      <c r="AC17093" s="7"/>
      <c r="AD17093" s="7"/>
      <c r="AE17093" s="7"/>
      <c r="AF17093" s="7"/>
    </row>
    <row r="17094" spans="1:32">
      <c r="A17094" s="7"/>
      <c r="B17094" s="7"/>
      <c r="C17094" s="7"/>
      <c r="D17094" s="7"/>
      <c r="E17094" s="7"/>
      <c r="F17094" s="7"/>
      <c r="G17094" s="7"/>
      <c r="H17094" s="7"/>
      <c r="I17094" s="7"/>
      <c r="J17094" s="7"/>
      <c r="K17094" s="7"/>
      <c r="L17094" s="7"/>
      <c r="M17094" s="7"/>
      <c r="N17094" s="7"/>
      <c r="O17094" s="7"/>
      <c r="P17094" s="7"/>
      <c r="Q17094" s="7"/>
      <c r="R17094" s="7"/>
      <c r="S17094" s="7"/>
      <c r="T17094" s="7"/>
      <c r="U17094" s="7"/>
      <c r="V17094" s="7"/>
      <c r="W17094" s="7"/>
      <c r="X17094" s="7"/>
      <c r="Y17094" s="7"/>
      <c r="Z17094" s="7"/>
      <c r="AA17094" s="7"/>
      <c r="AB17094" s="7"/>
      <c r="AC17094" s="7"/>
      <c r="AD17094" s="7"/>
      <c r="AE17094" s="7"/>
      <c r="AF17094" s="7"/>
    </row>
    <row r="17095" spans="1:32">
      <c r="A17095" s="7"/>
      <c r="B17095" s="7"/>
      <c r="C17095" s="7"/>
      <c r="D17095" s="7"/>
      <c r="E17095" s="7"/>
      <c r="F17095" s="7"/>
      <c r="G17095" s="7"/>
      <c r="H17095" s="7"/>
      <c r="I17095" s="7"/>
      <c r="J17095" s="7"/>
      <c r="K17095" s="7"/>
      <c r="L17095" s="7"/>
      <c r="M17095" s="7"/>
      <c r="N17095" s="7"/>
      <c r="O17095" s="7"/>
      <c r="P17095" s="7"/>
      <c r="Q17095" s="7"/>
      <c r="R17095" s="7"/>
      <c r="S17095" s="7"/>
      <c r="T17095" s="7"/>
      <c r="U17095" s="7"/>
      <c r="V17095" s="7"/>
      <c r="W17095" s="7"/>
      <c r="X17095" s="7"/>
      <c r="Y17095" s="7"/>
      <c r="Z17095" s="7"/>
      <c r="AA17095" s="7"/>
      <c r="AB17095" s="7"/>
      <c r="AC17095" s="7"/>
      <c r="AD17095" s="7"/>
      <c r="AE17095" s="7"/>
      <c r="AF17095" s="7"/>
    </row>
    <row r="17096" spans="1:32">
      <c r="A17096" s="7"/>
      <c r="B17096" s="7"/>
      <c r="C17096" s="7"/>
      <c r="D17096" s="7"/>
      <c r="E17096" s="7"/>
      <c r="F17096" s="7"/>
      <c r="G17096" s="7"/>
      <c r="H17096" s="7"/>
      <c r="I17096" s="7"/>
      <c r="J17096" s="7"/>
      <c r="K17096" s="7"/>
      <c r="L17096" s="7"/>
      <c r="M17096" s="7"/>
      <c r="N17096" s="7"/>
      <c r="O17096" s="7"/>
      <c r="P17096" s="7"/>
      <c r="Q17096" s="7"/>
      <c r="R17096" s="7"/>
      <c r="S17096" s="7"/>
      <c r="T17096" s="7"/>
      <c r="U17096" s="7"/>
      <c r="V17096" s="7"/>
      <c r="W17096" s="7"/>
      <c r="X17096" s="7"/>
      <c r="Y17096" s="7"/>
      <c r="Z17096" s="7"/>
      <c r="AA17096" s="7"/>
      <c r="AB17096" s="7"/>
      <c r="AC17096" s="7"/>
      <c r="AD17096" s="7"/>
      <c r="AE17096" s="7"/>
      <c r="AF17096" s="7"/>
    </row>
    <row r="17097" spans="1:32">
      <c r="A17097" s="7"/>
      <c r="B17097" s="7"/>
      <c r="C17097" s="7"/>
      <c r="D17097" s="7"/>
      <c r="E17097" s="7"/>
      <c r="F17097" s="7"/>
      <c r="G17097" s="7"/>
      <c r="H17097" s="7"/>
      <c r="I17097" s="7"/>
      <c r="J17097" s="7"/>
      <c r="K17097" s="7"/>
      <c r="L17097" s="7"/>
      <c r="M17097" s="7"/>
      <c r="N17097" s="7"/>
      <c r="O17097" s="7"/>
      <c r="P17097" s="7"/>
      <c r="Q17097" s="7"/>
      <c r="R17097" s="7"/>
      <c r="S17097" s="7"/>
      <c r="T17097" s="7"/>
      <c r="U17097" s="7"/>
      <c r="V17097" s="7"/>
      <c r="W17097" s="7"/>
      <c r="X17097" s="7"/>
      <c r="Y17097" s="7"/>
      <c r="Z17097" s="7"/>
      <c r="AA17097" s="7"/>
      <c r="AB17097" s="7"/>
      <c r="AC17097" s="7"/>
      <c r="AD17097" s="7"/>
      <c r="AE17097" s="7"/>
      <c r="AF17097" s="7"/>
    </row>
    <row r="17098" spans="1:32">
      <c r="A17098" s="7"/>
      <c r="B17098" s="7"/>
      <c r="C17098" s="7"/>
      <c r="D17098" s="7"/>
      <c r="E17098" s="7"/>
      <c r="F17098" s="7"/>
      <c r="G17098" s="7"/>
      <c r="H17098" s="7"/>
      <c r="I17098" s="7"/>
      <c r="J17098" s="7"/>
      <c r="K17098" s="7"/>
      <c r="L17098" s="7"/>
      <c r="M17098" s="7"/>
      <c r="N17098" s="7"/>
      <c r="O17098" s="7"/>
      <c r="P17098" s="7"/>
      <c r="Q17098" s="7"/>
      <c r="R17098" s="7"/>
      <c r="S17098" s="7"/>
      <c r="T17098" s="7"/>
      <c r="U17098" s="7"/>
      <c r="V17098" s="7"/>
      <c r="W17098" s="7"/>
      <c r="X17098" s="7"/>
      <c r="Y17098" s="7"/>
      <c r="Z17098" s="7"/>
      <c r="AA17098" s="7"/>
      <c r="AB17098" s="7"/>
      <c r="AC17098" s="7"/>
      <c r="AD17098" s="7"/>
      <c r="AE17098" s="7"/>
      <c r="AF17098" s="7"/>
    </row>
    <row r="17099" spans="1:32">
      <c r="A17099" s="7"/>
      <c r="B17099" s="7"/>
      <c r="C17099" s="7"/>
      <c r="D17099" s="7"/>
      <c r="E17099" s="7"/>
      <c r="F17099" s="7"/>
      <c r="G17099" s="7"/>
      <c r="H17099" s="7"/>
      <c r="I17099" s="7"/>
      <c r="J17099" s="7"/>
      <c r="K17099" s="7"/>
      <c r="L17099" s="7"/>
      <c r="M17099" s="7"/>
      <c r="N17099" s="7"/>
      <c r="O17099" s="7"/>
      <c r="P17099" s="7"/>
      <c r="Q17099" s="7"/>
      <c r="R17099" s="7"/>
      <c r="S17099" s="7"/>
      <c r="T17099" s="7"/>
      <c r="U17099" s="7"/>
      <c r="V17099" s="7"/>
      <c r="W17099" s="7"/>
      <c r="X17099" s="7"/>
      <c r="Y17099" s="7"/>
      <c r="Z17099" s="7"/>
      <c r="AA17099" s="7"/>
      <c r="AB17099" s="7"/>
      <c r="AC17099" s="7"/>
      <c r="AD17099" s="7"/>
      <c r="AE17099" s="7"/>
      <c r="AF17099" s="7"/>
    </row>
    <row r="17100" spans="1:32">
      <c r="A17100" s="7"/>
      <c r="B17100" s="7"/>
      <c r="C17100" s="7"/>
      <c r="D17100" s="7"/>
      <c r="E17100" s="7"/>
      <c r="F17100" s="7"/>
      <c r="G17100" s="7"/>
      <c r="H17100" s="7"/>
      <c r="I17100" s="7"/>
      <c r="J17100" s="7"/>
      <c r="K17100" s="7"/>
      <c r="L17100" s="7"/>
      <c r="M17100" s="7"/>
      <c r="N17100" s="7"/>
      <c r="O17100" s="7"/>
      <c r="P17100" s="7"/>
      <c r="Q17100" s="7"/>
      <c r="R17100" s="7"/>
      <c r="S17100" s="7"/>
      <c r="T17100" s="7"/>
      <c r="U17100" s="7"/>
      <c r="V17100" s="7"/>
      <c r="W17100" s="7"/>
      <c r="X17100" s="7"/>
      <c r="Y17100" s="7"/>
      <c r="Z17100" s="7"/>
      <c r="AA17100" s="7"/>
      <c r="AB17100" s="7"/>
      <c r="AC17100" s="7"/>
      <c r="AD17100" s="7"/>
      <c r="AE17100" s="7"/>
      <c r="AF17100" s="7"/>
    </row>
    <row r="17101" spans="1:32">
      <c r="A17101" s="7"/>
      <c r="B17101" s="7"/>
      <c r="C17101" s="7"/>
      <c r="D17101" s="7"/>
      <c r="E17101" s="7"/>
      <c r="F17101" s="7"/>
      <c r="G17101" s="7"/>
      <c r="H17101" s="7"/>
      <c r="I17101" s="7"/>
      <c r="J17101" s="7"/>
      <c r="K17101" s="7"/>
      <c r="L17101" s="7"/>
      <c r="M17101" s="7"/>
      <c r="N17101" s="7"/>
      <c r="O17101" s="7"/>
      <c r="P17101" s="7"/>
      <c r="Q17101" s="7"/>
      <c r="R17101" s="7"/>
      <c r="S17101" s="7"/>
      <c r="T17101" s="7"/>
      <c r="U17101" s="7"/>
      <c r="V17101" s="7"/>
      <c r="W17101" s="7"/>
      <c r="X17101" s="7"/>
      <c r="Y17101" s="7"/>
      <c r="Z17101" s="7"/>
      <c r="AA17101" s="7"/>
      <c r="AB17101" s="7"/>
      <c r="AC17101" s="7"/>
      <c r="AD17101" s="7"/>
      <c r="AE17101" s="7"/>
      <c r="AF17101" s="7"/>
    </row>
    <row r="17102" spans="1:32">
      <c r="A17102" s="7"/>
      <c r="B17102" s="7"/>
      <c r="C17102" s="7"/>
      <c r="D17102" s="7"/>
      <c r="E17102" s="7"/>
      <c r="F17102" s="7"/>
      <c r="G17102" s="7"/>
      <c r="H17102" s="7"/>
      <c r="I17102" s="7"/>
      <c r="J17102" s="7"/>
      <c r="K17102" s="7"/>
      <c r="L17102" s="7"/>
      <c r="M17102" s="7"/>
      <c r="N17102" s="7"/>
      <c r="O17102" s="7"/>
      <c r="P17102" s="7"/>
      <c r="Q17102" s="7"/>
      <c r="R17102" s="7"/>
      <c r="S17102" s="7"/>
      <c r="T17102" s="7"/>
      <c r="U17102" s="7"/>
      <c r="V17102" s="7"/>
      <c r="W17102" s="7"/>
      <c r="X17102" s="7"/>
      <c r="Y17102" s="7"/>
      <c r="Z17102" s="7"/>
      <c r="AA17102" s="7"/>
      <c r="AB17102" s="7"/>
      <c r="AC17102" s="7"/>
      <c r="AD17102" s="7"/>
      <c r="AE17102" s="7"/>
      <c r="AF17102" s="7"/>
    </row>
    <row r="17103" spans="1:32">
      <c r="A17103" s="7"/>
      <c r="B17103" s="7"/>
      <c r="C17103" s="7"/>
      <c r="D17103" s="7"/>
      <c r="E17103" s="7"/>
      <c r="F17103" s="7"/>
      <c r="G17103" s="7"/>
      <c r="H17103" s="7"/>
      <c r="I17103" s="7"/>
      <c r="J17103" s="7"/>
      <c r="K17103" s="7"/>
      <c r="L17103" s="7"/>
      <c r="M17103" s="7"/>
      <c r="N17103" s="7"/>
      <c r="O17103" s="7"/>
      <c r="P17103" s="7"/>
      <c r="Q17103" s="7"/>
      <c r="R17103" s="7"/>
      <c r="S17103" s="7"/>
      <c r="T17103" s="7"/>
      <c r="U17103" s="7"/>
      <c r="V17103" s="7"/>
      <c r="W17103" s="7"/>
      <c r="X17103" s="7"/>
      <c r="Y17103" s="7"/>
      <c r="Z17103" s="7"/>
      <c r="AA17103" s="7"/>
      <c r="AB17103" s="7"/>
      <c r="AC17103" s="7"/>
      <c r="AD17103" s="7"/>
      <c r="AE17103" s="7"/>
      <c r="AF17103" s="7"/>
    </row>
    <row r="17104" spans="1:32">
      <c r="A17104" s="7"/>
      <c r="B17104" s="7"/>
      <c r="C17104" s="7"/>
      <c r="D17104" s="7"/>
      <c r="E17104" s="7"/>
      <c r="F17104" s="7"/>
      <c r="G17104" s="7"/>
      <c r="H17104" s="7"/>
      <c r="I17104" s="7"/>
      <c r="J17104" s="7"/>
      <c r="K17104" s="7"/>
      <c r="L17104" s="7"/>
      <c r="M17104" s="7"/>
      <c r="N17104" s="7"/>
      <c r="O17104" s="7"/>
      <c r="P17104" s="7"/>
      <c r="Q17104" s="7"/>
      <c r="R17104" s="7"/>
      <c r="S17104" s="7"/>
      <c r="T17104" s="7"/>
      <c r="U17104" s="7"/>
      <c r="V17104" s="7"/>
      <c r="W17104" s="7"/>
      <c r="X17104" s="7"/>
      <c r="Y17104" s="7"/>
      <c r="Z17104" s="7"/>
      <c r="AA17104" s="7"/>
      <c r="AB17104" s="7"/>
      <c r="AC17104" s="7"/>
      <c r="AD17104" s="7"/>
      <c r="AE17104" s="7"/>
      <c r="AF17104" s="7"/>
    </row>
    <row r="17105" spans="1:32">
      <c r="A17105" s="7"/>
      <c r="B17105" s="7"/>
      <c r="C17105" s="7"/>
      <c r="D17105" s="7"/>
      <c r="E17105" s="7"/>
      <c r="F17105" s="7"/>
      <c r="G17105" s="7"/>
      <c r="H17105" s="7"/>
      <c r="I17105" s="7"/>
      <c r="J17105" s="7"/>
      <c r="K17105" s="7"/>
      <c r="L17105" s="7"/>
      <c r="M17105" s="7"/>
      <c r="N17105" s="7"/>
      <c r="O17105" s="7"/>
      <c r="P17105" s="7"/>
      <c r="Q17105" s="7"/>
      <c r="R17105" s="7"/>
      <c r="S17105" s="7"/>
      <c r="T17105" s="7"/>
      <c r="U17105" s="7"/>
      <c r="V17105" s="7"/>
      <c r="W17105" s="7"/>
      <c r="X17105" s="7"/>
      <c r="Y17105" s="7"/>
      <c r="Z17105" s="7"/>
      <c r="AA17105" s="7"/>
      <c r="AB17105" s="7"/>
      <c r="AC17105" s="7"/>
      <c r="AD17105" s="7"/>
      <c r="AE17105" s="7"/>
      <c r="AF17105" s="7"/>
    </row>
    <row r="17106" spans="1:32">
      <c r="A17106" s="7"/>
      <c r="B17106" s="7"/>
      <c r="C17106" s="7"/>
      <c r="D17106" s="7"/>
      <c r="E17106" s="7"/>
      <c r="F17106" s="7"/>
      <c r="G17106" s="7"/>
      <c r="H17106" s="7"/>
      <c r="I17106" s="7"/>
      <c r="J17106" s="7"/>
      <c r="K17106" s="7"/>
      <c r="L17106" s="7"/>
      <c r="M17106" s="7"/>
      <c r="N17106" s="7"/>
      <c r="O17106" s="7"/>
      <c r="P17106" s="7"/>
      <c r="Q17106" s="7"/>
      <c r="R17106" s="7"/>
      <c r="S17106" s="7"/>
      <c r="T17106" s="7"/>
      <c r="U17106" s="7"/>
      <c r="V17106" s="7"/>
      <c r="W17106" s="7"/>
      <c r="X17106" s="7"/>
      <c r="Y17106" s="7"/>
      <c r="Z17106" s="7"/>
      <c r="AA17106" s="7"/>
      <c r="AB17106" s="7"/>
      <c r="AC17106" s="7"/>
      <c r="AD17106" s="7"/>
      <c r="AE17106" s="7"/>
      <c r="AF17106" s="7"/>
    </row>
    <row r="17107" spans="1:32">
      <c r="A17107" s="7"/>
      <c r="B17107" s="7"/>
      <c r="C17107" s="7"/>
      <c r="D17107" s="7"/>
      <c r="E17107" s="7"/>
      <c r="F17107" s="7"/>
      <c r="G17107" s="7"/>
      <c r="H17107" s="7"/>
      <c r="I17107" s="7"/>
      <c r="J17107" s="7"/>
      <c r="K17107" s="7"/>
      <c r="L17107" s="7"/>
      <c r="M17107" s="7"/>
      <c r="N17107" s="7"/>
      <c r="O17107" s="7"/>
      <c r="P17107" s="7"/>
      <c r="Q17107" s="7"/>
      <c r="R17107" s="7"/>
      <c r="S17107" s="7"/>
      <c r="T17107" s="7"/>
      <c r="U17107" s="7"/>
      <c r="V17107" s="7"/>
      <c r="W17107" s="7"/>
      <c r="X17107" s="7"/>
      <c r="Y17107" s="7"/>
      <c r="Z17107" s="7"/>
      <c r="AA17107" s="7"/>
      <c r="AB17107" s="7"/>
      <c r="AC17107" s="7"/>
      <c r="AD17107" s="7"/>
      <c r="AE17107" s="7"/>
      <c r="AF17107" s="7"/>
    </row>
    <row r="17108" spans="1:32">
      <c r="A17108" s="7"/>
      <c r="B17108" s="7"/>
      <c r="C17108" s="7"/>
      <c r="D17108" s="7"/>
      <c r="E17108" s="7"/>
      <c r="F17108" s="7"/>
      <c r="G17108" s="7"/>
      <c r="H17108" s="7"/>
      <c r="I17108" s="7"/>
      <c r="J17108" s="7"/>
      <c r="K17108" s="7"/>
      <c r="L17108" s="7"/>
      <c r="M17108" s="7"/>
      <c r="N17108" s="7"/>
      <c r="O17108" s="7"/>
      <c r="P17108" s="7"/>
      <c r="Q17108" s="7"/>
      <c r="R17108" s="7"/>
      <c r="S17108" s="7"/>
      <c r="T17108" s="7"/>
      <c r="U17108" s="7"/>
      <c r="V17108" s="7"/>
      <c r="W17108" s="7"/>
      <c r="X17108" s="7"/>
      <c r="Y17108" s="7"/>
      <c r="Z17108" s="7"/>
      <c r="AA17108" s="7"/>
      <c r="AB17108" s="7"/>
      <c r="AC17108" s="7"/>
      <c r="AD17108" s="7"/>
      <c r="AE17108" s="7"/>
      <c r="AF17108" s="7"/>
    </row>
    <row r="17109" spans="1:32">
      <c r="A17109" s="7"/>
      <c r="B17109" s="7"/>
      <c r="C17109" s="7"/>
      <c r="D17109" s="7"/>
      <c r="E17109" s="7"/>
      <c r="F17109" s="7"/>
      <c r="G17109" s="7"/>
      <c r="H17109" s="7"/>
      <c r="I17109" s="7"/>
      <c r="J17109" s="7"/>
      <c r="K17109" s="7"/>
      <c r="L17109" s="7"/>
      <c r="M17109" s="7"/>
      <c r="N17109" s="7"/>
      <c r="O17109" s="7"/>
      <c r="P17109" s="7"/>
      <c r="Q17109" s="7"/>
      <c r="R17109" s="7"/>
      <c r="S17109" s="7"/>
      <c r="T17109" s="7"/>
      <c r="U17109" s="7"/>
      <c r="V17109" s="7"/>
      <c r="W17109" s="7"/>
      <c r="X17109" s="7"/>
      <c r="Y17109" s="7"/>
      <c r="Z17109" s="7"/>
      <c r="AA17109" s="7"/>
      <c r="AB17109" s="7"/>
      <c r="AC17109" s="7"/>
      <c r="AD17109" s="7"/>
      <c r="AE17109" s="7"/>
      <c r="AF17109" s="7"/>
    </row>
    <row r="17110" spans="1:32">
      <c r="A17110" s="7"/>
      <c r="B17110" s="7"/>
      <c r="C17110" s="7"/>
      <c r="D17110" s="7"/>
      <c r="E17110" s="7"/>
      <c r="F17110" s="7"/>
      <c r="G17110" s="7"/>
      <c r="H17110" s="7"/>
      <c r="I17110" s="7"/>
      <c r="J17110" s="7"/>
      <c r="K17110" s="7"/>
      <c r="L17110" s="7"/>
      <c r="M17110" s="7"/>
      <c r="N17110" s="7"/>
      <c r="O17110" s="7"/>
      <c r="P17110" s="7"/>
      <c r="Q17110" s="7"/>
      <c r="R17110" s="7"/>
      <c r="S17110" s="7"/>
      <c r="T17110" s="7"/>
      <c r="U17110" s="7"/>
      <c r="V17110" s="7"/>
      <c r="W17110" s="7"/>
      <c r="X17110" s="7"/>
      <c r="Y17110" s="7"/>
      <c r="Z17110" s="7"/>
      <c r="AA17110" s="7"/>
      <c r="AB17110" s="7"/>
      <c r="AC17110" s="7"/>
      <c r="AD17110" s="7"/>
      <c r="AE17110" s="7"/>
      <c r="AF17110" s="7"/>
    </row>
    <row r="17111" spans="1:32">
      <c r="A17111" s="7"/>
      <c r="B17111" s="7"/>
      <c r="C17111" s="7"/>
      <c r="D17111" s="7"/>
      <c r="E17111" s="7"/>
      <c r="F17111" s="7"/>
      <c r="G17111" s="7"/>
      <c r="H17111" s="7"/>
      <c r="I17111" s="7"/>
      <c r="J17111" s="7"/>
      <c r="K17111" s="7"/>
      <c r="L17111" s="7"/>
      <c r="M17111" s="7"/>
      <c r="N17111" s="7"/>
      <c r="O17111" s="7"/>
      <c r="P17111" s="7"/>
      <c r="Q17111" s="7"/>
      <c r="R17111" s="7"/>
      <c r="S17111" s="7"/>
      <c r="T17111" s="7"/>
      <c r="U17111" s="7"/>
      <c r="V17111" s="7"/>
      <c r="W17111" s="7"/>
      <c r="X17111" s="7"/>
      <c r="Y17111" s="7"/>
      <c r="Z17111" s="7"/>
      <c r="AA17111" s="7"/>
      <c r="AB17111" s="7"/>
      <c r="AC17111" s="7"/>
      <c r="AD17111" s="7"/>
      <c r="AE17111" s="7"/>
      <c r="AF17111" s="7"/>
    </row>
    <row r="17112" spans="1:32">
      <c r="A17112" s="7"/>
      <c r="B17112" s="7"/>
      <c r="C17112" s="7"/>
      <c r="D17112" s="7"/>
      <c r="E17112" s="7"/>
      <c r="F17112" s="7"/>
      <c r="G17112" s="7"/>
      <c r="H17112" s="7"/>
      <c r="I17112" s="7"/>
      <c r="J17112" s="7"/>
      <c r="K17112" s="7"/>
      <c r="L17112" s="7"/>
      <c r="M17112" s="7"/>
      <c r="N17112" s="7"/>
      <c r="O17112" s="7"/>
      <c r="P17112" s="7"/>
      <c r="Q17112" s="7"/>
      <c r="R17112" s="7"/>
      <c r="S17112" s="7"/>
      <c r="T17112" s="7"/>
      <c r="U17112" s="7"/>
      <c r="V17112" s="7"/>
      <c r="W17112" s="7"/>
      <c r="X17112" s="7"/>
      <c r="Y17112" s="7"/>
      <c r="Z17112" s="7"/>
      <c r="AA17112" s="7"/>
      <c r="AB17112" s="7"/>
      <c r="AC17112" s="7"/>
      <c r="AD17112" s="7"/>
      <c r="AE17112" s="7"/>
      <c r="AF17112" s="7"/>
    </row>
    <row r="17113" spans="1:32">
      <c r="A17113" s="7"/>
      <c r="B17113" s="7"/>
      <c r="C17113" s="7"/>
      <c r="D17113" s="7"/>
      <c r="E17113" s="7"/>
      <c r="F17113" s="7"/>
      <c r="G17113" s="7"/>
      <c r="H17113" s="7"/>
      <c r="I17113" s="7"/>
      <c r="J17113" s="7"/>
      <c r="K17113" s="7"/>
      <c r="L17113" s="7"/>
      <c r="M17113" s="7"/>
      <c r="N17113" s="7"/>
      <c r="O17113" s="7"/>
      <c r="P17113" s="7"/>
      <c r="Q17113" s="7"/>
      <c r="R17113" s="7"/>
      <c r="S17113" s="7"/>
      <c r="T17113" s="7"/>
      <c r="U17113" s="7"/>
      <c r="V17113" s="7"/>
      <c r="W17113" s="7"/>
      <c r="X17113" s="7"/>
      <c r="Y17113" s="7"/>
      <c r="Z17113" s="7"/>
      <c r="AA17113" s="7"/>
      <c r="AB17113" s="7"/>
      <c r="AC17113" s="7"/>
      <c r="AD17113" s="7"/>
      <c r="AE17113" s="7"/>
      <c r="AF17113" s="7"/>
    </row>
    <row r="17114" spans="1:32">
      <c r="A17114" s="7"/>
      <c r="B17114" s="7"/>
      <c r="C17114" s="7"/>
      <c r="D17114" s="7"/>
      <c r="E17114" s="7"/>
      <c r="F17114" s="7"/>
      <c r="G17114" s="7"/>
      <c r="H17114" s="7"/>
      <c r="I17114" s="7"/>
      <c r="J17114" s="7"/>
      <c r="K17114" s="7"/>
      <c r="L17114" s="7"/>
      <c r="M17114" s="7"/>
      <c r="N17114" s="7"/>
      <c r="O17114" s="7"/>
      <c r="P17114" s="7"/>
      <c r="Q17114" s="7"/>
      <c r="R17114" s="7"/>
      <c r="S17114" s="7"/>
      <c r="T17114" s="7"/>
      <c r="U17114" s="7"/>
      <c r="V17114" s="7"/>
      <c r="W17114" s="7"/>
      <c r="X17114" s="7"/>
      <c r="Y17114" s="7"/>
      <c r="Z17114" s="7"/>
      <c r="AA17114" s="7"/>
      <c r="AB17114" s="7"/>
      <c r="AC17114" s="7"/>
      <c r="AD17114" s="7"/>
      <c r="AE17114" s="7"/>
      <c r="AF17114" s="7"/>
    </row>
    <row r="17115" spans="1:32">
      <c r="A17115" s="7"/>
      <c r="B17115" s="7"/>
      <c r="C17115" s="7"/>
      <c r="D17115" s="7"/>
      <c r="E17115" s="7"/>
      <c r="F17115" s="7"/>
      <c r="G17115" s="7"/>
      <c r="H17115" s="7"/>
      <c r="I17115" s="7"/>
      <c r="J17115" s="7"/>
      <c r="K17115" s="7"/>
      <c r="L17115" s="7"/>
      <c r="M17115" s="7"/>
      <c r="N17115" s="7"/>
      <c r="O17115" s="7"/>
      <c r="P17115" s="7"/>
      <c r="Q17115" s="7"/>
      <c r="R17115" s="7"/>
      <c r="S17115" s="7"/>
      <c r="T17115" s="7"/>
      <c r="U17115" s="7"/>
      <c r="V17115" s="7"/>
      <c r="W17115" s="7"/>
      <c r="X17115" s="7"/>
      <c r="Y17115" s="7"/>
      <c r="Z17115" s="7"/>
      <c r="AA17115" s="7"/>
      <c r="AB17115" s="7"/>
      <c r="AC17115" s="7"/>
      <c r="AD17115" s="7"/>
      <c r="AE17115" s="7"/>
      <c r="AF17115" s="7"/>
    </row>
    <row r="17116" spans="1:32">
      <c r="A17116" s="7"/>
      <c r="B17116" s="7"/>
      <c r="C17116" s="7"/>
      <c r="D17116" s="7"/>
      <c r="E17116" s="7"/>
      <c r="F17116" s="7"/>
      <c r="G17116" s="7"/>
      <c r="H17116" s="7"/>
      <c r="I17116" s="7"/>
      <c r="J17116" s="7"/>
      <c r="K17116" s="7"/>
      <c r="L17116" s="7"/>
      <c r="M17116" s="7"/>
      <c r="N17116" s="7"/>
      <c r="O17116" s="7"/>
      <c r="P17116" s="7"/>
      <c r="Q17116" s="7"/>
      <c r="R17116" s="7"/>
      <c r="S17116" s="7"/>
      <c r="T17116" s="7"/>
      <c r="U17116" s="7"/>
      <c r="V17116" s="7"/>
      <c r="W17116" s="7"/>
      <c r="X17116" s="7"/>
      <c r="Y17116" s="7"/>
      <c r="Z17116" s="7"/>
      <c r="AA17116" s="7"/>
      <c r="AB17116" s="7"/>
      <c r="AC17116" s="7"/>
      <c r="AD17116" s="7"/>
      <c r="AE17116" s="7"/>
      <c r="AF17116" s="7"/>
    </row>
    <row r="17117" spans="1:32">
      <c r="A17117" s="7"/>
      <c r="B17117" s="7"/>
      <c r="C17117" s="7"/>
      <c r="D17117" s="7"/>
      <c r="E17117" s="7"/>
      <c r="F17117" s="7"/>
      <c r="G17117" s="7"/>
      <c r="H17117" s="7"/>
      <c r="I17117" s="7"/>
      <c r="J17117" s="7"/>
      <c r="K17117" s="7"/>
      <c r="L17117" s="7"/>
      <c r="M17117" s="7"/>
      <c r="N17117" s="7"/>
      <c r="O17117" s="7"/>
      <c r="P17117" s="7"/>
      <c r="Q17117" s="7"/>
      <c r="R17117" s="7"/>
      <c r="S17117" s="7"/>
      <c r="T17117" s="7"/>
      <c r="U17117" s="7"/>
      <c r="V17117" s="7"/>
      <c r="W17117" s="7"/>
      <c r="X17117" s="7"/>
      <c r="Y17117" s="7"/>
      <c r="Z17117" s="7"/>
      <c r="AA17117" s="7"/>
      <c r="AB17117" s="7"/>
      <c r="AC17117" s="7"/>
      <c r="AD17117" s="7"/>
      <c r="AE17117" s="7"/>
      <c r="AF17117" s="7"/>
    </row>
    <row r="17118" spans="1:32">
      <c r="A17118" s="7"/>
      <c r="B17118" s="7"/>
      <c r="C17118" s="7"/>
      <c r="D17118" s="7"/>
      <c r="E17118" s="7"/>
      <c r="F17118" s="7"/>
      <c r="G17118" s="7"/>
      <c r="H17118" s="7"/>
      <c r="I17118" s="7"/>
      <c r="J17118" s="7"/>
      <c r="K17118" s="7"/>
      <c r="L17118" s="7"/>
      <c r="M17118" s="7"/>
      <c r="N17118" s="7"/>
      <c r="O17118" s="7"/>
      <c r="P17118" s="7"/>
      <c r="Q17118" s="7"/>
      <c r="R17118" s="7"/>
      <c r="S17118" s="7"/>
      <c r="T17118" s="7"/>
      <c r="U17118" s="7"/>
      <c r="V17118" s="7"/>
      <c r="W17118" s="7"/>
      <c r="X17118" s="7"/>
      <c r="Y17118" s="7"/>
      <c r="Z17118" s="7"/>
      <c r="AA17118" s="7"/>
      <c r="AB17118" s="7"/>
      <c r="AC17118" s="7"/>
      <c r="AD17118" s="7"/>
      <c r="AE17118" s="7"/>
      <c r="AF17118" s="7"/>
    </row>
    <row r="17119" spans="1:32">
      <c r="A17119" s="7"/>
      <c r="B17119" s="7"/>
      <c r="C17119" s="7"/>
      <c r="D17119" s="7"/>
      <c r="E17119" s="7"/>
      <c r="F17119" s="7"/>
      <c r="G17119" s="7"/>
      <c r="H17119" s="7"/>
      <c r="I17119" s="7"/>
      <c r="J17119" s="7"/>
      <c r="K17119" s="7"/>
      <c r="L17119" s="7"/>
      <c r="M17119" s="7"/>
      <c r="N17119" s="7"/>
      <c r="O17119" s="7"/>
      <c r="P17119" s="7"/>
      <c r="Q17119" s="7"/>
      <c r="R17119" s="7"/>
      <c r="S17119" s="7"/>
      <c r="T17119" s="7"/>
      <c r="U17119" s="7"/>
      <c r="V17119" s="7"/>
      <c r="W17119" s="7"/>
      <c r="X17119" s="7"/>
      <c r="Y17119" s="7"/>
      <c r="Z17119" s="7"/>
      <c r="AA17119" s="7"/>
      <c r="AB17119" s="7"/>
      <c r="AC17119" s="7"/>
      <c r="AD17119" s="7"/>
      <c r="AE17119" s="7"/>
      <c r="AF17119" s="7"/>
    </row>
    <row r="17120" spans="1:32">
      <c r="A17120" s="7"/>
      <c r="B17120" s="7"/>
      <c r="C17120" s="7"/>
      <c r="D17120" s="7"/>
      <c r="E17120" s="7"/>
      <c r="F17120" s="7"/>
      <c r="G17120" s="7"/>
      <c r="H17120" s="7"/>
      <c r="I17120" s="7"/>
      <c r="J17120" s="7"/>
      <c r="K17120" s="7"/>
      <c r="L17120" s="7"/>
      <c r="M17120" s="7"/>
      <c r="N17120" s="7"/>
      <c r="O17120" s="7"/>
      <c r="P17120" s="7"/>
      <c r="Q17120" s="7"/>
      <c r="R17120" s="7"/>
      <c r="S17120" s="7"/>
      <c r="T17120" s="7"/>
      <c r="U17120" s="7"/>
      <c r="V17120" s="7"/>
      <c r="W17120" s="7"/>
      <c r="X17120" s="7"/>
      <c r="Y17120" s="7"/>
      <c r="Z17120" s="7"/>
      <c r="AA17120" s="7"/>
      <c r="AB17120" s="7"/>
      <c r="AC17120" s="7"/>
      <c r="AD17120" s="7"/>
      <c r="AE17120" s="7"/>
      <c r="AF17120" s="7"/>
    </row>
    <row r="17121" spans="1:32">
      <c r="A17121" s="7"/>
      <c r="B17121" s="7"/>
      <c r="C17121" s="7"/>
      <c r="D17121" s="7"/>
      <c r="E17121" s="7"/>
      <c r="F17121" s="7"/>
      <c r="G17121" s="7"/>
      <c r="H17121" s="7"/>
      <c r="I17121" s="7"/>
      <c r="J17121" s="7"/>
      <c r="K17121" s="7"/>
      <c r="L17121" s="7"/>
      <c r="M17121" s="7"/>
      <c r="N17121" s="7"/>
      <c r="O17121" s="7"/>
      <c r="P17121" s="7"/>
      <c r="Q17121" s="7"/>
      <c r="R17121" s="7"/>
      <c r="S17121" s="7"/>
      <c r="T17121" s="7"/>
      <c r="U17121" s="7"/>
      <c r="V17121" s="7"/>
      <c r="W17121" s="7"/>
      <c r="X17121" s="7"/>
      <c r="Y17121" s="7"/>
      <c r="Z17121" s="7"/>
      <c r="AA17121" s="7"/>
      <c r="AB17121" s="7"/>
      <c r="AC17121" s="7"/>
      <c r="AD17121" s="7"/>
      <c r="AE17121" s="7"/>
      <c r="AF17121" s="7"/>
    </row>
    <row r="17122" spans="1:32">
      <c r="A17122" s="7"/>
      <c r="B17122" s="7"/>
      <c r="C17122" s="7"/>
      <c r="D17122" s="7"/>
      <c r="E17122" s="7"/>
      <c r="F17122" s="7"/>
      <c r="G17122" s="7"/>
      <c r="H17122" s="7"/>
      <c r="I17122" s="7"/>
      <c r="J17122" s="7"/>
      <c r="K17122" s="7"/>
      <c r="L17122" s="7"/>
      <c r="M17122" s="7"/>
      <c r="N17122" s="7"/>
      <c r="O17122" s="7"/>
      <c r="P17122" s="7"/>
      <c r="Q17122" s="7"/>
      <c r="R17122" s="7"/>
      <c r="S17122" s="7"/>
      <c r="T17122" s="7"/>
      <c r="U17122" s="7"/>
      <c r="V17122" s="7"/>
      <c r="W17122" s="7"/>
      <c r="X17122" s="7"/>
      <c r="Y17122" s="7"/>
      <c r="Z17122" s="7"/>
      <c r="AA17122" s="7"/>
      <c r="AB17122" s="7"/>
      <c r="AC17122" s="7"/>
      <c r="AD17122" s="7"/>
      <c r="AE17122" s="7"/>
      <c r="AF17122" s="7"/>
    </row>
    <row r="17123" spans="1:32">
      <c r="A17123" s="7"/>
      <c r="B17123" s="7"/>
      <c r="C17123" s="7"/>
      <c r="D17123" s="7"/>
      <c r="E17123" s="7"/>
      <c r="F17123" s="7"/>
      <c r="G17123" s="7"/>
      <c r="H17123" s="7"/>
      <c r="I17123" s="7"/>
      <c r="J17123" s="7"/>
      <c r="K17123" s="7"/>
      <c r="L17123" s="7"/>
      <c r="M17123" s="7"/>
      <c r="N17123" s="7"/>
      <c r="O17123" s="7"/>
      <c r="P17123" s="7"/>
      <c r="Q17123" s="7"/>
      <c r="R17123" s="7"/>
      <c r="S17123" s="7"/>
      <c r="T17123" s="7"/>
      <c r="U17123" s="7"/>
      <c r="V17123" s="7"/>
      <c r="W17123" s="7"/>
      <c r="X17123" s="7"/>
      <c r="Y17123" s="7"/>
      <c r="Z17123" s="7"/>
      <c r="AA17123" s="7"/>
      <c r="AB17123" s="7"/>
      <c r="AC17123" s="7"/>
      <c r="AD17123" s="7"/>
      <c r="AE17123" s="7"/>
      <c r="AF17123" s="7"/>
    </row>
    <row r="17124" spans="1:32">
      <c r="A17124" s="7"/>
      <c r="B17124" s="7"/>
      <c r="C17124" s="7"/>
      <c r="D17124" s="7"/>
      <c r="E17124" s="7"/>
      <c r="F17124" s="7"/>
      <c r="G17124" s="7"/>
      <c r="H17124" s="7"/>
      <c r="I17124" s="7"/>
      <c r="J17124" s="7"/>
      <c r="K17124" s="7"/>
      <c r="L17124" s="7"/>
      <c r="M17124" s="7"/>
      <c r="N17124" s="7"/>
      <c r="O17124" s="7"/>
      <c r="P17124" s="7"/>
      <c r="Q17124" s="7"/>
      <c r="R17124" s="7"/>
      <c r="S17124" s="7"/>
      <c r="T17124" s="7"/>
      <c r="U17124" s="7"/>
      <c r="V17124" s="7"/>
      <c r="W17124" s="7"/>
      <c r="X17124" s="7"/>
      <c r="Y17124" s="7"/>
      <c r="Z17124" s="7"/>
      <c r="AA17124" s="7"/>
      <c r="AB17124" s="7"/>
      <c r="AC17124" s="7"/>
      <c r="AD17124" s="7"/>
      <c r="AE17124" s="7"/>
      <c r="AF17124" s="7"/>
    </row>
    <row r="17125" spans="1:32">
      <c r="A17125" s="7"/>
      <c r="B17125" s="7"/>
      <c r="C17125" s="7"/>
      <c r="D17125" s="7"/>
      <c r="E17125" s="7"/>
      <c r="F17125" s="7"/>
      <c r="G17125" s="7"/>
      <c r="H17125" s="7"/>
      <c r="I17125" s="7"/>
      <c r="J17125" s="7"/>
      <c r="K17125" s="7"/>
      <c r="L17125" s="7"/>
      <c r="M17125" s="7"/>
      <c r="N17125" s="7"/>
      <c r="O17125" s="7"/>
      <c r="P17125" s="7"/>
      <c r="Q17125" s="7"/>
      <c r="R17125" s="7"/>
      <c r="S17125" s="7"/>
      <c r="T17125" s="7"/>
      <c r="U17125" s="7"/>
      <c r="V17125" s="7"/>
      <c r="W17125" s="7"/>
      <c r="X17125" s="7"/>
      <c r="Y17125" s="7"/>
      <c r="Z17125" s="7"/>
      <c r="AA17125" s="7"/>
      <c r="AB17125" s="7"/>
      <c r="AC17125" s="7"/>
      <c r="AD17125" s="7"/>
      <c r="AE17125" s="7"/>
      <c r="AF17125" s="7"/>
    </row>
    <row r="17126" spans="1:32">
      <c r="A17126" s="7"/>
      <c r="B17126" s="7"/>
      <c r="C17126" s="7"/>
      <c r="D17126" s="7"/>
      <c r="E17126" s="7"/>
      <c r="F17126" s="7"/>
      <c r="G17126" s="7"/>
      <c r="H17126" s="7"/>
      <c r="I17126" s="7"/>
      <c r="J17126" s="7"/>
      <c r="K17126" s="7"/>
      <c r="L17126" s="7"/>
      <c r="M17126" s="7"/>
      <c r="N17126" s="7"/>
      <c r="O17126" s="7"/>
      <c r="P17126" s="7"/>
      <c r="Q17126" s="7"/>
      <c r="R17126" s="7"/>
      <c r="S17126" s="7"/>
      <c r="T17126" s="7"/>
      <c r="U17126" s="7"/>
      <c r="V17126" s="7"/>
      <c r="W17126" s="7"/>
      <c r="X17126" s="7"/>
      <c r="Y17126" s="7"/>
      <c r="Z17126" s="7"/>
      <c r="AA17126" s="7"/>
      <c r="AB17126" s="7"/>
      <c r="AC17126" s="7"/>
      <c r="AD17126" s="7"/>
      <c r="AE17126" s="7"/>
      <c r="AF17126" s="7"/>
    </row>
    <row r="17127" spans="1:32">
      <c r="A17127" s="7"/>
      <c r="B17127" s="7"/>
      <c r="C17127" s="7"/>
      <c r="D17127" s="7"/>
      <c r="E17127" s="7"/>
      <c r="F17127" s="7"/>
      <c r="G17127" s="7"/>
      <c r="H17127" s="7"/>
      <c r="I17127" s="7"/>
      <c r="J17127" s="7"/>
      <c r="K17127" s="7"/>
      <c r="L17127" s="7"/>
      <c r="M17127" s="7"/>
      <c r="N17127" s="7"/>
      <c r="O17127" s="7"/>
      <c r="P17127" s="7"/>
      <c r="Q17127" s="7"/>
      <c r="R17127" s="7"/>
      <c r="S17127" s="7"/>
      <c r="T17127" s="7"/>
      <c r="U17127" s="7"/>
      <c r="V17127" s="7"/>
      <c r="W17127" s="7"/>
      <c r="X17127" s="7"/>
      <c r="Y17127" s="7"/>
      <c r="Z17127" s="7"/>
      <c r="AA17127" s="7"/>
      <c r="AB17127" s="7"/>
      <c r="AC17127" s="7"/>
      <c r="AD17127" s="7"/>
      <c r="AE17127" s="7"/>
      <c r="AF17127" s="7"/>
    </row>
    <row r="17128" spans="1:32">
      <c r="A17128" s="7"/>
      <c r="B17128" s="7"/>
      <c r="C17128" s="7"/>
      <c r="D17128" s="7"/>
      <c r="E17128" s="7"/>
      <c r="F17128" s="7"/>
      <c r="G17128" s="7"/>
      <c r="H17128" s="7"/>
      <c r="I17128" s="7"/>
      <c r="J17128" s="7"/>
      <c r="K17128" s="7"/>
      <c r="L17128" s="7"/>
      <c r="M17128" s="7"/>
      <c r="N17128" s="7"/>
      <c r="O17128" s="7"/>
      <c r="P17128" s="7"/>
      <c r="Q17128" s="7"/>
      <c r="R17128" s="7"/>
      <c r="S17128" s="7"/>
      <c r="T17128" s="7"/>
      <c r="U17128" s="7"/>
      <c r="V17128" s="7"/>
      <c r="W17128" s="7"/>
      <c r="X17128" s="7"/>
      <c r="Y17128" s="7"/>
      <c r="Z17128" s="7"/>
      <c r="AA17128" s="7"/>
      <c r="AB17128" s="7"/>
      <c r="AC17128" s="7"/>
      <c r="AD17128" s="7"/>
      <c r="AE17128" s="7"/>
      <c r="AF17128" s="7"/>
    </row>
    <row r="17129" spans="1:32">
      <c r="A17129" s="7"/>
      <c r="B17129" s="7"/>
      <c r="C17129" s="7"/>
      <c r="D17129" s="7"/>
      <c r="E17129" s="7"/>
      <c r="F17129" s="7"/>
      <c r="G17129" s="7"/>
      <c r="H17129" s="7"/>
      <c r="I17129" s="7"/>
      <c r="J17129" s="7"/>
      <c r="K17129" s="7"/>
      <c r="L17129" s="7"/>
      <c r="M17129" s="7"/>
      <c r="N17129" s="7"/>
      <c r="O17129" s="7"/>
      <c r="P17129" s="7"/>
      <c r="Q17129" s="7"/>
      <c r="R17129" s="7"/>
      <c r="S17129" s="7"/>
      <c r="T17129" s="7"/>
      <c r="U17129" s="7"/>
      <c r="V17129" s="7"/>
      <c r="W17129" s="7"/>
      <c r="X17129" s="7"/>
      <c r="Y17129" s="7"/>
      <c r="Z17129" s="7"/>
      <c r="AA17129" s="7"/>
      <c r="AB17129" s="7"/>
      <c r="AC17129" s="7"/>
      <c r="AD17129" s="7"/>
      <c r="AE17129" s="7"/>
      <c r="AF17129" s="7"/>
    </row>
    <row r="17130" spans="1:32">
      <c r="A17130" s="7"/>
      <c r="B17130" s="7"/>
      <c r="C17130" s="7"/>
      <c r="D17130" s="7"/>
      <c r="E17130" s="7"/>
      <c r="F17130" s="7"/>
      <c r="G17130" s="7"/>
      <c r="H17130" s="7"/>
      <c r="I17130" s="7"/>
      <c r="J17130" s="7"/>
      <c r="K17130" s="7"/>
      <c r="L17130" s="7"/>
      <c r="M17130" s="7"/>
      <c r="N17130" s="7"/>
      <c r="O17130" s="7"/>
      <c r="P17130" s="7"/>
      <c r="Q17130" s="7"/>
      <c r="R17130" s="7"/>
      <c r="S17130" s="7"/>
      <c r="T17130" s="7"/>
      <c r="U17130" s="7"/>
      <c r="V17130" s="7"/>
      <c r="W17130" s="7"/>
      <c r="X17130" s="7"/>
      <c r="Y17130" s="7"/>
      <c r="Z17130" s="7"/>
      <c r="AA17130" s="7"/>
      <c r="AB17130" s="7"/>
      <c r="AC17130" s="7"/>
      <c r="AD17130" s="7"/>
      <c r="AE17130" s="7"/>
      <c r="AF17130" s="7"/>
    </row>
    <row r="17131" spans="1:32">
      <c r="A17131" s="7"/>
      <c r="B17131" s="7"/>
      <c r="C17131" s="7"/>
      <c r="D17131" s="7"/>
      <c r="E17131" s="7"/>
      <c r="F17131" s="7"/>
      <c r="G17131" s="7"/>
      <c r="H17131" s="7"/>
      <c r="I17131" s="7"/>
      <c r="J17131" s="7"/>
      <c r="K17131" s="7"/>
      <c r="L17131" s="7"/>
      <c r="M17131" s="7"/>
      <c r="N17131" s="7"/>
      <c r="O17131" s="7"/>
      <c r="P17131" s="7"/>
      <c r="Q17131" s="7"/>
      <c r="R17131" s="7"/>
      <c r="S17131" s="7"/>
      <c r="T17131" s="7"/>
      <c r="U17131" s="7"/>
      <c r="V17131" s="7"/>
      <c r="W17131" s="7"/>
      <c r="X17131" s="7"/>
      <c r="Y17131" s="7"/>
      <c r="Z17131" s="7"/>
      <c r="AA17131" s="7"/>
      <c r="AB17131" s="7"/>
      <c r="AC17131" s="7"/>
      <c r="AD17131" s="7"/>
      <c r="AE17131" s="7"/>
      <c r="AF17131" s="7"/>
    </row>
    <row r="17132" spans="1:32">
      <c r="A17132" s="7"/>
      <c r="B17132" s="7"/>
      <c r="C17132" s="7"/>
      <c r="D17132" s="7"/>
      <c r="E17132" s="7"/>
      <c r="F17132" s="7"/>
      <c r="G17132" s="7"/>
      <c r="H17132" s="7"/>
      <c r="I17132" s="7"/>
      <c r="J17132" s="7"/>
      <c r="K17132" s="7"/>
      <c r="L17132" s="7"/>
      <c r="M17132" s="7"/>
      <c r="N17132" s="7"/>
      <c r="O17132" s="7"/>
      <c r="P17132" s="7"/>
      <c r="Q17132" s="7"/>
      <c r="R17132" s="7"/>
      <c r="S17132" s="7"/>
      <c r="T17132" s="7"/>
      <c r="U17132" s="7"/>
      <c r="V17132" s="7"/>
      <c r="W17132" s="7"/>
      <c r="X17132" s="7"/>
      <c r="Y17132" s="7"/>
      <c r="Z17132" s="7"/>
      <c r="AA17132" s="7"/>
      <c r="AB17132" s="7"/>
      <c r="AC17132" s="7"/>
      <c r="AD17132" s="7"/>
      <c r="AE17132" s="7"/>
      <c r="AF17132" s="7"/>
    </row>
    <row r="17133" spans="1:32">
      <c r="A17133" s="7"/>
      <c r="B17133" s="7"/>
      <c r="C17133" s="7"/>
      <c r="D17133" s="7"/>
      <c r="E17133" s="7"/>
      <c r="F17133" s="7"/>
      <c r="G17133" s="7"/>
      <c r="H17133" s="7"/>
      <c r="I17133" s="7"/>
      <c r="J17133" s="7"/>
      <c r="K17133" s="7"/>
      <c r="L17133" s="7"/>
      <c r="M17133" s="7"/>
      <c r="N17133" s="7"/>
      <c r="O17133" s="7"/>
      <c r="P17133" s="7"/>
      <c r="Q17133" s="7"/>
      <c r="R17133" s="7"/>
      <c r="S17133" s="7"/>
      <c r="T17133" s="7"/>
      <c r="U17133" s="7"/>
      <c r="V17133" s="7"/>
      <c r="W17133" s="7"/>
      <c r="X17133" s="7"/>
      <c r="Y17133" s="7"/>
      <c r="Z17133" s="7"/>
      <c r="AA17133" s="7"/>
      <c r="AB17133" s="7"/>
      <c r="AC17133" s="7"/>
      <c r="AD17133" s="7"/>
      <c r="AE17133" s="7"/>
      <c r="AF17133" s="7"/>
    </row>
    <row r="17134" spans="1:32">
      <c r="A17134" s="7"/>
      <c r="B17134" s="7"/>
      <c r="C17134" s="7"/>
      <c r="D17134" s="7"/>
      <c r="E17134" s="7"/>
      <c r="F17134" s="7"/>
      <c r="G17134" s="7"/>
      <c r="H17134" s="7"/>
      <c r="I17134" s="7"/>
      <c r="J17134" s="7"/>
      <c r="K17134" s="7"/>
      <c r="L17134" s="7"/>
      <c r="M17134" s="7"/>
      <c r="N17134" s="7"/>
      <c r="O17134" s="7"/>
      <c r="P17134" s="7"/>
      <c r="Q17134" s="7"/>
      <c r="R17134" s="7"/>
      <c r="S17134" s="7"/>
      <c r="T17134" s="7"/>
      <c r="U17134" s="7"/>
      <c r="V17134" s="7"/>
      <c r="W17134" s="7"/>
      <c r="X17134" s="7"/>
      <c r="Y17134" s="7"/>
      <c r="Z17134" s="7"/>
      <c r="AA17134" s="7"/>
      <c r="AB17134" s="7"/>
      <c r="AC17134" s="7"/>
      <c r="AD17134" s="7"/>
      <c r="AE17134" s="7"/>
      <c r="AF17134" s="7"/>
    </row>
    <row r="17135" spans="1:32">
      <c r="A17135" s="7"/>
      <c r="B17135" s="7"/>
      <c r="C17135" s="7"/>
      <c r="D17135" s="7"/>
      <c r="E17135" s="7"/>
      <c r="F17135" s="7"/>
      <c r="G17135" s="7"/>
      <c r="H17135" s="7"/>
      <c r="I17135" s="7"/>
      <c r="J17135" s="7"/>
      <c r="K17135" s="7"/>
      <c r="L17135" s="7"/>
      <c r="M17135" s="7"/>
      <c r="N17135" s="7"/>
      <c r="O17135" s="7"/>
      <c r="P17135" s="7"/>
      <c r="Q17135" s="7"/>
      <c r="R17135" s="7"/>
      <c r="S17135" s="7"/>
      <c r="T17135" s="7"/>
      <c r="U17135" s="7"/>
      <c r="V17135" s="7"/>
      <c r="W17135" s="7"/>
      <c r="X17135" s="7"/>
      <c r="Y17135" s="7"/>
      <c r="Z17135" s="7"/>
      <c r="AA17135" s="7"/>
      <c r="AB17135" s="7"/>
      <c r="AC17135" s="7"/>
      <c r="AD17135" s="7"/>
      <c r="AE17135" s="7"/>
      <c r="AF17135" s="7"/>
    </row>
    <row r="17136" spans="1:32">
      <c r="A17136" s="7"/>
      <c r="B17136" s="7"/>
      <c r="C17136" s="7"/>
      <c r="D17136" s="7"/>
      <c r="E17136" s="7"/>
      <c r="F17136" s="7"/>
      <c r="G17136" s="7"/>
      <c r="H17136" s="7"/>
      <c r="I17136" s="7"/>
      <c r="J17136" s="7"/>
      <c r="K17136" s="7"/>
      <c r="L17136" s="7"/>
      <c r="M17136" s="7"/>
      <c r="N17136" s="7"/>
      <c r="O17136" s="7"/>
      <c r="P17136" s="7"/>
      <c r="Q17136" s="7"/>
      <c r="R17136" s="7"/>
      <c r="S17136" s="7"/>
      <c r="T17136" s="7"/>
      <c r="U17136" s="7"/>
      <c r="V17136" s="7"/>
      <c r="W17136" s="7"/>
      <c r="X17136" s="7"/>
      <c r="Y17136" s="7"/>
      <c r="Z17136" s="7"/>
      <c r="AA17136" s="7"/>
      <c r="AB17136" s="7"/>
      <c r="AC17136" s="7"/>
      <c r="AD17136" s="7"/>
      <c r="AE17136" s="7"/>
      <c r="AF17136" s="7"/>
    </row>
    <row r="17137" spans="1:32">
      <c r="A17137" s="7"/>
      <c r="B17137" s="7"/>
      <c r="C17137" s="7"/>
      <c r="D17137" s="7"/>
      <c r="E17137" s="7"/>
      <c r="F17137" s="7"/>
      <c r="G17137" s="7"/>
      <c r="H17137" s="7"/>
      <c r="I17137" s="7"/>
      <c r="J17137" s="7"/>
      <c r="K17137" s="7"/>
      <c r="L17137" s="7"/>
      <c r="M17137" s="7"/>
      <c r="N17137" s="7"/>
      <c r="O17137" s="7"/>
      <c r="P17137" s="7"/>
      <c r="Q17137" s="7"/>
      <c r="R17137" s="7"/>
      <c r="S17137" s="7"/>
      <c r="T17137" s="7"/>
      <c r="U17137" s="7"/>
      <c r="V17137" s="7"/>
      <c r="W17137" s="7"/>
      <c r="X17137" s="7"/>
      <c r="Y17137" s="7"/>
      <c r="Z17137" s="7"/>
      <c r="AA17137" s="7"/>
      <c r="AB17137" s="7"/>
      <c r="AC17137" s="7"/>
      <c r="AD17137" s="7"/>
      <c r="AE17137" s="7"/>
      <c r="AF17137" s="7"/>
    </row>
    <row r="17138" spans="1:32">
      <c r="A17138" s="7"/>
      <c r="B17138" s="7"/>
      <c r="C17138" s="7"/>
      <c r="D17138" s="7"/>
      <c r="E17138" s="7"/>
      <c r="F17138" s="7"/>
      <c r="G17138" s="7"/>
      <c r="H17138" s="7"/>
      <c r="I17138" s="7"/>
      <c r="J17138" s="7"/>
      <c r="K17138" s="7"/>
      <c r="L17138" s="7"/>
      <c r="M17138" s="7"/>
      <c r="N17138" s="7"/>
      <c r="O17138" s="7"/>
      <c r="P17138" s="7"/>
      <c r="Q17138" s="7"/>
      <c r="R17138" s="7"/>
      <c r="S17138" s="7"/>
      <c r="T17138" s="7"/>
      <c r="U17138" s="7"/>
      <c r="V17138" s="7"/>
      <c r="W17138" s="7"/>
      <c r="X17138" s="7"/>
      <c r="Y17138" s="7"/>
      <c r="Z17138" s="7"/>
      <c r="AA17138" s="7"/>
      <c r="AB17138" s="7"/>
      <c r="AC17138" s="7"/>
      <c r="AD17138" s="7"/>
      <c r="AE17138" s="7"/>
      <c r="AF17138" s="7"/>
    </row>
    <row r="17139" spans="1:32">
      <c r="A17139" s="7"/>
      <c r="B17139" s="7"/>
      <c r="C17139" s="7"/>
      <c r="D17139" s="7"/>
      <c r="E17139" s="7"/>
      <c r="F17139" s="7"/>
      <c r="G17139" s="7"/>
      <c r="H17139" s="7"/>
      <c r="I17139" s="7"/>
      <c r="J17139" s="7"/>
      <c r="K17139" s="7"/>
      <c r="L17139" s="7"/>
      <c r="M17139" s="7"/>
      <c r="N17139" s="7"/>
      <c r="O17139" s="7"/>
      <c r="P17139" s="7"/>
      <c r="Q17139" s="7"/>
      <c r="R17139" s="7"/>
      <c r="S17139" s="7"/>
      <c r="T17139" s="7"/>
      <c r="U17139" s="7"/>
      <c r="V17139" s="7"/>
      <c r="W17139" s="7"/>
      <c r="X17139" s="7"/>
      <c r="Y17139" s="7"/>
      <c r="Z17139" s="7"/>
      <c r="AA17139" s="7"/>
      <c r="AB17139" s="7"/>
      <c r="AC17139" s="7"/>
      <c r="AD17139" s="7"/>
      <c r="AE17139" s="7"/>
      <c r="AF17139" s="7"/>
    </row>
    <row r="17140" spans="1:32">
      <c r="A17140" s="7"/>
      <c r="B17140" s="7"/>
      <c r="C17140" s="7"/>
      <c r="D17140" s="7"/>
      <c r="E17140" s="7"/>
      <c r="F17140" s="7"/>
      <c r="G17140" s="7"/>
      <c r="H17140" s="7"/>
      <c r="I17140" s="7"/>
      <c r="J17140" s="7"/>
      <c r="K17140" s="7"/>
      <c r="L17140" s="7"/>
      <c r="M17140" s="7"/>
      <c r="N17140" s="7"/>
      <c r="O17140" s="7"/>
      <c r="P17140" s="7"/>
      <c r="Q17140" s="7"/>
      <c r="R17140" s="7"/>
      <c r="S17140" s="7"/>
      <c r="T17140" s="7"/>
      <c r="U17140" s="7"/>
      <c r="V17140" s="7"/>
      <c r="W17140" s="7"/>
      <c r="X17140" s="7"/>
      <c r="Y17140" s="7"/>
      <c r="Z17140" s="7"/>
      <c r="AA17140" s="7"/>
      <c r="AB17140" s="7"/>
      <c r="AC17140" s="7"/>
      <c r="AD17140" s="7"/>
      <c r="AE17140" s="7"/>
      <c r="AF17140" s="7"/>
    </row>
    <row r="17141" spans="1:32">
      <c r="A17141" s="7"/>
      <c r="B17141" s="7"/>
      <c r="C17141" s="7"/>
      <c r="D17141" s="7"/>
      <c r="E17141" s="7"/>
      <c r="F17141" s="7"/>
      <c r="G17141" s="7"/>
      <c r="H17141" s="7"/>
      <c r="I17141" s="7"/>
      <c r="J17141" s="7"/>
      <c r="K17141" s="7"/>
      <c r="L17141" s="7"/>
      <c r="M17141" s="7"/>
      <c r="N17141" s="7"/>
      <c r="O17141" s="7"/>
      <c r="P17141" s="7"/>
      <c r="Q17141" s="7"/>
      <c r="R17141" s="7"/>
      <c r="S17141" s="7"/>
      <c r="T17141" s="7"/>
      <c r="U17141" s="7"/>
      <c r="V17141" s="7"/>
      <c r="W17141" s="7"/>
      <c r="X17141" s="7"/>
      <c r="Y17141" s="7"/>
      <c r="Z17141" s="7"/>
      <c r="AA17141" s="7"/>
      <c r="AB17141" s="7"/>
      <c r="AC17141" s="7"/>
      <c r="AD17141" s="7"/>
      <c r="AE17141" s="7"/>
      <c r="AF17141" s="7"/>
    </row>
    <row r="17142" spans="1:32">
      <c r="A17142" s="7"/>
      <c r="B17142" s="7"/>
      <c r="C17142" s="7"/>
      <c r="D17142" s="7"/>
      <c r="E17142" s="7"/>
      <c r="F17142" s="7"/>
      <c r="G17142" s="7"/>
      <c r="H17142" s="7"/>
      <c r="I17142" s="7"/>
      <c r="J17142" s="7"/>
      <c r="K17142" s="7"/>
      <c r="L17142" s="7"/>
      <c r="M17142" s="7"/>
      <c r="N17142" s="7"/>
      <c r="O17142" s="7"/>
      <c r="P17142" s="7"/>
      <c r="Q17142" s="7"/>
      <c r="R17142" s="7"/>
      <c r="S17142" s="7"/>
      <c r="T17142" s="7"/>
      <c r="U17142" s="7"/>
      <c r="V17142" s="7"/>
      <c r="W17142" s="7"/>
      <c r="X17142" s="7"/>
      <c r="Y17142" s="7"/>
      <c r="Z17142" s="7"/>
      <c r="AA17142" s="7"/>
      <c r="AB17142" s="7"/>
      <c r="AC17142" s="7"/>
      <c r="AD17142" s="7"/>
      <c r="AE17142" s="7"/>
      <c r="AF17142" s="7"/>
    </row>
    <row r="17143" spans="1:32">
      <c r="A17143" s="7"/>
      <c r="B17143" s="7"/>
      <c r="C17143" s="7"/>
      <c r="D17143" s="7"/>
      <c r="E17143" s="7"/>
      <c r="F17143" s="7"/>
      <c r="G17143" s="7"/>
      <c r="H17143" s="7"/>
      <c r="I17143" s="7"/>
      <c r="J17143" s="7"/>
      <c r="K17143" s="7"/>
      <c r="L17143" s="7"/>
      <c r="M17143" s="7"/>
      <c r="N17143" s="7"/>
      <c r="O17143" s="7"/>
      <c r="P17143" s="7"/>
      <c r="Q17143" s="7"/>
      <c r="R17143" s="7"/>
      <c r="S17143" s="7"/>
      <c r="T17143" s="7"/>
      <c r="U17143" s="7"/>
      <c r="V17143" s="7"/>
      <c r="W17143" s="7"/>
      <c r="X17143" s="7"/>
      <c r="Y17143" s="7"/>
      <c r="Z17143" s="7"/>
      <c r="AA17143" s="7"/>
      <c r="AB17143" s="7"/>
      <c r="AC17143" s="7"/>
      <c r="AD17143" s="7"/>
      <c r="AE17143" s="7"/>
      <c r="AF17143" s="7"/>
    </row>
    <row r="17144" spans="1:32">
      <c r="A17144" s="7"/>
      <c r="B17144" s="7"/>
      <c r="C17144" s="7"/>
      <c r="D17144" s="7"/>
      <c r="E17144" s="7"/>
      <c r="F17144" s="7"/>
      <c r="G17144" s="7"/>
      <c r="H17144" s="7"/>
      <c r="I17144" s="7"/>
      <c r="J17144" s="7"/>
      <c r="K17144" s="7"/>
      <c r="L17144" s="7"/>
      <c r="M17144" s="7"/>
      <c r="N17144" s="7"/>
      <c r="O17144" s="7"/>
      <c r="P17144" s="7"/>
      <c r="Q17144" s="7"/>
      <c r="R17144" s="7"/>
      <c r="S17144" s="7"/>
      <c r="T17144" s="7"/>
      <c r="U17144" s="7"/>
      <c r="V17144" s="7"/>
      <c r="W17144" s="7"/>
      <c r="X17144" s="7"/>
      <c r="Y17144" s="7"/>
      <c r="Z17144" s="7"/>
      <c r="AA17144" s="7"/>
      <c r="AB17144" s="7"/>
      <c r="AC17144" s="7"/>
      <c r="AD17144" s="7"/>
      <c r="AE17144" s="7"/>
      <c r="AF17144" s="7"/>
    </row>
    <row r="17145" spans="1:32">
      <c r="A17145" s="7"/>
      <c r="B17145" s="7"/>
      <c r="C17145" s="7"/>
      <c r="D17145" s="7"/>
      <c r="E17145" s="7"/>
      <c r="F17145" s="7"/>
      <c r="G17145" s="7"/>
      <c r="H17145" s="7"/>
      <c r="I17145" s="7"/>
      <c r="J17145" s="7"/>
      <c r="K17145" s="7"/>
      <c r="L17145" s="7"/>
      <c r="M17145" s="7"/>
      <c r="N17145" s="7"/>
      <c r="O17145" s="7"/>
      <c r="P17145" s="7"/>
      <c r="Q17145" s="7"/>
      <c r="R17145" s="7"/>
      <c r="S17145" s="7"/>
      <c r="T17145" s="7"/>
      <c r="U17145" s="7"/>
      <c r="V17145" s="7"/>
      <c r="W17145" s="7"/>
      <c r="X17145" s="7"/>
      <c r="Y17145" s="7"/>
      <c r="Z17145" s="7"/>
      <c r="AA17145" s="7"/>
      <c r="AB17145" s="7"/>
      <c r="AC17145" s="7"/>
      <c r="AD17145" s="7"/>
      <c r="AE17145" s="7"/>
      <c r="AF17145" s="7"/>
    </row>
    <row r="17146" spans="1:32">
      <c r="A17146" s="7"/>
      <c r="B17146" s="7"/>
      <c r="C17146" s="7"/>
      <c r="D17146" s="7"/>
      <c r="E17146" s="7"/>
      <c r="F17146" s="7"/>
      <c r="G17146" s="7"/>
      <c r="H17146" s="7"/>
      <c r="I17146" s="7"/>
      <c r="J17146" s="7"/>
      <c r="K17146" s="7"/>
      <c r="L17146" s="7"/>
      <c r="M17146" s="7"/>
      <c r="N17146" s="7"/>
      <c r="O17146" s="7"/>
      <c r="P17146" s="7"/>
      <c r="Q17146" s="7"/>
      <c r="R17146" s="7"/>
      <c r="S17146" s="7"/>
      <c r="T17146" s="7"/>
      <c r="U17146" s="7"/>
      <c r="V17146" s="7"/>
      <c r="W17146" s="7"/>
      <c r="X17146" s="7"/>
      <c r="Y17146" s="7"/>
      <c r="Z17146" s="7"/>
      <c r="AA17146" s="7"/>
      <c r="AB17146" s="7"/>
      <c r="AC17146" s="7"/>
      <c r="AD17146" s="7"/>
      <c r="AE17146" s="7"/>
      <c r="AF17146" s="7"/>
    </row>
    <row r="17147" spans="1:32">
      <c r="A17147" s="7"/>
      <c r="B17147" s="7"/>
      <c r="C17147" s="7"/>
      <c r="D17147" s="7"/>
      <c r="E17147" s="7"/>
      <c r="F17147" s="7"/>
      <c r="G17147" s="7"/>
      <c r="H17147" s="7"/>
      <c r="I17147" s="7"/>
      <c r="J17147" s="7"/>
      <c r="K17147" s="7"/>
      <c r="L17147" s="7"/>
      <c r="M17147" s="7"/>
      <c r="N17147" s="7"/>
      <c r="O17147" s="7"/>
      <c r="P17147" s="7"/>
      <c r="Q17147" s="7"/>
      <c r="R17147" s="7"/>
      <c r="S17147" s="7"/>
      <c r="T17147" s="7"/>
      <c r="U17147" s="7"/>
      <c r="V17147" s="7"/>
      <c r="W17147" s="7"/>
      <c r="X17147" s="7"/>
      <c r="Y17147" s="7"/>
      <c r="Z17147" s="7"/>
      <c r="AA17147" s="7"/>
      <c r="AB17147" s="7"/>
      <c r="AC17147" s="7"/>
      <c r="AD17147" s="7"/>
      <c r="AE17147" s="7"/>
      <c r="AF17147" s="7"/>
    </row>
    <row r="17148" spans="1:32">
      <c r="A17148" s="7"/>
      <c r="B17148" s="7"/>
      <c r="C17148" s="7"/>
      <c r="D17148" s="7"/>
      <c r="E17148" s="7"/>
      <c r="F17148" s="7"/>
      <c r="G17148" s="7"/>
      <c r="H17148" s="7"/>
      <c r="I17148" s="7"/>
      <c r="J17148" s="7"/>
      <c r="K17148" s="7"/>
      <c r="L17148" s="7"/>
      <c r="M17148" s="7"/>
      <c r="N17148" s="7"/>
      <c r="O17148" s="7"/>
      <c r="P17148" s="7"/>
      <c r="Q17148" s="7"/>
      <c r="R17148" s="7"/>
      <c r="S17148" s="7"/>
      <c r="T17148" s="7"/>
      <c r="U17148" s="7"/>
      <c r="V17148" s="7"/>
      <c r="W17148" s="7"/>
      <c r="X17148" s="7"/>
      <c r="Y17148" s="7"/>
      <c r="Z17148" s="7"/>
      <c r="AA17148" s="7"/>
      <c r="AB17148" s="7"/>
      <c r="AC17148" s="7"/>
      <c r="AD17148" s="7"/>
      <c r="AE17148" s="7"/>
      <c r="AF17148" s="7"/>
    </row>
    <row r="17149" spans="1:32">
      <c r="A17149" s="7"/>
      <c r="B17149" s="7"/>
      <c r="C17149" s="7"/>
      <c r="D17149" s="7"/>
      <c r="E17149" s="7"/>
      <c r="F17149" s="7"/>
      <c r="G17149" s="7"/>
      <c r="H17149" s="7"/>
      <c r="I17149" s="7"/>
      <c r="J17149" s="7"/>
      <c r="K17149" s="7"/>
      <c r="L17149" s="7"/>
      <c r="M17149" s="7"/>
      <c r="N17149" s="7"/>
      <c r="O17149" s="7"/>
      <c r="P17149" s="7"/>
      <c r="Q17149" s="7"/>
      <c r="R17149" s="7"/>
      <c r="S17149" s="7"/>
      <c r="T17149" s="7"/>
      <c r="U17149" s="7"/>
      <c r="V17149" s="7"/>
      <c r="W17149" s="7"/>
      <c r="X17149" s="7"/>
      <c r="Y17149" s="7"/>
      <c r="Z17149" s="7"/>
      <c r="AA17149" s="7"/>
      <c r="AB17149" s="7"/>
      <c r="AC17149" s="7"/>
      <c r="AD17149" s="7"/>
      <c r="AE17149" s="7"/>
      <c r="AF17149" s="7"/>
    </row>
    <row r="17150" spans="1:32">
      <c r="A17150" s="7"/>
      <c r="B17150" s="7"/>
      <c r="C17150" s="7"/>
      <c r="D17150" s="7"/>
      <c r="E17150" s="7"/>
      <c r="F17150" s="7"/>
      <c r="G17150" s="7"/>
      <c r="H17150" s="7"/>
      <c r="I17150" s="7"/>
      <c r="J17150" s="7"/>
      <c r="K17150" s="7"/>
      <c r="L17150" s="7"/>
      <c r="M17150" s="7"/>
      <c r="N17150" s="7"/>
      <c r="O17150" s="7"/>
      <c r="P17150" s="7"/>
      <c r="Q17150" s="7"/>
      <c r="R17150" s="7"/>
      <c r="S17150" s="7"/>
      <c r="T17150" s="7"/>
      <c r="U17150" s="7"/>
      <c r="V17150" s="7"/>
      <c r="W17150" s="7"/>
      <c r="X17150" s="7"/>
      <c r="Y17150" s="7"/>
      <c r="Z17150" s="7"/>
      <c r="AA17150" s="7"/>
      <c r="AB17150" s="7"/>
      <c r="AC17150" s="7"/>
      <c r="AD17150" s="7"/>
      <c r="AE17150" s="7"/>
      <c r="AF17150" s="7"/>
    </row>
    <row r="17151" spans="1:32">
      <c r="A17151" s="7"/>
      <c r="B17151" s="7"/>
      <c r="C17151" s="7"/>
      <c r="D17151" s="7"/>
      <c r="E17151" s="7"/>
      <c r="F17151" s="7"/>
      <c r="G17151" s="7"/>
      <c r="H17151" s="7"/>
      <c r="I17151" s="7"/>
      <c r="J17151" s="7"/>
      <c r="K17151" s="7"/>
      <c r="L17151" s="7"/>
      <c r="M17151" s="7"/>
      <c r="N17151" s="7"/>
      <c r="O17151" s="7"/>
      <c r="P17151" s="7"/>
      <c r="Q17151" s="7"/>
      <c r="R17151" s="7"/>
      <c r="S17151" s="7"/>
      <c r="T17151" s="7"/>
      <c r="U17151" s="7"/>
      <c r="V17151" s="7"/>
      <c r="W17151" s="7"/>
      <c r="X17151" s="7"/>
      <c r="Y17151" s="7"/>
      <c r="Z17151" s="7"/>
      <c r="AA17151" s="7"/>
      <c r="AB17151" s="7"/>
      <c r="AC17151" s="7"/>
      <c r="AD17151" s="7"/>
      <c r="AE17151" s="7"/>
      <c r="AF17151" s="7"/>
    </row>
    <row r="17152" spans="1:32">
      <c r="A17152" s="7"/>
      <c r="B17152" s="7"/>
      <c r="C17152" s="7"/>
      <c r="D17152" s="7"/>
      <c r="E17152" s="7"/>
      <c r="F17152" s="7"/>
      <c r="G17152" s="7"/>
      <c r="H17152" s="7"/>
      <c r="I17152" s="7"/>
      <c r="J17152" s="7"/>
      <c r="K17152" s="7"/>
      <c r="L17152" s="7"/>
      <c r="M17152" s="7"/>
      <c r="N17152" s="7"/>
      <c r="O17152" s="7"/>
      <c r="P17152" s="7"/>
      <c r="Q17152" s="7"/>
      <c r="R17152" s="7"/>
      <c r="S17152" s="7"/>
      <c r="T17152" s="7"/>
      <c r="U17152" s="7"/>
      <c r="V17152" s="7"/>
      <c r="W17152" s="7"/>
      <c r="X17152" s="7"/>
      <c r="Y17152" s="7"/>
      <c r="Z17152" s="7"/>
      <c r="AA17152" s="7"/>
      <c r="AB17152" s="7"/>
      <c r="AC17152" s="7"/>
      <c r="AD17152" s="7"/>
      <c r="AE17152" s="7"/>
      <c r="AF17152" s="7"/>
    </row>
    <row r="17153" spans="1:32">
      <c r="A17153" s="7"/>
      <c r="B17153" s="7"/>
      <c r="C17153" s="7"/>
      <c r="D17153" s="7"/>
      <c r="E17153" s="7"/>
      <c r="F17153" s="7"/>
      <c r="G17153" s="7"/>
      <c r="H17153" s="7"/>
      <c r="I17153" s="7"/>
      <c r="J17153" s="7"/>
      <c r="K17153" s="7"/>
      <c r="L17153" s="7"/>
      <c r="M17153" s="7"/>
      <c r="N17153" s="7"/>
      <c r="O17153" s="7"/>
      <c r="P17153" s="7"/>
      <c r="Q17153" s="7"/>
      <c r="R17153" s="7"/>
      <c r="S17153" s="7"/>
      <c r="T17153" s="7"/>
      <c r="U17153" s="7"/>
      <c r="V17153" s="7"/>
      <c r="W17153" s="7"/>
      <c r="X17153" s="7"/>
      <c r="Y17153" s="7"/>
      <c r="Z17153" s="7"/>
      <c r="AA17153" s="7"/>
      <c r="AB17153" s="7"/>
      <c r="AC17153" s="7"/>
      <c r="AD17153" s="7"/>
      <c r="AE17153" s="7"/>
      <c r="AF17153" s="7"/>
    </row>
    <row r="17154" spans="1:32">
      <c r="A17154" s="7"/>
      <c r="B17154" s="7"/>
      <c r="C17154" s="7"/>
      <c r="D17154" s="7"/>
      <c r="E17154" s="7"/>
      <c r="F17154" s="7"/>
      <c r="G17154" s="7"/>
      <c r="H17154" s="7"/>
      <c r="I17154" s="7"/>
      <c r="J17154" s="7"/>
      <c r="K17154" s="7"/>
      <c r="L17154" s="7"/>
      <c r="M17154" s="7"/>
      <c r="N17154" s="7"/>
      <c r="O17154" s="7"/>
      <c r="P17154" s="7"/>
      <c r="Q17154" s="7"/>
      <c r="R17154" s="7"/>
      <c r="S17154" s="7"/>
      <c r="T17154" s="7"/>
      <c r="U17154" s="7"/>
      <c r="V17154" s="7"/>
      <c r="W17154" s="7"/>
      <c r="X17154" s="7"/>
      <c r="Y17154" s="7"/>
      <c r="Z17154" s="7"/>
      <c r="AA17154" s="7"/>
      <c r="AB17154" s="7"/>
      <c r="AC17154" s="7"/>
      <c r="AD17154" s="7"/>
      <c r="AE17154" s="7"/>
      <c r="AF17154" s="7"/>
    </row>
    <row r="17155" spans="1:32">
      <c r="A17155" s="7"/>
      <c r="B17155" s="7"/>
      <c r="C17155" s="7"/>
      <c r="D17155" s="7"/>
      <c r="E17155" s="7"/>
      <c r="F17155" s="7"/>
      <c r="G17155" s="7"/>
      <c r="H17155" s="7"/>
      <c r="I17155" s="7"/>
      <c r="J17155" s="7"/>
      <c r="K17155" s="7"/>
      <c r="L17155" s="7"/>
      <c r="M17155" s="7"/>
      <c r="N17155" s="7"/>
      <c r="O17155" s="7"/>
      <c r="P17155" s="7"/>
      <c r="Q17155" s="7"/>
      <c r="R17155" s="7"/>
      <c r="S17155" s="7"/>
      <c r="T17155" s="7"/>
      <c r="U17155" s="7"/>
      <c r="V17155" s="7"/>
      <c r="W17155" s="7"/>
      <c r="X17155" s="7"/>
      <c r="Y17155" s="7"/>
      <c r="Z17155" s="7"/>
      <c r="AA17155" s="7"/>
      <c r="AB17155" s="7"/>
      <c r="AC17155" s="7"/>
      <c r="AD17155" s="7"/>
      <c r="AE17155" s="7"/>
      <c r="AF17155" s="7"/>
    </row>
    <row r="17156" spans="1:32">
      <c r="A17156" s="7"/>
      <c r="B17156" s="7"/>
      <c r="C17156" s="7"/>
      <c r="D17156" s="7"/>
      <c r="E17156" s="7"/>
      <c r="F17156" s="7"/>
      <c r="G17156" s="7"/>
      <c r="H17156" s="7"/>
      <c r="I17156" s="7"/>
      <c r="J17156" s="7"/>
      <c r="K17156" s="7"/>
      <c r="L17156" s="7"/>
      <c r="M17156" s="7"/>
      <c r="N17156" s="7"/>
      <c r="O17156" s="7"/>
      <c r="P17156" s="7"/>
      <c r="Q17156" s="7"/>
      <c r="R17156" s="7"/>
      <c r="S17156" s="7"/>
      <c r="T17156" s="7"/>
      <c r="U17156" s="7"/>
      <c r="V17156" s="7"/>
      <c r="W17156" s="7"/>
      <c r="X17156" s="7"/>
      <c r="Y17156" s="7"/>
      <c r="Z17156" s="7"/>
      <c r="AA17156" s="7"/>
      <c r="AB17156" s="7"/>
      <c r="AC17156" s="7"/>
      <c r="AD17156" s="7"/>
      <c r="AE17156" s="7"/>
      <c r="AF17156" s="7"/>
    </row>
    <row r="17157" spans="1:32">
      <c r="A17157" s="7"/>
      <c r="B17157" s="7"/>
      <c r="C17157" s="7"/>
      <c r="D17157" s="7"/>
      <c r="E17157" s="7"/>
      <c r="F17157" s="7"/>
      <c r="G17157" s="7"/>
      <c r="H17157" s="7"/>
      <c r="I17157" s="7"/>
      <c r="J17157" s="7"/>
      <c r="K17157" s="7"/>
      <c r="L17157" s="7"/>
      <c r="M17157" s="7"/>
      <c r="N17157" s="7"/>
      <c r="O17157" s="7"/>
      <c r="P17157" s="7"/>
      <c r="Q17157" s="7"/>
      <c r="R17157" s="7"/>
      <c r="S17157" s="7"/>
      <c r="T17157" s="7"/>
      <c r="U17157" s="7"/>
      <c r="V17157" s="7"/>
      <c r="W17157" s="7"/>
      <c r="X17157" s="7"/>
      <c r="Y17157" s="7"/>
      <c r="Z17157" s="7"/>
      <c r="AA17157" s="7"/>
      <c r="AB17157" s="7"/>
      <c r="AC17157" s="7"/>
      <c r="AD17157" s="7"/>
      <c r="AE17157" s="7"/>
      <c r="AF17157" s="7"/>
    </row>
    <row r="17158" spans="1:32">
      <c r="A17158" s="7"/>
      <c r="B17158" s="7"/>
      <c r="C17158" s="7"/>
      <c r="D17158" s="7"/>
      <c r="E17158" s="7"/>
      <c r="F17158" s="7"/>
      <c r="G17158" s="7"/>
      <c r="H17158" s="7"/>
      <c r="I17158" s="7"/>
      <c r="J17158" s="7"/>
      <c r="K17158" s="7"/>
      <c r="L17158" s="7"/>
      <c r="M17158" s="7"/>
      <c r="N17158" s="7"/>
      <c r="O17158" s="7"/>
      <c r="P17158" s="7"/>
      <c r="Q17158" s="7"/>
      <c r="R17158" s="7"/>
      <c r="S17158" s="7"/>
      <c r="T17158" s="7"/>
      <c r="U17158" s="7"/>
      <c r="V17158" s="7"/>
      <c r="W17158" s="7"/>
      <c r="X17158" s="7"/>
      <c r="Y17158" s="7"/>
      <c r="Z17158" s="7"/>
      <c r="AA17158" s="7"/>
      <c r="AB17158" s="7"/>
      <c r="AC17158" s="7"/>
      <c r="AD17158" s="7"/>
      <c r="AE17158" s="7"/>
      <c r="AF17158" s="7"/>
    </row>
    <row r="17159" spans="1:32">
      <c r="A17159" s="7"/>
      <c r="B17159" s="7"/>
      <c r="C17159" s="7"/>
      <c r="D17159" s="7"/>
      <c r="E17159" s="7"/>
      <c r="F17159" s="7"/>
      <c r="G17159" s="7"/>
      <c r="H17159" s="7"/>
      <c r="I17159" s="7"/>
      <c r="J17159" s="7"/>
      <c r="K17159" s="7"/>
      <c r="L17159" s="7"/>
      <c r="M17159" s="7"/>
      <c r="N17159" s="7"/>
      <c r="O17159" s="7"/>
      <c r="P17159" s="7"/>
      <c r="Q17159" s="7"/>
      <c r="R17159" s="7"/>
      <c r="S17159" s="7"/>
      <c r="T17159" s="7"/>
      <c r="U17159" s="7"/>
      <c r="V17159" s="7"/>
      <c r="W17159" s="7"/>
      <c r="X17159" s="7"/>
      <c r="Y17159" s="7"/>
      <c r="Z17159" s="7"/>
      <c r="AA17159" s="7"/>
      <c r="AB17159" s="7"/>
      <c r="AC17159" s="7"/>
      <c r="AD17159" s="7"/>
      <c r="AE17159" s="7"/>
      <c r="AF17159" s="7"/>
    </row>
    <row r="17160" spans="1:32">
      <c r="A17160" s="7"/>
      <c r="B17160" s="7"/>
      <c r="C17160" s="7"/>
      <c r="D17160" s="7"/>
      <c r="E17160" s="7"/>
      <c r="F17160" s="7"/>
      <c r="G17160" s="7"/>
      <c r="H17160" s="7"/>
      <c r="I17160" s="7"/>
      <c r="J17160" s="7"/>
      <c r="K17160" s="7"/>
      <c r="L17160" s="7"/>
      <c r="M17160" s="7"/>
      <c r="N17160" s="7"/>
      <c r="O17160" s="7"/>
      <c r="P17160" s="7"/>
      <c r="Q17160" s="7"/>
      <c r="R17160" s="7"/>
      <c r="S17160" s="7"/>
      <c r="T17160" s="7"/>
      <c r="U17160" s="7"/>
      <c r="V17160" s="7"/>
      <c r="W17160" s="7"/>
      <c r="X17160" s="7"/>
      <c r="Y17160" s="7"/>
      <c r="Z17160" s="7"/>
      <c r="AA17160" s="7"/>
      <c r="AB17160" s="7"/>
      <c r="AC17160" s="7"/>
      <c r="AD17160" s="7"/>
      <c r="AE17160" s="7"/>
      <c r="AF17160" s="7"/>
    </row>
    <row r="17161" spans="1:32">
      <c r="A17161" s="7"/>
      <c r="B17161" s="7"/>
      <c r="C17161" s="7"/>
      <c r="D17161" s="7"/>
      <c r="E17161" s="7"/>
      <c r="F17161" s="7"/>
      <c r="G17161" s="7"/>
      <c r="H17161" s="7"/>
      <c r="I17161" s="7"/>
      <c r="J17161" s="7"/>
      <c r="K17161" s="7"/>
      <c r="L17161" s="7"/>
      <c r="M17161" s="7"/>
      <c r="N17161" s="7"/>
      <c r="O17161" s="7"/>
      <c r="P17161" s="7"/>
      <c r="Q17161" s="7"/>
      <c r="R17161" s="7"/>
      <c r="S17161" s="7"/>
      <c r="T17161" s="7"/>
      <c r="U17161" s="7"/>
      <c r="V17161" s="7"/>
      <c r="W17161" s="7"/>
      <c r="X17161" s="7"/>
      <c r="Y17161" s="7"/>
      <c r="Z17161" s="7"/>
      <c r="AA17161" s="7"/>
      <c r="AB17161" s="7"/>
      <c r="AC17161" s="7"/>
      <c r="AD17161" s="7"/>
      <c r="AE17161" s="7"/>
      <c r="AF17161" s="7"/>
    </row>
    <row r="17162" spans="1:32">
      <c r="A17162" s="7"/>
      <c r="B17162" s="7"/>
      <c r="C17162" s="7"/>
      <c r="D17162" s="7"/>
      <c r="E17162" s="7"/>
      <c r="F17162" s="7"/>
      <c r="G17162" s="7"/>
      <c r="H17162" s="7"/>
      <c r="I17162" s="7"/>
      <c r="J17162" s="7"/>
      <c r="K17162" s="7"/>
      <c r="L17162" s="7"/>
      <c r="M17162" s="7"/>
      <c r="N17162" s="7"/>
      <c r="O17162" s="7"/>
      <c r="P17162" s="7"/>
      <c r="Q17162" s="7"/>
      <c r="R17162" s="7"/>
      <c r="S17162" s="7"/>
      <c r="T17162" s="7"/>
      <c r="U17162" s="7"/>
      <c r="V17162" s="7"/>
      <c r="W17162" s="7"/>
      <c r="X17162" s="7"/>
      <c r="Y17162" s="7"/>
      <c r="Z17162" s="7"/>
      <c r="AA17162" s="7"/>
      <c r="AB17162" s="7"/>
      <c r="AC17162" s="7"/>
      <c r="AD17162" s="7"/>
      <c r="AE17162" s="7"/>
      <c r="AF17162" s="7"/>
    </row>
    <row r="17163" spans="1:32">
      <c r="A17163" s="7"/>
      <c r="B17163" s="7"/>
      <c r="C17163" s="7"/>
      <c r="D17163" s="7"/>
      <c r="E17163" s="7"/>
      <c r="F17163" s="7"/>
      <c r="G17163" s="7"/>
      <c r="H17163" s="7"/>
      <c r="I17163" s="7"/>
      <c r="J17163" s="7"/>
      <c r="K17163" s="7"/>
      <c r="L17163" s="7"/>
      <c r="M17163" s="7"/>
      <c r="N17163" s="7"/>
      <c r="O17163" s="7"/>
      <c r="P17163" s="7"/>
      <c r="Q17163" s="7"/>
      <c r="R17163" s="7"/>
      <c r="S17163" s="7"/>
      <c r="T17163" s="7"/>
      <c r="U17163" s="7"/>
      <c r="V17163" s="7"/>
      <c r="W17163" s="7"/>
      <c r="X17163" s="7"/>
      <c r="Y17163" s="7"/>
      <c r="Z17163" s="7"/>
      <c r="AA17163" s="7"/>
      <c r="AB17163" s="7"/>
      <c r="AC17163" s="7"/>
      <c r="AD17163" s="7"/>
      <c r="AE17163" s="7"/>
      <c r="AF17163" s="7"/>
    </row>
    <row r="17164" spans="1:32">
      <c r="A17164" s="7"/>
      <c r="B17164" s="7"/>
      <c r="C17164" s="7"/>
      <c r="D17164" s="7"/>
      <c r="E17164" s="7"/>
      <c r="F17164" s="7"/>
      <c r="G17164" s="7"/>
      <c r="H17164" s="7"/>
      <c r="I17164" s="7"/>
      <c r="J17164" s="7"/>
      <c r="K17164" s="7"/>
      <c r="L17164" s="7"/>
      <c r="M17164" s="7"/>
      <c r="N17164" s="7"/>
      <c r="O17164" s="7"/>
      <c r="P17164" s="7"/>
      <c r="Q17164" s="7"/>
      <c r="R17164" s="7"/>
      <c r="S17164" s="7"/>
      <c r="T17164" s="7"/>
      <c r="U17164" s="7"/>
      <c r="V17164" s="7"/>
      <c r="W17164" s="7"/>
      <c r="X17164" s="7"/>
      <c r="Y17164" s="7"/>
      <c r="Z17164" s="7"/>
      <c r="AA17164" s="7"/>
      <c r="AB17164" s="7"/>
      <c r="AC17164" s="7"/>
      <c r="AD17164" s="7"/>
      <c r="AE17164" s="7"/>
      <c r="AF17164" s="7"/>
    </row>
    <row r="17165" spans="1:32">
      <c r="A17165" s="7"/>
      <c r="B17165" s="7"/>
      <c r="C17165" s="7"/>
      <c r="D17165" s="7"/>
      <c r="E17165" s="7"/>
      <c r="F17165" s="7"/>
      <c r="G17165" s="7"/>
      <c r="H17165" s="7"/>
      <c r="I17165" s="7"/>
      <c r="J17165" s="7"/>
      <c r="K17165" s="7"/>
      <c r="L17165" s="7"/>
      <c r="M17165" s="7"/>
      <c r="N17165" s="7"/>
      <c r="O17165" s="7"/>
      <c r="P17165" s="7"/>
      <c r="Q17165" s="7"/>
      <c r="R17165" s="7"/>
      <c r="S17165" s="7"/>
      <c r="T17165" s="7"/>
      <c r="U17165" s="7"/>
      <c r="V17165" s="7"/>
      <c r="W17165" s="7"/>
      <c r="X17165" s="7"/>
      <c r="Y17165" s="7"/>
      <c r="Z17165" s="7"/>
      <c r="AA17165" s="7"/>
      <c r="AB17165" s="7"/>
      <c r="AC17165" s="7"/>
      <c r="AD17165" s="7"/>
      <c r="AE17165" s="7"/>
      <c r="AF17165" s="7"/>
    </row>
    <row r="17166" spans="1:32">
      <c r="A17166" s="7"/>
      <c r="B17166" s="7"/>
      <c r="C17166" s="7"/>
      <c r="D17166" s="7"/>
      <c r="E17166" s="7"/>
      <c r="F17166" s="7"/>
      <c r="G17166" s="7"/>
      <c r="H17166" s="7"/>
      <c r="I17166" s="7"/>
      <c r="J17166" s="7"/>
      <c r="K17166" s="7"/>
      <c r="L17166" s="7"/>
      <c r="M17166" s="7"/>
      <c r="N17166" s="7"/>
      <c r="O17166" s="7"/>
      <c r="P17166" s="7"/>
      <c r="Q17166" s="7"/>
      <c r="R17166" s="7"/>
      <c r="S17166" s="7"/>
      <c r="T17166" s="7"/>
      <c r="U17166" s="7"/>
      <c r="V17166" s="7"/>
      <c r="W17166" s="7"/>
      <c r="X17166" s="7"/>
      <c r="Y17166" s="7"/>
      <c r="Z17166" s="7"/>
      <c r="AA17166" s="7"/>
      <c r="AB17166" s="7"/>
      <c r="AC17166" s="7"/>
      <c r="AD17166" s="7"/>
      <c r="AE17166" s="7"/>
      <c r="AF17166" s="7"/>
    </row>
    <row r="17167" spans="1:32">
      <c r="A17167" s="7"/>
      <c r="B17167" s="7"/>
      <c r="C17167" s="7"/>
      <c r="D17167" s="7"/>
      <c r="E17167" s="7"/>
      <c r="F17167" s="7"/>
      <c r="G17167" s="7"/>
      <c r="H17167" s="7"/>
      <c r="I17167" s="7"/>
      <c r="J17167" s="7"/>
      <c r="K17167" s="7"/>
      <c r="L17167" s="7"/>
      <c r="M17167" s="7"/>
      <c r="N17167" s="7"/>
      <c r="O17167" s="7"/>
      <c r="P17167" s="7"/>
      <c r="Q17167" s="7"/>
      <c r="R17167" s="7"/>
      <c r="S17167" s="7"/>
      <c r="T17167" s="7"/>
      <c r="U17167" s="7"/>
      <c r="V17167" s="7"/>
      <c r="W17167" s="7"/>
      <c r="X17167" s="7"/>
      <c r="Y17167" s="7"/>
      <c r="Z17167" s="7"/>
      <c r="AA17167" s="7"/>
      <c r="AB17167" s="7"/>
      <c r="AC17167" s="7"/>
      <c r="AD17167" s="7"/>
      <c r="AE17167" s="7"/>
      <c r="AF17167" s="7"/>
    </row>
    <row r="17168" spans="1:32">
      <c r="A17168" s="7"/>
      <c r="B17168" s="7"/>
      <c r="C17168" s="7"/>
      <c r="D17168" s="7"/>
      <c r="E17168" s="7"/>
      <c r="F17168" s="7"/>
      <c r="G17168" s="7"/>
      <c r="H17168" s="7"/>
      <c r="I17168" s="7"/>
      <c r="J17168" s="7"/>
      <c r="K17168" s="7"/>
      <c r="L17168" s="7"/>
      <c r="M17168" s="7"/>
      <c r="N17168" s="7"/>
      <c r="O17168" s="7"/>
      <c r="P17168" s="7"/>
      <c r="Q17168" s="7"/>
      <c r="R17168" s="7"/>
      <c r="S17168" s="7"/>
      <c r="T17168" s="7"/>
      <c r="U17168" s="7"/>
      <c r="V17168" s="7"/>
      <c r="W17168" s="7"/>
      <c r="X17168" s="7"/>
      <c r="Y17168" s="7"/>
      <c r="Z17168" s="7"/>
      <c r="AA17168" s="7"/>
      <c r="AB17168" s="7"/>
      <c r="AC17168" s="7"/>
      <c r="AD17168" s="7"/>
      <c r="AE17168" s="7"/>
      <c r="AF17168" s="7"/>
    </row>
    <row r="17169" spans="1:32">
      <c r="A17169" s="7"/>
      <c r="B17169" s="7"/>
      <c r="C17169" s="7"/>
      <c r="D17169" s="7"/>
      <c r="E17169" s="7"/>
      <c r="F17169" s="7"/>
      <c r="G17169" s="7"/>
      <c r="H17169" s="7"/>
      <c r="I17169" s="7"/>
      <c r="J17169" s="7"/>
      <c r="K17169" s="7"/>
      <c r="L17169" s="7"/>
      <c r="M17169" s="7"/>
      <c r="N17169" s="7"/>
      <c r="O17169" s="7"/>
      <c r="P17169" s="7"/>
      <c r="Q17169" s="7"/>
      <c r="R17169" s="7"/>
      <c r="S17169" s="7"/>
      <c r="T17169" s="7"/>
      <c r="U17169" s="7"/>
      <c r="V17169" s="7"/>
      <c r="W17169" s="7"/>
      <c r="X17169" s="7"/>
      <c r="Y17169" s="7"/>
      <c r="Z17169" s="7"/>
      <c r="AA17169" s="7"/>
      <c r="AB17169" s="7"/>
      <c r="AC17169" s="7"/>
      <c r="AD17169" s="7"/>
      <c r="AE17169" s="7"/>
      <c r="AF17169" s="7"/>
    </row>
    <row r="17170" spans="1:32">
      <c r="A17170" s="7"/>
      <c r="B17170" s="7"/>
      <c r="C17170" s="7"/>
      <c r="D17170" s="7"/>
      <c r="E17170" s="7"/>
      <c r="F17170" s="7"/>
      <c r="G17170" s="7"/>
      <c r="H17170" s="7"/>
      <c r="I17170" s="7"/>
      <c r="J17170" s="7"/>
      <c r="K17170" s="7"/>
      <c r="L17170" s="7"/>
      <c r="M17170" s="7"/>
      <c r="N17170" s="7"/>
      <c r="O17170" s="7"/>
      <c r="P17170" s="7"/>
      <c r="Q17170" s="7"/>
      <c r="R17170" s="7"/>
      <c r="S17170" s="7"/>
      <c r="T17170" s="7"/>
      <c r="U17170" s="7"/>
      <c r="V17170" s="7"/>
      <c r="W17170" s="7"/>
      <c r="X17170" s="7"/>
      <c r="Y17170" s="7"/>
      <c r="Z17170" s="7"/>
      <c r="AA17170" s="7"/>
      <c r="AB17170" s="7"/>
      <c r="AC17170" s="7"/>
      <c r="AD17170" s="7"/>
      <c r="AE17170" s="7"/>
      <c r="AF17170" s="7"/>
    </row>
    <row r="17171" spans="1:32">
      <c r="A17171" s="7"/>
      <c r="B17171" s="7"/>
      <c r="C17171" s="7"/>
      <c r="D17171" s="7"/>
      <c r="E17171" s="7"/>
      <c r="F17171" s="7"/>
      <c r="G17171" s="7"/>
      <c r="H17171" s="7"/>
      <c r="I17171" s="7"/>
      <c r="J17171" s="7"/>
      <c r="K17171" s="7"/>
      <c r="L17171" s="7"/>
      <c r="M17171" s="7"/>
      <c r="N17171" s="7"/>
      <c r="O17171" s="7"/>
      <c r="P17171" s="7"/>
      <c r="Q17171" s="7"/>
      <c r="R17171" s="7"/>
      <c r="S17171" s="7"/>
      <c r="T17171" s="7"/>
      <c r="U17171" s="7"/>
      <c r="V17171" s="7"/>
      <c r="W17171" s="7"/>
      <c r="X17171" s="7"/>
      <c r="Y17171" s="7"/>
      <c r="Z17171" s="7"/>
      <c r="AA17171" s="7"/>
      <c r="AB17171" s="7"/>
      <c r="AC17171" s="7"/>
      <c r="AD17171" s="7"/>
      <c r="AE17171" s="7"/>
      <c r="AF17171" s="7"/>
    </row>
    <row r="17172" spans="1:32">
      <c r="A17172" s="7"/>
      <c r="B17172" s="7"/>
      <c r="C17172" s="7"/>
      <c r="D17172" s="7"/>
      <c r="E17172" s="7"/>
      <c r="F17172" s="7"/>
      <c r="G17172" s="7"/>
      <c r="H17172" s="7"/>
      <c r="I17172" s="7"/>
      <c r="J17172" s="7"/>
      <c r="K17172" s="7"/>
      <c r="L17172" s="7"/>
      <c r="M17172" s="7"/>
      <c r="N17172" s="7"/>
      <c r="O17172" s="7"/>
      <c r="P17172" s="7"/>
      <c r="Q17172" s="7"/>
      <c r="R17172" s="7"/>
      <c r="S17172" s="7"/>
      <c r="T17172" s="7"/>
      <c r="U17172" s="7"/>
      <c r="V17172" s="7"/>
      <c r="W17172" s="7"/>
      <c r="X17172" s="7"/>
      <c r="Y17172" s="7"/>
      <c r="Z17172" s="7"/>
      <c r="AA17172" s="7"/>
      <c r="AB17172" s="7"/>
      <c r="AC17172" s="7"/>
      <c r="AD17172" s="7"/>
      <c r="AE17172" s="7"/>
      <c r="AF17172" s="7"/>
    </row>
    <row r="17173" spans="1:32">
      <c r="A17173" s="7"/>
      <c r="B17173" s="7"/>
      <c r="C17173" s="7"/>
      <c r="D17173" s="7"/>
      <c r="E17173" s="7"/>
      <c r="F17173" s="7"/>
      <c r="G17173" s="7"/>
      <c r="H17173" s="7"/>
      <c r="I17173" s="7"/>
      <c r="J17173" s="7"/>
      <c r="K17173" s="7"/>
      <c r="L17173" s="7"/>
      <c r="M17173" s="7"/>
      <c r="N17173" s="7"/>
      <c r="O17173" s="7"/>
      <c r="P17173" s="7"/>
      <c r="Q17173" s="7"/>
      <c r="R17173" s="7"/>
      <c r="S17173" s="7"/>
      <c r="T17173" s="7"/>
      <c r="U17173" s="7"/>
      <c r="V17173" s="7"/>
      <c r="W17173" s="7"/>
      <c r="X17173" s="7"/>
      <c r="Y17173" s="7"/>
      <c r="Z17173" s="7"/>
      <c r="AA17173" s="7"/>
      <c r="AB17173" s="7"/>
      <c r="AC17173" s="7"/>
      <c r="AD17173" s="7"/>
      <c r="AE17173" s="7"/>
      <c r="AF17173" s="7"/>
    </row>
    <row r="17174" spans="1:32">
      <c r="A17174" s="7"/>
      <c r="B17174" s="7"/>
      <c r="C17174" s="7"/>
      <c r="D17174" s="7"/>
      <c r="E17174" s="7"/>
      <c r="F17174" s="7"/>
      <c r="G17174" s="7"/>
      <c r="H17174" s="7"/>
      <c r="I17174" s="7"/>
      <c r="J17174" s="7"/>
      <c r="K17174" s="7"/>
      <c r="L17174" s="7"/>
      <c r="M17174" s="7"/>
      <c r="N17174" s="7"/>
      <c r="O17174" s="7"/>
      <c r="P17174" s="7"/>
      <c r="Q17174" s="7"/>
      <c r="R17174" s="7"/>
      <c r="S17174" s="7"/>
      <c r="T17174" s="7"/>
      <c r="U17174" s="7"/>
      <c r="V17174" s="7"/>
      <c r="W17174" s="7"/>
      <c r="X17174" s="7"/>
      <c r="Y17174" s="7"/>
      <c r="Z17174" s="7"/>
      <c r="AA17174" s="7"/>
      <c r="AB17174" s="7"/>
      <c r="AC17174" s="7"/>
      <c r="AD17174" s="7"/>
      <c r="AE17174" s="7"/>
      <c r="AF17174" s="7"/>
    </row>
    <row r="17175" spans="1:32">
      <c r="A17175" s="7"/>
      <c r="B17175" s="7"/>
      <c r="C17175" s="7"/>
      <c r="D17175" s="7"/>
      <c r="E17175" s="7"/>
      <c r="F17175" s="7"/>
      <c r="G17175" s="7"/>
      <c r="H17175" s="7"/>
      <c r="I17175" s="7"/>
      <c r="J17175" s="7"/>
      <c r="K17175" s="7"/>
      <c r="L17175" s="7"/>
      <c r="M17175" s="7"/>
      <c r="N17175" s="7"/>
      <c r="O17175" s="7"/>
      <c r="P17175" s="7"/>
      <c r="Q17175" s="7"/>
      <c r="R17175" s="7"/>
      <c r="S17175" s="7"/>
      <c r="T17175" s="7"/>
      <c r="U17175" s="7"/>
      <c r="V17175" s="7"/>
      <c r="W17175" s="7"/>
      <c r="X17175" s="7"/>
      <c r="Y17175" s="7"/>
      <c r="Z17175" s="7"/>
      <c r="AA17175" s="7"/>
      <c r="AB17175" s="7"/>
      <c r="AC17175" s="7"/>
      <c r="AD17175" s="7"/>
      <c r="AE17175" s="7"/>
      <c r="AF17175" s="7"/>
    </row>
    <row r="17176" spans="1:32">
      <c r="A17176" s="7"/>
      <c r="B17176" s="7"/>
      <c r="C17176" s="7"/>
      <c r="D17176" s="7"/>
      <c r="E17176" s="7"/>
      <c r="F17176" s="7"/>
      <c r="G17176" s="7"/>
      <c r="H17176" s="7"/>
      <c r="I17176" s="7"/>
      <c r="J17176" s="7"/>
      <c r="K17176" s="7"/>
      <c r="L17176" s="7"/>
      <c r="M17176" s="7"/>
      <c r="N17176" s="7"/>
      <c r="O17176" s="7"/>
      <c r="P17176" s="7"/>
      <c r="Q17176" s="7"/>
      <c r="R17176" s="7"/>
      <c r="S17176" s="7"/>
      <c r="T17176" s="7"/>
      <c r="U17176" s="7"/>
      <c r="V17176" s="7"/>
      <c r="W17176" s="7"/>
      <c r="X17176" s="7"/>
      <c r="Y17176" s="7"/>
      <c r="Z17176" s="7"/>
      <c r="AA17176" s="7"/>
      <c r="AB17176" s="7"/>
      <c r="AC17176" s="7"/>
      <c r="AD17176" s="7"/>
      <c r="AE17176" s="7"/>
      <c r="AF17176" s="7"/>
    </row>
    <row r="17177" spans="1:32">
      <c r="A17177" s="7"/>
      <c r="B17177" s="7"/>
      <c r="C17177" s="7"/>
      <c r="D17177" s="7"/>
      <c r="E17177" s="7"/>
      <c r="F17177" s="7"/>
      <c r="G17177" s="7"/>
      <c r="H17177" s="7"/>
      <c r="I17177" s="7"/>
      <c r="J17177" s="7"/>
      <c r="K17177" s="7"/>
      <c r="L17177" s="7"/>
      <c r="M17177" s="7"/>
      <c r="N17177" s="7"/>
      <c r="O17177" s="7"/>
      <c r="P17177" s="7"/>
      <c r="Q17177" s="7"/>
      <c r="R17177" s="7"/>
      <c r="S17177" s="7"/>
      <c r="T17177" s="7"/>
      <c r="U17177" s="7"/>
      <c r="V17177" s="7"/>
      <c r="W17177" s="7"/>
      <c r="X17177" s="7"/>
      <c r="Y17177" s="7"/>
      <c r="Z17177" s="7"/>
      <c r="AA17177" s="7"/>
      <c r="AB17177" s="7"/>
      <c r="AC17177" s="7"/>
      <c r="AD17177" s="7"/>
      <c r="AE17177" s="7"/>
      <c r="AF17177" s="7"/>
    </row>
    <row r="17178" spans="1:32">
      <c r="A17178" s="7"/>
      <c r="B17178" s="7"/>
      <c r="C17178" s="7"/>
      <c r="D17178" s="7"/>
      <c r="E17178" s="7"/>
      <c r="F17178" s="7"/>
      <c r="G17178" s="7"/>
      <c r="H17178" s="7"/>
      <c r="I17178" s="7"/>
      <c r="J17178" s="7"/>
      <c r="K17178" s="7"/>
      <c r="L17178" s="7"/>
      <c r="M17178" s="7"/>
      <c r="N17178" s="7"/>
      <c r="O17178" s="7"/>
      <c r="P17178" s="7"/>
      <c r="Q17178" s="7"/>
      <c r="R17178" s="7"/>
      <c r="S17178" s="7"/>
      <c r="T17178" s="7"/>
      <c r="U17178" s="7"/>
      <c r="V17178" s="7"/>
      <c r="W17178" s="7"/>
      <c r="X17178" s="7"/>
      <c r="Y17178" s="7"/>
      <c r="Z17178" s="7"/>
      <c r="AA17178" s="7"/>
      <c r="AB17178" s="7"/>
      <c r="AC17178" s="7"/>
      <c r="AD17178" s="7"/>
      <c r="AE17178" s="7"/>
      <c r="AF17178" s="7"/>
    </row>
    <row r="17179" spans="1:32">
      <c r="A17179" s="7"/>
      <c r="B17179" s="7"/>
      <c r="C17179" s="7"/>
      <c r="D17179" s="7"/>
      <c r="E17179" s="7"/>
      <c r="F17179" s="7"/>
      <c r="G17179" s="7"/>
      <c r="H17179" s="7"/>
      <c r="I17179" s="7"/>
      <c r="J17179" s="7"/>
      <c r="K17179" s="7"/>
      <c r="L17179" s="7"/>
      <c r="M17179" s="7"/>
      <c r="N17179" s="7"/>
      <c r="O17179" s="7"/>
      <c r="P17179" s="7"/>
      <c r="Q17179" s="7"/>
      <c r="R17179" s="7"/>
      <c r="S17179" s="7"/>
      <c r="T17179" s="7"/>
      <c r="U17179" s="7"/>
      <c r="V17179" s="7"/>
      <c r="W17179" s="7"/>
      <c r="X17179" s="7"/>
      <c r="Y17179" s="7"/>
      <c r="Z17179" s="7"/>
      <c r="AA17179" s="7"/>
      <c r="AB17179" s="7"/>
      <c r="AC17179" s="7"/>
      <c r="AD17179" s="7"/>
      <c r="AE17179" s="7"/>
      <c r="AF17179" s="7"/>
    </row>
    <row r="17180" spans="1:32">
      <c r="A17180" s="7"/>
      <c r="B17180" s="7"/>
      <c r="C17180" s="7"/>
      <c r="D17180" s="7"/>
      <c r="E17180" s="7"/>
      <c r="F17180" s="7"/>
      <c r="G17180" s="7"/>
      <c r="H17180" s="7"/>
      <c r="I17180" s="7"/>
      <c r="J17180" s="7"/>
      <c r="K17180" s="7"/>
      <c r="L17180" s="7"/>
      <c r="M17180" s="7"/>
      <c r="N17180" s="7"/>
      <c r="O17180" s="7"/>
      <c r="P17180" s="7"/>
      <c r="Q17180" s="7"/>
      <c r="R17180" s="7"/>
      <c r="S17180" s="7"/>
      <c r="T17180" s="7"/>
      <c r="U17180" s="7"/>
      <c r="V17180" s="7"/>
      <c r="W17180" s="7"/>
      <c r="X17180" s="7"/>
      <c r="Y17180" s="7"/>
      <c r="Z17180" s="7"/>
      <c r="AA17180" s="7"/>
      <c r="AB17180" s="7"/>
      <c r="AC17180" s="7"/>
      <c r="AD17180" s="7"/>
      <c r="AE17180" s="7"/>
      <c r="AF17180" s="7"/>
    </row>
    <row r="17181" spans="1:32">
      <c r="A17181" s="7"/>
      <c r="B17181" s="7"/>
      <c r="C17181" s="7"/>
      <c r="D17181" s="7"/>
      <c r="E17181" s="7"/>
      <c r="F17181" s="7"/>
      <c r="G17181" s="7"/>
      <c r="H17181" s="7"/>
      <c r="I17181" s="7"/>
      <c r="J17181" s="7"/>
      <c r="K17181" s="7"/>
      <c r="L17181" s="7"/>
      <c r="M17181" s="7"/>
      <c r="N17181" s="7"/>
      <c r="O17181" s="7"/>
      <c r="P17181" s="7"/>
      <c r="Q17181" s="7"/>
      <c r="R17181" s="7"/>
      <c r="S17181" s="7"/>
      <c r="T17181" s="7"/>
      <c r="U17181" s="7"/>
      <c r="V17181" s="7"/>
      <c r="W17181" s="7"/>
      <c r="X17181" s="7"/>
      <c r="Y17181" s="7"/>
      <c r="Z17181" s="7"/>
      <c r="AA17181" s="7"/>
      <c r="AB17181" s="7"/>
      <c r="AC17181" s="7"/>
      <c r="AD17181" s="7"/>
      <c r="AE17181" s="7"/>
      <c r="AF17181" s="7"/>
    </row>
    <row r="17182" spans="1:32">
      <c r="A17182" s="7"/>
      <c r="B17182" s="7"/>
      <c r="C17182" s="7"/>
      <c r="D17182" s="7"/>
      <c r="E17182" s="7"/>
      <c r="F17182" s="7"/>
      <c r="G17182" s="7"/>
      <c r="H17182" s="7"/>
      <c r="I17182" s="7"/>
      <c r="J17182" s="7"/>
      <c r="K17182" s="7"/>
      <c r="L17182" s="7"/>
      <c r="M17182" s="7"/>
      <c r="N17182" s="7"/>
      <c r="O17182" s="7"/>
      <c r="P17182" s="7"/>
      <c r="Q17182" s="7"/>
      <c r="R17182" s="7"/>
      <c r="S17182" s="7"/>
      <c r="T17182" s="7"/>
      <c r="U17182" s="7"/>
      <c r="V17182" s="7"/>
      <c r="W17182" s="7"/>
      <c r="X17182" s="7"/>
      <c r="Y17182" s="7"/>
      <c r="Z17182" s="7"/>
      <c r="AA17182" s="7"/>
      <c r="AB17182" s="7"/>
      <c r="AC17182" s="7"/>
      <c r="AD17182" s="7"/>
      <c r="AE17182" s="7"/>
      <c r="AF17182" s="7"/>
    </row>
    <row r="17183" spans="1:32">
      <c r="A17183" s="7"/>
      <c r="B17183" s="7"/>
      <c r="C17183" s="7"/>
      <c r="D17183" s="7"/>
      <c r="E17183" s="7"/>
      <c r="F17183" s="7"/>
      <c r="G17183" s="7"/>
      <c r="H17183" s="7"/>
      <c r="I17183" s="7"/>
      <c r="J17183" s="7"/>
      <c r="K17183" s="7"/>
      <c r="L17183" s="7"/>
      <c r="M17183" s="7"/>
      <c r="N17183" s="7"/>
      <c r="O17183" s="7"/>
      <c r="P17183" s="7"/>
      <c r="Q17183" s="7"/>
      <c r="R17183" s="7"/>
      <c r="S17183" s="7"/>
      <c r="T17183" s="7"/>
      <c r="U17183" s="7"/>
      <c r="V17183" s="7"/>
      <c r="W17183" s="7"/>
      <c r="X17183" s="7"/>
      <c r="Y17183" s="7"/>
      <c r="Z17183" s="7"/>
      <c r="AA17183" s="7"/>
      <c r="AB17183" s="7"/>
      <c r="AC17183" s="7"/>
      <c r="AD17183" s="7"/>
      <c r="AE17183" s="7"/>
      <c r="AF17183" s="7"/>
    </row>
    <row r="17184" spans="1:32">
      <c r="A17184" s="7"/>
      <c r="B17184" s="7"/>
      <c r="C17184" s="7"/>
      <c r="D17184" s="7"/>
      <c r="E17184" s="7"/>
      <c r="F17184" s="7"/>
      <c r="G17184" s="7"/>
      <c r="H17184" s="7"/>
      <c r="I17184" s="7"/>
      <c r="J17184" s="7"/>
      <c r="K17184" s="7"/>
      <c r="L17184" s="7"/>
      <c r="M17184" s="7"/>
      <c r="N17184" s="7"/>
      <c r="O17184" s="7"/>
      <c r="P17184" s="7"/>
      <c r="Q17184" s="7"/>
      <c r="R17184" s="7"/>
      <c r="S17184" s="7"/>
      <c r="T17184" s="7"/>
      <c r="U17184" s="7"/>
      <c r="V17184" s="7"/>
      <c r="W17184" s="7"/>
      <c r="X17184" s="7"/>
      <c r="Y17184" s="7"/>
      <c r="Z17184" s="7"/>
      <c r="AA17184" s="7"/>
      <c r="AB17184" s="7"/>
      <c r="AC17184" s="7"/>
      <c r="AD17184" s="7"/>
      <c r="AE17184" s="7"/>
      <c r="AF17184" s="7"/>
    </row>
    <row r="17185" spans="1:32">
      <c r="A17185" s="7"/>
      <c r="B17185" s="7"/>
      <c r="C17185" s="7"/>
      <c r="D17185" s="7"/>
      <c r="E17185" s="7"/>
      <c r="F17185" s="7"/>
      <c r="G17185" s="7"/>
      <c r="H17185" s="7"/>
      <c r="I17185" s="7"/>
      <c r="J17185" s="7"/>
      <c r="K17185" s="7"/>
      <c r="L17185" s="7"/>
      <c r="M17185" s="7"/>
      <c r="N17185" s="7"/>
      <c r="O17185" s="7"/>
      <c r="P17185" s="7"/>
      <c r="Q17185" s="7"/>
      <c r="R17185" s="7"/>
      <c r="S17185" s="7"/>
      <c r="T17185" s="7"/>
      <c r="U17185" s="7"/>
      <c r="V17185" s="7"/>
      <c r="W17185" s="7"/>
      <c r="X17185" s="7"/>
      <c r="Y17185" s="7"/>
      <c r="Z17185" s="7"/>
      <c r="AA17185" s="7"/>
      <c r="AB17185" s="7"/>
      <c r="AC17185" s="7"/>
      <c r="AD17185" s="7"/>
      <c r="AE17185" s="7"/>
      <c r="AF17185" s="7"/>
    </row>
    <row r="17186" spans="1:32">
      <c r="A17186" s="7"/>
      <c r="B17186" s="7"/>
      <c r="C17186" s="7"/>
      <c r="D17186" s="7"/>
      <c r="E17186" s="7"/>
      <c r="F17186" s="7"/>
      <c r="G17186" s="7"/>
      <c r="H17186" s="7"/>
      <c r="I17186" s="7"/>
      <c r="J17186" s="7"/>
      <c r="K17186" s="7"/>
      <c r="L17186" s="7"/>
      <c r="M17186" s="7"/>
      <c r="N17186" s="7"/>
      <c r="O17186" s="7"/>
      <c r="P17186" s="7"/>
      <c r="Q17186" s="7"/>
      <c r="R17186" s="7"/>
      <c r="S17186" s="7"/>
      <c r="T17186" s="7"/>
      <c r="U17186" s="7"/>
      <c r="V17186" s="7"/>
      <c r="W17186" s="7"/>
      <c r="X17186" s="7"/>
      <c r="Y17186" s="7"/>
      <c r="Z17186" s="7"/>
      <c r="AA17186" s="7"/>
      <c r="AB17186" s="7"/>
      <c r="AC17186" s="7"/>
      <c r="AD17186" s="7"/>
      <c r="AE17186" s="7"/>
      <c r="AF17186" s="7"/>
    </row>
    <row r="17187" spans="1:32">
      <c r="A17187" s="7"/>
      <c r="B17187" s="7"/>
      <c r="C17187" s="7"/>
      <c r="D17187" s="7"/>
      <c r="E17187" s="7"/>
      <c r="F17187" s="7"/>
      <c r="G17187" s="7"/>
      <c r="H17187" s="7"/>
      <c r="I17187" s="7"/>
      <c r="J17187" s="7"/>
      <c r="K17187" s="7"/>
      <c r="L17187" s="7"/>
      <c r="M17187" s="7"/>
      <c r="N17187" s="7"/>
      <c r="O17187" s="7"/>
      <c r="P17187" s="7"/>
      <c r="Q17187" s="7"/>
      <c r="R17187" s="7"/>
      <c r="S17187" s="7"/>
      <c r="T17187" s="7"/>
      <c r="U17187" s="7"/>
      <c r="V17187" s="7"/>
      <c r="W17187" s="7"/>
      <c r="X17187" s="7"/>
      <c r="Y17187" s="7"/>
      <c r="Z17187" s="7"/>
      <c r="AA17187" s="7"/>
      <c r="AB17187" s="7"/>
      <c r="AC17187" s="7"/>
      <c r="AD17187" s="7"/>
      <c r="AE17187" s="7"/>
      <c r="AF17187" s="7"/>
    </row>
    <row r="17188" spans="1:32">
      <c r="A17188" s="7"/>
      <c r="B17188" s="7"/>
      <c r="C17188" s="7"/>
      <c r="D17188" s="7"/>
      <c r="E17188" s="7"/>
      <c r="F17188" s="7"/>
      <c r="G17188" s="7"/>
      <c r="H17188" s="7"/>
      <c r="I17188" s="7"/>
      <c r="J17188" s="7"/>
      <c r="K17188" s="7"/>
      <c r="L17188" s="7"/>
      <c r="M17188" s="7"/>
      <c r="N17188" s="7"/>
      <c r="O17188" s="7"/>
      <c r="P17188" s="7"/>
      <c r="Q17188" s="7"/>
      <c r="R17188" s="7"/>
      <c r="S17188" s="7"/>
      <c r="T17188" s="7"/>
      <c r="U17188" s="7"/>
      <c r="V17188" s="7"/>
      <c r="W17188" s="7"/>
      <c r="X17188" s="7"/>
      <c r="Y17188" s="7"/>
      <c r="Z17188" s="7"/>
      <c r="AA17188" s="7"/>
      <c r="AB17188" s="7"/>
      <c r="AC17188" s="7"/>
      <c r="AD17188" s="7"/>
      <c r="AE17188" s="7"/>
      <c r="AF17188" s="7"/>
    </row>
    <row r="17189" spans="1:32">
      <c r="A17189" s="7"/>
      <c r="B17189" s="7"/>
      <c r="C17189" s="7"/>
      <c r="D17189" s="7"/>
      <c r="E17189" s="7"/>
      <c r="F17189" s="7"/>
      <c r="G17189" s="7"/>
      <c r="H17189" s="7"/>
      <c r="I17189" s="7"/>
      <c r="J17189" s="7"/>
      <c r="K17189" s="7"/>
      <c r="L17189" s="7"/>
      <c r="M17189" s="7"/>
      <c r="N17189" s="7"/>
      <c r="O17189" s="7"/>
      <c r="P17189" s="7"/>
      <c r="Q17189" s="7"/>
      <c r="R17189" s="7"/>
      <c r="S17189" s="7"/>
      <c r="T17189" s="7"/>
      <c r="U17189" s="7"/>
      <c r="V17189" s="7"/>
      <c r="W17189" s="7"/>
      <c r="X17189" s="7"/>
      <c r="Y17189" s="7"/>
      <c r="Z17189" s="7"/>
      <c r="AA17189" s="7"/>
      <c r="AB17189" s="7"/>
      <c r="AC17189" s="7"/>
      <c r="AD17189" s="7"/>
      <c r="AE17189" s="7"/>
      <c r="AF17189" s="7"/>
    </row>
    <row r="17190" spans="1:32">
      <c r="A17190" s="7"/>
      <c r="B17190" s="7"/>
      <c r="C17190" s="7"/>
      <c r="D17190" s="7"/>
      <c r="E17190" s="7"/>
      <c r="F17190" s="7"/>
      <c r="G17190" s="7"/>
      <c r="H17190" s="7"/>
      <c r="I17190" s="7"/>
      <c r="J17190" s="7"/>
      <c r="K17190" s="7"/>
      <c r="L17190" s="7"/>
      <c r="M17190" s="7"/>
      <c r="N17190" s="7"/>
      <c r="O17190" s="7"/>
      <c r="P17190" s="7"/>
      <c r="Q17190" s="7"/>
      <c r="R17190" s="7"/>
      <c r="S17190" s="7"/>
      <c r="T17190" s="7"/>
      <c r="U17190" s="7"/>
      <c r="V17190" s="7"/>
      <c r="W17190" s="7"/>
      <c r="X17190" s="7"/>
      <c r="Y17190" s="7"/>
      <c r="Z17190" s="7"/>
      <c r="AA17190" s="7"/>
      <c r="AB17190" s="7"/>
      <c r="AC17190" s="7"/>
      <c r="AD17190" s="7"/>
      <c r="AE17190" s="7"/>
      <c r="AF17190" s="7"/>
    </row>
    <row r="17191" spans="1:32">
      <c r="A17191" s="7"/>
      <c r="B17191" s="7"/>
      <c r="C17191" s="7"/>
      <c r="D17191" s="7"/>
      <c r="E17191" s="7"/>
      <c r="F17191" s="7"/>
      <c r="G17191" s="7"/>
      <c r="H17191" s="7"/>
      <c r="I17191" s="7"/>
      <c r="J17191" s="7"/>
      <c r="K17191" s="7"/>
      <c r="L17191" s="7"/>
      <c r="M17191" s="7"/>
      <c r="N17191" s="7"/>
      <c r="O17191" s="7"/>
      <c r="P17191" s="7"/>
      <c r="Q17191" s="7"/>
      <c r="R17191" s="7"/>
      <c r="S17191" s="7"/>
      <c r="T17191" s="7"/>
      <c r="U17191" s="7"/>
      <c r="V17191" s="7"/>
      <c r="W17191" s="7"/>
      <c r="X17191" s="7"/>
      <c r="Y17191" s="7"/>
      <c r="Z17191" s="7"/>
      <c r="AA17191" s="7"/>
      <c r="AB17191" s="7"/>
      <c r="AC17191" s="7"/>
      <c r="AD17191" s="7"/>
      <c r="AE17191" s="7"/>
      <c r="AF17191" s="7"/>
    </row>
    <row r="17192" spans="1:32">
      <c r="A17192" s="7"/>
      <c r="B17192" s="7"/>
      <c r="C17192" s="7"/>
      <c r="D17192" s="7"/>
      <c r="E17192" s="7"/>
      <c r="F17192" s="7"/>
      <c r="G17192" s="7"/>
      <c r="H17192" s="7"/>
      <c r="I17192" s="7"/>
      <c r="J17192" s="7"/>
      <c r="K17192" s="7"/>
      <c r="L17192" s="7"/>
      <c r="M17192" s="7"/>
      <c r="N17192" s="7"/>
      <c r="O17192" s="7"/>
      <c r="P17192" s="7"/>
      <c r="Q17192" s="7"/>
      <c r="R17192" s="7"/>
      <c r="S17192" s="7"/>
      <c r="T17192" s="7"/>
      <c r="U17192" s="7"/>
      <c r="V17192" s="7"/>
      <c r="W17192" s="7"/>
      <c r="X17192" s="7"/>
      <c r="Y17192" s="7"/>
      <c r="Z17192" s="7"/>
      <c r="AA17192" s="7"/>
      <c r="AB17192" s="7"/>
      <c r="AC17192" s="7"/>
      <c r="AD17192" s="7"/>
      <c r="AE17192" s="7"/>
      <c r="AF17192" s="7"/>
    </row>
    <row r="17193" spans="1:32">
      <c r="A17193" s="7"/>
      <c r="B17193" s="7"/>
      <c r="C17193" s="7"/>
      <c r="D17193" s="7"/>
      <c r="E17193" s="7"/>
      <c r="F17193" s="7"/>
      <c r="G17193" s="7"/>
      <c r="H17193" s="7"/>
      <c r="I17193" s="7"/>
      <c r="J17193" s="7"/>
      <c r="K17193" s="7"/>
      <c r="L17193" s="7"/>
      <c r="M17193" s="7"/>
      <c r="N17193" s="7"/>
      <c r="O17193" s="7"/>
      <c r="P17193" s="7"/>
      <c r="Q17193" s="7"/>
      <c r="R17193" s="7"/>
      <c r="S17193" s="7"/>
      <c r="T17193" s="7"/>
      <c r="U17193" s="7"/>
      <c r="V17193" s="7"/>
      <c r="W17193" s="7"/>
      <c r="X17193" s="7"/>
      <c r="Y17193" s="7"/>
      <c r="Z17193" s="7"/>
      <c r="AA17193" s="7"/>
      <c r="AB17193" s="7"/>
      <c r="AC17193" s="7"/>
      <c r="AD17193" s="7"/>
      <c r="AE17193" s="7"/>
      <c r="AF17193" s="7"/>
    </row>
    <row r="17194" spans="1:32">
      <c r="A17194" s="7"/>
      <c r="B17194" s="7"/>
      <c r="C17194" s="7"/>
      <c r="D17194" s="7"/>
      <c r="E17194" s="7"/>
      <c r="F17194" s="7"/>
      <c r="G17194" s="7"/>
      <c r="H17194" s="7"/>
      <c r="I17194" s="7"/>
      <c r="J17194" s="7"/>
      <c r="K17194" s="7"/>
      <c r="L17194" s="7"/>
      <c r="M17194" s="7"/>
      <c r="N17194" s="7"/>
      <c r="O17194" s="7"/>
      <c r="P17194" s="7"/>
      <c r="Q17194" s="7"/>
      <c r="R17194" s="7"/>
      <c r="S17194" s="7"/>
      <c r="T17194" s="7"/>
      <c r="U17194" s="7"/>
      <c r="V17194" s="7"/>
      <c r="W17194" s="7"/>
      <c r="X17194" s="7"/>
      <c r="Y17194" s="7"/>
      <c r="Z17194" s="7"/>
      <c r="AA17194" s="7"/>
      <c r="AB17194" s="7"/>
      <c r="AC17194" s="7"/>
      <c r="AD17194" s="7"/>
      <c r="AE17194" s="7"/>
      <c r="AF17194" s="7"/>
    </row>
    <row r="17195" spans="1:32">
      <c r="A17195" s="7"/>
      <c r="B17195" s="7"/>
      <c r="C17195" s="7"/>
      <c r="D17195" s="7"/>
      <c r="E17195" s="7"/>
      <c r="F17195" s="7"/>
      <c r="G17195" s="7"/>
      <c r="H17195" s="7"/>
      <c r="I17195" s="7"/>
      <c r="J17195" s="7"/>
      <c r="K17195" s="7"/>
      <c r="L17195" s="7"/>
      <c r="M17195" s="7"/>
      <c r="N17195" s="7"/>
      <c r="O17195" s="7"/>
      <c r="P17195" s="7"/>
      <c r="Q17195" s="7"/>
      <c r="R17195" s="7"/>
      <c r="S17195" s="7"/>
      <c r="T17195" s="7"/>
      <c r="U17195" s="7"/>
      <c r="V17195" s="7"/>
      <c r="W17195" s="7"/>
      <c r="X17195" s="7"/>
      <c r="Y17195" s="7"/>
      <c r="Z17195" s="7"/>
      <c r="AA17195" s="7"/>
      <c r="AB17195" s="7"/>
      <c r="AC17195" s="7"/>
      <c r="AD17195" s="7"/>
      <c r="AE17195" s="7"/>
      <c r="AF17195" s="7"/>
    </row>
    <row r="17196" spans="1:32">
      <c r="A17196" s="7"/>
      <c r="B17196" s="7"/>
      <c r="C17196" s="7"/>
      <c r="D17196" s="7"/>
      <c r="E17196" s="7"/>
      <c r="F17196" s="7"/>
      <c r="G17196" s="7"/>
      <c r="H17196" s="7"/>
      <c r="I17196" s="7"/>
      <c r="J17196" s="7"/>
      <c r="K17196" s="7"/>
      <c r="L17196" s="7"/>
      <c r="M17196" s="7"/>
      <c r="N17196" s="7"/>
      <c r="O17196" s="7"/>
      <c r="P17196" s="7"/>
      <c r="Q17196" s="7"/>
      <c r="R17196" s="7"/>
      <c r="S17196" s="7"/>
      <c r="T17196" s="7"/>
      <c r="U17196" s="7"/>
      <c r="V17196" s="7"/>
      <c r="W17196" s="7"/>
      <c r="X17196" s="7"/>
      <c r="Y17196" s="7"/>
      <c r="Z17196" s="7"/>
      <c r="AA17196" s="7"/>
      <c r="AB17196" s="7"/>
      <c r="AC17196" s="7"/>
      <c r="AD17196" s="7"/>
      <c r="AE17196" s="7"/>
      <c r="AF17196" s="7"/>
    </row>
    <row r="17197" spans="1:32">
      <c r="A17197" s="7"/>
      <c r="B17197" s="7"/>
      <c r="C17197" s="7"/>
      <c r="D17197" s="7"/>
      <c r="E17197" s="7"/>
      <c r="F17197" s="7"/>
      <c r="G17197" s="7"/>
      <c r="H17197" s="7"/>
      <c r="I17197" s="7"/>
      <c r="J17197" s="7"/>
      <c r="K17197" s="7"/>
      <c r="L17197" s="7"/>
      <c r="M17197" s="7"/>
      <c r="N17197" s="7"/>
      <c r="O17197" s="7"/>
      <c r="P17197" s="7"/>
      <c r="Q17197" s="7"/>
      <c r="R17197" s="7"/>
      <c r="S17197" s="7"/>
      <c r="T17197" s="7"/>
      <c r="U17197" s="7"/>
      <c r="V17197" s="7"/>
      <c r="W17197" s="7"/>
      <c r="X17197" s="7"/>
      <c r="Y17197" s="7"/>
      <c r="Z17197" s="7"/>
      <c r="AA17197" s="7"/>
      <c r="AB17197" s="7"/>
      <c r="AC17197" s="7"/>
      <c r="AD17197" s="7"/>
      <c r="AE17197" s="7"/>
      <c r="AF17197" s="7"/>
    </row>
    <row r="17198" spans="1:32">
      <c r="A17198" s="7"/>
      <c r="B17198" s="7"/>
      <c r="C17198" s="7"/>
      <c r="D17198" s="7"/>
      <c r="E17198" s="7"/>
      <c r="F17198" s="7"/>
      <c r="G17198" s="7"/>
      <c r="H17198" s="7"/>
      <c r="I17198" s="7"/>
      <c r="J17198" s="7"/>
      <c r="K17198" s="7"/>
      <c r="L17198" s="7"/>
      <c r="M17198" s="7"/>
      <c r="N17198" s="7"/>
      <c r="O17198" s="7"/>
      <c r="P17198" s="7"/>
      <c r="Q17198" s="7"/>
      <c r="R17198" s="7"/>
      <c r="S17198" s="7"/>
      <c r="T17198" s="7"/>
      <c r="U17198" s="7"/>
      <c r="V17198" s="7"/>
      <c r="W17198" s="7"/>
      <c r="X17198" s="7"/>
      <c r="Y17198" s="7"/>
      <c r="Z17198" s="7"/>
      <c r="AA17198" s="7"/>
      <c r="AB17198" s="7"/>
      <c r="AC17198" s="7"/>
      <c r="AD17198" s="7"/>
      <c r="AE17198" s="7"/>
      <c r="AF17198" s="7"/>
    </row>
    <row r="17199" spans="1:32">
      <c r="A17199" s="7"/>
      <c r="B17199" s="7"/>
      <c r="C17199" s="7"/>
      <c r="D17199" s="7"/>
      <c r="E17199" s="7"/>
      <c r="F17199" s="7"/>
      <c r="G17199" s="7"/>
      <c r="H17199" s="7"/>
      <c r="I17199" s="7"/>
      <c r="J17199" s="7"/>
      <c r="K17199" s="7"/>
      <c r="L17199" s="7"/>
      <c r="M17199" s="7"/>
      <c r="N17199" s="7"/>
      <c r="O17199" s="7"/>
      <c r="P17199" s="7"/>
      <c r="Q17199" s="7"/>
      <c r="R17199" s="7"/>
      <c r="S17199" s="7"/>
      <c r="T17199" s="7"/>
      <c r="U17199" s="7"/>
      <c r="V17199" s="7"/>
      <c r="W17199" s="7"/>
      <c r="X17199" s="7"/>
      <c r="Y17199" s="7"/>
      <c r="Z17199" s="7"/>
      <c r="AA17199" s="7"/>
      <c r="AB17199" s="7"/>
      <c r="AC17199" s="7"/>
      <c r="AD17199" s="7"/>
      <c r="AE17199" s="7"/>
      <c r="AF17199" s="7"/>
    </row>
    <row r="17200" spans="1:32">
      <c r="A17200" s="7"/>
      <c r="B17200" s="7"/>
      <c r="C17200" s="7"/>
      <c r="D17200" s="7"/>
      <c r="E17200" s="7"/>
      <c r="F17200" s="7"/>
      <c r="G17200" s="7"/>
      <c r="H17200" s="7"/>
      <c r="I17200" s="7"/>
      <c r="J17200" s="7"/>
      <c r="K17200" s="7"/>
      <c r="L17200" s="7"/>
      <c r="M17200" s="7"/>
      <c r="N17200" s="7"/>
      <c r="O17200" s="7"/>
      <c r="P17200" s="7"/>
      <c r="Q17200" s="7"/>
      <c r="R17200" s="7"/>
      <c r="S17200" s="7"/>
      <c r="T17200" s="7"/>
      <c r="U17200" s="7"/>
      <c r="V17200" s="7"/>
      <c r="W17200" s="7"/>
      <c r="X17200" s="7"/>
      <c r="Y17200" s="7"/>
      <c r="Z17200" s="7"/>
      <c r="AA17200" s="7"/>
      <c r="AB17200" s="7"/>
      <c r="AC17200" s="7"/>
      <c r="AD17200" s="7"/>
      <c r="AE17200" s="7"/>
      <c r="AF17200" s="7"/>
    </row>
    <row r="17201" spans="1:32">
      <c r="A17201" s="7"/>
      <c r="B17201" s="7"/>
      <c r="C17201" s="7"/>
      <c r="D17201" s="7"/>
      <c r="E17201" s="7"/>
      <c r="F17201" s="7"/>
      <c r="G17201" s="7"/>
      <c r="H17201" s="7"/>
      <c r="I17201" s="7"/>
      <c r="J17201" s="7"/>
      <c r="K17201" s="7"/>
      <c r="L17201" s="7"/>
      <c r="M17201" s="7"/>
      <c r="N17201" s="7"/>
      <c r="O17201" s="7"/>
      <c r="P17201" s="7"/>
      <c r="Q17201" s="7"/>
      <c r="R17201" s="7"/>
      <c r="S17201" s="7"/>
      <c r="T17201" s="7"/>
      <c r="U17201" s="7"/>
      <c r="V17201" s="7"/>
      <c r="W17201" s="7"/>
      <c r="X17201" s="7"/>
      <c r="Y17201" s="7"/>
      <c r="Z17201" s="7"/>
      <c r="AA17201" s="7"/>
      <c r="AB17201" s="7"/>
      <c r="AC17201" s="7"/>
      <c r="AD17201" s="7"/>
      <c r="AE17201" s="7"/>
      <c r="AF17201" s="7"/>
    </row>
    <row r="17202" spans="1:32">
      <c r="A17202" s="7"/>
      <c r="B17202" s="7"/>
      <c r="C17202" s="7"/>
      <c r="D17202" s="7"/>
      <c r="E17202" s="7"/>
      <c r="F17202" s="7"/>
      <c r="G17202" s="7"/>
      <c r="H17202" s="7"/>
      <c r="I17202" s="7"/>
      <c r="J17202" s="7"/>
      <c r="K17202" s="7"/>
      <c r="L17202" s="7"/>
      <c r="M17202" s="7"/>
      <c r="N17202" s="7"/>
      <c r="O17202" s="7"/>
      <c r="P17202" s="7"/>
      <c r="Q17202" s="7"/>
      <c r="R17202" s="7"/>
      <c r="S17202" s="7"/>
      <c r="T17202" s="7"/>
      <c r="U17202" s="7"/>
      <c r="V17202" s="7"/>
      <c r="W17202" s="7"/>
      <c r="X17202" s="7"/>
      <c r="Y17202" s="7"/>
      <c r="Z17202" s="7"/>
      <c r="AA17202" s="7"/>
      <c r="AB17202" s="7"/>
      <c r="AC17202" s="7"/>
      <c r="AD17202" s="7"/>
      <c r="AE17202" s="7"/>
      <c r="AF17202" s="7"/>
    </row>
    <row r="17203" spans="1:32">
      <c r="A17203" s="7"/>
      <c r="B17203" s="7"/>
      <c r="C17203" s="7"/>
      <c r="D17203" s="7"/>
      <c r="E17203" s="7"/>
      <c r="F17203" s="7"/>
      <c r="G17203" s="7"/>
      <c r="H17203" s="7"/>
      <c r="I17203" s="7"/>
      <c r="J17203" s="7"/>
      <c r="K17203" s="7"/>
      <c r="L17203" s="7"/>
      <c r="M17203" s="7"/>
      <c r="N17203" s="7"/>
      <c r="O17203" s="7"/>
      <c r="P17203" s="7"/>
      <c r="Q17203" s="7"/>
      <c r="R17203" s="7"/>
      <c r="S17203" s="7"/>
      <c r="T17203" s="7"/>
      <c r="U17203" s="7"/>
      <c r="V17203" s="7"/>
      <c r="W17203" s="7"/>
      <c r="X17203" s="7"/>
      <c r="Y17203" s="7"/>
      <c r="Z17203" s="7"/>
      <c r="AA17203" s="7"/>
      <c r="AB17203" s="7"/>
      <c r="AC17203" s="7"/>
      <c r="AD17203" s="7"/>
      <c r="AE17203" s="7"/>
      <c r="AF17203" s="7"/>
    </row>
    <row r="17204" spans="1:32">
      <c r="A17204" s="7"/>
      <c r="B17204" s="7"/>
      <c r="C17204" s="7"/>
      <c r="D17204" s="7"/>
      <c r="E17204" s="7"/>
      <c r="F17204" s="7"/>
      <c r="G17204" s="7"/>
      <c r="H17204" s="7"/>
      <c r="I17204" s="7"/>
      <c r="J17204" s="7"/>
      <c r="K17204" s="7"/>
      <c r="L17204" s="7"/>
      <c r="M17204" s="7"/>
      <c r="N17204" s="7"/>
      <c r="O17204" s="7"/>
      <c r="P17204" s="7"/>
      <c r="Q17204" s="7"/>
      <c r="R17204" s="7"/>
      <c r="S17204" s="7"/>
      <c r="T17204" s="7"/>
      <c r="U17204" s="7"/>
      <c r="V17204" s="7"/>
      <c r="W17204" s="7"/>
      <c r="X17204" s="7"/>
      <c r="Y17204" s="7"/>
      <c r="Z17204" s="7"/>
      <c r="AA17204" s="7"/>
      <c r="AB17204" s="7"/>
      <c r="AC17204" s="7"/>
      <c r="AD17204" s="7"/>
      <c r="AE17204" s="7"/>
      <c r="AF17204" s="7"/>
    </row>
    <row r="17205" spans="1:32">
      <c r="A17205" s="7"/>
      <c r="B17205" s="7"/>
      <c r="C17205" s="7"/>
      <c r="D17205" s="7"/>
      <c r="E17205" s="7"/>
      <c r="F17205" s="7"/>
      <c r="G17205" s="7"/>
      <c r="H17205" s="7"/>
      <c r="I17205" s="7"/>
      <c r="J17205" s="7"/>
      <c r="K17205" s="7"/>
      <c r="L17205" s="7"/>
      <c r="M17205" s="7"/>
      <c r="N17205" s="7"/>
      <c r="O17205" s="7"/>
      <c r="P17205" s="7"/>
      <c r="Q17205" s="7"/>
      <c r="R17205" s="7"/>
      <c r="S17205" s="7"/>
      <c r="T17205" s="7"/>
      <c r="U17205" s="7"/>
      <c r="V17205" s="7"/>
      <c r="W17205" s="7"/>
      <c r="X17205" s="7"/>
      <c r="Y17205" s="7"/>
      <c r="Z17205" s="7"/>
      <c r="AA17205" s="7"/>
      <c r="AB17205" s="7"/>
      <c r="AC17205" s="7"/>
      <c r="AD17205" s="7"/>
      <c r="AE17205" s="7"/>
      <c r="AF17205" s="7"/>
    </row>
    <row r="17206" spans="1:32">
      <c r="A17206" s="7"/>
      <c r="B17206" s="7"/>
      <c r="C17206" s="7"/>
      <c r="D17206" s="7"/>
      <c r="E17206" s="7"/>
      <c r="F17206" s="7"/>
      <c r="G17206" s="7"/>
      <c r="H17206" s="7"/>
      <c r="I17206" s="7"/>
      <c r="J17206" s="7"/>
      <c r="K17206" s="7"/>
      <c r="L17206" s="7"/>
      <c r="M17206" s="7"/>
      <c r="N17206" s="7"/>
      <c r="O17206" s="7"/>
      <c r="P17206" s="7"/>
      <c r="Q17206" s="7"/>
      <c r="R17206" s="7"/>
      <c r="S17206" s="7"/>
      <c r="T17206" s="7"/>
      <c r="U17206" s="7"/>
      <c r="V17206" s="7"/>
      <c r="W17206" s="7"/>
      <c r="X17206" s="7"/>
      <c r="Y17206" s="7"/>
      <c r="Z17206" s="7"/>
      <c r="AA17206" s="7"/>
      <c r="AB17206" s="7"/>
      <c r="AC17206" s="7"/>
      <c r="AD17206" s="7"/>
      <c r="AE17206" s="7"/>
      <c r="AF17206" s="7"/>
    </row>
    <row r="17207" spans="1:32">
      <c r="A17207" s="7"/>
      <c r="B17207" s="7"/>
      <c r="C17207" s="7"/>
      <c r="D17207" s="7"/>
      <c r="E17207" s="7"/>
      <c r="F17207" s="7"/>
      <c r="G17207" s="7"/>
      <c r="H17207" s="7"/>
      <c r="I17207" s="7"/>
      <c r="J17207" s="7"/>
      <c r="K17207" s="7"/>
      <c r="L17207" s="7"/>
      <c r="M17207" s="7"/>
      <c r="N17207" s="7"/>
      <c r="O17207" s="7"/>
      <c r="P17207" s="7"/>
      <c r="Q17207" s="7"/>
      <c r="R17207" s="7"/>
      <c r="S17207" s="7"/>
      <c r="T17207" s="7"/>
      <c r="U17207" s="7"/>
      <c r="V17207" s="7"/>
      <c r="W17207" s="7"/>
      <c r="X17207" s="7"/>
      <c r="Y17207" s="7"/>
      <c r="Z17207" s="7"/>
      <c r="AA17207" s="7"/>
      <c r="AB17207" s="7"/>
      <c r="AC17207" s="7"/>
      <c r="AD17207" s="7"/>
      <c r="AE17207" s="7"/>
      <c r="AF17207" s="7"/>
    </row>
    <row r="17208" spans="1:32">
      <c r="A17208" s="7"/>
      <c r="B17208" s="7"/>
      <c r="C17208" s="7"/>
      <c r="D17208" s="7"/>
      <c r="E17208" s="7"/>
      <c r="F17208" s="7"/>
      <c r="G17208" s="7"/>
      <c r="H17208" s="7"/>
      <c r="I17208" s="7"/>
      <c r="J17208" s="7"/>
      <c r="K17208" s="7"/>
      <c r="L17208" s="7"/>
      <c r="M17208" s="7"/>
      <c r="N17208" s="7"/>
      <c r="O17208" s="7"/>
      <c r="P17208" s="7"/>
      <c r="Q17208" s="7"/>
      <c r="R17208" s="7"/>
      <c r="S17208" s="7"/>
      <c r="T17208" s="7"/>
      <c r="U17208" s="7"/>
      <c r="V17208" s="7"/>
      <c r="W17208" s="7"/>
      <c r="X17208" s="7"/>
      <c r="Y17208" s="7"/>
      <c r="Z17208" s="7"/>
      <c r="AA17208" s="7"/>
      <c r="AB17208" s="7"/>
      <c r="AC17208" s="7"/>
      <c r="AD17208" s="7"/>
      <c r="AE17208" s="7"/>
      <c r="AF17208" s="7"/>
    </row>
    <row r="17209" spans="1:32">
      <c r="A17209" s="7"/>
      <c r="B17209" s="7"/>
      <c r="C17209" s="7"/>
      <c r="D17209" s="7"/>
      <c r="E17209" s="7"/>
      <c r="F17209" s="7"/>
      <c r="G17209" s="7"/>
      <c r="H17209" s="7"/>
      <c r="I17209" s="7"/>
      <c r="J17209" s="7"/>
      <c r="K17209" s="7"/>
      <c r="L17209" s="7"/>
      <c r="M17209" s="7"/>
      <c r="N17209" s="7"/>
      <c r="O17209" s="7"/>
      <c r="P17209" s="7"/>
      <c r="Q17209" s="7"/>
      <c r="R17209" s="7"/>
      <c r="S17209" s="7"/>
      <c r="T17209" s="7"/>
      <c r="U17209" s="7"/>
      <c r="V17209" s="7"/>
      <c r="W17209" s="7"/>
      <c r="X17209" s="7"/>
      <c r="Y17209" s="7"/>
      <c r="Z17209" s="7"/>
      <c r="AA17209" s="7"/>
      <c r="AB17209" s="7"/>
      <c r="AC17209" s="7"/>
      <c r="AD17209" s="7"/>
      <c r="AE17209" s="7"/>
      <c r="AF17209" s="7"/>
    </row>
    <row r="17210" spans="1:32">
      <c r="A17210" s="7"/>
      <c r="B17210" s="7"/>
      <c r="C17210" s="7"/>
      <c r="D17210" s="7"/>
      <c r="E17210" s="7"/>
      <c r="F17210" s="7"/>
      <c r="G17210" s="7"/>
      <c r="H17210" s="7"/>
      <c r="I17210" s="7"/>
      <c r="J17210" s="7"/>
      <c r="K17210" s="7"/>
      <c r="L17210" s="7"/>
      <c r="M17210" s="7"/>
      <c r="N17210" s="7"/>
      <c r="O17210" s="7"/>
      <c r="P17210" s="7"/>
      <c r="Q17210" s="7"/>
      <c r="R17210" s="7"/>
      <c r="S17210" s="7"/>
      <c r="T17210" s="7"/>
      <c r="U17210" s="7"/>
      <c r="V17210" s="7"/>
      <c r="W17210" s="7"/>
      <c r="X17210" s="7"/>
      <c r="Y17210" s="7"/>
      <c r="Z17210" s="7"/>
      <c r="AA17210" s="7"/>
      <c r="AB17210" s="7"/>
      <c r="AC17210" s="7"/>
      <c r="AD17210" s="7"/>
      <c r="AE17210" s="7"/>
      <c r="AF17210" s="7"/>
    </row>
    <row r="17211" spans="1:32">
      <c r="A17211" s="7"/>
      <c r="B17211" s="7"/>
      <c r="C17211" s="7"/>
      <c r="D17211" s="7"/>
      <c r="E17211" s="7"/>
      <c r="F17211" s="7"/>
      <c r="G17211" s="7"/>
      <c r="H17211" s="7"/>
      <c r="I17211" s="7"/>
      <c r="J17211" s="7"/>
      <c r="K17211" s="7"/>
      <c r="L17211" s="7"/>
      <c r="M17211" s="7"/>
      <c r="N17211" s="7"/>
      <c r="O17211" s="7"/>
      <c r="P17211" s="7"/>
      <c r="Q17211" s="7"/>
      <c r="R17211" s="7"/>
      <c r="S17211" s="7"/>
      <c r="T17211" s="7"/>
      <c r="U17211" s="7"/>
      <c r="V17211" s="7"/>
      <c r="W17211" s="7"/>
      <c r="X17211" s="7"/>
      <c r="Y17211" s="7"/>
      <c r="Z17211" s="7"/>
      <c r="AA17211" s="7"/>
      <c r="AB17211" s="7"/>
      <c r="AC17211" s="7"/>
      <c r="AD17211" s="7"/>
      <c r="AE17211" s="7"/>
      <c r="AF17211" s="7"/>
    </row>
    <row r="17212" spans="1:32">
      <c r="A17212" s="7"/>
      <c r="B17212" s="7"/>
      <c r="C17212" s="7"/>
      <c r="D17212" s="7"/>
      <c r="E17212" s="7"/>
      <c r="F17212" s="7"/>
      <c r="G17212" s="7"/>
      <c r="H17212" s="7"/>
      <c r="I17212" s="7"/>
      <c r="J17212" s="7"/>
      <c r="K17212" s="7"/>
      <c r="L17212" s="7"/>
      <c r="M17212" s="7"/>
      <c r="N17212" s="7"/>
      <c r="O17212" s="7"/>
      <c r="P17212" s="7"/>
      <c r="Q17212" s="7"/>
      <c r="R17212" s="7"/>
      <c r="S17212" s="7"/>
      <c r="T17212" s="7"/>
      <c r="U17212" s="7"/>
      <c r="V17212" s="7"/>
      <c r="W17212" s="7"/>
      <c r="X17212" s="7"/>
      <c r="Y17212" s="7"/>
      <c r="Z17212" s="7"/>
      <c r="AA17212" s="7"/>
      <c r="AB17212" s="7"/>
      <c r="AC17212" s="7"/>
      <c r="AD17212" s="7"/>
      <c r="AE17212" s="7"/>
      <c r="AF17212" s="7"/>
    </row>
    <row r="17213" spans="1:32">
      <c r="A17213" s="7"/>
      <c r="B17213" s="7"/>
      <c r="C17213" s="7"/>
      <c r="D17213" s="7"/>
      <c r="E17213" s="7"/>
      <c r="F17213" s="7"/>
      <c r="G17213" s="7"/>
      <c r="H17213" s="7"/>
      <c r="I17213" s="7"/>
      <c r="J17213" s="7"/>
      <c r="K17213" s="7"/>
      <c r="L17213" s="7"/>
      <c r="M17213" s="7"/>
      <c r="N17213" s="7"/>
      <c r="O17213" s="7"/>
      <c r="P17213" s="7"/>
      <c r="Q17213" s="7"/>
      <c r="R17213" s="7"/>
      <c r="S17213" s="7"/>
      <c r="T17213" s="7"/>
      <c r="U17213" s="7"/>
      <c r="V17213" s="7"/>
      <c r="W17213" s="7"/>
      <c r="X17213" s="7"/>
      <c r="Y17213" s="7"/>
      <c r="Z17213" s="7"/>
      <c r="AA17213" s="7"/>
      <c r="AB17213" s="7"/>
      <c r="AC17213" s="7"/>
      <c r="AD17213" s="7"/>
      <c r="AE17213" s="7"/>
      <c r="AF17213" s="7"/>
    </row>
    <row r="17214" spans="1:32">
      <c r="A17214" s="7"/>
      <c r="B17214" s="7"/>
      <c r="C17214" s="7"/>
      <c r="D17214" s="7"/>
      <c r="E17214" s="7"/>
      <c r="F17214" s="7"/>
      <c r="G17214" s="7"/>
      <c r="H17214" s="7"/>
      <c r="I17214" s="7"/>
      <c r="J17214" s="7"/>
      <c r="K17214" s="7"/>
      <c r="L17214" s="7"/>
      <c r="M17214" s="7"/>
      <c r="N17214" s="7"/>
      <c r="O17214" s="7"/>
      <c r="P17214" s="7"/>
      <c r="Q17214" s="7"/>
      <c r="R17214" s="7"/>
      <c r="S17214" s="7"/>
      <c r="T17214" s="7"/>
      <c r="U17214" s="7"/>
      <c r="V17214" s="7"/>
      <c r="W17214" s="7"/>
      <c r="X17214" s="7"/>
      <c r="Y17214" s="7"/>
      <c r="Z17214" s="7"/>
      <c r="AA17214" s="7"/>
      <c r="AB17214" s="7"/>
      <c r="AC17214" s="7"/>
      <c r="AD17214" s="7"/>
      <c r="AE17214" s="7"/>
      <c r="AF17214" s="7"/>
    </row>
    <row r="17215" spans="1:32">
      <c r="A17215" s="7"/>
      <c r="B17215" s="7"/>
      <c r="C17215" s="7"/>
      <c r="D17215" s="7"/>
      <c r="E17215" s="7"/>
      <c r="F17215" s="7"/>
      <c r="G17215" s="7"/>
      <c r="H17215" s="7"/>
      <c r="I17215" s="7"/>
      <c r="J17215" s="7"/>
      <c r="K17215" s="7"/>
      <c r="L17215" s="7"/>
      <c r="M17215" s="7"/>
      <c r="N17215" s="7"/>
      <c r="O17215" s="7"/>
      <c r="P17215" s="7"/>
      <c r="Q17215" s="7"/>
      <c r="R17215" s="7"/>
      <c r="S17215" s="7"/>
      <c r="T17215" s="7"/>
      <c r="U17215" s="7"/>
      <c r="V17215" s="7"/>
      <c r="W17215" s="7"/>
      <c r="X17215" s="7"/>
      <c r="Y17215" s="7"/>
      <c r="Z17215" s="7"/>
      <c r="AA17215" s="7"/>
      <c r="AB17215" s="7"/>
      <c r="AC17215" s="7"/>
      <c r="AD17215" s="7"/>
      <c r="AE17215" s="7"/>
      <c r="AF17215" s="7"/>
    </row>
    <row r="17216" spans="1:32">
      <c r="A17216" s="7"/>
      <c r="B17216" s="7"/>
      <c r="C17216" s="7"/>
      <c r="D17216" s="7"/>
      <c r="E17216" s="7"/>
      <c r="F17216" s="7"/>
      <c r="G17216" s="7"/>
      <c r="H17216" s="7"/>
      <c r="I17216" s="7"/>
      <c r="J17216" s="7"/>
      <c r="K17216" s="7"/>
      <c r="L17216" s="7"/>
      <c r="M17216" s="7"/>
      <c r="N17216" s="7"/>
      <c r="O17216" s="7"/>
      <c r="P17216" s="7"/>
      <c r="Q17216" s="7"/>
      <c r="R17216" s="7"/>
      <c r="S17216" s="7"/>
      <c r="T17216" s="7"/>
      <c r="U17216" s="7"/>
      <c r="V17216" s="7"/>
      <c r="W17216" s="7"/>
      <c r="X17216" s="7"/>
      <c r="Y17216" s="7"/>
      <c r="Z17216" s="7"/>
      <c r="AA17216" s="7"/>
      <c r="AB17216" s="7"/>
      <c r="AC17216" s="7"/>
      <c r="AD17216" s="7"/>
      <c r="AE17216" s="7"/>
      <c r="AF17216" s="7"/>
    </row>
    <row r="17217" spans="1:32">
      <c r="A17217" s="7"/>
      <c r="B17217" s="7"/>
      <c r="C17217" s="7"/>
      <c r="D17217" s="7"/>
      <c r="E17217" s="7"/>
      <c r="F17217" s="7"/>
      <c r="G17217" s="7"/>
      <c r="H17217" s="7"/>
      <c r="I17217" s="7"/>
      <c r="J17217" s="7"/>
      <c r="K17217" s="7"/>
      <c r="L17217" s="7"/>
      <c r="M17217" s="7"/>
      <c r="N17217" s="7"/>
      <c r="O17217" s="7"/>
      <c r="P17217" s="7"/>
      <c r="Q17217" s="7"/>
      <c r="R17217" s="7"/>
      <c r="S17217" s="7"/>
      <c r="T17217" s="7"/>
      <c r="U17217" s="7"/>
      <c r="V17217" s="7"/>
      <c r="W17217" s="7"/>
      <c r="X17217" s="7"/>
      <c r="Y17217" s="7"/>
      <c r="Z17217" s="7"/>
      <c r="AA17217" s="7"/>
      <c r="AB17217" s="7"/>
      <c r="AC17217" s="7"/>
      <c r="AD17217" s="7"/>
      <c r="AE17217" s="7"/>
      <c r="AF17217" s="7"/>
    </row>
    <row r="17218" spans="1:32">
      <c r="A17218" s="7"/>
      <c r="B17218" s="7"/>
      <c r="C17218" s="7"/>
      <c r="D17218" s="7"/>
      <c r="E17218" s="7"/>
      <c r="F17218" s="7"/>
      <c r="G17218" s="7"/>
      <c r="H17218" s="7"/>
      <c r="I17218" s="7"/>
      <c r="J17218" s="7"/>
      <c r="K17218" s="7"/>
      <c r="L17218" s="7"/>
      <c r="M17218" s="7"/>
      <c r="N17218" s="7"/>
      <c r="O17218" s="7"/>
      <c r="P17218" s="7"/>
      <c r="Q17218" s="7"/>
      <c r="R17218" s="7"/>
      <c r="S17218" s="7"/>
      <c r="T17218" s="7"/>
      <c r="U17218" s="7"/>
      <c r="V17218" s="7"/>
      <c r="W17218" s="7"/>
      <c r="X17218" s="7"/>
      <c r="Y17218" s="7"/>
      <c r="Z17218" s="7"/>
      <c r="AA17218" s="7"/>
      <c r="AB17218" s="7"/>
      <c r="AC17218" s="7"/>
      <c r="AD17218" s="7"/>
      <c r="AE17218" s="7"/>
      <c r="AF17218" s="7"/>
    </row>
    <row r="17219" spans="1:32">
      <c r="A17219" s="7"/>
      <c r="B17219" s="7"/>
      <c r="C17219" s="7"/>
      <c r="D17219" s="7"/>
      <c r="E17219" s="7"/>
      <c r="F17219" s="7"/>
      <c r="G17219" s="7"/>
      <c r="H17219" s="7"/>
      <c r="I17219" s="7"/>
      <c r="J17219" s="7"/>
      <c r="K17219" s="7"/>
      <c r="L17219" s="7"/>
      <c r="M17219" s="7"/>
      <c r="N17219" s="7"/>
      <c r="O17219" s="7"/>
      <c r="P17219" s="7"/>
      <c r="Q17219" s="7"/>
      <c r="R17219" s="7"/>
      <c r="S17219" s="7"/>
      <c r="T17219" s="7"/>
      <c r="U17219" s="7"/>
      <c r="V17219" s="7"/>
      <c r="W17219" s="7"/>
      <c r="X17219" s="7"/>
      <c r="Y17219" s="7"/>
      <c r="Z17219" s="7"/>
      <c r="AA17219" s="7"/>
      <c r="AB17219" s="7"/>
      <c r="AC17219" s="7"/>
      <c r="AD17219" s="7"/>
      <c r="AE17219" s="7"/>
      <c r="AF17219" s="7"/>
    </row>
    <row r="17220" spans="1:32">
      <c r="A17220" s="7"/>
      <c r="B17220" s="7"/>
      <c r="C17220" s="7"/>
      <c r="D17220" s="7"/>
      <c r="E17220" s="7"/>
      <c r="F17220" s="7"/>
      <c r="G17220" s="7"/>
      <c r="H17220" s="7"/>
      <c r="I17220" s="7"/>
      <c r="J17220" s="7"/>
      <c r="K17220" s="7"/>
      <c r="L17220" s="7"/>
      <c r="M17220" s="7"/>
      <c r="N17220" s="7"/>
      <c r="O17220" s="7"/>
      <c r="P17220" s="7"/>
      <c r="Q17220" s="7"/>
      <c r="R17220" s="7"/>
      <c r="S17220" s="7"/>
      <c r="T17220" s="7"/>
      <c r="U17220" s="7"/>
      <c r="V17220" s="7"/>
      <c r="W17220" s="7"/>
      <c r="X17220" s="7"/>
      <c r="Y17220" s="7"/>
      <c r="Z17220" s="7"/>
      <c r="AA17220" s="7"/>
      <c r="AB17220" s="7"/>
      <c r="AC17220" s="7"/>
      <c r="AD17220" s="7"/>
      <c r="AE17220" s="7"/>
      <c r="AF17220" s="7"/>
    </row>
    <row r="17221" spans="1:32">
      <c r="A17221" s="7"/>
      <c r="B17221" s="7"/>
      <c r="C17221" s="7"/>
      <c r="D17221" s="7"/>
      <c r="E17221" s="7"/>
      <c r="F17221" s="7"/>
      <c r="G17221" s="7"/>
      <c r="H17221" s="7"/>
      <c r="I17221" s="7"/>
      <c r="J17221" s="7"/>
      <c r="K17221" s="7"/>
      <c r="L17221" s="7"/>
      <c r="M17221" s="7"/>
      <c r="N17221" s="7"/>
      <c r="O17221" s="7"/>
      <c r="P17221" s="7"/>
      <c r="Q17221" s="7"/>
      <c r="R17221" s="7"/>
      <c r="S17221" s="7"/>
      <c r="T17221" s="7"/>
      <c r="U17221" s="7"/>
      <c r="V17221" s="7"/>
      <c r="W17221" s="7"/>
      <c r="X17221" s="7"/>
      <c r="Y17221" s="7"/>
      <c r="Z17221" s="7"/>
      <c r="AA17221" s="7"/>
      <c r="AB17221" s="7"/>
      <c r="AC17221" s="7"/>
      <c r="AD17221" s="7"/>
      <c r="AE17221" s="7"/>
      <c r="AF17221" s="7"/>
    </row>
    <row r="17222" spans="1:32">
      <c r="A17222" s="7"/>
      <c r="B17222" s="7"/>
      <c r="C17222" s="7"/>
      <c r="D17222" s="7"/>
      <c r="E17222" s="7"/>
      <c r="F17222" s="7"/>
      <c r="G17222" s="7"/>
      <c r="H17222" s="7"/>
      <c r="I17222" s="7"/>
      <c r="J17222" s="7"/>
      <c r="K17222" s="7"/>
      <c r="L17222" s="7"/>
      <c r="M17222" s="7"/>
      <c r="N17222" s="7"/>
      <c r="O17222" s="7"/>
      <c r="P17222" s="7"/>
      <c r="Q17222" s="7"/>
      <c r="R17222" s="7"/>
      <c r="S17222" s="7"/>
      <c r="T17222" s="7"/>
      <c r="U17222" s="7"/>
      <c r="V17222" s="7"/>
      <c r="W17222" s="7"/>
      <c r="X17222" s="7"/>
      <c r="Y17222" s="7"/>
      <c r="Z17222" s="7"/>
      <c r="AA17222" s="7"/>
      <c r="AB17222" s="7"/>
      <c r="AC17222" s="7"/>
      <c r="AD17222" s="7"/>
      <c r="AE17222" s="7"/>
      <c r="AF17222" s="7"/>
    </row>
    <row r="17223" spans="1:32">
      <c r="A17223" s="7"/>
      <c r="B17223" s="7"/>
      <c r="C17223" s="7"/>
      <c r="D17223" s="7"/>
      <c r="E17223" s="7"/>
      <c r="F17223" s="7"/>
      <c r="G17223" s="7"/>
      <c r="H17223" s="7"/>
      <c r="I17223" s="7"/>
      <c r="J17223" s="7"/>
      <c r="K17223" s="7"/>
      <c r="L17223" s="7"/>
      <c r="M17223" s="7"/>
      <c r="N17223" s="7"/>
      <c r="O17223" s="7"/>
      <c r="P17223" s="7"/>
      <c r="Q17223" s="7"/>
      <c r="R17223" s="7"/>
      <c r="S17223" s="7"/>
      <c r="T17223" s="7"/>
      <c r="U17223" s="7"/>
      <c r="V17223" s="7"/>
      <c r="W17223" s="7"/>
      <c r="X17223" s="7"/>
      <c r="Y17223" s="7"/>
      <c r="Z17223" s="7"/>
      <c r="AA17223" s="7"/>
      <c r="AB17223" s="7"/>
      <c r="AC17223" s="7"/>
      <c r="AD17223" s="7"/>
      <c r="AE17223" s="7"/>
      <c r="AF17223" s="7"/>
    </row>
    <row r="17224" spans="1:32">
      <c r="A17224" s="7"/>
      <c r="B17224" s="7"/>
      <c r="C17224" s="7"/>
      <c r="D17224" s="7"/>
      <c r="E17224" s="7"/>
      <c r="F17224" s="7"/>
      <c r="G17224" s="7"/>
      <c r="H17224" s="7"/>
      <c r="I17224" s="7"/>
      <c r="J17224" s="7"/>
      <c r="K17224" s="7"/>
      <c r="L17224" s="7"/>
      <c r="M17224" s="7"/>
      <c r="N17224" s="7"/>
      <c r="O17224" s="7"/>
      <c r="P17224" s="7"/>
      <c r="Q17224" s="7"/>
      <c r="R17224" s="7"/>
      <c r="S17224" s="7"/>
      <c r="T17224" s="7"/>
      <c r="U17224" s="7"/>
      <c r="V17224" s="7"/>
      <c r="W17224" s="7"/>
      <c r="X17224" s="7"/>
      <c r="Y17224" s="7"/>
      <c r="Z17224" s="7"/>
      <c r="AA17224" s="7"/>
      <c r="AB17224" s="7"/>
      <c r="AC17224" s="7"/>
      <c r="AD17224" s="7"/>
      <c r="AE17224" s="7"/>
      <c r="AF17224" s="7"/>
    </row>
    <row r="17225" spans="1:32">
      <c r="A17225" s="7"/>
      <c r="B17225" s="7"/>
      <c r="C17225" s="7"/>
      <c r="D17225" s="7"/>
      <c r="E17225" s="7"/>
      <c r="F17225" s="7"/>
      <c r="G17225" s="7"/>
      <c r="H17225" s="7"/>
      <c r="I17225" s="7"/>
      <c r="J17225" s="7"/>
      <c r="K17225" s="7"/>
      <c r="L17225" s="7"/>
      <c r="M17225" s="7"/>
      <c r="N17225" s="7"/>
      <c r="O17225" s="7"/>
      <c r="P17225" s="7"/>
      <c r="Q17225" s="7"/>
      <c r="R17225" s="7"/>
      <c r="S17225" s="7"/>
      <c r="T17225" s="7"/>
      <c r="U17225" s="7"/>
      <c r="V17225" s="7"/>
      <c r="W17225" s="7"/>
      <c r="X17225" s="7"/>
      <c r="Y17225" s="7"/>
      <c r="Z17225" s="7"/>
      <c r="AA17225" s="7"/>
      <c r="AB17225" s="7"/>
      <c r="AC17225" s="7"/>
      <c r="AD17225" s="7"/>
      <c r="AE17225" s="7"/>
      <c r="AF17225" s="7"/>
    </row>
    <row r="17226" spans="1:32">
      <c r="A17226" s="7"/>
      <c r="B17226" s="7"/>
      <c r="C17226" s="7"/>
      <c r="D17226" s="7"/>
      <c r="E17226" s="7"/>
      <c r="F17226" s="7"/>
      <c r="G17226" s="7"/>
      <c r="H17226" s="7"/>
      <c r="I17226" s="7"/>
      <c r="J17226" s="7"/>
      <c r="K17226" s="7"/>
      <c r="L17226" s="7"/>
      <c r="M17226" s="7"/>
      <c r="N17226" s="7"/>
      <c r="O17226" s="7"/>
      <c r="P17226" s="7"/>
      <c r="Q17226" s="7"/>
      <c r="R17226" s="7"/>
      <c r="S17226" s="7"/>
      <c r="T17226" s="7"/>
      <c r="U17226" s="7"/>
      <c r="V17226" s="7"/>
      <c r="W17226" s="7"/>
      <c r="X17226" s="7"/>
      <c r="Y17226" s="7"/>
      <c r="Z17226" s="7"/>
      <c r="AA17226" s="7"/>
      <c r="AB17226" s="7"/>
      <c r="AC17226" s="7"/>
      <c r="AD17226" s="7"/>
      <c r="AE17226" s="7"/>
      <c r="AF17226" s="7"/>
    </row>
    <row r="17227" spans="1:32">
      <c r="A17227" s="7"/>
      <c r="B17227" s="7"/>
      <c r="C17227" s="7"/>
      <c r="D17227" s="7"/>
      <c r="E17227" s="7"/>
      <c r="F17227" s="7"/>
      <c r="G17227" s="7"/>
      <c r="H17227" s="7"/>
      <c r="I17227" s="7"/>
      <c r="J17227" s="7"/>
      <c r="K17227" s="7"/>
      <c r="L17227" s="7"/>
      <c r="M17227" s="7"/>
      <c r="N17227" s="7"/>
      <c r="O17227" s="7"/>
      <c r="P17227" s="7"/>
      <c r="Q17227" s="7"/>
      <c r="R17227" s="7"/>
      <c r="S17227" s="7"/>
      <c r="T17227" s="7"/>
      <c r="U17227" s="7"/>
      <c r="V17227" s="7"/>
      <c r="W17227" s="7"/>
      <c r="X17227" s="7"/>
      <c r="Y17227" s="7"/>
      <c r="Z17227" s="7"/>
      <c r="AA17227" s="7"/>
      <c r="AB17227" s="7"/>
      <c r="AC17227" s="7"/>
      <c r="AD17227" s="7"/>
      <c r="AE17227" s="7"/>
      <c r="AF17227" s="7"/>
    </row>
    <row r="17228" spans="1:32">
      <c r="A17228" s="7"/>
      <c r="B17228" s="7"/>
      <c r="C17228" s="7"/>
      <c r="D17228" s="7"/>
      <c r="E17228" s="7"/>
      <c r="F17228" s="7"/>
      <c r="G17228" s="7"/>
      <c r="H17228" s="7"/>
      <c r="I17228" s="7"/>
      <c r="J17228" s="7"/>
      <c r="K17228" s="7"/>
      <c r="L17228" s="7"/>
      <c r="M17228" s="7"/>
      <c r="N17228" s="7"/>
      <c r="O17228" s="7"/>
      <c r="P17228" s="7"/>
      <c r="Q17228" s="7"/>
      <c r="R17228" s="7"/>
      <c r="S17228" s="7"/>
      <c r="T17228" s="7"/>
      <c r="U17228" s="7"/>
      <c r="V17228" s="7"/>
      <c r="W17228" s="7"/>
      <c r="X17228" s="7"/>
      <c r="Y17228" s="7"/>
      <c r="Z17228" s="7"/>
      <c r="AA17228" s="7"/>
      <c r="AB17228" s="7"/>
      <c r="AC17228" s="7"/>
      <c r="AD17228" s="7"/>
      <c r="AE17228" s="7"/>
      <c r="AF17228" s="7"/>
    </row>
    <row r="17229" spans="1:32">
      <c r="A17229" s="7"/>
      <c r="B17229" s="7"/>
      <c r="C17229" s="7"/>
      <c r="D17229" s="7"/>
      <c r="E17229" s="7"/>
      <c r="F17229" s="7"/>
      <c r="G17229" s="7"/>
      <c r="H17229" s="7"/>
      <c r="I17229" s="7"/>
      <c r="J17229" s="7"/>
      <c r="K17229" s="7"/>
      <c r="L17229" s="7"/>
      <c r="M17229" s="7"/>
      <c r="N17229" s="7"/>
      <c r="O17229" s="7"/>
      <c r="P17229" s="7"/>
      <c r="Q17229" s="7"/>
      <c r="R17229" s="7"/>
      <c r="S17229" s="7"/>
      <c r="T17229" s="7"/>
      <c r="U17229" s="7"/>
      <c r="V17229" s="7"/>
      <c r="W17229" s="7"/>
      <c r="X17229" s="7"/>
      <c r="Y17229" s="7"/>
      <c r="Z17229" s="7"/>
      <c r="AA17229" s="7"/>
      <c r="AB17229" s="7"/>
      <c r="AC17229" s="7"/>
      <c r="AD17229" s="7"/>
      <c r="AE17229" s="7"/>
      <c r="AF17229" s="7"/>
    </row>
    <row r="17230" spans="1:32">
      <c r="A17230" s="7"/>
      <c r="B17230" s="7"/>
      <c r="C17230" s="7"/>
      <c r="D17230" s="7"/>
      <c r="E17230" s="7"/>
      <c r="F17230" s="7"/>
      <c r="G17230" s="7"/>
      <c r="H17230" s="7"/>
      <c r="I17230" s="7"/>
      <c r="J17230" s="7"/>
      <c r="K17230" s="7"/>
      <c r="L17230" s="7"/>
      <c r="M17230" s="7"/>
      <c r="N17230" s="7"/>
      <c r="O17230" s="7"/>
      <c r="P17230" s="7"/>
      <c r="Q17230" s="7"/>
      <c r="R17230" s="7"/>
      <c r="S17230" s="7"/>
      <c r="T17230" s="7"/>
      <c r="U17230" s="7"/>
      <c r="V17230" s="7"/>
      <c r="W17230" s="7"/>
      <c r="X17230" s="7"/>
      <c r="Y17230" s="7"/>
      <c r="Z17230" s="7"/>
      <c r="AA17230" s="7"/>
      <c r="AB17230" s="7"/>
      <c r="AC17230" s="7"/>
      <c r="AD17230" s="7"/>
      <c r="AE17230" s="7"/>
      <c r="AF17230" s="7"/>
    </row>
    <row r="17231" spans="1:32">
      <c r="A17231" s="7"/>
      <c r="B17231" s="7"/>
      <c r="C17231" s="7"/>
      <c r="D17231" s="7"/>
      <c r="E17231" s="7"/>
      <c r="F17231" s="7"/>
      <c r="G17231" s="7"/>
      <c r="H17231" s="7"/>
      <c r="I17231" s="7"/>
      <c r="J17231" s="7"/>
      <c r="K17231" s="7"/>
      <c r="L17231" s="7"/>
      <c r="M17231" s="7"/>
      <c r="N17231" s="7"/>
      <c r="O17231" s="7"/>
      <c r="P17231" s="7"/>
      <c r="Q17231" s="7"/>
      <c r="R17231" s="7"/>
      <c r="S17231" s="7"/>
      <c r="T17231" s="7"/>
      <c r="U17231" s="7"/>
      <c r="V17231" s="7"/>
      <c r="W17231" s="7"/>
      <c r="X17231" s="7"/>
      <c r="Y17231" s="7"/>
      <c r="Z17231" s="7"/>
      <c r="AA17231" s="7"/>
      <c r="AB17231" s="7"/>
      <c r="AC17231" s="7"/>
      <c r="AD17231" s="7"/>
      <c r="AE17231" s="7"/>
      <c r="AF17231" s="7"/>
    </row>
    <row r="17232" spans="1:32">
      <c r="A17232" s="7"/>
      <c r="B17232" s="7"/>
      <c r="C17232" s="7"/>
      <c r="D17232" s="7"/>
      <c r="E17232" s="7"/>
      <c r="F17232" s="7"/>
      <c r="G17232" s="7"/>
      <c r="H17232" s="7"/>
      <c r="I17232" s="7"/>
      <c r="J17232" s="7"/>
      <c r="K17232" s="7"/>
      <c r="L17232" s="7"/>
      <c r="M17232" s="7"/>
      <c r="N17232" s="7"/>
      <c r="O17232" s="7"/>
      <c r="P17232" s="7"/>
      <c r="Q17232" s="7"/>
      <c r="R17232" s="7"/>
      <c r="S17232" s="7"/>
      <c r="T17232" s="7"/>
      <c r="U17232" s="7"/>
      <c r="V17232" s="7"/>
      <c r="W17232" s="7"/>
      <c r="X17232" s="7"/>
      <c r="Y17232" s="7"/>
      <c r="Z17232" s="7"/>
      <c r="AA17232" s="7"/>
      <c r="AB17232" s="7"/>
      <c r="AC17232" s="7"/>
      <c r="AD17232" s="7"/>
      <c r="AE17232" s="7"/>
      <c r="AF17232" s="7"/>
    </row>
    <row r="17233" spans="1:32">
      <c r="A17233" s="7"/>
      <c r="B17233" s="7"/>
      <c r="C17233" s="7"/>
      <c r="D17233" s="7"/>
      <c r="E17233" s="7"/>
      <c r="F17233" s="7"/>
      <c r="G17233" s="7"/>
      <c r="H17233" s="7"/>
      <c r="I17233" s="7"/>
      <c r="J17233" s="7"/>
      <c r="K17233" s="7"/>
      <c r="L17233" s="7"/>
      <c r="M17233" s="7"/>
      <c r="N17233" s="7"/>
      <c r="O17233" s="7"/>
      <c r="P17233" s="7"/>
      <c r="Q17233" s="7"/>
      <c r="R17233" s="7"/>
      <c r="S17233" s="7"/>
      <c r="T17233" s="7"/>
      <c r="U17233" s="7"/>
      <c r="V17233" s="7"/>
      <c r="W17233" s="7"/>
      <c r="X17233" s="7"/>
      <c r="Y17233" s="7"/>
      <c r="Z17233" s="7"/>
      <c r="AA17233" s="7"/>
      <c r="AB17233" s="7"/>
      <c r="AC17233" s="7"/>
      <c r="AD17233" s="7"/>
      <c r="AE17233" s="7"/>
      <c r="AF17233" s="7"/>
    </row>
    <row r="17234" spans="1:32">
      <c r="A17234" s="7"/>
      <c r="B17234" s="7"/>
      <c r="C17234" s="7"/>
      <c r="D17234" s="7"/>
      <c r="E17234" s="7"/>
      <c r="F17234" s="7"/>
      <c r="G17234" s="7"/>
      <c r="H17234" s="7"/>
      <c r="I17234" s="7"/>
      <c r="J17234" s="7"/>
      <c r="K17234" s="7"/>
      <c r="L17234" s="7"/>
      <c r="M17234" s="7"/>
      <c r="N17234" s="7"/>
      <c r="O17234" s="7"/>
      <c r="P17234" s="7"/>
      <c r="Q17234" s="7"/>
      <c r="R17234" s="7"/>
      <c r="S17234" s="7"/>
      <c r="T17234" s="7"/>
      <c r="U17234" s="7"/>
      <c r="V17234" s="7"/>
      <c r="W17234" s="7"/>
      <c r="X17234" s="7"/>
      <c r="Y17234" s="7"/>
      <c r="Z17234" s="7"/>
      <c r="AA17234" s="7"/>
      <c r="AB17234" s="7"/>
      <c r="AC17234" s="7"/>
      <c r="AD17234" s="7"/>
      <c r="AE17234" s="7"/>
      <c r="AF17234" s="7"/>
    </row>
    <row r="17235" spans="1:32">
      <c r="A17235" s="7"/>
      <c r="B17235" s="7"/>
      <c r="C17235" s="7"/>
      <c r="D17235" s="7"/>
      <c r="E17235" s="7"/>
      <c r="F17235" s="7"/>
      <c r="G17235" s="7"/>
      <c r="H17235" s="7"/>
      <c r="I17235" s="7"/>
      <c r="J17235" s="7"/>
      <c r="K17235" s="7"/>
      <c r="L17235" s="7"/>
      <c r="M17235" s="7"/>
      <c r="N17235" s="7"/>
      <c r="O17235" s="7"/>
      <c r="P17235" s="7"/>
      <c r="Q17235" s="7"/>
      <c r="R17235" s="7"/>
      <c r="S17235" s="7"/>
      <c r="T17235" s="7"/>
      <c r="U17235" s="7"/>
      <c r="V17235" s="7"/>
      <c r="W17235" s="7"/>
      <c r="X17235" s="7"/>
      <c r="Y17235" s="7"/>
      <c r="Z17235" s="7"/>
      <c r="AA17235" s="7"/>
      <c r="AB17235" s="7"/>
      <c r="AC17235" s="7"/>
      <c r="AD17235" s="7"/>
      <c r="AE17235" s="7"/>
      <c r="AF17235" s="7"/>
    </row>
    <row r="17236" spans="1:32">
      <c r="A17236" s="7"/>
      <c r="B17236" s="7"/>
      <c r="C17236" s="7"/>
      <c r="D17236" s="7"/>
      <c r="E17236" s="7"/>
      <c r="F17236" s="7"/>
      <c r="G17236" s="7"/>
      <c r="H17236" s="7"/>
      <c r="I17236" s="7"/>
      <c r="J17236" s="7"/>
      <c r="K17236" s="7"/>
      <c r="L17236" s="7"/>
      <c r="M17236" s="7"/>
      <c r="N17236" s="7"/>
      <c r="O17236" s="7"/>
      <c r="P17236" s="7"/>
      <c r="Q17236" s="7"/>
      <c r="R17236" s="7"/>
      <c r="S17236" s="7"/>
      <c r="T17236" s="7"/>
      <c r="U17236" s="7"/>
      <c r="V17236" s="7"/>
      <c r="W17236" s="7"/>
      <c r="X17236" s="7"/>
      <c r="Y17236" s="7"/>
      <c r="Z17236" s="7"/>
      <c r="AA17236" s="7"/>
      <c r="AB17236" s="7"/>
      <c r="AC17236" s="7"/>
      <c r="AD17236" s="7"/>
      <c r="AE17236" s="7"/>
      <c r="AF17236" s="7"/>
    </row>
    <row r="17237" spans="1:32">
      <c r="A17237" s="7"/>
      <c r="B17237" s="7"/>
      <c r="C17237" s="7"/>
      <c r="D17237" s="7"/>
      <c r="E17237" s="7"/>
      <c r="F17237" s="7"/>
      <c r="G17237" s="7"/>
      <c r="H17237" s="7"/>
      <c r="I17237" s="7"/>
      <c r="J17237" s="7"/>
      <c r="K17237" s="7"/>
      <c r="L17237" s="7"/>
      <c r="M17237" s="7"/>
      <c r="N17237" s="7"/>
      <c r="O17237" s="7"/>
      <c r="P17237" s="7"/>
      <c r="Q17237" s="7"/>
      <c r="R17237" s="7"/>
      <c r="S17237" s="7"/>
      <c r="T17237" s="7"/>
      <c r="U17237" s="7"/>
      <c r="V17237" s="7"/>
      <c r="W17237" s="7"/>
      <c r="X17237" s="7"/>
      <c r="Y17237" s="7"/>
      <c r="Z17237" s="7"/>
      <c r="AA17237" s="7"/>
      <c r="AB17237" s="7"/>
      <c r="AC17237" s="7"/>
      <c r="AD17237" s="7"/>
      <c r="AE17237" s="7"/>
      <c r="AF17237" s="7"/>
    </row>
    <row r="17238" spans="1:32">
      <c r="A17238" s="7"/>
      <c r="B17238" s="7"/>
      <c r="C17238" s="7"/>
      <c r="D17238" s="7"/>
      <c r="E17238" s="7"/>
      <c r="F17238" s="7"/>
      <c r="G17238" s="7"/>
      <c r="H17238" s="7"/>
      <c r="I17238" s="7"/>
      <c r="J17238" s="7"/>
      <c r="K17238" s="7"/>
      <c r="L17238" s="7"/>
      <c r="M17238" s="7"/>
      <c r="N17238" s="7"/>
      <c r="O17238" s="7"/>
      <c r="P17238" s="7"/>
      <c r="Q17238" s="7"/>
      <c r="R17238" s="7"/>
      <c r="S17238" s="7"/>
      <c r="T17238" s="7"/>
      <c r="U17238" s="7"/>
      <c r="V17238" s="7"/>
      <c r="W17238" s="7"/>
      <c r="X17238" s="7"/>
      <c r="Y17238" s="7"/>
      <c r="Z17238" s="7"/>
      <c r="AA17238" s="7"/>
      <c r="AB17238" s="7"/>
      <c r="AC17238" s="7"/>
      <c r="AD17238" s="7"/>
      <c r="AE17238" s="7"/>
      <c r="AF17238" s="7"/>
    </row>
    <row r="17239" spans="1:32">
      <c r="A17239" s="7"/>
      <c r="B17239" s="7"/>
      <c r="C17239" s="7"/>
      <c r="D17239" s="7"/>
      <c r="E17239" s="7"/>
      <c r="F17239" s="7"/>
      <c r="G17239" s="7"/>
      <c r="H17239" s="7"/>
      <c r="I17239" s="7"/>
      <c r="J17239" s="7"/>
      <c r="K17239" s="7"/>
      <c r="L17239" s="7"/>
      <c r="M17239" s="7"/>
      <c r="N17239" s="7"/>
      <c r="O17239" s="7"/>
      <c r="P17239" s="7"/>
      <c r="Q17239" s="7"/>
      <c r="R17239" s="7"/>
      <c r="S17239" s="7"/>
      <c r="T17239" s="7"/>
      <c r="U17239" s="7"/>
      <c r="V17239" s="7"/>
      <c r="W17239" s="7"/>
      <c r="X17239" s="7"/>
      <c r="Y17239" s="7"/>
      <c r="Z17239" s="7"/>
      <c r="AA17239" s="7"/>
      <c r="AB17239" s="7"/>
      <c r="AC17239" s="7"/>
      <c r="AD17239" s="7"/>
      <c r="AE17239" s="7"/>
      <c r="AF17239" s="7"/>
    </row>
    <row r="17240" spans="1:32">
      <c r="A17240" s="7"/>
      <c r="B17240" s="7"/>
      <c r="C17240" s="7"/>
      <c r="D17240" s="7"/>
      <c r="E17240" s="7"/>
      <c r="F17240" s="7"/>
      <c r="G17240" s="7"/>
      <c r="H17240" s="7"/>
      <c r="I17240" s="7"/>
      <c r="J17240" s="7"/>
      <c r="K17240" s="7"/>
      <c r="L17240" s="7"/>
      <c r="M17240" s="7"/>
      <c r="N17240" s="7"/>
      <c r="O17240" s="7"/>
      <c r="P17240" s="7"/>
      <c r="Q17240" s="7"/>
      <c r="R17240" s="7"/>
      <c r="S17240" s="7"/>
      <c r="T17240" s="7"/>
      <c r="U17240" s="7"/>
      <c r="V17240" s="7"/>
      <c r="W17240" s="7"/>
      <c r="X17240" s="7"/>
      <c r="Y17240" s="7"/>
      <c r="Z17240" s="7"/>
      <c r="AA17240" s="7"/>
      <c r="AB17240" s="7"/>
      <c r="AC17240" s="7"/>
      <c r="AD17240" s="7"/>
      <c r="AE17240" s="7"/>
      <c r="AF17240" s="7"/>
    </row>
    <row r="17241" spans="1:32">
      <c r="A17241" s="7"/>
      <c r="B17241" s="7"/>
      <c r="C17241" s="7"/>
      <c r="D17241" s="7"/>
      <c r="E17241" s="7"/>
      <c r="F17241" s="7"/>
      <c r="G17241" s="7"/>
      <c r="H17241" s="7"/>
      <c r="I17241" s="7"/>
      <c r="J17241" s="7"/>
      <c r="K17241" s="7"/>
      <c r="L17241" s="7"/>
      <c r="M17241" s="7"/>
      <c r="N17241" s="7"/>
      <c r="O17241" s="7"/>
      <c r="P17241" s="7"/>
      <c r="Q17241" s="7"/>
      <c r="R17241" s="7"/>
      <c r="S17241" s="7"/>
      <c r="T17241" s="7"/>
      <c r="U17241" s="7"/>
      <c r="V17241" s="7"/>
      <c r="W17241" s="7"/>
      <c r="X17241" s="7"/>
      <c r="Y17241" s="7"/>
      <c r="Z17241" s="7"/>
      <c r="AA17241" s="7"/>
      <c r="AB17241" s="7"/>
      <c r="AC17241" s="7"/>
      <c r="AD17241" s="7"/>
      <c r="AE17241" s="7"/>
      <c r="AF17241" s="7"/>
    </row>
    <row r="17242" spans="1:32">
      <c r="A17242" s="7"/>
      <c r="B17242" s="7"/>
      <c r="C17242" s="7"/>
      <c r="D17242" s="7"/>
      <c r="E17242" s="7"/>
      <c r="F17242" s="7"/>
      <c r="G17242" s="7"/>
      <c r="H17242" s="7"/>
      <c r="I17242" s="7"/>
      <c r="J17242" s="7"/>
      <c r="K17242" s="7"/>
      <c r="L17242" s="7"/>
      <c r="M17242" s="7"/>
      <c r="N17242" s="7"/>
      <c r="O17242" s="7"/>
      <c r="P17242" s="7"/>
      <c r="Q17242" s="7"/>
      <c r="R17242" s="7"/>
      <c r="S17242" s="7"/>
      <c r="T17242" s="7"/>
      <c r="U17242" s="7"/>
      <c r="V17242" s="7"/>
      <c r="W17242" s="7"/>
      <c r="X17242" s="7"/>
      <c r="Y17242" s="7"/>
      <c r="Z17242" s="7"/>
      <c r="AA17242" s="7"/>
      <c r="AB17242" s="7"/>
      <c r="AC17242" s="7"/>
      <c r="AD17242" s="7"/>
      <c r="AE17242" s="7"/>
      <c r="AF17242" s="7"/>
    </row>
    <row r="17243" spans="1:32">
      <c r="A17243" s="7"/>
      <c r="B17243" s="7"/>
      <c r="C17243" s="7"/>
      <c r="D17243" s="7"/>
      <c r="E17243" s="7"/>
      <c r="F17243" s="7"/>
      <c r="G17243" s="7"/>
      <c r="H17243" s="7"/>
      <c r="I17243" s="7"/>
      <c r="J17243" s="7"/>
      <c r="K17243" s="7"/>
      <c r="L17243" s="7"/>
      <c r="M17243" s="7"/>
      <c r="N17243" s="7"/>
      <c r="O17243" s="7"/>
      <c r="P17243" s="7"/>
      <c r="Q17243" s="7"/>
      <c r="R17243" s="7"/>
      <c r="S17243" s="7"/>
      <c r="T17243" s="7"/>
      <c r="U17243" s="7"/>
      <c r="V17243" s="7"/>
      <c r="W17243" s="7"/>
      <c r="X17243" s="7"/>
      <c r="Y17243" s="7"/>
      <c r="Z17243" s="7"/>
      <c r="AA17243" s="7"/>
      <c r="AB17243" s="7"/>
      <c r="AC17243" s="7"/>
      <c r="AD17243" s="7"/>
      <c r="AE17243" s="7"/>
      <c r="AF17243" s="7"/>
    </row>
    <row r="17244" spans="1:32">
      <c r="A17244" s="7"/>
      <c r="B17244" s="7"/>
      <c r="C17244" s="7"/>
      <c r="D17244" s="7"/>
      <c r="E17244" s="7"/>
      <c r="F17244" s="7"/>
      <c r="G17244" s="7"/>
      <c r="H17244" s="7"/>
      <c r="I17244" s="7"/>
      <c r="J17244" s="7"/>
      <c r="K17244" s="7"/>
      <c r="L17244" s="7"/>
      <c r="M17244" s="7"/>
      <c r="N17244" s="7"/>
      <c r="O17244" s="7"/>
      <c r="P17244" s="7"/>
      <c r="Q17244" s="7"/>
      <c r="R17244" s="7"/>
      <c r="S17244" s="7"/>
      <c r="T17244" s="7"/>
      <c r="U17244" s="7"/>
      <c r="V17244" s="7"/>
      <c r="W17244" s="7"/>
      <c r="X17244" s="7"/>
      <c r="Y17244" s="7"/>
      <c r="Z17244" s="7"/>
      <c r="AA17244" s="7"/>
      <c r="AB17244" s="7"/>
      <c r="AC17244" s="7"/>
      <c r="AD17244" s="7"/>
      <c r="AE17244" s="7"/>
      <c r="AF17244" s="7"/>
    </row>
    <row r="17245" spans="1:32">
      <c r="A17245" s="7"/>
      <c r="B17245" s="7"/>
      <c r="C17245" s="7"/>
      <c r="D17245" s="7"/>
      <c r="E17245" s="7"/>
      <c r="F17245" s="7"/>
      <c r="G17245" s="7"/>
      <c r="H17245" s="7"/>
      <c r="I17245" s="7"/>
      <c r="J17245" s="7"/>
      <c r="K17245" s="7"/>
      <c r="L17245" s="7"/>
      <c r="M17245" s="7"/>
      <c r="N17245" s="7"/>
      <c r="O17245" s="7"/>
      <c r="P17245" s="7"/>
      <c r="Q17245" s="7"/>
      <c r="R17245" s="7"/>
      <c r="S17245" s="7"/>
      <c r="T17245" s="7"/>
      <c r="U17245" s="7"/>
      <c r="V17245" s="7"/>
      <c r="W17245" s="7"/>
      <c r="X17245" s="7"/>
      <c r="Y17245" s="7"/>
      <c r="Z17245" s="7"/>
      <c r="AA17245" s="7"/>
      <c r="AB17245" s="7"/>
      <c r="AC17245" s="7"/>
      <c r="AD17245" s="7"/>
      <c r="AE17245" s="7"/>
      <c r="AF17245" s="7"/>
    </row>
    <row r="17246" spans="1:32">
      <c r="A17246" s="7"/>
      <c r="B17246" s="7"/>
      <c r="C17246" s="7"/>
      <c r="D17246" s="7"/>
      <c r="E17246" s="7"/>
      <c r="F17246" s="7"/>
      <c r="G17246" s="7"/>
      <c r="H17246" s="7"/>
      <c r="I17246" s="7"/>
      <c r="J17246" s="7"/>
      <c r="K17246" s="7"/>
      <c r="L17246" s="7"/>
      <c r="M17246" s="7"/>
      <c r="N17246" s="7"/>
      <c r="O17246" s="7"/>
      <c r="P17246" s="7"/>
      <c r="Q17246" s="7"/>
      <c r="R17246" s="7"/>
      <c r="S17246" s="7"/>
      <c r="T17246" s="7"/>
      <c r="U17246" s="7"/>
      <c r="V17246" s="7"/>
      <c r="W17246" s="7"/>
      <c r="X17246" s="7"/>
      <c r="Y17246" s="7"/>
      <c r="Z17246" s="7"/>
      <c r="AA17246" s="7"/>
      <c r="AB17246" s="7"/>
      <c r="AC17246" s="7"/>
      <c r="AD17246" s="7"/>
      <c r="AE17246" s="7"/>
      <c r="AF17246" s="7"/>
    </row>
    <row r="17247" spans="1:32">
      <c r="A17247" s="7"/>
      <c r="B17247" s="7"/>
      <c r="C17247" s="7"/>
      <c r="D17247" s="7"/>
      <c r="E17247" s="7"/>
      <c r="F17247" s="7"/>
      <c r="G17247" s="7"/>
      <c r="H17247" s="7"/>
      <c r="I17247" s="7"/>
      <c r="J17247" s="7"/>
      <c r="K17247" s="7"/>
      <c r="L17247" s="7"/>
      <c r="M17247" s="7"/>
      <c r="N17247" s="7"/>
      <c r="O17247" s="7"/>
      <c r="P17247" s="7"/>
      <c r="Q17247" s="7"/>
      <c r="R17247" s="7"/>
      <c r="S17247" s="7"/>
      <c r="T17247" s="7"/>
      <c r="U17247" s="7"/>
      <c r="V17247" s="7"/>
      <c r="W17247" s="7"/>
      <c r="X17247" s="7"/>
      <c r="Y17247" s="7"/>
      <c r="Z17247" s="7"/>
      <c r="AA17247" s="7"/>
      <c r="AB17247" s="7"/>
      <c r="AC17247" s="7"/>
      <c r="AD17247" s="7"/>
      <c r="AE17247" s="7"/>
      <c r="AF17247" s="7"/>
    </row>
    <row r="17248" spans="1:32">
      <c r="A17248" s="7"/>
      <c r="B17248" s="7"/>
      <c r="C17248" s="7"/>
      <c r="D17248" s="7"/>
      <c r="E17248" s="7"/>
      <c r="F17248" s="7"/>
      <c r="G17248" s="7"/>
      <c r="H17248" s="7"/>
      <c r="I17248" s="7"/>
      <c r="J17248" s="7"/>
      <c r="K17248" s="7"/>
      <c r="L17248" s="7"/>
      <c r="M17248" s="7"/>
      <c r="N17248" s="7"/>
      <c r="O17248" s="7"/>
      <c r="P17248" s="7"/>
      <c r="Q17248" s="7"/>
      <c r="R17248" s="7"/>
      <c r="S17248" s="7"/>
      <c r="T17248" s="7"/>
      <c r="U17248" s="7"/>
      <c r="V17248" s="7"/>
      <c r="W17248" s="7"/>
      <c r="X17248" s="7"/>
      <c r="Y17248" s="7"/>
      <c r="Z17248" s="7"/>
      <c r="AA17248" s="7"/>
      <c r="AB17248" s="7"/>
      <c r="AC17248" s="7"/>
      <c r="AD17248" s="7"/>
      <c r="AE17248" s="7"/>
      <c r="AF17248" s="7"/>
    </row>
    <row r="17249" spans="1:32">
      <c r="A17249" s="7"/>
      <c r="B17249" s="7"/>
      <c r="C17249" s="7"/>
      <c r="D17249" s="7"/>
      <c r="E17249" s="7"/>
      <c r="F17249" s="7"/>
      <c r="G17249" s="7"/>
      <c r="H17249" s="7"/>
      <c r="I17249" s="7"/>
      <c r="J17249" s="7"/>
      <c r="K17249" s="7"/>
      <c r="L17249" s="7"/>
      <c r="M17249" s="7"/>
      <c r="N17249" s="7"/>
      <c r="O17249" s="7"/>
      <c r="P17249" s="7"/>
      <c r="Q17249" s="7"/>
      <c r="R17249" s="7"/>
      <c r="S17249" s="7"/>
      <c r="T17249" s="7"/>
      <c r="U17249" s="7"/>
      <c r="V17249" s="7"/>
      <c r="W17249" s="7"/>
      <c r="X17249" s="7"/>
      <c r="Y17249" s="7"/>
      <c r="Z17249" s="7"/>
      <c r="AA17249" s="7"/>
      <c r="AB17249" s="7"/>
      <c r="AC17249" s="7"/>
      <c r="AD17249" s="7"/>
      <c r="AE17249" s="7"/>
      <c r="AF17249" s="7"/>
    </row>
    <row r="17250" spans="1:32">
      <c r="A17250" s="7"/>
      <c r="B17250" s="7"/>
      <c r="C17250" s="7"/>
      <c r="D17250" s="7"/>
      <c r="E17250" s="7"/>
      <c r="F17250" s="7"/>
      <c r="G17250" s="7"/>
      <c r="H17250" s="7"/>
      <c r="I17250" s="7"/>
      <c r="J17250" s="7"/>
      <c r="K17250" s="7"/>
      <c r="L17250" s="7"/>
      <c r="M17250" s="7"/>
      <c r="N17250" s="7"/>
      <c r="O17250" s="7"/>
      <c r="P17250" s="7"/>
      <c r="Q17250" s="7"/>
      <c r="R17250" s="7"/>
      <c r="S17250" s="7"/>
      <c r="T17250" s="7"/>
      <c r="U17250" s="7"/>
      <c r="V17250" s="7"/>
      <c r="W17250" s="7"/>
      <c r="X17250" s="7"/>
      <c r="Y17250" s="7"/>
      <c r="Z17250" s="7"/>
      <c r="AA17250" s="7"/>
      <c r="AB17250" s="7"/>
      <c r="AC17250" s="7"/>
      <c r="AD17250" s="7"/>
      <c r="AE17250" s="7"/>
      <c r="AF17250" s="7"/>
    </row>
    <row r="17251" spans="1:32">
      <c r="A17251" s="7"/>
      <c r="B17251" s="7"/>
      <c r="C17251" s="7"/>
      <c r="D17251" s="7"/>
      <c r="E17251" s="7"/>
      <c r="F17251" s="7"/>
      <c r="G17251" s="7"/>
      <c r="H17251" s="7"/>
      <c r="I17251" s="7"/>
      <c r="J17251" s="7"/>
      <c r="K17251" s="7"/>
      <c r="L17251" s="7"/>
      <c r="M17251" s="7"/>
      <c r="N17251" s="7"/>
      <c r="O17251" s="7"/>
      <c r="P17251" s="7"/>
      <c r="Q17251" s="7"/>
      <c r="R17251" s="7"/>
      <c r="S17251" s="7"/>
      <c r="T17251" s="7"/>
      <c r="U17251" s="7"/>
      <c r="V17251" s="7"/>
      <c r="W17251" s="7"/>
      <c r="X17251" s="7"/>
      <c r="Y17251" s="7"/>
      <c r="Z17251" s="7"/>
      <c r="AA17251" s="7"/>
      <c r="AB17251" s="7"/>
      <c r="AC17251" s="7"/>
      <c r="AD17251" s="7"/>
      <c r="AE17251" s="7"/>
      <c r="AF17251" s="7"/>
    </row>
    <row r="17252" spans="1:32">
      <c r="A17252" s="7"/>
      <c r="B17252" s="7"/>
      <c r="C17252" s="7"/>
      <c r="D17252" s="7"/>
      <c r="E17252" s="7"/>
      <c r="F17252" s="7"/>
      <c r="G17252" s="7"/>
      <c r="H17252" s="7"/>
      <c r="I17252" s="7"/>
      <c r="J17252" s="7"/>
      <c r="K17252" s="7"/>
      <c r="L17252" s="7"/>
      <c r="M17252" s="7"/>
      <c r="N17252" s="7"/>
      <c r="O17252" s="7"/>
      <c r="P17252" s="7"/>
      <c r="Q17252" s="7"/>
      <c r="R17252" s="7"/>
      <c r="S17252" s="7"/>
      <c r="T17252" s="7"/>
      <c r="U17252" s="7"/>
      <c r="V17252" s="7"/>
      <c r="W17252" s="7"/>
      <c r="X17252" s="7"/>
      <c r="Y17252" s="7"/>
      <c r="Z17252" s="7"/>
      <c r="AA17252" s="7"/>
      <c r="AB17252" s="7"/>
      <c r="AC17252" s="7"/>
      <c r="AD17252" s="7"/>
      <c r="AE17252" s="7"/>
      <c r="AF17252" s="7"/>
    </row>
    <row r="17253" spans="1:32">
      <c r="A17253" s="7"/>
      <c r="B17253" s="7"/>
      <c r="C17253" s="7"/>
      <c r="D17253" s="7"/>
      <c r="E17253" s="7"/>
      <c r="F17253" s="7"/>
      <c r="G17253" s="7"/>
      <c r="H17253" s="7"/>
      <c r="I17253" s="7"/>
      <c r="J17253" s="7"/>
      <c r="K17253" s="7"/>
      <c r="L17253" s="7"/>
      <c r="M17253" s="7"/>
      <c r="N17253" s="7"/>
      <c r="O17253" s="7"/>
      <c r="P17253" s="7"/>
      <c r="Q17253" s="7"/>
      <c r="R17253" s="7"/>
      <c r="S17253" s="7"/>
      <c r="T17253" s="7"/>
      <c r="U17253" s="7"/>
      <c r="V17253" s="7"/>
      <c r="W17253" s="7"/>
      <c r="X17253" s="7"/>
      <c r="Y17253" s="7"/>
      <c r="Z17253" s="7"/>
      <c r="AA17253" s="7"/>
      <c r="AB17253" s="7"/>
      <c r="AC17253" s="7"/>
      <c r="AD17253" s="7"/>
      <c r="AE17253" s="7"/>
      <c r="AF17253" s="7"/>
    </row>
    <row r="17254" spans="1:32">
      <c r="A17254" s="7"/>
      <c r="B17254" s="7"/>
      <c r="C17254" s="7"/>
      <c r="D17254" s="7"/>
      <c r="E17254" s="7"/>
      <c r="F17254" s="7"/>
      <c r="G17254" s="7"/>
      <c r="H17254" s="7"/>
      <c r="I17254" s="7"/>
      <c r="J17254" s="7"/>
      <c r="K17254" s="7"/>
      <c r="L17254" s="7"/>
      <c r="M17254" s="7"/>
      <c r="N17254" s="7"/>
      <c r="O17254" s="7"/>
      <c r="P17254" s="7"/>
      <c r="Q17254" s="7"/>
      <c r="R17254" s="7"/>
      <c r="S17254" s="7"/>
      <c r="T17254" s="7"/>
      <c r="U17254" s="7"/>
      <c r="V17254" s="7"/>
      <c r="W17254" s="7"/>
      <c r="X17254" s="7"/>
      <c r="Y17254" s="7"/>
      <c r="Z17254" s="7"/>
      <c r="AA17254" s="7"/>
      <c r="AB17254" s="7"/>
      <c r="AC17254" s="7"/>
      <c r="AD17254" s="7"/>
      <c r="AE17254" s="7"/>
      <c r="AF17254" s="7"/>
    </row>
    <row r="17255" spans="1:32">
      <c r="A17255" s="7"/>
      <c r="B17255" s="7"/>
      <c r="C17255" s="7"/>
      <c r="D17255" s="7"/>
      <c r="E17255" s="7"/>
      <c r="F17255" s="7"/>
      <c r="G17255" s="7"/>
      <c r="H17255" s="7"/>
      <c r="I17255" s="7"/>
      <c r="J17255" s="7"/>
      <c r="K17255" s="7"/>
      <c r="L17255" s="7"/>
      <c r="M17255" s="7"/>
      <c r="N17255" s="7"/>
      <c r="O17255" s="7"/>
      <c r="P17255" s="7"/>
      <c r="Q17255" s="7"/>
      <c r="R17255" s="7"/>
      <c r="S17255" s="7"/>
      <c r="T17255" s="7"/>
      <c r="U17255" s="7"/>
      <c r="V17255" s="7"/>
      <c r="W17255" s="7"/>
      <c r="X17255" s="7"/>
      <c r="Y17255" s="7"/>
      <c r="Z17255" s="7"/>
      <c r="AA17255" s="7"/>
      <c r="AB17255" s="7"/>
      <c r="AC17255" s="7"/>
      <c r="AD17255" s="7"/>
      <c r="AE17255" s="7"/>
      <c r="AF17255" s="7"/>
    </row>
    <row r="17256" spans="1:32">
      <c r="A17256" s="7"/>
      <c r="B17256" s="7"/>
      <c r="C17256" s="7"/>
      <c r="D17256" s="7"/>
      <c r="E17256" s="7"/>
      <c r="F17256" s="7"/>
      <c r="G17256" s="7"/>
      <c r="H17256" s="7"/>
      <c r="I17256" s="7"/>
      <c r="J17256" s="7"/>
      <c r="K17256" s="7"/>
      <c r="L17256" s="7"/>
      <c r="M17256" s="7"/>
      <c r="N17256" s="7"/>
      <c r="O17256" s="7"/>
      <c r="P17256" s="7"/>
      <c r="Q17256" s="7"/>
      <c r="R17256" s="7"/>
      <c r="S17256" s="7"/>
      <c r="T17256" s="7"/>
      <c r="U17256" s="7"/>
      <c r="V17256" s="7"/>
      <c r="W17256" s="7"/>
      <c r="X17256" s="7"/>
      <c r="Y17256" s="7"/>
      <c r="Z17256" s="7"/>
      <c r="AA17256" s="7"/>
      <c r="AB17256" s="7"/>
      <c r="AC17256" s="7"/>
      <c r="AD17256" s="7"/>
      <c r="AE17256" s="7"/>
      <c r="AF17256" s="7"/>
    </row>
    <row r="17257" spans="1:32">
      <c r="A17257" s="7"/>
      <c r="B17257" s="7"/>
      <c r="C17257" s="7"/>
      <c r="D17257" s="7"/>
      <c r="E17257" s="7"/>
      <c r="F17257" s="7"/>
      <c r="G17257" s="7"/>
      <c r="H17257" s="7"/>
      <c r="I17257" s="7"/>
      <c r="J17257" s="7"/>
      <c r="K17257" s="7"/>
      <c r="L17257" s="7"/>
      <c r="M17257" s="7"/>
      <c r="N17257" s="7"/>
      <c r="O17257" s="7"/>
      <c r="P17257" s="7"/>
      <c r="Q17257" s="7"/>
      <c r="R17257" s="7"/>
      <c r="S17257" s="7"/>
      <c r="T17257" s="7"/>
      <c r="U17257" s="7"/>
      <c r="V17257" s="7"/>
      <c r="W17257" s="7"/>
      <c r="X17257" s="7"/>
      <c r="Y17257" s="7"/>
      <c r="Z17257" s="7"/>
      <c r="AA17257" s="7"/>
      <c r="AB17257" s="7"/>
      <c r="AC17257" s="7"/>
      <c r="AD17257" s="7"/>
      <c r="AE17257" s="7"/>
      <c r="AF17257" s="7"/>
    </row>
    <row r="17258" spans="1:32">
      <c r="A17258" s="7"/>
      <c r="B17258" s="7"/>
      <c r="C17258" s="7"/>
      <c r="D17258" s="7"/>
      <c r="E17258" s="7"/>
      <c r="F17258" s="7"/>
      <c r="G17258" s="7"/>
      <c r="H17258" s="7"/>
      <c r="I17258" s="7"/>
      <c r="J17258" s="7"/>
      <c r="K17258" s="7"/>
      <c r="L17258" s="7"/>
      <c r="M17258" s="7"/>
      <c r="N17258" s="7"/>
      <c r="O17258" s="7"/>
      <c r="P17258" s="7"/>
      <c r="Q17258" s="7"/>
      <c r="R17258" s="7"/>
      <c r="S17258" s="7"/>
      <c r="T17258" s="7"/>
      <c r="U17258" s="7"/>
      <c r="V17258" s="7"/>
      <c r="W17258" s="7"/>
      <c r="X17258" s="7"/>
      <c r="Y17258" s="7"/>
      <c r="Z17258" s="7"/>
      <c r="AA17258" s="7"/>
      <c r="AB17258" s="7"/>
      <c r="AC17258" s="7"/>
      <c r="AD17258" s="7"/>
      <c r="AE17258" s="7"/>
      <c r="AF17258" s="7"/>
    </row>
    <row r="17259" spans="1:32">
      <c r="A17259" s="7"/>
      <c r="B17259" s="7"/>
      <c r="C17259" s="7"/>
      <c r="D17259" s="7"/>
      <c r="E17259" s="7"/>
      <c r="F17259" s="7"/>
      <c r="G17259" s="7"/>
      <c r="H17259" s="7"/>
      <c r="I17259" s="7"/>
      <c r="J17259" s="7"/>
      <c r="K17259" s="7"/>
      <c r="L17259" s="7"/>
      <c r="M17259" s="7"/>
      <c r="N17259" s="7"/>
      <c r="O17259" s="7"/>
      <c r="P17259" s="7"/>
      <c r="Q17259" s="7"/>
      <c r="R17259" s="7"/>
      <c r="S17259" s="7"/>
      <c r="T17259" s="7"/>
      <c r="U17259" s="7"/>
      <c r="V17259" s="7"/>
      <c r="W17259" s="7"/>
      <c r="X17259" s="7"/>
      <c r="Y17259" s="7"/>
      <c r="Z17259" s="7"/>
      <c r="AA17259" s="7"/>
      <c r="AB17259" s="7"/>
      <c r="AC17259" s="7"/>
      <c r="AD17259" s="7"/>
      <c r="AE17259" s="7"/>
      <c r="AF17259" s="7"/>
    </row>
    <row r="17260" spans="1:32">
      <c r="A17260" s="7"/>
      <c r="B17260" s="7"/>
      <c r="C17260" s="7"/>
      <c r="D17260" s="7"/>
      <c r="E17260" s="7"/>
      <c r="F17260" s="7"/>
      <c r="G17260" s="7"/>
      <c r="H17260" s="7"/>
      <c r="I17260" s="7"/>
      <c r="J17260" s="7"/>
      <c r="K17260" s="7"/>
      <c r="L17260" s="7"/>
      <c r="M17260" s="7"/>
      <c r="N17260" s="7"/>
      <c r="O17260" s="7"/>
      <c r="P17260" s="7"/>
      <c r="Q17260" s="7"/>
      <c r="R17260" s="7"/>
      <c r="S17260" s="7"/>
      <c r="T17260" s="7"/>
      <c r="U17260" s="7"/>
      <c r="V17260" s="7"/>
      <c r="W17260" s="7"/>
      <c r="X17260" s="7"/>
      <c r="Y17260" s="7"/>
      <c r="Z17260" s="7"/>
      <c r="AA17260" s="7"/>
      <c r="AB17260" s="7"/>
      <c r="AC17260" s="7"/>
      <c r="AD17260" s="7"/>
      <c r="AE17260" s="7"/>
      <c r="AF17260" s="7"/>
    </row>
    <row r="17261" spans="1:32">
      <c r="A17261" s="7"/>
      <c r="B17261" s="7"/>
      <c r="C17261" s="7"/>
      <c r="D17261" s="7"/>
      <c r="E17261" s="7"/>
      <c r="F17261" s="7"/>
      <c r="G17261" s="7"/>
      <c r="H17261" s="7"/>
      <c r="I17261" s="7"/>
      <c r="J17261" s="7"/>
      <c r="K17261" s="7"/>
      <c r="L17261" s="7"/>
      <c r="M17261" s="7"/>
      <c r="N17261" s="7"/>
      <c r="O17261" s="7"/>
      <c r="P17261" s="7"/>
      <c r="Q17261" s="7"/>
      <c r="R17261" s="7"/>
      <c r="S17261" s="7"/>
      <c r="T17261" s="7"/>
      <c r="U17261" s="7"/>
      <c r="V17261" s="7"/>
      <c r="W17261" s="7"/>
      <c r="X17261" s="7"/>
      <c r="Y17261" s="7"/>
      <c r="Z17261" s="7"/>
      <c r="AA17261" s="7"/>
      <c r="AB17261" s="7"/>
      <c r="AC17261" s="7"/>
      <c r="AD17261" s="7"/>
      <c r="AE17261" s="7"/>
      <c r="AF17261" s="7"/>
    </row>
    <row r="17262" spans="1:32">
      <c r="A17262" s="7"/>
      <c r="B17262" s="7"/>
      <c r="C17262" s="7"/>
      <c r="D17262" s="7"/>
      <c r="E17262" s="7"/>
      <c r="F17262" s="7"/>
      <c r="G17262" s="7"/>
      <c r="H17262" s="7"/>
      <c r="I17262" s="7"/>
      <c r="J17262" s="7"/>
      <c r="K17262" s="7"/>
      <c r="L17262" s="7"/>
      <c r="M17262" s="7"/>
      <c r="N17262" s="7"/>
      <c r="O17262" s="7"/>
      <c r="P17262" s="7"/>
      <c r="Q17262" s="7"/>
      <c r="R17262" s="7"/>
      <c r="S17262" s="7"/>
      <c r="T17262" s="7"/>
      <c r="U17262" s="7"/>
      <c r="V17262" s="7"/>
      <c r="W17262" s="7"/>
      <c r="X17262" s="7"/>
      <c r="Y17262" s="7"/>
      <c r="Z17262" s="7"/>
      <c r="AA17262" s="7"/>
      <c r="AB17262" s="7"/>
      <c r="AC17262" s="7"/>
      <c r="AD17262" s="7"/>
      <c r="AE17262" s="7"/>
      <c r="AF17262" s="7"/>
    </row>
    <row r="17263" spans="1:32">
      <c r="A17263" s="7"/>
      <c r="B17263" s="7"/>
      <c r="C17263" s="7"/>
      <c r="D17263" s="7"/>
      <c r="E17263" s="7"/>
      <c r="F17263" s="7"/>
      <c r="G17263" s="7"/>
      <c r="H17263" s="7"/>
      <c r="I17263" s="7"/>
      <c r="J17263" s="7"/>
      <c r="K17263" s="7"/>
      <c r="L17263" s="7"/>
      <c r="M17263" s="7"/>
      <c r="N17263" s="7"/>
      <c r="O17263" s="7"/>
      <c r="P17263" s="7"/>
      <c r="Q17263" s="7"/>
      <c r="R17263" s="7"/>
      <c r="S17263" s="7"/>
      <c r="T17263" s="7"/>
      <c r="U17263" s="7"/>
      <c r="V17263" s="7"/>
      <c r="W17263" s="7"/>
      <c r="X17263" s="7"/>
      <c r="Y17263" s="7"/>
      <c r="Z17263" s="7"/>
      <c r="AA17263" s="7"/>
      <c r="AB17263" s="7"/>
      <c r="AC17263" s="7"/>
      <c r="AD17263" s="7"/>
      <c r="AE17263" s="7"/>
      <c r="AF17263" s="7"/>
    </row>
    <row r="17264" spans="1:32">
      <c r="A17264" s="7"/>
      <c r="B17264" s="7"/>
      <c r="C17264" s="7"/>
      <c r="D17264" s="7"/>
      <c r="E17264" s="7"/>
      <c r="F17264" s="7"/>
      <c r="G17264" s="7"/>
      <c r="H17264" s="7"/>
      <c r="I17264" s="7"/>
      <c r="J17264" s="7"/>
      <c r="K17264" s="7"/>
      <c r="L17264" s="7"/>
      <c r="M17264" s="7"/>
      <c r="N17264" s="7"/>
      <c r="O17264" s="7"/>
      <c r="P17264" s="7"/>
      <c r="Q17264" s="7"/>
      <c r="R17264" s="7"/>
      <c r="S17264" s="7"/>
      <c r="T17264" s="7"/>
      <c r="U17264" s="7"/>
      <c r="V17264" s="7"/>
      <c r="W17264" s="7"/>
      <c r="X17264" s="7"/>
      <c r="Y17264" s="7"/>
      <c r="Z17264" s="7"/>
      <c r="AA17264" s="7"/>
      <c r="AB17264" s="7"/>
      <c r="AC17264" s="7"/>
      <c r="AD17264" s="7"/>
      <c r="AE17264" s="7"/>
      <c r="AF17264" s="7"/>
    </row>
    <row r="17265" spans="1:32">
      <c r="A17265" s="7"/>
      <c r="B17265" s="7"/>
      <c r="C17265" s="7"/>
      <c r="D17265" s="7"/>
      <c r="E17265" s="7"/>
      <c r="F17265" s="7"/>
      <c r="G17265" s="7"/>
      <c r="H17265" s="7"/>
      <c r="I17265" s="7"/>
      <c r="J17265" s="7"/>
      <c r="K17265" s="7"/>
      <c r="L17265" s="7"/>
      <c r="M17265" s="7"/>
      <c r="N17265" s="7"/>
      <c r="O17265" s="7"/>
      <c r="P17265" s="7"/>
      <c r="Q17265" s="7"/>
      <c r="R17265" s="7"/>
      <c r="S17265" s="7"/>
      <c r="T17265" s="7"/>
      <c r="U17265" s="7"/>
      <c r="V17265" s="7"/>
      <c r="W17265" s="7"/>
      <c r="X17265" s="7"/>
      <c r="Y17265" s="7"/>
      <c r="Z17265" s="7"/>
      <c r="AA17265" s="7"/>
      <c r="AB17265" s="7"/>
      <c r="AC17265" s="7"/>
      <c r="AD17265" s="7"/>
      <c r="AE17265" s="7"/>
      <c r="AF17265" s="7"/>
    </row>
    <row r="17266" spans="1:32">
      <c r="A17266" s="7"/>
      <c r="B17266" s="7"/>
      <c r="C17266" s="7"/>
      <c r="D17266" s="7"/>
      <c r="E17266" s="7"/>
      <c r="F17266" s="7"/>
      <c r="G17266" s="7"/>
      <c r="H17266" s="7"/>
      <c r="I17266" s="7"/>
      <c r="J17266" s="7"/>
      <c r="K17266" s="7"/>
      <c r="L17266" s="7"/>
      <c r="M17266" s="7"/>
      <c r="N17266" s="7"/>
      <c r="O17266" s="7"/>
      <c r="P17266" s="7"/>
      <c r="Q17266" s="7"/>
      <c r="R17266" s="7"/>
      <c r="S17266" s="7"/>
      <c r="T17266" s="7"/>
      <c r="U17266" s="7"/>
      <c r="V17266" s="7"/>
      <c r="W17266" s="7"/>
      <c r="X17266" s="7"/>
      <c r="Y17266" s="7"/>
      <c r="Z17266" s="7"/>
      <c r="AA17266" s="7"/>
      <c r="AB17266" s="7"/>
      <c r="AC17266" s="7"/>
      <c r="AD17266" s="7"/>
      <c r="AE17266" s="7"/>
      <c r="AF17266" s="7"/>
    </row>
    <row r="17267" spans="1:32">
      <c r="A17267" s="7"/>
      <c r="B17267" s="7"/>
      <c r="C17267" s="7"/>
      <c r="D17267" s="7"/>
      <c r="E17267" s="7"/>
      <c r="F17267" s="7"/>
      <c r="G17267" s="7"/>
      <c r="H17267" s="7"/>
      <c r="I17267" s="7"/>
      <c r="J17267" s="7"/>
      <c r="K17267" s="7"/>
      <c r="L17267" s="7"/>
      <c r="M17267" s="7"/>
      <c r="N17267" s="7"/>
      <c r="O17267" s="7"/>
      <c r="P17267" s="7"/>
      <c r="Q17267" s="7"/>
      <c r="R17267" s="7"/>
      <c r="S17267" s="7"/>
      <c r="T17267" s="7"/>
      <c r="U17267" s="7"/>
      <c r="V17267" s="7"/>
      <c r="W17267" s="7"/>
      <c r="X17267" s="7"/>
      <c r="Y17267" s="7"/>
      <c r="Z17267" s="7"/>
      <c r="AA17267" s="7"/>
      <c r="AB17267" s="7"/>
      <c r="AC17267" s="7"/>
      <c r="AD17267" s="7"/>
      <c r="AE17267" s="7"/>
      <c r="AF17267" s="7"/>
    </row>
    <row r="17268" spans="1:32">
      <c r="A17268" s="7"/>
      <c r="B17268" s="7"/>
      <c r="C17268" s="7"/>
      <c r="D17268" s="7"/>
      <c r="E17268" s="7"/>
      <c r="F17268" s="7"/>
      <c r="G17268" s="7"/>
      <c r="H17268" s="7"/>
      <c r="I17268" s="7"/>
      <c r="J17268" s="7"/>
      <c r="K17268" s="7"/>
      <c r="L17268" s="7"/>
      <c r="M17268" s="7"/>
      <c r="N17268" s="7"/>
      <c r="O17268" s="7"/>
      <c r="P17268" s="7"/>
      <c r="Q17268" s="7"/>
      <c r="R17268" s="7"/>
      <c r="S17268" s="7"/>
      <c r="T17268" s="7"/>
      <c r="U17268" s="7"/>
      <c r="V17268" s="7"/>
      <c r="W17268" s="7"/>
      <c r="X17268" s="7"/>
      <c r="Y17268" s="7"/>
      <c r="Z17268" s="7"/>
      <c r="AA17268" s="7"/>
      <c r="AB17268" s="7"/>
      <c r="AC17268" s="7"/>
      <c r="AD17268" s="7"/>
      <c r="AE17268" s="7"/>
      <c r="AF17268" s="7"/>
    </row>
    <row r="17269" spans="1:32">
      <c r="A17269" s="7"/>
      <c r="B17269" s="7"/>
      <c r="C17269" s="7"/>
      <c r="D17269" s="7"/>
      <c r="E17269" s="7"/>
      <c r="F17269" s="7"/>
      <c r="G17269" s="7"/>
      <c r="H17269" s="7"/>
      <c r="I17269" s="7"/>
      <c r="J17269" s="7"/>
      <c r="K17269" s="7"/>
      <c r="L17269" s="7"/>
      <c r="M17269" s="7"/>
      <c r="N17269" s="7"/>
      <c r="O17269" s="7"/>
      <c r="P17269" s="7"/>
      <c r="Q17269" s="7"/>
      <c r="R17269" s="7"/>
      <c r="S17269" s="7"/>
      <c r="T17269" s="7"/>
      <c r="U17269" s="7"/>
      <c r="V17269" s="7"/>
      <c r="W17269" s="7"/>
      <c r="X17269" s="7"/>
      <c r="Y17269" s="7"/>
      <c r="Z17269" s="7"/>
      <c r="AA17269" s="7"/>
      <c r="AB17269" s="7"/>
      <c r="AC17269" s="7"/>
      <c r="AD17269" s="7"/>
      <c r="AE17269" s="7"/>
      <c r="AF17269" s="7"/>
    </row>
    <row r="17270" spans="1:32">
      <c r="A17270" s="7"/>
      <c r="B17270" s="7"/>
      <c r="C17270" s="7"/>
      <c r="D17270" s="7"/>
      <c r="E17270" s="7"/>
      <c r="F17270" s="7"/>
      <c r="G17270" s="7"/>
      <c r="H17270" s="7"/>
      <c r="I17270" s="7"/>
      <c r="J17270" s="7"/>
      <c r="K17270" s="7"/>
      <c r="L17270" s="7"/>
      <c r="M17270" s="7"/>
      <c r="N17270" s="7"/>
      <c r="O17270" s="7"/>
      <c r="P17270" s="7"/>
      <c r="Q17270" s="7"/>
      <c r="R17270" s="7"/>
      <c r="S17270" s="7"/>
      <c r="T17270" s="7"/>
      <c r="U17270" s="7"/>
      <c r="V17270" s="7"/>
      <c r="W17270" s="7"/>
      <c r="X17270" s="7"/>
      <c r="Y17270" s="7"/>
      <c r="Z17270" s="7"/>
      <c r="AA17270" s="7"/>
      <c r="AB17270" s="7"/>
      <c r="AC17270" s="7"/>
      <c r="AD17270" s="7"/>
      <c r="AE17270" s="7"/>
      <c r="AF17270" s="7"/>
    </row>
    <row r="17271" spans="1:32">
      <c r="A17271" s="7"/>
      <c r="B17271" s="7"/>
      <c r="C17271" s="7"/>
      <c r="D17271" s="7"/>
      <c r="E17271" s="7"/>
      <c r="F17271" s="7"/>
      <c r="G17271" s="7"/>
      <c r="H17271" s="7"/>
      <c r="I17271" s="7"/>
      <c r="J17271" s="7"/>
      <c r="K17271" s="7"/>
      <c r="L17271" s="7"/>
      <c r="M17271" s="7"/>
      <c r="N17271" s="7"/>
      <c r="O17271" s="7"/>
      <c r="P17271" s="7"/>
      <c r="Q17271" s="7"/>
      <c r="R17271" s="7"/>
      <c r="S17271" s="7"/>
      <c r="T17271" s="7"/>
      <c r="U17271" s="7"/>
      <c r="V17271" s="7"/>
      <c r="W17271" s="7"/>
      <c r="X17271" s="7"/>
      <c r="Y17271" s="7"/>
      <c r="Z17271" s="7"/>
      <c r="AA17271" s="7"/>
      <c r="AB17271" s="7"/>
      <c r="AC17271" s="7"/>
      <c r="AD17271" s="7"/>
      <c r="AE17271" s="7"/>
      <c r="AF17271" s="7"/>
    </row>
    <row r="17272" spans="1:32">
      <c r="A17272" s="7"/>
      <c r="B17272" s="7"/>
      <c r="C17272" s="7"/>
      <c r="D17272" s="7"/>
      <c r="E17272" s="7"/>
      <c r="F17272" s="7"/>
      <c r="G17272" s="7"/>
      <c r="H17272" s="7"/>
      <c r="I17272" s="7"/>
      <c r="J17272" s="7"/>
      <c r="K17272" s="7"/>
      <c r="L17272" s="7"/>
      <c r="M17272" s="7"/>
      <c r="N17272" s="7"/>
      <c r="O17272" s="7"/>
      <c r="P17272" s="7"/>
      <c r="Q17272" s="7"/>
      <c r="R17272" s="7"/>
      <c r="S17272" s="7"/>
      <c r="T17272" s="7"/>
      <c r="U17272" s="7"/>
      <c r="V17272" s="7"/>
      <c r="W17272" s="7"/>
      <c r="X17272" s="7"/>
      <c r="Y17272" s="7"/>
      <c r="Z17272" s="7"/>
      <c r="AA17272" s="7"/>
      <c r="AB17272" s="7"/>
      <c r="AC17272" s="7"/>
      <c r="AD17272" s="7"/>
      <c r="AE17272" s="7"/>
      <c r="AF17272" s="7"/>
    </row>
    <row r="17273" spans="1:32">
      <c r="A17273" s="7"/>
      <c r="B17273" s="7"/>
      <c r="C17273" s="7"/>
      <c r="D17273" s="7"/>
      <c r="E17273" s="7"/>
      <c r="F17273" s="7"/>
      <c r="G17273" s="7"/>
      <c r="H17273" s="7"/>
      <c r="I17273" s="7"/>
      <c r="J17273" s="7"/>
      <c r="K17273" s="7"/>
      <c r="L17273" s="7"/>
      <c r="M17273" s="7"/>
      <c r="N17273" s="7"/>
      <c r="O17273" s="7"/>
      <c r="P17273" s="7"/>
      <c r="Q17273" s="7"/>
      <c r="R17273" s="7"/>
      <c r="S17273" s="7"/>
      <c r="T17273" s="7"/>
      <c r="U17273" s="7"/>
      <c r="V17273" s="7"/>
      <c r="W17273" s="7"/>
      <c r="X17273" s="7"/>
      <c r="Y17273" s="7"/>
      <c r="Z17273" s="7"/>
      <c r="AA17273" s="7"/>
      <c r="AB17273" s="7"/>
      <c r="AC17273" s="7"/>
      <c r="AD17273" s="7"/>
      <c r="AE17273" s="7"/>
      <c r="AF17273" s="7"/>
    </row>
    <row r="17274" spans="1:32">
      <c r="A17274" s="7"/>
      <c r="B17274" s="7"/>
      <c r="C17274" s="7"/>
      <c r="D17274" s="7"/>
      <c r="E17274" s="7"/>
      <c r="F17274" s="7"/>
      <c r="G17274" s="7"/>
      <c r="H17274" s="7"/>
      <c r="I17274" s="7"/>
      <c r="J17274" s="7"/>
      <c r="K17274" s="7"/>
      <c r="L17274" s="7"/>
      <c r="M17274" s="7"/>
      <c r="N17274" s="7"/>
      <c r="O17274" s="7"/>
      <c r="P17274" s="7"/>
      <c r="Q17274" s="7"/>
      <c r="R17274" s="7"/>
      <c r="S17274" s="7"/>
      <c r="T17274" s="7"/>
      <c r="U17274" s="7"/>
      <c r="V17274" s="7"/>
      <c r="W17274" s="7"/>
      <c r="X17274" s="7"/>
      <c r="Y17274" s="7"/>
      <c r="Z17274" s="7"/>
      <c r="AA17274" s="7"/>
      <c r="AB17274" s="7"/>
      <c r="AC17274" s="7"/>
      <c r="AD17274" s="7"/>
      <c r="AE17274" s="7"/>
      <c r="AF17274" s="7"/>
    </row>
    <row r="17275" spans="1:32">
      <c r="A17275" s="7"/>
      <c r="B17275" s="7"/>
      <c r="C17275" s="7"/>
      <c r="D17275" s="7"/>
      <c r="E17275" s="7"/>
      <c r="F17275" s="7"/>
      <c r="G17275" s="7"/>
      <c r="H17275" s="7"/>
      <c r="I17275" s="7"/>
      <c r="J17275" s="7"/>
      <c r="K17275" s="7"/>
      <c r="L17275" s="7"/>
      <c r="M17275" s="7"/>
      <c r="N17275" s="7"/>
      <c r="O17275" s="7"/>
      <c r="P17275" s="7"/>
      <c r="Q17275" s="7"/>
      <c r="R17275" s="7"/>
      <c r="S17275" s="7"/>
      <c r="T17275" s="7"/>
      <c r="U17275" s="7"/>
      <c r="V17275" s="7"/>
      <c r="W17275" s="7"/>
      <c r="X17275" s="7"/>
      <c r="Y17275" s="7"/>
      <c r="Z17275" s="7"/>
      <c r="AA17275" s="7"/>
      <c r="AB17275" s="7"/>
      <c r="AC17275" s="7"/>
      <c r="AD17275" s="7"/>
      <c r="AE17275" s="7"/>
      <c r="AF17275" s="7"/>
    </row>
    <row r="17276" spans="1:32">
      <c r="A17276" s="7"/>
      <c r="B17276" s="7"/>
      <c r="C17276" s="7"/>
      <c r="D17276" s="7"/>
      <c r="E17276" s="7"/>
      <c r="F17276" s="7"/>
      <c r="G17276" s="7"/>
      <c r="H17276" s="7"/>
      <c r="I17276" s="7"/>
      <c r="J17276" s="7"/>
      <c r="K17276" s="7"/>
      <c r="L17276" s="7"/>
      <c r="M17276" s="7"/>
      <c r="N17276" s="7"/>
      <c r="O17276" s="7"/>
      <c r="P17276" s="7"/>
      <c r="Q17276" s="7"/>
      <c r="R17276" s="7"/>
      <c r="S17276" s="7"/>
      <c r="T17276" s="7"/>
      <c r="U17276" s="7"/>
      <c r="V17276" s="7"/>
      <c r="W17276" s="7"/>
      <c r="X17276" s="7"/>
      <c r="Y17276" s="7"/>
      <c r="Z17276" s="7"/>
      <c r="AA17276" s="7"/>
      <c r="AB17276" s="7"/>
      <c r="AC17276" s="7"/>
      <c r="AD17276" s="7"/>
      <c r="AE17276" s="7"/>
      <c r="AF17276" s="7"/>
    </row>
    <row r="17277" spans="1:32">
      <c r="A17277" s="7"/>
      <c r="B17277" s="7"/>
      <c r="C17277" s="7"/>
      <c r="D17277" s="7"/>
      <c r="E17277" s="7"/>
      <c r="F17277" s="7"/>
      <c r="G17277" s="7"/>
      <c r="H17277" s="7"/>
      <c r="I17277" s="7"/>
      <c r="J17277" s="7"/>
      <c r="K17277" s="7"/>
      <c r="L17277" s="7"/>
      <c r="M17277" s="7"/>
      <c r="N17277" s="7"/>
      <c r="O17277" s="7"/>
      <c r="P17277" s="7"/>
      <c r="Q17277" s="7"/>
      <c r="R17277" s="7"/>
      <c r="S17277" s="7"/>
      <c r="T17277" s="7"/>
      <c r="U17277" s="7"/>
      <c r="V17277" s="7"/>
      <c r="W17277" s="7"/>
      <c r="X17277" s="7"/>
      <c r="Y17277" s="7"/>
      <c r="Z17277" s="7"/>
      <c r="AA17277" s="7"/>
      <c r="AB17277" s="7"/>
      <c r="AC17277" s="7"/>
      <c r="AD17277" s="7"/>
      <c r="AE17277" s="7"/>
      <c r="AF17277" s="7"/>
    </row>
    <row r="17278" spans="1:32">
      <c r="A17278" s="7"/>
      <c r="B17278" s="7"/>
      <c r="C17278" s="7"/>
      <c r="D17278" s="7"/>
      <c r="E17278" s="7"/>
      <c r="F17278" s="7"/>
      <c r="G17278" s="7"/>
      <c r="H17278" s="7"/>
      <c r="I17278" s="7"/>
      <c r="J17278" s="7"/>
      <c r="K17278" s="7"/>
      <c r="L17278" s="7"/>
      <c r="M17278" s="7"/>
      <c r="N17278" s="7"/>
      <c r="O17278" s="7"/>
      <c r="P17278" s="7"/>
      <c r="Q17278" s="7"/>
      <c r="R17278" s="7"/>
      <c r="S17278" s="7"/>
      <c r="T17278" s="7"/>
      <c r="U17278" s="7"/>
      <c r="V17278" s="7"/>
      <c r="W17278" s="7"/>
      <c r="X17278" s="7"/>
      <c r="Y17278" s="7"/>
      <c r="Z17278" s="7"/>
      <c r="AA17278" s="7"/>
      <c r="AB17278" s="7"/>
      <c r="AC17278" s="7"/>
      <c r="AD17278" s="7"/>
      <c r="AE17278" s="7"/>
      <c r="AF17278" s="7"/>
    </row>
    <row r="17279" spans="1:32">
      <c r="A17279" s="7"/>
      <c r="B17279" s="7"/>
      <c r="C17279" s="7"/>
      <c r="D17279" s="7"/>
      <c r="E17279" s="7"/>
      <c r="F17279" s="7"/>
      <c r="G17279" s="7"/>
      <c r="H17279" s="7"/>
      <c r="I17279" s="7"/>
      <c r="J17279" s="7"/>
      <c r="K17279" s="7"/>
      <c r="L17279" s="7"/>
      <c r="M17279" s="7"/>
      <c r="N17279" s="7"/>
      <c r="O17279" s="7"/>
      <c r="P17279" s="7"/>
      <c r="Q17279" s="7"/>
      <c r="R17279" s="7"/>
      <c r="S17279" s="7"/>
      <c r="T17279" s="7"/>
      <c r="U17279" s="7"/>
      <c r="V17279" s="7"/>
      <c r="W17279" s="7"/>
      <c r="X17279" s="7"/>
      <c r="Y17279" s="7"/>
      <c r="Z17279" s="7"/>
      <c r="AA17279" s="7"/>
      <c r="AB17279" s="7"/>
      <c r="AC17279" s="7"/>
      <c r="AD17279" s="7"/>
      <c r="AE17279" s="7"/>
      <c r="AF17279" s="7"/>
    </row>
    <row r="17280" spans="1:32">
      <c r="A17280" s="7"/>
      <c r="B17280" s="7"/>
      <c r="C17280" s="7"/>
      <c r="D17280" s="7"/>
      <c r="E17280" s="7"/>
      <c r="F17280" s="7"/>
      <c r="G17280" s="7"/>
      <c r="H17280" s="7"/>
      <c r="I17280" s="7"/>
      <c r="J17280" s="7"/>
      <c r="K17280" s="7"/>
      <c r="L17280" s="7"/>
      <c r="M17280" s="7"/>
      <c r="N17280" s="7"/>
      <c r="O17280" s="7"/>
      <c r="P17280" s="7"/>
      <c r="Q17280" s="7"/>
      <c r="R17280" s="7"/>
      <c r="S17280" s="7"/>
      <c r="T17280" s="7"/>
      <c r="U17280" s="7"/>
      <c r="V17280" s="7"/>
      <c r="W17280" s="7"/>
      <c r="X17280" s="7"/>
      <c r="Y17280" s="7"/>
      <c r="Z17280" s="7"/>
      <c r="AA17280" s="7"/>
      <c r="AB17280" s="7"/>
      <c r="AC17280" s="7"/>
      <c r="AD17280" s="7"/>
      <c r="AE17280" s="7"/>
      <c r="AF17280" s="7"/>
    </row>
    <row r="17281" spans="1:32">
      <c r="A17281" s="7"/>
      <c r="B17281" s="7"/>
      <c r="C17281" s="7"/>
      <c r="D17281" s="7"/>
      <c r="E17281" s="7"/>
      <c r="F17281" s="7"/>
      <c r="G17281" s="7"/>
      <c r="H17281" s="7"/>
      <c r="I17281" s="7"/>
      <c r="J17281" s="7"/>
      <c r="K17281" s="7"/>
      <c r="L17281" s="7"/>
      <c r="M17281" s="7"/>
      <c r="N17281" s="7"/>
      <c r="O17281" s="7"/>
      <c r="P17281" s="7"/>
      <c r="Q17281" s="7"/>
      <c r="R17281" s="7"/>
      <c r="S17281" s="7"/>
      <c r="T17281" s="7"/>
      <c r="U17281" s="7"/>
      <c r="V17281" s="7"/>
      <c r="W17281" s="7"/>
      <c r="X17281" s="7"/>
      <c r="Y17281" s="7"/>
      <c r="Z17281" s="7"/>
      <c r="AA17281" s="7"/>
      <c r="AB17281" s="7"/>
      <c r="AC17281" s="7"/>
      <c r="AD17281" s="7"/>
      <c r="AE17281" s="7"/>
      <c r="AF17281" s="7"/>
    </row>
    <row r="17282" spans="1:32">
      <c r="A17282" s="7"/>
      <c r="B17282" s="7"/>
      <c r="C17282" s="7"/>
      <c r="D17282" s="7"/>
      <c r="E17282" s="7"/>
      <c r="F17282" s="7"/>
      <c r="G17282" s="7"/>
      <c r="H17282" s="7"/>
      <c r="I17282" s="7"/>
      <c r="J17282" s="7"/>
      <c r="K17282" s="7"/>
      <c r="L17282" s="7"/>
      <c r="M17282" s="7"/>
      <c r="N17282" s="7"/>
      <c r="O17282" s="7"/>
      <c r="P17282" s="7"/>
      <c r="Q17282" s="7"/>
      <c r="R17282" s="7"/>
      <c r="S17282" s="7"/>
      <c r="T17282" s="7"/>
      <c r="U17282" s="7"/>
      <c r="V17282" s="7"/>
      <c r="W17282" s="7"/>
      <c r="X17282" s="7"/>
      <c r="Y17282" s="7"/>
      <c r="Z17282" s="7"/>
      <c r="AA17282" s="7"/>
      <c r="AB17282" s="7"/>
      <c r="AC17282" s="7"/>
      <c r="AD17282" s="7"/>
      <c r="AE17282" s="7"/>
      <c r="AF17282" s="7"/>
    </row>
    <row r="17283" spans="1:32">
      <c r="A17283" s="7"/>
      <c r="B17283" s="7"/>
      <c r="C17283" s="7"/>
      <c r="D17283" s="7"/>
      <c r="E17283" s="7"/>
      <c r="F17283" s="7"/>
      <c r="G17283" s="7"/>
      <c r="H17283" s="7"/>
      <c r="I17283" s="7"/>
      <c r="J17283" s="7"/>
      <c r="K17283" s="7"/>
      <c r="L17283" s="7"/>
      <c r="M17283" s="7"/>
      <c r="N17283" s="7"/>
      <c r="O17283" s="7"/>
      <c r="P17283" s="7"/>
      <c r="Q17283" s="7"/>
      <c r="R17283" s="7"/>
      <c r="S17283" s="7"/>
      <c r="T17283" s="7"/>
      <c r="U17283" s="7"/>
      <c r="V17283" s="7"/>
      <c r="W17283" s="7"/>
      <c r="X17283" s="7"/>
      <c r="Y17283" s="7"/>
      <c r="Z17283" s="7"/>
      <c r="AA17283" s="7"/>
      <c r="AB17283" s="7"/>
      <c r="AC17283" s="7"/>
      <c r="AD17283" s="7"/>
      <c r="AE17283" s="7"/>
      <c r="AF17283" s="7"/>
    </row>
    <row r="17284" spans="1:32">
      <c r="A17284" s="7"/>
      <c r="B17284" s="7"/>
      <c r="C17284" s="7"/>
      <c r="D17284" s="7"/>
      <c r="E17284" s="7"/>
      <c r="F17284" s="7"/>
      <c r="G17284" s="7"/>
      <c r="H17284" s="7"/>
      <c r="I17284" s="7"/>
      <c r="J17284" s="7"/>
      <c r="K17284" s="7"/>
      <c r="L17284" s="7"/>
      <c r="M17284" s="7"/>
      <c r="N17284" s="7"/>
      <c r="O17284" s="7"/>
      <c r="P17284" s="7"/>
      <c r="Q17284" s="7"/>
      <c r="R17284" s="7"/>
      <c r="S17284" s="7"/>
      <c r="T17284" s="7"/>
      <c r="U17284" s="7"/>
      <c r="V17284" s="7"/>
      <c r="W17284" s="7"/>
      <c r="X17284" s="7"/>
      <c r="Y17284" s="7"/>
      <c r="Z17284" s="7"/>
      <c r="AA17284" s="7"/>
      <c r="AB17284" s="7"/>
      <c r="AC17284" s="7"/>
      <c r="AD17284" s="7"/>
      <c r="AE17284" s="7"/>
      <c r="AF17284" s="7"/>
    </row>
    <row r="17285" spans="1:32">
      <c r="A17285" s="7"/>
      <c r="B17285" s="7"/>
      <c r="C17285" s="7"/>
      <c r="D17285" s="7"/>
      <c r="E17285" s="7"/>
      <c r="F17285" s="7"/>
      <c r="G17285" s="7"/>
      <c r="H17285" s="7"/>
      <c r="I17285" s="7"/>
      <c r="J17285" s="7"/>
      <c r="K17285" s="7"/>
      <c r="L17285" s="7"/>
      <c r="M17285" s="7"/>
      <c r="N17285" s="7"/>
      <c r="O17285" s="7"/>
      <c r="P17285" s="7"/>
      <c r="Q17285" s="7"/>
      <c r="R17285" s="7"/>
      <c r="S17285" s="7"/>
      <c r="T17285" s="7"/>
      <c r="U17285" s="7"/>
      <c r="V17285" s="7"/>
      <c r="W17285" s="7"/>
      <c r="X17285" s="7"/>
      <c r="Y17285" s="7"/>
      <c r="Z17285" s="7"/>
      <c r="AA17285" s="7"/>
      <c r="AB17285" s="7"/>
      <c r="AC17285" s="7"/>
      <c r="AD17285" s="7"/>
      <c r="AE17285" s="7"/>
      <c r="AF17285" s="7"/>
    </row>
    <row r="17286" spans="1:32">
      <c r="A17286" s="7"/>
      <c r="B17286" s="7"/>
      <c r="C17286" s="7"/>
      <c r="D17286" s="7"/>
      <c r="E17286" s="7"/>
      <c r="F17286" s="7"/>
      <c r="G17286" s="7"/>
      <c r="H17286" s="7"/>
      <c r="I17286" s="7"/>
      <c r="J17286" s="7"/>
      <c r="K17286" s="7"/>
      <c r="L17286" s="7"/>
      <c r="M17286" s="7"/>
      <c r="N17286" s="7"/>
      <c r="O17286" s="7"/>
      <c r="P17286" s="7"/>
      <c r="Q17286" s="7"/>
      <c r="R17286" s="7"/>
      <c r="S17286" s="7"/>
      <c r="T17286" s="7"/>
      <c r="U17286" s="7"/>
      <c r="V17286" s="7"/>
      <c r="W17286" s="7"/>
      <c r="X17286" s="7"/>
      <c r="Y17286" s="7"/>
      <c r="Z17286" s="7"/>
      <c r="AA17286" s="7"/>
      <c r="AB17286" s="7"/>
      <c r="AC17286" s="7"/>
      <c r="AD17286" s="7"/>
      <c r="AE17286" s="7"/>
      <c r="AF17286" s="7"/>
    </row>
    <row r="17287" spans="1:32">
      <c r="A17287" s="7"/>
      <c r="B17287" s="7"/>
      <c r="C17287" s="7"/>
      <c r="D17287" s="7"/>
      <c r="E17287" s="7"/>
      <c r="F17287" s="7"/>
      <c r="G17287" s="7"/>
      <c r="H17287" s="7"/>
      <c r="I17287" s="7"/>
      <c r="J17287" s="7"/>
      <c r="K17287" s="7"/>
      <c r="L17287" s="7"/>
      <c r="M17287" s="7"/>
      <c r="N17287" s="7"/>
      <c r="O17287" s="7"/>
      <c r="P17287" s="7"/>
      <c r="Q17287" s="7"/>
      <c r="R17287" s="7"/>
      <c r="S17287" s="7"/>
      <c r="T17287" s="7"/>
      <c r="U17287" s="7"/>
      <c r="V17287" s="7"/>
      <c r="W17287" s="7"/>
      <c r="X17287" s="7"/>
      <c r="Y17287" s="7"/>
      <c r="Z17287" s="7"/>
      <c r="AA17287" s="7"/>
      <c r="AB17287" s="7"/>
      <c r="AC17287" s="7"/>
      <c r="AD17287" s="7"/>
      <c r="AE17287" s="7"/>
      <c r="AF17287" s="7"/>
    </row>
    <row r="17288" spans="1:32">
      <c r="A17288" s="7"/>
      <c r="B17288" s="7"/>
      <c r="C17288" s="7"/>
      <c r="D17288" s="7"/>
      <c r="E17288" s="7"/>
      <c r="F17288" s="7"/>
      <c r="G17288" s="7"/>
      <c r="H17288" s="7"/>
      <c r="I17288" s="7"/>
      <c r="J17288" s="7"/>
      <c r="K17288" s="7"/>
      <c r="L17288" s="7"/>
      <c r="M17288" s="7"/>
      <c r="N17288" s="7"/>
      <c r="O17288" s="7"/>
      <c r="P17288" s="7"/>
      <c r="Q17288" s="7"/>
      <c r="R17288" s="7"/>
      <c r="S17288" s="7"/>
      <c r="T17288" s="7"/>
      <c r="U17288" s="7"/>
      <c r="V17288" s="7"/>
      <c r="W17288" s="7"/>
      <c r="X17288" s="7"/>
      <c r="Y17288" s="7"/>
      <c r="Z17288" s="7"/>
      <c r="AA17288" s="7"/>
      <c r="AB17288" s="7"/>
      <c r="AC17288" s="7"/>
      <c r="AD17288" s="7"/>
      <c r="AE17288" s="7"/>
      <c r="AF17288" s="7"/>
    </row>
    <row r="17289" spans="1:32">
      <c r="A17289" s="7"/>
      <c r="B17289" s="7"/>
      <c r="C17289" s="7"/>
      <c r="D17289" s="7"/>
      <c r="E17289" s="7"/>
      <c r="F17289" s="7"/>
      <c r="G17289" s="7"/>
      <c r="H17289" s="7"/>
      <c r="I17289" s="7"/>
      <c r="J17289" s="7"/>
      <c r="K17289" s="7"/>
      <c r="L17289" s="7"/>
      <c r="M17289" s="7"/>
      <c r="N17289" s="7"/>
      <c r="O17289" s="7"/>
      <c r="P17289" s="7"/>
      <c r="Q17289" s="7"/>
      <c r="R17289" s="7"/>
      <c r="S17289" s="7"/>
      <c r="T17289" s="7"/>
      <c r="U17289" s="7"/>
      <c r="V17289" s="7"/>
      <c r="W17289" s="7"/>
      <c r="X17289" s="7"/>
      <c r="Y17289" s="7"/>
      <c r="Z17289" s="7"/>
      <c r="AA17289" s="7"/>
      <c r="AB17289" s="7"/>
      <c r="AC17289" s="7"/>
      <c r="AD17289" s="7"/>
      <c r="AE17289" s="7"/>
      <c r="AF17289" s="7"/>
    </row>
    <row r="17290" spans="1:32">
      <c r="A17290" s="7"/>
      <c r="B17290" s="7"/>
      <c r="C17290" s="7"/>
      <c r="D17290" s="7"/>
      <c r="E17290" s="7"/>
      <c r="F17290" s="7"/>
      <c r="G17290" s="7"/>
      <c r="H17290" s="7"/>
      <c r="I17290" s="7"/>
      <c r="J17290" s="7"/>
      <c r="K17290" s="7"/>
      <c r="L17290" s="7"/>
      <c r="M17290" s="7"/>
      <c r="N17290" s="7"/>
      <c r="O17290" s="7"/>
      <c r="P17290" s="7"/>
      <c r="Q17290" s="7"/>
      <c r="R17290" s="7"/>
      <c r="S17290" s="7"/>
      <c r="T17290" s="7"/>
      <c r="U17290" s="7"/>
      <c r="V17290" s="7"/>
      <c r="W17290" s="7"/>
      <c r="X17290" s="7"/>
      <c r="Y17290" s="7"/>
      <c r="Z17290" s="7"/>
      <c r="AA17290" s="7"/>
      <c r="AB17290" s="7"/>
      <c r="AC17290" s="7"/>
      <c r="AD17290" s="7"/>
      <c r="AE17290" s="7"/>
      <c r="AF17290" s="7"/>
    </row>
    <row r="17291" spans="1:32">
      <c r="A17291" s="7"/>
      <c r="B17291" s="7"/>
      <c r="C17291" s="7"/>
      <c r="D17291" s="7"/>
      <c r="E17291" s="7"/>
      <c r="F17291" s="7"/>
      <c r="G17291" s="7"/>
      <c r="H17291" s="7"/>
      <c r="I17291" s="7"/>
      <c r="J17291" s="7"/>
      <c r="K17291" s="7"/>
      <c r="L17291" s="7"/>
      <c r="M17291" s="7"/>
      <c r="N17291" s="7"/>
      <c r="O17291" s="7"/>
      <c r="P17291" s="7"/>
      <c r="Q17291" s="7"/>
      <c r="R17291" s="7"/>
      <c r="S17291" s="7"/>
      <c r="T17291" s="7"/>
      <c r="U17291" s="7"/>
      <c r="V17291" s="7"/>
      <c r="W17291" s="7"/>
      <c r="X17291" s="7"/>
      <c r="Y17291" s="7"/>
      <c r="Z17291" s="7"/>
      <c r="AA17291" s="7"/>
      <c r="AB17291" s="7"/>
      <c r="AC17291" s="7"/>
      <c r="AD17291" s="7"/>
      <c r="AE17291" s="7"/>
      <c r="AF17291" s="7"/>
    </row>
    <row r="17292" spans="1:32">
      <c r="A17292" s="7"/>
      <c r="B17292" s="7"/>
      <c r="C17292" s="7"/>
      <c r="D17292" s="7"/>
      <c r="E17292" s="7"/>
      <c r="F17292" s="7"/>
      <c r="G17292" s="7"/>
      <c r="H17292" s="7"/>
      <c r="I17292" s="7"/>
      <c r="J17292" s="7"/>
      <c r="K17292" s="7"/>
      <c r="L17292" s="7"/>
      <c r="M17292" s="7"/>
      <c r="N17292" s="7"/>
      <c r="O17292" s="7"/>
      <c r="P17292" s="7"/>
      <c r="Q17292" s="7"/>
      <c r="R17292" s="7"/>
      <c r="S17292" s="7"/>
      <c r="T17292" s="7"/>
      <c r="U17292" s="7"/>
      <c r="V17292" s="7"/>
      <c r="W17292" s="7"/>
      <c r="X17292" s="7"/>
      <c r="Y17292" s="7"/>
      <c r="Z17292" s="7"/>
      <c r="AA17292" s="7"/>
      <c r="AB17292" s="7"/>
      <c r="AC17292" s="7"/>
      <c r="AD17292" s="7"/>
      <c r="AE17292" s="7"/>
      <c r="AF17292" s="7"/>
    </row>
    <row r="17293" spans="1:32">
      <c r="A17293" s="7"/>
      <c r="B17293" s="7"/>
      <c r="C17293" s="7"/>
      <c r="D17293" s="7"/>
      <c r="E17293" s="7"/>
      <c r="F17293" s="7"/>
      <c r="G17293" s="7"/>
      <c r="H17293" s="7"/>
      <c r="I17293" s="7"/>
      <c r="J17293" s="7"/>
      <c r="K17293" s="7"/>
      <c r="L17293" s="7"/>
      <c r="M17293" s="7"/>
      <c r="N17293" s="7"/>
      <c r="O17293" s="7"/>
      <c r="P17293" s="7"/>
      <c r="Q17293" s="7"/>
      <c r="R17293" s="7"/>
      <c r="S17293" s="7"/>
      <c r="T17293" s="7"/>
      <c r="U17293" s="7"/>
      <c r="V17293" s="7"/>
      <c r="W17293" s="7"/>
      <c r="X17293" s="7"/>
      <c r="Y17293" s="7"/>
      <c r="Z17293" s="7"/>
      <c r="AA17293" s="7"/>
      <c r="AB17293" s="7"/>
      <c r="AC17293" s="7"/>
      <c r="AD17293" s="7"/>
      <c r="AE17293" s="7"/>
      <c r="AF17293" s="7"/>
    </row>
    <row r="17294" spans="1:32">
      <c r="A17294" s="7"/>
      <c r="B17294" s="7"/>
      <c r="C17294" s="7"/>
      <c r="D17294" s="7"/>
      <c r="E17294" s="7"/>
      <c r="F17294" s="7"/>
      <c r="G17294" s="7"/>
      <c r="H17294" s="7"/>
      <c r="I17294" s="7"/>
      <c r="J17294" s="7"/>
      <c r="K17294" s="7"/>
      <c r="L17294" s="7"/>
      <c r="M17294" s="7"/>
      <c r="N17294" s="7"/>
      <c r="O17294" s="7"/>
      <c r="P17294" s="7"/>
      <c r="Q17294" s="7"/>
      <c r="R17294" s="7"/>
      <c r="S17294" s="7"/>
      <c r="T17294" s="7"/>
      <c r="U17294" s="7"/>
      <c r="V17294" s="7"/>
      <c r="W17294" s="7"/>
      <c r="X17294" s="7"/>
      <c r="Y17294" s="7"/>
      <c r="Z17294" s="7"/>
      <c r="AA17294" s="7"/>
      <c r="AB17294" s="7"/>
      <c r="AC17294" s="7"/>
      <c r="AD17294" s="7"/>
      <c r="AE17294" s="7"/>
      <c r="AF17294" s="7"/>
    </row>
    <row r="17295" spans="1:32">
      <c r="A17295" s="7"/>
      <c r="B17295" s="7"/>
      <c r="C17295" s="7"/>
      <c r="D17295" s="7"/>
      <c r="E17295" s="7"/>
      <c r="F17295" s="7"/>
      <c r="G17295" s="7"/>
      <c r="H17295" s="7"/>
      <c r="I17295" s="7"/>
      <c r="J17295" s="7"/>
      <c r="K17295" s="7"/>
      <c r="L17295" s="7"/>
      <c r="M17295" s="7"/>
      <c r="N17295" s="7"/>
      <c r="O17295" s="7"/>
      <c r="P17295" s="7"/>
      <c r="Q17295" s="7"/>
      <c r="R17295" s="7"/>
      <c r="S17295" s="7"/>
      <c r="T17295" s="7"/>
      <c r="U17295" s="7"/>
      <c r="V17295" s="7"/>
      <c r="W17295" s="7"/>
      <c r="X17295" s="7"/>
      <c r="Y17295" s="7"/>
      <c r="Z17295" s="7"/>
      <c r="AA17295" s="7"/>
      <c r="AB17295" s="7"/>
      <c r="AC17295" s="7"/>
      <c r="AD17295" s="7"/>
      <c r="AE17295" s="7"/>
      <c r="AF17295" s="7"/>
    </row>
    <row r="17296" spans="1:32">
      <c r="A17296" s="7"/>
      <c r="B17296" s="7"/>
      <c r="C17296" s="7"/>
      <c r="D17296" s="7"/>
      <c r="E17296" s="7"/>
      <c r="F17296" s="7"/>
      <c r="G17296" s="7"/>
      <c r="H17296" s="7"/>
      <c r="I17296" s="7"/>
      <c r="J17296" s="7"/>
      <c r="K17296" s="7"/>
      <c r="L17296" s="7"/>
      <c r="M17296" s="7"/>
      <c r="N17296" s="7"/>
      <c r="O17296" s="7"/>
      <c r="P17296" s="7"/>
      <c r="Q17296" s="7"/>
      <c r="R17296" s="7"/>
      <c r="S17296" s="7"/>
      <c r="T17296" s="7"/>
      <c r="U17296" s="7"/>
      <c r="V17296" s="7"/>
      <c r="W17296" s="7"/>
      <c r="X17296" s="7"/>
      <c r="Y17296" s="7"/>
      <c r="Z17296" s="7"/>
      <c r="AA17296" s="7"/>
      <c r="AB17296" s="7"/>
      <c r="AC17296" s="7"/>
      <c r="AD17296" s="7"/>
      <c r="AE17296" s="7"/>
      <c r="AF17296" s="7"/>
    </row>
    <row r="17297" spans="1:32">
      <c r="A17297" s="7"/>
      <c r="B17297" s="7"/>
      <c r="C17297" s="7"/>
      <c r="D17297" s="7"/>
      <c r="E17297" s="7"/>
      <c r="F17297" s="7"/>
      <c r="G17297" s="7"/>
      <c r="H17297" s="7"/>
      <c r="I17297" s="7"/>
      <c r="J17297" s="7"/>
      <c r="K17297" s="7"/>
      <c r="L17297" s="7"/>
      <c r="M17297" s="7"/>
      <c r="N17297" s="7"/>
      <c r="O17297" s="7"/>
      <c r="P17297" s="7"/>
      <c r="Q17297" s="7"/>
      <c r="R17297" s="7"/>
      <c r="S17297" s="7"/>
      <c r="T17297" s="7"/>
      <c r="U17297" s="7"/>
      <c r="V17297" s="7"/>
      <c r="W17297" s="7"/>
      <c r="X17297" s="7"/>
      <c r="Y17297" s="7"/>
      <c r="Z17297" s="7"/>
      <c r="AA17297" s="7"/>
      <c r="AB17297" s="7"/>
      <c r="AC17297" s="7"/>
      <c r="AD17297" s="7"/>
      <c r="AE17297" s="7"/>
      <c r="AF17297" s="7"/>
    </row>
    <row r="17298" spans="1:32">
      <c r="A17298" s="7"/>
      <c r="B17298" s="7"/>
      <c r="C17298" s="7"/>
      <c r="D17298" s="7"/>
      <c r="E17298" s="7"/>
      <c r="F17298" s="7"/>
      <c r="G17298" s="7"/>
      <c r="H17298" s="7"/>
      <c r="I17298" s="7"/>
      <c r="J17298" s="7"/>
      <c r="K17298" s="7"/>
      <c r="L17298" s="7"/>
      <c r="M17298" s="7"/>
      <c r="N17298" s="7"/>
      <c r="O17298" s="7"/>
      <c r="P17298" s="7"/>
      <c r="Q17298" s="7"/>
      <c r="R17298" s="7"/>
      <c r="S17298" s="7"/>
      <c r="T17298" s="7"/>
      <c r="U17298" s="7"/>
      <c r="V17298" s="7"/>
      <c r="W17298" s="7"/>
      <c r="X17298" s="7"/>
      <c r="Y17298" s="7"/>
      <c r="Z17298" s="7"/>
      <c r="AA17298" s="7"/>
      <c r="AB17298" s="7"/>
      <c r="AC17298" s="7"/>
      <c r="AD17298" s="7"/>
      <c r="AE17298" s="7"/>
      <c r="AF17298" s="7"/>
    </row>
    <row r="17299" spans="1:32">
      <c r="A17299" s="7"/>
      <c r="B17299" s="7"/>
      <c r="C17299" s="7"/>
      <c r="D17299" s="7"/>
      <c r="E17299" s="7"/>
      <c r="F17299" s="7"/>
      <c r="G17299" s="7"/>
      <c r="H17299" s="7"/>
      <c r="I17299" s="7"/>
      <c r="J17299" s="7"/>
      <c r="K17299" s="7"/>
      <c r="L17299" s="7"/>
      <c r="M17299" s="7"/>
      <c r="N17299" s="7"/>
      <c r="O17299" s="7"/>
      <c r="P17299" s="7"/>
      <c r="Q17299" s="7"/>
      <c r="R17299" s="7"/>
      <c r="S17299" s="7"/>
      <c r="T17299" s="7"/>
      <c r="U17299" s="7"/>
      <c r="V17299" s="7"/>
      <c r="W17299" s="7"/>
      <c r="X17299" s="7"/>
      <c r="Y17299" s="7"/>
      <c r="Z17299" s="7"/>
      <c r="AA17299" s="7"/>
      <c r="AB17299" s="7"/>
      <c r="AC17299" s="7"/>
      <c r="AD17299" s="7"/>
      <c r="AE17299" s="7"/>
      <c r="AF17299" s="7"/>
    </row>
    <row r="17300" spans="1:32">
      <c r="A17300" s="7"/>
      <c r="B17300" s="7"/>
      <c r="C17300" s="7"/>
      <c r="D17300" s="7"/>
      <c r="E17300" s="7"/>
      <c r="F17300" s="7"/>
      <c r="G17300" s="7"/>
      <c r="H17300" s="7"/>
      <c r="I17300" s="7"/>
      <c r="J17300" s="7"/>
      <c r="K17300" s="7"/>
      <c r="L17300" s="7"/>
      <c r="M17300" s="7"/>
      <c r="N17300" s="7"/>
      <c r="O17300" s="7"/>
      <c r="P17300" s="7"/>
      <c r="Q17300" s="7"/>
      <c r="R17300" s="7"/>
      <c r="S17300" s="7"/>
      <c r="T17300" s="7"/>
      <c r="U17300" s="7"/>
      <c r="V17300" s="7"/>
      <c r="W17300" s="7"/>
      <c r="X17300" s="7"/>
      <c r="Y17300" s="7"/>
      <c r="Z17300" s="7"/>
      <c r="AA17300" s="7"/>
      <c r="AB17300" s="7"/>
      <c r="AC17300" s="7"/>
      <c r="AD17300" s="7"/>
      <c r="AE17300" s="7"/>
      <c r="AF17300" s="7"/>
    </row>
    <row r="17301" spans="1:32">
      <c r="A17301" s="7"/>
      <c r="B17301" s="7"/>
      <c r="C17301" s="7"/>
      <c r="D17301" s="7"/>
      <c r="E17301" s="7"/>
      <c r="F17301" s="7"/>
      <c r="G17301" s="7"/>
      <c r="H17301" s="7"/>
      <c r="I17301" s="7"/>
      <c r="J17301" s="7"/>
      <c r="K17301" s="7"/>
      <c r="L17301" s="7"/>
      <c r="M17301" s="7"/>
      <c r="N17301" s="7"/>
      <c r="O17301" s="7"/>
      <c r="P17301" s="7"/>
      <c r="Q17301" s="7"/>
      <c r="R17301" s="7"/>
      <c r="S17301" s="7"/>
      <c r="T17301" s="7"/>
      <c r="U17301" s="7"/>
      <c r="V17301" s="7"/>
      <c r="W17301" s="7"/>
      <c r="X17301" s="7"/>
      <c r="Y17301" s="7"/>
      <c r="Z17301" s="7"/>
      <c r="AA17301" s="7"/>
      <c r="AB17301" s="7"/>
      <c r="AC17301" s="7"/>
      <c r="AD17301" s="7"/>
      <c r="AE17301" s="7"/>
      <c r="AF17301" s="7"/>
    </row>
    <row r="17302" spans="1:32">
      <c r="A17302" s="7"/>
      <c r="B17302" s="7"/>
      <c r="C17302" s="7"/>
      <c r="D17302" s="7"/>
      <c r="E17302" s="7"/>
      <c r="F17302" s="7"/>
      <c r="G17302" s="7"/>
      <c r="H17302" s="7"/>
      <c r="I17302" s="7"/>
      <c r="J17302" s="7"/>
      <c r="K17302" s="7"/>
      <c r="L17302" s="7"/>
      <c r="M17302" s="7"/>
      <c r="N17302" s="7"/>
      <c r="O17302" s="7"/>
      <c r="P17302" s="7"/>
      <c r="Q17302" s="7"/>
      <c r="R17302" s="7"/>
      <c r="S17302" s="7"/>
      <c r="T17302" s="7"/>
      <c r="U17302" s="7"/>
      <c r="V17302" s="7"/>
      <c r="W17302" s="7"/>
      <c r="X17302" s="7"/>
      <c r="Y17302" s="7"/>
      <c r="Z17302" s="7"/>
      <c r="AA17302" s="7"/>
      <c r="AB17302" s="7"/>
      <c r="AC17302" s="7"/>
      <c r="AD17302" s="7"/>
      <c r="AE17302" s="7"/>
      <c r="AF17302" s="7"/>
    </row>
    <row r="17303" spans="1:32">
      <c r="A17303" s="7"/>
      <c r="B17303" s="7"/>
      <c r="C17303" s="7"/>
      <c r="D17303" s="7"/>
      <c r="E17303" s="7"/>
      <c r="F17303" s="7"/>
      <c r="G17303" s="7"/>
      <c r="H17303" s="7"/>
      <c r="I17303" s="7"/>
      <c r="J17303" s="7"/>
      <c r="K17303" s="7"/>
      <c r="L17303" s="7"/>
      <c r="M17303" s="7"/>
      <c r="N17303" s="7"/>
      <c r="O17303" s="7"/>
      <c r="P17303" s="7"/>
      <c r="Q17303" s="7"/>
      <c r="R17303" s="7"/>
      <c r="S17303" s="7"/>
      <c r="T17303" s="7"/>
      <c r="U17303" s="7"/>
      <c r="V17303" s="7"/>
      <c r="W17303" s="7"/>
      <c r="X17303" s="7"/>
      <c r="Y17303" s="7"/>
      <c r="Z17303" s="7"/>
      <c r="AA17303" s="7"/>
      <c r="AB17303" s="7"/>
      <c r="AC17303" s="7"/>
      <c r="AD17303" s="7"/>
      <c r="AE17303" s="7"/>
      <c r="AF17303" s="7"/>
    </row>
    <row r="17304" spans="1:32">
      <c r="A17304" s="7"/>
      <c r="B17304" s="7"/>
      <c r="C17304" s="7"/>
      <c r="D17304" s="7"/>
      <c r="E17304" s="7"/>
      <c r="F17304" s="7"/>
      <c r="G17304" s="7"/>
      <c r="H17304" s="7"/>
      <c r="I17304" s="7"/>
      <c r="J17304" s="7"/>
      <c r="K17304" s="7"/>
      <c r="L17304" s="7"/>
      <c r="M17304" s="7"/>
      <c r="N17304" s="7"/>
      <c r="O17304" s="7"/>
      <c r="P17304" s="7"/>
      <c r="Q17304" s="7"/>
      <c r="R17304" s="7"/>
      <c r="S17304" s="7"/>
      <c r="T17304" s="7"/>
      <c r="U17304" s="7"/>
      <c r="V17304" s="7"/>
      <c r="W17304" s="7"/>
      <c r="X17304" s="7"/>
      <c r="Y17304" s="7"/>
      <c r="Z17304" s="7"/>
      <c r="AA17304" s="7"/>
      <c r="AB17304" s="7"/>
      <c r="AC17304" s="7"/>
      <c r="AD17304" s="7"/>
      <c r="AE17304" s="7"/>
      <c r="AF17304" s="7"/>
    </row>
    <row r="17305" spans="1:32">
      <c r="A17305" s="7"/>
      <c r="B17305" s="7"/>
      <c r="C17305" s="7"/>
      <c r="D17305" s="7"/>
      <c r="E17305" s="7"/>
      <c r="F17305" s="7"/>
      <c r="G17305" s="7"/>
      <c r="H17305" s="7"/>
      <c r="I17305" s="7"/>
      <c r="J17305" s="7"/>
      <c r="K17305" s="7"/>
      <c r="L17305" s="7"/>
      <c r="M17305" s="7"/>
      <c r="N17305" s="7"/>
      <c r="O17305" s="7"/>
      <c r="P17305" s="7"/>
      <c r="Q17305" s="7"/>
      <c r="R17305" s="7"/>
      <c r="S17305" s="7"/>
      <c r="T17305" s="7"/>
      <c r="U17305" s="7"/>
      <c r="V17305" s="7"/>
      <c r="W17305" s="7"/>
      <c r="X17305" s="7"/>
      <c r="Y17305" s="7"/>
      <c r="Z17305" s="7"/>
      <c r="AA17305" s="7"/>
      <c r="AB17305" s="7"/>
      <c r="AC17305" s="7"/>
      <c r="AD17305" s="7"/>
      <c r="AE17305" s="7"/>
      <c r="AF17305" s="7"/>
    </row>
    <row r="17306" spans="1:32">
      <c r="A17306" s="7"/>
      <c r="B17306" s="7"/>
      <c r="C17306" s="7"/>
      <c r="D17306" s="7"/>
      <c r="E17306" s="7"/>
      <c r="F17306" s="7"/>
      <c r="G17306" s="7"/>
      <c r="H17306" s="7"/>
      <c r="I17306" s="7"/>
      <c r="J17306" s="7"/>
      <c r="K17306" s="7"/>
      <c r="L17306" s="7"/>
      <c r="M17306" s="7"/>
      <c r="N17306" s="7"/>
      <c r="O17306" s="7"/>
      <c r="P17306" s="7"/>
      <c r="Q17306" s="7"/>
      <c r="R17306" s="7"/>
      <c r="S17306" s="7"/>
      <c r="T17306" s="7"/>
      <c r="U17306" s="7"/>
      <c r="V17306" s="7"/>
      <c r="W17306" s="7"/>
      <c r="X17306" s="7"/>
      <c r="Y17306" s="7"/>
      <c r="Z17306" s="7"/>
      <c r="AA17306" s="7"/>
      <c r="AB17306" s="7"/>
      <c r="AC17306" s="7"/>
      <c r="AD17306" s="7"/>
      <c r="AE17306" s="7"/>
      <c r="AF17306" s="7"/>
    </row>
    <row r="17307" spans="1:32">
      <c r="A17307" s="7"/>
      <c r="B17307" s="7"/>
      <c r="C17307" s="7"/>
      <c r="D17307" s="7"/>
      <c r="E17307" s="7"/>
      <c r="F17307" s="7"/>
      <c r="G17307" s="7"/>
      <c r="H17307" s="7"/>
      <c r="I17307" s="7"/>
      <c r="J17307" s="7"/>
      <c r="K17307" s="7"/>
      <c r="L17307" s="7"/>
      <c r="M17307" s="7"/>
      <c r="N17307" s="7"/>
      <c r="O17307" s="7"/>
      <c r="P17307" s="7"/>
      <c r="Q17307" s="7"/>
      <c r="R17307" s="7"/>
      <c r="S17307" s="7"/>
      <c r="T17307" s="7"/>
      <c r="U17307" s="7"/>
      <c r="V17307" s="7"/>
      <c r="W17307" s="7"/>
      <c r="X17307" s="7"/>
      <c r="Y17307" s="7"/>
      <c r="Z17307" s="7"/>
      <c r="AA17307" s="7"/>
      <c r="AB17307" s="7"/>
      <c r="AC17307" s="7"/>
      <c r="AD17307" s="7"/>
      <c r="AE17307" s="7"/>
      <c r="AF17307" s="7"/>
    </row>
    <row r="17308" spans="1:32">
      <c r="A17308" s="7"/>
      <c r="B17308" s="7"/>
      <c r="C17308" s="7"/>
      <c r="D17308" s="7"/>
      <c r="E17308" s="7"/>
      <c r="F17308" s="7"/>
      <c r="G17308" s="7"/>
      <c r="H17308" s="7"/>
      <c r="I17308" s="7"/>
      <c r="J17308" s="7"/>
      <c r="K17308" s="7"/>
      <c r="L17308" s="7"/>
      <c r="M17308" s="7"/>
      <c r="N17308" s="7"/>
      <c r="O17308" s="7"/>
      <c r="P17308" s="7"/>
      <c r="Q17308" s="7"/>
      <c r="R17308" s="7"/>
      <c r="S17308" s="7"/>
      <c r="T17308" s="7"/>
      <c r="U17308" s="7"/>
      <c r="V17308" s="7"/>
      <c r="W17308" s="7"/>
      <c r="X17308" s="7"/>
      <c r="Y17308" s="7"/>
      <c r="Z17308" s="7"/>
      <c r="AA17308" s="7"/>
      <c r="AB17308" s="7"/>
      <c r="AC17308" s="7"/>
      <c r="AD17308" s="7"/>
      <c r="AE17308" s="7"/>
      <c r="AF17308" s="7"/>
    </row>
    <row r="17309" spans="1:32">
      <c r="A17309" s="7"/>
      <c r="B17309" s="7"/>
      <c r="C17309" s="7"/>
      <c r="D17309" s="7"/>
      <c r="E17309" s="7"/>
      <c r="F17309" s="7"/>
      <c r="G17309" s="7"/>
      <c r="H17309" s="7"/>
      <c r="I17309" s="7"/>
      <c r="J17309" s="7"/>
      <c r="K17309" s="7"/>
      <c r="L17309" s="7"/>
      <c r="M17309" s="7"/>
      <c r="N17309" s="7"/>
      <c r="O17309" s="7"/>
      <c r="P17309" s="7"/>
      <c r="Q17309" s="7"/>
      <c r="R17309" s="7"/>
      <c r="S17309" s="7"/>
      <c r="T17309" s="7"/>
      <c r="U17309" s="7"/>
      <c r="V17309" s="7"/>
      <c r="W17309" s="7"/>
      <c r="X17309" s="7"/>
      <c r="Y17309" s="7"/>
      <c r="Z17309" s="7"/>
      <c r="AA17309" s="7"/>
      <c r="AB17309" s="7"/>
      <c r="AC17309" s="7"/>
      <c r="AD17309" s="7"/>
      <c r="AE17309" s="7"/>
      <c r="AF17309" s="7"/>
    </row>
    <row r="17310" spans="1:32">
      <c r="A17310" s="7"/>
      <c r="B17310" s="7"/>
      <c r="C17310" s="7"/>
      <c r="D17310" s="7"/>
      <c r="E17310" s="7"/>
      <c r="F17310" s="7"/>
      <c r="G17310" s="7"/>
      <c r="H17310" s="7"/>
      <c r="I17310" s="7"/>
      <c r="J17310" s="7"/>
      <c r="K17310" s="7"/>
      <c r="L17310" s="7"/>
      <c r="M17310" s="7"/>
      <c r="N17310" s="7"/>
      <c r="O17310" s="7"/>
      <c r="P17310" s="7"/>
      <c r="Q17310" s="7"/>
      <c r="R17310" s="7"/>
      <c r="S17310" s="7"/>
      <c r="T17310" s="7"/>
      <c r="U17310" s="7"/>
      <c r="V17310" s="7"/>
      <c r="W17310" s="7"/>
      <c r="X17310" s="7"/>
      <c r="Y17310" s="7"/>
      <c r="Z17310" s="7"/>
      <c r="AA17310" s="7"/>
      <c r="AB17310" s="7"/>
      <c r="AC17310" s="7"/>
      <c r="AD17310" s="7"/>
      <c r="AE17310" s="7"/>
      <c r="AF17310" s="7"/>
    </row>
    <row r="17311" spans="1:32">
      <c r="A17311" s="7"/>
      <c r="B17311" s="7"/>
      <c r="C17311" s="7"/>
      <c r="D17311" s="7"/>
      <c r="E17311" s="7"/>
      <c r="F17311" s="7"/>
      <c r="G17311" s="7"/>
      <c r="H17311" s="7"/>
      <c r="I17311" s="7"/>
      <c r="J17311" s="7"/>
      <c r="K17311" s="7"/>
      <c r="L17311" s="7"/>
      <c r="M17311" s="7"/>
      <c r="N17311" s="7"/>
      <c r="O17311" s="7"/>
      <c r="P17311" s="7"/>
      <c r="Q17311" s="7"/>
      <c r="R17311" s="7"/>
      <c r="S17311" s="7"/>
      <c r="T17311" s="7"/>
      <c r="U17311" s="7"/>
      <c r="V17311" s="7"/>
      <c r="W17311" s="7"/>
      <c r="X17311" s="7"/>
      <c r="Y17311" s="7"/>
      <c r="Z17311" s="7"/>
      <c r="AA17311" s="7"/>
      <c r="AB17311" s="7"/>
      <c r="AC17311" s="7"/>
      <c r="AD17311" s="7"/>
      <c r="AE17311" s="7"/>
      <c r="AF17311" s="7"/>
    </row>
    <row r="17312" spans="1:32">
      <c r="A17312" s="7"/>
      <c r="B17312" s="7"/>
      <c r="C17312" s="7"/>
      <c r="D17312" s="7"/>
      <c r="E17312" s="7"/>
      <c r="F17312" s="7"/>
      <c r="G17312" s="7"/>
      <c r="H17312" s="7"/>
      <c r="I17312" s="7"/>
      <c r="J17312" s="7"/>
      <c r="K17312" s="7"/>
      <c r="L17312" s="7"/>
      <c r="M17312" s="7"/>
      <c r="N17312" s="7"/>
      <c r="O17312" s="7"/>
      <c r="P17312" s="7"/>
      <c r="Q17312" s="7"/>
      <c r="R17312" s="7"/>
      <c r="S17312" s="7"/>
      <c r="T17312" s="7"/>
      <c r="U17312" s="7"/>
      <c r="V17312" s="7"/>
      <c r="W17312" s="7"/>
      <c r="X17312" s="7"/>
      <c r="Y17312" s="7"/>
      <c r="Z17312" s="7"/>
      <c r="AA17312" s="7"/>
      <c r="AB17312" s="7"/>
      <c r="AC17312" s="7"/>
      <c r="AD17312" s="7"/>
      <c r="AE17312" s="7"/>
      <c r="AF17312" s="7"/>
    </row>
    <row r="17313" spans="1:32">
      <c r="A17313" s="7"/>
      <c r="B17313" s="7"/>
      <c r="C17313" s="7"/>
      <c r="D17313" s="7"/>
      <c r="E17313" s="7"/>
      <c r="F17313" s="7"/>
      <c r="G17313" s="7"/>
      <c r="H17313" s="7"/>
      <c r="I17313" s="7"/>
      <c r="J17313" s="7"/>
      <c r="K17313" s="7"/>
      <c r="L17313" s="7"/>
      <c r="M17313" s="7"/>
      <c r="N17313" s="7"/>
      <c r="O17313" s="7"/>
      <c r="P17313" s="7"/>
      <c r="Q17313" s="7"/>
      <c r="R17313" s="7"/>
      <c r="S17313" s="7"/>
      <c r="T17313" s="7"/>
      <c r="U17313" s="7"/>
      <c r="V17313" s="7"/>
      <c r="W17313" s="7"/>
      <c r="X17313" s="7"/>
      <c r="Y17313" s="7"/>
      <c r="Z17313" s="7"/>
      <c r="AA17313" s="7"/>
      <c r="AB17313" s="7"/>
      <c r="AC17313" s="7"/>
      <c r="AD17313" s="7"/>
      <c r="AE17313" s="7"/>
      <c r="AF17313" s="7"/>
    </row>
    <row r="17314" spans="1:32">
      <c r="A17314" s="7"/>
      <c r="B17314" s="7"/>
      <c r="C17314" s="7"/>
      <c r="D17314" s="7"/>
      <c r="E17314" s="7"/>
      <c r="F17314" s="7"/>
      <c r="G17314" s="7"/>
      <c r="H17314" s="7"/>
      <c r="I17314" s="7"/>
      <c r="J17314" s="7"/>
      <c r="K17314" s="7"/>
      <c r="L17314" s="7"/>
      <c r="M17314" s="7"/>
      <c r="N17314" s="7"/>
      <c r="O17314" s="7"/>
      <c r="P17314" s="7"/>
      <c r="Q17314" s="7"/>
      <c r="R17314" s="7"/>
      <c r="S17314" s="7"/>
      <c r="T17314" s="7"/>
      <c r="U17314" s="7"/>
      <c r="V17314" s="7"/>
      <c r="W17314" s="7"/>
      <c r="X17314" s="7"/>
      <c r="Y17314" s="7"/>
      <c r="Z17314" s="7"/>
      <c r="AA17314" s="7"/>
      <c r="AB17314" s="7"/>
      <c r="AC17314" s="7"/>
      <c r="AD17314" s="7"/>
      <c r="AE17314" s="7"/>
      <c r="AF17314" s="7"/>
    </row>
    <row r="17315" spans="1:32">
      <c r="A17315" s="7"/>
      <c r="B17315" s="7"/>
      <c r="C17315" s="7"/>
      <c r="D17315" s="7"/>
      <c r="E17315" s="7"/>
      <c r="F17315" s="7"/>
      <c r="G17315" s="7"/>
      <c r="H17315" s="7"/>
      <c r="I17315" s="7"/>
      <c r="J17315" s="7"/>
      <c r="K17315" s="7"/>
      <c r="L17315" s="7"/>
      <c r="M17315" s="7"/>
      <c r="N17315" s="7"/>
      <c r="O17315" s="7"/>
      <c r="P17315" s="7"/>
      <c r="Q17315" s="7"/>
      <c r="R17315" s="7"/>
      <c r="S17315" s="7"/>
      <c r="T17315" s="7"/>
      <c r="U17315" s="7"/>
      <c r="V17315" s="7"/>
      <c r="W17315" s="7"/>
      <c r="X17315" s="7"/>
      <c r="Y17315" s="7"/>
      <c r="Z17315" s="7"/>
      <c r="AA17315" s="7"/>
      <c r="AB17315" s="7"/>
      <c r="AC17315" s="7"/>
      <c r="AD17315" s="7"/>
      <c r="AE17315" s="7"/>
      <c r="AF17315" s="7"/>
    </row>
    <row r="17316" spans="1:32">
      <c r="A17316" s="7"/>
      <c r="B17316" s="7"/>
      <c r="C17316" s="7"/>
      <c r="D17316" s="7"/>
      <c r="E17316" s="7"/>
      <c r="F17316" s="7"/>
      <c r="G17316" s="7"/>
      <c r="H17316" s="7"/>
      <c r="I17316" s="7"/>
      <c r="J17316" s="7"/>
      <c r="K17316" s="7"/>
      <c r="L17316" s="7"/>
      <c r="M17316" s="7"/>
      <c r="N17316" s="7"/>
      <c r="O17316" s="7"/>
      <c r="P17316" s="7"/>
      <c r="Q17316" s="7"/>
      <c r="R17316" s="7"/>
      <c r="S17316" s="7"/>
      <c r="T17316" s="7"/>
      <c r="U17316" s="7"/>
      <c r="V17316" s="7"/>
      <c r="W17316" s="7"/>
      <c r="X17316" s="7"/>
      <c r="Y17316" s="7"/>
      <c r="Z17316" s="7"/>
      <c r="AA17316" s="7"/>
      <c r="AB17316" s="7"/>
      <c r="AC17316" s="7"/>
      <c r="AD17316" s="7"/>
      <c r="AE17316" s="7"/>
      <c r="AF17316" s="7"/>
    </row>
    <row r="17317" spans="1:32">
      <c r="A17317" s="7"/>
      <c r="B17317" s="7"/>
      <c r="C17317" s="7"/>
      <c r="D17317" s="7"/>
      <c r="E17317" s="7"/>
      <c r="F17317" s="7"/>
      <c r="G17317" s="7"/>
      <c r="H17317" s="7"/>
      <c r="I17317" s="7"/>
      <c r="J17317" s="7"/>
      <c r="K17317" s="7"/>
      <c r="L17317" s="7"/>
      <c r="M17317" s="7"/>
      <c r="N17317" s="7"/>
      <c r="O17317" s="7"/>
      <c r="P17317" s="7"/>
      <c r="Q17317" s="7"/>
      <c r="R17317" s="7"/>
      <c r="S17317" s="7"/>
      <c r="T17317" s="7"/>
      <c r="U17317" s="7"/>
      <c r="V17317" s="7"/>
      <c r="W17317" s="7"/>
      <c r="X17317" s="7"/>
      <c r="Y17317" s="7"/>
      <c r="Z17317" s="7"/>
      <c r="AA17317" s="7"/>
      <c r="AB17317" s="7"/>
      <c r="AC17317" s="7"/>
      <c r="AD17317" s="7"/>
      <c r="AE17317" s="7"/>
      <c r="AF17317" s="7"/>
    </row>
    <row r="17318" spans="1:32">
      <c r="A17318" s="7"/>
      <c r="B17318" s="7"/>
      <c r="C17318" s="7"/>
      <c r="D17318" s="7"/>
      <c r="E17318" s="7"/>
      <c r="F17318" s="7"/>
      <c r="G17318" s="7"/>
      <c r="H17318" s="7"/>
      <c r="I17318" s="7"/>
      <c r="J17318" s="7"/>
      <c r="K17318" s="7"/>
      <c r="L17318" s="7"/>
      <c r="M17318" s="7"/>
      <c r="N17318" s="7"/>
      <c r="O17318" s="7"/>
      <c r="P17318" s="7"/>
      <c r="Q17318" s="7"/>
      <c r="R17318" s="7"/>
      <c r="S17318" s="7"/>
      <c r="T17318" s="7"/>
      <c r="U17318" s="7"/>
      <c r="V17318" s="7"/>
      <c r="W17318" s="7"/>
      <c r="X17318" s="7"/>
      <c r="Y17318" s="7"/>
      <c r="Z17318" s="7"/>
      <c r="AA17318" s="7"/>
      <c r="AB17318" s="7"/>
      <c r="AC17318" s="7"/>
      <c r="AD17318" s="7"/>
      <c r="AE17318" s="7"/>
      <c r="AF17318" s="7"/>
    </row>
    <row r="17319" spans="1:32">
      <c r="A17319" s="7"/>
      <c r="B17319" s="7"/>
      <c r="C17319" s="7"/>
      <c r="D17319" s="7"/>
      <c r="E17319" s="7"/>
      <c r="F17319" s="7"/>
      <c r="G17319" s="7"/>
      <c r="H17319" s="7"/>
      <c r="I17319" s="7"/>
      <c r="J17319" s="7"/>
      <c r="K17319" s="7"/>
      <c r="L17319" s="7"/>
      <c r="M17319" s="7"/>
      <c r="N17319" s="7"/>
      <c r="O17319" s="7"/>
      <c r="P17319" s="7"/>
      <c r="Q17319" s="7"/>
      <c r="R17319" s="7"/>
      <c r="S17319" s="7"/>
      <c r="T17319" s="7"/>
      <c r="U17319" s="7"/>
      <c r="V17319" s="7"/>
      <c r="W17319" s="7"/>
      <c r="X17319" s="7"/>
      <c r="Y17319" s="7"/>
      <c r="Z17319" s="7"/>
      <c r="AA17319" s="7"/>
      <c r="AB17319" s="7"/>
      <c r="AC17319" s="7"/>
      <c r="AD17319" s="7"/>
      <c r="AE17319" s="7"/>
      <c r="AF17319" s="7"/>
    </row>
    <row r="17320" spans="1:32">
      <c r="A17320" s="7"/>
      <c r="B17320" s="7"/>
      <c r="C17320" s="7"/>
      <c r="D17320" s="7"/>
      <c r="E17320" s="7"/>
      <c r="F17320" s="7"/>
      <c r="G17320" s="7"/>
      <c r="H17320" s="7"/>
      <c r="I17320" s="7"/>
      <c r="J17320" s="7"/>
      <c r="K17320" s="7"/>
      <c r="L17320" s="7"/>
      <c r="M17320" s="7"/>
      <c r="N17320" s="7"/>
      <c r="O17320" s="7"/>
      <c r="P17320" s="7"/>
      <c r="Q17320" s="7"/>
      <c r="R17320" s="7"/>
      <c r="S17320" s="7"/>
      <c r="T17320" s="7"/>
      <c r="U17320" s="7"/>
      <c r="V17320" s="7"/>
      <c r="W17320" s="7"/>
      <c r="X17320" s="7"/>
      <c r="Y17320" s="7"/>
      <c r="Z17320" s="7"/>
      <c r="AA17320" s="7"/>
      <c r="AB17320" s="7"/>
      <c r="AC17320" s="7"/>
      <c r="AD17320" s="7"/>
      <c r="AE17320" s="7"/>
      <c r="AF17320" s="7"/>
    </row>
    <row r="17321" spans="1:32">
      <c r="A17321" s="7"/>
      <c r="B17321" s="7"/>
      <c r="C17321" s="7"/>
      <c r="D17321" s="7"/>
      <c r="E17321" s="7"/>
      <c r="F17321" s="7"/>
      <c r="G17321" s="7"/>
      <c r="H17321" s="7"/>
      <c r="I17321" s="7"/>
      <c r="J17321" s="7"/>
      <c r="K17321" s="7"/>
      <c r="L17321" s="7"/>
      <c r="M17321" s="7"/>
      <c r="N17321" s="7"/>
      <c r="O17321" s="7"/>
      <c r="P17321" s="7"/>
      <c r="Q17321" s="7"/>
      <c r="R17321" s="7"/>
      <c r="S17321" s="7"/>
      <c r="T17321" s="7"/>
      <c r="U17321" s="7"/>
      <c r="V17321" s="7"/>
      <c r="W17321" s="7"/>
      <c r="X17321" s="7"/>
      <c r="Y17321" s="7"/>
      <c r="Z17321" s="7"/>
      <c r="AA17321" s="7"/>
      <c r="AB17321" s="7"/>
      <c r="AC17321" s="7"/>
      <c r="AD17321" s="7"/>
      <c r="AE17321" s="7"/>
      <c r="AF17321" s="7"/>
    </row>
    <row r="17322" spans="1:32">
      <c r="A17322" s="7"/>
      <c r="B17322" s="7"/>
      <c r="C17322" s="7"/>
      <c r="D17322" s="7"/>
      <c r="E17322" s="7"/>
      <c r="F17322" s="7"/>
      <c r="G17322" s="7"/>
      <c r="H17322" s="7"/>
      <c r="I17322" s="7"/>
      <c r="J17322" s="7"/>
      <c r="K17322" s="7"/>
      <c r="L17322" s="7"/>
      <c r="M17322" s="7"/>
      <c r="N17322" s="7"/>
      <c r="O17322" s="7"/>
      <c r="P17322" s="7"/>
      <c r="Q17322" s="7"/>
      <c r="R17322" s="7"/>
      <c r="S17322" s="7"/>
      <c r="T17322" s="7"/>
      <c r="U17322" s="7"/>
      <c r="V17322" s="7"/>
      <c r="W17322" s="7"/>
      <c r="X17322" s="7"/>
      <c r="Y17322" s="7"/>
      <c r="Z17322" s="7"/>
      <c r="AA17322" s="7"/>
      <c r="AB17322" s="7"/>
      <c r="AC17322" s="7"/>
      <c r="AD17322" s="7"/>
      <c r="AE17322" s="7"/>
      <c r="AF17322" s="7"/>
    </row>
    <row r="17323" spans="1:32">
      <c r="A17323" s="7"/>
      <c r="B17323" s="7"/>
      <c r="C17323" s="7"/>
      <c r="D17323" s="7"/>
      <c r="E17323" s="7"/>
      <c r="F17323" s="7"/>
      <c r="G17323" s="7"/>
      <c r="H17323" s="7"/>
      <c r="I17323" s="7"/>
      <c r="J17323" s="7"/>
      <c r="K17323" s="7"/>
      <c r="L17323" s="7"/>
      <c r="M17323" s="7"/>
      <c r="N17323" s="7"/>
      <c r="O17323" s="7"/>
      <c r="P17323" s="7"/>
      <c r="Q17323" s="7"/>
      <c r="R17323" s="7"/>
      <c r="S17323" s="7"/>
      <c r="T17323" s="7"/>
      <c r="U17323" s="7"/>
      <c r="V17323" s="7"/>
      <c r="W17323" s="7"/>
      <c r="X17323" s="7"/>
      <c r="Y17323" s="7"/>
      <c r="Z17323" s="7"/>
      <c r="AA17323" s="7"/>
      <c r="AB17323" s="7"/>
      <c r="AC17323" s="7"/>
      <c r="AD17323" s="7"/>
      <c r="AE17323" s="7"/>
      <c r="AF17323" s="7"/>
    </row>
    <row r="17324" spans="1:32">
      <c r="A17324" s="7"/>
      <c r="B17324" s="7"/>
      <c r="C17324" s="7"/>
      <c r="D17324" s="7"/>
      <c r="E17324" s="7"/>
      <c r="F17324" s="7"/>
      <c r="G17324" s="7"/>
      <c r="H17324" s="7"/>
      <c r="I17324" s="7"/>
      <c r="J17324" s="7"/>
      <c r="K17324" s="7"/>
      <c r="L17324" s="7"/>
      <c r="M17324" s="7"/>
      <c r="N17324" s="7"/>
      <c r="O17324" s="7"/>
      <c r="P17324" s="7"/>
      <c r="Q17324" s="7"/>
      <c r="R17324" s="7"/>
      <c r="S17324" s="7"/>
      <c r="T17324" s="7"/>
      <c r="U17324" s="7"/>
      <c r="V17324" s="7"/>
      <c r="W17324" s="7"/>
      <c r="X17324" s="7"/>
      <c r="Y17324" s="7"/>
      <c r="Z17324" s="7"/>
      <c r="AA17324" s="7"/>
      <c r="AB17324" s="7"/>
      <c r="AC17324" s="7"/>
      <c r="AD17324" s="7"/>
      <c r="AE17324" s="7"/>
      <c r="AF17324" s="7"/>
    </row>
    <row r="17325" spans="1:32">
      <c r="A17325" s="7"/>
      <c r="B17325" s="7"/>
      <c r="C17325" s="7"/>
      <c r="D17325" s="7"/>
      <c r="E17325" s="7"/>
      <c r="F17325" s="7"/>
      <c r="G17325" s="7"/>
      <c r="H17325" s="7"/>
      <c r="I17325" s="7"/>
      <c r="J17325" s="7"/>
      <c r="K17325" s="7"/>
      <c r="L17325" s="7"/>
      <c r="M17325" s="7"/>
      <c r="N17325" s="7"/>
      <c r="O17325" s="7"/>
      <c r="P17325" s="7"/>
      <c r="Q17325" s="7"/>
      <c r="R17325" s="7"/>
      <c r="S17325" s="7"/>
      <c r="T17325" s="7"/>
      <c r="U17325" s="7"/>
      <c r="V17325" s="7"/>
      <c r="W17325" s="7"/>
      <c r="X17325" s="7"/>
      <c r="Y17325" s="7"/>
      <c r="Z17325" s="7"/>
      <c r="AA17325" s="7"/>
      <c r="AB17325" s="7"/>
      <c r="AC17325" s="7"/>
      <c r="AD17325" s="7"/>
      <c r="AE17325" s="7"/>
      <c r="AF17325" s="7"/>
    </row>
    <row r="17326" spans="1:32">
      <c r="A17326" s="7"/>
      <c r="B17326" s="7"/>
      <c r="C17326" s="7"/>
      <c r="D17326" s="7"/>
      <c r="E17326" s="7"/>
      <c r="F17326" s="7"/>
      <c r="G17326" s="7"/>
      <c r="H17326" s="7"/>
      <c r="I17326" s="7"/>
      <c r="J17326" s="7"/>
      <c r="K17326" s="7"/>
      <c r="L17326" s="7"/>
      <c r="M17326" s="7"/>
      <c r="N17326" s="7"/>
      <c r="O17326" s="7"/>
      <c r="P17326" s="7"/>
      <c r="Q17326" s="7"/>
      <c r="R17326" s="7"/>
      <c r="S17326" s="7"/>
      <c r="T17326" s="7"/>
      <c r="U17326" s="7"/>
      <c r="V17326" s="7"/>
      <c r="W17326" s="7"/>
      <c r="X17326" s="7"/>
      <c r="Y17326" s="7"/>
      <c r="Z17326" s="7"/>
      <c r="AA17326" s="7"/>
      <c r="AB17326" s="7"/>
      <c r="AC17326" s="7"/>
      <c r="AD17326" s="7"/>
      <c r="AE17326" s="7"/>
      <c r="AF17326" s="7"/>
    </row>
    <row r="17327" spans="1:32">
      <c r="A17327" s="7"/>
      <c r="B17327" s="7"/>
      <c r="C17327" s="7"/>
      <c r="D17327" s="7"/>
      <c r="E17327" s="7"/>
      <c r="F17327" s="7"/>
      <c r="G17327" s="7"/>
      <c r="H17327" s="7"/>
      <c r="I17327" s="7"/>
      <c r="J17327" s="7"/>
      <c r="K17327" s="7"/>
      <c r="L17327" s="7"/>
      <c r="M17327" s="7"/>
      <c r="N17327" s="7"/>
      <c r="O17327" s="7"/>
      <c r="P17327" s="7"/>
      <c r="Q17327" s="7"/>
      <c r="R17327" s="7"/>
      <c r="S17327" s="7"/>
      <c r="T17327" s="7"/>
      <c r="U17327" s="7"/>
      <c r="V17327" s="7"/>
      <c r="W17327" s="7"/>
      <c r="X17327" s="7"/>
      <c r="Y17327" s="7"/>
      <c r="Z17327" s="7"/>
      <c r="AA17327" s="7"/>
      <c r="AB17327" s="7"/>
      <c r="AC17327" s="7"/>
      <c r="AD17327" s="7"/>
      <c r="AE17327" s="7"/>
      <c r="AF17327" s="7"/>
    </row>
    <row r="17328" spans="1:32">
      <c r="A17328" s="7"/>
      <c r="B17328" s="7"/>
      <c r="C17328" s="7"/>
      <c r="D17328" s="7"/>
      <c r="E17328" s="7"/>
      <c r="F17328" s="7"/>
      <c r="G17328" s="7"/>
      <c r="H17328" s="7"/>
      <c r="I17328" s="7"/>
      <c r="J17328" s="7"/>
      <c r="K17328" s="7"/>
      <c r="L17328" s="7"/>
      <c r="M17328" s="7"/>
      <c r="N17328" s="7"/>
      <c r="O17328" s="7"/>
      <c r="P17328" s="7"/>
      <c r="Q17328" s="7"/>
      <c r="R17328" s="7"/>
      <c r="S17328" s="7"/>
      <c r="T17328" s="7"/>
      <c r="U17328" s="7"/>
      <c r="V17328" s="7"/>
      <c r="W17328" s="7"/>
      <c r="X17328" s="7"/>
      <c r="Y17328" s="7"/>
      <c r="Z17328" s="7"/>
      <c r="AA17328" s="7"/>
      <c r="AB17328" s="7"/>
      <c r="AC17328" s="7"/>
      <c r="AD17328" s="7"/>
      <c r="AE17328" s="7"/>
      <c r="AF17328" s="7"/>
    </row>
    <row r="17329" spans="1:32">
      <c r="A17329" s="7"/>
      <c r="B17329" s="7"/>
      <c r="C17329" s="7"/>
      <c r="D17329" s="7"/>
      <c r="E17329" s="7"/>
      <c r="F17329" s="7"/>
      <c r="G17329" s="7"/>
      <c r="H17329" s="7"/>
      <c r="I17329" s="7"/>
      <c r="J17329" s="7"/>
      <c r="K17329" s="7"/>
      <c r="L17329" s="7"/>
      <c r="M17329" s="7"/>
      <c r="N17329" s="7"/>
      <c r="O17329" s="7"/>
      <c r="P17329" s="7"/>
      <c r="Q17329" s="7"/>
      <c r="R17329" s="7"/>
      <c r="S17329" s="7"/>
      <c r="T17329" s="7"/>
      <c r="U17329" s="7"/>
      <c r="V17329" s="7"/>
      <c r="W17329" s="7"/>
      <c r="X17329" s="7"/>
      <c r="Y17329" s="7"/>
      <c r="Z17329" s="7"/>
      <c r="AA17329" s="7"/>
      <c r="AB17329" s="7"/>
      <c r="AC17329" s="7"/>
      <c r="AD17329" s="7"/>
      <c r="AE17329" s="7"/>
      <c r="AF17329" s="7"/>
    </row>
    <row r="17330" spans="1:32">
      <c r="A17330" s="7"/>
      <c r="B17330" s="7"/>
      <c r="C17330" s="7"/>
      <c r="D17330" s="7"/>
      <c r="E17330" s="7"/>
      <c r="F17330" s="7"/>
      <c r="G17330" s="7"/>
      <c r="H17330" s="7"/>
      <c r="I17330" s="7"/>
      <c r="J17330" s="7"/>
      <c r="K17330" s="7"/>
      <c r="L17330" s="7"/>
      <c r="M17330" s="7"/>
      <c r="N17330" s="7"/>
      <c r="O17330" s="7"/>
      <c r="P17330" s="7"/>
      <c r="Q17330" s="7"/>
      <c r="R17330" s="7"/>
      <c r="S17330" s="7"/>
      <c r="T17330" s="7"/>
      <c r="U17330" s="7"/>
      <c r="V17330" s="7"/>
      <c r="W17330" s="7"/>
      <c r="X17330" s="7"/>
      <c r="Y17330" s="7"/>
      <c r="Z17330" s="7"/>
      <c r="AA17330" s="7"/>
      <c r="AB17330" s="7"/>
      <c r="AC17330" s="7"/>
      <c r="AD17330" s="7"/>
      <c r="AE17330" s="7"/>
      <c r="AF17330" s="7"/>
    </row>
    <row r="17331" spans="1:32">
      <c r="A17331" s="7"/>
      <c r="B17331" s="7"/>
      <c r="C17331" s="7"/>
      <c r="D17331" s="7"/>
      <c r="E17331" s="7"/>
      <c r="F17331" s="7"/>
      <c r="G17331" s="7"/>
      <c r="H17331" s="7"/>
      <c r="I17331" s="7"/>
      <c r="J17331" s="7"/>
      <c r="K17331" s="7"/>
      <c r="L17331" s="7"/>
      <c r="M17331" s="7"/>
      <c r="N17331" s="7"/>
      <c r="O17331" s="7"/>
      <c r="P17331" s="7"/>
      <c r="Q17331" s="7"/>
      <c r="R17331" s="7"/>
      <c r="S17331" s="7"/>
      <c r="T17331" s="7"/>
      <c r="U17331" s="7"/>
      <c r="V17331" s="7"/>
      <c r="W17331" s="7"/>
      <c r="X17331" s="7"/>
      <c r="Y17331" s="7"/>
      <c r="Z17331" s="7"/>
      <c r="AA17331" s="7"/>
      <c r="AB17331" s="7"/>
      <c r="AC17331" s="7"/>
      <c r="AD17331" s="7"/>
      <c r="AE17331" s="7"/>
      <c r="AF17331" s="7"/>
    </row>
    <row r="17332" spans="1:32">
      <c r="A17332" s="7"/>
      <c r="B17332" s="7"/>
      <c r="C17332" s="7"/>
      <c r="D17332" s="7"/>
      <c r="E17332" s="7"/>
      <c r="F17332" s="7"/>
      <c r="G17332" s="7"/>
      <c r="H17332" s="7"/>
      <c r="I17332" s="7"/>
      <c r="J17332" s="7"/>
      <c r="K17332" s="7"/>
      <c r="L17332" s="7"/>
      <c r="M17332" s="7"/>
      <c r="N17332" s="7"/>
      <c r="O17332" s="7"/>
      <c r="P17332" s="7"/>
      <c r="Q17332" s="7"/>
      <c r="R17332" s="7"/>
      <c r="S17332" s="7"/>
      <c r="T17332" s="7"/>
      <c r="U17332" s="7"/>
      <c r="V17332" s="7"/>
      <c r="W17332" s="7"/>
      <c r="X17332" s="7"/>
      <c r="Y17332" s="7"/>
      <c r="Z17332" s="7"/>
      <c r="AA17332" s="7"/>
      <c r="AB17332" s="7"/>
      <c r="AC17332" s="7"/>
      <c r="AD17332" s="7"/>
      <c r="AE17332" s="7"/>
      <c r="AF17332" s="7"/>
    </row>
    <row r="17333" spans="1:32">
      <c r="A17333" s="7"/>
      <c r="B17333" s="7"/>
      <c r="C17333" s="7"/>
      <c r="D17333" s="7"/>
      <c r="E17333" s="7"/>
      <c r="F17333" s="7"/>
      <c r="G17333" s="7"/>
      <c r="H17333" s="7"/>
      <c r="I17333" s="7"/>
      <c r="J17333" s="7"/>
      <c r="K17333" s="7"/>
      <c r="L17333" s="7"/>
      <c r="M17333" s="7"/>
      <c r="N17333" s="7"/>
      <c r="O17333" s="7"/>
      <c r="P17333" s="7"/>
      <c r="Q17333" s="7"/>
      <c r="R17333" s="7"/>
      <c r="S17333" s="7"/>
      <c r="T17333" s="7"/>
      <c r="U17333" s="7"/>
      <c r="V17333" s="7"/>
      <c r="W17333" s="7"/>
      <c r="X17333" s="7"/>
      <c r="Y17333" s="7"/>
      <c r="Z17333" s="7"/>
      <c r="AA17333" s="7"/>
      <c r="AB17333" s="7"/>
      <c r="AC17333" s="7"/>
      <c r="AD17333" s="7"/>
      <c r="AE17333" s="7"/>
      <c r="AF17333" s="7"/>
    </row>
    <row r="17334" spans="1:32">
      <c r="A17334" s="7"/>
      <c r="B17334" s="7"/>
      <c r="C17334" s="7"/>
      <c r="D17334" s="7"/>
      <c r="E17334" s="7"/>
      <c r="F17334" s="7"/>
      <c r="G17334" s="7"/>
      <c r="H17334" s="7"/>
      <c r="I17334" s="7"/>
      <c r="J17334" s="7"/>
      <c r="K17334" s="7"/>
      <c r="L17334" s="7"/>
      <c r="M17334" s="7"/>
      <c r="N17334" s="7"/>
      <c r="O17334" s="7"/>
      <c r="P17334" s="7"/>
      <c r="Q17334" s="7"/>
      <c r="R17334" s="7"/>
      <c r="S17334" s="7"/>
      <c r="T17334" s="7"/>
      <c r="U17334" s="7"/>
      <c r="V17334" s="7"/>
      <c r="W17334" s="7"/>
      <c r="X17334" s="7"/>
      <c r="Y17334" s="7"/>
      <c r="Z17334" s="7"/>
      <c r="AA17334" s="7"/>
      <c r="AB17334" s="7"/>
      <c r="AC17334" s="7"/>
      <c r="AD17334" s="7"/>
      <c r="AE17334" s="7"/>
      <c r="AF17334" s="7"/>
    </row>
    <row r="17335" spans="1:32">
      <c r="A17335" s="7"/>
      <c r="B17335" s="7"/>
      <c r="C17335" s="7"/>
      <c r="D17335" s="7"/>
      <c r="E17335" s="7"/>
      <c r="F17335" s="7"/>
      <c r="G17335" s="7"/>
      <c r="H17335" s="7"/>
      <c r="I17335" s="7"/>
      <c r="J17335" s="7"/>
      <c r="K17335" s="7"/>
      <c r="L17335" s="7"/>
      <c r="M17335" s="7"/>
      <c r="N17335" s="7"/>
      <c r="O17335" s="7"/>
      <c r="P17335" s="7"/>
      <c r="Q17335" s="7"/>
      <c r="R17335" s="7"/>
      <c r="S17335" s="7"/>
      <c r="T17335" s="7"/>
      <c r="U17335" s="7"/>
      <c r="V17335" s="7"/>
      <c r="W17335" s="7"/>
      <c r="X17335" s="7"/>
      <c r="Y17335" s="7"/>
      <c r="Z17335" s="7"/>
      <c r="AA17335" s="7"/>
      <c r="AB17335" s="7"/>
      <c r="AC17335" s="7"/>
      <c r="AD17335" s="7"/>
      <c r="AE17335" s="7"/>
      <c r="AF17335" s="7"/>
    </row>
    <row r="17336" spans="1:32">
      <c r="A17336" s="7"/>
      <c r="B17336" s="7"/>
      <c r="C17336" s="7"/>
      <c r="D17336" s="7"/>
      <c r="E17336" s="7"/>
      <c r="F17336" s="7"/>
      <c r="G17336" s="7"/>
      <c r="H17336" s="7"/>
      <c r="I17336" s="7"/>
      <c r="J17336" s="7"/>
      <c r="K17336" s="7"/>
      <c r="L17336" s="7"/>
      <c r="M17336" s="7"/>
      <c r="N17336" s="7"/>
      <c r="O17336" s="7"/>
      <c r="P17336" s="7"/>
      <c r="Q17336" s="7"/>
      <c r="R17336" s="7"/>
      <c r="S17336" s="7"/>
      <c r="T17336" s="7"/>
      <c r="U17336" s="7"/>
      <c r="V17336" s="7"/>
      <c r="W17336" s="7"/>
      <c r="X17336" s="7"/>
      <c r="Y17336" s="7"/>
      <c r="Z17336" s="7"/>
      <c r="AA17336" s="7"/>
      <c r="AB17336" s="7"/>
      <c r="AC17336" s="7"/>
      <c r="AD17336" s="7"/>
      <c r="AE17336" s="7"/>
      <c r="AF17336" s="7"/>
    </row>
    <row r="17337" spans="1:32">
      <c r="A17337" s="7"/>
      <c r="B17337" s="7"/>
      <c r="C17337" s="7"/>
      <c r="D17337" s="7"/>
      <c r="E17337" s="7"/>
      <c r="F17337" s="7"/>
      <c r="G17337" s="7"/>
      <c r="H17337" s="7"/>
      <c r="I17337" s="7"/>
      <c r="J17337" s="7"/>
      <c r="K17337" s="7"/>
      <c r="L17337" s="7"/>
      <c r="M17337" s="7"/>
      <c r="N17337" s="7"/>
      <c r="O17337" s="7"/>
      <c r="P17337" s="7"/>
      <c r="Q17337" s="7"/>
      <c r="R17337" s="7"/>
      <c r="S17337" s="7"/>
      <c r="T17337" s="7"/>
      <c r="U17337" s="7"/>
      <c r="V17337" s="7"/>
      <c r="W17337" s="7"/>
      <c r="X17337" s="7"/>
      <c r="Y17337" s="7"/>
      <c r="Z17337" s="7"/>
      <c r="AA17337" s="7"/>
      <c r="AB17337" s="7"/>
      <c r="AC17337" s="7"/>
      <c r="AD17337" s="7"/>
      <c r="AE17337" s="7"/>
      <c r="AF17337" s="7"/>
    </row>
    <row r="17338" spans="1:32">
      <c r="A17338" s="7"/>
      <c r="B17338" s="7"/>
      <c r="C17338" s="7"/>
      <c r="D17338" s="7"/>
      <c r="E17338" s="7"/>
      <c r="F17338" s="7"/>
      <c r="G17338" s="7"/>
      <c r="H17338" s="7"/>
      <c r="I17338" s="7"/>
      <c r="J17338" s="7"/>
      <c r="K17338" s="7"/>
      <c r="L17338" s="7"/>
      <c r="M17338" s="7"/>
      <c r="N17338" s="7"/>
      <c r="O17338" s="7"/>
      <c r="P17338" s="7"/>
      <c r="Q17338" s="7"/>
      <c r="R17338" s="7"/>
      <c r="S17338" s="7"/>
      <c r="T17338" s="7"/>
      <c r="U17338" s="7"/>
      <c r="V17338" s="7"/>
      <c r="W17338" s="7"/>
      <c r="X17338" s="7"/>
      <c r="Y17338" s="7"/>
      <c r="Z17338" s="7"/>
      <c r="AA17338" s="7"/>
      <c r="AB17338" s="7"/>
      <c r="AC17338" s="7"/>
      <c r="AD17338" s="7"/>
      <c r="AE17338" s="7"/>
      <c r="AF17338" s="7"/>
    </row>
    <row r="17339" spans="1:32">
      <c r="A17339" s="7"/>
      <c r="B17339" s="7"/>
      <c r="C17339" s="7"/>
      <c r="D17339" s="7"/>
      <c r="E17339" s="7"/>
      <c r="F17339" s="7"/>
      <c r="G17339" s="7"/>
      <c r="H17339" s="7"/>
      <c r="I17339" s="7"/>
      <c r="J17339" s="7"/>
      <c r="K17339" s="7"/>
      <c r="L17339" s="7"/>
      <c r="M17339" s="7"/>
      <c r="N17339" s="7"/>
      <c r="O17339" s="7"/>
      <c r="P17339" s="7"/>
      <c r="Q17339" s="7"/>
      <c r="R17339" s="7"/>
      <c r="S17339" s="7"/>
      <c r="T17339" s="7"/>
      <c r="U17339" s="7"/>
      <c r="V17339" s="7"/>
      <c r="W17339" s="7"/>
      <c r="X17339" s="7"/>
      <c r="Y17339" s="7"/>
      <c r="Z17339" s="7"/>
      <c r="AA17339" s="7"/>
      <c r="AB17339" s="7"/>
      <c r="AC17339" s="7"/>
      <c r="AD17339" s="7"/>
      <c r="AE17339" s="7"/>
      <c r="AF17339" s="7"/>
    </row>
    <row r="17340" spans="1:32">
      <c r="A17340" s="7"/>
      <c r="B17340" s="7"/>
      <c r="C17340" s="7"/>
      <c r="D17340" s="7"/>
      <c r="E17340" s="7"/>
      <c r="F17340" s="7"/>
      <c r="G17340" s="7"/>
      <c r="H17340" s="7"/>
      <c r="I17340" s="7"/>
      <c r="J17340" s="7"/>
      <c r="K17340" s="7"/>
      <c r="L17340" s="7"/>
      <c r="M17340" s="7"/>
      <c r="N17340" s="7"/>
      <c r="O17340" s="7"/>
      <c r="P17340" s="7"/>
      <c r="Q17340" s="7"/>
      <c r="R17340" s="7"/>
      <c r="S17340" s="7"/>
      <c r="T17340" s="7"/>
      <c r="U17340" s="7"/>
      <c r="V17340" s="7"/>
      <c r="W17340" s="7"/>
      <c r="X17340" s="7"/>
      <c r="Y17340" s="7"/>
      <c r="Z17340" s="7"/>
      <c r="AA17340" s="7"/>
      <c r="AB17340" s="7"/>
      <c r="AC17340" s="7"/>
      <c r="AD17340" s="7"/>
      <c r="AE17340" s="7"/>
      <c r="AF17340" s="7"/>
    </row>
    <row r="17341" spans="1:32">
      <c r="A17341" s="7"/>
      <c r="B17341" s="7"/>
      <c r="C17341" s="7"/>
      <c r="D17341" s="7"/>
      <c r="E17341" s="7"/>
      <c r="F17341" s="7"/>
      <c r="G17341" s="7"/>
      <c r="H17341" s="7"/>
      <c r="I17341" s="7"/>
      <c r="J17341" s="7"/>
      <c r="K17341" s="7"/>
      <c r="L17341" s="7"/>
      <c r="M17341" s="7"/>
      <c r="N17341" s="7"/>
      <c r="O17341" s="7"/>
      <c r="P17341" s="7"/>
      <c r="Q17341" s="7"/>
      <c r="R17341" s="7"/>
      <c r="S17341" s="7"/>
      <c r="T17341" s="7"/>
      <c r="U17341" s="7"/>
      <c r="V17341" s="7"/>
      <c r="W17341" s="7"/>
      <c r="X17341" s="7"/>
      <c r="Y17341" s="7"/>
      <c r="Z17341" s="7"/>
      <c r="AA17341" s="7"/>
      <c r="AB17341" s="7"/>
      <c r="AC17341" s="7"/>
      <c r="AD17341" s="7"/>
      <c r="AE17341" s="7"/>
      <c r="AF17341" s="7"/>
    </row>
    <row r="17342" spans="1:32">
      <c r="A17342" s="7"/>
      <c r="B17342" s="7"/>
      <c r="C17342" s="7"/>
      <c r="D17342" s="7"/>
      <c r="E17342" s="7"/>
      <c r="F17342" s="7"/>
      <c r="G17342" s="7"/>
      <c r="H17342" s="7"/>
      <c r="I17342" s="7"/>
      <c r="J17342" s="7"/>
      <c r="K17342" s="7"/>
      <c r="L17342" s="7"/>
      <c r="M17342" s="7"/>
      <c r="N17342" s="7"/>
      <c r="O17342" s="7"/>
      <c r="P17342" s="7"/>
      <c r="Q17342" s="7"/>
      <c r="R17342" s="7"/>
      <c r="S17342" s="7"/>
      <c r="T17342" s="7"/>
      <c r="U17342" s="7"/>
      <c r="V17342" s="7"/>
      <c r="W17342" s="7"/>
      <c r="X17342" s="7"/>
      <c r="Y17342" s="7"/>
      <c r="Z17342" s="7"/>
      <c r="AA17342" s="7"/>
      <c r="AB17342" s="7"/>
      <c r="AC17342" s="7"/>
      <c r="AD17342" s="7"/>
      <c r="AE17342" s="7"/>
      <c r="AF17342" s="7"/>
    </row>
    <row r="17343" spans="1:32">
      <c r="A17343" s="7"/>
      <c r="B17343" s="7"/>
      <c r="C17343" s="7"/>
      <c r="D17343" s="7"/>
      <c r="E17343" s="7"/>
      <c r="F17343" s="7"/>
      <c r="G17343" s="7"/>
      <c r="H17343" s="7"/>
      <c r="I17343" s="7"/>
      <c r="J17343" s="7"/>
      <c r="K17343" s="7"/>
      <c r="L17343" s="7"/>
      <c r="M17343" s="7"/>
      <c r="N17343" s="7"/>
      <c r="O17343" s="7"/>
      <c r="P17343" s="7"/>
      <c r="Q17343" s="7"/>
      <c r="R17343" s="7"/>
      <c r="S17343" s="7"/>
      <c r="T17343" s="7"/>
      <c r="U17343" s="7"/>
      <c r="V17343" s="7"/>
      <c r="W17343" s="7"/>
      <c r="X17343" s="7"/>
      <c r="Y17343" s="7"/>
      <c r="Z17343" s="7"/>
      <c r="AA17343" s="7"/>
      <c r="AB17343" s="7"/>
      <c r="AC17343" s="7"/>
      <c r="AD17343" s="7"/>
      <c r="AE17343" s="7"/>
      <c r="AF17343" s="7"/>
    </row>
    <row r="17344" spans="1:32">
      <c r="A17344" s="7"/>
      <c r="B17344" s="7"/>
      <c r="C17344" s="7"/>
      <c r="D17344" s="7"/>
      <c r="E17344" s="7"/>
      <c r="F17344" s="7"/>
      <c r="G17344" s="7"/>
      <c r="H17344" s="7"/>
      <c r="I17344" s="7"/>
      <c r="J17344" s="7"/>
      <c r="K17344" s="7"/>
      <c r="L17344" s="7"/>
      <c r="M17344" s="7"/>
      <c r="N17344" s="7"/>
      <c r="O17344" s="7"/>
      <c r="P17344" s="7"/>
      <c r="Q17344" s="7"/>
      <c r="R17344" s="7"/>
      <c r="S17344" s="7"/>
      <c r="T17344" s="7"/>
      <c r="U17344" s="7"/>
      <c r="V17344" s="7"/>
      <c r="W17344" s="7"/>
      <c r="X17344" s="7"/>
      <c r="Y17344" s="7"/>
      <c r="Z17344" s="7"/>
      <c r="AA17344" s="7"/>
      <c r="AB17344" s="7"/>
      <c r="AC17344" s="7"/>
      <c r="AD17344" s="7"/>
      <c r="AE17344" s="7"/>
      <c r="AF17344" s="7"/>
    </row>
    <row r="17345" spans="1:32">
      <c r="A17345" s="7"/>
      <c r="B17345" s="7"/>
      <c r="C17345" s="7"/>
      <c r="D17345" s="7"/>
      <c r="E17345" s="7"/>
      <c r="F17345" s="7"/>
      <c r="G17345" s="7"/>
      <c r="H17345" s="7"/>
      <c r="I17345" s="7"/>
      <c r="J17345" s="7"/>
      <c r="K17345" s="7"/>
      <c r="L17345" s="7"/>
      <c r="M17345" s="7"/>
      <c r="N17345" s="7"/>
      <c r="O17345" s="7"/>
      <c r="P17345" s="7"/>
      <c r="Q17345" s="7"/>
      <c r="R17345" s="7"/>
      <c r="S17345" s="7"/>
      <c r="T17345" s="7"/>
      <c r="U17345" s="7"/>
      <c r="V17345" s="7"/>
      <c r="W17345" s="7"/>
      <c r="X17345" s="7"/>
      <c r="Y17345" s="7"/>
      <c r="Z17345" s="7"/>
      <c r="AA17345" s="7"/>
      <c r="AB17345" s="7"/>
      <c r="AC17345" s="7"/>
      <c r="AD17345" s="7"/>
      <c r="AE17345" s="7"/>
      <c r="AF17345" s="7"/>
    </row>
    <row r="17346" spans="1:32">
      <c r="A17346" s="7"/>
      <c r="B17346" s="7"/>
      <c r="C17346" s="7"/>
      <c r="D17346" s="7"/>
      <c r="E17346" s="7"/>
      <c r="F17346" s="7"/>
      <c r="G17346" s="7"/>
      <c r="H17346" s="7"/>
      <c r="I17346" s="7"/>
      <c r="J17346" s="7"/>
      <c r="K17346" s="7"/>
      <c r="L17346" s="7"/>
      <c r="M17346" s="7"/>
      <c r="N17346" s="7"/>
      <c r="O17346" s="7"/>
      <c r="P17346" s="7"/>
      <c r="Q17346" s="7"/>
      <c r="R17346" s="7"/>
      <c r="S17346" s="7"/>
      <c r="T17346" s="7"/>
      <c r="U17346" s="7"/>
      <c r="V17346" s="7"/>
      <c r="W17346" s="7"/>
      <c r="X17346" s="7"/>
      <c r="Y17346" s="7"/>
      <c r="Z17346" s="7"/>
      <c r="AA17346" s="7"/>
      <c r="AB17346" s="7"/>
      <c r="AC17346" s="7"/>
      <c r="AD17346" s="7"/>
      <c r="AE17346" s="7"/>
      <c r="AF17346" s="7"/>
    </row>
    <row r="17347" spans="1:32">
      <c r="A17347" s="7"/>
      <c r="B17347" s="7"/>
      <c r="C17347" s="7"/>
      <c r="D17347" s="7"/>
      <c r="E17347" s="7"/>
      <c r="F17347" s="7"/>
      <c r="G17347" s="7"/>
      <c r="H17347" s="7"/>
      <c r="I17347" s="7"/>
      <c r="J17347" s="7"/>
      <c r="K17347" s="7"/>
      <c r="L17347" s="7"/>
      <c r="M17347" s="7"/>
      <c r="N17347" s="7"/>
      <c r="O17347" s="7"/>
      <c r="P17347" s="7"/>
      <c r="Q17347" s="7"/>
      <c r="R17347" s="7"/>
      <c r="S17347" s="7"/>
      <c r="T17347" s="7"/>
      <c r="U17347" s="7"/>
      <c r="V17347" s="7"/>
      <c r="W17347" s="7"/>
      <c r="X17347" s="7"/>
      <c r="Y17347" s="7"/>
      <c r="Z17347" s="7"/>
      <c r="AA17347" s="7"/>
      <c r="AB17347" s="7"/>
      <c r="AC17347" s="7"/>
      <c r="AD17347" s="7"/>
      <c r="AE17347" s="7"/>
      <c r="AF17347" s="7"/>
    </row>
    <row r="17348" spans="1:32">
      <c r="A17348" s="7"/>
      <c r="B17348" s="7"/>
      <c r="C17348" s="7"/>
      <c r="D17348" s="7"/>
      <c r="E17348" s="7"/>
      <c r="F17348" s="7"/>
      <c r="G17348" s="7"/>
      <c r="H17348" s="7"/>
      <c r="I17348" s="7"/>
      <c r="J17348" s="7"/>
      <c r="K17348" s="7"/>
      <c r="L17348" s="7"/>
      <c r="M17348" s="7"/>
      <c r="N17348" s="7"/>
      <c r="O17348" s="7"/>
      <c r="P17348" s="7"/>
      <c r="Q17348" s="7"/>
      <c r="R17348" s="7"/>
      <c r="S17348" s="7"/>
      <c r="T17348" s="7"/>
      <c r="U17348" s="7"/>
      <c r="V17348" s="7"/>
      <c r="W17348" s="7"/>
      <c r="X17348" s="7"/>
      <c r="Y17348" s="7"/>
      <c r="Z17348" s="7"/>
      <c r="AA17348" s="7"/>
      <c r="AB17348" s="7"/>
      <c r="AC17348" s="7"/>
      <c r="AD17348" s="7"/>
      <c r="AE17348" s="7"/>
      <c r="AF17348" s="7"/>
    </row>
    <row r="17349" spans="1:32">
      <c r="A17349" s="7"/>
      <c r="B17349" s="7"/>
      <c r="C17349" s="7"/>
      <c r="D17349" s="7"/>
      <c r="E17349" s="7"/>
      <c r="F17349" s="7"/>
      <c r="G17349" s="7"/>
      <c r="H17349" s="7"/>
      <c r="I17349" s="7"/>
      <c r="J17349" s="7"/>
      <c r="K17349" s="7"/>
      <c r="L17349" s="7"/>
      <c r="M17349" s="7"/>
      <c r="N17349" s="7"/>
      <c r="O17349" s="7"/>
      <c r="P17349" s="7"/>
      <c r="Q17349" s="7"/>
      <c r="R17349" s="7"/>
      <c r="S17349" s="7"/>
      <c r="T17349" s="7"/>
      <c r="U17349" s="7"/>
      <c r="V17349" s="7"/>
      <c r="W17349" s="7"/>
      <c r="X17349" s="7"/>
      <c r="Y17349" s="7"/>
      <c r="Z17349" s="7"/>
      <c r="AA17349" s="7"/>
      <c r="AB17349" s="7"/>
      <c r="AC17349" s="7"/>
      <c r="AD17349" s="7"/>
      <c r="AE17349" s="7"/>
      <c r="AF17349" s="7"/>
    </row>
    <row r="17350" spans="1:32">
      <c r="A17350" s="7"/>
      <c r="B17350" s="7"/>
      <c r="C17350" s="7"/>
      <c r="D17350" s="7"/>
      <c r="E17350" s="7"/>
      <c r="F17350" s="7"/>
      <c r="G17350" s="7"/>
      <c r="H17350" s="7"/>
      <c r="I17350" s="7"/>
      <c r="J17350" s="7"/>
      <c r="K17350" s="7"/>
      <c r="L17350" s="7"/>
      <c r="M17350" s="7"/>
      <c r="N17350" s="7"/>
      <c r="O17350" s="7"/>
      <c r="P17350" s="7"/>
      <c r="Q17350" s="7"/>
      <c r="R17350" s="7"/>
      <c r="S17350" s="7"/>
      <c r="T17350" s="7"/>
      <c r="U17350" s="7"/>
      <c r="V17350" s="7"/>
      <c r="W17350" s="7"/>
      <c r="X17350" s="7"/>
      <c r="Y17350" s="7"/>
      <c r="Z17350" s="7"/>
      <c r="AA17350" s="7"/>
      <c r="AB17350" s="7"/>
      <c r="AC17350" s="7"/>
      <c r="AD17350" s="7"/>
      <c r="AE17350" s="7"/>
      <c r="AF17350" s="7"/>
    </row>
    <row r="17351" spans="1:32">
      <c r="A17351" s="7"/>
      <c r="B17351" s="7"/>
      <c r="C17351" s="7"/>
      <c r="D17351" s="7"/>
      <c r="E17351" s="7"/>
      <c r="F17351" s="7"/>
      <c r="G17351" s="7"/>
      <c r="H17351" s="7"/>
      <c r="I17351" s="7"/>
      <c r="J17351" s="7"/>
      <c r="K17351" s="7"/>
      <c r="L17351" s="7"/>
      <c r="M17351" s="7"/>
      <c r="N17351" s="7"/>
      <c r="O17351" s="7"/>
      <c r="P17351" s="7"/>
      <c r="Q17351" s="7"/>
      <c r="R17351" s="7"/>
      <c r="S17351" s="7"/>
      <c r="T17351" s="7"/>
      <c r="U17351" s="7"/>
      <c r="V17351" s="7"/>
      <c r="W17351" s="7"/>
      <c r="X17351" s="7"/>
      <c r="Y17351" s="7"/>
      <c r="Z17351" s="7"/>
      <c r="AA17351" s="7"/>
      <c r="AB17351" s="7"/>
      <c r="AC17351" s="7"/>
      <c r="AD17351" s="7"/>
      <c r="AE17351" s="7"/>
      <c r="AF17351" s="7"/>
    </row>
    <row r="17352" spans="1:32">
      <c r="A17352" s="7"/>
      <c r="B17352" s="7"/>
      <c r="C17352" s="7"/>
      <c r="D17352" s="7"/>
      <c r="E17352" s="7"/>
      <c r="F17352" s="7"/>
      <c r="G17352" s="7"/>
      <c r="H17352" s="7"/>
      <c r="I17352" s="7"/>
      <c r="J17352" s="7"/>
      <c r="K17352" s="7"/>
      <c r="L17352" s="7"/>
      <c r="M17352" s="7"/>
      <c r="N17352" s="7"/>
      <c r="O17352" s="7"/>
      <c r="P17352" s="7"/>
      <c r="Q17352" s="7"/>
      <c r="R17352" s="7"/>
      <c r="S17352" s="7"/>
      <c r="T17352" s="7"/>
      <c r="U17352" s="7"/>
      <c r="V17352" s="7"/>
      <c r="W17352" s="7"/>
      <c r="X17352" s="7"/>
      <c r="Y17352" s="7"/>
      <c r="Z17352" s="7"/>
      <c r="AA17352" s="7"/>
      <c r="AB17352" s="7"/>
      <c r="AC17352" s="7"/>
      <c r="AD17352" s="7"/>
      <c r="AE17352" s="7"/>
      <c r="AF17352" s="7"/>
    </row>
    <row r="17353" spans="1:32">
      <c r="A17353" s="7"/>
      <c r="B17353" s="7"/>
      <c r="C17353" s="7"/>
      <c r="D17353" s="7"/>
      <c r="E17353" s="7"/>
      <c r="F17353" s="7"/>
      <c r="G17353" s="7"/>
      <c r="H17353" s="7"/>
      <c r="I17353" s="7"/>
      <c r="J17353" s="7"/>
      <c r="K17353" s="7"/>
      <c r="L17353" s="7"/>
      <c r="M17353" s="7"/>
      <c r="N17353" s="7"/>
      <c r="O17353" s="7"/>
      <c r="P17353" s="7"/>
      <c r="Q17353" s="7"/>
      <c r="R17353" s="7"/>
      <c r="S17353" s="7"/>
      <c r="T17353" s="7"/>
      <c r="U17353" s="7"/>
      <c r="V17353" s="7"/>
      <c r="W17353" s="7"/>
      <c r="X17353" s="7"/>
      <c r="Y17353" s="7"/>
      <c r="Z17353" s="7"/>
      <c r="AA17353" s="7"/>
      <c r="AB17353" s="7"/>
      <c r="AC17353" s="7"/>
      <c r="AD17353" s="7"/>
      <c r="AE17353" s="7"/>
      <c r="AF17353" s="7"/>
    </row>
    <row r="17354" spans="1:32">
      <c r="A17354" s="7"/>
      <c r="B17354" s="7"/>
      <c r="C17354" s="7"/>
      <c r="D17354" s="7"/>
      <c r="E17354" s="7"/>
      <c r="F17354" s="7"/>
      <c r="G17354" s="7"/>
      <c r="H17354" s="7"/>
      <c r="I17354" s="7"/>
      <c r="J17354" s="7"/>
      <c r="K17354" s="7"/>
      <c r="L17354" s="7"/>
      <c r="M17354" s="7"/>
      <c r="N17354" s="7"/>
      <c r="O17354" s="7"/>
      <c r="P17354" s="7"/>
      <c r="Q17354" s="7"/>
      <c r="R17354" s="7"/>
      <c r="S17354" s="7"/>
      <c r="T17354" s="7"/>
      <c r="U17354" s="7"/>
      <c r="V17354" s="7"/>
      <c r="W17354" s="7"/>
      <c r="X17354" s="7"/>
      <c r="Y17354" s="7"/>
      <c r="Z17354" s="7"/>
      <c r="AA17354" s="7"/>
      <c r="AB17354" s="7"/>
      <c r="AC17354" s="7"/>
      <c r="AD17354" s="7"/>
      <c r="AE17354" s="7"/>
      <c r="AF17354" s="7"/>
    </row>
    <row r="17355" spans="1:32">
      <c r="A17355" s="7"/>
      <c r="B17355" s="7"/>
      <c r="C17355" s="7"/>
      <c r="D17355" s="7"/>
      <c r="E17355" s="7"/>
      <c r="F17355" s="7"/>
      <c r="G17355" s="7"/>
      <c r="H17355" s="7"/>
      <c r="I17355" s="7"/>
      <c r="J17355" s="7"/>
      <c r="K17355" s="7"/>
      <c r="L17355" s="7"/>
      <c r="M17355" s="7"/>
      <c r="N17355" s="7"/>
      <c r="O17355" s="7"/>
      <c r="P17355" s="7"/>
      <c r="Q17355" s="7"/>
      <c r="R17355" s="7"/>
      <c r="S17355" s="7"/>
      <c r="T17355" s="7"/>
      <c r="U17355" s="7"/>
      <c r="V17355" s="7"/>
      <c r="W17355" s="7"/>
      <c r="X17355" s="7"/>
      <c r="Y17355" s="7"/>
      <c r="Z17355" s="7"/>
      <c r="AA17355" s="7"/>
      <c r="AB17355" s="7"/>
      <c r="AC17355" s="7"/>
      <c r="AD17355" s="7"/>
      <c r="AE17355" s="7"/>
      <c r="AF17355" s="7"/>
    </row>
    <row r="17356" spans="1:32">
      <c r="A17356" s="7"/>
      <c r="B17356" s="7"/>
      <c r="C17356" s="7"/>
      <c r="D17356" s="7"/>
      <c r="E17356" s="7"/>
      <c r="F17356" s="7"/>
      <c r="G17356" s="7"/>
      <c r="H17356" s="7"/>
      <c r="I17356" s="7"/>
      <c r="J17356" s="7"/>
      <c r="K17356" s="7"/>
      <c r="L17356" s="7"/>
      <c r="M17356" s="7"/>
      <c r="N17356" s="7"/>
      <c r="O17356" s="7"/>
      <c r="P17356" s="7"/>
      <c r="Q17356" s="7"/>
      <c r="R17356" s="7"/>
      <c r="S17356" s="7"/>
      <c r="T17356" s="7"/>
      <c r="U17356" s="7"/>
      <c r="V17356" s="7"/>
      <c r="W17356" s="7"/>
      <c r="X17356" s="7"/>
      <c r="Y17356" s="7"/>
      <c r="Z17356" s="7"/>
      <c r="AA17356" s="7"/>
      <c r="AB17356" s="7"/>
      <c r="AC17356" s="7"/>
      <c r="AD17356" s="7"/>
      <c r="AE17356" s="7"/>
      <c r="AF17356" s="7"/>
    </row>
    <row r="17357" spans="1:32">
      <c r="A17357" s="7"/>
      <c r="B17357" s="7"/>
      <c r="C17357" s="7"/>
      <c r="D17357" s="7"/>
      <c r="E17357" s="7"/>
      <c r="F17357" s="7"/>
      <c r="G17357" s="7"/>
      <c r="H17357" s="7"/>
      <c r="I17357" s="7"/>
      <c r="J17357" s="7"/>
      <c r="K17357" s="7"/>
      <c r="L17357" s="7"/>
      <c r="M17357" s="7"/>
      <c r="N17357" s="7"/>
      <c r="O17357" s="7"/>
      <c r="P17357" s="7"/>
      <c r="Q17357" s="7"/>
      <c r="R17357" s="7"/>
      <c r="S17357" s="7"/>
      <c r="T17357" s="7"/>
      <c r="U17357" s="7"/>
      <c r="V17357" s="7"/>
      <c r="W17357" s="7"/>
      <c r="X17357" s="7"/>
      <c r="Y17357" s="7"/>
      <c r="Z17357" s="7"/>
      <c r="AA17357" s="7"/>
      <c r="AB17357" s="7"/>
      <c r="AC17357" s="7"/>
      <c r="AD17357" s="7"/>
      <c r="AE17357" s="7"/>
      <c r="AF17357" s="7"/>
    </row>
    <row r="17358" spans="1:32">
      <c r="A17358" s="7"/>
      <c r="B17358" s="7"/>
      <c r="C17358" s="7"/>
      <c r="D17358" s="7"/>
      <c r="E17358" s="7"/>
      <c r="F17358" s="7"/>
      <c r="G17358" s="7"/>
      <c r="H17358" s="7"/>
      <c r="I17358" s="7"/>
      <c r="J17358" s="7"/>
      <c r="K17358" s="7"/>
      <c r="L17358" s="7"/>
      <c r="M17358" s="7"/>
      <c r="N17358" s="7"/>
      <c r="O17358" s="7"/>
      <c r="P17358" s="7"/>
      <c r="Q17358" s="7"/>
      <c r="R17358" s="7"/>
      <c r="S17358" s="7"/>
      <c r="T17358" s="7"/>
      <c r="U17358" s="7"/>
      <c r="V17358" s="7"/>
      <c r="W17358" s="7"/>
      <c r="X17358" s="7"/>
      <c r="Y17358" s="7"/>
      <c r="Z17358" s="7"/>
      <c r="AA17358" s="7"/>
      <c r="AB17358" s="7"/>
      <c r="AC17358" s="7"/>
      <c r="AD17358" s="7"/>
      <c r="AE17358" s="7"/>
      <c r="AF17358" s="7"/>
    </row>
    <row r="17359" spans="1:32">
      <c r="A17359" s="7"/>
      <c r="B17359" s="7"/>
      <c r="C17359" s="7"/>
      <c r="D17359" s="7"/>
      <c r="E17359" s="7"/>
      <c r="F17359" s="7"/>
      <c r="G17359" s="7"/>
      <c r="H17359" s="7"/>
      <c r="I17359" s="7"/>
      <c r="J17359" s="7"/>
      <c r="K17359" s="7"/>
      <c r="L17359" s="7"/>
      <c r="M17359" s="7"/>
      <c r="N17359" s="7"/>
      <c r="O17359" s="7"/>
      <c r="P17359" s="7"/>
      <c r="Q17359" s="7"/>
      <c r="R17359" s="7"/>
      <c r="S17359" s="7"/>
      <c r="T17359" s="7"/>
      <c r="U17359" s="7"/>
      <c r="V17359" s="7"/>
      <c r="W17359" s="7"/>
      <c r="X17359" s="7"/>
      <c r="Y17359" s="7"/>
      <c r="Z17359" s="7"/>
      <c r="AA17359" s="7"/>
      <c r="AB17359" s="7"/>
      <c r="AC17359" s="7"/>
      <c r="AD17359" s="7"/>
      <c r="AE17359" s="7"/>
      <c r="AF17359" s="7"/>
    </row>
    <row r="17360" spans="1:32">
      <c r="A17360" s="7"/>
      <c r="B17360" s="7"/>
      <c r="C17360" s="7"/>
      <c r="D17360" s="7"/>
      <c r="E17360" s="7"/>
      <c r="F17360" s="7"/>
      <c r="G17360" s="7"/>
      <c r="H17360" s="7"/>
      <c r="I17360" s="7"/>
      <c r="J17360" s="7"/>
      <c r="K17360" s="7"/>
      <c r="L17360" s="7"/>
      <c r="M17360" s="7"/>
      <c r="N17360" s="7"/>
      <c r="O17360" s="7"/>
      <c r="P17360" s="7"/>
      <c r="Q17360" s="7"/>
      <c r="R17360" s="7"/>
      <c r="S17360" s="7"/>
      <c r="T17360" s="7"/>
      <c r="U17360" s="7"/>
      <c r="V17360" s="7"/>
      <c r="W17360" s="7"/>
      <c r="X17360" s="7"/>
      <c r="Y17360" s="7"/>
      <c r="Z17360" s="7"/>
      <c r="AA17360" s="7"/>
      <c r="AB17360" s="7"/>
      <c r="AC17360" s="7"/>
      <c r="AD17360" s="7"/>
      <c r="AE17360" s="7"/>
      <c r="AF17360" s="7"/>
    </row>
    <row r="17361" spans="1:32">
      <c r="A17361" s="7"/>
      <c r="B17361" s="7"/>
      <c r="C17361" s="7"/>
      <c r="D17361" s="7"/>
      <c r="E17361" s="7"/>
      <c r="F17361" s="7"/>
      <c r="G17361" s="7"/>
      <c r="H17361" s="7"/>
      <c r="I17361" s="7"/>
      <c r="J17361" s="7"/>
      <c r="K17361" s="7"/>
      <c r="L17361" s="7"/>
      <c r="M17361" s="7"/>
      <c r="N17361" s="7"/>
      <c r="O17361" s="7"/>
      <c r="P17361" s="7"/>
      <c r="Q17361" s="7"/>
      <c r="R17361" s="7"/>
      <c r="S17361" s="7"/>
      <c r="T17361" s="7"/>
      <c r="U17361" s="7"/>
      <c r="V17361" s="7"/>
      <c r="W17361" s="7"/>
      <c r="X17361" s="7"/>
      <c r="Y17361" s="7"/>
      <c r="Z17361" s="7"/>
      <c r="AA17361" s="7"/>
      <c r="AB17361" s="7"/>
      <c r="AC17361" s="7"/>
      <c r="AD17361" s="7"/>
      <c r="AE17361" s="7"/>
      <c r="AF17361" s="7"/>
    </row>
    <row r="17362" spans="1:32">
      <c r="A17362" s="7"/>
      <c r="B17362" s="7"/>
      <c r="C17362" s="7"/>
      <c r="D17362" s="7"/>
      <c r="E17362" s="7"/>
      <c r="F17362" s="7"/>
      <c r="G17362" s="7"/>
      <c r="H17362" s="7"/>
      <c r="I17362" s="7"/>
      <c r="J17362" s="7"/>
      <c r="K17362" s="7"/>
      <c r="L17362" s="7"/>
      <c r="M17362" s="7"/>
      <c r="N17362" s="7"/>
      <c r="O17362" s="7"/>
      <c r="P17362" s="7"/>
      <c r="Q17362" s="7"/>
      <c r="R17362" s="7"/>
      <c r="S17362" s="7"/>
      <c r="T17362" s="7"/>
      <c r="U17362" s="7"/>
      <c r="V17362" s="7"/>
      <c r="W17362" s="7"/>
      <c r="X17362" s="7"/>
      <c r="Y17362" s="7"/>
      <c r="Z17362" s="7"/>
      <c r="AA17362" s="7"/>
      <c r="AB17362" s="7"/>
      <c r="AC17362" s="7"/>
      <c r="AD17362" s="7"/>
      <c r="AE17362" s="7"/>
      <c r="AF17362" s="7"/>
    </row>
    <row r="17363" spans="1:32">
      <c r="A17363" s="7"/>
      <c r="B17363" s="7"/>
      <c r="C17363" s="7"/>
      <c r="D17363" s="7"/>
      <c r="E17363" s="7"/>
      <c r="F17363" s="7"/>
      <c r="G17363" s="7"/>
      <c r="H17363" s="7"/>
      <c r="I17363" s="7"/>
      <c r="J17363" s="7"/>
      <c r="K17363" s="7"/>
      <c r="L17363" s="7"/>
      <c r="M17363" s="7"/>
      <c r="N17363" s="7"/>
      <c r="O17363" s="7"/>
      <c r="P17363" s="7"/>
      <c r="Q17363" s="7"/>
      <c r="R17363" s="7"/>
      <c r="S17363" s="7"/>
      <c r="T17363" s="7"/>
      <c r="U17363" s="7"/>
      <c r="V17363" s="7"/>
      <c r="W17363" s="7"/>
      <c r="X17363" s="7"/>
      <c r="Y17363" s="7"/>
      <c r="Z17363" s="7"/>
      <c r="AA17363" s="7"/>
      <c r="AB17363" s="7"/>
      <c r="AC17363" s="7"/>
      <c r="AD17363" s="7"/>
      <c r="AE17363" s="7"/>
      <c r="AF17363" s="7"/>
    </row>
    <row r="17364" spans="1:32">
      <c r="A17364" s="7"/>
      <c r="B17364" s="7"/>
      <c r="C17364" s="7"/>
      <c r="D17364" s="7"/>
      <c r="E17364" s="7"/>
      <c r="F17364" s="7"/>
      <c r="G17364" s="7"/>
      <c r="H17364" s="7"/>
      <c r="I17364" s="7"/>
      <c r="J17364" s="7"/>
      <c r="K17364" s="7"/>
      <c r="L17364" s="7"/>
      <c r="M17364" s="7"/>
      <c r="N17364" s="7"/>
      <c r="O17364" s="7"/>
      <c r="P17364" s="7"/>
      <c r="Q17364" s="7"/>
      <c r="R17364" s="7"/>
      <c r="S17364" s="7"/>
      <c r="T17364" s="7"/>
      <c r="U17364" s="7"/>
      <c r="V17364" s="7"/>
      <c r="W17364" s="7"/>
      <c r="X17364" s="7"/>
      <c r="Y17364" s="7"/>
      <c r="Z17364" s="7"/>
      <c r="AA17364" s="7"/>
      <c r="AB17364" s="7"/>
      <c r="AC17364" s="7"/>
      <c r="AD17364" s="7"/>
      <c r="AE17364" s="7"/>
      <c r="AF17364" s="7"/>
    </row>
    <row r="17365" spans="1:32">
      <c r="A17365" s="7"/>
      <c r="B17365" s="7"/>
      <c r="C17365" s="7"/>
      <c r="D17365" s="7"/>
      <c r="E17365" s="7"/>
      <c r="F17365" s="7"/>
      <c r="G17365" s="7"/>
      <c r="H17365" s="7"/>
      <c r="I17365" s="7"/>
      <c r="J17365" s="7"/>
      <c r="K17365" s="7"/>
      <c r="L17365" s="7"/>
      <c r="M17365" s="7"/>
      <c r="N17365" s="7"/>
      <c r="O17365" s="7"/>
      <c r="P17365" s="7"/>
      <c r="Q17365" s="7"/>
      <c r="R17365" s="7"/>
      <c r="S17365" s="7"/>
      <c r="T17365" s="7"/>
      <c r="U17365" s="7"/>
      <c r="V17365" s="7"/>
      <c r="W17365" s="7"/>
      <c r="X17365" s="7"/>
      <c r="Y17365" s="7"/>
      <c r="Z17365" s="7"/>
      <c r="AA17365" s="7"/>
      <c r="AB17365" s="7"/>
      <c r="AC17365" s="7"/>
      <c r="AD17365" s="7"/>
      <c r="AE17365" s="7"/>
      <c r="AF17365" s="7"/>
    </row>
    <row r="17366" spans="1:32">
      <c r="A17366" s="7"/>
      <c r="B17366" s="7"/>
      <c r="C17366" s="7"/>
      <c r="D17366" s="7"/>
      <c r="E17366" s="7"/>
      <c r="F17366" s="7"/>
      <c r="G17366" s="7"/>
      <c r="H17366" s="7"/>
      <c r="I17366" s="7"/>
      <c r="J17366" s="7"/>
      <c r="K17366" s="7"/>
      <c r="L17366" s="7"/>
      <c r="M17366" s="7"/>
      <c r="N17366" s="7"/>
      <c r="O17366" s="7"/>
      <c r="P17366" s="7"/>
      <c r="Q17366" s="7"/>
      <c r="R17366" s="7"/>
      <c r="S17366" s="7"/>
      <c r="T17366" s="7"/>
      <c r="U17366" s="7"/>
      <c r="V17366" s="7"/>
      <c r="W17366" s="7"/>
      <c r="X17366" s="7"/>
      <c r="Y17366" s="7"/>
      <c r="Z17366" s="7"/>
      <c r="AA17366" s="7"/>
      <c r="AB17366" s="7"/>
      <c r="AC17366" s="7"/>
      <c r="AD17366" s="7"/>
      <c r="AE17366" s="7"/>
      <c r="AF17366" s="7"/>
    </row>
    <row r="17367" spans="1:32">
      <c r="A17367" s="7"/>
      <c r="B17367" s="7"/>
      <c r="C17367" s="7"/>
      <c r="D17367" s="7"/>
      <c r="E17367" s="7"/>
      <c r="F17367" s="7"/>
      <c r="G17367" s="7"/>
      <c r="H17367" s="7"/>
      <c r="I17367" s="7"/>
      <c r="J17367" s="7"/>
      <c r="K17367" s="7"/>
      <c r="L17367" s="7"/>
      <c r="M17367" s="7"/>
      <c r="N17367" s="7"/>
      <c r="O17367" s="7"/>
      <c r="P17367" s="7"/>
      <c r="Q17367" s="7"/>
      <c r="R17367" s="7"/>
      <c r="S17367" s="7"/>
      <c r="T17367" s="7"/>
      <c r="U17367" s="7"/>
      <c r="V17367" s="7"/>
      <c r="W17367" s="7"/>
      <c r="X17367" s="7"/>
      <c r="Y17367" s="7"/>
      <c r="Z17367" s="7"/>
      <c r="AA17367" s="7"/>
      <c r="AB17367" s="7"/>
      <c r="AC17367" s="7"/>
      <c r="AD17367" s="7"/>
      <c r="AE17367" s="7"/>
      <c r="AF17367" s="7"/>
    </row>
    <row r="17368" spans="1:32">
      <c r="A17368" s="7"/>
      <c r="B17368" s="7"/>
      <c r="C17368" s="7"/>
      <c r="D17368" s="7"/>
      <c r="E17368" s="7"/>
      <c r="F17368" s="7"/>
      <c r="G17368" s="7"/>
      <c r="H17368" s="7"/>
      <c r="I17368" s="7"/>
      <c r="J17368" s="7"/>
      <c r="K17368" s="7"/>
      <c r="L17368" s="7"/>
      <c r="M17368" s="7"/>
      <c r="N17368" s="7"/>
      <c r="O17368" s="7"/>
      <c r="P17368" s="7"/>
      <c r="Q17368" s="7"/>
      <c r="R17368" s="7"/>
      <c r="S17368" s="7"/>
      <c r="T17368" s="7"/>
      <c r="U17368" s="7"/>
      <c r="V17368" s="7"/>
      <c r="W17368" s="7"/>
      <c r="X17368" s="7"/>
      <c r="Y17368" s="7"/>
      <c r="Z17368" s="7"/>
      <c r="AA17368" s="7"/>
      <c r="AB17368" s="7"/>
      <c r="AC17368" s="7"/>
      <c r="AD17368" s="7"/>
      <c r="AE17368" s="7"/>
      <c r="AF17368" s="7"/>
    </row>
    <row r="17369" spans="1:32">
      <c r="A17369" s="7"/>
      <c r="B17369" s="7"/>
      <c r="C17369" s="7"/>
      <c r="D17369" s="7"/>
      <c r="E17369" s="7"/>
      <c r="F17369" s="7"/>
      <c r="G17369" s="7"/>
      <c r="H17369" s="7"/>
      <c r="I17369" s="7"/>
      <c r="J17369" s="7"/>
      <c r="K17369" s="7"/>
      <c r="L17369" s="7"/>
      <c r="M17369" s="7"/>
      <c r="N17369" s="7"/>
      <c r="O17369" s="7"/>
      <c r="P17369" s="7"/>
      <c r="Q17369" s="7"/>
      <c r="R17369" s="7"/>
      <c r="S17369" s="7"/>
      <c r="T17369" s="7"/>
      <c r="U17369" s="7"/>
      <c r="V17369" s="7"/>
      <c r="W17369" s="7"/>
      <c r="X17369" s="7"/>
      <c r="Y17369" s="7"/>
      <c r="Z17369" s="7"/>
      <c r="AA17369" s="7"/>
      <c r="AB17369" s="7"/>
      <c r="AC17369" s="7"/>
      <c r="AD17369" s="7"/>
      <c r="AE17369" s="7"/>
      <c r="AF17369" s="7"/>
    </row>
    <row r="17370" spans="1:32">
      <c r="A17370" s="7"/>
      <c r="B17370" s="7"/>
      <c r="C17370" s="7"/>
      <c r="D17370" s="7"/>
      <c r="E17370" s="7"/>
      <c r="F17370" s="7"/>
      <c r="G17370" s="7"/>
      <c r="H17370" s="7"/>
      <c r="I17370" s="7"/>
      <c r="J17370" s="7"/>
      <c r="K17370" s="7"/>
      <c r="L17370" s="7"/>
      <c r="M17370" s="7"/>
      <c r="N17370" s="7"/>
      <c r="O17370" s="7"/>
      <c r="P17370" s="7"/>
      <c r="Q17370" s="7"/>
      <c r="R17370" s="7"/>
      <c r="S17370" s="7"/>
      <c r="T17370" s="7"/>
      <c r="U17370" s="7"/>
      <c r="V17370" s="7"/>
      <c r="W17370" s="7"/>
      <c r="X17370" s="7"/>
      <c r="Y17370" s="7"/>
      <c r="Z17370" s="7"/>
      <c r="AA17370" s="7"/>
      <c r="AB17370" s="7"/>
      <c r="AC17370" s="7"/>
      <c r="AD17370" s="7"/>
      <c r="AE17370" s="7"/>
      <c r="AF17370" s="7"/>
    </row>
    <row r="17371" spans="1:32">
      <c r="A17371" s="7"/>
      <c r="B17371" s="7"/>
      <c r="C17371" s="7"/>
      <c r="D17371" s="7"/>
      <c r="E17371" s="7"/>
      <c r="F17371" s="7"/>
      <c r="G17371" s="7"/>
      <c r="H17371" s="7"/>
      <c r="I17371" s="7"/>
      <c r="J17371" s="7"/>
      <c r="K17371" s="7"/>
      <c r="L17371" s="7"/>
      <c r="M17371" s="7"/>
      <c r="N17371" s="7"/>
      <c r="O17371" s="7"/>
      <c r="P17371" s="7"/>
      <c r="Q17371" s="7"/>
      <c r="R17371" s="7"/>
      <c r="S17371" s="7"/>
      <c r="T17371" s="7"/>
      <c r="U17371" s="7"/>
      <c r="V17371" s="7"/>
      <c r="W17371" s="7"/>
      <c r="X17371" s="7"/>
      <c r="Y17371" s="7"/>
      <c r="Z17371" s="7"/>
      <c r="AA17371" s="7"/>
      <c r="AB17371" s="7"/>
      <c r="AC17371" s="7"/>
      <c r="AD17371" s="7"/>
      <c r="AE17371" s="7"/>
      <c r="AF17371" s="7"/>
    </row>
    <row r="17372" spans="1:32">
      <c r="A17372" s="7"/>
      <c r="B17372" s="7"/>
      <c r="C17372" s="7"/>
      <c r="D17372" s="7"/>
      <c r="E17372" s="7"/>
      <c r="F17372" s="7"/>
      <c r="G17372" s="7"/>
      <c r="H17372" s="7"/>
      <c r="I17372" s="7"/>
      <c r="J17372" s="7"/>
      <c r="K17372" s="7"/>
      <c r="L17372" s="7"/>
      <c r="M17372" s="7"/>
      <c r="N17372" s="7"/>
      <c r="O17372" s="7"/>
      <c r="P17372" s="7"/>
      <c r="Q17372" s="7"/>
      <c r="R17372" s="7"/>
      <c r="S17372" s="7"/>
      <c r="T17372" s="7"/>
      <c r="U17372" s="7"/>
      <c r="V17372" s="7"/>
      <c r="W17372" s="7"/>
      <c r="X17372" s="7"/>
      <c r="Y17372" s="7"/>
      <c r="Z17372" s="7"/>
      <c r="AA17372" s="7"/>
      <c r="AB17372" s="7"/>
      <c r="AC17372" s="7"/>
      <c r="AD17372" s="7"/>
      <c r="AE17372" s="7"/>
      <c r="AF17372" s="7"/>
    </row>
    <row r="17373" spans="1:32">
      <c r="A17373" s="7"/>
      <c r="B17373" s="7"/>
      <c r="C17373" s="7"/>
      <c r="D17373" s="7"/>
      <c r="E17373" s="7"/>
      <c r="F17373" s="7"/>
      <c r="G17373" s="7"/>
      <c r="H17373" s="7"/>
      <c r="I17373" s="7"/>
      <c r="J17373" s="7"/>
      <c r="K17373" s="7"/>
      <c r="L17373" s="7"/>
      <c r="M17373" s="7"/>
      <c r="N17373" s="7"/>
      <c r="O17373" s="7"/>
      <c r="P17373" s="7"/>
      <c r="Q17373" s="7"/>
      <c r="R17373" s="7"/>
      <c r="S17373" s="7"/>
      <c r="T17373" s="7"/>
      <c r="U17373" s="7"/>
      <c r="V17373" s="7"/>
      <c r="W17373" s="7"/>
      <c r="X17373" s="7"/>
      <c r="Y17373" s="7"/>
      <c r="Z17373" s="7"/>
      <c r="AA17373" s="7"/>
      <c r="AB17373" s="7"/>
      <c r="AC17373" s="7"/>
      <c r="AD17373" s="7"/>
      <c r="AE17373" s="7"/>
      <c r="AF17373" s="7"/>
    </row>
    <row r="17374" spans="1:32">
      <c r="A17374" s="7"/>
      <c r="B17374" s="7"/>
      <c r="C17374" s="7"/>
      <c r="D17374" s="7"/>
      <c r="E17374" s="7"/>
      <c r="F17374" s="7"/>
      <c r="G17374" s="7"/>
      <c r="H17374" s="7"/>
      <c r="I17374" s="7"/>
      <c r="J17374" s="7"/>
      <c r="K17374" s="7"/>
      <c r="L17374" s="7"/>
      <c r="M17374" s="7"/>
      <c r="N17374" s="7"/>
      <c r="O17374" s="7"/>
      <c r="P17374" s="7"/>
      <c r="Q17374" s="7"/>
      <c r="R17374" s="7"/>
      <c r="S17374" s="7"/>
      <c r="T17374" s="7"/>
      <c r="U17374" s="7"/>
      <c r="V17374" s="7"/>
      <c r="W17374" s="7"/>
      <c r="X17374" s="7"/>
      <c r="Y17374" s="7"/>
      <c r="Z17374" s="7"/>
      <c r="AA17374" s="7"/>
      <c r="AB17374" s="7"/>
      <c r="AC17374" s="7"/>
      <c r="AD17374" s="7"/>
      <c r="AE17374" s="7"/>
      <c r="AF17374" s="7"/>
    </row>
    <row r="17375" spans="1:32">
      <c r="A17375" s="7"/>
      <c r="B17375" s="7"/>
      <c r="C17375" s="7"/>
      <c r="D17375" s="7"/>
      <c r="E17375" s="7"/>
      <c r="F17375" s="7"/>
      <c r="G17375" s="7"/>
      <c r="H17375" s="7"/>
      <c r="I17375" s="7"/>
      <c r="J17375" s="7"/>
      <c r="K17375" s="7"/>
      <c r="L17375" s="7"/>
      <c r="M17375" s="7"/>
      <c r="N17375" s="7"/>
      <c r="O17375" s="7"/>
      <c r="P17375" s="7"/>
      <c r="Q17375" s="7"/>
      <c r="R17375" s="7"/>
      <c r="S17375" s="7"/>
      <c r="T17375" s="7"/>
      <c r="U17375" s="7"/>
      <c r="V17375" s="7"/>
      <c r="W17375" s="7"/>
      <c r="X17375" s="7"/>
      <c r="Y17375" s="7"/>
      <c r="Z17375" s="7"/>
      <c r="AA17375" s="7"/>
      <c r="AB17375" s="7"/>
      <c r="AC17375" s="7"/>
      <c r="AD17375" s="7"/>
      <c r="AE17375" s="7"/>
      <c r="AF17375" s="7"/>
    </row>
    <row r="17376" spans="1:32">
      <c r="A17376" s="7"/>
      <c r="B17376" s="7"/>
      <c r="C17376" s="7"/>
      <c r="D17376" s="7"/>
      <c r="E17376" s="7"/>
      <c r="F17376" s="7"/>
      <c r="G17376" s="7"/>
      <c r="H17376" s="7"/>
      <c r="I17376" s="7"/>
      <c r="J17376" s="7"/>
      <c r="K17376" s="7"/>
      <c r="L17376" s="7"/>
      <c r="M17376" s="7"/>
      <c r="N17376" s="7"/>
      <c r="O17376" s="7"/>
      <c r="P17376" s="7"/>
      <c r="Q17376" s="7"/>
      <c r="R17376" s="7"/>
      <c r="S17376" s="7"/>
      <c r="T17376" s="7"/>
      <c r="U17376" s="7"/>
      <c r="V17376" s="7"/>
      <c r="W17376" s="7"/>
      <c r="X17376" s="7"/>
      <c r="Y17376" s="7"/>
      <c r="Z17376" s="7"/>
      <c r="AA17376" s="7"/>
      <c r="AB17376" s="7"/>
      <c r="AC17376" s="7"/>
      <c r="AD17376" s="7"/>
      <c r="AE17376" s="7"/>
      <c r="AF17376" s="7"/>
    </row>
    <row r="17377" spans="1:32">
      <c r="A17377" s="7"/>
      <c r="B17377" s="7"/>
      <c r="C17377" s="7"/>
      <c r="D17377" s="7"/>
      <c r="E17377" s="7"/>
      <c r="F17377" s="7"/>
      <c r="G17377" s="7"/>
      <c r="H17377" s="7"/>
      <c r="I17377" s="7"/>
      <c r="J17377" s="7"/>
      <c r="K17377" s="7"/>
      <c r="L17377" s="7"/>
      <c r="M17377" s="7"/>
      <c r="N17377" s="7"/>
      <c r="O17377" s="7"/>
      <c r="P17377" s="7"/>
      <c r="Q17377" s="7"/>
      <c r="R17377" s="7"/>
      <c r="S17377" s="7"/>
      <c r="T17377" s="7"/>
      <c r="U17377" s="7"/>
      <c r="V17377" s="7"/>
      <c r="W17377" s="7"/>
      <c r="X17377" s="7"/>
      <c r="Y17377" s="7"/>
      <c r="Z17377" s="7"/>
      <c r="AA17377" s="7"/>
      <c r="AB17377" s="7"/>
      <c r="AC17377" s="7"/>
      <c r="AD17377" s="7"/>
      <c r="AE17377" s="7"/>
      <c r="AF17377" s="7"/>
    </row>
    <row r="17378" spans="1:32">
      <c r="A17378" s="7"/>
      <c r="B17378" s="7"/>
      <c r="C17378" s="7"/>
      <c r="D17378" s="7"/>
      <c r="E17378" s="7"/>
      <c r="F17378" s="7"/>
      <c r="G17378" s="7"/>
      <c r="H17378" s="7"/>
      <c r="I17378" s="7"/>
      <c r="J17378" s="7"/>
      <c r="K17378" s="7"/>
      <c r="L17378" s="7"/>
      <c r="M17378" s="7"/>
      <c r="N17378" s="7"/>
      <c r="O17378" s="7"/>
      <c r="P17378" s="7"/>
      <c r="Q17378" s="7"/>
      <c r="R17378" s="7"/>
      <c r="S17378" s="7"/>
      <c r="T17378" s="7"/>
      <c r="U17378" s="7"/>
      <c r="V17378" s="7"/>
      <c r="W17378" s="7"/>
      <c r="X17378" s="7"/>
      <c r="Y17378" s="7"/>
      <c r="Z17378" s="7"/>
      <c r="AA17378" s="7"/>
      <c r="AB17378" s="7"/>
      <c r="AC17378" s="7"/>
      <c r="AD17378" s="7"/>
      <c r="AE17378" s="7"/>
      <c r="AF17378" s="7"/>
    </row>
    <row r="17379" spans="1:32">
      <c r="A17379" s="7"/>
      <c r="B17379" s="7"/>
      <c r="C17379" s="7"/>
      <c r="D17379" s="7"/>
      <c r="E17379" s="7"/>
      <c r="F17379" s="7"/>
      <c r="G17379" s="7"/>
      <c r="H17379" s="7"/>
      <c r="I17379" s="7"/>
      <c r="J17379" s="7"/>
      <c r="K17379" s="7"/>
      <c r="L17379" s="7"/>
      <c r="M17379" s="7"/>
      <c r="N17379" s="7"/>
      <c r="O17379" s="7"/>
      <c r="P17379" s="7"/>
      <c r="Q17379" s="7"/>
      <c r="R17379" s="7"/>
      <c r="S17379" s="7"/>
      <c r="T17379" s="7"/>
      <c r="U17379" s="7"/>
      <c r="V17379" s="7"/>
      <c r="W17379" s="7"/>
      <c r="X17379" s="7"/>
      <c r="Y17379" s="7"/>
      <c r="Z17379" s="7"/>
      <c r="AA17379" s="7"/>
      <c r="AB17379" s="7"/>
      <c r="AC17379" s="7"/>
      <c r="AD17379" s="7"/>
      <c r="AE17379" s="7"/>
      <c r="AF17379" s="7"/>
    </row>
    <row r="17380" spans="1:32">
      <c r="A17380" s="7"/>
      <c r="B17380" s="7"/>
      <c r="C17380" s="7"/>
      <c r="D17380" s="7"/>
      <c r="E17380" s="7"/>
      <c r="F17380" s="7"/>
      <c r="G17380" s="7"/>
      <c r="H17380" s="7"/>
      <c r="I17380" s="7"/>
      <c r="J17380" s="7"/>
      <c r="K17380" s="7"/>
      <c r="L17380" s="7"/>
      <c r="M17380" s="7"/>
      <c r="N17380" s="7"/>
      <c r="O17380" s="7"/>
      <c r="P17380" s="7"/>
      <c r="Q17380" s="7"/>
      <c r="R17380" s="7"/>
      <c r="S17380" s="7"/>
      <c r="T17380" s="7"/>
      <c r="U17380" s="7"/>
      <c r="V17380" s="7"/>
      <c r="W17380" s="7"/>
      <c r="X17380" s="7"/>
      <c r="Y17380" s="7"/>
      <c r="Z17380" s="7"/>
      <c r="AA17380" s="7"/>
      <c r="AB17380" s="7"/>
      <c r="AC17380" s="7"/>
      <c r="AD17380" s="7"/>
      <c r="AE17380" s="7"/>
      <c r="AF17380" s="7"/>
    </row>
    <row r="17381" spans="1:32">
      <c r="A17381" s="7"/>
      <c r="B17381" s="7"/>
      <c r="C17381" s="7"/>
      <c r="D17381" s="7"/>
      <c r="E17381" s="7"/>
      <c r="F17381" s="7"/>
      <c r="G17381" s="7"/>
      <c r="H17381" s="7"/>
      <c r="I17381" s="7"/>
      <c r="J17381" s="7"/>
      <c r="K17381" s="7"/>
      <c r="L17381" s="7"/>
      <c r="M17381" s="7"/>
      <c r="N17381" s="7"/>
      <c r="O17381" s="7"/>
      <c r="P17381" s="7"/>
      <c r="Q17381" s="7"/>
      <c r="R17381" s="7"/>
      <c r="S17381" s="7"/>
      <c r="T17381" s="7"/>
      <c r="U17381" s="7"/>
      <c r="V17381" s="7"/>
      <c r="W17381" s="7"/>
      <c r="X17381" s="7"/>
      <c r="Y17381" s="7"/>
      <c r="Z17381" s="7"/>
      <c r="AA17381" s="7"/>
      <c r="AB17381" s="7"/>
      <c r="AC17381" s="7"/>
      <c r="AD17381" s="7"/>
      <c r="AE17381" s="7"/>
      <c r="AF17381" s="7"/>
    </row>
    <row r="17382" spans="1:32">
      <c r="A17382" s="7"/>
      <c r="B17382" s="7"/>
      <c r="C17382" s="7"/>
      <c r="D17382" s="7"/>
      <c r="E17382" s="7"/>
      <c r="F17382" s="7"/>
      <c r="G17382" s="7"/>
      <c r="H17382" s="7"/>
      <c r="I17382" s="7"/>
      <c r="J17382" s="7"/>
      <c r="K17382" s="7"/>
      <c r="L17382" s="7"/>
      <c r="M17382" s="7"/>
      <c r="N17382" s="7"/>
      <c r="O17382" s="7"/>
      <c r="P17382" s="7"/>
      <c r="Q17382" s="7"/>
      <c r="R17382" s="7"/>
      <c r="S17382" s="7"/>
      <c r="T17382" s="7"/>
      <c r="U17382" s="7"/>
      <c r="V17382" s="7"/>
      <c r="W17382" s="7"/>
      <c r="X17382" s="7"/>
      <c r="Y17382" s="7"/>
      <c r="Z17382" s="7"/>
      <c r="AA17382" s="7"/>
      <c r="AB17382" s="7"/>
      <c r="AC17382" s="7"/>
      <c r="AD17382" s="7"/>
      <c r="AE17382" s="7"/>
      <c r="AF17382" s="7"/>
    </row>
    <row r="17383" spans="1:32">
      <c r="A17383" s="7"/>
      <c r="B17383" s="7"/>
      <c r="C17383" s="7"/>
      <c r="D17383" s="7"/>
      <c r="E17383" s="7"/>
      <c r="F17383" s="7"/>
      <c r="G17383" s="7"/>
      <c r="H17383" s="7"/>
      <c r="I17383" s="7"/>
      <c r="J17383" s="7"/>
      <c r="K17383" s="7"/>
      <c r="L17383" s="7"/>
      <c r="M17383" s="7"/>
      <c r="N17383" s="7"/>
      <c r="O17383" s="7"/>
      <c r="P17383" s="7"/>
      <c r="Q17383" s="7"/>
      <c r="R17383" s="7"/>
      <c r="S17383" s="7"/>
      <c r="T17383" s="7"/>
      <c r="U17383" s="7"/>
      <c r="V17383" s="7"/>
      <c r="W17383" s="7"/>
      <c r="X17383" s="7"/>
      <c r="Y17383" s="7"/>
      <c r="Z17383" s="7"/>
      <c r="AA17383" s="7"/>
      <c r="AB17383" s="7"/>
      <c r="AC17383" s="7"/>
      <c r="AD17383" s="7"/>
      <c r="AE17383" s="7"/>
      <c r="AF17383" s="7"/>
    </row>
    <row r="17384" spans="1:32">
      <c r="A17384" s="7"/>
      <c r="B17384" s="7"/>
      <c r="C17384" s="7"/>
      <c r="D17384" s="7"/>
      <c r="E17384" s="7"/>
      <c r="F17384" s="7"/>
      <c r="G17384" s="7"/>
      <c r="H17384" s="7"/>
      <c r="I17384" s="7"/>
      <c r="J17384" s="7"/>
      <c r="K17384" s="7"/>
      <c r="L17384" s="7"/>
      <c r="M17384" s="7"/>
      <c r="N17384" s="7"/>
      <c r="O17384" s="7"/>
      <c r="P17384" s="7"/>
      <c r="Q17384" s="7"/>
      <c r="R17384" s="7"/>
      <c r="S17384" s="7"/>
      <c r="T17384" s="7"/>
      <c r="U17384" s="7"/>
      <c r="V17384" s="7"/>
      <c r="W17384" s="7"/>
      <c r="X17384" s="7"/>
      <c r="Y17384" s="7"/>
      <c r="Z17384" s="7"/>
      <c r="AA17384" s="7"/>
      <c r="AB17384" s="7"/>
      <c r="AC17384" s="7"/>
      <c r="AD17384" s="7"/>
      <c r="AE17384" s="7"/>
      <c r="AF17384" s="7"/>
    </row>
    <row r="17385" spans="1:32">
      <c r="A17385" s="7"/>
      <c r="B17385" s="7"/>
      <c r="C17385" s="7"/>
      <c r="D17385" s="7"/>
      <c r="E17385" s="7"/>
      <c r="F17385" s="7"/>
      <c r="G17385" s="7"/>
      <c r="H17385" s="7"/>
      <c r="I17385" s="7"/>
      <c r="J17385" s="7"/>
      <c r="K17385" s="7"/>
      <c r="L17385" s="7"/>
      <c r="M17385" s="7"/>
      <c r="N17385" s="7"/>
      <c r="O17385" s="7"/>
      <c r="P17385" s="7"/>
      <c r="Q17385" s="7"/>
      <c r="R17385" s="7"/>
      <c r="S17385" s="7"/>
      <c r="T17385" s="7"/>
      <c r="U17385" s="7"/>
      <c r="V17385" s="7"/>
      <c r="W17385" s="7"/>
      <c r="X17385" s="7"/>
      <c r="Y17385" s="7"/>
      <c r="Z17385" s="7"/>
      <c r="AA17385" s="7"/>
      <c r="AB17385" s="7"/>
      <c r="AC17385" s="7"/>
      <c r="AD17385" s="7"/>
      <c r="AE17385" s="7"/>
      <c r="AF17385" s="7"/>
    </row>
    <row r="17386" spans="1:32">
      <c r="A17386" s="7"/>
      <c r="B17386" s="7"/>
      <c r="C17386" s="7"/>
      <c r="D17386" s="7"/>
      <c r="E17386" s="7"/>
      <c r="F17386" s="7"/>
      <c r="G17386" s="7"/>
      <c r="H17386" s="7"/>
      <c r="I17386" s="7"/>
      <c r="J17386" s="7"/>
      <c r="K17386" s="7"/>
      <c r="L17386" s="7"/>
      <c r="M17386" s="7"/>
      <c r="N17386" s="7"/>
      <c r="O17386" s="7"/>
      <c r="P17386" s="7"/>
      <c r="Q17386" s="7"/>
      <c r="R17386" s="7"/>
      <c r="S17386" s="7"/>
      <c r="T17386" s="7"/>
      <c r="U17386" s="7"/>
      <c r="V17386" s="7"/>
      <c r="W17386" s="7"/>
      <c r="X17386" s="7"/>
      <c r="Y17386" s="7"/>
      <c r="Z17386" s="7"/>
      <c r="AA17386" s="7"/>
      <c r="AB17386" s="7"/>
      <c r="AC17386" s="7"/>
      <c r="AD17386" s="7"/>
      <c r="AE17386" s="7"/>
      <c r="AF17386" s="7"/>
    </row>
    <row r="17387" spans="1:32">
      <c r="A17387" s="7"/>
      <c r="B17387" s="7"/>
      <c r="C17387" s="7"/>
      <c r="D17387" s="7"/>
      <c r="E17387" s="7"/>
      <c r="F17387" s="7"/>
      <c r="G17387" s="7"/>
      <c r="H17387" s="7"/>
      <c r="I17387" s="7"/>
      <c r="J17387" s="7"/>
      <c r="K17387" s="7"/>
      <c r="L17387" s="7"/>
      <c r="M17387" s="7"/>
      <c r="N17387" s="7"/>
      <c r="O17387" s="7"/>
      <c r="P17387" s="7"/>
      <c r="Q17387" s="7"/>
      <c r="R17387" s="7"/>
      <c r="S17387" s="7"/>
      <c r="T17387" s="7"/>
      <c r="U17387" s="7"/>
      <c r="V17387" s="7"/>
      <c r="W17387" s="7"/>
      <c r="X17387" s="7"/>
      <c r="Y17387" s="7"/>
      <c r="Z17387" s="7"/>
      <c r="AA17387" s="7"/>
      <c r="AB17387" s="7"/>
      <c r="AC17387" s="7"/>
      <c r="AD17387" s="7"/>
      <c r="AE17387" s="7"/>
      <c r="AF17387" s="7"/>
    </row>
    <row r="17388" spans="1:32">
      <c r="A17388" s="7"/>
      <c r="B17388" s="7"/>
      <c r="C17388" s="7"/>
      <c r="D17388" s="7"/>
      <c r="E17388" s="7"/>
      <c r="F17388" s="7"/>
      <c r="G17388" s="7"/>
      <c r="H17388" s="7"/>
      <c r="I17388" s="7"/>
      <c r="J17388" s="7"/>
      <c r="K17388" s="7"/>
      <c r="L17388" s="7"/>
      <c r="M17388" s="7"/>
      <c r="N17388" s="7"/>
      <c r="O17388" s="7"/>
      <c r="P17388" s="7"/>
      <c r="Q17388" s="7"/>
      <c r="R17388" s="7"/>
      <c r="S17388" s="7"/>
      <c r="T17388" s="7"/>
      <c r="U17388" s="7"/>
      <c r="V17388" s="7"/>
      <c r="W17388" s="7"/>
      <c r="X17388" s="7"/>
      <c r="Y17388" s="7"/>
      <c r="Z17388" s="7"/>
      <c r="AA17388" s="7"/>
      <c r="AB17388" s="7"/>
      <c r="AC17388" s="7"/>
      <c r="AD17388" s="7"/>
      <c r="AE17388" s="7"/>
      <c r="AF17388" s="7"/>
    </row>
    <row r="17389" spans="1:32">
      <c r="A17389" s="7"/>
      <c r="B17389" s="7"/>
      <c r="C17389" s="7"/>
      <c r="D17389" s="7"/>
      <c r="E17389" s="7"/>
      <c r="F17389" s="7"/>
      <c r="G17389" s="7"/>
      <c r="H17389" s="7"/>
      <c r="I17389" s="7"/>
      <c r="J17389" s="7"/>
      <c r="K17389" s="7"/>
      <c r="L17389" s="7"/>
      <c r="M17389" s="7"/>
      <c r="N17389" s="7"/>
      <c r="O17389" s="7"/>
      <c r="P17389" s="7"/>
      <c r="Q17389" s="7"/>
      <c r="R17389" s="7"/>
      <c r="S17389" s="7"/>
      <c r="T17389" s="7"/>
      <c r="U17389" s="7"/>
      <c r="V17389" s="7"/>
      <c r="W17389" s="7"/>
      <c r="X17389" s="7"/>
      <c r="Y17389" s="7"/>
      <c r="Z17389" s="7"/>
      <c r="AA17389" s="7"/>
      <c r="AB17389" s="7"/>
      <c r="AC17389" s="7"/>
      <c r="AD17389" s="7"/>
      <c r="AE17389" s="7"/>
      <c r="AF17389" s="7"/>
    </row>
    <row r="17390" spans="1:32">
      <c r="A17390" s="7"/>
      <c r="B17390" s="7"/>
      <c r="C17390" s="7"/>
      <c r="D17390" s="7"/>
      <c r="E17390" s="7"/>
      <c r="F17390" s="7"/>
      <c r="G17390" s="7"/>
      <c r="H17390" s="7"/>
      <c r="I17390" s="7"/>
      <c r="J17390" s="7"/>
      <c r="K17390" s="7"/>
      <c r="L17390" s="7"/>
      <c r="M17390" s="7"/>
      <c r="N17390" s="7"/>
      <c r="O17390" s="7"/>
      <c r="P17390" s="7"/>
      <c r="Q17390" s="7"/>
      <c r="R17390" s="7"/>
      <c r="S17390" s="7"/>
      <c r="T17390" s="7"/>
      <c r="U17390" s="7"/>
      <c r="V17390" s="7"/>
      <c r="W17390" s="7"/>
      <c r="X17390" s="7"/>
      <c r="Y17390" s="7"/>
      <c r="Z17390" s="7"/>
      <c r="AA17390" s="7"/>
      <c r="AB17390" s="7"/>
      <c r="AC17390" s="7"/>
      <c r="AD17390" s="7"/>
      <c r="AE17390" s="7"/>
      <c r="AF17390" s="7"/>
    </row>
    <row r="17391" spans="1:32">
      <c r="A17391" s="7"/>
      <c r="B17391" s="7"/>
      <c r="C17391" s="7"/>
      <c r="D17391" s="7"/>
      <c r="E17391" s="7"/>
      <c r="F17391" s="7"/>
      <c r="G17391" s="7"/>
      <c r="H17391" s="7"/>
      <c r="I17391" s="7"/>
      <c r="J17391" s="7"/>
      <c r="K17391" s="7"/>
      <c r="L17391" s="7"/>
      <c r="M17391" s="7"/>
      <c r="N17391" s="7"/>
      <c r="O17391" s="7"/>
      <c r="P17391" s="7"/>
      <c r="Q17391" s="7"/>
      <c r="R17391" s="7"/>
      <c r="S17391" s="7"/>
      <c r="T17391" s="7"/>
      <c r="U17391" s="7"/>
      <c r="V17391" s="7"/>
      <c r="W17391" s="7"/>
      <c r="X17391" s="7"/>
      <c r="Y17391" s="7"/>
      <c r="Z17391" s="7"/>
      <c r="AA17391" s="7"/>
      <c r="AB17391" s="7"/>
      <c r="AC17391" s="7"/>
      <c r="AD17391" s="7"/>
      <c r="AE17391" s="7"/>
      <c r="AF17391" s="7"/>
    </row>
    <row r="17392" spans="1:32">
      <c r="A17392" s="7"/>
      <c r="B17392" s="7"/>
      <c r="C17392" s="7"/>
      <c r="D17392" s="7"/>
      <c r="E17392" s="7"/>
      <c r="F17392" s="7"/>
      <c r="G17392" s="7"/>
      <c r="H17392" s="7"/>
      <c r="I17392" s="7"/>
      <c r="J17392" s="7"/>
      <c r="K17392" s="7"/>
      <c r="L17392" s="7"/>
      <c r="M17392" s="7"/>
      <c r="N17392" s="7"/>
      <c r="O17392" s="7"/>
      <c r="P17392" s="7"/>
      <c r="Q17392" s="7"/>
      <c r="R17392" s="7"/>
      <c r="S17392" s="7"/>
      <c r="T17392" s="7"/>
      <c r="U17392" s="7"/>
      <c r="V17392" s="7"/>
      <c r="W17392" s="7"/>
      <c r="X17392" s="7"/>
      <c r="Y17392" s="7"/>
      <c r="Z17392" s="7"/>
      <c r="AA17392" s="7"/>
      <c r="AB17392" s="7"/>
      <c r="AC17392" s="7"/>
      <c r="AD17392" s="7"/>
      <c r="AE17392" s="7"/>
      <c r="AF17392" s="7"/>
    </row>
    <row r="17393" spans="1:32">
      <c r="A17393" s="7"/>
      <c r="B17393" s="7"/>
      <c r="C17393" s="7"/>
      <c r="D17393" s="7"/>
      <c r="E17393" s="7"/>
      <c r="F17393" s="7"/>
      <c r="G17393" s="7"/>
      <c r="H17393" s="7"/>
      <c r="I17393" s="7"/>
      <c r="J17393" s="7"/>
      <c r="K17393" s="7"/>
      <c r="L17393" s="7"/>
      <c r="M17393" s="7"/>
      <c r="N17393" s="7"/>
      <c r="O17393" s="7"/>
      <c r="P17393" s="7"/>
      <c r="Q17393" s="7"/>
      <c r="R17393" s="7"/>
      <c r="S17393" s="7"/>
      <c r="T17393" s="7"/>
      <c r="U17393" s="7"/>
      <c r="V17393" s="7"/>
      <c r="W17393" s="7"/>
      <c r="X17393" s="7"/>
      <c r="Y17393" s="7"/>
      <c r="Z17393" s="7"/>
      <c r="AA17393" s="7"/>
      <c r="AB17393" s="7"/>
      <c r="AC17393" s="7"/>
      <c r="AD17393" s="7"/>
      <c r="AE17393" s="7"/>
      <c r="AF17393" s="7"/>
    </row>
    <row r="17394" spans="1:32">
      <c r="A17394" s="7"/>
      <c r="B17394" s="7"/>
      <c r="C17394" s="7"/>
      <c r="D17394" s="7"/>
      <c r="E17394" s="7"/>
      <c r="F17394" s="7"/>
      <c r="G17394" s="7"/>
      <c r="H17394" s="7"/>
      <c r="I17394" s="7"/>
      <c r="J17394" s="7"/>
      <c r="K17394" s="7"/>
      <c r="L17394" s="7"/>
      <c r="M17394" s="7"/>
      <c r="N17394" s="7"/>
      <c r="O17394" s="7"/>
      <c r="P17394" s="7"/>
      <c r="Q17394" s="7"/>
      <c r="R17394" s="7"/>
      <c r="S17394" s="7"/>
      <c r="T17394" s="7"/>
      <c r="U17394" s="7"/>
      <c r="V17394" s="7"/>
      <c r="W17394" s="7"/>
      <c r="X17394" s="7"/>
      <c r="Y17394" s="7"/>
      <c r="Z17394" s="7"/>
      <c r="AA17394" s="7"/>
      <c r="AB17394" s="7"/>
      <c r="AC17394" s="7"/>
      <c r="AD17394" s="7"/>
      <c r="AE17394" s="7"/>
      <c r="AF17394" s="7"/>
    </row>
    <row r="17395" spans="1:32">
      <c r="A17395" s="7"/>
      <c r="B17395" s="7"/>
      <c r="C17395" s="7"/>
      <c r="D17395" s="7"/>
      <c r="E17395" s="7"/>
      <c r="F17395" s="7"/>
      <c r="G17395" s="7"/>
      <c r="H17395" s="7"/>
      <c r="I17395" s="7"/>
      <c r="J17395" s="7"/>
      <c r="K17395" s="7"/>
      <c r="L17395" s="7"/>
      <c r="M17395" s="7"/>
      <c r="N17395" s="7"/>
      <c r="O17395" s="7"/>
      <c r="P17395" s="7"/>
      <c r="Q17395" s="7"/>
      <c r="R17395" s="7"/>
      <c r="S17395" s="7"/>
      <c r="T17395" s="7"/>
      <c r="U17395" s="7"/>
      <c r="V17395" s="7"/>
      <c r="W17395" s="7"/>
      <c r="X17395" s="7"/>
      <c r="Y17395" s="7"/>
      <c r="Z17395" s="7"/>
      <c r="AA17395" s="7"/>
      <c r="AB17395" s="7"/>
      <c r="AC17395" s="7"/>
      <c r="AD17395" s="7"/>
      <c r="AE17395" s="7"/>
      <c r="AF17395" s="7"/>
    </row>
    <row r="17396" spans="1:32">
      <c r="A17396" s="7"/>
      <c r="B17396" s="7"/>
      <c r="C17396" s="7"/>
      <c r="D17396" s="7"/>
      <c r="E17396" s="7"/>
      <c r="F17396" s="7"/>
      <c r="G17396" s="7"/>
      <c r="H17396" s="7"/>
      <c r="I17396" s="7"/>
      <c r="J17396" s="7"/>
      <c r="K17396" s="7"/>
      <c r="L17396" s="7"/>
      <c r="M17396" s="7"/>
      <c r="N17396" s="7"/>
      <c r="O17396" s="7"/>
      <c r="P17396" s="7"/>
      <c r="Q17396" s="7"/>
      <c r="R17396" s="7"/>
      <c r="S17396" s="7"/>
      <c r="T17396" s="7"/>
      <c r="U17396" s="7"/>
      <c r="V17396" s="7"/>
      <c r="W17396" s="7"/>
      <c r="X17396" s="7"/>
      <c r="Y17396" s="7"/>
      <c r="Z17396" s="7"/>
      <c r="AA17396" s="7"/>
      <c r="AB17396" s="7"/>
      <c r="AC17396" s="7"/>
      <c r="AD17396" s="7"/>
      <c r="AE17396" s="7"/>
      <c r="AF17396" s="7"/>
    </row>
    <row r="17397" spans="1:32">
      <c r="A17397" s="7"/>
      <c r="B17397" s="7"/>
      <c r="C17397" s="7"/>
      <c r="D17397" s="7"/>
      <c r="E17397" s="7"/>
      <c r="F17397" s="7"/>
      <c r="G17397" s="7"/>
      <c r="H17397" s="7"/>
      <c r="I17397" s="7"/>
      <c r="J17397" s="7"/>
      <c r="K17397" s="7"/>
      <c r="L17397" s="7"/>
      <c r="M17397" s="7"/>
      <c r="N17397" s="7"/>
      <c r="O17397" s="7"/>
      <c r="P17397" s="7"/>
      <c r="Q17397" s="7"/>
      <c r="R17397" s="7"/>
      <c r="S17397" s="7"/>
      <c r="T17397" s="7"/>
      <c r="U17397" s="7"/>
      <c r="V17397" s="7"/>
      <c r="W17397" s="7"/>
      <c r="X17397" s="7"/>
      <c r="Y17397" s="7"/>
      <c r="Z17397" s="7"/>
      <c r="AA17397" s="7"/>
      <c r="AB17397" s="7"/>
      <c r="AC17397" s="7"/>
      <c r="AD17397" s="7"/>
      <c r="AE17397" s="7"/>
      <c r="AF17397" s="7"/>
    </row>
    <row r="17398" spans="1:32">
      <c r="A17398" s="7"/>
      <c r="B17398" s="7"/>
      <c r="C17398" s="7"/>
      <c r="D17398" s="7"/>
      <c r="E17398" s="7"/>
      <c r="F17398" s="7"/>
      <c r="G17398" s="7"/>
      <c r="H17398" s="7"/>
      <c r="I17398" s="7"/>
      <c r="J17398" s="7"/>
      <c r="K17398" s="7"/>
      <c r="L17398" s="7"/>
      <c r="M17398" s="7"/>
      <c r="N17398" s="7"/>
      <c r="O17398" s="7"/>
      <c r="P17398" s="7"/>
      <c r="Q17398" s="7"/>
      <c r="R17398" s="7"/>
      <c r="S17398" s="7"/>
      <c r="T17398" s="7"/>
      <c r="U17398" s="7"/>
      <c r="V17398" s="7"/>
      <c r="W17398" s="7"/>
      <c r="X17398" s="7"/>
      <c r="Y17398" s="7"/>
      <c r="Z17398" s="7"/>
      <c r="AA17398" s="7"/>
      <c r="AB17398" s="7"/>
      <c r="AC17398" s="7"/>
      <c r="AD17398" s="7"/>
      <c r="AE17398" s="7"/>
      <c r="AF17398" s="7"/>
    </row>
    <row r="17399" spans="1:32">
      <c r="A17399" s="7"/>
      <c r="B17399" s="7"/>
      <c r="C17399" s="7"/>
      <c r="D17399" s="7"/>
      <c r="E17399" s="7"/>
      <c r="F17399" s="7"/>
      <c r="G17399" s="7"/>
      <c r="H17399" s="7"/>
      <c r="I17399" s="7"/>
      <c r="J17399" s="7"/>
      <c r="K17399" s="7"/>
      <c r="L17399" s="7"/>
      <c r="M17399" s="7"/>
      <c r="N17399" s="7"/>
      <c r="O17399" s="7"/>
      <c r="P17399" s="7"/>
      <c r="Q17399" s="7"/>
      <c r="R17399" s="7"/>
      <c r="S17399" s="7"/>
      <c r="T17399" s="7"/>
      <c r="U17399" s="7"/>
      <c r="V17399" s="7"/>
      <c r="W17399" s="7"/>
      <c r="X17399" s="7"/>
      <c r="Y17399" s="7"/>
      <c r="Z17399" s="7"/>
      <c r="AA17399" s="7"/>
      <c r="AB17399" s="7"/>
      <c r="AC17399" s="7"/>
      <c r="AD17399" s="7"/>
      <c r="AE17399" s="7"/>
      <c r="AF17399" s="7"/>
    </row>
    <row r="17400" spans="1:32">
      <c r="A17400" s="7"/>
      <c r="B17400" s="7"/>
      <c r="C17400" s="7"/>
      <c r="D17400" s="7"/>
      <c r="E17400" s="7"/>
      <c r="F17400" s="7"/>
      <c r="G17400" s="7"/>
      <c r="H17400" s="7"/>
      <c r="I17400" s="7"/>
      <c r="J17400" s="7"/>
      <c r="K17400" s="7"/>
      <c r="L17400" s="7"/>
      <c r="M17400" s="7"/>
      <c r="N17400" s="7"/>
      <c r="O17400" s="7"/>
      <c r="P17400" s="7"/>
      <c r="Q17400" s="7"/>
      <c r="R17400" s="7"/>
      <c r="S17400" s="7"/>
      <c r="T17400" s="7"/>
      <c r="U17400" s="7"/>
      <c r="V17400" s="7"/>
      <c r="W17400" s="7"/>
      <c r="X17400" s="7"/>
      <c r="Y17400" s="7"/>
      <c r="Z17400" s="7"/>
      <c r="AA17400" s="7"/>
      <c r="AB17400" s="7"/>
      <c r="AC17400" s="7"/>
      <c r="AD17400" s="7"/>
      <c r="AE17400" s="7"/>
      <c r="AF17400" s="7"/>
    </row>
    <row r="17401" spans="1:32">
      <c r="A17401" s="7"/>
      <c r="B17401" s="7"/>
      <c r="C17401" s="7"/>
      <c r="D17401" s="7"/>
      <c r="E17401" s="7"/>
      <c r="F17401" s="7"/>
      <c r="G17401" s="7"/>
      <c r="H17401" s="7"/>
      <c r="I17401" s="7"/>
      <c r="J17401" s="7"/>
      <c r="K17401" s="7"/>
      <c r="L17401" s="7"/>
      <c r="M17401" s="7"/>
      <c r="N17401" s="7"/>
      <c r="O17401" s="7"/>
      <c r="P17401" s="7"/>
      <c r="Q17401" s="7"/>
      <c r="R17401" s="7"/>
      <c r="S17401" s="7"/>
      <c r="T17401" s="7"/>
      <c r="U17401" s="7"/>
      <c r="V17401" s="7"/>
      <c r="W17401" s="7"/>
      <c r="X17401" s="7"/>
      <c r="Y17401" s="7"/>
      <c r="Z17401" s="7"/>
      <c r="AA17401" s="7"/>
      <c r="AB17401" s="7"/>
      <c r="AC17401" s="7"/>
      <c r="AD17401" s="7"/>
      <c r="AE17401" s="7"/>
      <c r="AF17401" s="7"/>
    </row>
    <row r="17402" spans="1:32">
      <c r="A17402" s="7"/>
      <c r="B17402" s="7"/>
      <c r="C17402" s="7"/>
      <c r="D17402" s="7"/>
      <c r="E17402" s="7"/>
      <c r="F17402" s="7"/>
      <c r="G17402" s="7"/>
      <c r="H17402" s="7"/>
      <c r="I17402" s="7"/>
      <c r="J17402" s="7"/>
      <c r="K17402" s="7"/>
      <c r="L17402" s="7"/>
      <c r="M17402" s="7"/>
      <c r="N17402" s="7"/>
      <c r="O17402" s="7"/>
      <c r="P17402" s="7"/>
      <c r="Q17402" s="7"/>
      <c r="R17402" s="7"/>
      <c r="S17402" s="7"/>
      <c r="T17402" s="7"/>
      <c r="U17402" s="7"/>
      <c r="V17402" s="7"/>
      <c r="W17402" s="7"/>
      <c r="X17402" s="7"/>
      <c r="Y17402" s="7"/>
      <c r="Z17402" s="7"/>
      <c r="AA17402" s="7"/>
      <c r="AB17402" s="7"/>
      <c r="AC17402" s="7"/>
      <c r="AD17402" s="7"/>
      <c r="AE17402" s="7"/>
      <c r="AF17402" s="7"/>
    </row>
    <row r="17403" spans="1:32">
      <c r="A17403" s="7"/>
      <c r="B17403" s="7"/>
      <c r="C17403" s="7"/>
      <c r="D17403" s="7"/>
      <c r="E17403" s="7"/>
      <c r="F17403" s="7"/>
      <c r="G17403" s="7"/>
      <c r="H17403" s="7"/>
      <c r="I17403" s="7"/>
      <c r="J17403" s="7"/>
      <c r="K17403" s="7"/>
      <c r="L17403" s="7"/>
      <c r="M17403" s="7"/>
      <c r="N17403" s="7"/>
      <c r="O17403" s="7"/>
      <c r="P17403" s="7"/>
      <c r="Q17403" s="7"/>
      <c r="R17403" s="7"/>
      <c r="S17403" s="7"/>
      <c r="T17403" s="7"/>
      <c r="U17403" s="7"/>
      <c r="V17403" s="7"/>
      <c r="W17403" s="7"/>
      <c r="X17403" s="7"/>
      <c r="Y17403" s="7"/>
      <c r="Z17403" s="7"/>
      <c r="AA17403" s="7"/>
      <c r="AB17403" s="7"/>
      <c r="AC17403" s="7"/>
      <c r="AD17403" s="7"/>
      <c r="AE17403" s="7"/>
      <c r="AF17403" s="7"/>
    </row>
    <row r="17404" spans="1:32">
      <c r="A17404" s="7"/>
      <c r="B17404" s="7"/>
      <c r="C17404" s="7"/>
      <c r="D17404" s="7"/>
      <c r="E17404" s="7"/>
      <c r="F17404" s="7"/>
      <c r="G17404" s="7"/>
      <c r="H17404" s="7"/>
      <c r="I17404" s="7"/>
      <c r="J17404" s="7"/>
      <c r="K17404" s="7"/>
      <c r="L17404" s="7"/>
      <c r="M17404" s="7"/>
      <c r="N17404" s="7"/>
      <c r="O17404" s="7"/>
      <c r="P17404" s="7"/>
      <c r="Q17404" s="7"/>
      <c r="R17404" s="7"/>
      <c r="S17404" s="7"/>
      <c r="T17404" s="7"/>
      <c r="U17404" s="7"/>
      <c r="V17404" s="7"/>
      <c r="W17404" s="7"/>
      <c r="X17404" s="7"/>
      <c r="Y17404" s="7"/>
      <c r="Z17404" s="7"/>
      <c r="AA17404" s="7"/>
      <c r="AB17404" s="7"/>
      <c r="AC17404" s="7"/>
      <c r="AD17404" s="7"/>
      <c r="AE17404" s="7"/>
      <c r="AF17404" s="7"/>
    </row>
    <row r="17405" spans="1:32">
      <c r="A17405" s="7"/>
      <c r="B17405" s="7"/>
      <c r="C17405" s="7"/>
      <c r="D17405" s="7"/>
      <c r="E17405" s="7"/>
      <c r="F17405" s="7"/>
      <c r="G17405" s="7"/>
      <c r="H17405" s="7"/>
      <c r="I17405" s="7"/>
      <c r="J17405" s="7"/>
      <c r="K17405" s="7"/>
      <c r="L17405" s="7"/>
      <c r="M17405" s="7"/>
      <c r="N17405" s="7"/>
      <c r="O17405" s="7"/>
      <c r="P17405" s="7"/>
      <c r="Q17405" s="7"/>
      <c r="R17405" s="7"/>
      <c r="S17405" s="7"/>
      <c r="T17405" s="7"/>
      <c r="U17405" s="7"/>
      <c r="V17405" s="7"/>
      <c r="W17405" s="7"/>
      <c r="X17405" s="7"/>
      <c r="Y17405" s="7"/>
      <c r="Z17405" s="7"/>
      <c r="AA17405" s="7"/>
      <c r="AB17405" s="7"/>
      <c r="AC17405" s="7"/>
      <c r="AD17405" s="7"/>
      <c r="AE17405" s="7"/>
      <c r="AF17405" s="7"/>
    </row>
    <row r="17406" spans="1:32">
      <c r="A17406" s="7"/>
      <c r="B17406" s="7"/>
      <c r="C17406" s="7"/>
      <c r="D17406" s="7"/>
      <c r="E17406" s="7"/>
      <c r="F17406" s="7"/>
      <c r="G17406" s="7"/>
      <c r="H17406" s="7"/>
      <c r="I17406" s="7"/>
      <c r="J17406" s="7"/>
      <c r="K17406" s="7"/>
      <c r="L17406" s="7"/>
      <c r="M17406" s="7"/>
      <c r="N17406" s="7"/>
      <c r="O17406" s="7"/>
      <c r="P17406" s="7"/>
      <c r="Q17406" s="7"/>
      <c r="R17406" s="7"/>
      <c r="S17406" s="7"/>
      <c r="T17406" s="7"/>
      <c r="U17406" s="7"/>
      <c r="V17406" s="7"/>
      <c r="W17406" s="7"/>
      <c r="X17406" s="7"/>
      <c r="Y17406" s="7"/>
      <c r="Z17406" s="7"/>
      <c r="AA17406" s="7"/>
      <c r="AB17406" s="7"/>
      <c r="AC17406" s="7"/>
      <c r="AD17406" s="7"/>
      <c r="AE17406" s="7"/>
      <c r="AF17406" s="7"/>
    </row>
    <row r="17407" spans="1:32">
      <c r="A17407" s="7"/>
      <c r="B17407" s="7"/>
      <c r="C17407" s="7"/>
      <c r="D17407" s="7"/>
      <c r="E17407" s="7"/>
      <c r="F17407" s="7"/>
      <c r="G17407" s="7"/>
      <c r="H17407" s="7"/>
      <c r="I17407" s="7"/>
      <c r="J17407" s="7"/>
      <c r="K17407" s="7"/>
      <c r="L17407" s="7"/>
      <c r="M17407" s="7"/>
      <c r="N17407" s="7"/>
      <c r="O17407" s="7"/>
      <c r="P17407" s="7"/>
      <c r="Q17407" s="7"/>
      <c r="R17407" s="7"/>
      <c r="S17407" s="7"/>
      <c r="T17407" s="7"/>
      <c r="U17407" s="7"/>
      <c r="V17407" s="7"/>
      <c r="W17407" s="7"/>
      <c r="X17407" s="7"/>
      <c r="Y17407" s="7"/>
      <c r="Z17407" s="7"/>
      <c r="AA17407" s="7"/>
      <c r="AB17407" s="7"/>
      <c r="AC17407" s="7"/>
      <c r="AD17407" s="7"/>
      <c r="AE17407" s="7"/>
      <c r="AF17407" s="7"/>
    </row>
    <row r="17408" spans="1:32">
      <c r="A17408" s="7"/>
      <c r="B17408" s="7"/>
      <c r="C17408" s="7"/>
      <c r="D17408" s="7"/>
      <c r="E17408" s="7"/>
      <c r="F17408" s="7"/>
      <c r="G17408" s="7"/>
      <c r="H17408" s="7"/>
      <c r="I17408" s="7"/>
      <c r="J17408" s="7"/>
      <c r="K17408" s="7"/>
      <c r="L17408" s="7"/>
      <c r="M17408" s="7"/>
      <c r="N17408" s="7"/>
      <c r="O17408" s="7"/>
      <c r="P17408" s="7"/>
      <c r="Q17408" s="7"/>
      <c r="R17408" s="7"/>
      <c r="S17408" s="7"/>
      <c r="T17408" s="7"/>
      <c r="U17408" s="7"/>
      <c r="V17408" s="7"/>
      <c r="W17408" s="7"/>
      <c r="X17408" s="7"/>
      <c r="Y17408" s="7"/>
      <c r="Z17408" s="7"/>
      <c r="AA17408" s="7"/>
      <c r="AB17408" s="7"/>
      <c r="AC17408" s="7"/>
      <c r="AD17408" s="7"/>
      <c r="AE17408" s="7"/>
      <c r="AF17408" s="7"/>
    </row>
    <row r="17409" spans="1:32">
      <c r="A17409" s="7"/>
      <c r="B17409" s="7"/>
      <c r="C17409" s="7"/>
      <c r="D17409" s="7"/>
      <c r="E17409" s="7"/>
      <c r="F17409" s="7"/>
      <c r="G17409" s="7"/>
      <c r="H17409" s="7"/>
      <c r="I17409" s="7"/>
      <c r="J17409" s="7"/>
      <c r="K17409" s="7"/>
      <c r="L17409" s="7"/>
      <c r="M17409" s="7"/>
      <c r="N17409" s="7"/>
      <c r="O17409" s="7"/>
      <c r="P17409" s="7"/>
      <c r="Q17409" s="7"/>
      <c r="R17409" s="7"/>
      <c r="S17409" s="7"/>
      <c r="T17409" s="7"/>
      <c r="U17409" s="7"/>
      <c r="V17409" s="7"/>
      <c r="W17409" s="7"/>
      <c r="X17409" s="7"/>
      <c r="Y17409" s="7"/>
      <c r="Z17409" s="7"/>
      <c r="AA17409" s="7"/>
      <c r="AB17409" s="7"/>
      <c r="AC17409" s="7"/>
      <c r="AD17409" s="7"/>
      <c r="AE17409" s="7"/>
      <c r="AF17409" s="7"/>
    </row>
    <row r="17410" spans="1:32">
      <c r="A17410" s="7"/>
      <c r="B17410" s="7"/>
      <c r="C17410" s="7"/>
      <c r="D17410" s="7"/>
      <c r="E17410" s="7"/>
      <c r="F17410" s="7"/>
      <c r="G17410" s="7"/>
      <c r="H17410" s="7"/>
      <c r="I17410" s="7"/>
      <c r="J17410" s="7"/>
      <c r="K17410" s="7"/>
      <c r="L17410" s="7"/>
      <c r="M17410" s="7"/>
      <c r="N17410" s="7"/>
      <c r="O17410" s="7"/>
      <c r="P17410" s="7"/>
      <c r="Q17410" s="7"/>
      <c r="R17410" s="7"/>
      <c r="S17410" s="7"/>
      <c r="T17410" s="7"/>
      <c r="U17410" s="7"/>
      <c r="V17410" s="7"/>
      <c r="W17410" s="7"/>
      <c r="X17410" s="7"/>
      <c r="Y17410" s="7"/>
      <c r="Z17410" s="7"/>
      <c r="AA17410" s="7"/>
      <c r="AB17410" s="7"/>
      <c r="AC17410" s="7"/>
      <c r="AD17410" s="7"/>
      <c r="AE17410" s="7"/>
      <c r="AF17410" s="7"/>
    </row>
    <row r="17411" spans="1:32">
      <c r="A17411" s="7"/>
      <c r="B17411" s="7"/>
      <c r="C17411" s="7"/>
      <c r="D17411" s="7"/>
      <c r="E17411" s="7"/>
      <c r="F17411" s="7"/>
      <c r="G17411" s="7"/>
      <c r="H17411" s="7"/>
      <c r="I17411" s="7"/>
      <c r="J17411" s="7"/>
      <c r="K17411" s="7"/>
      <c r="L17411" s="7"/>
      <c r="M17411" s="7"/>
      <c r="N17411" s="7"/>
      <c r="O17411" s="7"/>
      <c r="P17411" s="7"/>
      <c r="Q17411" s="7"/>
      <c r="R17411" s="7"/>
      <c r="S17411" s="7"/>
      <c r="T17411" s="7"/>
      <c r="U17411" s="7"/>
      <c r="V17411" s="7"/>
      <c r="W17411" s="7"/>
      <c r="X17411" s="7"/>
      <c r="Y17411" s="7"/>
      <c r="Z17411" s="7"/>
      <c r="AA17411" s="7"/>
      <c r="AB17411" s="7"/>
      <c r="AC17411" s="7"/>
      <c r="AD17411" s="7"/>
      <c r="AE17411" s="7"/>
      <c r="AF17411" s="7"/>
    </row>
    <row r="17412" spans="1:32">
      <c r="A17412" s="7"/>
      <c r="B17412" s="7"/>
      <c r="C17412" s="7"/>
      <c r="D17412" s="7"/>
      <c r="E17412" s="7"/>
      <c r="F17412" s="7"/>
      <c r="G17412" s="7"/>
      <c r="H17412" s="7"/>
      <c r="I17412" s="7"/>
      <c r="J17412" s="7"/>
      <c r="K17412" s="7"/>
      <c r="L17412" s="7"/>
      <c r="M17412" s="7"/>
      <c r="N17412" s="7"/>
      <c r="O17412" s="7"/>
      <c r="P17412" s="7"/>
      <c r="Q17412" s="7"/>
      <c r="R17412" s="7"/>
      <c r="S17412" s="7"/>
      <c r="T17412" s="7"/>
      <c r="U17412" s="7"/>
      <c r="V17412" s="7"/>
      <c r="W17412" s="7"/>
      <c r="X17412" s="7"/>
      <c r="Y17412" s="7"/>
      <c r="Z17412" s="7"/>
      <c r="AA17412" s="7"/>
      <c r="AB17412" s="7"/>
      <c r="AC17412" s="7"/>
      <c r="AD17412" s="7"/>
      <c r="AE17412" s="7"/>
      <c r="AF17412" s="7"/>
    </row>
    <row r="17413" spans="1:32">
      <c r="A17413" s="7"/>
      <c r="B17413" s="7"/>
      <c r="C17413" s="7"/>
      <c r="D17413" s="7"/>
      <c r="E17413" s="7"/>
      <c r="F17413" s="7"/>
      <c r="G17413" s="7"/>
      <c r="H17413" s="7"/>
      <c r="I17413" s="7"/>
      <c r="J17413" s="7"/>
      <c r="K17413" s="7"/>
      <c r="L17413" s="7"/>
      <c r="M17413" s="7"/>
      <c r="N17413" s="7"/>
      <c r="O17413" s="7"/>
      <c r="P17413" s="7"/>
      <c r="Q17413" s="7"/>
      <c r="R17413" s="7"/>
      <c r="S17413" s="7"/>
      <c r="T17413" s="7"/>
      <c r="U17413" s="7"/>
      <c r="V17413" s="7"/>
      <c r="W17413" s="7"/>
      <c r="X17413" s="7"/>
      <c r="Y17413" s="7"/>
      <c r="Z17413" s="7"/>
      <c r="AA17413" s="7"/>
      <c r="AB17413" s="7"/>
      <c r="AC17413" s="7"/>
      <c r="AD17413" s="7"/>
      <c r="AE17413" s="7"/>
      <c r="AF17413" s="7"/>
    </row>
    <row r="17414" spans="1:32">
      <c r="A17414" s="7"/>
      <c r="B17414" s="7"/>
      <c r="C17414" s="7"/>
      <c r="D17414" s="7"/>
      <c r="E17414" s="7"/>
      <c r="F17414" s="7"/>
      <c r="G17414" s="7"/>
      <c r="H17414" s="7"/>
      <c r="I17414" s="7"/>
      <c r="J17414" s="7"/>
      <c r="K17414" s="7"/>
      <c r="L17414" s="7"/>
      <c r="M17414" s="7"/>
      <c r="N17414" s="7"/>
      <c r="O17414" s="7"/>
      <c r="P17414" s="7"/>
      <c r="Q17414" s="7"/>
      <c r="R17414" s="7"/>
      <c r="S17414" s="7"/>
      <c r="T17414" s="7"/>
      <c r="U17414" s="7"/>
      <c r="V17414" s="7"/>
      <c r="W17414" s="7"/>
      <c r="X17414" s="7"/>
      <c r="Y17414" s="7"/>
      <c r="Z17414" s="7"/>
      <c r="AA17414" s="7"/>
      <c r="AB17414" s="7"/>
      <c r="AC17414" s="7"/>
      <c r="AD17414" s="7"/>
      <c r="AE17414" s="7"/>
      <c r="AF17414" s="7"/>
    </row>
    <row r="17415" spans="1:32">
      <c r="A17415" s="7"/>
      <c r="B17415" s="7"/>
      <c r="C17415" s="7"/>
      <c r="D17415" s="7"/>
      <c r="E17415" s="7"/>
      <c r="F17415" s="7"/>
      <c r="G17415" s="7"/>
      <c r="H17415" s="7"/>
      <c r="I17415" s="7"/>
      <c r="J17415" s="7"/>
      <c r="K17415" s="7"/>
      <c r="L17415" s="7"/>
      <c r="M17415" s="7"/>
      <c r="N17415" s="7"/>
      <c r="O17415" s="7"/>
      <c r="P17415" s="7"/>
      <c r="Q17415" s="7"/>
      <c r="R17415" s="7"/>
      <c r="S17415" s="7"/>
      <c r="T17415" s="7"/>
      <c r="U17415" s="7"/>
      <c r="V17415" s="7"/>
      <c r="W17415" s="7"/>
      <c r="X17415" s="7"/>
      <c r="Y17415" s="7"/>
      <c r="Z17415" s="7"/>
      <c r="AA17415" s="7"/>
      <c r="AB17415" s="7"/>
      <c r="AC17415" s="7"/>
      <c r="AD17415" s="7"/>
      <c r="AE17415" s="7"/>
      <c r="AF17415" s="7"/>
    </row>
    <row r="17416" spans="1:32">
      <c r="A17416" s="7"/>
      <c r="B17416" s="7"/>
      <c r="C17416" s="7"/>
      <c r="D17416" s="7"/>
      <c r="E17416" s="7"/>
      <c r="F17416" s="7"/>
      <c r="G17416" s="7"/>
      <c r="H17416" s="7"/>
      <c r="I17416" s="7"/>
      <c r="J17416" s="7"/>
      <c r="K17416" s="7"/>
      <c r="L17416" s="7"/>
      <c r="M17416" s="7"/>
      <c r="N17416" s="7"/>
      <c r="O17416" s="7"/>
      <c r="P17416" s="7"/>
      <c r="Q17416" s="7"/>
      <c r="R17416" s="7"/>
      <c r="S17416" s="7"/>
      <c r="T17416" s="7"/>
      <c r="U17416" s="7"/>
      <c r="V17416" s="7"/>
      <c r="W17416" s="7"/>
      <c r="X17416" s="7"/>
      <c r="Y17416" s="7"/>
      <c r="Z17416" s="7"/>
      <c r="AA17416" s="7"/>
      <c r="AB17416" s="7"/>
      <c r="AC17416" s="7"/>
      <c r="AD17416" s="7"/>
      <c r="AE17416" s="7"/>
      <c r="AF17416" s="7"/>
    </row>
    <row r="17417" spans="1:32">
      <c r="A17417" s="7"/>
      <c r="B17417" s="7"/>
      <c r="C17417" s="7"/>
      <c r="D17417" s="7"/>
      <c r="E17417" s="7"/>
      <c r="F17417" s="7"/>
      <c r="G17417" s="7"/>
      <c r="H17417" s="7"/>
      <c r="I17417" s="7"/>
      <c r="J17417" s="7"/>
      <c r="K17417" s="7"/>
      <c r="L17417" s="7"/>
      <c r="M17417" s="7"/>
      <c r="N17417" s="7"/>
      <c r="O17417" s="7"/>
      <c r="P17417" s="7"/>
      <c r="Q17417" s="7"/>
      <c r="R17417" s="7"/>
      <c r="S17417" s="7"/>
      <c r="T17417" s="7"/>
      <c r="U17417" s="7"/>
      <c r="V17417" s="7"/>
      <c r="W17417" s="7"/>
      <c r="X17417" s="7"/>
      <c r="Y17417" s="7"/>
      <c r="Z17417" s="7"/>
      <c r="AA17417" s="7"/>
      <c r="AB17417" s="7"/>
      <c r="AC17417" s="7"/>
      <c r="AD17417" s="7"/>
      <c r="AE17417" s="7"/>
      <c r="AF17417" s="7"/>
    </row>
    <row r="17418" spans="1:32">
      <c r="A17418" s="7"/>
      <c r="B17418" s="7"/>
      <c r="C17418" s="7"/>
      <c r="D17418" s="7"/>
      <c r="E17418" s="7"/>
      <c r="F17418" s="7"/>
      <c r="G17418" s="7"/>
      <c r="H17418" s="7"/>
      <c r="I17418" s="7"/>
      <c r="J17418" s="7"/>
      <c r="K17418" s="7"/>
      <c r="L17418" s="7"/>
      <c r="M17418" s="7"/>
      <c r="N17418" s="7"/>
      <c r="O17418" s="7"/>
      <c r="P17418" s="7"/>
      <c r="Q17418" s="7"/>
      <c r="R17418" s="7"/>
      <c r="S17418" s="7"/>
      <c r="T17418" s="7"/>
      <c r="U17418" s="7"/>
      <c r="V17418" s="7"/>
      <c r="W17418" s="7"/>
      <c r="X17418" s="7"/>
      <c r="Y17418" s="7"/>
      <c r="Z17418" s="7"/>
      <c r="AA17418" s="7"/>
      <c r="AB17418" s="7"/>
      <c r="AC17418" s="7"/>
      <c r="AD17418" s="7"/>
      <c r="AE17418" s="7"/>
      <c r="AF17418" s="7"/>
    </row>
    <row r="17419" spans="1:32">
      <c r="A17419" s="7"/>
      <c r="B17419" s="7"/>
      <c r="C17419" s="7"/>
      <c r="D17419" s="7"/>
      <c r="E17419" s="7"/>
      <c r="F17419" s="7"/>
      <c r="G17419" s="7"/>
      <c r="H17419" s="7"/>
      <c r="I17419" s="7"/>
      <c r="J17419" s="7"/>
      <c r="K17419" s="7"/>
      <c r="L17419" s="7"/>
      <c r="M17419" s="7"/>
      <c r="N17419" s="7"/>
      <c r="O17419" s="7"/>
      <c r="P17419" s="7"/>
      <c r="Q17419" s="7"/>
      <c r="R17419" s="7"/>
      <c r="S17419" s="7"/>
      <c r="T17419" s="7"/>
      <c r="U17419" s="7"/>
      <c r="V17419" s="7"/>
      <c r="W17419" s="7"/>
      <c r="X17419" s="7"/>
      <c r="Y17419" s="7"/>
      <c r="Z17419" s="7"/>
      <c r="AA17419" s="7"/>
      <c r="AB17419" s="7"/>
      <c r="AC17419" s="7"/>
      <c r="AD17419" s="7"/>
      <c r="AE17419" s="7"/>
      <c r="AF17419" s="7"/>
    </row>
    <row r="17420" spans="1:32">
      <c r="A17420" s="7"/>
      <c r="B17420" s="7"/>
      <c r="C17420" s="7"/>
      <c r="D17420" s="7"/>
      <c r="E17420" s="7"/>
      <c r="F17420" s="7"/>
      <c r="G17420" s="7"/>
      <c r="H17420" s="7"/>
      <c r="I17420" s="7"/>
      <c r="J17420" s="7"/>
      <c r="K17420" s="7"/>
      <c r="L17420" s="7"/>
      <c r="M17420" s="7"/>
      <c r="N17420" s="7"/>
      <c r="O17420" s="7"/>
      <c r="P17420" s="7"/>
      <c r="Q17420" s="7"/>
      <c r="R17420" s="7"/>
      <c r="S17420" s="7"/>
      <c r="T17420" s="7"/>
      <c r="U17420" s="7"/>
      <c r="V17420" s="7"/>
      <c r="W17420" s="7"/>
      <c r="X17420" s="7"/>
      <c r="Y17420" s="7"/>
      <c r="Z17420" s="7"/>
      <c r="AA17420" s="7"/>
      <c r="AB17420" s="7"/>
      <c r="AC17420" s="7"/>
      <c r="AD17420" s="7"/>
      <c r="AE17420" s="7"/>
      <c r="AF17420" s="7"/>
    </row>
    <row r="17421" spans="1:33">
      <c r="A17421" s="9"/>
      <c r="B17421" s="9"/>
      <c r="C17421" s="9"/>
      <c r="D17421" s="9"/>
      <c r="E17421" s="9"/>
      <c r="F17421" s="9"/>
      <c r="G17421" s="9"/>
      <c r="H17421" s="9"/>
      <c r="I17421" s="9"/>
      <c r="J17421" s="9"/>
      <c r="K17421" s="9"/>
      <c r="L17421" s="9"/>
      <c r="M17421" s="9"/>
      <c r="N17421" s="9"/>
      <c r="O17421" s="9"/>
      <c r="P17421" s="9"/>
      <c r="Q17421" s="9"/>
      <c r="R17421" s="9"/>
      <c r="S17421" s="9"/>
      <c r="T17421" s="9"/>
      <c r="U17421" s="9"/>
      <c r="V17421" s="9"/>
      <c r="W17421" s="9"/>
      <c r="X17421" s="9"/>
      <c r="Y17421" s="9"/>
      <c r="Z17421" s="9"/>
      <c r="AA17421" s="9"/>
      <c r="AB17421" s="9"/>
      <c r="AC17421" s="9"/>
      <c r="AG17421" s="10"/>
    </row>
    <row r="17422" spans="1:33">
      <c r="A17422" s="9"/>
      <c r="B17422" s="9"/>
      <c r="C17422" s="9"/>
      <c r="D17422" s="9"/>
      <c r="E17422" s="9"/>
      <c r="F17422" s="9"/>
      <c r="G17422" s="9"/>
      <c r="H17422" s="9"/>
      <c r="I17422" s="9"/>
      <c r="J17422" s="9"/>
      <c r="K17422" s="9"/>
      <c r="L17422" s="9"/>
      <c r="M17422" s="9"/>
      <c r="N17422" s="9"/>
      <c r="O17422" s="9"/>
      <c r="P17422" s="9"/>
      <c r="Q17422" s="9"/>
      <c r="R17422" s="9"/>
      <c r="S17422" s="9"/>
      <c r="T17422" s="9"/>
      <c r="U17422" s="9"/>
      <c r="V17422" s="9"/>
      <c r="W17422" s="9"/>
      <c r="X17422" s="9"/>
      <c r="Y17422" s="9"/>
      <c r="Z17422" s="9"/>
      <c r="AA17422" s="9"/>
      <c r="AB17422" s="9"/>
      <c r="AC17422" s="9"/>
      <c r="AG17422" s="10"/>
    </row>
    <row r="17423" spans="1:33">
      <c r="A17423" s="9"/>
      <c r="B17423" s="9"/>
      <c r="C17423" s="9"/>
      <c r="D17423" s="9"/>
      <c r="E17423" s="9"/>
      <c r="F17423" s="9"/>
      <c r="G17423" s="9"/>
      <c r="H17423" s="9"/>
      <c r="I17423" s="9"/>
      <c r="J17423" s="9"/>
      <c r="K17423" s="9"/>
      <c r="L17423" s="9"/>
      <c r="M17423" s="9"/>
      <c r="N17423" s="9"/>
      <c r="O17423" s="9"/>
      <c r="P17423" s="9"/>
      <c r="Q17423" s="9"/>
      <c r="R17423" s="9"/>
      <c r="S17423" s="9"/>
      <c r="T17423" s="9"/>
      <c r="U17423" s="9"/>
      <c r="V17423" s="9"/>
      <c r="W17423" s="9"/>
      <c r="X17423" s="9"/>
      <c r="Y17423" s="9"/>
      <c r="Z17423" s="9"/>
      <c r="AA17423" s="9"/>
      <c r="AB17423" s="9"/>
      <c r="AC17423" s="9"/>
      <c r="AG17423" s="10"/>
    </row>
    <row r="17424" spans="1:33">
      <c r="A17424" s="9"/>
      <c r="B17424" s="9"/>
      <c r="C17424" s="9"/>
      <c r="D17424" s="9"/>
      <c r="E17424" s="9"/>
      <c r="F17424" s="9"/>
      <c r="G17424" s="9"/>
      <c r="H17424" s="9"/>
      <c r="I17424" s="9"/>
      <c r="J17424" s="9"/>
      <c r="K17424" s="9"/>
      <c r="L17424" s="9"/>
      <c r="M17424" s="9"/>
      <c r="N17424" s="9"/>
      <c r="O17424" s="9"/>
      <c r="P17424" s="9"/>
      <c r="Q17424" s="9"/>
      <c r="R17424" s="9"/>
      <c r="S17424" s="9"/>
      <c r="T17424" s="9"/>
      <c r="U17424" s="9"/>
      <c r="V17424" s="9"/>
      <c r="W17424" s="9"/>
      <c r="X17424" s="9"/>
      <c r="Y17424" s="9"/>
      <c r="Z17424" s="9"/>
      <c r="AA17424" s="9"/>
      <c r="AB17424" s="9"/>
      <c r="AC17424" s="9"/>
      <c r="AG17424" s="10"/>
    </row>
    <row r="17425" spans="1:33">
      <c r="A17425" s="9"/>
      <c r="B17425" s="9"/>
      <c r="C17425" s="9"/>
      <c r="D17425" s="9"/>
      <c r="E17425" s="9"/>
      <c r="F17425" s="9"/>
      <c r="G17425" s="9"/>
      <c r="H17425" s="9"/>
      <c r="I17425" s="9"/>
      <c r="J17425" s="9"/>
      <c r="K17425" s="9"/>
      <c r="L17425" s="9"/>
      <c r="M17425" s="9"/>
      <c r="N17425" s="9"/>
      <c r="O17425" s="9"/>
      <c r="P17425" s="9"/>
      <c r="Q17425" s="9"/>
      <c r="R17425" s="9"/>
      <c r="S17425" s="9"/>
      <c r="T17425" s="9"/>
      <c r="U17425" s="9"/>
      <c r="V17425" s="9"/>
      <c r="W17425" s="9"/>
      <c r="X17425" s="9"/>
      <c r="Y17425" s="9"/>
      <c r="Z17425" s="9"/>
      <c r="AA17425" s="9"/>
      <c r="AB17425" s="9"/>
      <c r="AC17425" s="9"/>
      <c r="AG17425" s="10"/>
    </row>
    <row r="17426" spans="1:33">
      <c r="A17426" s="9"/>
      <c r="B17426" s="9"/>
      <c r="C17426" s="9"/>
      <c r="D17426" s="9"/>
      <c r="E17426" s="9"/>
      <c r="F17426" s="9"/>
      <c r="G17426" s="9"/>
      <c r="H17426" s="9"/>
      <c r="I17426" s="9"/>
      <c r="J17426" s="9"/>
      <c r="K17426" s="9"/>
      <c r="L17426" s="9"/>
      <c r="M17426" s="9"/>
      <c r="N17426" s="9"/>
      <c r="O17426" s="9"/>
      <c r="P17426" s="9"/>
      <c r="Q17426" s="9"/>
      <c r="R17426" s="9"/>
      <c r="S17426" s="9"/>
      <c r="T17426" s="9"/>
      <c r="U17426" s="9"/>
      <c r="V17426" s="9"/>
      <c r="W17426" s="9"/>
      <c r="X17426" s="9"/>
      <c r="Y17426" s="9"/>
      <c r="Z17426" s="9"/>
      <c r="AA17426" s="9"/>
      <c r="AB17426" s="9"/>
      <c r="AC17426" s="9"/>
      <c r="AG17426" s="10"/>
    </row>
    <row r="17427" spans="1:33">
      <c r="A17427" s="9"/>
      <c r="B17427" s="9"/>
      <c r="C17427" s="9"/>
      <c r="D17427" s="9"/>
      <c r="E17427" s="9"/>
      <c r="F17427" s="9"/>
      <c r="G17427" s="9"/>
      <c r="H17427" s="9"/>
      <c r="I17427" s="9"/>
      <c r="J17427" s="9"/>
      <c r="K17427" s="9"/>
      <c r="L17427" s="9"/>
      <c r="M17427" s="9"/>
      <c r="N17427" s="9"/>
      <c r="O17427" s="9"/>
      <c r="P17427" s="9"/>
      <c r="Q17427" s="9"/>
      <c r="R17427" s="9"/>
      <c r="S17427" s="9"/>
      <c r="T17427" s="9"/>
      <c r="U17427" s="9"/>
      <c r="V17427" s="9"/>
      <c r="W17427" s="9"/>
      <c r="X17427" s="9"/>
      <c r="Y17427" s="9"/>
      <c r="Z17427" s="9"/>
      <c r="AA17427" s="9"/>
      <c r="AB17427" s="9"/>
      <c r="AC17427" s="9"/>
      <c r="AG17427" s="10"/>
    </row>
    <row r="17428" spans="1:33">
      <c r="A17428" s="9"/>
      <c r="B17428" s="9"/>
      <c r="C17428" s="9"/>
      <c r="D17428" s="9"/>
      <c r="E17428" s="9"/>
      <c r="F17428" s="9"/>
      <c r="G17428" s="9"/>
      <c r="H17428" s="9"/>
      <c r="I17428" s="9"/>
      <c r="J17428" s="9"/>
      <c r="K17428" s="9"/>
      <c r="L17428" s="9"/>
      <c r="M17428" s="9"/>
      <c r="N17428" s="9"/>
      <c r="O17428" s="9"/>
      <c r="P17428" s="9"/>
      <c r="Q17428" s="9"/>
      <c r="R17428" s="9"/>
      <c r="S17428" s="9"/>
      <c r="T17428" s="9"/>
      <c r="U17428" s="9"/>
      <c r="V17428" s="9"/>
      <c r="W17428" s="9"/>
      <c r="X17428" s="9"/>
      <c r="Y17428" s="9"/>
      <c r="Z17428" s="9"/>
      <c r="AA17428" s="9"/>
      <c r="AB17428" s="9"/>
      <c r="AC17428" s="9"/>
      <c r="AG17428" s="10"/>
    </row>
    <row r="17429" spans="1:33">
      <c r="A17429" s="9"/>
      <c r="B17429" s="9"/>
      <c r="C17429" s="9"/>
      <c r="D17429" s="9"/>
      <c r="E17429" s="9"/>
      <c r="F17429" s="9"/>
      <c r="G17429" s="9"/>
      <c r="H17429" s="9"/>
      <c r="I17429" s="9"/>
      <c r="J17429" s="9"/>
      <c r="K17429" s="9"/>
      <c r="L17429" s="9"/>
      <c r="M17429" s="9"/>
      <c r="N17429" s="9"/>
      <c r="O17429" s="9"/>
      <c r="P17429" s="9"/>
      <c r="Q17429" s="9"/>
      <c r="R17429" s="9"/>
      <c r="S17429" s="9"/>
      <c r="T17429" s="9"/>
      <c r="U17429" s="9"/>
      <c r="V17429" s="9"/>
      <c r="W17429" s="9"/>
      <c r="X17429" s="9"/>
      <c r="Y17429" s="9"/>
      <c r="Z17429" s="9"/>
      <c r="AA17429" s="9"/>
      <c r="AB17429" s="9"/>
      <c r="AC17429" s="9"/>
      <c r="AG17429" s="10"/>
    </row>
    <row r="17430" spans="1:33">
      <c r="A17430" s="9"/>
      <c r="B17430" s="9"/>
      <c r="C17430" s="9"/>
      <c r="D17430" s="9"/>
      <c r="E17430" s="9"/>
      <c r="F17430" s="9"/>
      <c r="G17430" s="9"/>
      <c r="H17430" s="9"/>
      <c r="I17430" s="9"/>
      <c r="J17430" s="9"/>
      <c r="K17430" s="9"/>
      <c r="L17430" s="9"/>
      <c r="M17430" s="9"/>
      <c r="N17430" s="9"/>
      <c r="O17430" s="9"/>
      <c r="P17430" s="9"/>
      <c r="Q17430" s="9"/>
      <c r="R17430" s="9"/>
      <c r="S17430" s="9"/>
      <c r="T17430" s="9"/>
      <c r="U17430" s="9"/>
      <c r="V17430" s="9"/>
      <c r="W17430" s="9"/>
      <c r="X17430" s="9"/>
      <c r="Y17430" s="9"/>
      <c r="Z17430" s="9"/>
      <c r="AA17430" s="9"/>
      <c r="AB17430" s="9"/>
      <c r="AC17430" s="9"/>
      <c r="AG17430" s="10"/>
    </row>
    <row r="17431" spans="1:33">
      <c r="A17431" s="9"/>
      <c r="B17431" s="9"/>
      <c r="C17431" s="9"/>
      <c r="D17431" s="9"/>
      <c r="E17431" s="9"/>
      <c r="F17431" s="9"/>
      <c r="G17431" s="9"/>
      <c r="H17431" s="9"/>
      <c r="I17431" s="9"/>
      <c r="J17431" s="9"/>
      <c r="K17431" s="9"/>
      <c r="L17431" s="9"/>
      <c r="M17431" s="9"/>
      <c r="N17431" s="9"/>
      <c r="O17431" s="9"/>
      <c r="P17431" s="9"/>
      <c r="Q17431" s="9"/>
      <c r="R17431" s="9"/>
      <c r="S17431" s="9"/>
      <c r="T17431" s="9"/>
      <c r="U17431" s="9"/>
      <c r="V17431" s="9"/>
      <c r="W17431" s="9"/>
      <c r="X17431" s="9"/>
      <c r="Y17431" s="9"/>
      <c r="Z17431" s="9"/>
      <c r="AA17431" s="9"/>
      <c r="AB17431" s="9"/>
      <c r="AC17431" s="9"/>
      <c r="AG17431" s="10"/>
    </row>
    <row r="17432" spans="1:33">
      <c r="A17432" s="9"/>
      <c r="B17432" s="9"/>
      <c r="C17432" s="9"/>
      <c r="D17432" s="9"/>
      <c r="E17432" s="9"/>
      <c r="F17432" s="9"/>
      <c r="G17432" s="9"/>
      <c r="H17432" s="9"/>
      <c r="I17432" s="9"/>
      <c r="J17432" s="9"/>
      <c r="K17432" s="9"/>
      <c r="L17432" s="9"/>
      <c r="M17432" s="9"/>
      <c r="N17432" s="9"/>
      <c r="O17432" s="9"/>
      <c r="P17432" s="9"/>
      <c r="Q17432" s="9"/>
      <c r="R17432" s="9"/>
      <c r="S17432" s="9"/>
      <c r="T17432" s="9"/>
      <c r="U17432" s="9"/>
      <c r="V17432" s="9"/>
      <c r="W17432" s="9"/>
      <c r="X17432" s="9"/>
      <c r="Y17432" s="9"/>
      <c r="Z17432" s="9"/>
      <c r="AA17432" s="9"/>
      <c r="AB17432" s="9"/>
      <c r="AC17432" s="9"/>
      <c r="AG17432" s="10"/>
    </row>
    <row r="17433" spans="1:33">
      <c r="A17433" s="9"/>
      <c r="B17433" s="9"/>
      <c r="C17433" s="9"/>
      <c r="D17433" s="9"/>
      <c r="E17433" s="9"/>
      <c r="F17433" s="9"/>
      <c r="G17433" s="9"/>
      <c r="H17433" s="9"/>
      <c r="I17433" s="9"/>
      <c r="J17433" s="9"/>
      <c r="K17433" s="9"/>
      <c r="L17433" s="9"/>
      <c r="M17433" s="9"/>
      <c r="N17433" s="9"/>
      <c r="O17433" s="9"/>
      <c r="P17433" s="9"/>
      <c r="Q17433" s="9"/>
      <c r="R17433" s="9"/>
      <c r="S17433" s="9"/>
      <c r="T17433" s="9"/>
      <c r="U17433" s="9"/>
      <c r="V17433" s="9"/>
      <c r="W17433" s="9"/>
      <c r="X17433" s="9"/>
      <c r="Y17433" s="9"/>
      <c r="Z17433" s="9"/>
      <c r="AA17433" s="9"/>
      <c r="AB17433" s="9"/>
      <c r="AC17433" s="9"/>
      <c r="AG17433" s="10"/>
    </row>
    <row r="17434" spans="1:33">
      <c r="A17434" s="9"/>
      <c r="B17434" s="9"/>
      <c r="C17434" s="9"/>
      <c r="D17434" s="9"/>
      <c r="E17434" s="9"/>
      <c r="F17434" s="9"/>
      <c r="G17434" s="9"/>
      <c r="H17434" s="9"/>
      <c r="I17434" s="9"/>
      <c r="J17434" s="9"/>
      <c r="K17434" s="9"/>
      <c r="L17434" s="9"/>
      <c r="M17434" s="9"/>
      <c r="N17434" s="9"/>
      <c r="O17434" s="9"/>
      <c r="P17434" s="9"/>
      <c r="Q17434" s="9"/>
      <c r="R17434" s="9"/>
      <c r="S17434" s="9"/>
      <c r="T17434" s="9"/>
      <c r="U17434" s="9"/>
      <c r="V17434" s="9"/>
      <c r="W17434" s="9"/>
      <c r="X17434" s="9"/>
      <c r="Y17434" s="9"/>
      <c r="Z17434" s="9"/>
      <c r="AA17434" s="9"/>
      <c r="AB17434" s="9"/>
      <c r="AC17434" s="9"/>
      <c r="AG17434" s="10"/>
    </row>
    <row r="17435" spans="1:33">
      <c r="A17435" s="9"/>
      <c r="B17435" s="9"/>
      <c r="C17435" s="9"/>
      <c r="D17435" s="9"/>
      <c r="E17435" s="9"/>
      <c r="F17435" s="9"/>
      <c r="G17435" s="9"/>
      <c r="H17435" s="9"/>
      <c r="I17435" s="9"/>
      <c r="J17435" s="9"/>
      <c r="K17435" s="9"/>
      <c r="L17435" s="9"/>
      <c r="M17435" s="9"/>
      <c r="N17435" s="9"/>
      <c r="O17435" s="9"/>
      <c r="P17435" s="9"/>
      <c r="Q17435" s="9"/>
      <c r="R17435" s="9"/>
      <c r="S17435" s="9"/>
      <c r="T17435" s="9"/>
      <c r="U17435" s="9"/>
      <c r="V17435" s="9"/>
      <c r="W17435" s="9"/>
      <c r="X17435" s="9"/>
      <c r="Y17435" s="9"/>
      <c r="Z17435" s="9"/>
      <c r="AA17435" s="9"/>
      <c r="AB17435" s="9"/>
      <c r="AC17435" s="9"/>
      <c r="AG17435" s="10"/>
    </row>
    <row r="17436" spans="1:33">
      <c r="A17436" s="9"/>
      <c r="B17436" s="9"/>
      <c r="C17436" s="9"/>
      <c r="D17436" s="9"/>
      <c r="E17436" s="9"/>
      <c r="F17436" s="9"/>
      <c r="G17436" s="9"/>
      <c r="H17436" s="9"/>
      <c r="I17436" s="9"/>
      <c r="J17436" s="9"/>
      <c r="K17436" s="9"/>
      <c r="L17436" s="9"/>
      <c r="M17436" s="9"/>
      <c r="N17436" s="9"/>
      <c r="O17436" s="9"/>
      <c r="P17436" s="9"/>
      <c r="Q17436" s="9"/>
      <c r="R17436" s="9"/>
      <c r="S17436" s="9"/>
      <c r="T17436" s="9"/>
      <c r="U17436" s="9"/>
      <c r="V17436" s="9"/>
      <c r="W17436" s="9"/>
      <c r="X17436" s="9"/>
      <c r="Y17436" s="9"/>
      <c r="Z17436" s="9"/>
      <c r="AA17436" s="9"/>
      <c r="AB17436" s="9"/>
      <c r="AC17436" s="9"/>
      <c r="AG17436" s="10"/>
    </row>
    <row r="17437" spans="1:33">
      <c r="A17437" s="9"/>
      <c r="B17437" s="9"/>
      <c r="C17437" s="9"/>
      <c r="D17437" s="9"/>
      <c r="E17437" s="9"/>
      <c r="F17437" s="9"/>
      <c r="G17437" s="9"/>
      <c r="H17437" s="9"/>
      <c r="I17437" s="9"/>
      <c r="J17437" s="9"/>
      <c r="K17437" s="9"/>
      <c r="L17437" s="9"/>
      <c r="M17437" s="9"/>
      <c r="N17437" s="9"/>
      <c r="O17437" s="9"/>
      <c r="P17437" s="9"/>
      <c r="Q17437" s="9"/>
      <c r="R17437" s="9"/>
      <c r="S17437" s="9"/>
      <c r="T17437" s="9"/>
      <c r="U17437" s="9"/>
      <c r="V17437" s="9"/>
      <c r="W17437" s="9"/>
      <c r="X17437" s="9"/>
      <c r="Y17437" s="9"/>
      <c r="Z17437" s="9"/>
      <c r="AA17437" s="9"/>
      <c r="AB17437" s="9"/>
      <c r="AC17437" s="9"/>
      <c r="AG17437" s="10"/>
    </row>
    <row r="17438" spans="1:33">
      <c r="A17438" s="9"/>
      <c r="B17438" s="9"/>
      <c r="C17438" s="9"/>
      <c r="D17438" s="9"/>
      <c r="E17438" s="9"/>
      <c r="F17438" s="9"/>
      <c r="G17438" s="9"/>
      <c r="H17438" s="9"/>
      <c r="I17438" s="9"/>
      <c r="J17438" s="9"/>
      <c r="K17438" s="9"/>
      <c r="L17438" s="9"/>
      <c r="M17438" s="9"/>
      <c r="N17438" s="9"/>
      <c r="O17438" s="9"/>
      <c r="P17438" s="9"/>
      <c r="Q17438" s="9"/>
      <c r="R17438" s="9"/>
      <c r="S17438" s="9"/>
      <c r="T17438" s="9"/>
      <c r="U17438" s="9"/>
      <c r="V17438" s="9"/>
      <c r="W17438" s="9"/>
      <c r="X17438" s="9"/>
      <c r="Y17438" s="9"/>
      <c r="Z17438" s="9"/>
      <c r="AA17438" s="9"/>
      <c r="AB17438" s="9"/>
      <c r="AC17438" s="9"/>
      <c r="AG17438" s="10"/>
    </row>
    <row r="17439" spans="1:33">
      <c r="A17439" s="9"/>
      <c r="B17439" s="9"/>
      <c r="C17439" s="9"/>
      <c r="D17439" s="9"/>
      <c r="E17439" s="9"/>
      <c r="F17439" s="9"/>
      <c r="G17439" s="9"/>
      <c r="H17439" s="9"/>
      <c r="I17439" s="9"/>
      <c r="J17439" s="9"/>
      <c r="K17439" s="9"/>
      <c r="L17439" s="9"/>
      <c r="M17439" s="9"/>
      <c r="N17439" s="9"/>
      <c r="O17439" s="9"/>
      <c r="P17439" s="9"/>
      <c r="Q17439" s="9"/>
      <c r="R17439" s="9"/>
      <c r="S17439" s="9"/>
      <c r="T17439" s="9"/>
      <c r="U17439" s="9"/>
      <c r="V17439" s="9"/>
      <c r="W17439" s="9"/>
      <c r="X17439" s="9"/>
      <c r="Y17439" s="9"/>
      <c r="Z17439" s="9"/>
      <c r="AA17439" s="9"/>
      <c r="AB17439" s="9"/>
      <c r="AC17439" s="9"/>
      <c r="AG17439" s="10"/>
    </row>
    <row r="17440" spans="1:33">
      <c r="A17440" s="9"/>
      <c r="B17440" s="9"/>
      <c r="C17440" s="9"/>
      <c r="D17440" s="9"/>
      <c r="E17440" s="9"/>
      <c r="F17440" s="9"/>
      <c r="G17440" s="9"/>
      <c r="H17440" s="9"/>
      <c r="I17440" s="9"/>
      <c r="J17440" s="9"/>
      <c r="K17440" s="9"/>
      <c r="L17440" s="9"/>
      <c r="M17440" s="9"/>
      <c r="N17440" s="9"/>
      <c r="O17440" s="9"/>
      <c r="P17440" s="9"/>
      <c r="Q17440" s="9"/>
      <c r="R17440" s="9"/>
      <c r="S17440" s="9"/>
      <c r="T17440" s="9"/>
      <c r="U17440" s="9"/>
      <c r="V17440" s="9"/>
      <c r="W17440" s="9"/>
      <c r="X17440" s="9"/>
      <c r="Y17440" s="9"/>
      <c r="Z17440" s="9"/>
      <c r="AA17440" s="9"/>
      <c r="AB17440" s="9"/>
      <c r="AC17440" s="9"/>
      <c r="AG17440" s="10"/>
    </row>
    <row r="17441" spans="1:33">
      <c r="A17441" s="9"/>
      <c r="B17441" s="9"/>
      <c r="C17441" s="9"/>
      <c r="D17441" s="9"/>
      <c r="E17441" s="9"/>
      <c r="F17441" s="9"/>
      <c r="G17441" s="9"/>
      <c r="H17441" s="9"/>
      <c r="I17441" s="9"/>
      <c r="J17441" s="9"/>
      <c r="K17441" s="9"/>
      <c r="L17441" s="9"/>
      <c r="M17441" s="9"/>
      <c r="N17441" s="9"/>
      <c r="O17441" s="9"/>
      <c r="P17441" s="9"/>
      <c r="Q17441" s="9"/>
      <c r="R17441" s="9"/>
      <c r="S17441" s="9"/>
      <c r="T17441" s="9"/>
      <c r="U17441" s="9"/>
      <c r="V17441" s="9"/>
      <c r="W17441" s="9"/>
      <c r="X17441" s="9"/>
      <c r="Y17441" s="9"/>
      <c r="Z17441" s="9"/>
      <c r="AA17441" s="9"/>
      <c r="AB17441" s="9"/>
      <c r="AC17441" s="9"/>
      <c r="AG17441" s="10"/>
    </row>
    <row r="17442" spans="1:33">
      <c r="A17442" s="9"/>
      <c r="B17442" s="9"/>
      <c r="C17442" s="9"/>
      <c r="D17442" s="9"/>
      <c r="E17442" s="9"/>
      <c r="F17442" s="9"/>
      <c r="G17442" s="9"/>
      <c r="H17442" s="9"/>
      <c r="I17442" s="9"/>
      <c r="J17442" s="9"/>
      <c r="K17442" s="9"/>
      <c r="L17442" s="9"/>
      <c r="M17442" s="9"/>
      <c r="N17442" s="9"/>
      <c r="O17442" s="9"/>
      <c r="P17442" s="9"/>
      <c r="Q17442" s="9"/>
      <c r="R17442" s="9"/>
      <c r="S17442" s="9"/>
      <c r="T17442" s="9"/>
      <c r="U17442" s="9"/>
      <c r="V17442" s="9"/>
      <c r="W17442" s="9"/>
      <c r="X17442" s="9"/>
      <c r="Y17442" s="9"/>
      <c r="Z17442" s="9"/>
      <c r="AA17442" s="9"/>
      <c r="AB17442" s="9"/>
      <c r="AC17442" s="9"/>
      <c r="AG17442" s="10"/>
    </row>
    <row r="17443" spans="1:33">
      <c r="A17443" s="9"/>
      <c r="B17443" s="9"/>
      <c r="C17443" s="9"/>
      <c r="D17443" s="9"/>
      <c r="E17443" s="9"/>
      <c r="F17443" s="9"/>
      <c r="G17443" s="9"/>
      <c r="H17443" s="9"/>
      <c r="I17443" s="9"/>
      <c r="J17443" s="9"/>
      <c r="K17443" s="9"/>
      <c r="L17443" s="9"/>
      <c r="M17443" s="9"/>
      <c r="N17443" s="9"/>
      <c r="O17443" s="9"/>
      <c r="P17443" s="9"/>
      <c r="Q17443" s="9"/>
      <c r="R17443" s="9"/>
      <c r="S17443" s="9"/>
      <c r="T17443" s="9"/>
      <c r="U17443" s="9"/>
      <c r="V17443" s="9"/>
      <c r="W17443" s="9"/>
      <c r="X17443" s="9"/>
      <c r="Y17443" s="9"/>
      <c r="Z17443" s="9"/>
      <c r="AA17443" s="9"/>
      <c r="AB17443" s="9"/>
      <c r="AC17443" s="9"/>
      <c r="AG17443" s="10"/>
    </row>
    <row r="17444" spans="1:33">
      <c r="A17444" s="9"/>
      <c r="B17444" s="9"/>
      <c r="C17444" s="9"/>
      <c r="D17444" s="9"/>
      <c r="E17444" s="9"/>
      <c r="F17444" s="9"/>
      <c r="G17444" s="9"/>
      <c r="H17444" s="9"/>
      <c r="I17444" s="9"/>
      <c r="J17444" s="9"/>
      <c r="K17444" s="9"/>
      <c r="L17444" s="9"/>
      <c r="M17444" s="9"/>
      <c r="N17444" s="9"/>
      <c r="O17444" s="9"/>
      <c r="P17444" s="9"/>
      <c r="Q17444" s="9"/>
      <c r="R17444" s="9"/>
      <c r="S17444" s="9"/>
      <c r="T17444" s="9"/>
      <c r="U17444" s="9"/>
      <c r="V17444" s="9"/>
      <c r="W17444" s="9"/>
      <c r="X17444" s="9"/>
      <c r="Y17444" s="9"/>
      <c r="Z17444" s="9"/>
      <c r="AA17444" s="9"/>
      <c r="AB17444" s="9"/>
      <c r="AC17444" s="9"/>
      <c r="AG17444" s="10"/>
    </row>
    <row r="17445" spans="1:33">
      <c r="A17445" s="9"/>
      <c r="B17445" s="9"/>
      <c r="C17445" s="9"/>
      <c r="D17445" s="9"/>
      <c r="E17445" s="9"/>
      <c r="F17445" s="9"/>
      <c r="G17445" s="9"/>
      <c r="H17445" s="9"/>
      <c r="I17445" s="9"/>
      <c r="J17445" s="9"/>
      <c r="K17445" s="9"/>
      <c r="L17445" s="9"/>
      <c r="M17445" s="9"/>
      <c r="N17445" s="9"/>
      <c r="O17445" s="9"/>
      <c r="P17445" s="9"/>
      <c r="Q17445" s="9"/>
      <c r="R17445" s="9"/>
      <c r="S17445" s="9"/>
      <c r="T17445" s="9"/>
      <c r="U17445" s="9"/>
      <c r="V17445" s="9"/>
      <c r="W17445" s="9"/>
      <c r="X17445" s="9"/>
      <c r="Y17445" s="9"/>
      <c r="Z17445" s="9"/>
      <c r="AA17445" s="9"/>
      <c r="AB17445" s="9"/>
      <c r="AC17445" s="9"/>
      <c r="AG17445" s="10"/>
    </row>
    <row r="17446" spans="1:33">
      <c r="A17446" s="9"/>
      <c r="B17446" s="9"/>
      <c r="C17446" s="9"/>
      <c r="D17446" s="9"/>
      <c r="E17446" s="9"/>
      <c r="F17446" s="9"/>
      <c r="G17446" s="9"/>
      <c r="H17446" s="9"/>
      <c r="I17446" s="9"/>
      <c r="J17446" s="9"/>
      <c r="K17446" s="9"/>
      <c r="L17446" s="9"/>
      <c r="M17446" s="9"/>
      <c r="N17446" s="9"/>
      <c r="O17446" s="9"/>
      <c r="P17446" s="9"/>
      <c r="Q17446" s="9"/>
      <c r="R17446" s="9"/>
      <c r="S17446" s="9"/>
      <c r="T17446" s="9"/>
      <c r="U17446" s="9"/>
      <c r="V17446" s="9"/>
      <c r="W17446" s="9"/>
      <c r="X17446" s="9"/>
      <c r="Y17446" s="9"/>
      <c r="Z17446" s="9"/>
      <c r="AA17446" s="9"/>
      <c r="AB17446" s="9"/>
      <c r="AC17446" s="9"/>
      <c r="AG17446" s="10"/>
    </row>
    <row r="17447" spans="1:33">
      <c r="A17447" s="9"/>
      <c r="B17447" s="9"/>
      <c r="C17447" s="9"/>
      <c r="D17447" s="9"/>
      <c r="E17447" s="9"/>
      <c r="F17447" s="9"/>
      <c r="G17447" s="9"/>
      <c r="H17447" s="9"/>
      <c r="I17447" s="9"/>
      <c r="J17447" s="9"/>
      <c r="K17447" s="9"/>
      <c r="L17447" s="9"/>
      <c r="M17447" s="9"/>
      <c r="N17447" s="9"/>
      <c r="O17447" s="9"/>
      <c r="P17447" s="9"/>
      <c r="Q17447" s="9"/>
      <c r="R17447" s="9"/>
      <c r="S17447" s="9"/>
      <c r="T17447" s="9"/>
      <c r="U17447" s="9"/>
      <c r="V17447" s="9"/>
      <c r="W17447" s="9"/>
      <c r="X17447" s="9"/>
      <c r="Y17447" s="9"/>
      <c r="Z17447" s="9"/>
      <c r="AA17447" s="9"/>
      <c r="AB17447" s="9"/>
      <c r="AC17447" s="9"/>
      <c r="AG17447" s="10"/>
    </row>
    <row r="17448" spans="1:33">
      <c r="A17448" s="9"/>
      <c r="B17448" s="9"/>
      <c r="C17448" s="9"/>
      <c r="D17448" s="9"/>
      <c r="E17448" s="9"/>
      <c r="F17448" s="9"/>
      <c r="G17448" s="9"/>
      <c r="H17448" s="9"/>
      <c r="I17448" s="9"/>
      <c r="J17448" s="9"/>
      <c r="K17448" s="9"/>
      <c r="L17448" s="9"/>
      <c r="M17448" s="9"/>
      <c r="N17448" s="9"/>
      <c r="O17448" s="9"/>
      <c r="P17448" s="9"/>
      <c r="Q17448" s="9"/>
      <c r="R17448" s="9"/>
      <c r="S17448" s="9"/>
      <c r="T17448" s="9"/>
      <c r="U17448" s="9"/>
      <c r="V17448" s="9"/>
      <c r="W17448" s="9"/>
      <c r="X17448" s="9"/>
      <c r="Y17448" s="9"/>
      <c r="Z17448" s="9"/>
      <c r="AA17448" s="9"/>
      <c r="AB17448" s="9"/>
      <c r="AC17448" s="9"/>
      <c r="AG17448" s="10"/>
    </row>
    <row r="17449" spans="1:33">
      <c r="A17449" s="9"/>
      <c r="B17449" s="9"/>
      <c r="C17449" s="9"/>
      <c r="D17449" s="9"/>
      <c r="E17449" s="9"/>
      <c r="F17449" s="9"/>
      <c r="G17449" s="9"/>
      <c r="H17449" s="9"/>
      <c r="I17449" s="9"/>
      <c r="J17449" s="9"/>
      <c r="K17449" s="9"/>
      <c r="L17449" s="9"/>
      <c r="M17449" s="9"/>
      <c r="N17449" s="9"/>
      <c r="O17449" s="9"/>
      <c r="P17449" s="9"/>
      <c r="Q17449" s="9"/>
      <c r="R17449" s="9"/>
      <c r="S17449" s="9"/>
      <c r="T17449" s="9"/>
      <c r="U17449" s="9"/>
      <c r="V17449" s="9"/>
      <c r="W17449" s="9"/>
      <c r="X17449" s="9"/>
      <c r="Y17449" s="9"/>
      <c r="Z17449" s="9"/>
      <c r="AA17449" s="9"/>
      <c r="AB17449" s="9"/>
      <c r="AC17449" s="9"/>
      <c r="AG17449" s="10"/>
    </row>
    <row r="17450" spans="1:33">
      <c r="A17450" s="9"/>
      <c r="B17450" s="9"/>
      <c r="C17450" s="9"/>
      <c r="D17450" s="9"/>
      <c r="E17450" s="9"/>
      <c r="F17450" s="9"/>
      <c r="G17450" s="9"/>
      <c r="H17450" s="9"/>
      <c r="I17450" s="9"/>
      <c r="J17450" s="9"/>
      <c r="K17450" s="9"/>
      <c r="L17450" s="9"/>
      <c r="M17450" s="9"/>
      <c r="N17450" s="9"/>
      <c r="O17450" s="9"/>
      <c r="P17450" s="9"/>
      <c r="Q17450" s="9"/>
      <c r="R17450" s="9"/>
      <c r="S17450" s="9"/>
      <c r="T17450" s="9"/>
      <c r="U17450" s="9"/>
      <c r="V17450" s="9"/>
      <c r="W17450" s="9"/>
      <c r="X17450" s="9"/>
      <c r="Y17450" s="9"/>
      <c r="Z17450" s="9"/>
      <c r="AA17450" s="9"/>
      <c r="AB17450" s="9"/>
      <c r="AC17450" s="9"/>
      <c r="AG17450" s="10"/>
    </row>
    <row r="17451" spans="1:33">
      <c r="A17451" s="9"/>
      <c r="B17451" s="9"/>
      <c r="C17451" s="9"/>
      <c r="D17451" s="9"/>
      <c r="E17451" s="9"/>
      <c r="F17451" s="9"/>
      <c r="G17451" s="9"/>
      <c r="H17451" s="9"/>
      <c r="I17451" s="9"/>
      <c r="J17451" s="9"/>
      <c r="K17451" s="9"/>
      <c r="L17451" s="9"/>
      <c r="M17451" s="9"/>
      <c r="N17451" s="9"/>
      <c r="O17451" s="9"/>
      <c r="P17451" s="9"/>
      <c r="Q17451" s="9"/>
      <c r="R17451" s="9"/>
      <c r="S17451" s="9"/>
      <c r="T17451" s="9"/>
      <c r="U17451" s="9"/>
      <c r="V17451" s="9"/>
      <c r="W17451" s="9"/>
      <c r="X17451" s="9"/>
      <c r="Y17451" s="9"/>
      <c r="Z17451" s="9"/>
      <c r="AA17451" s="9"/>
      <c r="AB17451" s="9"/>
      <c r="AC17451" s="9"/>
      <c r="AG17451" s="10"/>
    </row>
    <row r="17452" spans="1:33">
      <c r="A17452" s="9"/>
      <c r="B17452" s="9"/>
      <c r="C17452" s="9"/>
      <c r="D17452" s="9"/>
      <c r="E17452" s="9"/>
      <c r="F17452" s="9"/>
      <c r="G17452" s="9"/>
      <c r="H17452" s="9"/>
      <c r="I17452" s="9"/>
      <c r="J17452" s="9"/>
      <c r="K17452" s="9"/>
      <c r="L17452" s="9"/>
      <c r="M17452" s="9"/>
      <c r="N17452" s="9"/>
      <c r="O17452" s="9"/>
      <c r="P17452" s="9"/>
      <c r="Q17452" s="9"/>
      <c r="R17452" s="9"/>
      <c r="S17452" s="9"/>
      <c r="T17452" s="9"/>
      <c r="U17452" s="9"/>
      <c r="V17452" s="9"/>
      <c r="W17452" s="9"/>
      <c r="X17452" s="9"/>
      <c r="Y17452" s="9"/>
      <c r="Z17452" s="9"/>
      <c r="AA17452" s="9"/>
      <c r="AB17452" s="9"/>
      <c r="AC17452" s="9"/>
      <c r="AG17452" s="10"/>
    </row>
    <row r="17453" spans="1:33">
      <c r="A17453" s="9"/>
      <c r="B17453" s="9"/>
      <c r="C17453" s="9"/>
      <c r="D17453" s="9"/>
      <c r="E17453" s="9"/>
      <c r="F17453" s="9"/>
      <c r="G17453" s="9"/>
      <c r="H17453" s="9"/>
      <c r="I17453" s="9"/>
      <c r="J17453" s="9"/>
      <c r="K17453" s="9"/>
      <c r="L17453" s="9"/>
      <c r="M17453" s="9"/>
      <c r="N17453" s="9"/>
      <c r="O17453" s="9"/>
      <c r="P17453" s="9"/>
      <c r="Q17453" s="9"/>
      <c r="R17453" s="9"/>
      <c r="S17453" s="9"/>
      <c r="T17453" s="9"/>
      <c r="U17453" s="9"/>
      <c r="V17453" s="9"/>
      <c r="W17453" s="9"/>
      <c r="X17453" s="9"/>
      <c r="Y17453" s="9"/>
      <c r="Z17453" s="9"/>
      <c r="AA17453" s="9"/>
      <c r="AB17453" s="9"/>
      <c r="AC17453" s="9"/>
      <c r="AG17453" s="10"/>
    </row>
    <row r="17454" spans="1:33">
      <c r="A17454" s="9"/>
      <c r="B17454" s="9"/>
      <c r="C17454" s="9"/>
      <c r="D17454" s="9"/>
      <c r="E17454" s="9"/>
      <c r="F17454" s="9"/>
      <c r="G17454" s="9"/>
      <c r="H17454" s="9"/>
      <c r="I17454" s="9"/>
      <c r="J17454" s="9"/>
      <c r="K17454" s="9"/>
      <c r="L17454" s="9"/>
      <c r="M17454" s="9"/>
      <c r="N17454" s="9"/>
      <c r="O17454" s="9"/>
      <c r="P17454" s="9"/>
      <c r="Q17454" s="9"/>
      <c r="R17454" s="9"/>
      <c r="S17454" s="9"/>
      <c r="T17454" s="9"/>
      <c r="U17454" s="9"/>
      <c r="V17454" s="9"/>
      <c r="W17454" s="9"/>
      <c r="X17454" s="9"/>
      <c r="Y17454" s="9"/>
      <c r="Z17454" s="9"/>
      <c r="AA17454" s="9"/>
      <c r="AB17454" s="9"/>
      <c r="AC17454" s="9"/>
      <c r="AG17454" s="10"/>
    </row>
    <row r="17455" spans="1:33">
      <c r="A17455" s="9"/>
      <c r="B17455" s="9"/>
      <c r="C17455" s="9"/>
      <c r="D17455" s="9"/>
      <c r="E17455" s="9"/>
      <c r="F17455" s="9"/>
      <c r="G17455" s="9"/>
      <c r="H17455" s="9"/>
      <c r="I17455" s="9"/>
      <c r="J17455" s="9"/>
      <c r="K17455" s="9"/>
      <c r="L17455" s="9"/>
      <c r="M17455" s="9"/>
      <c r="N17455" s="9"/>
      <c r="O17455" s="9"/>
      <c r="P17455" s="9"/>
      <c r="Q17455" s="9"/>
      <c r="R17455" s="9"/>
      <c r="S17455" s="9"/>
      <c r="T17455" s="9"/>
      <c r="U17455" s="9"/>
      <c r="V17455" s="9"/>
      <c r="W17455" s="9"/>
      <c r="X17455" s="9"/>
      <c r="Y17455" s="9"/>
      <c r="Z17455" s="9"/>
      <c r="AA17455" s="9"/>
      <c r="AB17455" s="9"/>
      <c r="AC17455" s="9"/>
      <c r="AG17455" s="10"/>
    </row>
    <row r="17456" spans="1:33">
      <c r="A17456" s="9"/>
      <c r="B17456" s="9"/>
      <c r="C17456" s="9"/>
      <c r="D17456" s="9"/>
      <c r="E17456" s="9"/>
      <c r="F17456" s="9"/>
      <c r="G17456" s="9"/>
      <c r="H17456" s="9"/>
      <c r="I17456" s="9"/>
      <c r="J17456" s="9"/>
      <c r="K17456" s="9"/>
      <c r="L17456" s="9"/>
      <c r="M17456" s="9"/>
      <c r="N17456" s="9"/>
      <c r="O17456" s="9"/>
      <c r="P17456" s="9"/>
      <c r="Q17456" s="9"/>
      <c r="R17456" s="9"/>
      <c r="S17456" s="9"/>
      <c r="T17456" s="9"/>
      <c r="U17456" s="9"/>
      <c r="V17456" s="9"/>
      <c r="W17456" s="9"/>
      <c r="X17456" s="9"/>
      <c r="Y17456" s="9"/>
      <c r="Z17456" s="9"/>
      <c r="AA17456" s="9"/>
      <c r="AB17456" s="9"/>
      <c r="AC17456" s="9"/>
      <c r="AG17456" s="10"/>
    </row>
    <row r="17457" spans="1:33">
      <c r="A17457" s="9"/>
      <c r="B17457" s="9"/>
      <c r="C17457" s="9"/>
      <c r="D17457" s="9"/>
      <c r="E17457" s="9"/>
      <c r="F17457" s="9"/>
      <c r="G17457" s="9"/>
      <c r="H17457" s="9"/>
      <c r="I17457" s="9"/>
      <c r="J17457" s="9"/>
      <c r="K17457" s="9"/>
      <c r="L17457" s="9"/>
      <c r="M17457" s="9"/>
      <c r="N17457" s="9"/>
      <c r="O17457" s="9"/>
      <c r="P17457" s="9"/>
      <c r="Q17457" s="9"/>
      <c r="R17457" s="9"/>
      <c r="S17457" s="9"/>
      <c r="T17457" s="9"/>
      <c r="U17457" s="9"/>
      <c r="V17457" s="9"/>
      <c r="W17457" s="9"/>
      <c r="X17457" s="9"/>
      <c r="Y17457" s="9"/>
      <c r="Z17457" s="9"/>
      <c r="AA17457" s="9"/>
      <c r="AB17457" s="9"/>
      <c r="AC17457" s="9"/>
      <c r="AG17457" s="10"/>
    </row>
    <row r="17458" spans="1:33">
      <c r="A17458" s="9"/>
      <c r="B17458" s="9"/>
      <c r="C17458" s="9"/>
      <c r="D17458" s="9"/>
      <c r="E17458" s="9"/>
      <c r="F17458" s="9"/>
      <c r="G17458" s="9"/>
      <c r="H17458" s="9"/>
      <c r="I17458" s="9"/>
      <c r="J17458" s="9"/>
      <c r="K17458" s="9"/>
      <c r="L17458" s="9"/>
      <c r="M17458" s="9"/>
      <c r="N17458" s="9"/>
      <c r="O17458" s="9"/>
      <c r="P17458" s="9"/>
      <c r="Q17458" s="9"/>
      <c r="R17458" s="9"/>
      <c r="S17458" s="9"/>
      <c r="T17458" s="9"/>
      <c r="U17458" s="9"/>
      <c r="V17458" s="9"/>
      <c r="W17458" s="9"/>
      <c r="X17458" s="9"/>
      <c r="Y17458" s="9"/>
      <c r="Z17458" s="9"/>
      <c r="AA17458" s="9"/>
      <c r="AB17458" s="9"/>
      <c r="AC17458" s="9"/>
      <c r="AG17458" s="10"/>
    </row>
    <row r="17459" spans="1:33">
      <c r="A17459" s="9"/>
      <c r="B17459" s="9"/>
      <c r="C17459" s="9"/>
      <c r="D17459" s="9"/>
      <c r="E17459" s="9"/>
      <c r="F17459" s="9"/>
      <c r="G17459" s="9"/>
      <c r="H17459" s="9"/>
      <c r="I17459" s="9"/>
      <c r="J17459" s="9"/>
      <c r="K17459" s="9"/>
      <c r="L17459" s="9"/>
      <c r="M17459" s="9"/>
      <c r="N17459" s="9"/>
      <c r="O17459" s="9"/>
      <c r="P17459" s="9"/>
      <c r="Q17459" s="9"/>
      <c r="R17459" s="9"/>
      <c r="S17459" s="9"/>
      <c r="T17459" s="9"/>
      <c r="U17459" s="9"/>
      <c r="V17459" s="9"/>
      <c r="W17459" s="9"/>
      <c r="X17459" s="9"/>
      <c r="Y17459" s="9"/>
      <c r="Z17459" s="9"/>
      <c r="AA17459" s="9"/>
      <c r="AB17459" s="9"/>
      <c r="AC17459" s="9"/>
      <c r="AG17459" s="10"/>
    </row>
    <row r="17460" spans="1:33">
      <c r="A17460" s="9"/>
      <c r="B17460" s="9"/>
      <c r="C17460" s="9"/>
      <c r="D17460" s="9"/>
      <c r="E17460" s="9"/>
      <c r="F17460" s="9"/>
      <c r="G17460" s="9"/>
      <c r="H17460" s="9"/>
      <c r="I17460" s="9"/>
      <c r="J17460" s="9"/>
      <c r="K17460" s="9"/>
      <c r="L17460" s="9"/>
      <c r="M17460" s="9"/>
      <c r="N17460" s="9"/>
      <c r="O17460" s="9"/>
      <c r="P17460" s="9"/>
      <c r="Q17460" s="9"/>
      <c r="R17460" s="9"/>
      <c r="S17460" s="9"/>
      <c r="T17460" s="9"/>
      <c r="U17460" s="9"/>
      <c r="V17460" s="9"/>
      <c r="W17460" s="9"/>
      <c r="X17460" s="9"/>
      <c r="Y17460" s="9"/>
      <c r="Z17460" s="9"/>
      <c r="AA17460" s="9"/>
      <c r="AB17460" s="9"/>
      <c r="AC17460" s="9"/>
      <c r="AG17460" s="10"/>
    </row>
    <row r="17461" spans="1:33">
      <c r="A17461" s="9"/>
      <c r="B17461" s="9"/>
      <c r="C17461" s="9"/>
      <c r="D17461" s="9"/>
      <c r="E17461" s="9"/>
      <c r="F17461" s="9"/>
      <c r="G17461" s="9"/>
      <c r="H17461" s="9"/>
      <c r="I17461" s="9"/>
      <c r="J17461" s="9"/>
      <c r="K17461" s="9"/>
      <c r="L17461" s="9"/>
      <c r="M17461" s="9"/>
      <c r="N17461" s="9"/>
      <c r="O17461" s="9"/>
      <c r="P17461" s="9"/>
      <c r="Q17461" s="9"/>
      <c r="R17461" s="9"/>
      <c r="S17461" s="9"/>
      <c r="T17461" s="9"/>
      <c r="U17461" s="9"/>
      <c r="V17461" s="9"/>
      <c r="W17461" s="9"/>
      <c r="X17461" s="9"/>
      <c r="Y17461" s="9"/>
      <c r="Z17461" s="9"/>
      <c r="AA17461" s="9"/>
      <c r="AB17461" s="9"/>
      <c r="AC17461" s="9"/>
      <c r="AG17461" s="10"/>
    </row>
    <row r="17462" spans="1:33">
      <c r="A17462" s="9"/>
      <c r="B17462" s="9"/>
      <c r="C17462" s="9"/>
      <c r="D17462" s="9"/>
      <c r="E17462" s="9"/>
      <c r="F17462" s="9"/>
      <c r="G17462" s="9"/>
      <c r="H17462" s="9"/>
      <c r="I17462" s="9"/>
      <c r="J17462" s="9"/>
      <c r="K17462" s="9"/>
      <c r="L17462" s="9"/>
      <c r="M17462" s="9"/>
      <c r="N17462" s="9"/>
      <c r="O17462" s="9"/>
      <c r="P17462" s="9"/>
      <c r="Q17462" s="9"/>
      <c r="R17462" s="9"/>
      <c r="S17462" s="9"/>
      <c r="T17462" s="9"/>
      <c r="U17462" s="9"/>
      <c r="V17462" s="9"/>
      <c r="W17462" s="9"/>
      <c r="X17462" s="9"/>
      <c r="Y17462" s="9"/>
      <c r="Z17462" s="9"/>
      <c r="AA17462" s="9"/>
      <c r="AB17462" s="9"/>
      <c r="AC17462" s="9"/>
      <c r="AG17462" s="10"/>
    </row>
    <row r="17463" spans="1:33">
      <c r="A17463" s="9"/>
      <c r="B17463" s="9"/>
      <c r="C17463" s="9"/>
      <c r="D17463" s="9"/>
      <c r="E17463" s="9"/>
      <c r="F17463" s="9"/>
      <c r="G17463" s="9"/>
      <c r="H17463" s="9"/>
      <c r="I17463" s="9"/>
      <c r="J17463" s="9"/>
      <c r="K17463" s="9"/>
      <c r="L17463" s="9"/>
      <c r="M17463" s="9"/>
      <c r="N17463" s="9"/>
      <c r="O17463" s="9"/>
      <c r="P17463" s="9"/>
      <c r="Q17463" s="9"/>
      <c r="R17463" s="9"/>
      <c r="S17463" s="9"/>
      <c r="T17463" s="9"/>
      <c r="U17463" s="9"/>
      <c r="V17463" s="9"/>
      <c r="W17463" s="9"/>
      <c r="X17463" s="9"/>
      <c r="Y17463" s="9"/>
      <c r="Z17463" s="9"/>
      <c r="AA17463" s="9"/>
      <c r="AB17463" s="9"/>
      <c r="AC17463" s="9"/>
      <c r="AG17463" s="10"/>
    </row>
    <row r="17464" spans="1:33">
      <c r="A17464" s="9"/>
      <c r="B17464" s="9"/>
      <c r="C17464" s="9"/>
      <c r="D17464" s="9"/>
      <c r="E17464" s="9"/>
      <c r="F17464" s="9"/>
      <c r="G17464" s="9"/>
      <c r="H17464" s="9"/>
      <c r="I17464" s="9"/>
      <c r="J17464" s="9"/>
      <c r="K17464" s="9"/>
      <c r="L17464" s="9"/>
      <c r="M17464" s="9"/>
      <c r="N17464" s="9"/>
      <c r="O17464" s="9"/>
      <c r="P17464" s="9"/>
      <c r="Q17464" s="9"/>
      <c r="R17464" s="9"/>
      <c r="S17464" s="9"/>
      <c r="T17464" s="9"/>
      <c r="U17464" s="9"/>
      <c r="V17464" s="9"/>
      <c r="W17464" s="9"/>
      <c r="X17464" s="9"/>
      <c r="Y17464" s="9"/>
      <c r="Z17464" s="9"/>
      <c r="AA17464" s="9"/>
      <c r="AB17464" s="9"/>
      <c r="AC17464" s="9"/>
      <c r="AG17464" s="10"/>
    </row>
    <row r="17465" spans="1:33">
      <c r="A17465" s="9"/>
      <c r="B17465" s="9"/>
      <c r="C17465" s="9"/>
      <c r="D17465" s="9"/>
      <c r="E17465" s="9"/>
      <c r="F17465" s="9"/>
      <c r="G17465" s="9"/>
      <c r="H17465" s="9"/>
      <c r="I17465" s="9"/>
      <c r="J17465" s="9"/>
      <c r="K17465" s="9"/>
      <c r="L17465" s="9"/>
      <c r="M17465" s="9"/>
      <c r="N17465" s="9"/>
      <c r="O17465" s="9"/>
      <c r="P17465" s="9"/>
      <c r="Q17465" s="9"/>
      <c r="R17465" s="9"/>
      <c r="S17465" s="9"/>
      <c r="T17465" s="9"/>
      <c r="U17465" s="9"/>
      <c r="V17465" s="9"/>
      <c r="W17465" s="9"/>
      <c r="X17465" s="9"/>
      <c r="Y17465" s="9"/>
      <c r="Z17465" s="9"/>
      <c r="AA17465" s="9"/>
      <c r="AB17465" s="9"/>
      <c r="AC17465" s="9"/>
      <c r="AG17465" s="10"/>
    </row>
    <row r="17466" spans="1:33">
      <c r="A17466" s="9"/>
      <c r="B17466" s="9"/>
      <c r="C17466" s="9"/>
      <c r="D17466" s="9"/>
      <c r="E17466" s="9"/>
      <c r="F17466" s="9"/>
      <c r="G17466" s="9"/>
      <c r="H17466" s="9"/>
      <c r="I17466" s="9"/>
      <c r="J17466" s="9"/>
      <c r="K17466" s="9"/>
      <c r="L17466" s="9"/>
      <c r="M17466" s="9"/>
      <c r="N17466" s="9"/>
      <c r="O17466" s="9"/>
      <c r="P17466" s="9"/>
      <c r="Q17466" s="9"/>
      <c r="R17466" s="9"/>
      <c r="S17466" s="9"/>
      <c r="T17466" s="9"/>
      <c r="U17466" s="9"/>
      <c r="V17466" s="9"/>
      <c r="W17466" s="9"/>
      <c r="X17466" s="9"/>
      <c r="Y17466" s="9"/>
      <c r="Z17466" s="9"/>
      <c r="AA17466" s="9"/>
      <c r="AB17466" s="9"/>
      <c r="AC17466" s="9"/>
      <c r="AG17466" s="10"/>
    </row>
    <row r="17467" spans="1:33">
      <c r="A17467" s="9"/>
      <c r="B17467" s="9"/>
      <c r="C17467" s="9"/>
      <c r="D17467" s="9"/>
      <c r="E17467" s="9"/>
      <c r="F17467" s="9"/>
      <c r="G17467" s="9"/>
      <c r="H17467" s="9"/>
      <c r="I17467" s="9"/>
      <c r="J17467" s="9"/>
      <c r="K17467" s="9"/>
      <c r="L17467" s="9"/>
      <c r="M17467" s="9"/>
      <c r="N17467" s="9"/>
      <c r="O17467" s="9"/>
      <c r="P17467" s="9"/>
      <c r="Q17467" s="9"/>
      <c r="R17467" s="9"/>
      <c r="S17467" s="9"/>
      <c r="T17467" s="9"/>
      <c r="U17467" s="9"/>
      <c r="V17467" s="9"/>
      <c r="W17467" s="9"/>
      <c r="X17467" s="9"/>
      <c r="Y17467" s="9"/>
      <c r="Z17467" s="9"/>
      <c r="AA17467" s="9"/>
      <c r="AB17467" s="9"/>
      <c r="AC17467" s="9"/>
      <c r="AG17467" s="10"/>
    </row>
    <row r="17468" spans="1:33">
      <c r="A17468" s="9"/>
      <c r="B17468" s="9"/>
      <c r="C17468" s="9"/>
      <c r="D17468" s="9"/>
      <c r="E17468" s="9"/>
      <c r="F17468" s="9"/>
      <c r="G17468" s="9"/>
      <c r="H17468" s="9"/>
      <c r="I17468" s="9"/>
      <c r="J17468" s="9"/>
      <c r="K17468" s="9"/>
      <c r="L17468" s="9"/>
      <c r="M17468" s="9"/>
      <c r="N17468" s="9"/>
      <c r="O17468" s="9"/>
      <c r="P17468" s="9"/>
      <c r="Q17468" s="9"/>
      <c r="R17468" s="9"/>
      <c r="S17468" s="9"/>
      <c r="T17468" s="9"/>
      <c r="U17468" s="9"/>
      <c r="V17468" s="9"/>
      <c r="W17468" s="9"/>
      <c r="X17468" s="9"/>
      <c r="Y17468" s="9"/>
      <c r="Z17468" s="9"/>
      <c r="AA17468" s="9"/>
      <c r="AB17468" s="9"/>
      <c r="AC17468" s="9"/>
      <c r="AG17468" s="10"/>
    </row>
    <row r="17469" spans="1:33">
      <c r="A17469" s="9"/>
      <c r="B17469" s="9"/>
      <c r="C17469" s="9"/>
      <c r="D17469" s="9"/>
      <c r="E17469" s="9"/>
      <c r="F17469" s="9"/>
      <c r="G17469" s="9"/>
      <c r="H17469" s="9"/>
      <c r="I17469" s="9"/>
      <c r="J17469" s="9"/>
      <c r="K17469" s="9"/>
      <c r="L17469" s="9"/>
      <c r="M17469" s="9"/>
      <c r="N17469" s="9"/>
      <c r="O17469" s="9"/>
      <c r="P17469" s="9"/>
      <c r="Q17469" s="9"/>
      <c r="R17469" s="9"/>
      <c r="S17469" s="9"/>
      <c r="T17469" s="9"/>
      <c r="U17469" s="9"/>
      <c r="V17469" s="9"/>
      <c r="W17469" s="9"/>
      <c r="X17469" s="9"/>
      <c r="Y17469" s="9"/>
      <c r="Z17469" s="9"/>
      <c r="AA17469" s="9"/>
      <c r="AB17469" s="9"/>
      <c r="AC17469" s="9"/>
      <c r="AG17469" s="10"/>
    </row>
    <row r="17470" spans="1:33">
      <c r="A17470" s="9"/>
      <c r="B17470" s="9"/>
      <c r="C17470" s="9"/>
      <c r="D17470" s="9"/>
      <c r="E17470" s="9"/>
      <c r="F17470" s="9"/>
      <c r="G17470" s="9"/>
      <c r="H17470" s="9"/>
      <c r="I17470" s="9"/>
      <c r="J17470" s="9"/>
      <c r="K17470" s="9"/>
      <c r="L17470" s="9"/>
      <c r="M17470" s="9"/>
      <c r="N17470" s="9"/>
      <c r="O17470" s="9"/>
      <c r="P17470" s="9"/>
      <c r="Q17470" s="9"/>
      <c r="R17470" s="9"/>
      <c r="S17470" s="9"/>
      <c r="T17470" s="9"/>
      <c r="U17470" s="9"/>
      <c r="V17470" s="9"/>
      <c r="W17470" s="9"/>
      <c r="X17470" s="9"/>
      <c r="Y17470" s="9"/>
      <c r="Z17470" s="9"/>
      <c r="AA17470" s="9"/>
      <c r="AB17470" s="9"/>
      <c r="AC17470" s="9"/>
      <c r="AG17470" s="10"/>
    </row>
    <row r="17471" spans="1:33">
      <c r="A17471" s="9"/>
      <c r="B17471" s="9"/>
      <c r="C17471" s="9"/>
      <c r="D17471" s="9"/>
      <c r="E17471" s="9"/>
      <c r="F17471" s="9"/>
      <c r="G17471" s="9"/>
      <c r="H17471" s="9"/>
      <c r="I17471" s="9"/>
      <c r="J17471" s="9"/>
      <c r="K17471" s="9"/>
      <c r="L17471" s="9"/>
      <c r="M17471" s="9"/>
      <c r="N17471" s="9"/>
      <c r="O17471" s="9"/>
      <c r="P17471" s="9"/>
      <c r="Q17471" s="9"/>
      <c r="R17471" s="9"/>
      <c r="S17471" s="9"/>
      <c r="T17471" s="9"/>
      <c r="U17471" s="9"/>
      <c r="V17471" s="9"/>
      <c r="W17471" s="9"/>
      <c r="X17471" s="9"/>
      <c r="Y17471" s="9"/>
      <c r="Z17471" s="9"/>
      <c r="AA17471" s="9"/>
      <c r="AB17471" s="9"/>
      <c r="AC17471" s="9"/>
      <c r="AG17471" s="10"/>
    </row>
    <row r="17472" spans="1:33">
      <c r="A17472" s="9"/>
      <c r="B17472" s="9"/>
      <c r="C17472" s="9"/>
      <c r="D17472" s="9"/>
      <c r="E17472" s="9"/>
      <c r="F17472" s="9"/>
      <c r="G17472" s="9"/>
      <c r="H17472" s="9"/>
      <c r="I17472" s="9"/>
      <c r="J17472" s="9"/>
      <c r="K17472" s="9"/>
      <c r="L17472" s="9"/>
      <c r="M17472" s="9"/>
      <c r="N17472" s="9"/>
      <c r="O17472" s="9"/>
      <c r="P17472" s="9"/>
      <c r="Q17472" s="9"/>
      <c r="R17472" s="9"/>
      <c r="S17472" s="9"/>
      <c r="T17472" s="9"/>
      <c r="U17472" s="9"/>
      <c r="V17472" s="9"/>
      <c r="W17472" s="9"/>
      <c r="X17472" s="9"/>
      <c r="Y17472" s="9"/>
      <c r="Z17472" s="9"/>
      <c r="AA17472" s="9"/>
      <c r="AB17472" s="9"/>
      <c r="AC17472" s="9"/>
      <c r="AG17472" s="10"/>
    </row>
    <row r="17473" spans="1:33">
      <c r="A17473" s="9"/>
      <c r="B17473" s="9"/>
      <c r="C17473" s="9"/>
      <c r="D17473" s="9"/>
      <c r="E17473" s="9"/>
      <c r="F17473" s="9"/>
      <c r="G17473" s="9"/>
      <c r="H17473" s="9"/>
      <c r="I17473" s="9"/>
      <c r="J17473" s="9"/>
      <c r="K17473" s="9"/>
      <c r="L17473" s="9"/>
      <c r="M17473" s="9"/>
      <c r="N17473" s="9"/>
      <c r="O17473" s="9"/>
      <c r="P17473" s="9"/>
      <c r="Q17473" s="9"/>
      <c r="R17473" s="9"/>
      <c r="S17473" s="9"/>
      <c r="T17473" s="9"/>
      <c r="U17473" s="9"/>
      <c r="V17473" s="9"/>
      <c r="W17473" s="9"/>
      <c r="X17473" s="9"/>
      <c r="Y17473" s="9"/>
      <c r="Z17473" s="9"/>
      <c r="AA17473" s="9"/>
      <c r="AB17473" s="9"/>
      <c r="AC17473" s="9"/>
      <c r="AG17473" s="10"/>
    </row>
    <row r="17474" spans="1:33">
      <c r="A17474" s="9"/>
      <c r="B17474" s="9"/>
      <c r="C17474" s="9"/>
      <c r="D17474" s="9"/>
      <c r="E17474" s="9"/>
      <c r="F17474" s="9"/>
      <c r="G17474" s="9"/>
      <c r="H17474" s="9"/>
      <c r="I17474" s="9"/>
      <c r="J17474" s="9"/>
      <c r="K17474" s="9"/>
      <c r="L17474" s="9"/>
      <c r="M17474" s="9"/>
      <c r="N17474" s="9"/>
      <c r="O17474" s="9"/>
      <c r="P17474" s="9"/>
      <c r="Q17474" s="9"/>
      <c r="R17474" s="9"/>
      <c r="S17474" s="9"/>
      <c r="T17474" s="9"/>
      <c r="U17474" s="9"/>
      <c r="V17474" s="9"/>
      <c r="W17474" s="9"/>
      <c r="X17474" s="9"/>
      <c r="Y17474" s="9"/>
      <c r="Z17474" s="9"/>
      <c r="AA17474" s="9"/>
      <c r="AB17474" s="9"/>
      <c r="AC17474" s="9"/>
      <c r="AG17474" s="10"/>
    </row>
    <row r="17475" spans="1:33">
      <c r="A17475" s="9"/>
      <c r="B17475" s="9"/>
      <c r="C17475" s="9"/>
      <c r="D17475" s="9"/>
      <c r="E17475" s="9"/>
      <c r="F17475" s="9"/>
      <c r="G17475" s="9"/>
      <c r="H17475" s="9"/>
      <c r="I17475" s="9"/>
      <c r="J17475" s="9"/>
      <c r="K17475" s="9"/>
      <c r="L17475" s="9"/>
      <c r="M17475" s="9"/>
      <c r="N17475" s="9"/>
      <c r="O17475" s="9"/>
      <c r="P17475" s="9"/>
      <c r="Q17475" s="9"/>
      <c r="R17475" s="9"/>
      <c r="S17475" s="9"/>
      <c r="T17475" s="9"/>
      <c r="U17475" s="9"/>
      <c r="V17475" s="9"/>
      <c r="W17475" s="9"/>
      <c r="X17475" s="9"/>
      <c r="Y17475" s="9"/>
      <c r="Z17475" s="9"/>
      <c r="AA17475" s="9"/>
      <c r="AB17475" s="9"/>
      <c r="AC17475" s="9"/>
      <c r="AG17475" s="10"/>
    </row>
    <row r="17476" spans="1:33">
      <c r="A17476" s="9"/>
      <c r="B17476" s="9"/>
      <c r="C17476" s="9"/>
      <c r="D17476" s="9"/>
      <c r="E17476" s="9"/>
      <c r="F17476" s="9"/>
      <c r="G17476" s="9"/>
      <c r="H17476" s="9"/>
      <c r="I17476" s="9"/>
      <c r="J17476" s="9"/>
      <c r="K17476" s="9"/>
      <c r="L17476" s="9"/>
      <c r="M17476" s="9"/>
      <c r="N17476" s="9"/>
      <c r="O17476" s="9"/>
      <c r="P17476" s="9"/>
      <c r="Q17476" s="9"/>
      <c r="R17476" s="9"/>
      <c r="S17476" s="9"/>
      <c r="T17476" s="9"/>
      <c r="U17476" s="9"/>
      <c r="V17476" s="9"/>
      <c r="W17476" s="9"/>
      <c r="X17476" s="9"/>
      <c r="Y17476" s="9"/>
      <c r="Z17476" s="9"/>
      <c r="AA17476" s="9"/>
      <c r="AB17476" s="9"/>
      <c r="AC17476" s="9"/>
      <c r="AG17476" s="10"/>
    </row>
    <row r="17477" spans="1:33">
      <c r="A17477" s="9"/>
      <c r="B17477" s="9"/>
      <c r="C17477" s="9"/>
      <c r="D17477" s="9"/>
      <c r="E17477" s="9"/>
      <c r="F17477" s="9"/>
      <c r="G17477" s="9"/>
      <c r="H17477" s="9"/>
      <c r="I17477" s="9"/>
      <c r="J17477" s="9"/>
      <c r="K17477" s="9"/>
      <c r="L17477" s="9"/>
      <c r="M17477" s="9"/>
      <c r="N17477" s="9"/>
      <c r="O17477" s="9"/>
      <c r="P17477" s="9"/>
      <c r="Q17477" s="9"/>
      <c r="R17477" s="9"/>
      <c r="S17477" s="9"/>
      <c r="T17477" s="9"/>
      <c r="U17477" s="9"/>
      <c r="V17477" s="9"/>
      <c r="W17477" s="9"/>
      <c r="X17477" s="9"/>
      <c r="Y17477" s="9"/>
      <c r="Z17477" s="9"/>
      <c r="AA17477" s="9"/>
      <c r="AB17477" s="9"/>
      <c r="AC17477" s="9"/>
      <c r="AG17477" s="10"/>
    </row>
    <row r="17478" spans="1:33">
      <c r="A17478" s="9"/>
      <c r="B17478" s="9"/>
      <c r="C17478" s="9"/>
      <c r="D17478" s="9"/>
      <c r="E17478" s="9"/>
      <c r="F17478" s="9"/>
      <c r="G17478" s="9"/>
      <c r="H17478" s="9"/>
      <c r="I17478" s="9"/>
      <c r="J17478" s="9"/>
      <c r="K17478" s="9"/>
      <c r="L17478" s="9"/>
      <c r="M17478" s="9"/>
      <c r="N17478" s="9"/>
      <c r="O17478" s="9"/>
      <c r="P17478" s="9"/>
      <c r="Q17478" s="9"/>
      <c r="R17478" s="9"/>
      <c r="S17478" s="9"/>
      <c r="T17478" s="9"/>
      <c r="U17478" s="9"/>
      <c r="V17478" s="9"/>
      <c r="W17478" s="9"/>
      <c r="X17478" s="9"/>
      <c r="Y17478" s="9"/>
      <c r="Z17478" s="9"/>
      <c r="AA17478" s="9"/>
      <c r="AB17478" s="9"/>
      <c r="AC17478" s="9"/>
      <c r="AG17478" s="10"/>
    </row>
    <row r="17479" spans="1:33">
      <c r="A17479" s="9"/>
      <c r="B17479" s="9"/>
      <c r="C17479" s="9"/>
      <c r="D17479" s="9"/>
      <c r="E17479" s="9"/>
      <c r="F17479" s="9"/>
      <c r="G17479" s="9"/>
      <c r="H17479" s="9"/>
      <c r="I17479" s="9"/>
      <c r="J17479" s="9"/>
      <c r="K17479" s="9"/>
      <c r="L17479" s="9"/>
      <c r="M17479" s="9"/>
      <c r="N17479" s="9"/>
      <c r="O17479" s="9"/>
      <c r="P17479" s="9"/>
      <c r="Q17479" s="9"/>
      <c r="R17479" s="9"/>
      <c r="S17479" s="9"/>
      <c r="T17479" s="9"/>
      <c r="U17479" s="9"/>
      <c r="V17479" s="9"/>
      <c r="W17479" s="9"/>
      <c r="X17479" s="9"/>
      <c r="Y17479" s="9"/>
      <c r="Z17479" s="9"/>
      <c r="AA17479" s="9"/>
      <c r="AB17479" s="9"/>
      <c r="AC17479" s="9"/>
      <c r="AG17479" s="10"/>
    </row>
    <row r="17480" spans="1:33">
      <c r="A17480" s="9"/>
      <c r="B17480" s="9"/>
      <c r="C17480" s="9"/>
      <c r="D17480" s="9"/>
      <c r="E17480" s="9"/>
      <c r="F17480" s="9"/>
      <c r="G17480" s="9"/>
      <c r="H17480" s="9"/>
      <c r="I17480" s="9"/>
      <c r="J17480" s="9"/>
      <c r="K17480" s="9"/>
      <c r="L17480" s="9"/>
      <c r="M17480" s="9"/>
      <c r="N17480" s="9"/>
      <c r="O17480" s="9"/>
      <c r="P17480" s="9"/>
      <c r="Q17480" s="9"/>
      <c r="R17480" s="9"/>
      <c r="S17480" s="9"/>
      <c r="T17480" s="9"/>
      <c r="U17480" s="9"/>
      <c r="V17480" s="9"/>
      <c r="W17480" s="9"/>
      <c r="X17480" s="9"/>
      <c r="Y17480" s="9"/>
      <c r="Z17480" s="9"/>
      <c r="AA17480" s="9"/>
      <c r="AB17480" s="9"/>
      <c r="AC17480" s="9"/>
      <c r="AG17480" s="10"/>
    </row>
    <row r="17481" spans="1:33">
      <c r="A17481" s="9"/>
      <c r="B17481" s="9"/>
      <c r="C17481" s="9"/>
      <c r="D17481" s="9"/>
      <c r="E17481" s="9"/>
      <c r="F17481" s="9"/>
      <c r="G17481" s="9"/>
      <c r="H17481" s="9"/>
      <c r="I17481" s="9"/>
      <c r="J17481" s="9"/>
      <c r="K17481" s="9"/>
      <c r="L17481" s="9"/>
      <c r="M17481" s="9"/>
      <c r="N17481" s="9"/>
      <c r="O17481" s="9"/>
      <c r="P17481" s="9"/>
      <c r="Q17481" s="9"/>
      <c r="R17481" s="9"/>
      <c r="S17481" s="9"/>
      <c r="T17481" s="9"/>
      <c r="U17481" s="9"/>
      <c r="V17481" s="9"/>
      <c r="W17481" s="9"/>
      <c r="X17481" s="9"/>
      <c r="Y17481" s="9"/>
      <c r="Z17481" s="9"/>
      <c r="AA17481" s="9"/>
      <c r="AB17481" s="9"/>
      <c r="AC17481" s="9"/>
      <c r="AG17481" s="10"/>
    </row>
    <row r="17482" spans="1:33">
      <c r="A17482" s="9"/>
      <c r="B17482" s="9"/>
      <c r="C17482" s="9"/>
      <c r="D17482" s="9"/>
      <c r="E17482" s="9"/>
      <c r="F17482" s="9"/>
      <c r="G17482" s="9"/>
      <c r="H17482" s="9"/>
      <c r="I17482" s="9"/>
      <c r="J17482" s="9"/>
      <c r="K17482" s="9"/>
      <c r="L17482" s="9"/>
      <c r="M17482" s="9"/>
      <c r="N17482" s="9"/>
      <c r="O17482" s="9"/>
      <c r="P17482" s="9"/>
      <c r="Q17482" s="9"/>
      <c r="R17482" s="9"/>
      <c r="S17482" s="9"/>
      <c r="T17482" s="9"/>
      <c r="U17482" s="9"/>
      <c r="V17482" s="9"/>
      <c r="W17482" s="9"/>
      <c r="X17482" s="9"/>
      <c r="Y17482" s="9"/>
      <c r="Z17482" s="9"/>
      <c r="AA17482" s="9"/>
      <c r="AB17482" s="9"/>
      <c r="AC17482" s="9"/>
      <c r="AG17482" s="10"/>
    </row>
    <row r="17483" spans="1:33">
      <c r="A17483" s="9"/>
      <c r="B17483" s="9"/>
      <c r="C17483" s="9"/>
      <c r="D17483" s="9"/>
      <c r="E17483" s="9"/>
      <c r="F17483" s="9"/>
      <c r="G17483" s="9"/>
      <c r="H17483" s="9"/>
      <c r="I17483" s="9"/>
      <c r="J17483" s="9"/>
      <c r="K17483" s="9"/>
      <c r="L17483" s="9"/>
      <c r="M17483" s="9"/>
      <c r="N17483" s="9"/>
      <c r="O17483" s="9"/>
      <c r="P17483" s="9"/>
      <c r="Q17483" s="9"/>
      <c r="R17483" s="9"/>
      <c r="S17483" s="9"/>
      <c r="T17483" s="9"/>
      <c r="U17483" s="9"/>
      <c r="V17483" s="9"/>
      <c r="W17483" s="9"/>
      <c r="X17483" s="9"/>
      <c r="Y17483" s="9"/>
      <c r="Z17483" s="9"/>
      <c r="AA17483" s="9"/>
      <c r="AB17483" s="9"/>
      <c r="AC17483" s="9"/>
      <c r="AG17483" s="10"/>
    </row>
    <row r="17484" spans="1:33">
      <c r="A17484" s="9"/>
      <c r="B17484" s="9"/>
      <c r="C17484" s="9"/>
      <c r="D17484" s="9"/>
      <c r="E17484" s="9"/>
      <c r="F17484" s="9"/>
      <c r="G17484" s="9"/>
      <c r="H17484" s="9"/>
      <c r="I17484" s="9"/>
      <c r="J17484" s="9"/>
      <c r="K17484" s="9"/>
      <c r="L17484" s="9"/>
      <c r="M17484" s="9"/>
      <c r="N17484" s="9"/>
      <c r="O17484" s="9"/>
      <c r="P17484" s="9"/>
      <c r="Q17484" s="9"/>
      <c r="R17484" s="9"/>
      <c r="S17484" s="9"/>
      <c r="T17484" s="9"/>
      <c r="U17484" s="9"/>
      <c r="V17484" s="9"/>
      <c r="W17484" s="9"/>
      <c r="X17484" s="9"/>
      <c r="Y17484" s="9"/>
      <c r="Z17484" s="9"/>
      <c r="AA17484" s="9"/>
      <c r="AB17484" s="9"/>
      <c r="AC17484" s="9"/>
      <c r="AG17484" s="10"/>
    </row>
    <row r="17485" spans="1:33">
      <c r="A17485" s="9"/>
      <c r="B17485" s="9"/>
      <c r="C17485" s="9"/>
      <c r="D17485" s="9"/>
      <c r="E17485" s="9"/>
      <c r="F17485" s="9"/>
      <c r="G17485" s="9"/>
      <c r="H17485" s="9"/>
      <c r="I17485" s="9"/>
      <c r="J17485" s="9"/>
      <c r="K17485" s="9"/>
      <c r="L17485" s="9"/>
      <c r="M17485" s="9"/>
      <c r="N17485" s="9"/>
      <c r="O17485" s="9"/>
      <c r="P17485" s="9"/>
      <c r="Q17485" s="9"/>
      <c r="R17485" s="9"/>
      <c r="S17485" s="9"/>
      <c r="T17485" s="9"/>
      <c r="U17485" s="9"/>
      <c r="V17485" s="9"/>
      <c r="W17485" s="9"/>
      <c r="X17485" s="9"/>
      <c r="Y17485" s="9"/>
      <c r="Z17485" s="9"/>
      <c r="AA17485" s="9"/>
      <c r="AB17485" s="9"/>
      <c r="AC17485" s="9"/>
      <c r="AG17485" s="10"/>
    </row>
    <row r="17486" spans="1:33">
      <c r="A17486" s="9"/>
      <c r="B17486" s="9"/>
      <c r="C17486" s="9"/>
      <c r="D17486" s="9"/>
      <c r="E17486" s="9"/>
      <c r="F17486" s="9"/>
      <c r="G17486" s="9"/>
      <c r="H17486" s="9"/>
      <c r="I17486" s="9"/>
      <c r="J17486" s="9"/>
      <c r="K17486" s="9"/>
      <c r="L17486" s="9"/>
      <c r="M17486" s="9"/>
      <c r="N17486" s="9"/>
      <c r="O17486" s="9"/>
      <c r="P17486" s="9"/>
      <c r="Q17486" s="9"/>
      <c r="R17486" s="9"/>
      <c r="S17486" s="9"/>
      <c r="T17486" s="9"/>
      <c r="U17486" s="9"/>
      <c r="V17486" s="9"/>
      <c r="W17486" s="9"/>
      <c r="X17486" s="9"/>
      <c r="Y17486" s="9"/>
      <c r="Z17486" s="9"/>
      <c r="AA17486" s="9"/>
      <c r="AB17486" s="9"/>
      <c r="AC17486" s="9"/>
      <c r="AG17486" s="10"/>
    </row>
    <row r="17487" spans="1:33">
      <c r="A17487" s="9"/>
      <c r="B17487" s="9"/>
      <c r="C17487" s="9"/>
      <c r="D17487" s="9"/>
      <c r="E17487" s="9"/>
      <c r="F17487" s="9"/>
      <c r="G17487" s="9"/>
      <c r="H17487" s="9"/>
      <c r="I17487" s="9"/>
      <c r="J17487" s="9"/>
      <c r="K17487" s="9"/>
      <c r="L17487" s="9"/>
      <c r="M17487" s="9"/>
      <c r="N17487" s="9"/>
      <c r="O17487" s="9"/>
      <c r="P17487" s="9"/>
      <c r="Q17487" s="9"/>
      <c r="R17487" s="9"/>
      <c r="S17487" s="9"/>
      <c r="T17487" s="9"/>
      <c r="U17487" s="9"/>
      <c r="V17487" s="9"/>
      <c r="W17487" s="9"/>
      <c r="X17487" s="9"/>
      <c r="Y17487" s="9"/>
      <c r="Z17487" s="9"/>
      <c r="AA17487" s="9"/>
      <c r="AB17487" s="9"/>
      <c r="AC17487" s="9"/>
      <c r="AG17487" s="10"/>
    </row>
    <row r="17488" spans="1:33">
      <c r="A17488" s="9"/>
      <c r="B17488" s="9"/>
      <c r="C17488" s="9"/>
      <c r="D17488" s="9"/>
      <c r="E17488" s="9"/>
      <c r="F17488" s="9"/>
      <c r="G17488" s="9"/>
      <c r="H17488" s="9"/>
      <c r="I17488" s="9"/>
      <c r="J17488" s="9"/>
      <c r="K17488" s="9"/>
      <c r="L17488" s="9"/>
      <c r="M17488" s="9"/>
      <c r="N17488" s="9"/>
      <c r="O17488" s="9"/>
      <c r="P17488" s="9"/>
      <c r="Q17488" s="9"/>
      <c r="R17488" s="9"/>
      <c r="S17488" s="9"/>
      <c r="T17488" s="9"/>
      <c r="U17488" s="9"/>
      <c r="V17488" s="9"/>
      <c r="W17488" s="9"/>
      <c r="X17488" s="9"/>
      <c r="Y17488" s="9"/>
      <c r="Z17488" s="9"/>
      <c r="AA17488" s="9"/>
      <c r="AB17488" s="9"/>
      <c r="AC17488" s="9"/>
      <c r="AG17488" s="10"/>
    </row>
    <row r="17489" spans="1:33">
      <c r="A17489" s="9"/>
      <c r="B17489" s="9"/>
      <c r="C17489" s="9"/>
      <c r="D17489" s="9"/>
      <c r="E17489" s="9"/>
      <c r="F17489" s="9"/>
      <c r="G17489" s="9"/>
      <c r="H17489" s="9"/>
      <c r="I17489" s="9"/>
      <c r="J17489" s="9"/>
      <c r="K17489" s="9"/>
      <c r="L17489" s="9"/>
      <c r="M17489" s="9"/>
      <c r="N17489" s="9"/>
      <c r="O17489" s="9"/>
      <c r="P17489" s="9"/>
      <c r="Q17489" s="9"/>
      <c r="R17489" s="9"/>
      <c r="S17489" s="9"/>
      <c r="T17489" s="9"/>
      <c r="U17489" s="9"/>
      <c r="V17489" s="9"/>
      <c r="W17489" s="9"/>
      <c r="X17489" s="9"/>
      <c r="Y17489" s="9"/>
      <c r="Z17489" s="9"/>
      <c r="AA17489" s="9"/>
      <c r="AB17489" s="9"/>
      <c r="AC17489" s="9"/>
      <c r="AG17489" s="10"/>
    </row>
    <row r="17490" spans="1:33">
      <c r="A17490" s="9"/>
      <c r="B17490" s="9"/>
      <c r="C17490" s="9"/>
      <c r="D17490" s="9"/>
      <c r="E17490" s="9"/>
      <c r="F17490" s="9"/>
      <c r="G17490" s="9"/>
      <c r="H17490" s="9"/>
      <c r="I17490" s="9"/>
      <c r="J17490" s="9"/>
      <c r="K17490" s="9"/>
      <c r="L17490" s="9"/>
      <c r="M17490" s="9"/>
      <c r="N17490" s="9"/>
      <c r="O17490" s="9"/>
      <c r="P17490" s="9"/>
      <c r="Q17490" s="9"/>
      <c r="R17490" s="9"/>
      <c r="S17490" s="9"/>
      <c r="T17490" s="9"/>
      <c r="U17490" s="9"/>
      <c r="V17490" s="9"/>
      <c r="W17490" s="9"/>
      <c r="X17490" s="9"/>
      <c r="Y17490" s="9"/>
      <c r="Z17490" s="9"/>
      <c r="AA17490" s="9"/>
      <c r="AB17490" s="9"/>
      <c r="AC17490" s="9"/>
      <c r="AG17490" s="10"/>
    </row>
    <row r="17491" spans="1:33">
      <c r="A17491" s="9"/>
      <c r="B17491" s="9"/>
      <c r="C17491" s="9"/>
      <c r="D17491" s="9"/>
      <c r="E17491" s="9"/>
      <c r="F17491" s="9"/>
      <c r="G17491" s="9"/>
      <c r="H17491" s="9"/>
      <c r="I17491" s="9"/>
      <c r="J17491" s="9"/>
      <c r="K17491" s="9"/>
      <c r="L17491" s="9"/>
      <c r="M17491" s="9"/>
      <c r="N17491" s="9"/>
      <c r="O17491" s="9"/>
      <c r="P17491" s="9"/>
      <c r="Q17491" s="9"/>
      <c r="R17491" s="9"/>
      <c r="S17491" s="9"/>
      <c r="T17491" s="9"/>
      <c r="U17491" s="9"/>
      <c r="V17491" s="9"/>
      <c r="W17491" s="9"/>
      <c r="X17491" s="9"/>
      <c r="Y17491" s="9"/>
      <c r="Z17491" s="9"/>
      <c r="AA17491" s="9"/>
      <c r="AB17491" s="9"/>
      <c r="AC17491" s="9"/>
      <c r="AG17491" s="10"/>
    </row>
    <row r="17492" spans="1:33">
      <c r="A17492" s="9"/>
      <c r="B17492" s="9"/>
      <c r="C17492" s="9"/>
      <c r="D17492" s="9"/>
      <c r="E17492" s="9"/>
      <c r="F17492" s="9"/>
      <c r="G17492" s="9"/>
      <c r="H17492" s="9"/>
      <c r="I17492" s="9"/>
      <c r="J17492" s="9"/>
      <c r="K17492" s="9"/>
      <c r="L17492" s="9"/>
      <c r="M17492" s="9"/>
      <c r="N17492" s="9"/>
      <c r="O17492" s="9"/>
      <c r="P17492" s="9"/>
      <c r="Q17492" s="9"/>
      <c r="R17492" s="9"/>
      <c r="S17492" s="9"/>
      <c r="T17492" s="9"/>
      <c r="U17492" s="9"/>
      <c r="V17492" s="9"/>
      <c r="W17492" s="9"/>
      <c r="X17492" s="9"/>
      <c r="Y17492" s="9"/>
      <c r="Z17492" s="9"/>
      <c r="AA17492" s="9"/>
      <c r="AB17492" s="9"/>
      <c r="AC17492" s="9"/>
      <c r="AG17492" s="10"/>
    </row>
    <row r="17493" spans="1:33">
      <c r="A17493" s="9"/>
      <c r="B17493" s="9"/>
      <c r="C17493" s="9"/>
      <c r="D17493" s="9"/>
      <c r="E17493" s="9"/>
      <c r="F17493" s="9"/>
      <c r="G17493" s="9"/>
      <c r="H17493" s="9"/>
      <c r="I17493" s="9"/>
      <c r="J17493" s="9"/>
      <c r="K17493" s="9"/>
      <c r="L17493" s="9"/>
      <c r="M17493" s="9"/>
      <c r="N17493" s="9"/>
      <c r="O17493" s="9"/>
      <c r="P17493" s="9"/>
      <c r="Q17493" s="9"/>
      <c r="R17493" s="9"/>
      <c r="S17493" s="9"/>
      <c r="T17493" s="9"/>
      <c r="U17493" s="9"/>
      <c r="V17493" s="9"/>
      <c r="W17493" s="9"/>
      <c r="X17493" s="9"/>
      <c r="Y17493" s="9"/>
      <c r="Z17493" s="9"/>
      <c r="AA17493" s="9"/>
      <c r="AB17493" s="9"/>
      <c r="AC17493" s="9"/>
      <c r="AG17493" s="10"/>
    </row>
    <row r="17494" spans="1:33">
      <c r="A17494" s="9"/>
      <c r="B17494" s="9"/>
      <c r="C17494" s="9"/>
      <c r="D17494" s="9"/>
      <c r="E17494" s="9"/>
      <c r="F17494" s="9"/>
      <c r="G17494" s="9"/>
      <c r="H17494" s="9"/>
      <c r="I17494" s="9"/>
      <c r="J17494" s="9"/>
      <c r="K17494" s="9"/>
      <c r="L17494" s="9"/>
      <c r="M17494" s="9"/>
      <c r="N17494" s="9"/>
      <c r="O17494" s="9"/>
      <c r="P17494" s="9"/>
      <c r="Q17494" s="9"/>
      <c r="R17494" s="9"/>
      <c r="S17494" s="9"/>
      <c r="T17494" s="9"/>
      <c r="U17494" s="9"/>
      <c r="V17494" s="9"/>
      <c r="W17494" s="9"/>
      <c r="X17494" s="9"/>
      <c r="Y17494" s="9"/>
      <c r="Z17494" s="9"/>
      <c r="AA17494" s="9"/>
      <c r="AB17494" s="9"/>
      <c r="AC17494" s="9"/>
      <c r="AG17494" s="10"/>
    </row>
    <row r="17495" spans="1:33">
      <c r="A17495" s="9"/>
      <c r="B17495" s="9"/>
      <c r="C17495" s="9"/>
      <c r="D17495" s="9"/>
      <c r="E17495" s="9"/>
      <c r="F17495" s="9"/>
      <c r="G17495" s="9"/>
      <c r="H17495" s="9"/>
      <c r="I17495" s="9"/>
      <c r="J17495" s="9"/>
      <c r="K17495" s="9"/>
      <c r="L17495" s="9"/>
      <c r="M17495" s="9"/>
      <c r="N17495" s="9"/>
      <c r="O17495" s="9"/>
      <c r="P17495" s="9"/>
      <c r="Q17495" s="9"/>
      <c r="R17495" s="9"/>
      <c r="S17495" s="9"/>
      <c r="T17495" s="9"/>
      <c r="U17495" s="9"/>
      <c r="V17495" s="9"/>
      <c r="W17495" s="9"/>
      <c r="X17495" s="9"/>
      <c r="Y17495" s="9"/>
      <c r="Z17495" s="9"/>
      <c r="AA17495" s="9"/>
      <c r="AB17495" s="9"/>
      <c r="AC17495" s="9"/>
      <c r="AG17495" s="10"/>
    </row>
    <row r="17496" spans="1:33">
      <c r="A17496" s="9"/>
      <c r="B17496" s="9"/>
      <c r="C17496" s="9"/>
      <c r="D17496" s="9"/>
      <c r="E17496" s="9"/>
      <c r="F17496" s="9"/>
      <c r="G17496" s="9"/>
      <c r="H17496" s="9"/>
      <c r="I17496" s="9"/>
      <c r="J17496" s="9"/>
      <c r="K17496" s="9"/>
      <c r="L17496" s="9"/>
      <c r="M17496" s="9"/>
      <c r="N17496" s="9"/>
      <c r="O17496" s="9"/>
      <c r="P17496" s="9"/>
      <c r="Q17496" s="9"/>
      <c r="R17496" s="9"/>
      <c r="S17496" s="9"/>
      <c r="T17496" s="9"/>
      <c r="U17496" s="9"/>
      <c r="V17496" s="9"/>
      <c r="W17496" s="9"/>
      <c r="X17496" s="9"/>
      <c r="Y17496" s="9"/>
      <c r="Z17496" s="9"/>
      <c r="AA17496" s="9"/>
      <c r="AB17496" s="9"/>
      <c r="AC17496" s="9"/>
      <c r="AG17496" s="10"/>
    </row>
    <row r="17497" spans="1:33">
      <c r="A17497" s="9"/>
      <c r="B17497" s="9"/>
      <c r="C17497" s="9"/>
      <c r="D17497" s="9"/>
      <c r="E17497" s="9"/>
      <c r="F17497" s="9"/>
      <c r="G17497" s="9"/>
      <c r="H17497" s="9"/>
      <c r="I17497" s="9"/>
      <c r="J17497" s="9"/>
      <c r="K17497" s="9"/>
      <c r="L17497" s="9"/>
      <c r="M17497" s="9"/>
      <c r="N17497" s="9"/>
      <c r="O17497" s="9"/>
      <c r="P17497" s="9"/>
      <c r="Q17497" s="9"/>
      <c r="R17497" s="9"/>
      <c r="S17497" s="9"/>
      <c r="T17497" s="9"/>
      <c r="U17497" s="9"/>
      <c r="V17497" s="9"/>
      <c r="W17497" s="9"/>
      <c r="X17497" s="9"/>
      <c r="Y17497" s="9"/>
      <c r="Z17497" s="9"/>
      <c r="AA17497" s="9"/>
      <c r="AB17497" s="9"/>
      <c r="AC17497" s="9"/>
      <c r="AG17497" s="10"/>
    </row>
    <row r="17498" spans="1:33">
      <c r="A17498" s="9"/>
      <c r="B17498" s="9"/>
      <c r="C17498" s="9"/>
      <c r="D17498" s="9"/>
      <c r="E17498" s="9"/>
      <c r="F17498" s="9"/>
      <c r="G17498" s="9"/>
      <c r="H17498" s="9"/>
      <c r="I17498" s="9"/>
      <c r="J17498" s="9"/>
      <c r="K17498" s="9"/>
      <c r="L17498" s="9"/>
      <c r="M17498" s="9"/>
      <c r="N17498" s="9"/>
      <c r="O17498" s="9"/>
      <c r="P17498" s="9"/>
      <c r="Q17498" s="9"/>
      <c r="R17498" s="9"/>
      <c r="S17498" s="9"/>
      <c r="T17498" s="9"/>
      <c r="U17498" s="9"/>
      <c r="V17498" s="9"/>
      <c r="W17498" s="9"/>
      <c r="X17498" s="9"/>
      <c r="Y17498" s="9"/>
      <c r="Z17498" s="9"/>
      <c r="AA17498" s="9"/>
      <c r="AB17498" s="9"/>
      <c r="AC17498" s="9"/>
      <c r="AG17498" s="10"/>
    </row>
    <row r="17499" spans="1:33">
      <c r="A17499" s="9"/>
      <c r="B17499" s="9"/>
      <c r="C17499" s="9"/>
      <c r="D17499" s="9"/>
      <c r="E17499" s="9"/>
      <c r="F17499" s="9"/>
      <c r="G17499" s="9"/>
      <c r="H17499" s="9"/>
      <c r="I17499" s="9"/>
      <c r="J17499" s="9"/>
      <c r="K17499" s="9"/>
      <c r="L17499" s="9"/>
      <c r="M17499" s="9"/>
      <c r="N17499" s="9"/>
      <c r="O17499" s="9"/>
      <c r="P17499" s="9"/>
      <c r="Q17499" s="9"/>
      <c r="R17499" s="9"/>
      <c r="S17499" s="9"/>
      <c r="T17499" s="9"/>
      <c r="U17499" s="9"/>
      <c r="V17499" s="9"/>
      <c r="W17499" s="9"/>
      <c r="X17499" s="9"/>
      <c r="Y17499" s="9"/>
      <c r="Z17499" s="9"/>
      <c r="AA17499" s="9"/>
      <c r="AB17499" s="9"/>
      <c r="AC17499" s="9"/>
      <c r="AG17499" s="10"/>
    </row>
    <row r="17500" spans="1:33">
      <c r="A17500" s="9"/>
      <c r="B17500" s="9"/>
      <c r="C17500" s="9"/>
      <c r="D17500" s="9"/>
      <c r="E17500" s="9"/>
      <c r="F17500" s="9"/>
      <c r="G17500" s="9"/>
      <c r="H17500" s="9"/>
      <c r="I17500" s="9"/>
      <c r="J17500" s="9"/>
      <c r="K17500" s="9"/>
      <c r="L17500" s="9"/>
      <c r="M17500" s="9"/>
      <c r="N17500" s="9"/>
      <c r="O17500" s="9"/>
      <c r="P17500" s="9"/>
      <c r="Q17500" s="9"/>
      <c r="R17500" s="9"/>
      <c r="S17500" s="9"/>
      <c r="T17500" s="9"/>
      <c r="U17500" s="9"/>
      <c r="V17500" s="9"/>
      <c r="W17500" s="9"/>
      <c r="X17500" s="9"/>
      <c r="Y17500" s="9"/>
      <c r="Z17500" s="9"/>
      <c r="AA17500" s="9"/>
      <c r="AB17500" s="9"/>
      <c r="AC17500" s="9"/>
      <c r="AG17500" s="10"/>
    </row>
    <row r="17501" spans="1:33">
      <c r="A17501" s="9"/>
      <c r="B17501" s="9"/>
      <c r="C17501" s="9"/>
      <c r="D17501" s="9"/>
      <c r="E17501" s="9"/>
      <c r="F17501" s="9"/>
      <c r="G17501" s="9"/>
      <c r="H17501" s="9"/>
      <c r="I17501" s="9"/>
      <c r="J17501" s="9"/>
      <c r="K17501" s="9"/>
      <c r="L17501" s="9"/>
      <c r="M17501" s="9"/>
      <c r="N17501" s="9"/>
      <c r="O17501" s="9"/>
      <c r="P17501" s="9"/>
      <c r="Q17501" s="9"/>
      <c r="R17501" s="9"/>
      <c r="S17501" s="9"/>
      <c r="T17501" s="9"/>
      <c r="U17501" s="9"/>
      <c r="V17501" s="9"/>
      <c r="W17501" s="9"/>
      <c r="X17501" s="9"/>
      <c r="Y17501" s="9"/>
      <c r="Z17501" s="9"/>
      <c r="AA17501" s="9"/>
      <c r="AB17501" s="9"/>
      <c r="AC17501" s="9"/>
      <c r="AG17501" s="10"/>
    </row>
    <row r="17502" spans="1:33">
      <c r="A17502" s="9"/>
      <c r="B17502" s="9"/>
      <c r="C17502" s="9"/>
      <c r="D17502" s="9"/>
      <c r="E17502" s="9"/>
      <c r="F17502" s="9"/>
      <c r="G17502" s="9"/>
      <c r="H17502" s="9"/>
      <c r="I17502" s="9"/>
      <c r="J17502" s="9"/>
      <c r="K17502" s="9"/>
      <c r="L17502" s="9"/>
      <c r="M17502" s="9"/>
      <c r="N17502" s="9"/>
      <c r="O17502" s="9"/>
      <c r="P17502" s="9"/>
      <c r="Q17502" s="9"/>
      <c r="R17502" s="9"/>
      <c r="S17502" s="9"/>
      <c r="T17502" s="9"/>
      <c r="U17502" s="9"/>
      <c r="V17502" s="9"/>
      <c r="W17502" s="9"/>
      <c r="X17502" s="9"/>
      <c r="Y17502" s="9"/>
      <c r="Z17502" s="9"/>
      <c r="AA17502" s="9"/>
      <c r="AB17502" s="9"/>
      <c r="AC17502" s="9"/>
      <c r="AG17502" s="10"/>
    </row>
    <row r="17503" spans="1:33">
      <c r="A17503" s="9"/>
      <c r="B17503" s="9"/>
      <c r="C17503" s="9"/>
      <c r="D17503" s="9"/>
      <c r="E17503" s="9"/>
      <c r="F17503" s="9"/>
      <c r="G17503" s="9"/>
      <c r="H17503" s="9"/>
      <c r="I17503" s="9"/>
      <c r="J17503" s="9"/>
      <c r="K17503" s="9"/>
      <c r="L17503" s="9"/>
      <c r="M17503" s="9"/>
      <c r="N17503" s="9"/>
      <c r="O17503" s="9"/>
      <c r="P17503" s="9"/>
      <c r="Q17503" s="9"/>
      <c r="R17503" s="9"/>
      <c r="S17503" s="9"/>
      <c r="T17503" s="9"/>
      <c r="U17503" s="9"/>
      <c r="V17503" s="9"/>
      <c r="W17503" s="9"/>
      <c r="X17503" s="9"/>
      <c r="Y17503" s="9"/>
      <c r="Z17503" s="9"/>
      <c r="AA17503" s="9"/>
      <c r="AB17503" s="9"/>
      <c r="AC17503" s="9"/>
      <c r="AG17503" s="10"/>
    </row>
    <row r="17504" spans="1:33">
      <c r="A17504" s="9"/>
      <c r="B17504" s="9"/>
      <c r="C17504" s="9"/>
      <c r="D17504" s="9"/>
      <c r="E17504" s="9"/>
      <c r="F17504" s="9"/>
      <c r="G17504" s="9"/>
      <c r="H17504" s="9"/>
      <c r="I17504" s="9"/>
      <c r="J17504" s="9"/>
      <c r="K17504" s="9"/>
      <c r="L17504" s="9"/>
      <c r="M17504" s="9"/>
      <c r="N17504" s="9"/>
      <c r="O17504" s="9"/>
      <c r="P17504" s="9"/>
      <c r="Q17504" s="9"/>
      <c r="R17504" s="9"/>
      <c r="S17504" s="9"/>
      <c r="T17504" s="9"/>
      <c r="U17504" s="9"/>
      <c r="V17504" s="9"/>
      <c r="W17504" s="9"/>
      <c r="X17504" s="9"/>
      <c r="Y17504" s="9"/>
      <c r="Z17504" s="9"/>
      <c r="AA17504" s="9"/>
      <c r="AB17504" s="9"/>
      <c r="AC17504" s="9"/>
      <c r="AG17504" s="10"/>
    </row>
    <row r="17505" spans="1:33">
      <c r="A17505" s="9"/>
      <c r="B17505" s="9"/>
      <c r="C17505" s="9"/>
      <c r="D17505" s="9"/>
      <c r="E17505" s="9"/>
      <c r="F17505" s="9"/>
      <c r="G17505" s="9"/>
      <c r="H17505" s="9"/>
      <c r="I17505" s="9"/>
      <c r="J17505" s="9"/>
      <c r="K17505" s="9"/>
      <c r="L17505" s="9"/>
      <c r="M17505" s="9"/>
      <c r="N17505" s="9"/>
      <c r="O17505" s="9"/>
      <c r="P17505" s="9"/>
      <c r="Q17505" s="9"/>
      <c r="R17505" s="9"/>
      <c r="S17505" s="9"/>
      <c r="T17505" s="9"/>
      <c r="U17505" s="9"/>
      <c r="V17505" s="9"/>
      <c r="W17505" s="9"/>
      <c r="X17505" s="9"/>
      <c r="Y17505" s="9"/>
      <c r="Z17505" s="9"/>
      <c r="AA17505" s="9"/>
      <c r="AB17505" s="9"/>
      <c r="AC17505" s="9"/>
      <c r="AG17505" s="10"/>
    </row>
    <row r="17506" spans="1:33">
      <c r="A17506" s="9"/>
      <c r="B17506" s="9"/>
      <c r="C17506" s="9"/>
      <c r="D17506" s="9"/>
      <c r="E17506" s="9"/>
      <c r="F17506" s="9"/>
      <c r="G17506" s="9"/>
      <c r="H17506" s="9"/>
      <c r="I17506" s="9"/>
      <c r="J17506" s="9"/>
      <c r="K17506" s="9"/>
      <c r="L17506" s="9"/>
      <c r="M17506" s="9"/>
      <c r="N17506" s="9"/>
      <c r="O17506" s="9"/>
      <c r="P17506" s="9"/>
      <c r="Q17506" s="9"/>
      <c r="R17506" s="9"/>
      <c r="S17506" s="9"/>
      <c r="T17506" s="9"/>
      <c r="U17506" s="9"/>
      <c r="V17506" s="9"/>
      <c r="W17506" s="9"/>
      <c r="X17506" s="9"/>
      <c r="Y17506" s="9"/>
      <c r="Z17506" s="9"/>
      <c r="AA17506" s="9"/>
      <c r="AB17506" s="9"/>
      <c r="AC17506" s="9"/>
      <c r="AG17506" s="10"/>
    </row>
    <row r="17507" spans="1:33">
      <c r="A17507" s="9"/>
      <c r="B17507" s="9"/>
      <c r="C17507" s="9"/>
      <c r="D17507" s="9"/>
      <c r="E17507" s="9"/>
      <c r="F17507" s="9"/>
      <c r="G17507" s="9"/>
      <c r="H17507" s="9"/>
      <c r="I17507" s="9"/>
      <c r="J17507" s="9"/>
      <c r="K17507" s="9"/>
      <c r="L17507" s="9"/>
      <c r="M17507" s="9"/>
      <c r="N17507" s="9"/>
      <c r="O17507" s="9"/>
      <c r="P17507" s="9"/>
      <c r="Q17507" s="9"/>
      <c r="R17507" s="9"/>
      <c r="S17507" s="9"/>
      <c r="T17507" s="9"/>
      <c r="U17507" s="9"/>
      <c r="V17507" s="9"/>
      <c r="W17507" s="9"/>
      <c r="X17507" s="9"/>
      <c r="Y17507" s="9"/>
      <c r="Z17507" s="9"/>
      <c r="AA17507" s="9"/>
      <c r="AB17507" s="9"/>
      <c r="AC17507" s="9"/>
      <c r="AG17507" s="10"/>
    </row>
    <row r="17508" spans="1:33">
      <c r="A17508" s="9"/>
      <c r="B17508" s="9"/>
      <c r="C17508" s="9"/>
      <c r="D17508" s="9"/>
      <c r="E17508" s="9"/>
      <c r="F17508" s="9"/>
      <c r="G17508" s="9"/>
      <c r="H17508" s="9"/>
      <c r="I17508" s="9"/>
      <c r="J17508" s="9"/>
      <c r="K17508" s="9"/>
      <c r="L17508" s="9"/>
      <c r="M17508" s="9"/>
      <c r="N17508" s="9"/>
      <c r="O17508" s="9"/>
      <c r="P17508" s="9"/>
      <c r="Q17508" s="9"/>
      <c r="R17508" s="9"/>
      <c r="S17508" s="9"/>
      <c r="T17508" s="9"/>
      <c r="U17508" s="9"/>
      <c r="V17508" s="9"/>
      <c r="W17508" s="9"/>
      <c r="X17508" s="9"/>
      <c r="Y17508" s="9"/>
      <c r="Z17508" s="9"/>
      <c r="AA17508" s="9"/>
      <c r="AB17508" s="9"/>
      <c r="AC17508" s="9"/>
      <c r="AG17508" s="10"/>
    </row>
    <row r="17509" spans="1:33">
      <c r="A17509" s="9"/>
      <c r="B17509" s="9"/>
      <c r="C17509" s="9"/>
      <c r="D17509" s="9"/>
      <c r="E17509" s="9"/>
      <c r="F17509" s="9"/>
      <c r="G17509" s="9"/>
      <c r="H17509" s="9"/>
      <c r="I17509" s="9"/>
      <c r="J17509" s="9"/>
      <c r="K17509" s="9"/>
      <c r="L17509" s="9"/>
      <c r="M17509" s="9"/>
      <c r="N17509" s="9"/>
      <c r="O17509" s="9"/>
      <c r="P17509" s="9"/>
      <c r="Q17509" s="9"/>
      <c r="R17509" s="9"/>
      <c r="S17509" s="9"/>
      <c r="T17509" s="9"/>
      <c r="U17509" s="9"/>
      <c r="V17509" s="9"/>
      <c r="W17509" s="9"/>
      <c r="X17509" s="9"/>
      <c r="Y17509" s="9"/>
      <c r="Z17509" s="9"/>
      <c r="AA17509" s="9"/>
      <c r="AB17509" s="9"/>
      <c r="AC17509" s="9"/>
      <c r="AG17509" s="10"/>
    </row>
    <row r="17510" spans="1:33">
      <c r="A17510" s="9"/>
      <c r="B17510" s="9"/>
      <c r="C17510" s="9"/>
      <c r="D17510" s="9"/>
      <c r="E17510" s="9"/>
      <c r="F17510" s="9"/>
      <c r="G17510" s="9"/>
      <c r="H17510" s="9"/>
      <c r="I17510" s="9"/>
      <c r="J17510" s="9"/>
      <c r="K17510" s="9"/>
      <c r="L17510" s="9"/>
      <c r="M17510" s="9"/>
      <c r="N17510" s="9"/>
      <c r="O17510" s="9"/>
      <c r="P17510" s="9"/>
      <c r="Q17510" s="9"/>
      <c r="R17510" s="9"/>
      <c r="S17510" s="9"/>
      <c r="T17510" s="9"/>
      <c r="U17510" s="9"/>
      <c r="V17510" s="9"/>
      <c r="W17510" s="9"/>
      <c r="X17510" s="9"/>
      <c r="Y17510" s="9"/>
      <c r="Z17510" s="9"/>
      <c r="AA17510" s="9"/>
      <c r="AB17510" s="9"/>
      <c r="AC17510" s="9"/>
      <c r="AG17510" s="10"/>
    </row>
    <row r="17511" spans="1:33">
      <c r="A17511" s="9"/>
      <c r="B17511" s="9"/>
      <c r="C17511" s="9"/>
      <c r="D17511" s="9"/>
      <c r="E17511" s="9"/>
      <c r="F17511" s="9"/>
      <c r="G17511" s="9"/>
      <c r="H17511" s="9"/>
      <c r="I17511" s="9"/>
      <c r="J17511" s="9"/>
      <c r="K17511" s="9"/>
      <c r="L17511" s="9"/>
      <c r="M17511" s="9"/>
      <c r="N17511" s="9"/>
      <c r="O17511" s="9"/>
      <c r="P17511" s="9"/>
      <c r="Q17511" s="9"/>
      <c r="R17511" s="9"/>
      <c r="S17511" s="9"/>
      <c r="T17511" s="9"/>
      <c r="U17511" s="9"/>
      <c r="V17511" s="9"/>
      <c r="W17511" s="9"/>
      <c r="X17511" s="9"/>
      <c r="Y17511" s="9"/>
      <c r="Z17511" s="9"/>
      <c r="AA17511" s="9"/>
      <c r="AB17511" s="9"/>
      <c r="AC17511" s="9"/>
      <c r="AG17511" s="10"/>
    </row>
    <row r="17512" spans="1:33">
      <c r="A17512" s="9"/>
      <c r="B17512" s="9"/>
      <c r="C17512" s="9"/>
      <c r="D17512" s="9"/>
      <c r="E17512" s="9"/>
      <c r="F17512" s="9"/>
      <c r="G17512" s="9"/>
      <c r="H17512" s="9"/>
      <c r="I17512" s="9"/>
      <c r="J17512" s="9"/>
      <c r="K17512" s="9"/>
      <c r="L17512" s="9"/>
      <c r="M17512" s="9"/>
      <c r="N17512" s="9"/>
      <c r="O17512" s="9"/>
      <c r="P17512" s="9"/>
      <c r="Q17512" s="9"/>
      <c r="R17512" s="9"/>
      <c r="S17512" s="9"/>
      <c r="T17512" s="9"/>
      <c r="U17512" s="9"/>
      <c r="V17512" s="9"/>
      <c r="W17512" s="9"/>
      <c r="X17512" s="9"/>
      <c r="Y17512" s="9"/>
      <c r="Z17512" s="9"/>
      <c r="AA17512" s="9"/>
      <c r="AB17512" s="9"/>
      <c r="AC17512" s="9"/>
      <c r="AG17512" s="10"/>
    </row>
    <row r="17513" spans="1:33">
      <c r="A17513" s="9"/>
      <c r="B17513" s="9"/>
      <c r="C17513" s="9"/>
      <c r="D17513" s="9"/>
      <c r="E17513" s="9"/>
      <c r="F17513" s="9"/>
      <c r="G17513" s="9"/>
      <c r="H17513" s="9"/>
      <c r="I17513" s="9"/>
      <c r="J17513" s="9"/>
      <c r="K17513" s="9"/>
      <c r="L17513" s="9"/>
      <c r="M17513" s="9"/>
      <c r="N17513" s="9"/>
      <c r="O17513" s="9"/>
      <c r="P17513" s="9"/>
      <c r="Q17513" s="9"/>
      <c r="R17513" s="9"/>
      <c r="S17513" s="9"/>
      <c r="T17513" s="9"/>
      <c r="U17513" s="9"/>
      <c r="V17513" s="9"/>
      <c r="W17513" s="9"/>
      <c r="X17513" s="9"/>
      <c r="Y17513" s="9"/>
      <c r="Z17513" s="9"/>
      <c r="AA17513" s="9"/>
      <c r="AB17513" s="9"/>
      <c r="AC17513" s="9"/>
      <c r="AG17513" s="10"/>
    </row>
    <row r="17514" spans="1:33">
      <c r="A17514" s="9"/>
      <c r="B17514" s="9"/>
      <c r="C17514" s="9"/>
      <c r="D17514" s="9"/>
      <c r="E17514" s="9"/>
      <c r="F17514" s="9"/>
      <c r="G17514" s="9"/>
      <c r="H17514" s="9"/>
      <c r="I17514" s="9"/>
      <c r="J17514" s="9"/>
      <c r="K17514" s="9"/>
      <c r="L17514" s="9"/>
      <c r="M17514" s="9"/>
      <c r="N17514" s="9"/>
      <c r="O17514" s="9"/>
      <c r="P17514" s="9"/>
      <c r="Q17514" s="9"/>
      <c r="R17514" s="9"/>
      <c r="S17514" s="9"/>
      <c r="T17514" s="9"/>
      <c r="U17514" s="9"/>
      <c r="V17514" s="9"/>
      <c r="W17514" s="9"/>
      <c r="X17514" s="9"/>
      <c r="Y17514" s="9"/>
      <c r="Z17514" s="9"/>
      <c r="AA17514" s="9"/>
      <c r="AB17514" s="9"/>
      <c r="AC17514" s="9"/>
      <c r="AG17514" s="10"/>
    </row>
    <row r="17515" spans="1:33">
      <c r="A17515" s="9"/>
      <c r="B17515" s="9"/>
      <c r="C17515" s="9"/>
      <c r="D17515" s="9"/>
      <c r="E17515" s="9"/>
      <c r="F17515" s="9"/>
      <c r="G17515" s="9"/>
      <c r="H17515" s="9"/>
      <c r="I17515" s="9"/>
      <c r="J17515" s="9"/>
      <c r="K17515" s="9"/>
      <c r="L17515" s="9"/>
      <c r="M17515" s="9"/>
      <c r="N17515" s="9"/>
      <c r="O17515" s="9"/>
      <c r="P17515" s="9"/>
      <c r="Q17515" s="9"/>
      <c r="R17515" s="9"/>
      <c r="S17515" s="9"/>
      <c r="T17515" s="9"/>
      <c r="U17515" s="9"/>
      <c r="V17515" s="9"/>
      <c r="W17515" s="9"/>
      <c r="X17515" s="9"/>
      <c r="Y17515" s="9"/>
      <c r="Z17515" s="9"/>
      <c r="AA17515" s="9"/>
      <c r="AB17515" s="9"/>
      <c r="AC17515" s="9"/>
      <c r="AG17515" s="10"/>
    </row>
    <row r="17516" spans="1:33">
      <c r="A17516" s="9"/>
      <c r="B17516" s="9"/>
      <c r="C17516" s="9"/>
      <c r="D17516" s="9"/>
      <c r="E17516" s="9"/>
      <c r="F17516" s="9"/>
      <c r="G17516" s="9"/>
      <c r="H17516" s="9"/>
      <c r="I17516" s="9"/>
      <c r="J17516" s="9"/>
      <c r="K17516" s="9"/>
      <c r="L17516" s="9"/>
      <c r="M17516" s="9"/>
      <c r="N17516" s="9"/>
      <c r="O17516" s="9"/>
      <c r="P17516" s="9"/>
      <c r="Q17516" s="9"/>
      <c r="R17516" s="9"/>
      <c r="S17516" s="9"/>
      <c r="T17516" s="9"/>
      <c r="U17516" s="9"/>
      <c r="V17516" s="9"/>
      <c r="W17516" s="9"/>
      <c r="X17516" s="9"/>
      <c r="Y17516" s="9"/>
      <c r="Z17516" s="9"/>
      <c r="AA17516" s="9"/>
      <c r="AB17516" s="9"/>
      <c r="AC17516" s="9"/>
      <c r="AG17516" s="10"/>
    </row>
    <row r="17517" spans="1:33">
      <c r="A17517" s="9"/>
      <c r="B17517" s="9"/>
      <c r="C17517" s="9"/>
      <c r="D17517" s="9"/>
      <c r="E17517" s="9"/>
      <c r="F17517" s="9"/>
      <c r="G17517" s="9"/>
      <c r="H17517" s="9"/>
      <c r="I17517" s="9"/>
      <c r="J17517" s="9"/>
      <c r="K17517" s="9"/>
      <c r="L17517" s="9"/>
      <c r="M17517" s="9"/>
      <c r="N17517" s="9"/>
      <c r="O17517" s="9"/>
      <c r="P17517" s="9"/>
      <c r="Q17517" s="9"/>
      <c r="R17517" s="9"/>
      <c r="S17517" s="9"/>
      <c r="T17517" s="9"/>
      <c r="U17517" s="9"/>
      <c r="V17517" s="9"/>
      <c r="W17517" s="9"/>
      <c r="X17517" s="9"/>
      <c r="Y17517" s="9"/>
      <c r="Z17517" s="9"/>
      <c r="AA17517" s="9"/>
      <c r="AB17517" s="9"/>
      <c r="AC17517" s="9"/>
      <c r="AG17517" s="10"/>
    </row>
    <row r="17518" spans="1:33">
      <c r="A17518" s="9"/>
      <c r="B17518" s="9"/>
      <c r="C17518" s="9"/>
      <c r="D17518" s="9"/>
      <c r="E17518" s="9"/>
      <c r="F17518" s="9"/>
      <c r="G17518" s="9"/>
      <c r="H17518" s="9"/>
      <c r="I17518" s="9"/>
      <c r="J17518" s="9"/>
      <c r="K17518" s="9"/>
      <c r="L17518" s="9"/>
      <c r="M17518" s="9"/>
      <c r="N17518" s="9"/>
      <c r="O17518" s="9"/>
      <c r="P17518" s="9"/>
      <c r="Q17518" s="9"/>
      <c r="R17518" s="9"/>
      <c r="S17518" s="9"/>
      <c r="T17518" s="9"/>
      <c r="U17518" s="9"/>
      <c r="V17518" s="9"/>
      <c r="W17518" s="9"/>
      <c r="X17518" s="9"/>
      <c r="Y17518" s="9"/>
      <c r="Z17518" s="9"/>
      <c r="AA17518" s="9"/>
      <c r="AB17518" s="9"/>
      <c r="AC17518" s="9"/>
      <c r="AG17518" s="10"/>
    </row>
    <row r="17519" spans="1:33">
      <c r="A17519" s="9"/>
      <c r="B17519" s="9"/>
      <c r="C17519" s="9"/>
      <c r="D17519" s="9"/>
      <c r="E17519" s="9"/>
      <c r="F17519" s="9"/>
      <c r="G17519" s="9"/>
      <c r="H17519" s="9"/>
      <c r="I17519" s="9"/>
      <c r="J17519" s="9"/>
      <c r="K17519" s="9"/>
      <c r="L17519" s="9"/>
      <c r="M17519" s="9"/>
      <c r="N17519" s="9"/>
      <c r="O17519" s="9"/>
      <c r="P17519" s="9"/>
      <c r="Q17519" s="9"/>
      <c r="R17519" s="9"/>
      <c r="S17519" s="9"/>
      <c r="T17519" s="9"/>
      <c r="U17519" s="9"/>
      <c r="V17519" s="9"/>
      <c r="W17519" s="9"/>
      <c r="X17519" s="9"/>
      <c r="Y17519" s="9"/>
      <c r="Z17519" s="9"/>
      <c r="AA17519" s="9"/>
      <c r="AB17519" s="9"/>
      <c r="AC17519" s="9"/>
      <c r="AG17519" s="10"/>
    </row>
    <row r="17520" spans="1:33">
      <c r="A17520" s="9"/>
      <c r="B17520" s="9"/>
      <c r="C17520" s="9"/>
      <c r="D17520" s="9"/>
      <c r="E17520" s="9"/>
      <c r="F17520" s="9"/>
      <c r="G17520" s="9"/>
      <c r="H17520" s="9"/>
      <c r="I17520" s="9"/>
      <c r="J17520" s="9"/>
      <c r="K17520" s="9"/>
      <c r="L17520" s="9"/>
      <c r="M17520" s="9"/>
      <c r="N17520" s="9"/>
      <c r="O17520" s="9"/>
      <c r="P17520" s="9"/>
      <c r="Q17520" s="9"/>
      <c r="R17520" s="9"/>
      <c r="S17520" s="9"/>
      <c r="T17520" s="9"/>
      <c r="U17520" s="9"/>
      <c r="V17520" s="9"/>
      <c r="W17520" s="9"/>
      <c r="X17520" s="9"/>
      <c r="Y17520" s="9"/>
      <c r="Z17520" s="9"/>
      <c r="AA17520" s="9"/>
      <c r="AB17520" s="9"/>
      <c r="AC17520" s="9"/>
      <c r="AG17520" s="10"/>
    </row>
    <row r="17521" spans="1:33">
      <c r="A17521" s="9"/>
      <c r="B17521" s="9"/>
      <c r="C17521" s="9"/>
      <c r="D17521" s="9"/>
      <c r="E17521" s="9"/>
      <c r="F17521" s="9"/>
      <c r="G17521" s="9"/>
      <c r="H17521" s="9"/>
      <c r="I17521" s="9"/>
      <c r="J17521" s="9"/>
      <c r="K17521" s="9"/>
      <c r="L17521" s="9"/>
      <c r="M17521" s="9"/>
      <c r="N17521" s="9"/>
      <c r="O17521" s="9"/>
      <c r="P17521" s="9"/>
      <c r="Q17521" s="9"/>
      <c r="R17521" s="9"/>
      <c r="S17521" s="9"/>
      <c r="T17521" s="9"/>
      <c r="U17521" s="9"/>
      <c r="V17521" s="9"/>
      <c r="W17521" s="9"/>
      <c r="X17521" s="9"/>
      <c r="Y17521" s="9"/>
      <c r="Z17521" s="9"/>
      <c r="AA17521" s="9"/>
      <c r="AB17521" s="9"/>
      <c r="AC17521" s="9"/>
      <c r="AG17521" s="10"/>
    </row>
    <row r="17522" spans="1:33">
      <c r="A17522" s="9"/>
      <c r="B17522" s="9"/>
      <c r="C17522" s="9"/>
      <c r="D17522" s="9"/>
      <c r="E17522" s="9"/>
      <c r="F17522" s="9"/>
      <c r="G17522" s="9"/>
      <c r="H17522" s="9"/>
      <c r="I17522" s="9"/>
      <c r="J17522" s="9"/>
      <c r="K17522" s="9"/>
      <c r="L17522" s="9"/>
      <c r="M17522" s="9"/>
      <c r="N17522" s="9"/>
      <c r="O17522" s="9"/>
      <c r="P17522" s="9"/>
      <c r="Q17522" s="9"/>
      <c r="R17522" s="9"/>
      <c r="S17522" s="9"/>
      <c r="T17522" s="9"/>
      <c r="U17522" s="9"/>
      <c r="V17522" s="9"/>
      <c r="W17522" s="9"/>
      <c r="X17522" s="9"/>
      <c r="Y17522" s="9"/>
      <c r="Z17522" s="9"/>
      <c r="AA17522" s="9"/>
      <c r="AB17522" s="9"/>
      <c r="AC17522" s="9"/>
      <c r="AG17522" s="10"/>
    </row>
    <row r="17523" spans="1:33">
      <c r="A17523" s="9"/>
      <c r="B17523" s="9"/>
      <c r="C17523" s="9"/>
      <c r="D17523" s="9"/>
      <c r="E17523" s="9"/>
      <c r="F17523" s="9"/>
      <c r="G17523" s="9"/>
      <c r="H17523" s="9"/>
      <c r="I17523" s="9"/>
      <c r="J17523" s="9"/>
      <c r="K17523" s="9"/>
      <c r="L17523" s="9"/>
      <c r="M17523" s="9"/>
      <c r="N17523" s="9"/>
      <c r="O17523" s="9"/>
      <c r="P17523" s="9"/>
      <c r="Q17523" s="9"/>
      <c r="R17523" s="9"/>
      <c r="S17523" s="9"/>
      <c r="T17523" s="9"/>
      <c r="U17523" s="9"/>
      <c r="V17523" s="9"/>
      <c r="W17523" s="9"/>
      <c r="X17523" s="9"/>
      <c r="Y17523" s="9"/>
      <c r="Z17523" s="9"/>
      <c r="AA17523" s="9"/>
      <c r="AB17523" s="9"/>
      <c r="AC17523" s="9"/>
      <c r="AG17523" s="10"/>
    </row>
    <row r="17524" spans="1:33">
      <c r="A17524" s="9"/>
      <c r="B17524" s="9"/>
      <c r="C17524" s="9"/>
      <c r="D17524" s="9"/>
      <c r="E17524" s="9"/>
      <c r="F17524" s="9"/>
      <c r="G17524" s="9"/>
      <c r="H17524" s="9"/>
      <c r="I17524" s="9"/>
      <c r="J17524" s="9"/>
      <c r="K17524" s="9"/>
      <c r="L17524" s="9"/>
      <c r="M17524" s="9"/>
      <c r="N17524" s="9"/>
      <c r="O17524" s="9"/>
      <c r="P17524" s="9"/>
      <c r="Q17524" s="9"/>
      <c r="R17524" s="9"/>
      <c r="S17524" s="9"/>
      <c r="T17524" s="9"/>
      <c r="U17524" s="9"/>
      <c r="V17524" s="9"/>
      <c r="W17524" s="9"/>
      <c r="X17524" s="9"/>
      <c r="Y17524" s="9"/>
      <c r="Z17524" s="9"/>
      <c r="AA17524" s="9"/>
      <c r="AB17524" s="9"/>
      <c r="AC17524" s="9"/>
      <c r="AG17524" s="10"/>
    </row>
    <row r="17525" spans="1:33">
      <c r="A17525" s="9"/>
      <c r="B17525" s="9"/>
      <c r="C17525" s="9"/>
      <c r="D17525" s="9"/>
      <c r="E17525" s="9"/>
      <c r="F17525" s="9"/>
      <c r="G17525" s="9"/>
      <c r="H17525" s="9"/>
      <c r="I17525" s="9"/>
      <c r="J17525" s="9"/>
      <c r="K17525" s="9"/>
      <c r="L17525" s="9"/>
      <c r="M17525" s="9"/>
      <c r="N17525" s="9"/>
      <c r="O17525" s="9"/>
      <c r="P17525" s="9"/>
      <c r="Q17525" s="9"/>
      <c r="R17525" s="9"/>
      <c r="S17525" s="9"/>
      <c r="T17525" s="9"/>
      <c r="U17525" s="9"/>
      <c r="V17525" s="9"/>
      <c r="W17525" s="9"/>
      <c r="X17525" s="9"/>
      <c r="Y17525" s="9"/>
      <c r="Z17525" s="9"/>
      <c r="AA17525" s="9"/>
      <c r="AB17525" s="9"/>
      <c r="AC17525" s="9"/>
      <c r="AG17525" s="10"/>
    </row>
    <row r="17526" spans="1:33">
      <c r="A17526" s="9"/>
      <c r="B17526" s="9"/>
      <c r="C17526" s="9"/>
      <c r="D17526" s="9"/>
      <c r="E17526" s="9"/>
      <c r="F17526" s="9"/>
      <c r="G17526" s="9"/>
      <c r="H17526" s="9"/>
      <c r="I17526" s="9"/>
      <c r="J17526" s="9"/>
      <c r="K17526" s="9"/>
      <c r="L17526" s="9"/>
      <c r="M17526" s="9"/>
      <c r="N17526" s="9"/>
      <c r="O17526" s="9"/>
      <c r="P17526" s="9"/>
      <c r="Q17526" s="9"/>
      <c r="R17526" s="9"/>
      <c r="S17526" s="9"/>
      <c r="T17526" s="9"/>
      <c r="U17526" s="9"/>
      <c r="V17526" s="9"/>
      <c r="W17526" s="9"/>
      <c r="X17526" s="9"/>
      <c r="Y17526" s="9"/>
      <c r="Z17526" s="9"/>
      <c r="AA17526" s="9"/>
      <c r="AB17526" s="9"/>
      <c r="AC17526" s="9"/>
      <c r="AG17526" s="10"/>
    </row>
    <row r="17527" spans="1:33">
      <c r="A17527" s="9"/>
      <c r="B17527" s="9"/>
      <c r="C17527" s="9"/>
      <c r="D17527" s="9"/>
      <c r="E17527" s="9"/>
      <c r="F17527" s="9"/>
      <c r="G17527" s="9"/>
      <c r="H17527" s="9"/>
      <c r="I17527" s="9"/>
      <c r="J17527" s="9"/>
      <c r="K17527" s="9"/>
      <c r="L17527" s="9"/>
      <c r="M17527" s="9"/>
      <c r="N17527" s="9"/>
      <c r="O17527" s="9"/>
      <c r="P17527" s="9"/>
      <c r="Q17527" s="9"/>
      <c r="R17527" s="9"/>
      <c r="S17527" s="9"/>
      <c r="T17527" s="9"/>
      <c r="U17527" s="9"/>
      <c r="V17527" s="9"/>
      <c r="W17527" s="9"/>
      <c r="X17527" s="9"/>
      <c r="Y17527" s="9"/>
      <c r="Z17527" s="9"/>
      <c r="AA17527" s="9"/>
      <c r="AB17527" s="9"/>
      <c r="AC17527" s="9"/>
      <c r="AG17527" s="10"/>
    </row>
    <row r="17528" spans="1:33">
      <c r="A17528" s="9"/>
      <c r="B17528" s="9"/>
      <c r="C17528" s="9"/>
      <c r="D17528" s="9"/>
      <c r="E17528" s="9"/>
      <c r="F17528" s="9"/>
      <c r="G17528" s="9"/>
      <c r="H17528" s="9"/>
      <c r="I17528" s="9"/>
      <c r="J17528" s="9"/>
      <c r="K17528" s="9"/>
      <c r="L17528" s="9"/>
      <c r="M17528" s="9"/>
      <c r="N17528" s="9"/>
      <c r="O17528" s="9"/>
      <c r="P17528" s="9"/>
      <c r="Q17528" s="9"/>
      <c r="R17528" s="9"/>
      <c r="S17528" s="9"/>
      <c r="T17528" s="9"/>
      <c r="U17528" s="9"/>
      <c r="V17528" s="9"/>
      <c r="W17528" s="9"/>
      <c r="X17528" s="9"/>
      <c r="Y17528" s="9"/>
      <c r="Z17528" s="9"/>
      <c r="AA17528" s="9"/>
      <c r="AB17528" s="9"/>
      <c r="AC17528" s="9"/>
      <c r="AG17528" s="10"/>
    </row>
    <row r="17529" spans="1:33">
      <c r="A17529" s="9"/>
      <c r="B17529" s="9"/>
      <c r="C17529" s="9"/>
      <c r="D17529" s="9"/>
      <c r="E17529" s="9"/>
      <c r="F17529" s="9"/>
      <c r="G17529" s="9"/>
      <c r="H17529" s="9"/>
      <c r="I17529" s="9"/>
      <c r="J17529" s="9"/>
      <c r="K17529" s="9"/>
      <c r="L17529" s="9"/>
      <c r="M17529" s="9"/>
      <c r="N17529" s="9"/>
      <c r="O17529" s="9"/>
      <c r="P17529" s="9"/>
      <c r="Q17529" s="9"/>
      <c r="R17529" s="9"/>
      <c r="S17529" s="9"/>
      <c r="T17529" s="9"/>
      <c r="U17529" s="9"/>
      <c r="V17529" s="9"/>
      <c r="W17529" s="9"/>
      <c r="X17529" s="9"/>
      <c r="Y17529" s="9"/>
      <c r="Z17529" s="9"/>
      <c r="AA17529" s="9"/>
      <c r="AB17529" s="9"/>
      <c r="AC17529" s="9"/>
      <c r="AG17529" s="10"/>
    </row>
    <row r="17530" spans="1:33">
      <c r="A17530" s="9"/>
      <c r="B17530" s="9"/>
      <c r="C17530" s="9"/>
      <c r="D17530" s="9"/>
      <c r="E17530" s="9"/>
      <c r="F17530" s="9"/>
      <c r="G17530" s="9"/>
      <c r="H17530" s="9"/>
      <c r="I17530" s="9"/>
      <c r="J17530" s="9"/>
      <c r="K17530" s="9"/>
      <c r="L17530" s="9"/>
      <c r="M17530" s="9"/>
      <c r="N17530" s="9"/>
      <c r="O17530" s="9"/>
      <c r="P17530" s="9"/>
      <c r="Q17530" s="9"/>
      <c r="R17530" s="9"/>
      <c r="S17530" s="9"/>
      <c r="T17530" s="9"/>
      <c r="U17530" s="9"/>
      <c r="V17530" s="9"/>
      <c r="W17530" s="9"/>
      <c r="X17530" s="9"/>
      <c r="Y17530" s="9"/>
      <c r="Z17530" s="9"/>
      <c r="AA17530" s="9"/>
      <c r="AB17530" s="9"/>
      <c r="AC17530" s="9"/>
      <c r="AG17530" s="10"/>
    </row>
    <row r="17531" spans="1:33">
      <c r="A17531" s="9"/>
      <c r="B17531" s="9"/>
      <c r="C17531" s="9"/>
      <c r="D17531" s="9"/>
      <c r="E17531" s="9"/>
      <c r="F17531" s="9"/>
      <c r="G17531" s="9"/>
      <c r="H17531" s="9"/>
      <c r="I17531" s="9"/>
      <c r="J17531" s="9"/>
      <c r="K17531" s="9"/>
      <c r="L17531" s="9"/>
      <c r="M17531" s="9"/>
      <c r="N17531" s="9"/>
      <c r="O17531" s="9"/>
      <c r="P17531" s="9"/>
      <c r="Q17531" s="9"/>
      <c r="R17531" s="9"/>
      <c r="S17531" s="9"/>
      <c r="T17531" s="9"/>
      <c r="U17531" s="9"/>
      <c r="V17531" s="9"/>
      <c r="W17531" s="9"/>
      <c r="X17531" s="9"/>
      <c r="Y17531" s="9"/>
      <c r="Z17531" s="9"/>
      <c r="AA17531" s="9"/>
      <c r="AB17531" s="9"/>
      <c r="AC17531" s="9"/>
      <c r="AG17531" s="10"/>
    </row>
    <row r="17532" spans="1:33">
      <c r="A17532" s="9"/>
      <c r="B17532" s="9"/>
      <c r="C17532" s="9"/>
      <c r="D17532" s="9"/>
      <c r="E17532" s="9"/>
      <c r="F17532" s="9"/>
      <c r="G17532" s="9"/>
      <c r="H17532" s="9"/>
      <c r="I17532" s="9"/>
      <c r="J17532" s="9"/>
      <c r="K17532" s="9"/>
      <c r="L17532" s="9"/>
      <c r="M17532" s="9"/>
      <c r="N17532" s="9"/>
      <c r="O17532" s="9"/>
      <c r="P17532" s="9"/>
      <c r="Q17532" s="9"/>
      <c r="R17532" s="9"/>
      <c r="S17532" s="9"/>
      <c r="T17532" s="9"/>
      <c r="U17532" s="9"/>
      <c r="V17532" s="9"/>
      <c r="W17532" s="9"/>
      <c r="X17532" s="9"/>
      <c r="Y17532" s="9"/>
      <c r="Z17532" s="9"/>
      <c r="AA17532" s="9"/>
      <c r="AB17532" s="9"/>
      <c r="AC17532" s="9"/>
      <c r="AG17532" s="10"/>
    </row>
    <row r="17533" spans="1:33">
      <c r="A17533" s="9"/>
      <c r="B17533" s="9"/>
      <c r="C17533" s="9"/>
      <c r="D17533" s="9"/>
      <c r="E17533" s="9"/>
      <c r="F17533" s="9"/>
      <c r="G17533" s="9"/>
      <c r="H17533" s="9"/>
      <c r="I17533" s="9"/>
      <c r="J17533" s="9"/>
      <c r="K17533" s="9"/>
      <c r="L17533" s="9"/>
      <c r="M17533" s="9"/>
      <c r="N17533" s="9"/>
      <c r="O17533" s="9"/>
      <c r="P17533" s="9"/>
      <c r="Q17533" s="9"/>
      <c r="R17533" s="9"/>
      <c r="S17533" s="9"/>
      <c r="T17533" s="9"/>
      <c r="U17533" s="9"/>
      <c r="V17533" s="9"/>
      <c r="W17533" s="9"/>
      <c r="X17533" s="9"/>
      <c r="Y17533" s="9"/>
      <c r="Z17533" s="9"/>
      <c r="AA17533" s="9"/>
      <c r="AB17533" s="9"/>
      <c r="AC17533" s="9"/>
      <c r="AG17533" s="10"/>
    </row>
    <row r="17534" spans="1:33">
      <c r="A17534" s="9"/>
      <c r="B17534" s="9"/>
      <c r="C17534" s="9"/>
      <c r="D17534" s="9"/>
      <c r="E17534" s="9"/>
      <c r="F17534" s="9"/>
      <c r="G17534" s="9"/>
      <c r="H17534" s="9"/>
      <c r="I17534" s="9"/>
      <c r="J17534" s="9"/>
      <c r="K17534" s="9"/>
      <c r="L17534" s="9"/>
      <c r="M17534" s="9"/>
      <c r="N17534" s="9"/>
      <c r="O17534" s="9"/>
      <c r="P17534" s="9"/>
      <c r="Q17534" s="9"/>
      <c r="R17534" s="9"/>
      <c r="S17534" s="9"/>
      <c r="T17534" s="9"/>
      <c r="U17534" s="9"/>
      <c r="V17534" s="9"/>
      <c r="W17534" s="9"/>
      <c r="X17534" s="9"/>
      <c r="Y17534" s="9"/>
      <c r="Z17534" s="9"/>
      <c r="AA17534" s="9"/>
      <c r="AB17534" s="9"/>
      <c r="AC17534" s="9"/>
      <c r="AG17534" s="10"/>
    </row>
    <row r="17535" spans="1:33">
      <c r="A17535" s="9"/>
      <c r="B17535" s="9"/>
      <c r="C17535" s="9"/>
      <c r="D17535" s="9"/>
      <c r="E17535" s="9"/>
      <c r="F17535" s="9"/>
      <c r="G17535" s="9"/>
      <c r="H17535" s="9"/>
      <c r="I17535" s="9"/>
      <c r="J17535" s="9"/>
      <c r="K17535" s="9"/>
      <c r="L17535" s="9"/>
      <c r="M17535" s="9"/>
      <c r="N17535" s="9"/>
      <c r="O17535" s="9"/>
      <c r="P17535" s="9"/>
      <c r="Q17535" s="9"/>
      <c r="R17535" s="9"/>
      <c r="S17535" s="9"/>
      <c r="T17535" s="9"/>
      <c r="U17535" s="9"/>
      <c r="V17535" s="9"/>
      <c r="W17535" s="9"/>
      <c r="X17535" s="9"/>
      <c r="Y17535" s="9"/>
      <c r="Z17535" s="9"/>
      <c r="AA17535" s="9"/>
      <c r="AB17535" s="9"/>
      <c r="AC17535" s="9"/>
      <c r="AG17535" s="10"/>
    </row>
    <row r="17536" spans="1:33">
      <c r="A17536" s="9"/>
      <c r="B17536" s="9"/>
      <c r="C17536" s="9"/>
      <c r="D17536" s="9"/>
      <c r="E17536" s="9"/>
      <c r="F17536" s="9"/>
      <c r="G17536" s="9"/>
      <c r="H17536" s="9"/>
      <c r="I17536" s="9"/>
      <c r="J17536" s="9"/>
      <c r="K17536" s="9"/>
      <c r="L17536" s="9"/>
      <c r="M17536" s="9"/>
      <c r="N17536" s="9"/>
      <c r="O17536" s="9"/>
      <c r="P17536" s="9"/>
      <c r="Q17536" s="9"/>
      <c r="R17536" s="9"/>
      <c r="S17536" s="9"/>
      <c r="T17536" s="9"/>
      <c r="U17536" s="9"/>
      <c r="V17536" s="9"/>
      <c r="W17536" s="9"/>
      <c r="X17536" s="9"/>
      <c r="Y17536" s="9"/>
      <c r="Z17536" s="9"/>
      <c r="AA17536" s="9"/>
      <c r="AB17536" s="9"/>
      <c r="AC17536" s="9"/>
      <c r="AG17536" s="10"/>
    </row>
    <row r="17537" spans="1:33">
      <c r="A17537" s="9"/>
      <c r="B17537" s="9"/>
      <c r="C17537" s="9"/>
      <c r="D17537" s="9"/>
      <c r="E17537" s="9"/>
      <c r="F17537" s="9"/>
      <c r="G17537" s="9"/>
      <c r="H17537" s="9"/>
      <c r="I17537" s="9"/>
      <c r="J17537" s="9"/>
      <c r="K17537" s="9"/>
      <c r="L17537" s="9"/>
      <c r="M17537" s="9"/>
      <c r="N17537" s="9"/>
      <c r="O17537" s="9"/>
      <c r="P17537" s="9"/>
      <c r="Q17537" s="9"/>
      <c r="R17537" s="9"/>
      <c r="S17537" s="9"/>
      <c r="T17537" s="9"/>
      <c r="U17537" s="9"/>
      <c r="V17537" s="9"/>
      <c r="W17537" s="9"/>
      <c r="X17537" s="9"/>
      <c r="Y17537" s="9"/>
      <c r="Z17537" s="9"/>
      <c r="AA17537" s="9"/>
      <c r="AB17537" s="9"/>
      <c r="AC17537" s="9"/>
      <c r="AG17537" s="10"/>
    </row>
    <row r="17538" spans="1:33">
      <c r="A17538" s="9"/>
      <c r="B17538" s="9"/>
      <c r="C17538" s="9"/>
      <c r="D17538" s="9"/>
      <c r="E17538" s="9"/>
      <c r="F17538" s="9"/>
      <c r="G17538" s="9"/>
      <c r="H17538" s="9"/>
      <c r="I17538" s="9"/>
      <c r="J17538" s="9"/>
      <c r="K17538" s="9"/>
      <c r="L17538" s="9"/>
      <c r="M17538" s="9"/>
      <c r="N17538" s="9"/>
      <c r="O17538" s="9"/>
      <c r="P17538" s="9"/>
      <c r="Q17538" s="9"/>
      <c r="R17538" s="9"/>
      <c r="S17538" s="9"/>
      <c r="T17538" s="9"/>
      <c r="U17538" s="9"/>
      <c r="V17538" s="9"/>
      <c r="W17538" s="9"/>
      <c r="X17538" s="9"/>
      <c r="Y17538" s="9"/>
      <c r="Z17538" s="9"/>
      <c r="AA17538" s="9"/>
      <c r="AB17538" s="9"/>
      <c r="AC17538" s="9"/>
      <c r="AG17538" s="10"/>
    </row>
    <row r="17539" spans="1:33">
      <c r="A17539" s="9"/>
      <c r="B17539" s="9"/>
      <c r="C17539" s="9"/>
      <c r="D17539" s="9"/>
      <c r="E17539" s="9"/>
      <c r="F17539" s="9"/>
      <c r="G17539" s="9"/>
      <c r="H17539" s="9"/>
      <c r="I17539" s="9"/>
      <c r="J17539" s="9"/>
      <c r="K17539" s="9"/>
      <c r="L17539" s="9"/>
      <c r="M17539" s="9"/>
      <c r="N17539" s="9"/>
      <c r="O17539" s="9"/>
      <c r="P17539" s="9"/>
      <c r="Q17539" s="9"/>
      <c r="R17539" s="9"/>
      <c r="S17539" s="9"/>
      <c r="T17539" s="9"/>
      <c r="U17539" s="9"/>
      <c r="V17539" s="9"/>
      <c r="W17539" s="9"/>
      <c r="X17539" s="9"/>
      <c r="Y17539" s="9"/>
      <c r="Z17539" s="9"/>
      <c r="AA17539" s="9"/>
      <c r="AB17539" s="9"/>
      <c r="AC17539" s="9"/>
      <c r="AG17539" s="10"/>
    </row>
    <row r="17540" spans="1:33">
      <c r="A17540" s="9"/>
      <c r="B17540" s="9"/>
      <c r="C17540" s="9"/>
      <c r="D17540" s="9"/>
      <c r="E17540" s="9"/>
      <c r="F17540" s="9"/>
      <c r="G17540" s="9"/>
      <c r="H17540" s="9"/>
      <c r="I17540" s="9"/>
      <c r="J17540" s="9"/>
      <c r="K17540" s="9"/>
      <c r="L17540" s="9"/>
      <c r="M17540" s="9"/>
      <c r="N17540" s="9"/>
      <c r="O17540" s="9"/>
      <c r="P17540" s="9"/>
      <c r="Q17540" s="9"/>
      <c r="R17540" s="9"/>
      <c r="S17540" s="9"/>
      <c r="T17540" s="9"/>
      <c r="U17540" s="9"/>
      <c r="V17540" s="9"/>
      <c r="W17540" s="9"/>
      <c r="X17540" s="9"/>
      <c r="Y17540" s="9"/>
      <c r="Z17540" s="9"/>
      <c r="AA17540" s="9"/>
      <c r="AB17540" s="9"/>
      <c r="AC17540" s="9"/>
      <c r="AG17540" s="10"/>
    </row>
    <row r="17541" spans="1:33">
      <c r="A17541" s="9"/>
      <c r="B17541" s="9"/>
      <c r="C17541" s="9"/>
      <c r="D17541" s="9"/>
      <c r="E17541" s="9"/>
      <c r="F17541" s="9"/>
      <c r="G17541" s="9"/>
      <c r="H17541" s="9"/>
      <c r="I17541" s="9"/>
      <c r="J17541" s="9"/>
      <c r="K17541" s="9"/>
      <c r="L17541" s="9"/>
      <c r="M17541" s="9"/>
      <c r="N17541" s="9"/>
      <c r="O17541" s="9"/>
      <c r="P17541" s="9"/>
      <c r="Q17541" s="9"/>
      <c r="R17541" s="9"/>
      <c r="S17541" s="9"/>
      <c r="T17541" s="9"/>
      <c r="U17541" s="9"/>
      <c r="V17541" s="9"/>
      <c r="W17541" s="9"/>
      <c r="X17541" s="9"/>
      <c r="Y17541" s="9"/>
      <c r="Z17541" s="9"/>
      <c r="AA17541" s="9"/>
      <c r="AB17541" s="9"/>
      <c r="AC17541" s="9"/>
      <c r="AG17541" s="10"/>
    </row>
    <row r="17542" spans="1:33">
      <c r="A17542" s="9"/>
      <c r="B17542" s="9"/>
      <c r="C17542" s="9"/>
      <c r="D17542" s="9"/>
      <c r="E17542" s="9"/>
      <c r="F17542" s="9"/>
      <c r="G17542" s="9"/>
      <c r="H17542" s="9"/>
      <c r="I17542" s="9"/>
      <c r="J17542" s="9"/>
      <c r="K17542" s="9"/>
      <c r="L17542" s="9"/>
      <c r="M17542" s="9"/>
      <c r="N17542" s="9"/>
      <c r="O17542" s="9"/>
      <c r="P17542" s="9"/>
      <c r="Q17542" s="9"/>
      <c r="R17542" s="9"/>
      <c r="S17542" s="9"/>
      <c r="T17542" s="9"/>
      <c r="U17542" s="9"/>
      <c r="V17542" s="9"/>
      <c r="W17542" s="9"/>
      <c r="X17542" s="9"/>
      <c r="Y17542" s="9"/>
      <c r="Z17542" s="9"/>
      <c r="AA17542" s="9"/>
      <c r="AB17542" s="9"/>
      <c r="AC17542" s="9"/>
      <c r="AG17542" s="10"/>
    </row>
    <row r="17543" spans="1:33">
      <c r="A17543" s="9"/>
      <c r="B17543" s="9"/>
      <c r="C17543" s="9"/>
      <c r="D17543" s="9"/>
      <c r="E17543" s="9"/>
      <c r="F17543" s="9"/>
      <c r="G17543" s="9"/>
      <c r="H17543" s="9"/>
      <c r="I17543" s="9"/>
      <c r="J17543" s="9"/>
      <c r="K17543" s="9"/>
      <c r="L17543" s="9"/>
      <c r="M17543" s="9"/>
      <c r="N17543" s="9"/>
      <c r="O17543" s="9"/>
      <c r="P17543" s="9"/>
      <c r="Q17543" s="9"/>
      <c r="R17543" s="9"/>
      <c r="S17543" s="9"/>
      <c r="T17543" s="9"/>
      <c r="U17543" s="9"/>
      <c r="V17543" s="9"/>
      <c r="W17543" s="9"/>
      <c r="X17543" s="9"/>
      <c r="Y17543" s="9"/>
      <c r="Z17543" s="9"/>
      <c r="AA17543" s="9"/>
      <c r="AB17543" s="9"/>
      <c r="AC17543" s="9"/>
      <c r="AG17543" s="10"/>
    </row>
    <row r="17544" spans="1:33">
      <c r="A17544" s="9"/>
      <c r="B17544" s="9"/>
      <c r="C17544" s="9"/>
      <c r="D17544" s="9"/>
      <c r="E17544" s="9"/>
      <c r="F17544" s="9"/>
      <c r="G17544" s="9"/>
      <c r="H17544" s="9"/>
      <c r="I17544" s="9"/>
      <c r="J17544" s="9"/>
      <c r="K17544" s="9"/>
      <c r="L17544" s="9"/>
      <c r="M17544" s="9"/>
      <c r="N17544" s="9"/>
      <c r="O17544" s="9"/>
      <c r="P17544" s="9"/>
      <c r="Q17544" s="9"/>
      <c r="R17544" s="9"/>
      <c r="S17544" s="9"/>
      <c r="T17544" s="9"/>
      <c r="U17544" s="9"/>
      <c r="V17544" s="9"/>
      <c r="W17544" s="9"/>
      <c r="X17544" s="9"/>
      <c r="Y17544" s="9"/>
      <c r="Z17544" s="9"/>
      <c r="AA17544" s="9"/>
      <c r="AB17544" s="9"/>
      <c r="AC17544" s="9"/>
      <c r="AG17544" s="10"/>
    </row>
    <row r="17545" spans="1:33">
      <c r="A17545" s="9"/>
      <c r="B17545" s="9"/>
      <c r="C17545" s="9"/>
      <c r="D17545" s="9"/>
      <c r="E17545" s="9"/>
      <c r="F17545" s="9"/>
      <c r="G17545" s="9"/>
      <c r="H17545" s="9"/>
      <c r="I17545" s="9"/>
      <c r="J17545" s="9"/>
      <c r="K17545" s="9"/>
      <c r="L17545" s="9"/>
      <c r="M17545" s="9"/>
      <c r="N17545" s="9"/>
      <c r="O17545" s="9"/>
      <c r="P17545" s="9"/>
      <c r="Q17545" s="9"/>
      <c r="R17545" s="9"/>
      <c r="S17545" s="9"/>
      <c r="T17545" s="9"/>
      <c r="U17545" s="9"/>
      <c r="V17545" s="9"/>
      <c r="W17545" s="9"/>
      <c r="X17545" s="9"/>
      <c r="Y17545" s="9"/>
      <c r="Z17545" s="9"/>
      <c r="AA17545" s="9"/>
      <c r="AB17545" s="9"/>
      <c r="AC17545" s="9"/>
      <c r="AG17545" s="10"/>
    </row>
    <row r="17546" spans="1:33">
      <c r="A17546" s="9"/>
      <c r="B17546" s="9"/>
      <c r="C17546" s="9"/>
      <c r="D17546" s="9"/>
      <c r="E17546" s="9"/>
      <c r="F17546" s="9"/>
      <c r="G17546" s="9"/>
      <c r="H17546" s="9"/>
      <c r="I17546" s="9"/>
      <c r="J17546" s="9"/>
      <c r="K17546" s="9"/>
      <c r="L17546" s="9"/>
      <c r="M17546" s="9"/>
      <c r="N17546" s="9"/>
      <c r="O17546" s="9"/>
      <c r="P17546" s="9"/>
      <c r="Q17546" s="9"/>
      <c r="R17546" s="9"/>
      <c r="S17546" s="9"/>
      <c r="T17546" s="9"/>
      <c r="U17546" s="9"/>
      <c r="V17546" s="9"/>
      <c r="W17546" s="9"/>
      <c r="X17546" s="9"/>
      <c r="Y17546" s="9"/>
      <c r="Z17546" s="9"/>
      <c r="AA17546" s="9"/>
      <c r="AB17546" s="9"/>
      <c r="AC17546" s="9"/>
      <c r="AG17546" s="10"/>
    </row>
    <row r="17547" spans="1:33">
      <c r="A17547" s="9"/>
      <c r="B17547" s="9"/>
      <c r="C17547" s="9"/>
      <c r="D17547" s="9"/>
      <c r="E17547" s="9"/>
      <c r="F17547" s="9"/>
      <c r="G17547" s="9"/>
      <c r="H17547" s="9"/>
      <c r="I17547" s="9"/>
      <c r="J17547" s="9"/>
      <c r="K17547" s="9"/>
      <c r="L17547" s="9"/>
      <c r="M17547" s="9"/>
      <c r="N17547" s="9"/>
      <c r="O17547" s="9"/>
      <c r="P17547" s="9"/>
      <c r="Q17547" s="9"/>
      <c r="R17547" s="9"/>
      <c r="S17547" s="9"/>
      <c r="T17547" s="9"/>
      <c r="U17547" s="9"/>
      <c r="V17547" s="9"/>
      <c r="W17547" s="9"/>
      <c r="X17547" s="9"/>
      <c r="Y17547" s="9"/>
      <c r="Z17547" s="9"/>
      <c r="AA17547" s="9"/>
      <c r="AB17547" s="9"/>
      <c r="AC17547" s="9"/>
      <c r="AG17547" s="10"/>
    </row>
    <row r="17548" spans="1:33">
      <c r="A17548" s="9"/>
      <c r="B17548" s="9"/>
      <c r="C17548" s="9"/>
      <c r="D17548" s="9"/>
      <c r="E17548" s="9"/>
      <c r="F17548" s="9"/>
      <c r="G17548" s="9"/>
      <c r="H17548" s="9"/>
      <c r="I17548" s="9"/>
      <c r="J17548" s="9"/>
      <c r="K17548" s="9"/>
      <c r="L17548" s="9"/>
      <c r="M17548" s="9"/>
      <c r="N17548" s="9"/>
      <c r="O17548" s="9"/>
      <c r="P17548" s="9"/>
      <c r="Q17548" s="9"/>
      <c r="R17548" s="9"/>
      <c r="S17548" s="9"/>
      <c r="T17548" s="9"/>
      <c r="U17548" s="9"/>
      <c r="V17548" s="9"/>
      <c r="W17548" s="9"/>
      <c r="X17548" s="9"/>
      <c r="Y17548" s="9"/>
      <c r="Z17548" s="9"/>
      <c r="AA17548" s="9"/>
      <c r="AB17548" s="9"/>
      <c r="AC17548" s="9"/>
      <c r="AG17548" s="10"/>
    </row>
    <row r="17549" spans="1:33">
      <c r="A17549" s="9"/>
      <c r="B17549" s="9"/>
      <c r="C17549" s="9"/>
      <c r="D17549" s="9"/>
      <c r="E17549" s="9"/>
      <c r="F17549" s="9"/>
      <c r="G17549" s="9"/>
      <c r="H17549" s="9"/>
      <c r="I17549" s="9"/>
      <c r="J17549" s="9"/>
      <c r="K17549" s="9"/>
      <c r="L17549" s="9"/>
      <c r="M17549" s="9"/>
      <c r="N17549" s="9"/>
      <c r="O17549" s="9"/>
      <c r="P17549" s="9"/>
      <c r="Q17549" s="9"/>
      <c r="R17549" s="9"/>
      <c r="S17549" s="9"/>
      <c r="T17549" s="9"/>
      <c r="U17549" s="9"/>
      <c r="V17549" s="9"/>
      <c r="W17549" s="9"/>
      <c r="X17549" s="9"/>
      <c r="Y17549" s="9"/>
      <c r="Z17549" s="9"/>
      <c r="AA17549" s="9"/>
      <c r="AB17549" s="9"/>
      <c r="AC17549" s="9"/>
      <c r="AG17549" s="10"/>
    </row>
    <row r="17550" spans="1:33">
      <c r="A17550" s="9"/>
      <c r="B17550" s="9"/>
      <c r="C17550" s="9"/>
      <c r="D17550" s="9"/>
      <c r="E17550" s="9"/>
      <c r="F17550" s="9"/>
      <c r="G17550" s="9"/>
      <c r="H17550" s="9"/>
      <c r="I17550" s="9"/>
      <c r="J17550" s="9"/>
      <c r="K17550" s="9"/>
      <c r="L17550" s="9"/>
      <c r="M17550" s="9"/>
      <c r="N17550" s="9"/>
      <c r="O17550" s="9"/>
      <c r="P17550" s="9"/>
      <c r="Q17550" s="9"/>
      <c r="R17550" s="9"/>
      <c r="S17550" s="9"/>
      <c r="T17550" s="9"/>
      <c r="U17550" s="9"/>
      <c r="V17550" s="9"/>
      <c r="W17550" s="9"/>
      <c r="X17550" s="9"/>
      <c r="Y17550" s="9"/>
      <c r="Z17550" s="9"/>
      <c r="AA17550" s="9"/>
      <c r="AB17550" s="9"/>
      <c r="AC17550" s="9"/>
      <c r="AG17550" s="10"/>
    </row>
    <row r="17551" spans="1:33">
      <c r="A17551" s="9"/>
      <c r="B17551" s="9"/>
      <c r="C17551" s="9"/>
      <c r="D17551" s="9"/>
      <c r="E17551" s="9"/>
      <c r="F17551" s="9"/>
      <c r="G17551" s="9"/>
      <c r="H17551" s="9"/>
      <c r="I17551" s="9"/>
      <c r="J17551" s="9"/>
      <c r="K17551" s="9"/>
      <c r="L17551" s="9"/>
      <c r="M17551" s="9"/>
      <c r="N17551" s="9"/>
      <c r="O17551" s="9"/>
      <c r="P17551" s="9"/>
      <c r="Q17551" s="9"/>
      <c r="R17551" s="9"/>
      <c r="S17551" s="9"/>
      <c r="T17551" s="9"/>
      <c r="U17551" s="9"/>
      <c r="V17551" s="9"/>
      <c r="W17551" s="9"/>
      <c r="X17551" s="9"/>
      <c r="Y17551" s="9"/>
      <c r="Z17551" s="9"/>
      <c r="AA17551" s="9"/>
      <c r="AB17551" s="9"/>
      <c r="AC17551" s="9"/>
      <c r="AG17551" s="10"/>
    </row>
    <row r="17552" spans="1:33">
      <c r="A17552" s="9"/>
      <c r="B17552" s="9"/>
      <c r="C17552" s="9"/>
      <c r="D17552" s="9"/>
      <c r="E17552" s="9"/>
      <c r="F17552" s="9"/>
      <c r="G17552" s="9"/>
      <c r="H17552" s="9"/>
      <c r="I17552" s="9"/>
      <c r="J17552" s="9"/>
      <c r="K17552" s="9"/>
      <c r="L17552" s="9"/>
      <c r="M17552" s="9"/>
      <c r="N17552" s="9"/>
      <c r="O17552" s="9"/>
      <c r="P17552" s="9"/>
      <c r="Q17552" s="9"/>
      <c r="R17552" s="9"/>
      <c r="S17552" s="9"/>
      <c r="T17552" s="9"/>
      <c r="U17552" s="9"/>
      <c r="V17552" s="9"/>
      <c r="W17552" s="9"/>
      <c r="X17552" s="9"/>
      <c r="Y17552" s="9"/>
      <c r="Z17552" s="9"/>
      <c r="AA17552" s="9"/>
      <c r="AB17552" s="9"/>
      <c r="AC17552" s="9"/>
      <c r="AG17552" s="10"/>
    </row>
    <row r="17553" spans="1:33">
      <c r="A17553" s="9"/>
      <c r="B17553" s="9"/>
      <c r="C17553" s="9"/>
      <c r="D17553" s="9"/>
      <c r="E17553" s="9"/>
      <c r="F17553" s="9"/>
      <c r="G17553" s="9"/>
      <c r="H17553" s="9"/>
      <c r="I17553" s="9"/>
      <c r="J17553" s="9"/>
      <c r="K17553" s="9"/>
      <c r="L17553" s="9"/>
      <c r="M17553" s="9"/>
      <c r="N17553" s="9"/>
      <c r="O17553" s="9"/>
      <c r="P17553" s="9"/>
      <c r="Q17553" s="9"/>
      <c r="R17553" s="9"/>
      <c r="S17553" s="9"/>
      <c r="T17553" s="9"/>
      <c r="U17553" s="9"/>
      <c r="V17553" s="9"/>
      <c r="W17553" s="9"/>
      <c r="X17553" s="9"/>
      <c r="Y17553" s="9"/>
      <c r="Z17553" s="9"/>
      <c r="AA17553" s="9"/>
      <c r="AB17553" s="9"/>
      <c r="AC17553" s="9"/>
      <c r="AG17553" s="10"/>
    </row>
    <row r="17554" spans="1:33">
      <c r="A17554" s="9"/>
      <c r="B17554" s="9"/>
      <c r="C17554" s="9"/>
      <c r="D17554" s="9"/>
      <c r="E17554" s="9"/>
      <c r="F17554" s="9"/>
      <c r="G17554" s="9"/>
      <c r="H17554" s="9"/>
      <c r="I17554" s="9"/>
      <c r="J17554" s="9"/>
      <c r="K17554" s="9"/>
      <c r="L17554" s="9"/>
      <c r="M17554" s="9"/>
      <c r="N17554" s="9"/>
      <c r="O17554" s="9"/>
      <c r="P17554" s="9"/>
      <c r="Q17554" s="9"/>
      <c r="R17554" s="9"/>
      <c r="S17554" s="9"/>
      <c r="T17554" s="9"/>
      <c r="U17554" s="9"/>
      <c r="V17554" s="9"/>
      <c r="W17554" s="9"/>
      <c r="X17554" s="9"/>
      <c r="Y17554" s="9"/>
      <c r="Z17554" s="9"/>
      <c r="AA17554" s="9"/>
      <c r="AB17554" s="9"/>
      <c r="AC17554" s="9"/>
      <c r="AG17554" s="10"/>
    </row>
    <row r="17555" spans="1:33">
      <c r="A17555" s="9"/>
      <c r="B17555" s="9"/>
      <c r="C17555" s="9"/>
      <c r="D17555" s="9"/>
      <c r="E17555" s="9"/>
      <c r="F17555" s="9"/>
      <c r="G17555" s="9"/>
      <c r="H17555" s="9"/>
      <c r="I17555" s="9"/>
      <c r="J17555" s="9"/>
      <c r="K17555" s="9"/>
      <c r="L17555" s="9"/>
      <c r="M17555" s="9"/>
      <c r="N17555" s="9"/>
      <c r="O17555" s="9"/>
      <c r="P17555" s="9"/>
      <c r="Q17555" s="9"/>
      <c r="R17555" s="9"/>
      <c r="S17555" s="9"/>
      <c r="T17555" s="9"/>
      <c r="U17555" s="9"/>
      <c r="V17555" s="9"/>
      <c r="W17555" s="9"/>
      <c r="X17555" s="9"/>
      <c r="Y17555" s="9"/>
      <c r="Z17555" s="9"/>
      <c r="AA17555" s="9"/>
      <c r="AB17555" s="9"/>
      <c r="AC17555" s="9"/>
      <c r="AG17555" s="10"/>
    </row>
    <row r="17556" spans="1:33">
      <c r="A17556" s="9"/>
      <c r="B17556" s="9"/>
      <c r="C17556" s="9"/>
      <c r="D17556" s="9"/>
      <c r="E17556" s="9"/>
      <c r="F17556" s="9"/>
      <c r="G17556" s="9"/>
      <c r="H17556" s="9"/>
      <c r="I17556" s="9"/>
      <c r="J17556" s="9"/>
      <c r="K17556" s="9"/>
      <c r="L17556" s="9"/>
      <c r="M17556" s="9"/>
      <c r="N17556" s="9"/>
      <c r="O17556" s="9"/>
      <c r="P17556" s="9"/>
      <c r="Q17556" s="9"/>
      <c r="R17556" s="9"/>
      <c r="S17556" s="9"/>
      <c r="T17556" s="9"/>
      <c r="U17556" s="9"/>
      <c r="V17556" s="9"/>
      <c r="W17556" s="9"/>
      <c r="X17556" s="9"/>
      <c r="Y17556" s="9"/>
      <c r="Z17556" s="9"/>
      <c r="AA17556" s="9"/>
      <c r="AB17556" s="9"/>
      <c r="AC17556" s="9"/>
      <c r="AG17556" s="10"/>
    </row>
    <row r="17557" spans="1:33">
      <c r="A17557" s="9"/>
      <c r="B17557" s="9"/>
      <c r="C17557" s="9"/>
      <c r="D17557" s="9"/>
      <c r="E17557" s="9"/>
      <c r="F17557" s="9"/>
      <c r="G17557" s="9"/>
      <c r="H17557" s="9"/>
      <c r="I17557" s="9"/>
      <c r="J17557" s="9"/>
      <c r="K17557" s="9"/>
      <c r="L17557" s="9"/>
      <c r="M17557" s="9"/>
      <c r="N17557" s="9"/>
      <c r="O17557" s="9"/>
      <c r="P17557" s="9"/>
      <c r="Q17557" s="9"/>
      <c r="R17557" s="9"/>
      <c r="S17557" s="9"/>
      <c r="T17557" s="9"/>
      <c r="U17557" s="9"/>
      <c r="V17557" s="9"/>
      <c r="W17557" s="9"/>
      <c r="X17557" s="9"/>
      <c r="Y17557" s="9"/>
      <c r="Z17557" s="9"/>
      <c r="AA17557" s="9"/>
      <c r="AB17557" s="9"/>
      <c r="AC17557" s="9"/>
      <c r="AG17557" s="10"/>
    </row>
    <row r="17558" spans="1:33">
      <c r="A17558" s="9"/>
      <c r="B17558" s="9"/>
      <c r="C17558" s="9"/>
      <c r="D17558" s="9"/>
      <c r="E17558" s="9"/>
      <c r="F17558" s="9"/>
      <c r="G17558" s="9"/>
      <c r="H17558" s="9"/>
      <c r="I17558" s="9"/>
      <c r="J17558" s="9"/>
      <c r="K17558" s="9"/>
      <c r="L17558" s="9"/>
      <c r="M17558" s="9"/>
      <c r="N17558" s="9"/>
      <c r="O17558" s="9"/>
      <c r="P17558" s="9"/>
      <c r="Q17558" s="9"/>
      <c r="R17558" s="9"/>
      <c r="S17558" s="9"/>
      <c r="T17558" s="9"/>
      <c r="U17558" s="9"/>
      <c r="V17558" s="9"/>
      <c r="W17558" s="9"/>
      <c r="X17558" s="9"/>
      <c r="Y17558" s="9"/>
      <c r="Z17558" s="9"/>
      <c r="AA17558" s="9"/>
      <c r="AB17558" s="9"/>
      <c r="AC17558" s="9"/>
      <c r="AG17558" s="10"/>
    </row>
    <row r="17559" spans="1:33">
      <c r="A17559" s="9"/>
      <c r="B17559" s="9"/>
      <c r="C17559" s="9"/>
      <c r="D17559" s="9"/>
      <c r="E17559" s="9"/>
      <c r="F17559" s="9"/>
      <c r="G17559" s="9"/>
      <c r="H17559" s="9"/>
      <c r="I17559" s="9"/>
      <c r="J17559" s="9"/>
      <c r="K17559" s="9"/>
      <c r="L17559" s="9"/>
      <c r="M17559" s="9"/>
      <c r="N17559" s="9"/>
      <c r="O17559" s="9"/>
      <c r="P17559" s="9"/>
      <c r="Q17559" s="9"/>
      <c r="R17559" s="9"/>
      <c r="S17559" s="9"/>
      <c r="T17559" s="9"/>
      <c r="U17559" s="9"/>
      <c r="V17559" s="9"/>
      <c r="W17559" s="9"/>
      <c r="X17559" s="9"/>
      <c r="Y17559" s="9"/>
      <c r="Z17559" s="9"/>
      <c r="AA17559" s="9"/>
      <c r="AB17559" s="9"/>
      <c r="AC17559" s="9"/>
      <c r="AG17559" s="10"/>
    </row>
    <row r="17560" spans="1:33">
      <c r="A17560" s="9"/>
      <c r="B17560" s="9"/>
      <c r="C17560" s="9"/>
      <c r="D17560" s="9"/>
      <c r="E17560" s="9"/>
      <c r="F17560" s="9"/>
      <c r="G17560" s="9"/>
      <c r="H17560" s="9"/>
      <c r="I17560" s="9"/>
      <c r="J17560" s="9"/>
      <c r="K17560" s="9"/>
      <c r="L17560" s="9"/>
      <c r="M17560" s="9"/>
      <c r="N17560" s="9"/>
      <c r="O17560" s="9"/>
      <c r="P17560" s="9"/>
      <c r="Q17560" s="9"/>
      <c r="R17560" s="9"/>
      <c r="S17560" s="9"/>
      <c r="T17560" s="9"/>
      <c r="U17560" s="9"/>
      <c r="V17560" s="9"/>
      <c r="W17560" s="9"/>
      <c r="X17560" s="9"/>
      <c r="Y17560" s="9"/>
      <c r="Z17560" s="9"/>
      <c r="AA17560" s="9"/>
      <c r="AB17560" s="9"/>
      <c r="AC17560" s="9"/>
      <c r="AG17560" s="10"/>
    </row>
    <row r="17561" spans="1:33">
      <c r="A17561" s="9"/>
      <c r="B17561" s="9"/>
      <c r="C17561" s="9"/>
      <c r="D17561" s="9"/>
      <c r="E17561" s="9"/>
      <c r="F17561" s="9"/>
      <c r="G17561" s="9"/>
      <c r="H17561" s="9"/>
      <c r="I17561" s="9"/>
      <c r="J17561" s="9"/>
      <c r="K17561" s="9"/>
      <c r="L17561" s="9"/>
      <c r="M17561" s="9"/>
      <c r="N17561" s="9"/>
      <c r="O17561" s="9"/>
      <c r="P17561" s="9"/>
      <c r="Q17561" s="9"/>
      <c r="R17561" s="9"/>
      <c r="S17561" s="9"/>
      <c r="T17561" s="9"/>
      <c r="U17561" s="9"/>
      <c r="V17561" s="9"/>
      <c r="W17561" s="9"/>
      <c r="X17561" s="9"/>
      <c r="Y17561" s="9"/>
      <c r="Z17561" s="9"/>
      <c r="AA17561" s="9"/>
      <c r="AB17561" s="9"/>
      <c r="AC17561" s="9"/>
      <c r="AG17561" s="10"/>
    </row>
    <row r="17562" spans="1:33">
      <c r="A17562" s="9"/>
      <c r="B17562" s="9"/>
      <c r="C17562" s="9"/>
      <c r="D17562" s="9"/>
      <c r="E17562" s="9"/>
      <c r="F17562" s="9"/>
      <c r="G17562" s="9"/>
      <c r="H17562" s="9"/>
      <c r="I17562" s="9"/>
      <c r="J17562" s="9"/>
      <c r="K17562" s="9"/>
      <c r="L17562" s="9"/>
      <c r="M17562" s="9"/>
      <c r="N17562" s="9"/>
      <c r="O17562" s="9"/>
      <c r="P17562" s="9"/>
      <c r="Q17562" s="9"/>
      <c r="R17562" s="9"/>
      <c r="S17562" s="9"/>
      <c r="T17562" s="9"/>
      <c r="U17562" s="9"/>
      <c r="V17562" s="9"/>
      <c r="W17562" s="9"/>
      <c r="X17562" s="9"/>
      <c r="Y17562" s="9"/>
      <c r="Z17562" s="9"/>
      <c r="AA17562" s="9"/>
      <c r="AB17562" s="9"/>
      <c r="AC17562" s="9"/>
      <c r="AG17562" s="10"/>
    </row>
    <row r="17563" spans="1:33">
      <c r="A17563" s="9"/>
      <c r="B17563" s="9"/>
      <c r="C17563" s="9"/>
      <c r="D17563" s="9"/>
      <c r="E17563" s="9"/>
      <c r="F17563" s="9"/>
      <c r="G17563" s="9"/>
      <c r="H17563" s="9"/>
      <c r="I17563" s="9"/>
      <c r="J17563" s="9"/>
      <c r="K17563" s="9"/>
      <c r="L17563" s="9"/>
      <c r="M17563" s="9"/>
      <c r="N17563" s="9"/>
      <c r="O17563" s="9"/>
      <c r="P17563" s="9"/>
      <c r="Q17563" s="9"/>
      <c r="R17563" s="9"/>
      <c r="S17563" s="9"/>
      <c r="T17563" s="9"/>
      <c r="U17563" s="9"/>
      <c r="V17563" s="9"/>
      <c r="W17563" s="9"/>
      <c r="X17563" s="9"/>
      <c r="Y17563" s="9"/>
      <c r="Z17563" s="9"/>
      <c r="AA17563" s="9"/>
      <c r="AB17563" s="9"/>
      <c r="AC17563" s="9"/>
      <c r="AG17563" s="10"/>
    </row>
    <row r="17564" spans="1:33">
      <c r="A17564" s="9"/>
      <c r="B17564" s="9"/>
      <c r="C17564" s="9"/>
      <c r="D17564" s="9"/>
      <c r="E17564" s="9"/>
      <c r="F17564" s="9"/>
      <c r="G17564" s="9"/>
      <c r="H17564" s="9"/>
      <c r="I17564" s="9"/>
      <c r="J17564" s="9"/>
      <c r="K17564" s="9"/>
      <c r="L17564" s="9"/>
      <c r="M17564" s="9"/>
      <c r="N17564" s="9"/>
      <c r="O17564" s="9"/>
      <c r="P17564" s="9"/>
      <c r="Q17564" s="9"/>
      <c r="R17564" s="9"/>
      <c r="S17564" s="9"/>
      <c r="T17564" s="9"/>
      <c r="U17564" s="9"/>
      <c r="V17564" s="9"/>
      <c r="W17564" s="9"/>
      <c r="X17564" s="9"/>
      <c r="Y17564" s="9"/>
      <c r="Z17564" s="9"/>
      <c r="AA17564" s="9"/>
      <c r="AB17564" s="9"/>
      <c r="AC17564" s="9"/>
      <c r="AG17564" s="10"/>
    </row>
    <row r="17565" spans="1:33">
      <c r="A17565" s="9"/>
      <c r="B17565" s="9"/>
      <c r="C17565" s="9"/>
      <c r="D17565" s="9"/>
      <c r="E17565" s="9"/>
      <c r="F17565" s="9"/>
      <c r="G17565" s="9"/>
      <c r="H17565" s="9"/>
      <c r="I17565" s="9"/>
      <c r="J17565" s="9"/>
      <c r="K17565" s="9"/>
      <c r="L17565" s="9"/>
      <c r="M17565" s="9"/>
      <c r="N17565" s="9"/>
      <c r="O17565" s="9"/>
      <c r="P17565" s="9"/>
      <c r="Q17565" s="9"/>
      <c r="R17565" s="9"/>
      <c r="S17565" s="9"/>
      <c r="T17565" s="9"/>
      <c r="U17565" s="9"/>
      <c r="V17565" s="9"/>
      <c r="W17565" s="9"/>
      <c r="X17565" s="9"/>
      <c r="Y17565" s="9"/>
      <c r="Z17565" s="9"/>
      <c r="AA17565" s="9"/>
      <c r="AB17565" s="9"/>
      <c r="AC17565" s="9"/>
      <c r="AG17565" s="10"/>
    </row>
    <row r="17566" spans="1:33">
      <c r="A17566" s="9"/>
      <c r="B17566" s="9"/>
      <c r="C17566" s="9"/>
      <c r="D17566" s="9"/>
      <c r="E17566" s="9"/>
      <c r="F17566" s="9"/>
      <c r="G17566" s="9"/>
      <c r="H17566" s="9"/>
      <c r="I17566" s="9"/>
      <c r="J17566" s="9"/>
      <c r="K17566" s="9"/>
      <c r="L17566" s="9"/>
      <c r="M17566" s="9"/>
      <c r="N17566" s="9"/>
      <c r="O17566" s="9"/>
      <c r="P17566" s="9"/>
      <c r="Q17566" s="9"/>
      <c r="R17566" s="9"/>
      <c r="S17566" s="9"/>
      <c r="T17566" s="9"/>
      <c r="U17566" s="9"/>
      <c r="V17566" s="9"/>
      <c r="W17566" s="9"/>
      <c r="X17566" s="9"/>
      <c r="Y17566" s="9"/>
      <c r="Z17566" s="9"/>
      <c r="AA17566" s="9"/>
      <c r="AB17566" s="9"/>
      <c r="AC17566" s="9"/>
      <c r="AG17566" s="10"/>
    </row>
    <row r="17567" spans="1:33">
      <c r="A17567" s="9"/>
      <c r="B17567" s="9"/>
      <c r="C17567" s="9"/>
      <c r="D17567" s="9"/>
      <c r="E17567" s="9"/>
      <c r="F17567" s="9"/>
      <c r="G17567" s="9"/>
      <c r="H17567" s="9"/>
      <c r="I17567" s="9"/>
      <c r="J17567" s="9"/>
      <c r="K17567" s="9"/>
      <c r="L17567" s="9"/>
      <c r="M17567" s="9"/>
      <c r="N17567" s="9"/>
      <c r="O17567" s="9"/>
      <c r="P17567" s="9"/>
      <c r="Q17567" s="9"/>
      <c r="R17567" s="9"/>
      <c r="S17567" s="9"/>
      <c r="T17567" s="9"/>
      <c r="U17567" s="9"/>
      <c r="V17567" s="9"/>
      <c r="W17567" s="9"/>
      <c r="X17567" s="9"/>
      <c r="Y17567" s="9"/>
      <c r="Z17567" s="9"/>
      <c r="AA17567" s="9"/>
      <c r="AB17567" s="9"/>
      <c r="AC17567" s="9"/>
      <c r="AG17567" s="10"/>
    </row>
    <row r="17568" spans="1:33">
      <c r="A17568" s="9"/>
      <c r="B17568" s="9"/>
      <c r="C17568" s="9"/>
      <c r="D17568" s="9"/>
      <c r="E17568" s="9"/>
      <c r="F17568" s="9"/>
      <c r="G17568" s="9"/>
      <c r="H17568" s="9"/>
      <c r="I17568" s="9"/>
      <c r="J17568" s="9"/>
      <c r="K17568" s="9"/>
      <c r="L17568" s="9"/>
      <c r="M17568" s="9"/>
      <c r="N17568" s="9"/>
      <c r="O17568" s="9"/>
      <c r="P17568" s="9"/>
      <c r="Q17568" s="9"/>
      <c r="R17568" s="9"/>
      <c r="S17568" s="9"/>
      <c r="T17568" s="9"/>
      <c r="U17568" s="9"/>
      <c r="V17568" s="9"/>
      <c r="W17568" s="9"/>
      <c r="X17568" s="9"/>
      <c r="Y17568" s="9"/>
      <c r="Z17568" s="9"/>
      <c r="AA17568" s="9"/>
      <c r="AB17568" s="9"/>
      <c r="AC17568" s="9"/>
      <c r="AG17568" s="10"/>
    </row>
    <row r="17569" spans="1:33">
      <c r="A17569" s="9"/>
      <c r="B17569" s="9"/>
      <c r="C17569" s="9"/>
      <c r="D17569" s="9"/>
      <c r="E17569" s="9"/>
      <c r="F17569" s="9"/>
      <c r="G17569" s="9"/>
      <c r="H17569" s="9"/>
      <c r="I17569" s="9"/>
      <c r="J17569" s="9"/>
      <c r="K17569" s="9"/>
      <c r="L17569" s="9"/>
      <c r="M17569" s="9"/>
      <c r="N17569" s="9"/>
      <c r="O17569" s="9"/>
      <c r="P17569" s="9"/>
      <c r="Q17569" s="9"/>
      <c r="R17569" s="9"/>
      <c r="S17569" s="9"/>
      <c r="T17569" s="9"/>
      <c r="U17569" s="9"/>
      <c r="V17569" s="9"/>
      <c r="W17569" s="9"/>
      <c r="X17569" s="9"/>
      <c r="Y17569" s="9"/>
      <c r="Z17569" s="9"/>
      <c r="AA17569" s="9"/>
      <c r="AB17569" s="9"/>
      <c r="AC17569" s="9"/>
      <c r="AG17569" s="10"/>
    </row>
    <row r="17570" spans="1:33">
      <c r="A17570" s="9"/>
      <c r="B17570" s="9"/>
      <c r="C17570" s="9"/>
      <c r="D17570" s="9"/>
      <c r="E17570" s="9"/>
      <c r="F17570" s="9"/>
      <c r="G17570" s="9"/>
      <c r="H17570" s="9"/>
      <c r="I17570" s="9"/>
      <c r="J17570" s="9"/>
      <c r="K17570" s="9"/>
      <c r="L17570" s="9"/>
      <c r="M17570" s="9"/>
      <c r="N17570" s="9"/>
      <c r="O17570" s="9"/>
      <c r="P17570" s="9"/>
      <c r="Q17570" s="9"/>
      <c r="R17570" s="9"/>
      <c r="S17570" s="9"/>
      <c r="T17570" s="9"/>
      <c r="U17570" s="9"/>
      <c r="V17570" s="9"/>
      <c r="W17570" s="9"/>
      <c r="X17570" s="9"/>
      <c r="Y17570" s="9"/>
      <c r="Z17570" s="9"/>
      <c r="AA17570" s="9"/>
      <c r="AB17570" s="9"/>
      <c r="AC17570" s="9"/>
      <c r="AG17570" s="10"/>
    </row>
    <row r="17571" spans="1:33">
      <c r="A17571" s="9"/>
      <c r="B17571" s="9"/>
      <c r="C17571" s="9"/>
      <c r="D17571" s="9"/>
      <c r="E17571" s="9"/>
      <c r="F17571" s="9"/>
      <c r="G17571" s="9"/>
      <c r="H17571" s="9"/>
      <c r="I17571" s="9"/>
      <c r="J17571" s="9"/>
      <c r="K17571" s="9"/>
      <c r="L17571" s="9"/>
      <c r="M17571" s="9"/>
      <c r="N17571" s="9"/>
      <c r="O17571" s="9"/>
      <c r="P17571" s="9"/>
      <c r="Q17571" s="9"/>
      <c r="R17571" s="9"/>
      <c r="S17571" s="9"/>
      <c r="T17571" s="9"/>
      <c r="U17571" s="9"/>
      <c r="V17571" s="9"/>
      <c r="W17571" s="9"/>
      <c r="X17571" s="9"/>
      <c r="Y17571" s="9"/>
      <c r="Z17571" s="9"/>
      <c r="AA17571" s="9"/>
      <c r="AB17571" s="9"/>
      <c r="AC17571" s="9"/>
      <c r="AG17571" s="10"/>
    </row>
    <row r="17572" spans="1:33">
      <c r="A17572" s="9"/>
      <c r="B17572" s="9"/>
      <c r="C17572" s="9"/>
      <c r="D17572" s="9"/>
      <c r="E17572" s="9"/>
      <c r="F17572" s="9"/>
      <c r="G17572" s="9"/>
      <c r="H17572" s="9"/>
      <c r="I17572" s="9"/>
      <c r="J17572" s="9"/>
      <c r="K17572" s="9"/>
      <c r="L17572" s="9"/>
      <c r="M17572" s="9"/>
      <c r="N17572" s="9"/>
      <c r="O17572" s="9"/>
      <c r="P17572" s="9"/>
      <c r="Q17572" s="9"/>
      <c r="R17572" s="9"/>
      <c r="S17572" s="9"/>
      <c r="T17572" s="9"/>
      <c r="U17572" s="9"/>
      <c r="V17572" s="9"/>
      <c r="W17572" s="9"/>
      <c r="X17572" s="9"/>
      <c r="Y17572" s="9"/>
      <c r="Z17572" s="9"/>
      <c r="AA17572" s="9"/>
      <c r="AB17572" s="9"/>
      <c r="AC17572" s="9"/>
      <c r="AG17572" s="10"/>
    </row>
    <row r="17573" spans="1:33">
      <c r="A17573" s="9"/>
      <c r="B17573" s="9"/>
      <c r="C17573" s="9"/>
      <c r="D17573" s="9"/>
      <c r="E17573" s="9"/>
      <c r="F17573" s="9"/>
      <c r="G17573" s="9"/>
      <c r="H17573" s="9"/>
      <c r="I17573" s="9"/>
      <c r="J17573" s="9"/>
      <c r="K17573" s="9"/>
      <c r="L17573" s="9"/>
      <c r="M17573" s="9"/>
      <c r="N17573" s="9"/>
      <c r="O17573" s="9"/>
      <c r="P17573" s="9"/>
      <c r="Q17573" s="9"/>
      <c r="R17573" s="9"/>
      <c r="S17573" s="9"/>
      <c r="T17573" s="9"/>
      <c r="U17573" s="9"/>
      <c r="V17573" s="9"/>
      <c r="W17573" s="9"/>
      <c r="X17573" s="9"/>
      <c r="Y17573" s="9"/>
      <c r="Z17573" s="9"/>
      <c r="AA17573" s="9"/>
      <c r="AB17573" s="9"/>
      <c r="AC17573" s="9"/>
      <c r="AG17573" s="10"/>
    </row>
    <row r="17574" spans="1:33">
      <c r="A17574" s="9"/>
      <c r="B17574" s="9"/>
      <c r="C17574" s="9"/>
      <c r="D17574" s="9"/>
      <c r="E17574" s="9"/>
      <c r="F17574" s="9"/>
      <c r="G17574" s="9"/>
      <c r="H17574" s="9"/>
      <c r="I17574" s="9"/>
      <c r="J17574" s="9"/>
      <c r="K17574" s="9"/>
      <c r="L17574" s="9"/>
      <c r="M17574" s="9"/>
      <c r="N17574" s="9"/>
      <c r="O17574" s="9"/>
      <c r="P17574" s="9"/>
      <c r="Q17574" s="9"/>
      <c r="R17574" s="9"/>
      <c r="S17574" s="9"/>
      <c r="T17574" s="9"/>
      <c r="U17574" s="9"/>
      <c r="V17574" s="9"/>
      <c r="W17574" s="9"/>
      <c r="X17574" s="9"/>
      <c r="Y17574" s="9"/>
      <c r="Z17574" s="9"/>
      <c r="AA17574" s="9"/>
      <c r="AB17574" s="9"/>
      <c r="AC17574" s="9"/>
      <c r="AG17574" s="10"/>
    </row>
    <row r="17575" spans="1:33">
      <c r="A17575" s="9"/>
      <c r="B17575" s="9"/>
      <c r="C17575" s="9"/>
      <c r="D17575" s="9"/>
      <c r="E17575" s="9"/>
      <c r="F17575" s="9"/>
      <c r="G17575" s="9"/>
      <c r="H17575" s="9"/>
      <c r="I17575" s="9"/>
      <c r="J17575" s="9"/>
      <c r="K17575" s="9"/>
      <c r="L17575" s="9"/>
      <c r="M17575" s="9"/>
      <c r="N17575" s="9"/>
      <c r="O17575" s="9"/>
      <c r="P17575" s="9"/>
      <c r="Q17575" s="9"/>
      <c r="R17575" s="9"/>
      <c r="S17575" s="9"/>
      <c r="T17575" s="9"/>
      <c r="U17575" s="9"/>
      <c r="V17575" s="9"/>
      <c r="W17575" s="9"/>
      <c r="X17575" s="9"/>
      <c r="Y17575" s="9"/>
      <c r="Z17575" s="9"/>
      <c r="AA17575" s="9"/>
      <c r="AB17575" s="9"/>
      <c r="AC17575" s="9"/>
      <c r="AG17575" s="10"/>
    </row>
    <row r="17576" spans="1:33">
      <c r="A17576" s="9"/>
      <c r="B17576" s="9"/>
      <c r="C17576" s="9"/>
      <c r="D17576" s="9"/>
      <c r="E17576" s="9"/>
      <c r="F17576" s="9"/>
      <c r="G17576" s="9"/>
      <c r="H17576" s="9"/>
      <c r="I17576" s="9"/>
      <c r="J17576" s="9"/>
      <c r="K17576" s="9"/>
      <c r="L17576" s="9"/>
      <c r="M17576" s="9"/>
      <c r="N17576" s="9"/>
      <c r="O17576" s="9"/>
      <c r="P17576" s="9"/>
      <c r="Q17576" s="9"/>
      <c r="R17576" s="9"/>
      <c r="S17576" s="9"/>
      <c r="T17576" s="9"/>
      <c r="U17576" s="9"/>
      <c r="V17576" s="9"/>
      <c r="W17576" s="9"/>
      <c r="X17576" s="9"/>
      <c r="Y17576" s="9"/>
      <c r="Z17576" s="9"/>
      <c r="AA17576" s="9"/>
      <c r="AB17576" s="9"/>
      <c r="AC17576" s="9"/>
      <c r="AG17576" s="10"/>
    </row>
    <row r="17577" spans="1:33">
      <c r="A17577" s="9"/>
      <c r="B17577" s="9"/>
      <c r="C17577" s="9"/>
      <c r="D17577" s="9"/>
      <c r="E17577" s="9"/>
      <c r="F17577" s="9"/>
      <c r="G17577" s="9"/>
      <c r="H17577" s="9"/>
      <c r="I17577" s="9"/>
      <c r="J17577" s="9"/>
      <c r="K17577" s="9"/>
      <c r="L17577" s="9"/>
      <c r="M17577" s="9"/>
      <c r="N17577" s="9"/>
      <c r="O17577" s="9"/>
      <c r="P17577" s="9"/>
      <c r="Q17577" s="9"/>
      <c r="R17577" s="9"/>
      <c r="S17577" s="9"/>
      <c r="T17577" s="9"/>
      <c r="U17577" s="9"/>
      <c r="V17577" s="9"/>
      <c r="W17577" s="9"/>
      <c r="X17577" s="9"/>
      <c r="Y17577" s="9"/>
      <c r="Z17577" s="9"/>
      <c r="AA17577" s="9"/>
      <c r="AB17577" s="9"/>
      <c r="AC17577" s="9"/>
      <c r="AG17577" s="10"/>
    </row>
    <row r="17578" spans="1:33">
      <c r="A17578" s="9"/>
      <c r="B17578" s="9"/>
      <c r="C17578" s="9"/>
      <c r="D17578" s="9"/>
      <c r="E17578" s="9"/>
      <c r="F17578" s="9"/>
      <c r="G17578" s="9"/>
      <c r="H17578" s="9"/>
      <c r="I17578" s="9"/>
      <c r="J17578" s="9"/>
      <c r="K17578" s="9"/>
      <c r="L17578" s="9"/>
      <c r="M17578" s="9"/>
      <c r="N17578" s="9"/>
      <c r="O17578" s="9"/>
      <c r="P17578" s="9"/>
      <c r="Q17578" s="9"/>
      <c r="R17578" s="9"/>
      <c r="S17578" s="9"/>
      <c r="T17578" s="9"/>
      <c r="U17578" s="9"/>
      <c r="V17578" s="9"/>
      <c r="W17578" s="9"/>
      <c r="X17578" s="9"/>
      <c r="Y17578" s="9"/>
      <c r="Z17578" s="9"/>
      <c r="AA17578" s="9"/>
      <c r="AB17578" s="9"/>
      <c r="AC17578" s="9"/>
      <c r="AG17578" s="10"/>
    </row>
    <row r="17579" spans="1:33">
      <c r="A17579" s="9"/>
      <c r="B17579" s="9"/>
      <c r="C17579" s="9"/>
      <c r="D17579" s="9"/>
      <c r="E17579" s="9"/>
      <c r="F17579" s="9"/>
      <c r="G17579" s="9"/>
      <c r="H17579" s="9"/>
      <c r="I17579" s="9"/>
      <c r="J17579" s="9"/>
      <c r="K17579" s="9"/>
      <c r="L17579" s="9"/>
      <c r="M17579" s="9"/>
      <c r="N17579" s="9"/>
      <c r="O17579" s="9"/>
      <c r="P17579" s="9"/>
      <c r="Q17579" s="9"/>
      <c r="R17579" s="9"/>
      <c r="S17579" s="9"/>
      <c r="T17579" s="9"/>
      <c r="U17579" s="9"/>
      <c r="V17579" s="9"/>
      <c r="W17579" s="9"/>
      <c r="X17579" s="9"/>
      <c r="Y17579" s="9"/>
      <c r="Z17579" s="9"/>
      <c r="AA17579" s="9"/>
      <c r="AB17579" s="9"/>
      <c r="AC17579" s="9"/>
      <c r="AG17579" s="10"/>
    </row>
    <row r="17580" spans="1:33">
      <c r="A17580" s="9"/>
      <c r="B17580" s="9"/>
      <c r="C17580" s="9"/>
      <c r="D17580" s="9"/>
      <c r="E17580" s="9"/>
      <c r="F17580" s="9"/>
      <c r="G17580" s="9"/>
      <c r="H17580" s="9"/>
      <c r="I17580" s="9"/>
      <c r="J17580" s="9"/>
      <c r="K17580" s="9"/>
      <c r="L17580" s="9"/>
      <c r="M17580" s="9"/>
      <c r="N17580" s="9"/>
      <c r="O17580" s="9"/>
      <c r="P17580" s="9"/>
      <c r="Q17580" s="9"/>
      <c r="R17580" s="9"/>
      <c r="S17580" s="9"/>
      <c r="T17580" s="9"/>
      <c r="U17580" s="9"/>
      <c r="V17580" s="9"/>
      <c r="W17580" s="9"/>
      <c r="X17580" s="9"/>
      <c r="Y17580" s="9"/>
      <c r="Z17580" s="9"/>
      <c r="AA17580" s="9"/>
      <c r="AB17580" s="9"/>
      <c r="AC17580" s="9"/>
      <c r="AG17580" s="10"/>
    </row>
    <row r="17581" spans="1:33">
      <c r="A17581" s="9"/>
      <c r="B17581" s="9"/>
      <c r="C17581" s="9"/>
      <c r="D17581" s="9"/>
      <c r="E17581" s="9"/>
      <c r="F17581" s="9"/>
      <c r="G17581" s="9"/>
      <c r="H17581" s="9"/>
      <c r="I17581" s="9"/>
      <c r="J17581" s="9"/>
      <c r="K17581" s="9"/>
      <c r="L17581" s="9"/>
      <c r="M17581" s="9"/>
      <c r="N17581" s="9"/>
      <c r="O17581" s="9"/>
      <c r="P17581" s="9"/>
      <c r="Q17581" s="9"/>
      <c r="R17581" s="9"/>
      <c r="S17581" s="9"/>
      <c r="T17581" s="9"/>
      <c r="U17581" s="9"/>
      <c r="V17581" s="9"/>
      <c r="W17581" s="9"/>
      <c r="X17581" s="9"/>
      <c r="Y17581" s="9"/>
      <c r="Z17581" s="9"/>
      <c r="AA17581" s="9"/>
      <c r="AB17581" s="9"/>
      <c r="AC17581" s="9"/>
      <c r="AG17581" s="10"/>
    </row>
    <row r="17582" spans="1:33">
      <c r="A17582" s="9"/>
      <c r="B17582" s="9"/>
      <c r="C17582" s="9"/>
      <c r="D17582" s="9"/>
      <c r="E17582" s="9"/>
      <c r="F17582" s="9"/>
      <c r="G17582" s="9"/>
      <c r="H17582" s="9"/>
      <c r="I17582" s="9"/>
      <c r="J17582" s="9"/>
      <c r="K17582" s="9"/>
      <c r="L17582" s="9"/>
      <c r="M17582" s="9"/>
      <c r="N17582" s="9"/>
      <c r="O17582" s="9"/>
      <c r="P17582" s="9"/>
      <c r="Q17582" s="9"/>
      <c r="R17582" s="9"/>
      <c r="S17582" s="9"/>
      <c r="T17582" s="9"/>
      <c r="U17582" s="9"/>
      <c r="V17582" s="9"/>
      <c r="W17582" s="9"/>
      <c r="X17582" s="9"/>
      <c r="Y17582" s="9"/>
      <c r="Z17582" s="9"/>
      <c r="AA17582" s="9"/>
      <c r="AB17582" s="9"/>
      <c r="AC17582" s="9"/>
      <c r="AG17582" s="10"/>
    </row>
    <row r="17583" spans="1:33">
      <c r="A17583" s="9"/>
      <c r="B17583" s="9"/>
      <c r="C17583" s="9"/>
      <c r="D17583" s="9"/>
      <c r="E17583" s="9"/>
      <c r="F17583" s="9"/>
      <c r="G17583" s="9"/>
      <c r="H17583" s="9"/>
      <c r="I17583" s="9"/>
      <c r="J17583" s="9"/>
      <c r="K17583" s="9"/>
      <c r="L17583" s="9"/>
      <c r="M17583" s="9"/>
      <c r="N17583" s="9"/>
      <c r="O17583" s="9"/>
      <c r="P17583" s="9"/>
      <c r="Q17583" s="9"/>
      <c r="R17583" s="9"/>
      <c r="S17583" s="9"/>
      <c r="T17583" s="9"/>
      <c r="U17583" s="9"/>
      <c r="V17583" s="9"/>
      <c r="W17583" s="9"/>
      <c r="X17583" s="9"/>
      <c r="Y17583" s="9"/>
      <c r="Z17583" s="9"/>
      <c r="AA17583" s="9"/>
      <c r="AB17583" s="9"/>
      <c r="AC17583" s="9"/>
      <c r="AG17583" s="10"/>
    </row>
    <row r="17584" spans="1:33">
      <c r="A17584" s="9"/>
      <c r="B17584" s="9"/>
      <c r="C17584" s="9"/>
      <c r="D17584" s="9"/>
      <c r="E17584" s="9"/>
      <c r="F17584" s="9"/>
      <c r="G17584" s="9"/>
      <c r="H17584" s="9"/>
      <c r="I17584" s="9"/>
      <c r="J17584" s="9"/>
      <c r="K17584" s="9"/>
      <c r="L17584" s="9"/>
      <c r="M17584" s="9"/>
      <c r="N17584" s="9"/>
      <c r="O17584" s="9"/>
      <c r="P17584" s="9"/>
      <c r="Q17584" s="9"/>
      <c r="R17584" s="9"/>
      <c r="S17584" s="9"/>
      <c r="T17584" s="9"/>
      <c r="U17584" s="9"/>
      <c r="V17584" s="9"/>
      <c r="W17584" s="9"/>
      <c r="X17584" s="9"/>
      <c r="Y17584" s="9"/>
      <c r="Z17584" s="9"/>
      <c r="AA17584" s="9"/>
      <c r="AB17584" s="9"/>
      <c r="AC17584" s="9"/>
      <c r="AG17584" s="10"/>
    </row>
    <row r="17585" spans="1:33">
      <c r="A17585" s="9"/>
      <c r="B17585" s="9"/>
      <c r="C17585" s="9"/>
      <c r="D17585" s="9"/>
      <c r="E17585" s="9"/>
      <c r="F17585" s="9"/>
      <c r="G17585" s="9"/>
      <c r="H17585" s="9"/>
      <c r="I17585" s="9"/>
      <c r="J17585" s="9"/>
      <c r="K17585" s="9"/>
      <c r="L17585" s="9"/>
      <c r="M17585" s="9"/>
      <c r="N17585" s="9"/>
      <c r="O17585" s="9"/>
      <c r="P17585" s="9"/>
      <c r="Q17585" s="9"/>
      <c r="R17585" s="9"/>
      <c r="S17585" s="9"/>
      <c r="T17585" s="9"/>
      <c r="U17585" s="9"/>
      <c r="V17585" s="9"/>
      <c r="W17585" s="9"/>
      <c r="X17585" s="9"/>
      <c r="Y17585" s="9"/>
      <c r="Z17585" s="9"/>
      <c r="AA17585" s="9"/>
      <c r="AB17585" s="9"/>
      <c r="AC17585" s="9"/>
      <c r="AG17585" s="10"/>
    </row>
    <row r="17586" spans="1:33">
      <c r="A17586" s="9"/>
      <c r="B17586" s="9"/>
      <c r="C17586" s="9"/>
      <c r="D17586" s="9"/>
      <c r="E17586" s="9"/>
      <c r="F17586" s="9"/>
      <c r="G17586" s="9"/>
      <c r="H17586" s="9"/>
      <c r="I17586" s="9"/>
      <c r="J17586" s="9"/>
      <c r="K17586" s="9"/>
      <c r="L17586" s="9"/>
      <c r="M17586" s="9"/>
      <c r="N17586" s="9"/>
      <c r="O17586" s="9"/>
      <c r="P17586" s="9"/>
      <c r="Q17586" s="9"/>
      <c r="R17586" s="9"/>
      <c r="S17586" s="9"/>
      <c r="T17586" s="9"/>
      <c r="U17586" s="9"/>
      <c r="V17586" s="9"/>
      <c r="W17586" s="9"/>
      <c r="X17586" s="9"/>
      <c r="Y17586" s="9"/>
      <c r="Z17586" s="9"/>
      <c r="AA17586" s="9"/>
      <c r="AB17586" s="9"/>
      <c r="AC17586" s="9"/>
      <c r="AG17586" s="10"/>
    </row>
    <row r="17587" spans="1:33">
      <c r="A17587" s="9"/>
      <c r="B17587" s="9"/>
      <c r="C17587" s="9"/>
      <c r="D17587" s="9"/>
      <c r="E17587" s="9"/>
      <c r="F17587" s="9"/>
      <c r="G17587" s="9"/>
      <c r="H17587" s="9"/>
      <c r="I17587" s="9"/>
      <c r="J17587" s="9"/>
      <c r="K17587" s="9"/>
      <c r="L17587" s="9"/>
      <c r="M17587" s="9"/>
      <c r="N17587" s="9"/>
      <c r="O17587" s="9"/>
      <c r="P17587" s="9"/>
      <c r="Q17587" s="9"/>
      <c r="R17587" s="9"/>
      <c r="S17587" s="9"/>
      <c r="T17587" s="9"/>
      <c r="U17587" s="9"/>
      <c r="V17587" s="9"/>
      <c r="W17587" s="9"/>
      <c r="X17587" s="9"/>
      <c r="Y17587" s="9"/>
      <c r="Z17587" s="9"/>
      <c r="AA17587" s="9"/>
      <c r="AB17587" s="9"/>
      <c r="AC17587" s="9"/>
      <c r="AG17587" s="10"/>
    </row>
    <row r="17588" spans="1:33">
      <c r="A17588" s="9"/>
      <c r="B17588" s="9"/>
      <c r="C17588" s="9"/>
      <c r="D17588" s="9"/>
      <c r="E17588" s="9"/>
      <c r="F17588" s="9"/>
      <c r="G17588" s="9"/>
      <c r="H17588" s="9"/>
      <c r="I17588" s="9"/>
      <c r="J17588" s="9"/>
      <c r="K17588" s="9"/>
      <c r="L17588" s="9"/>
      <c r="M17588" s="9"/>
      <c r="N17588" s="9"/>
      <c r="O17588" s="9"/>
      <c r="P17588" s="9"/>
      <c r="Q17588" s="9"/>
      <c r="R17588" s="9"/>
      <c r="S17588" s="9"/>
      <c r="T17588" s="9"/>
      <c r="U17588" s="9"/>
      <c r="V17588" s="9"/>
      <c r="W17588" s="9"/>
      <c r="X17588" s="9"/>
      <c r="Y17588" s="9"/>
      <c r="Z17588" s="9"/>
      <c r="AA17588" s="9"/>
      <c r="AB17588" s="9"/>
      <c r="AC17588" s="9"/>
      <c r="AG17588" s="10"/>
    </row>
    <row r="17589" spans="1:33">
      <c r="A17589" s="9"/>
      <c r="B17589" s="9"/>
      <c r="C17589" s="9"/>
      <c r="D17589" s="9"/>
      <c r="E17589" s="9"/>
      <c r="F17589" s="9"/>
      <c r="G17589" s="9"/>
      <c r="H17589" s="9"/>
      <c r="I17589" s="9"/>
      <c r="J17589" s="9"/>
      <c r="K17589" s="9"/>
      <c r="L17589" s="9"/>
      <c r="M17589" s="9"/>
      <c r="N17589" s="9"/>
      <c r="O17589" s="9"/>
      <c r="P17589" s="9"/>
      <c r="Q17589" s="9"/>
      <c r="R17589" s="9"/>
      <c r="S17589" s="9"/>
      <c r="T17589" s="9"/>
      <c r="U17589" s="9"/>
      <c r="V17589" s="9"/>
      <c r="W17589" s="9"/>
      <c r="X17589" s="9"/>
      <c r="Y17589" s="9"/>
      <c r="Z17589" s="9"/>
      <c r="AA17589" s="9"/>
      <c r="AB17589" s="9"/>
      <c r="AC17589" s="9"/>
      <c r="AG17589" s="10"/>
    </row>
    <row r="17590" spans="1:33">
      <c r="A17590" s="9"/>
      <c r="B17590" s="9"/>
      <c r="C17590" s="9"/>
      <c r="D17590" s="9"/>
      <c r="E17590" s="9"/>
      <c r="F17590" s="9"/>
      <c r="G17590" s="9"/>
      <c r="H17590" s="9"/>
      <c r="I17590" s="9"/>
      <c r="J17590" s="9"/>
      <c r="K17590" s="9"/>
      <c r="L17590" s="9"/>
      <c r="M17590" s="9"/>
      <c r="N17590" s="9"/>
      <c r="O17590" s="9"/>
      <c r="P17590" s="9"/>
      <c r="Q17590" s="9"/>
      <c r="R17590" s="9"/>
      <c r="S17590" s="9"/>
      <c r="T17590" s="9"/>
      <c r="U17590" s="9"/>
      <c r="V17590" s="9"/>
      <c r="W17590" s="9"/>
      <c r="X17590" s="9"/>
      <c r="Y17590" s="9"/>
      <c r="Z17590" s="9"/>
      <c r="AA17590" s="9"/>
      <c r="AB17590" s="9"/>
      <c r="AC17590" s="9"/>
      <c r="AG17590" s="10"/>
    </row>
    <row r="17591" spans="1:33">
      <c r="A17591" s="9"/>
      <c r="B17591" s="9"/>
      <c r="C17591" s="9"/>
      <c r="D17591" s="9"/>
      <c r="E17591" s="9"/>
      <c r="F17591" s="9"/>
      <c r="G17591" s="9"/>
      <c r="H17591" s="9"/>
      <c r="I17591" s="9"/>
      <c r="J17591" s="9"/>
      <c r="K17591" s="9"/>
      <c r="L17591" s="9"/>
      <c r="M17591" s="9"/>
      <c r="N17591" s="9"/>
      <c r="O17591" s="9"/>
      <c r="P17591" s="9"/>
      <c r="Q17591" s="9"/>
      <c r="R17591" s="9"/>
      <c r="S17591" s="9"/>
      <c r="T17591" s="9"/>
      <c r="U17591" s="9"/>
      <c r="V17591" s="9"/>
      <c r="W17591" s="9"/>
      <c r="X17591" s="9"/>
      <c r="Y17591" s="9"/>
      <c r="Z17591" s="9"/>
      <c r="AA17591" s="9"/>
      <c r="AB17591" s="9"/>
      <c r="AC17591" s="9"/>
      <c r="AG17591" s="10"/>
    </row>
    <row r="17592" spans="1:33">
      <c r="A17592" s="9"/>
      <c r="B17592" s="9"/>
      <c r="C17592" s="9"/>
      <c r="D17592" s="9"/>
      <c r="E17592" s="9"/>
      <c r="F17592" s="9"/>
      <c r="G17592" s="9"/>
      <c r="H17592" s="9"/>
      <c r="I17592" s="9"/>
      <c r="J17592" s="9"/>
      <c r="K17592" s="9"/>
      <c r="L17592" s="9"/>
      <c r="M17592" s="9"/>
      <c r="N17592" s="9"/>
      <c r="O17592" s="9"/>
      <c r="P17592" s="9"/>
      <c r="Q17592" s="9"/>
      <c r="R17592" s="9"/>
      <c r="S17592" s="9"/>
      <c r="T17592" s="9"/>
      <c r="U17592" s="9"/>
      <c r="V17592" s="9"/>
      <c r="W17592" s="9"/>
      <c r="X17592" s="9"/>
      <c r="Y17592" s="9"/>
      <c r="Z17592" s="9"/>
      <c r="AA17592" s="9"/>
      <c r="AB17592" s="9"/>
      <c r="AC17592" s="9"/>
      <c r="AG17592" s="10"/>
    </row>
    <row r="17593" spans="1:33">
      <c r="A17593" s="9"/>
      <c r="B17593" s="9"/>
      <c r="C17593" s="9"/>
      <c r="D17593" s="9"/>
      <c r="E17593" s="9"/>
      <c r="F17593" s="9"/>
      <c r="G17593" s="9"/>
      <c r="H17593" s="9"/>
      <c r="I17593" s="9"/>
      <c r="J17593" s="9"/>
      <c r="K17593" s="9"/>
      <c r="L17593" s="9"/>
      <c r="M17593" s="9"/>
      <c r="N17593" s="9"/>
      <c r="O17593" s="9"/>
      <c r="P17593" s="9"/>
      <c r="Q17593" s="9"/>
      <c r="R17593" s="9"/>
      <c r="S17593" s="9"/>
      <c r="T17593" s="9"/>
      <c r="U17593" s="9"/>
      <c r="V17593" s="9"/>
      <c r="W17593" s="9"/>
      <c r="X17593" s="9"/>
      <c r="Y17593" s="9"/>
      <c r="Z17593" s="9"/>
      <c r="AA17593" s="9"/>
      <c r="AB17593" s="9"/>
      <c r="AC17593" s="9"/>
      <c r="AG17593" s="10"/>
    </row>
    <row r="17594" spans="1:33">
      <c r="A17594" s="9"/>
      <c r="B17594" s="9"/>
      <c r="C17594" s="9"/>
      <c r="D17594" s="9"/>
      <c r="E17594" s="9"/>
      <c r="F17594" s="9"/>
      <c r="G17594" s="9"/>
      <c r="H17594" s="9"/>
      <c r="I17594" s="9"/>
      <c r="J17594" s="9"/>
      <c r="K17594" s="9"/>
      <c r="L17594" s="9"/>
      <c r="M17594" s="9"/>
      <c r="N17594" s="9"/>
      <c r="O17594" s="9"/>
      <c r="P17594" s="9"/>
      <c r="Q17594" s="9"/>
      <c r="R17594" s="9"/>
      <c r="S17594" s="9"/>
      <c r="T17594" s="9"/>
      <c r="U17594" s="9"/>
      <c r="V17594" s="9"/>
      <c r="W17594" s="9"/>
      <c r="X17594" s="9"/>
      <c r="Y17594" s="9"/>
      <c r="Z17594" s="9"/>
      <c r="AA17594" s="9"/>
      <c r="AB17594" s="9"/>
      <c r="AC17594" s="9"/>
      <c r="AG17594" s="10"/>
    </row>
    <row r="17595" spans="1:33">
      <c r="A17595" s="9"/>
      <c r="B17595" s="9"/>
      <c r="C17595" s="9"/>
      <c r="D17595" s="9"/>
      <c r="E17595" s="9"/>
      <c r="F17595" s="9"/>
      <c r="G17595" s="9"/>
      <c r="H17595" s="9"/>
      <c r="I17595" s="9"/>
      <c r="J17595" s="9"/>
      <c r="K17595" s="9"/>
      <c r="L17595" s="9"/>
      <c r="M17595" s="9"/>
      <c r="N17595" s="9"/>
      <c r="O17595" s="9"/>
      <c r="P17595" s="9"/>
      <c r="Q17595" s="9"/>
      <c r="R17595" s="9"/>
      <c r="S17595" s="9"/>
      <c r="T17595" s="9"/>
      <c r="U17595" s="9"/>
      <c r="V17595" s="9"/>
      <c r="W17595" s="9"/>
      <c r="X17595" s="9"/>
      <c r="Y17595" s="9"/>
      <c r="Z17595" s="9"/>
      <c r="AA17595" s="9"/>
      <c r="AB17595" s="9"/>
      <c r="AC17595" s="9"/>
      <c r="AG17595" s="10"/>
    </row>
    <row r="17596" spans="1:33">
      <c r="A17596" s="9"/>
      <c r="B17596" s="9"/>
      <c r="C17596" s="9"/>
      <c r="D17596" s="9"/>
      <c r="E17596" s="9"/>
      <c r="F17596" s="9"/>
      <c r="G17596" s="9"/>
      <c r="H17596" s="9"/>
      <c r="I17596" s="9"/>
      <c r="J17596" s="9"/>
      <c r="K17596" s="9"/>
      <c r="L17596" s="9"/>
      <c r="M17596" s="9"/>
      <c r="N17596" s="9"/>
      <c r="O17596" s="9"/>
      <c r="P17596" s="9"/>
      <c r="Q17596" s="9"/>
      <c r="R17596" s="9"/>
      <c r="S17596" s="9"/>
      <c r="T17596" s="9"/>
      <c r="U17596" s="9"/>
      <c r="V17596" s="9"/>
      <c r="W17596" s="9"/>
      <c r="X17596" s="9"/>
      <c r="Y17596" s="9"/>
      <c r="Z17596" s="9"/>
      <c r="AA17596" s="9"/>
      <c r="AB17596" s="9"/>
      <c r="AC17596" s="9"/>
      <c r="AG17596" s="10"/>
    </row>
    <row r="17597" spans="1:33">
      <c r="A17597" s="9"/>
      <c r="B17597" s="9"/>
      <c r="C17597" s="9"/>
      <c r="D17597" s="9"/>
      <c r="E17597" s="9"/>
      <c r="F17597" s="9"/>
      <c r="G17597" s="9"/>
      <c r="H17597" s="9"/>
      <c r="I17597" s="9"/>
      <c r="J17597" s="9"/>
      <c r="K17597" s="9"/>
      <c r="L17597" s="9"/>
      <c r="M17597" s="9"/>
      <c r="N17597" s="9"/>
      <c r="O17597" s="9"/>
      <c r="P17597" s="9"/>
      <c r="Q17597" s="9"/>
      <c r="R17597" s="9"/>
      <c r="S17597" s="9"/>
      <c r="T17597" s="9"/>
      <c r="U17597" s="9"/>
      <c r="V17597" s="9"/>
      <c r="W17597" s="9"/>
      <c r="X17597" s="9"/>
      <c r="Y17597" s="9"/>
      <c r="Z17597" s="9"/>
      <c r="AA17597" s="9"/>
      <c r="AB17597" s="9"/>
      <c r="AC17597" s="9"/>
      <c r="AG17597" s="10"/>
    </row>
    <row r="17598" spans="1:33">
      <c r="A17598" s="9"/>
      <c r="B17598" s="9"/>
      <c r="C17598" s="9"/>
      <c r="D17598" s="9"/>
      <c r="E17598" s="9"/>
      <c r="F17598" s="9"/>
      <c r="G17598" s="9"/>
      <c r="H17598" s="9"/>
      <c r="I17598" s="9"/>
      <c r="J17598" s="9"/>
      <c r="K17598" s="9"/>
      <c r="L17598" s="9"/>
      <c r="M17598" s="9"/>
      <c r="N17598" s="9"/>
      <c r="O17598" s="9"/>
      <c r="P17598" s="9"/>
      <c r="Q17598" s="9"/>
      <c r="R17598" s="9"/>
      <c r="S17598" s="9"/>
      <c r="T17598" s="9"/>
      <c r="U17598" s="9"/>
      <c r="V17598" s="9"/>
      <c r="W17598" s="9"/>
      <c r="X17598" s="9"/>
      <c r="Y17598" s="9"/>
      <c r="Z17598" s="9"/>
      <c r="AA17598" s="9"/>
      <c r="AB17598" s="9"/>
      <c r="AC17598" s="9"/>
      <c r="AG17598" s="10"/>
    </row>
    <row r="17599" spans="1:33">
      <c r="A17599" s="9"/>
      <c r="B17599" s="9"/>
      <c r="C17599" s="9"/>
      <c r="D17599" s="9"/>
      <c r="E17599" s="9"/>
      <c r="F17599" s="9"/>
      <c r="G17599" s="9"/>
      <c r="H17599" s="9"/>
      <c r="I17599" s="9"/>
      <c r="J17599" s="9"/>
      <c r="K17599" s="9"/>
      <c r="L17599" s="9"/>
      <c r="M17599" s="9"/>
      <c r="N17599" s="9"/>
      <c r="O17599" s="9"/>
      <c r="P17599" s="9"/>
      <c r="Q17599" s="9"/>
      <c r="R17599" s="9"/>
      <c r="S17599" s="9"/>
      <c r="T17599" s="9"/>
      <c r="U17599" s="9"/>
      <c r="V17599" s="9"/>
      <c r="W17599" s="9"/>
      <c r="X17599" s="9"/>
      <c r="Y17599" s="9"/>
      <c r="Z17599" s="9"/>
      <c r="AA17599" s="9"/>
      <c r="AB17599" s="9"/>
      <c r="AC17599" s="9"/>
      <c r="AG17599" s="10"/>
    </row>
    <row r="17600" spans="1:33">
      <c r="A17600" s="9"/>
      <c r="B17600" s="9"/>
      <c r="C17600" s="9"/>
      <c r="D17600" s="9"/>
      <c r="E17600" s="9"/>
      <c r="F17600" s="9"/>
      <c r="G17600" s="9"/>
      <c r="H17600" s="9"/>
      <c r="I17600" s="9"/>
      <c r="J17600" s="9"/>
      <c r="K17600" s="9"/>
      <c r="L17600" s="9"/>
      <c r="M17600" s="9"/>
      <c r="N17600" s="9"/>
      <c r="O17600" s="9"/>
      <c r="P17600" s="9"/>
      <c r="Q17600" s="9"/>
      <c r="R17600" s="9"/>
      <c r="S17600" s="9"/>
      <c r="T17600" s="9"/>
      <c r="U17600" s="9"/>
      <c r="V17600" s="9"/>
      <c r="W17600" s="9"/>
      <c r="X17600" s="9"/>
      <c r="Y17600" s="9"/>
      <c r="Z17600" s="9"/>
      <c r="AA17600" s="9"/>
      <c r="AB17600" s="9"/>
      <c r="AC17600" s="9"/>
      <c r="AG17600" s="10"/>
    </row>
    <row r="17601" spans="1:33">
      <c r="A17601" s="9"/>
      <c r="B17601" s="9"/>
      <c r="C17601" s="9"/>
      <c r="D17601" s="9"/>
      <c r="E17601" s="9"/>
      <c r="F17601" s="9"/>
      <c r="G17601" s="9"/>
      <c r="H17601" s="9"/>
      <c r="I17601" s="9"/>
      <c r="J17601" s="9"/>
      <c r="K17601" s="9"/>
      <c r="L17601" s="9"/>
      <c r="M17601" s="9"/>
      <c r="N17601" s="9"/>
      <c r="O17601" s="9"/>
      <c r="P17601" s="9"/>
      <c r="Q17601" s="9"/>
      <c r="R17601" s="9"/>
      <c r="S17601" s="9"/>
      <c r="T17601" s="9"/>
      <c r="U17601" s="9"/>
      <c r="V17601" s="9"/>
      <c r="W17601" s="9"/>
      <c r="X17601" s="9"/>
      <c r="Y17601" s="9"/>
      <c r="Z17601" s="9"/>
      <c r="AA17601" s="9"/>
      <c r="AB17601" s="9"/>
      <c r="AC17601" s="9"/>
      <c r="AG17601" s="10"/>
    </row>
    <row r="17602" spans="1:33">
      <c r="A17602" s="9"/>
      <c r="B17602" s="9"/>
      <c r="C17602" s="9"/>
      <c r="D17602" s="9"/>
      <c r="E17602" s="9"/>
      <c r="F17602" s="9"/>
      <c r="G17602" s="9"/>
      <c r="H17602" s="9"/>
      <c r="I17602" s="9"/>
      <c r="J17602" s="9"/>
      <c r="K17602" s="9"/>
      <c r="L17602" s="9"/>
      <c r="M17602" s="9"/>
      <c r="N17602" s="9"/>
      <c r="O17602" s="9"/>
      <c r="P17602" s="9"/>
      <c r="Q17602" s="9"/>
      <c r="R17602" s="9"/>
      <c r="S17602" s="9"/>
      <c r="T17602" s="9"/>
      <c r="U17602" s="9"/>
      <c r="V17602" s="9"/>
      <c r="W17602" s="9"/>
      <c r="X17602" s="9"/>
      <c r="Y17602" s="9"/>
      <c r="Z17602" s="9"/>
      <c r="AA17602" s="9"/>
      <c r="AB17602" s="9"/>
      <c r="AC17602" s="9"/>
      <c r="AG17602" s="10"/>
    </row>
    <row r="17603" spans="1:33">
      <c r="A17603" s="9"/>
      <c r="B17603" s="9"/>
      <c r="C17603" s="9"/>
      <c r="D17603" s="9"/>
      <c r="E17603" s="9"/>
      <c r="F17603" s="9"/>
      <c r="G17603" s="9"/>
      <c r="H17603" s="9"/>
      <c r="I17603" s="9"/>
      <c r="J17603" s="9"/>
      <c r="K17603" s="9"/>
      <c r="L17603" s="9"/>
      <c r="M17603" s="9"/>
      <c r="N17603" s="9"/>
      <c r="O17603" s="9"/>
      <c r="P17603" s="9"/>
      <c r="Q17603" s="9"/>
      <c r="R17603" s="9"/>
      <c r="S17603" s="9"/>
      <c r="T17603" s="9"/>
      <c r="U17603" s="9"/>
      <c r="V17603" s="9"/>
      <c r="W17603" s="9"/>
      <c r="X17603" s="9"/>
      <c r="Y17603" s="9"/>
      <c r="Z17603" s="9"/>
      <c r="AA17603" s="9"/>
      <c r="AB17603" s="9"/>
      <c r="AC17603" s="9"/>
      <c r="AG17603" s="10"/>
    </row>
    <row r="17604" spans="1:33">
      <c r="A17604" s="9"/>
      <c r="B17604" s="9"/>
      <c r="C17604" s="9"/>
      <c r="D17604" s="9"/>
      <c r="E17604" s="9"/>
      <c r="F17604" s="9"/>
      <c r="G17604" s="9"/>
      <c r="H17604" s="9"/>
      <c r="I17604" s="9"/>
      <c r="J17604" s="9"/>
      <c r="K17604" s="9"/>
      <c r="L17604" s="9"/>
      <c r="M17604" s="9"/>
      <c r="N17604" s="9"/>
      <c r="O17604" s="9"/>
      <c r="P17604" s="9"/>
      <c r="Q17604" s="9"/>
      <c r="R17604" s="9"/>
      <c r="S17604" s="9"/>
      <c r="T17604" s="9"/>
      <c r="U17604" s="9"/>
      <c r="V17604" s="9"/>
      <c r="W17604" s="9"/>
      <c r="X17604" s="9"/>
      <c r="Y17604" s="9"/>
      <c r="Z17604" s="9"/>
      <c r="AA17604" s="9"/>
      <c r="AB17604" s="9"/>
      <c r="AC17604" s="9"/>
      <c r="AG17604" s="10"/>
    </row>
    <row r="17605" spans="1:33">
      <c r="A17605" s="9"/>
      <c r="B17605" s="9"/>
      <c r="C17605" s="9"/>
      <c r="D17605" s="9"/>
      <c r="E17605" s="9"/>
      <c r="F17605" s="9"/>
      <c r="G17605" s="9"/>
      <c r="H17605" s="9"/>
      <c r="I17605" s="9"/>
      <c r="J17605" s="9"/>
      <c r="K17605" s="9"/>
      <c r="L17605" s="9"/>
      <c r="M17605" s="9"/>
      <c r="N17605" s="9"/>
      <c r="O17605" s="9"/>
      <c r="P17605" s="9"/>
      <c r="Q17605" s="9"/>
      <c r="R17605" s="9"/>
      <c r="S17605" s="9"/>
      <c r="T17605" s="9"/>
      <c r="U17605" s="9"/>
      <c r="V17605" s="9"/>
      <c r="W17605" s="9"/>
      <c r="X17605" s="9"/>
      <c r="Y17605" s="9"/>
      <c r="Z17605" s="9"/>
      <c r="AA17605" s="9"/>
      <c r="AB17605" s="9"/>
      <c r="AC17605" s="9"/>
      <c r="AG17605" s="10"/>
    </row>
    <row r="17606" spans="1:33">
      <c r="A17606" s="9"/>
      <c r="B17606" s="9"/>
      <c r="C17606" s="9"/>
      <c r="D17606" s="9"/>
      <c r="E17606" s="9"/>
      <c r="F17606" s="9"/>
      <c r="G17606" s="9"/>
      <c r="H17606" s="9"/>
      <c r="I17606" s="9"/>
      <c r="J17606" s="9"/>
      <c r="K17606" s="9"/>
      <c r="L17606" s="9"/>
      <c r="M17606" s="9"/>
      <c r="N17606" s="9"/>
      <c r="O17606" s="9"/>
      <c r="P17606" s="9"/>
      <c r="Q17606" s="9"/>
      <c r="R17606" s="9"/>
      <c r="S17606" s="9"/>
      <c r="T17606" s="9"/>
      <c r="U17606" s="9"/>
      <c r="V17606" s="9"/>
      <c r="W17606" s="9"/>
      <c r="X17606" s="9"/>
      <c r="Y17606" s="9"/>
      <c r="Z17606" s="9"/>
      <c r="AA17606" s="9"/>
      <c r="AB17606" s="9"/>
      <c r="AC17606" s="9"/>
      <c r="AG17606" s="10"/>
    </row>
    <row r="17607" spans="1:33">
      <c r="A17607" s="9"/>
      <c r="B17607" s="9"/>
      <c r="C17607" s="9"/>
      <c r="D17607" s="9"/>
      <c r="E17607" s="9"/>
      <c r="F17607" s="9"/>
      <c r="G17607" s="9"/>
      <c r="H17607" s="9"/>
      <c r="I17607" s="9"/>
      <c r="J17607" s="9"/>
      <c r="K17607" s="9"/>
      <c r="L17607" s="9"/>
      <c r="M17607" s="9"/>
      <c r="N17607" s="9"/>
      <c r="O17607" s="9"/>
      <c r="P17607" s="9"/>
      <c r="Q17607" s="9"/>
      <c r="R17607" s="9"/>
      <c r="S17607" s="9"/>
      <c r="T17607" s="9"/>
      <c r="U17607" s="9"/>
      <c r="V17607" s="9"/>
      <c r="W17607" s="9"/>
      <c r="X17607" s="9"/>
      <c r="Y17607" s="9"/>
      <c r="Z17607" s="9"/>
      <c r="AA17607" s="9"/>
      <c r="AB17607" s="9"/>
      <c r="AC17607" s="9"/>
      <c r="AG17607" s="10"/>
    </row>
    <row r="17608" spans="1:33">
      <c r="A17608" s="9"/>
      <c r="B17608" s="9"/>
      <c r="C17608" s="9"/>
      <c r="D17608" s="9"/>
      <c r="E17608" s="9"/>
      <c r="F17608" s="9"/>
      <c r="G17608" s="9"/>
      <c r="H17608" s="9"/>
      <c r="I17608" s="9"/>
      <c r="J17608" s="9"/>
      <c r="K17608" s="9"/>
      <c r="L17608" s="9"/>
      <c r="M17608" s="9"/>
      <c r="N17608" s="9"/>
      <c r="O17608" s="9"/>
      <c r="P17608" s="9"/>
      <c r="Q17608" s="9"/>
      <c r="R17608" s="9"/>
      <c r="S17608" s="9"/>
      <c r="T17608" s="9"/>
      <c r="U17608" s="9"/>
      <c r="V17608" s="9"/>
      <c r="W17608" s="9"/>
      <c r="X17608" s="9"/>
      <c r="Y17608" s="9"/>
      <c r="Z17608" s="9"/>
      <c r="AA17608" s="9"/>
      <c r="AB17608" s="9"/>
      <c r="AC17608" s="9"/>
      <c r="AG17608" s="10"/>
    </row>
    <row r="17609" spans="1:33">
      <c r="A17609" s="9"/>
      <c r="B17609" s="9"/>
      <c r="C17609" s="9"/>
      <c r="D17609" s="9"/>
      <c r="E17609" s="9"/>
      <c r="F17609" s="9"/>
      <c r="G17609" s="9"/>
      <c r="H17609" s="9"/>
      <c r="I17609" s="9"/>
      <c r="J17609" s="9"/>
      <c r="K17609" s="9"/>
      <c r="L17609" s="9"/>
      <c r="M17609" s="9"/>
      <c r="N17609" s="9"/>
      <c r="O17609" s="9"/>
      <c r="P17609" s="9"/>
      <c r="Q17609" s="9"/>
      <c r="R17609" s="9"/>
      <c r="S17609" s="9"/>
      <c r="T17609" s="9"/>
      <c r="U17609" s="9"/>
      <c r="V17609" s="9"/>
      <c r="W17609" s="9"/>
      <c r="X17609" s="9"/>
      <c r="Y17609" s="9"/>
      <c r="Z17609" s="9"/>
      <c r="AA17609" s="9"/>
      <c r="AB17609" s="9"/>
      <c r="AC17609" s="9"/>
      <c r="AG17609" s="10"/>
    </row>
    <row r="17610" spans="1:33">
      <c r="A17610" s="9"/>
      <c r="B17610" s="9"/>
      <c r="C17610" s="9"/>
      <c r="D17610" s="9"/>
      <c r="E17610" s="9"/>
      <c r="F17610" s="9"/>
      <c r="G17610" s="9"/>
      <c r="H17610" s="9"/>
      <c r="I17610" s="9"/>
      <c r="J17610" s="9"/>
      <c r="K17610" s="9"/>
      <c r="L17610" s="9"/>
      <c r="M17610" s="9"/>
      <c r="N17610" s="9"/>
      <c r="O17610" s="9"/>
      <c r="P17610" s="9"/>
      <c r="Q17610" s="9"/>
      <c r="R17610" s="9"/>
      <c r="S17610" s="9"/>
      <c r="T17610" s="9"/>
      <c r="U17610" s="9"/>
      <c r="V17610" s="9"/>
      <c r="W17610" s="9"/>
      <c r="X17610" s="9"/>
      <c r="Y17610" s="9"/>
      <c r="Z17610" s="9"/>
      <c r="AA17610" s="9"/>
      <c r="AB17610" s="9"/>
      <c r="AC17610" s="9"/>
      <c r="AG17610" s="10"/>
    </row>
    <row r="17611" spans="1:33">
      <c r="A17611" s="9"/>
      <c r="B17611" s="9"/>
      <c r="C17611" s="9"/>
      <c r="D17611" s="9"/>
      <c r="E17611" s="9"/>
      <c r="F17611" s="9"/>
      <c r="G17611" s="9"/>
      <c r="H17611" s="9"/>
      <c r="I17611" s="9"/>
      <c r="J17611" s="9"/>
      <c r="K17611" s="9"/>
      <c r="L17611" s="9"/>
      <c r="M17611" s="9"/>
      <c r="N17611" s="9"/>
      <c r="O17611" s="9"/>
      <c r="P17611" s="9"/>
      <c r="Q17611" s="9"/>
      <c r="R17611" s="9"/>
      <c r="S17611" s="9"/>
      <c r="T17611" s="9"/>
      <c r="U17611" s="9"/>
      <c r="V17611" s="9"/>
      <c r="W17611" s="9"/>
      <c r="X17611" s="9"/>
      <c r="Y17611" s="9"/>
      <c r="Z17611" s="9"/>
      <c r="AA17611" s="9"/>
      <c r="AB17611" s="9"/>
      <c r="AC17611" s="9"/>
      <c r="AG17611" s="10"/>
    </row>
    <row r="17612" spans="1:33">
      <c r="A17612" s="9"/>
      <c r="B17612" s="9"/>
      <c r="C17612" s="9"/>
      <c r="D17612" s="9"/>
      <c r="E17612" s="9"/>
      <c r="F17612" s="9"/>
      <c r="G17612" s="9"/>
      <c r="H17612" s="9"/>
      <c r="I17612" s="9"/>
      <c r="J17612" s="9"/>
      <c r="K17612" s="9"/>
      <c r="L17612" s="9"/>
      <c r="M17612" s="9"/>
      <c r="N17612" s="9"/>
      <c r="O17612" s="9"/>
      <c r="P17612" s="9"/>
      <c r="Q17612" s="9"/>
      <c r="R17612" s="9"/>
      <c r="S17612" s="9"/>
      <c r="T17612" s="9"/>
      <c r="U17612" s="9"/>
      <c r="V17612" s="9"/>
      <c r="W17612" s="9"/>
      <c r="X17612" s="9"/>
      <c r="Y17612" s="9"/>
      <c r="Z17612" s="9"/>
      <c r="AA17612" s="9"/>
      <c r="AB17612" s="9"/>
      <c r="AC17612" s="9"/>
      <c r="AG17612" s="10"/>
    </row>
    <row r="17613" spans="1:33">
      <c r="A17613" s="9"/>
      <c r="B17613" s="9"/>
      <c r="C17613" s="9"/>
      <c r="D17613" s="9"/>
      <c r="E17613" s="9"/>
      <c r="F17613" s="9"/>
      <c r="G17613" s="9"/>
      <c r="H17613" s="9"/>
      <c r="I17613" s="9"/>
      <c r="J17613" s="9"/>
      <c r="K17613" s="9"/>
      <c r="L17613" s="9"/>
      <c r="M17613" s="9"/>
      <c r="N17613" s="9"/>
      <c r="O17613" s="9"/>
      <c r="P17613" s="9"/>
      <c r="Q17613" s="9"/>
      <c r="R17613" s="9"/>
      <c r="S17613" s="9"/>
      <c r="T17613" s="9"/>
      <c r="U17613" s="9"/>
      <c r="V17613" s="9"/>
      <c r="W17613" s="9"/>
      <c r="X17613" s="9"/>
      <c r="Y17613" s="9"/>
      <c r="Z17613" s="9"/>
      <c r="AA17613" s="9"/>
      <c r="AB17613" s="9"/>
      <c r="AC17613" s="9"/>
      <c r="AG17613" s="10"/>
    </row>
    <row r="17614" spans="1:33">
      <c r="A17614" s="9"/>
      <c r="B17614" s="9"/>
      <c r="C17614" s="9"/>
      <c r="D17614" s="9"/>
      <c r="E17614" s="9"/>
      <c r="F17614" s="9"/>
      <c r="G17614" s="9"/>
      <c r="H17614" s="9"/>
      <c r="I17614" s="9"/>
      <c r="J17614" s="9"/>
      <c r="K17614" s="9"/>
      <c r="L17614" s="9"/>
      <c r="M17614" s="9"/>
      <c r="N17614" s="9"/>
      <c r="O17614" s="9"/>
      <c r="P17614" s="9"/>
      <c r="Q17614" s="9"/>
      <c r="R17614" s="9"/>
      <c r="S17614" s="9"/>
      <c r="T17614" s="9"/>
      <c r="U17614" s="9"/>
      <c r="V17614" s="9"/>
      <c r="W17614" s="9"/>
      <c r="X17614" s="9"/>
      <c r="Y17614" s="9"/>
      <c r="Z17614" s="9"/>
      <c r="AA17614" s="9"/>
      <c r="AB17614" s="9"/>
      <c r="AC17614" s="9"/>
      <c r="AG17614" s="10"/>
    </row>
    <row r="17615" spans="1:33">
      <c r="A17615" s="9"/>
      <c r="B17615" s="9"/>
      <c r="C17615" s="9"/>
      <c r="D17615" s="9"/>
      <c r="E17615" s="9"/>
      <c r="F17615" s="9"/>
      <c r="G17615" s="9"/>
      <c r="H17615" s="9"/>
      <c r="I17615" s="9"/>
      <c r="J17615" s="9"/>
      <c r="K17615" s="9"/>
      <c r="L17615" s="9"/>
      <c r="M17615" s="9"/>
      <c r="N17615" s="9"/>
      <c r="O17615" s="9"/>
      <c r="P17615" s="9"/>
      <c r="Q17615" s="9"/>
      <c r="R17615" s="9"/>
      <c r="S17615" s="9"/>
      <c r="T17615" s="9"/>
      <c r="U17615" s="9"/>
      <c r="V17615" s="9"/>
      <c r="W17615" s="9"/>
      <c r="X17615" s="9"/>
      <c r="Y17615" s="9"/>
      <c r="Z17615" s="9"/>
      <c r="AA17615" s="9"/>
      <c r="AB17615" s="9"/>
      <c r="AC17615" s="9"/>
      <c r="AG17615" s="10"/>
    </row>
    <row r="17616" spans="1:33">
      <c r="A17616" s="9"/>
      <c r="B17616" s="9"/>
      <c r="C17616" s="9"/>
      <c r="D17616" s="9"/>
      <c r="E17616" s="9"/>
      <c r="F17616" s="9"/>
      <c r="G17616" s="9"/>
      <c r="H17616" s="9"/>
      <c r="I17616" s="9"/>
      <c r="J17616" s="9"/>
      <c r="K17616" s="9"/>
      <c r="L17616" s="9"/>
      <c r="M17616" s="9"/>
      <c r="N17616" s="9"/>
      <c r="O17616" s="9"/>
      <c r="P17616" s="9"/>
      <c r="Q17616" s="9"/>
      <c r="R17616" s="9"/>
      <c r="S17616" s="9"/>
      <c r="T17616" s="9"/>
      <c r="U17616" s="9"/>
      <c r="V17616" s="9"/>
      <c r="W17616" s="9"/>
      <c r="X17616" s="9"/>
      <c r="Y17616" s="9"/>
      <c r="Z17616" s="9"/>
      <c r="AA17616" s="9"/>
      <c r="AB17616" s="9"/>
      <c r="AC17616" s="9"/>
      <c r="AG17616" s="10"/>
    </row>
    <row r="17617" spans="1:33">
      <c r="A17617" s="9"/>
      <c r="B17617" s="9"/>
      <c r="C17617" s="9"/>
      <c r="D17617" s="9"/>
      <c r="E17617" s="9"/>
      <c r="F17617" s="9"/>
      <c r="G17617" s="9"/>
      <c r="H17617" s="9"/>
      <c r="I17617" s="9"/>
      <c r="J17617" s="9"/>
      <c r="K17617" s="9"/>
      <c r="L17617" s="9"/>
      <c r="M17617" s="9"/>
      <c r="N17617" s="9"/>
      <c r="O17617" s="9"/>
      <c r="P17617" s="9"/>
      <c r="Q17617" s="9"/>
      <c r="R17617" s="9"/>
      <c r="S17617" s="9"/>
      <c r="T17617" s="9"/>
      <c r="U17617" s="9"/>
      <c r="V17617" s="9"/>
      <c r="W17617" s="9"/>
      <c r="X17617" s="9"/>
      <c r="Y17617" s="9"/>
      <c r="Z17617" s="9"/>
      <c r="AA17617" s="9"/>
      <c r="AB17617" s="9"/>
      <c r="AC17617" s="9"/>
      <c r="AG17617" s="10"/>
    </row>
    <row r="17618" spans="1:33">
      <c r="A17618" s="9"/>
      <c r="B17618" s="9"/>
      <c r="C17618" s="9"/>
      <c r="D17618" s="9"/>
      <c r="E17618" s="9"/>
      <c r="F17618" s="9"/>
      <c r="G17618" s="9"/>
      <c r="H17618" s="9"/>
      <c r="I17618" s="9"/>
      <c r="J17618" s="9"/>
      <c r="K17618" s="9"/>
      <c r="L17618" s="9"/>
      <c r="M17618" s="9"/>
      <c r="N17618" s="9"/>
      <c r="O17618" s="9"/>
      <c r="P17618" s="9"/>
      <c r="Q17618" s="9"/>
      <c r="R17618" s="9"/>
      <c r="S17618" s="9"/>
      <c r="T17618" s="9"/>
      <c r="U17618" s="9"/>
      <c r="V17618" s="9"/>
      <c r="W17618" s="9"/>
      <c r="X17618" s="9"/>
      <c r="Y17618" s="9"/>
      <c r="Z17618" s="9"/>
      <c r="AA17618" s="9"/>
      <c r="AB17618" s="9"/>
      <c r="AC17618" s="9"/>
      <c r="AG17618" s="10"/>
    </row>
    <row r="17619" spans="1:33">
      <c r="A17619" s="9"/>
      <c r="B17619" s="9"/>
      <c r="C17619" s="9"/>
      <c r="D17619" s="9"/>
      <c r="E17619" s="9"/>
      <c r="F17619" s="9"/>
      <c r="G17619" s="9"/>
      <c r="H17619" s="9"/>
      <c r="I17619" s="9"/>
      <c r="J17619" s="9"/>
      <c r="K17619" s="9"/>
      <c r="L17619" s="9"/>
      <c r="M17619" s="9"/>
      <c r="N17619" s="9"/>
      <c r="O17619" s="9"/>
      <c r="P17619" s="9"/>
      <c r="Q17619" s="9"/>
      <c r="R17619" s="9"/>
      <c r="S17619" s="9"/>
      <c r="T17619" s="9"/>
      <c r="U17619" s="9"/>
      <c r="V17619" s="9"/>
      <c r="W17619" s="9"/>
      <c r="X17619" s="9"/>
      <c r="Y17619" s="9"/>
      <c r="Z17619" s="9"/>
      <c r="AA17619" s="9"/>
      <c r="AB17619" s="9"/>
      <c r="AC17619" s="9"/>
      <c r="AG17619" s="10"/>
    </row>
    <row r="17620" spans="1:33">
      <c r="A17620" s="9"/>
      <c r="B17620" s="9"/>
      <c r="C17620" s="9"/>
      <c r="D17620" s="9"/>
      <c r="E17620" s="9"/>
      <c r="F17620" s="9"/>
      <c r="G17620" s="9"/>
      <c r="H17620" s="9"/>
      <c r="I17620" s="9"/>
      <c r="J17620" s="9"/>
      <c r="K17620" s="9"/>
      <c r="L17620" s="9"/>
      <c r="M17620" s="9"/>
      <c r="N17620" s="9"/>
      <c r="O17620" s="9"/>
      <c r="P17620" s="9"/>
      <c r="Q17620" s="9"/>
      <c r="R17620" s="9"/>
      <c r="S17620" s="9"/>
      <c r="T17620" s="9"/>
      <c r="U17620" s="9"/>
      <c r="V17620" s="9"/>
      <c r="W17620" s="9"/>
      <c r="X17620" s="9"/>
      <c r="Y17620" s="9"/>
      <c r="Z17620" s="9"/>
      <c r="AA17620" s="9"/>
      <c r="AB17620" s="9"/>
      <c r="AC17620" s="9"/>
      <c r="AG17620" s="10"/>
    </row>
    <row r="17621" spans="1:33">
      <c r="A17621" s="9"/>
      <c r="B17621" s="9"/>
      <c r="C17621" s="9"/>
      <c r="D17621" s="9"/>
      <c r="E17621" s="9"/>
      <c r="F17621" s="9"/>
      <c r="G17621" s="9"/>
      <c r="H17621" s="9"/>
      <c r="I17621" s="9"/>
      <c r="J17621" s="9"/>
      <c r="K17621" s="9"/>
      <c r="L17621" s="9"/>
      <c r="M17621" s="9"/>
      <c r="N17621" s="9"/>
      <c r="O17621" s="9"/>
      <c r="P17621" s="9"/>
      <c r="Q17621" s="9"/>
      <c r="R17621" s="9"/>
      <c r="S17621" s="9"/>
      <c r="T17621" s="9"/>
      <c r="U17621" s="9"/>
      <c r="V17621" s="9"/>
      <c r="W17621" s="9"/>
      <c r="X17621" s="9"/>
      <c r="Y17621" s="9"/>
      <c r="Z17621" s="9"/>
      <c r="AA17621" s="9"/>
      <c r="AB17621" s="9"/>
      <c r="AC17621" s="9"/>
      <c r="AG17621" s="10"/>
    </row>
    <row r="17622" spans="1:33">
      <c r="A17622" s="9"/>
      <c r="B17622" s="9"/>
      <c r="C17622" s="9"/>
      <c r="D17622" s="9"/>
      <c r="E17622" s="9"/>
      <c r="F17622" s="9"/>
      <c r="G17622" s="9"/>
      <c r="H17622" s="9"/>
      <c r="I17622" s="9"/>
      <c r="J17622" s="9"/>
      <c r="K17622" s="9"/>
      <c r="L17622" s="9"/>
      <c r="M17622" s="9"/>
      <c r="N17622" s="9"/>
      <c r="O17622" s="9"/>
      <c r="P17622" s="9"/>
      <c r="Q17622" s="9"/>
      <c r="R17622" s="9"/>
      <c r="S17622" s="9"/>
      <c r="T17622" s="9"/>
      <c r="U17622" s="9"/>
      <c r="V17622" s="9"/>
      <c r="W17622" s="9"/>
      <c r="X17622" s="9"/>
      <c r="Y17622" s="9"/>
      <c r="Z17622" s="9"/>
      <c r="AA17622" s="9"/>
      <c r="AB17622" s="9"/>
      <c r="AC17622" s="9"/>
      <c r="AG17622" s="10"/>
    </row>
    <row r="17623" spans="1:33">
      <c r="A17623" s="9"/>
      <c r="B17623" s="9"/>
      <c r="C17623" s="9"/>
      <c r="D17623" s="9"/>
      <c r="E17623" s="9"/>
      <c r="F17623" s="9"/>
      <c r="G17623" s="9"/>
      <c r="H17623" s="9"/>
      <c r="I17623" s="9"/>
      <c r="J17623" s="9"/>
      <c r="K17623" s="9"/>
      <c r="L17623" s="9"/>
      <c r="M17623" s="9"/>
      <c r="N17623" s="9"/>
      <c r="O17623" s="9"/>
      <c r="P17623" s="9"/>
      <c r="Q17623" s="9"/>
      <c r="R17623" s="9"/>
      <c r="S17623" s="9"/>
      <c r="T17623" s="9"/>
      <c r="U17623" s="9"/>
      <c r="V17623" s="9"/>
      <c r="W17623" s="9"/>
      <c r="X17623" s="9"/>
      <c r="Y17623" s="9"/>
      <c r="Z17623" s="9"/>
      <c r="AA17623" s="9"/>
      <c r="AB17623" s="9"/>
      <c r="AC17623" s="9"/>
      <c r="AG17623" s="10"/>
    </row>
    <row r="17624" spans="1:33">
      <c r="A17624" s="9"/>
      <c r="B17624" s="9"/>
      <c r="C17624" s="9"/>
      <c r="D17624" s="9"/>
      <c r="E17624" s="9"/>
      <c r="F17624" s="9"/>
      <c r="G17624" s="9"/>
      <c r="H17624" s="9"/>
      <c r="I17624" s="9"/>
      <c r="J17624" s="9"/>
      <c r="K17624" s="9"/>
      <c r="L17624" s="9"/>
      <c r="M17624" s="9"/>
      <c r="N17624" s="9"/>
      <c r="O17624" s="9"/>
      <c r="P17624" s="9"/>
      <c r="Q17624" s="9"/>
      <c r="R17624" s="9"/>
      <c r="S17624" s="9"/>
      <c r="T17624" s="9"/>
      <c r="U17624" s="9"/>
      <c r="V17624" s="9"/>
      <c r="W17624" s="9"/>
      <c r="X17624" s="9"/>
      <c r="Y17624" s="9"/>
      <c r="Z17624" s="9"/>
      <c r="AA17624" s="9"/>
      <c r="AB17624" s="9"/>
      <c r="AC17624" s="9"/>
      <c r="AG17624" s="10"/>
    </row>
    <row r="17625" spans="1:33">
      <c r="A17625" s="9"/>
      <c r="B17625" s="9"/>
      <c r="C17625" s="9"/>
      <c r="D17625" s="9"/>
      <c r="E17625" s="9"/>
      <c r="F17625" s="9"/>
      <c r="G17625" s="9"/>
      <c r="H17625" s="9"/>
      <c r="I17625" s="9"/>
      <c r="J17625" s="9"/>
      <c r="K17625" s="9"/>
      <c r="L17625" s="9"/>
      <c r="M17625" s="9"/>
      <c r="N17625" s="9"/>
      <c r="O17625" s="9"/>
      <c r="P17625" s="9"/>
      <c r="Q17625" s="9"/>
      <c r="R17625" s="9"/>
      <c r="S17625" s="9"/>
      <c r="T17625" s="9"/>
      <c r="U17625" s="9"/>
      <c r="V17625" s="9"/>
      <c r="W17625" s="9"/>
      <c r="X17625" s="9"/>
      <c r="Y17625" s="9"/>
      <c r="Z17625" s="9"/>
      <c r="AA17625" s="9"/>
      <c r="AB17625" s="9"/>
      <c r="AC17625" s="9"/>
      <c r="AG17625" s="10"/>
    </row>
    <row r="17626" spans="1:33">
      <c r="A17626" s="9"/>
      <c r="B17626" s="9"/>
      <c r="C17626" s="9"/>
      <c r="D17626" s="9"/>
      <c r="E17626" s="9"/>
      <c r="F17626" s="9"/>
      <c r="G17626" s="9"/>
      <c r="H17626" s="9"/>
      <c r="I17626" s="9"/>
      <c r="J17626" s="9"/>
      <c r="K17626" s="9"/>
      <c r="L17626" s="9"/>
      <c r="M17626" s="9"/>
      <c r="N17626" s="9"/>
      <c r="O17626" s="9"/>
      <c r="P17626" s="9"/>
      <c r="Q17626" s="9"/>
      <c r="R17626" s="9"/>
      <c r="S17626" s="9"/>
      <c r="T17626" s="9"/>
      <c r="U17626" s="9"/>
      <c r="V17626" s="9"/>
      <c r="W17626" s="9"/>
      <c r="X17626" s="9"/>
      <c r="Y17626" s="9"/>
      <c r="Z17626" s="9"/>
      <c r="AA17626" s="9"/>
      <c r="AB17626" s="9"/>
      <c r="AC17626" s="9"/>
      <c r="AG17626" s="10"/>
    </row>
    <row r="17627" spans="1:33">
      <c r="A17627" s="9"/>
      <c r="B17627" s="9"/>
      <c r="C17627" s="9"/>
      <c r="D17627" s="9"/>
      <c r="E17627" s="9"/>
      <c r="F17627" s="9"/>
      <c r="G17627" s="9"/>
      <c r="H17627" s="9"/>
      <c r="I17627" s="9"/>
      <c r="J17627" s="9"/>
      <c r="K17627" s="9"/>
      <c r="L17627" s="9"/>
      <c r="M17627" s="9"/>
      <c r="N17627" s="9"/>
      <c r="O17627" s="9"/>
      <c r="P17627" s="9"/>
      <c r="Q17627" s="9"/>
      <c r="R17627" s="9"/>
      <c r="S17627" s="9"/>
      <c r="T17627" s="9"/>
      <c r="U17627" s="9"/>
      <c r="V17627" s="9"/>
      <c r="W17627" s="9"/>
      <c r="X17627" s="9"/>
      <c r="Y17627" s="9"/>
      <c r="Z17627" s="9"/>
      <c r="AA17627" s="9"/>
      <c r="AB17627" s="9"/>
      <c r="AC17627" s="9"/>
      <c r="AG17627" s="10"/>
    </row>
    <row r="17628" spans="1:33">
      <c r="A17628" s="9"/>
      <c r="B17628" s="9"/>
      <c r="C17628" s="9"/>
      <c r="D17628" s="9"/>
      <c r="E17628" s="9"/>
      <c r="F17628" s="9"/>
      <c r="G17628" s="9"/>
      <c r="H17628" s="9"/>
      <c r="I17628" s="9"/>
      <c r="J17628" s="9"/>
      <c r="K17628" s="9"/>
      <c r="L17628" s="9"/>
      <c r="M17628" s="9"/>
      <c r="N17628" s="9"/>
      <c r="O17628" s="9"/>
      <c r="P17628" s="9"/>
      <c r="Q17628" s="9"/>
      <c r="R17628" s="9"/>
      <c r="S17628" s="9"/>
      <c r="T17628" s="9"/>
      <c r="U17628" s="9"/>
      <c r="V17628" s="9"/>
      <c r="W17628" s="9"/>
      <c r="X17628" s="9"/>
      <c r="Y17628" s="9"/>
      <c r="Z17628" s="9"/>
      <c r="AA17628" s="9"/>
      <c r="AB17628" s="9"/>
      <c r="AC17628" s="9"/>
      <c r="AG17628" s="10"/>
    </row>
    <row r="17629" spans="1:33">
      <c r="A17629" s="9"/>
      <c r="B17629" s="9"/>
      <c r="C17629" s="9"/>
      <c r="D17629" s="9"/>
      <c r="E17629" s="9"/>
      <c r="F17629" s="9"/>
      <c r="G17629" s="9"/>
      <c r="H17629" s="9"/>
      <c r="I17629" s="9"/>
      <c r="J17629" s="9"/>
      <c r="K17629" s="9"/>
      <c r="L17629" s="9"/>
      <c r="M17629" s="9"/>
      <c r="N17629" s="9"/>
      <c r="O17629" s="9"/>
      <c r="P17629" s="9"/>
      <c r="Q17629" s="9"/>
      <c r="R17629" s="9"/>
      <c r="S17629" s="9"/>
      <c r="T17629" s="9"/>
      <c r="U17629" s="9"/>
      <c r="V17629" s="9"/>
      <c r="W17629" s="9"/>
      <c r="X17629" s="9"/>
      <c r="Y17629" s="9"/>
      <c r="Z17629" s="9"/>
      <c r="AA17629" s="9"/>
      <c r="AB17629" s="9"/>
      <c r="AC17629" s="9"/>
      <c r="AG17629" s="10"/>
    </row>
    <row r="17630" spans="1:33">
      <c r="A17630" s="9"/>
      <c r="B17630" s="9"/>
      <c r="C17630" s="9"/>
      <c r="D17630" s="9"/>
      <c r="E17630" s="9"/>
      <c r="F17630" s="9"/>
      <c r="G17630" s="9"/>
      <c r="H17630" s="9"/>
      <c r="I17630" s="9"/>
      <c r="J17630" s="9"/>
      <c r="K17630" s="9"/>
      <c r="L17630" s="9"/>
      <c r="M17630" s="9"/>
      <c r="N17630" s="9"/>
      <c r="O17630" s="9"/>
      <c r="P17630" s="9"/>
      <c r="Q17630" s="9"/>
      <c r="R17630" s="9"/>
      <c r="S17630" s="9"/>
      <c r="T17630" s="9"/>
      <c r="U17630" s="9"/>
      <c r="V17630" s="9"/>
      <c r="W17630" s="9"/>
      <c r="X17630" s="9"/>
      <c r="Y17630" s="9"/>
      <c r="Z17630" s="9"/>
      <c r="AA17630" s="9"/>
      <c r="AB17630" s="9"/>
      <c r="AC17630" s="9"/>
      <c r="AG17630" s="10"/>
    </row>
    <row r="17631" spans="1:33">
      <c r="A17631" s="9"/>
      <c r="B17631" s="9"/>
      <c r="C17631" s="9"/>
      <c r="D17631" s="9"/>
      <c r="E17631" s="9"/>
      <c r="F17631" s="9"/>
      <c r="G17631" s="9"/>
      <c r="H17631" s="9"/>
      <c r="I17631" s="9"/>
      <c r="J17631" s="9"/>
      <c r="K17631" s="9"/>
      <c r="L17631" s="9"/>
      <c r="M17631" s="9"/>
      <c r="N17631" s="9"/>
      <c r="O17631" s="9"/>
      <c r="P17631" s="9"/>
      <c r="Q17631" s="9"/>
      <c r="R17631" s="9"/>
      <c r="S17631" s="9"/>
      <c r="T17631" s="9"/>
      <c r="U17631" s="9"/>
      <c r="V17631" s="9"/>
      <c r="W17631" s="9"/>
      <c r="X17631" s="9"/>
      <c r="Y17631" s="9"/>
      <c r="Z17631" s="9"/>
      <c r="AA17631" s="9"/>
      <c r="AB17631" s="9"/>
      <c r="AC17631" s="9"/>
      <c r="AG17631" s="10"/>
    </row>
    <row r="17632" spans="1:33">
      <c r="A17632" s="9"/>
      <c r="B17632" s="9"/>
      <c r="C17632" s="9"/>
      <c r="D17632" s="9"/>
      <c r="E17632" s="9"/>
      <c r="F17632" s="9"/>
      <c r="G17632" s="9"/>
      <c r="H17632" s="9"/>
      <c r="I17632" s="9"/>
      <c r="J17632" s="9"/>
      <c r="K17632" s="9"/>
      <c r="L17632" s="9"/>
      <c r="M17632" s="9"/>
      <c r="N17632" s="9"/>
      <c r="O17632" s="9"/>
      <c r="P17632" s="9"/>
      <c r="Q17632" s="9"/>
      <c r="R17632" s="9"/>
      <c r="S17632" s="9"/>
      <c r="T17632" s="9"/>
      <c r="U17632" s="9"/>
      <c r="V17632" s="9"/>
      <c r="W17632" s="9"/>
      <c r="X17632" s="9"/>
      <c r="Y17632" s="9"/>
      <c r="Z17632" s="9"/>
      <c r="AA17632" s="9"/>
      <c r="AB17632" s="9"/>
      <c r="AC17632" s="9"/>
      <c r="AG17632" s="10"/>
    </row>
    <row r="17633" spans="1:33">
      <c r="A17633" s="9"/>
      <c r="B17633" s="9"/>
      <c r="C17633" s="9"/>
      <c r="D17633" s="9"/>
      <c r="E17633" s="9"/>
      <c r="F17633" s="9"/>
      <c r="G17633" s="9"/>
      <c r="H17633" s="9"/>
      <c r="I17633" s="9"/>
      <c r="J17633" s="9"/>
      <c r="K17633" s="9"/>
      <c r="L17633" s="9"/>
      <c r="M17633" s="9"/>
      <c r="N17633" s="9"/>
      <c r="O17633" s="9"/>
      <c r="P17633" s="9"/>
      <c r="Q17633" s="9"/>
      <c r="R17633" s="9"/>
      <c r="S17633" s="9"/>
      <c r="T17633" s="9"/>
      <c r="U17633" s="9"/>
      <c r="V17633" s="9"/>
      <c r="W17633" s="9"/>
      <c r="X17633" s="9"/>
      <c r="Y17633" s="9"/>
      <c r="Z17633" s="9"/>
      <c r="AA17633" s="9"/>
      <c r="AB17633" s="9"/>
      <c r="AC17633" s="9"/>
      <c r="AG17633" s="10"/>
    </row>
    <row r="17634" spans="1:33">
      <c r="A17634" s="9"/>
      <c r="B17634" s="9"/>
      <c r="C17634" s="9"/>
      <c r="D17634" s="9"/>
      <c r="E17634" s="9"/>
      <c r="F17634" s="9"/>
      <c r="G17634" s="9"/>
      <c r="H17634" s="9"/>
      <c r="I17634" s="9"/>
      <c r="J17634" s="9"/>
      <c r="K17634" s="9"/>
      <c r="L17634" s="9"/>
      <c r="M17634" s="9"/>
      <c r="N17634" s="9"/>
      <c r="O17634" s="9"/>
      <c r="P17634" s="9"/>
      <c r="Q17634" s="9"/>
      <c r="R17634" s="9"/>
      <c r="S17634" s="9"/>
      <c r="T17634" s="9"/>
      <c r="U17634" s="9"/>
      <c r="V17634" s="9"/>
      <c r="W17634" s="9"/>
      <c r="X17634" s="9"/>
      <c r="Y17634" s="9"/>
      <c r="Z17634" s="9"/>
      <c r="AA17634" s="9"/>
      <c r="AB17634" s="9"/>
      <c r="AC17634" s="9"/>
      <c r="AG17634" s="10"/>
    </row>
    <row r="17635" spans="1:33">
      <c r="A17635" s="9"/>
      <c r="B17635" s="9"/>
      <c r="C17635" s="9"/>
      <c r="D17635" s="9"/>
      <c r="E17635" s="9"/>
      <c r="F17635" s="9"/>
      <c r="G17635" s="9"/>
      <c r="H17635" s="9"/>
      <c r="I17635" s="9"/>
      <c r="J17635" s="9"/>
      <c r="K17635" s="9"/>
      <c r="L17635" s="9"/>
      <c r="M17635" s="9"/>
      <c r="N17635" s="9"/>
      <c r="O17635" s="9"/>
      <c r="P17635" s="9"/>
      <c r="Q17635" s="9"/>
      <c r="R17635" s="9"/>
      <c r="S17635" s="9"/>
      <c r="T17635" s="9"/>
      <c r="U17635" s="9"/>
      <c r="V17635" s="9"/>
      <c r="W17635" s="9"/>
      <c r="X17635" s="9"/>
      <c r="Y17635" s="9"/>
      <c r="Z17635" s="9"/>
      <c r="AA17635" s="9"/>
      <c r="AB17635" s="9"/>
      <c r="AC17635" s="9"/>
      <c r="AG17635" s="10"/>
    </row>
    <row r="17636" spans="1:33">
      <c r="A17636" s="9"/>
      <c r="B17636" s="9"/>
      <c r="C17636" s="9"/>
      <c r="D17636" s="9"/>
      <c r="E17636" s="9"/>
      <c r="F17636" s="9"/>
      <c r="G17636" s="9"/>
      <c r="H17636" s="9"/>
      <c r="I17636" s="9"/>
      <c r="J17636" s="9"/>
      <c r="K17636" s="9"/>
      <c r="L17636" s="9"/>
      <c r="M17636" s="9"/>
      <c r="N17636" s="9"/>
      <c r="O17636" s="9"/>
      <c r="P17636" s="9"/>
      <c r="Q17636" s="9"/>
      <c r="R17636" s="9"/>
      <c r="S17636" s="9"/>
      <c r="T17636" s="9"/>
      <c r="U17636" s="9"/>
      <c r="V17636" s="9"/>
      <c r="W17636" s="9"/>
      <c r="X17636" s="9"/>
      <c r="Y17636" s="9"/>
      <c r="Z17636" s="9"/>
      <c r="AA17636" s="9"/>
      <c r="AB17636" s="9"/>
      <c r="AC17636" s="9"/>
      <c r="AG17636" s="10"/>
    </row>
    <row r="17637" spans="1:33">
      <c r="A17637" s="9"/>
      <c r="B17637" s="9"/>
      <c r="C17637" s="9"/>
      <c r="D17637" s="9"/>
      <c r="E17637" s="9"/>
      <c r="F17637" s="9"/>
      <c r="G17637" s="9"/>
      <c r="H17637" s="9"/>
      <c r="I17637" s="9"/>
      <c r="J17637" s="9"/>
      <c r="K17637" s="9"/>
      <c r="L17637" s="9"/>
      <c r="M17637" s="9"/>
      <c r="N17637" s="9"/>
      <c r="O17637" s="9"/>
      <c r="P17637" s="9"/>
      <c r="Q17637" s="9"/>
      <c r="R17637" s="9"/>
      <c r="S17637" s="9"/>
      <c r="T17637" s="9"/>
      <c r="U17637" s="9"/>
      <c r="V17637" s="9"/>
      <c r="W17637" s="9"/>
      <c r="X17637" s="9"/>
      <c r="Y17637" s="9"/>
      <c r="Z17637" s="9"/>
      <c r="AA17637" s="9"/>
      <c r="AB17637" s="9"/>
      <c r="AC17637" s="9"/>
      <c r="AG17637" s="10"/>
    </row>
    <row r="17638" spans="1:33">
      <c r="A17638" s="9"/>
      <c r="B17638" s="9"/>
      <c r="C17638" s="9"/>
      <c r="D17638" s="9"/>
      <c r="E17638" s="9"/>
      <c r="F17638" s="9"/>
      <c r="G17638" s="9"/>
      <c r="H17638" s="9"/>
      <c r="I17638" s="9"/>
      <c r="J17638" s="9"/>
      <c r="K17638" s="9"/>
      <c r="L17638" s="9"/>
      <c r="M17638" s="9"/>
      <c r="N17638" s="9"/>
      <c r="O17638" s="9"/>
      <c r="P17638" s="9"/>
      <c r="Q17638" s="9"/>
      <c r="R17638" s="9"/>
      <c r="S17638" s="9"/>
      <c r="T17638" s="9"/>
      <c r="U17638" s="9"/>
      <c r="V17638" s="9"/>
      <c r="W17638" s="9"/>
      <c r="X17638" s="9"/>
      <c r="Y17638" s="9"/>
      <c r="Z17638" s="9"/>
      <c r="AA17638" s="9"/>
      <c r="AB17638" s="9"/>
      <c r="AC17638" s="9"/>
      <c r="AG17638" s="10"/>
    </row>
    <row r="17639" spans="1:33">
      <c r="A17639" s="9"/>
      <c r="B17639" s="9"/>
      <c r="C17639" s="9"/>
      <c r="D17639" s="9"/>
      <c r="E17639" s="9"/>
      <c r="F17639" s="9"/>
      <c r="G17639" s="9"/>
      <c r="H17639" s="9"/>
      <c r="I17639" s="9"/>
      <c r="J17639" s="9"/>
      <c r="K17639" s="9"/>
      <c r="L17639" s="9"/>
      <c r="M17639" s="9"/>
      <c r="N17639" s="9"/>
      <c r="O17639" s="9"/>
      <c r="P17639" s="9"/>
      <c r="Q17639" s="9"/>
      <c r="R17639" s="9"/>
      <c r="S17639" s="9"/>
      <c r="T17639" s="9"/>
      <c r="U17639" s="9"/>
      <c r="V17639" s="9"/>
      <c r="W17639" s="9"/>
      <c r="X17639" s="9"/>
      <c r="Y17639" s="9"/>
      <c r="Z17639" s="9"/>
      <c r="AA17639" s="9"/>
      <c r="AB17639" s="9"/>
      <c r="AC17639" s="9"/>
      <c r="AG17639" s="10"/>
    </row>
    <row r="17640" spans="1:33">
      <c r="A17640" s="9"/>
      <c r="B17640" s="9"/>
      <c r="C17640" s="9"/>
      <c r="D17640" s="9"/>
      <c r="E17640" s="9"/>
      <c r="F17640" s="9"/>
      <c r="G17640" s="9"/>
      <c r="H17640" s="9"/>
      <c r="I17640" s="9"/>
      <c r="J17640" s="9"/>
      <c r="K17640" s="9"/>
      <c r="L17640" s="9"/>
      <c r="M17640" s="9"/>
      <c r="N17640" s="9"/>
      <c r="O17640" s="9"/>
      <c r="P17640" s="9"/>
      <c r="Q17640" s="9"/>
      <c r="R17640" s="9"/>
      <c r="S17640" s="9"/>
      <c r="T17640" s="9"/>
      <c r="U17640" s="9"/>
      <c r="V17640" s="9"/>
      <c r="W17640" s="9"/>
      <c r="X17640" s="9"/>
      <c r="Y17640" s="9"/>
      <c r="Z17640" s="9"/>
      <c r="AA17640" s="9"/>
      <c r="AB17640" s="9"/>
      <c r="AC17640" s="9"/>
      <c r="AG17640" s="10"/>
    </row>
    <row r="17641" spans="1:33">
      <c r="A17641" s="9"/>
      <c r="B17641" s="9"/>
      <c r="C17641" s="9"/>
      <c r="D17641" s="9"/>
      <c r="E17641" s="9"/>
      <c r="F17641" s="9"/>
      <c r="G17641" s="9"/>
      <c r="H17641" s="9"/>
      <c r="I17641" s="9"/>
      <c r="J17641" s="9"/>
      <c r="K17641" s="9"/>
      <c r="L17641" s="9"/>
      <c r="M17641" s="9"/>
      <c r="N17641" s="9"/>
      <c r="O17641" s="9"/>
      <c r="P17641" s="9"/>
      <c r="Q17641" s="9"/>
      <c r="R17641" s="9"/>
      <c r="S17641" s="9"/>
      <c r="T17641" s="9"/>
      <c r="U17641" s="9"/>
      <c r="V17641" s="9"/>
      <c r="W17641" s="9"/>
      <c r="X17641" s="9"/>
      <c r="Y17641" s="9"/>
      <c r="Z17641" s="9"/>
      <c r="AA17641" s="9"/>
      <c r="AB17641" s="9"/>
      <c r="AC17641" s="9"/>
      <c r="AG17641" s="10"/>
    </row>
    <row r="17642" spans="1:33">
      <c r="A17642" s="9"/>
      <c r="B17642" s="9"/>
      <c r="C17642" s="9"/>
      <c r="D17642" s="9"/>
      <c r="E17642" s="9"/>
      <c r="F17642" s="9"/>
      <c r="G17642" s="9"/>
      <c r="H17642" s="9"/>
      <c r="I17642" s="9"/>
      <c r="J17642" s="9"/>
      <c r="K17642" s="9"/>
      <c r="L17642" s="9"/>
      <c r="M17642" s="9"/>
      <c r="N17642" s="9"/>
      <c r="O17642" s="9"/>
      <c r="P17642" s="9"/>
      <c r="Q17642" s="9"/>
      <c r="R17642" s="9"/>
      <c r="S17642" s="9"/>
      <c r="T17642" s="9"/>
      <c r="U17642" s="9"/>
      <c r="V17642" s="9"/>
      <c r="W17642" s="9"/>
      <c r="X17642" s="9"/>
      <c r="Y17642" s="9"/>
      <c r="Z17642" s="9"/>
      <c r="AA17642" s="9"/>
      <c r="AB17642" s="9"/>
      <c r="AC17642" s="9"/>
      <c r="AG17642" s="10"/>
    </row>
    <row r="17643" spans="1:33">
      <c r="A17643" s="9"/>
      <c r="B17643" s="9"/>
      <c r="C17643" s="9"/>
      <c r="D17643" s="9"/>
      <c r="E17643" s="9"/>
      <c r="F17643" s="9"/>
      <c r="G17643" s="9"/>
      <c r="H17643" s="9"/>
      <c r="I17643" s="9"/>
      <c r="J17643" s="9"/>
      <c r="K17643" s="9"/>
      <c r="L17643" s="9"/>
      <c r="M17643" s="9"/>
      <c r="N17643" s="9"/>
      <c r="O17643" s="9"/>
      <c r="P17643" s="9"/>
      <c r="Q17643" s="9"/>
      <c r="R17643" s="9"/>
      <c r="S17643" s="9"/>
      <c r="T17643" s="9"/>
      <c r="U17643" s="9"/>
      <c r="V17643" s="9"/>
      <c r="W17643" s="9"/>
      <c r="X17643" s="9"/>
      <c r="Y17643" s="9"/>
      <c r="Z17643" s="9"/>
      <c r="AA17643" s="9"/>
      <c r="AB17643" s="9"/>
      <c r="AC17643" s="9"/>
      <c r="AG17643" s="10"/>
    </row>
    <row r="17644" spans="1:33">
      <c r="A17644" s="9"/>
      <c r="B17644" s="9"/>
      <c r="C17644" s="9"/>
      <c r="D17644" s="9"/>
      <c r="E17644" s="9"/>
      <c r="F17644" s="9"/>
      <c r="G17644" s="9"/>
      <c r="H17644" s="9"/>
      <c r="I17644" s="9"/>
      <c r="J17644" s="9"/>
      <c r="K17644" s="9"/>
      <c r="L17644" s="9"/>
      <c r="M17644" s="9"/>
      <c r="N17644" s="9"/>
      <c r="O17644" s="9"/>
      <c r="P17644" s="9"/>
      <c r="Q17644" s="9"/>
      <c r="R17644" s="9"/>
      <c r="S17644" s="9"/>
      <c r="T17644" s="9"/>
      <c r="U17644" s="9"/>
      <c r="V17644" s="9"/>
      <c r="W17644" s="9"/>
      <c r="X17644" s="9"/>
      <c r="Y17644" s="9"/>
      <c r="Z17644" s="9"/>
      <c r="AA17644" s="9"/>
      <c r="AB17644" s="9"/>
      <c r="AC17644" s="9"/>
      <c r="AG17644" s="10"/>
    </row>
    <row r="17645" spans="1:33">
      <c r="A17645" s="9"/>
      <c r="B17645" s="9"/>
      <c r="C17645" s="9"/>
      <c r="D17645" s="9"/>
      <c r="E17645" s="9"/>
      <c r="F17645" s="9"/>
      <c r="G17645" s="9"/>
      <c r="H17645" s="9"/>
      <c r="I17645" s="9"/>
      <c r="J17645" s="9"/>
      <c r="K17645" s="9"/>
      <c r="L17645" s="9"/>
      <c r="M17645" s="9"/>
      <c r="N17645" s="9"/>
      <c r="O17645" s="9"/>
      <c r="P17645" s="9"/>
      <c r="Q17645" s="9"/>
      <c r="R17645" s="9"/>
      <c r="S17645" s="9"/>
      <c r="T17645" s="9"/>
      <c r="U17645" s="9"/>
      <c r="V17645" s="9"/>
      <c r="W17645" s="9"/>
      <c r="X17645" s="9"/>
      <c r="Y17645" s="9"/>
      <c r="Z17645" s="9"/>
      <c r="AA17645" s="9"/>
      <c r="AB17645" s="9"/>
      <c r="AC17645" s="9"/>
      <c r="AG17645" s="10"/>
    </row>
    <row r="17646" spans="1:33">
      <c r="A17646" s="9"/>
      <c r="B17646" s="9"/>
      <c r="C17646" s="9"/>
      <c r="D17646" s="9"/>
      <c r="E17646" s="9"/>
      <c r="F17646" s="9"/>
      <c r="G17646" s="9"/>
      <c r="H17646" s="9"/>
      <c r="I17646" s="9"/>
      <c r="J17646" s="9"/>
      <c r="K17646" s="9"/>
      <c r="L17646" s="9"/>
      <c r="M17646" s="9"/>
      <c r="N17646" s="9"/>
      <c r="O17646" s="9"/>
      <c r="P17646" s="9"/>
      <c r="Q17646" s="9"/>
      <c r="R17646" s="9"/>
      <c r="S17646" s="9"/>
      <c r="T17646" s="9"/>
      <c r="U17646" s="9"/>
      <c r="V17646" s="9"/>
      <c r="W17646" s="9"/>
      <c r="X17646" s="9"/>
      <c r="Y17646" s="9"/>
      <c r="Z17646" s="9"/>
      <c r="AA17646" s="9"/>
      <c r="AB17646" s="9"/>
      <c r="AC17646" s="9"/>
      <c r="AG17646" s="10"/>
    </row>
    <row r="17647" spans="1:33">
      <c r="A17647" s="9"/>
      <c r="B17647" s="9"/>
      <c r="C17647" s="9"/>
      <c r="D17647" s="9"/>
      <c r="E17647" s="9"/>
      <c r="F17647" s="9"/>
      <c r="G17647" s="9"/>
      <c r="H17647" s="9"/>
      <c r="I17647" s="9"/>
      <c r="J17647" s="9"/>
      <c r="K17647" s="9"/>
      <c r="L17647" s="9"/>
      <c r="M17647" s="9"/>
      <c r="N17647" s="9"/>
      <c r="O17647" s="9"/>
      <c r="P17647" s="9"/>
      <c r="Q17647" s="9"/>
      <c r="R17647" s="9"/>
      <c r="S17647" s="9"/>
      <c r="T17647" s="9"/>
      <c r="U17647" s="9"/>
      <c r="V17647" s="9"/>
      <c r="W17647" s="9"/>
      <c r="X17647" s="9"/>
      <c r="Y17647" s="9"/>
      <c r="Z17647" s="9"/>
      <c r="AA17647" s="9"/>
      <c r="AB17647" s="9"/>
      <c r="AC17647" s="9"/>
      <c r="AG17647" s="10"/>
    </row>
    <row r="17648" spans="1:33">
      <c r="A17648" s="9"/>
      <c r="B17648" s="9"/>
      <c r="C17648" s="9"/>
      <c r="D17648" s="9"/>
      <c r="E17648" s="9"/>
      <c r="F17648" s="9"/>
      <c r="G17648" s="9"/>
      <c r="H17648" s="9"/>
      <c r="I17648" s="9"/>
      <c r="J17648" s="9"/>
      <c r="K17648" s="9"/>
      <c r="L17648" s="9"/>
      <c r="M17648" s="9"/>
      <c r="N17648" s="9"/>
      <c r="O17648" s="9"/>
      <c r="P17648" s="9"/>
      <c r="Q17648" s="9"/>
      <c r="R17648" s="9"/>
      <c r="S17648" s="9"/>
      <c r="T17648" s="9"/>
      <c r="U17648" s="9"/>
      <c r="V17648" s="9"/>
      <c r="W17648" s="9"/>
      <c r="X17648" s="9"/>
      <c r="Y17648" s="9"/>
      <c r="Z17648" s="9"/>
      <c r="AA17648" s="9"/>
      <c r="AB17648" s="9"/>
      <c r="AC17648" s="9"/>
      <c r="AG17648" s="10"/>
    </row>
    <row r="17649" spans="1:33">
      <c r="A17649" s="9"/>
      <c r="B17649" s="9"/>
      <c r="C17649" s="9"/>
      <c r="D17649" s="9"/>
      <c r="E17649" s="9"/>
      <c r="F17649" s="9"/>
      <c r="G17649" s="9"/>
      <c r="H17649" s="9"/>
      <c r="I17649" s="9"/>
      <c r="J17649" s="9"/>
      <c r="K17649" s="9"/>
      <c r="L17649" s="9"/>
      <c r="M17649" s="9"/>
      <c r="N17649" s="9"/>
      <c r="O17649" s="9"/>
      <c r="P17649" s="9"/>
      <c r="Q17649" s="9"/>
      <c r="R17649" s="9"/>
      <c r="S17649" s="9"/>
      <c r="T17649" s="9"/>
      <c r="U17649" s="9"/>
      <c r="V17649" s="9"/>
      <c r="W17649" s="9"/>
      <c r="X17649" s="9"/>
      <c r="Y17649" s="9"/>
      <c r="Z17649" s="9"/>
      <c r="AA17649" s="9"/>
      <c r="AB17649" s="9"/>
      <c r="AC17649" s="9"/>
      <c r="AG17649" s="10"/>
    </row>
    <row r="17650" spans="1:33">
      <c r="A17650" s="9"/>
      <c r="B17650" s="9"/>
      <c r="C17650" s="9"/>
      <c r="D17650" s="9"/>
      <c r="E17650" s="9"/>
      <c r="F17650" s="9"/>
      <c r="G17650" s="9"/>
      <c r="H17650" s="9"/>
      <c r="I17650" s="9"/>
      <c r="J17650" s="9"/>
      <c r="K17650" s="9"/>
      <c r="L17650" s="9"/>
      <c r="M17650" s="9"/>
      <c r="N17650" s="9"/>
      <c r="O17650" s="9"/>
      <c r="P17650" s="9"/>
      <c r="Q17650" s="9"/>
      <c r="R17650" s="9"/>
      <c r="S17650" s="9"/>
      <c r="T17650" s="9"/>
      <c r="U17650" s="9"/>
      <c r="V17650" s="9"/>
      <c r="W17650" s="9"/>
      <c r="X17650" s="9"/>
      <c r="Y17650" s="9"/>
      <c r="Z17650" s="9"/>
      <c r="AA17650" s="9"/>
      <c r="AB17650" s="9"/>
      <c r="AC17650" s="9"/>
      <c r="AG17650" s="10"/>
    </row>
    <row r="17651" spans="1:33">
      <c r="A17651" s="9"/>
      <c r="B17651" s="9"/>
      <c r="C17651" s="9"/>
      <c r="D17651" s="9"/>
      <c r="E17651" s="9"/>
      <c r="F17651" s="9"/>
      <c r="G17651" s="9"/>
      <c r="H17651" s="9"/>
      <c r="I17651" s="9"/>
      <c r="J17651" s="9"/>
      <c r="K17651" s="9"/>
      <c r="L17651" s="9"/>
      <c r="M17651" s="9"/>
      <c r="N17651" s="9"/>
      <c r="O17651" s="9"/>
      <c r="P17651" s="9"/>
      <c r="Q17651" s="9"/>
      <c r="R17651" s="9"/>
      <c r="S17651" s="9"/>
      <c r="T17651" s="9"/>
      <c r="U17651" s="9"/>
      <c r="V17651" s="9"/>
      <c r="W17651" s="9"/>
      <c r="X17651" s="9"/>
      <c r="Y17651" s="9"/>
      <c r="Z17651" s="9"/>
      <c r="AA17651" s="9"/>
      <c r="AB17651" s="9"/>
      <c r="AC17651" s="9"/>
      <c r="AG17651" s="10"/>
    </row>
    <row r="17652" spans="1:33">
      <c r="A17652" s="9"/>
      <c r="B17652" s="9"/>
      <c r="C17652" s="9"/>
      <c r="D17652" s="9"/>
      <c r="E17652" s="9"/>
      <c r="F17652" s="9"/>
      <c r="G17652" s="9"/>
      <c r="H17652" s="9"/>
      <c r="I17652" s="9"/>
      <c r="J17652" s="9"/>
      <c r="K17652" s="9"/>
      <c r="L17652" s="9"/>
      <c r="M17652" s="9"/>
      <c r="N17652" s="9"/>
      <c r="O17652" s="9"/>
      <c r="P17652" s="9"/>
      <c r="Q17652" s="9"/>
      <c r="R17652" s="9"/>
      <c r="S17652" s="9"/>
      <c r="T17652" s="9"/>
      <c r="U17652" s="9"/>
      <c r="V17652" s="9"/>
      <c r="W17652" s="9"/>
      <c r="X17652" s="9"/>
      <c r="Y17652" s="9"/>
      <c r="Z17652" s="9"/>
      <c r="AA17652" s="9"/>
      <c r="AB17652" s="9"/>
      <c r="AC17652" s="9"/>
      <c r="AG17652" s="10"/>
    </row>
    <row r="17653" spans="1:33">
      <c r="A17653" s="9"/>
      <c r="B17653" s="9"/>
      <c r="C17653" s="9"/>
      <c r="D17653" s="9"/>
      <c r="E17653" s="9"/>
      <c r="F17653" s="9"/>
      <c r="G17653" s="9"/>
      <c r="H17653" s="9"/>
      <c r="I17653" s="9"/>
      <c r="J17653" s="9"/>
      <c r="K17653" s="9"/>
      <c r="L17653" s="9"/>
      <c r="M17653" s="9"/>
      <c r="N17653" s="9"/>
      <c r="O17653" s="9"/>
      <c r="P17653" s="9"/>
      <c r="Q17653" s="9"/>
      <c r="R17653" s="9"/>
      <c r="S17653" s="9"/>
      <c r="T17653" s="9"/>
      <c r="U17653" s="9"/>
      <c r="V17653" s="9"/>
      <c r="W17653" s="9"/>
      <c r="X17653" s="9"/>
      <c r="Y17653" s="9"/>
      <c r="Z17653" s="9"/>
      <c r="AA17653" s="9"/>
      <c r="AB17653" s="9"/>
      <c r="AC17653" s="9"/>
      <c r="AG17653" s="10"/>
    </row>
    <row r="17654" spans="1:33">
      <c r="A17654" s="9"/>
      <c r="B17654" s="9"/>
      <c r="C17654" s="9"/>
      <c r="D17654" s="9"/>
      <c r="E17654" s="9"/>
      <c r="F17654" s="9"/>
      <c r="G17654" s="9"/>
      <c r="H17654" s="9"/>
      <c r="I17654" s="9"/>
      <c r="J17654" s="9"/>
      <c r="K17654" s="9"/>
      <c r="L17654" s="9"/>
      <c r="M17654" s="9"/>
      <c r="N17654" s="9"/>
      <c r="O17654" s="9"/>
      <c r="P17654" s="9"/>
      <c r="Q17654" s="9"/>
      <c r="R17654" s="9"/>
      <c r="S17654" s="9"/>
      <c r="T17654" s="9"/>
      <c r="U17654" s="9"/>
      <c r="V17654" s="9"/>
      <c r="W17654" s="9"/>
      <c r="X17654" s="9"/>
      <c r="Y17654" s="9"/>
      <c r="Z17654" s="9"/>
      <c r="AA17654" s="9"/>
      <c r="AB17654" s="9"/>
      <c r="AC17654" s="9"/>
      <c r="AG17654" s="10"/>
    </row>
    <row r="17655" spans="1:33">
      <c r="A17655" s="9"/>
      <c r="B17655" s="9"/>
      <c r="C17655" s="9"/>
      <c r="D17655" s="9"/>
      <c r="E17655" s="9"/>
      <c r="F17655" s="9"/>
      <c r="G17655" s="9"/>
      <c r="H17655" s="9"/>
      <c r="I17655" s="9"/>
      <c r="J17655" s="9"/>
      <c r="K17655" s="9"/>
      <c r="L17655" s="9"/>
      <c r="M17655" s="9"/>
      <c r="N17655" s="9"/>
      <c r="O17655" s="9"/>
      <c r="P17655" s="9"/>
      <c r="Q17655" s="9"/>
      <c r="R17655" s="9"/>
      <c r="S17655" s="9"/>
      <c r="T17655" s="9"/>
      <c r="U17655" s="9"/>
      <c r="V17655" s="9"/>
      <c r="W17655" s="9"/>
      <c r="X17655" s="9"/>
      <c r="Y17655" s="9"/>
      <c r="Z17655" s="9"/>
      <c r="AA17655" s="9"/>
      <c r="AB17655" s="9"/>
      <c r="AC17655" s="9"/>
      <c r="AG17655" s="10"/>
    </row>
    <row r="17656" spans="1:33">
      <c r="A17656" s="9"/>
      <c r="B17656" s="9"/>
      <c r="C17656" s="9"/>
      <c r="D17656" s="9"/>
      <c r="E17656" s="9"/>
      <c r="F17656" s="9"/>
      <c r="G17656" s="9"/>
      <c r="H17656" s="9"/>
      <c r="I17656" s="9"/>
      <c r="J17656" s="9"/>
      <c r="K17656" s="9"/>
      <c r="L17656" s="9"/>
      <c r="M17656" s="9"/>
      <c r="N17656" s="9"/>
      <c r="O17656" s="9"/>
      <c r="P17656" s="9"/>
      <c r="Q17656" s="9"/>
      <c r="R17656" s="9"/>
      <c r="S17656" s="9"/>
      <c r="T17656" s="9"/>
      <c r="U17656" s="9"/>
      <c r="V17656" s="9"/>
      <c r="W17656" s="9"/>
      <c r="X17656" s="9"/>
      <c r="Y17656" s="9"/>
      <c r="Z17656" s="9"/>
      <c r="AA17656" s="9"/>
      <c r="AB17656" s="9"/>
      <c r="AC17656" s="9"/>
      <c r="AG17656" s="10"/>
    </row>
    <row r="17657" spans="1:33">
      <c r="A17657" s="9"/>
      <c r="B17657" s="9"/>
      <c r="C17657" s="9"/>
      <c r="D17657" s="9"/>
      <c r="E17657" s="9"/>
      <c r="F17657" s="9"/>
      <c r="G17657" s="9"/>
      <c r="H17657" s="9"/>
      <c r="I17657" s="9"/>
      <c r="J17657" s="9"/>
      <c r="K17657" s="9"/>
      <c r="L17657" s="9"/>
      <c r="M17657" s="9"/>
      <c r="N17657" s="9"/>
      <c r="O17657" s="9"/>
      <c r="P17657" s="9"/>
      <c r="Q17657" s="9"/>
      <c r="R17657" s="9"/>
      <c r="S17657" s="9"/>
      <c r="T17657" s="9"/>
      <c r="U17657" s="9"/>
      <c r="V17657" s="9"/>
      <c r="W17657" s="9"/>
      <c r="X17657" s="9"/>
      <c r="Y17657" s="9"/>
      <c r="Z17657" s="9"/>
      <c r="AA17657" s="9"/>
      <c r="AB17657" s="9"/>
      <c r="AC17657" s="9"/>
      <c r="AG17657" s="10"/>
    </row>
    <row r="17658" spans="1:33">
      <c r="A17658" s="9"/>
      <c r="B17658" s="9"/>
      <c r="C17658" s="9"/>
      <c r="D17658" s="9"/>
      <c r="E17658" s="9"/>
      <c r="F17658" s="9"/>
      <c r="G17658" s="9"/>
      <c r="H17658" s="9"/>
      <c r="I17658" s="9"/>
      <c r="J17658" s="9"/>
      <c r="K17658" s="9"/>
      <c r="L17658" s="9"/>
      <c r="M17658" s="9"/>
      <c r="N17658" s="9"/>
      <c r="O17658" s="9"/>
      <c r="P17658" s="9"/>
      <c r="Q17658" s="9"/>
      <c r="R17658" s="9"/>
      <c r="S17658" s="9"/>
      <c r="T17658" s="9"/>
      <c r="U17658" s="9"/>
      <c r="V17658" s="9"/>
      <c r="W17658" s="9"/>
      <c r="X17658" s="9"/>
      <c r="Y17658" s="9"/>
      <c r="Z17658" s="9"/>
      <c r="AA17658" s="9"/>
      <c r="AB17658" s="9"/>
      <c r="AC17658" s="9"/>
      <c r="AG17658" s="10"/>
    </row>
    <row r="17659" spans="1:33">
      <c r="A17659" s="9"/>
      <c r="B17659" s="9"/>
      <c r="C17659" s="9"/>
      <c r="D17659" s="9"/>
      <c r="E17659" s="9"/>
      <c r="F17659" s="9"/>
      <c r="G17659" s="9"/>
      <c r="H17659" s="9"/>
      <c r="I17659" s="9"/>
      <c r="J17659" s="9"/>
      <c r="K17659" s="9"/>
      <c r="L17659" s="9"/>
      <c r="M17659" s="9"/>
      <c r="N17659" s="9"/>
      <c r="O17659" s="9"/>
      <c r="P17659" s="9"/>
      <c r="Q17659" s="9"/>
      <c r="R17659" s="9"/>
      <c r="S17659" s="9"/>
      <c r="T17659" s="9"/>
      <c r="U17659" s="9"/>
      <c r="V17659" s="9"/>
      <c r="W17659" s="9"/>
      <c r="X17659" s="9"/>
      <c r="Y17659" s="9"/>
      <c r="Z17659" s="9"/>
      <c r="AA17659" s="9"/>
      <c r="AB17659" s="9"/>
      <c r="AC17659" s="9"/>
      <c r="AG17659" s="10"/>
    </row>
    <row r="17660" spans="1:33">
      <c r="A17660" s="9"/>
      <c r="B17660" s="9"/>
      <c r="C17660" s="9"/>
      <c r="D17660" s="9"/>
      <c r="E17660" s="9"/>
      <c r="F17660" s="9"/>
      <c r="G17660" s="9"/>
      <c r="H17660" s="9"/>
      <c r="I17660" s="9"/>
      <c r="J17660" s="9"/>
      <c r="K17660" s="9"/>
      <c r="L17660" s="9"/>
      <c r="M17660" s="9"/>
      <c r="N17660" s="9"/>
      <c r="O17660" s="9"/>
      <c r="P17660" s="9"/>
      <c r="Q17660" s="9"/>
      <c r="R17660" s="9"/>
      <c r="S17660" s="9"/>
      <c r="T17660" s="9"/>
      <c r="U17660" s="9"/>
      <c r="V17660" s="9"/>
      <c r="W17660" s="9"/>
      <c r="X17660" s="9"/>
      <c r="Y17660" s="9"/>
      <c r="Z17660" s="9"/>
      <c r="AA17660" s="9"/>
      <c r="AB17660" s="9"/>
      <c r="AC17660" s="9"/>
      <c r="AG17660" s="10"/>
    </row>
    <row r="17661" spans="1:33">
      <c r="A17661" s="9"/>
      <c r="B17661" s="9"/>
      <c r="C17661" s="9"/>
      <c r="D17661" s="9"/>
      <c r="E17661" s="9"/>
      <c r="F17661" s="9"/>
      <c r="G17661" s="9"/>
      <c r="H17661" s="9"/>
      <c r="I17661" s="9"/>
      <c r="J17661" s="9"/>
      <c r="K17661" s="9"/>
      <c r="L17661" s="9"/>
      <c r="M17661" s="9"/>
      <c r="N17661" s="9"/>
      <c r="O17661" s="9"/>
      <c r="P17661" s="9"/>
      <c r="Q17661" s="9"/>
      <c r="R17661" s="9"/>
      <c r="S17661" s="9"/>
      <c r="T17661" s="9"/>
      <c r="U17661" s="9"/>
      <c r="V17661" s="9"/>
      <c r="W17661" s="9"/>
      <c r="X17661" s="9"/>
      <c r="Y17661" s="9"/>
      <c r="Z17661" s="9"/>
      <c r="AA17661" s="9"/>
      <c r="AB17661" s="9"/>
      <c r="AC17661" s="9"/>
      <c r="AG17661" s="10"/>
    </row>
    <row r="17662" spans="1:33">
      <c r="A17662" s="9"/>
      <c r="B17662" s="9"/>
      <c r="C17662" s="9"/>
      <c r="D17662" s="9"/>
      <c r="E17662" s="9"/>
      <c r="F17662" s="9"/>
      <c r="G17662" s="9"/>
      <c r="H17662" s="9"/>
      <c r="I17662" s="9"/>
      <c r="J17662" s="9"/>
      <c r="K17662" s="9"/>
      <c r="L17662" s="9"/>
      <c r="M17662" s="9"/>
      <c r="N17662" s="9"/>
      <c r="O17662" s="9"/>
      <c r="P17662" s="9"/>
      <c r="Q17662" s="9"/>
      <c r="R17662" s="9"/>
      <c r="S17662" s="9"/>
      <c r="T17662" s="9"/>
      <c r="U17662" s="9"/>
      <c r="V17662" s="9"/>
      <c r="W17662" s="9"/>
      <c r="X17662" s="9"/>
      <c r="Y17662" s="9"/>
      <c r="Z17662" s="9"/>
      <c r="AA17662" s="9"/>
      <c r="AB17662" s="9"/>
      <c r="AC17662" s="9"/>
      <c r="AG17662" s="10"/>
    </row>
    <row r="17663" spans="1:33">
      <c r="A17663" s="9"/>
      <c r="B17663" s="9"/>
      <c r="C17663" s="9"/>
      <c r="D17663" s="9"/>
      <c r="E17663" s="9"/>
      <c r="F17663" s="9"/>
      <c r="G17663" s="9"/>
      <c r="H17663" s="9"/>
      <c r="I17663" s="9"/>
      <c r="J17663" s="9"/>
      <c r="K17663" s="9"/>
      <c r="L17663" s="9"/>
      <c r="M17663" s="9"/>
      <c r="N17663" s="9"/>
      <c r="O17663" s="9"/>
      <c r="P17663" s="9"/>
      <c r="Q17663" s="9"/>
      <c r="R17663" s="9"/>
      <c r="S17663" s="9"/>
      <c r="T17663" s="9"/>
      <c r="U17663" s="9"/>
      <c r="V17663" s="9"/>
      <c r="W17663" s="9"/>
      <c r="X17663" s="9"/>
      <c r="Y17663" s="9"/>
      <c r="Z17663" s="9"/>
      <c r="AA17663" s="9"/>
      <c r="AB17663" s="9"/>
      <c r="AC17663" s="9"/>
      <c r="AG17663" s="10"/>
    </row>
    <row r="17664" spans="1:33">
      <c r="A17664" s="9"/>
      <c r="B17664" s="9"/>
      <c r="C17664" s="9"/>
      <c r="D17664" s="9"/>
      <c r="E17664" s="9"/>
      <c r="F17664" s="9"/>
      <c r="G17664" s="9"/>
      <c r="H17664" s="9"/>
      <c r="I17664" s="9"/>
      <c r="J17664" s="9"/>
      <c r="K17664" s="9"/>
      <c r="L17664" s="9"/>
      <c r="M17664" s="9"/>
      <c r="N17664" s="9"/>
      <c r="O17664" s="9"/>
      <c r="P17664" s="9"/>
      <c r="Q17664" s="9"/>
      <c r="R17664" s="9"/>
      <c r="S17664" s="9"/>
      <c r="T17664" s="9"/>
      <c r="U17664" s="9"/>
      <c r="V17664" s="9"/>
      <c r="W17664" s="9"/>
      <c r="X17664" s="9"/>
      <c r="Y17664" s="9"/>
      <c r="Z17664" s="9"/>
      <c r="AA17664" s="9"/>
      <c r="AB17664" s="9"/>
      <c r="AC17664" s="9"/>
      <c r="AG17664" s="10"/>
    </row>
    <row r="17665" spans="1:33">
      <c r="A17665" s="9"/>
      <c r="B17665" s="9"/>
      <c r="C17665" s="9"/>
      <c r="D17665" s="9"/>
      <c r="E17665" s="9"/>
      <c r="F17665" s="9"/>
      <c r="G17665" s="9"/>
      <c r="H17665" s="9"/>
      <c r="I17665" s="9"/>
      <c r="J17665" s="9"/>
      <c r="K17665" s="9"/>
      <c r="L17665" s="9"/>
      <c r="M17665" s="9"/>
      <c r="N17665" s="9"/>
      <c r="O17665" s="9"/>
      <c r="P17665" s="9"/>
      <c r="Q17665" s="9"/>
      <c r="R17665" s="9"/>
      <c r="S17665" s="9"/>
      <c r="T17665" s="9"/>
      <c r="U17665" s="9"/>
      <c r="V17665" s="9"/>
      <c r="W17665" s="9"/>
      <c r="X17665" s="9"/>
      <c r="Y17665" s="9"/>
      <c r="Z17665" s="9"/>
      <c r="AA17665" s="9"/>
      <c r="AB17665" s="9"/>
      <c r="AC17665" s="9"/>
      <c r="AG17665" s="10"/>
    </row>
    <row r="17666" spans="1:33">
      <c r="A17666" s="9"/>
      <c r="B17666" s="9"/>
      <c r="C17666" s="9"/>
      <c r="D17666" s="9"/>
      <c r="E17666" s="9"/>
      <c r="F17666" s="9"/>
      <c r="G17666" s="9"/>
      <c r="H17666" s="9"/>
      <c r="I17666" s="9"/>
      <c r="J17666" s="9"/>
      <c r="K17666" s="9"/>
      <c r="L17666" s="9"/>
      <c r="M17666" s="9"/>
      <c r="N17666" s="9"/>
      <c r="O17666" s="9"/>
      <c r="P17666" s="9"/>
      <c r="Q17666" s="9"/>
      <c r="R17666" s="9"/>
      <c r="S17666" s="9"/>
      <c r="T17666" s="9"/>
      <c r="U17666" s="9"/>
      <c r="V17666" s="9"/>
      <c r="W17666" s="9"/>
      <c r="X17666" s="9"/>
      <c r="Y17666" s="9"/>
      <c r="Z17666" s="9"/>
      <c r="AA17666" s="9"/>
      <c r="AB17666" s="9"/>
      <c r="AC17666" s="9"/>
      <c r="AG17666" s="10"/>
    </row>
    <row r="17667" spans="1:33">
      <c r="A17667" s="9"/>
      <c r="B17667" s="9"/>
      <c r="C17667" s="9"/>
      <c r="D17667" s="9"/>
      <c r="E17667" s="9"/>
      <c r="F17667" s="9"/>
      <c r="G17667" s="9"/>
      <c r="H17667" s="9"/>
      <c r="I17667" s="9"/>
      <c r="J17667" s="9"/>
      <c r="K17667" s="9"/>
      <c r="L17667" s="9"/>
      <c r="M17667" s="9"/>
      <c r="N17667" s="9"/>
      <c r="O17667" s="9"/>
      <c r="P17667" s="9"/>
      <c r="Q17667" s="9"/>
      <c r="R17667" s="9"/>
      <c r="S17667" s="9"/>
      <c r="T17667" s="9"/>
      <c r="U17667" s="9"/>
      <c r="V17667" s="9"/>
      <c r="W17667" s="9"/>
      <c r="X17667" s="9"/>
      <c r="Y17667" s="9"/>
      <c r="Z17667" s="9"/>
      <c r="AA17667" s="9"/>
      <c r="AB17667" s="9"/>
      <c r="AC17667" s="9"/>
      <c r="AG17667" s="10"/>
    </row>
    <row r="17668" spans="1:33">
      <c r="A17668" s="9"/>
      <c r="B17668" s="9"/>
      <c r="C17668" s="9"/>
      <c r="D17668" s="9"/>
      <c r="E17668" s="9"/>
      <c r="F17668" s="9"/>
      <c r="G17668" s="9"/>
      <c r="H17668" s="9"/>
      <c r="I17668" s="9"/>
      <c r="J17668" s="9"/>
      <c r="K17668" s="9"/>
      <c r="L17668" s="9"/>
      <c r="M17668" s="9"/>
      <c r="N17668" s="9"/>
      <c r="O17668" s="9"/>
      <c r="P17668" s="9"/>
      <c r="Q17668" s="9"/>
      <c r="R17668" s="9"/>
      <c r="S17668" s="9"/>
      <c r="T17668" s="9"/>
      <c r="U17668" s="9"/>
      <c r="V17668" s="9"/>
      <c r="W17668" s="9"/>
      <c r="X17668" s="9"/>
      <c r="Y17668" s="9"/>
      <c r="Z17668" s="9"/>
      <c r="AA17668" s="9"/>
      <c r="AB17668" s="9"/>
      <c r="AC17668" s="9"/>
      <c r="AG17668" s="10"/>
    </row>
    <row r="17669" spans="1:33">
      <c r="A17669" s="9"/>
      <c r="B17669" s="9"/>
      <c r="C17669" s="9"/>
      <c r="D17669" s="9"/>
      <c r="E17669" s="9"/>
      <c r="F17669" s="9"/>
      <c r="G17669" s="9"/>
      <c r="H17669" s="9"/>
      <c r="I17669" s="9"/>
      <c r="J17669" s="9"/>
      <c r="K17669" s="9"/>
      <c r="L17669" s="9"/>
      <c r="M17669" s="9"/>
      <c r="N17669" s="9"/>
      <c r="O17669" s="9"/>
      <c r="P17669" s="9"/>
      <c r="Q17669" s="9"/>
      <c r="R17669" s="9"/>
      <c r="S17669" s="9"/>
      <c r="T17669" s="9"/>
      <c r="U17669" s="9"/>
      <c r="V17669" s="9"/>
      <c r="W17669" s="9"/>
      <c r="X17669" s="9"/>
      <c r="Y17669" s="9"/>
      <c r="Z17669" s="9"/>
      <c r="AA17669" s="9"/>
      <c r="AB17669" s="9"/>
      <c r="AC17669" s="9"/>
      <c r="AG17669" s="10"/>
    </row>
    <row r="17670" spans="1:33">
      <c r="A17670" s="9"/>
      <c r="B17670" s="9"/>
      <c r="C17670" s="9"/>
      <c r="D17670" s="9"/>
      <c r="E17670" s="9"/>
      <c r="F17670" s="9"/>
      <c r="G17670" s="9"/>
      <c r="H17670" s="9"/>
      <c r="I17670" s="9"/>
      <c r="J17670" s="9"/>
      <c r="K17670" s="9"/>
      <c r="L17670" s="9"/>
      <c r="M17670" s="9"/>
      <c r="N17670" s="9"/>
      <c r="O17670" s="9"/>
      <c r="P17670" s="9"/>
      <c r="Q17670" s="9"/>
      <c r="R17670" s="9"/>
      <c r="S17670" s="9"/>
      <c r="T17670" s="9"/>
      <c r="U17670" s="9"/>
      <c r="V17670" s="9"/>
      <c r="W17670" s="9"/>
      <c r="X17670" s="9"/>
      <c r="Y17670" s="9"/>
      <c r="Z17670" s="9"/>
      <c r="AA17670" s="9"/>
      <c r="AB17670" s="9"/>
      <c r="AC17670" s="9"/>
      <c r="AG17670" s="10"/>
    </row>
    <row r="17671" spans="1:33">
      <c r="A17671" s="9"/>
      <c r="B17671" s="9"/>
      <c r="C17671" s="9"/>
      <c r="D17671" s="9"/>
      <c r="E17671" s="9"/>
      <c r="F17671" s="9"/>
      <c r="G17671" s="9"/>
      <c r="H17671" s="9"/>
      <c r="I17671" s="9"/>
      <c r="J17671" s="9"/>
      <c r="K17671" s="9"/>
      <c r="L17671" s="9"/>
      <c r="M17671" s="9"/>
      <c r="N17671" s="9"/>
      <c r="O17671" s="9"/>
      <c r="P17671" s="9"/>
      <c r="Q17671" s="9"/>
      <c r="R17671" s="9"/>
      <c r="S17671" s="9"/>
      <c r="T17671" s="9"/>
      <c r="U17671" s="9"/>
      <c r="V17671" s="9"/>
      <c r="W17671" s="9"/>
      <c r="X17671" s="9"/>
      <c r="Y17671" s="9"/>
      <c r="Z17671" s="9"/>
      <c r="AA17671" s="9"/>
      <c r="AB17671" s="9"/>
      <c r="AC17671" s="9"/>
      <c r="AG17671" s="10"/>
    </row>
    <row r="17672" spans="1:33">
      <c r="A17672" s="9"/>
      <c r="B17672" s="9"/>
      <c r="C17672" s="9"/>
      <c r="D17672" s="9"/>
      <c r="E17672" s="9"/>
      <c r="F17672" s="9"/>
      <c r="G17672" s="9"/>
      <c r="H17672" s="9"/>
      <c r="I17672" s="9"/>
      <c r="J17672" s="9"/>
      <c r="K17672" s="9"/>
      <c r="L17672" s="9"/>
      <c r="M17672" s="9"/>
      <c r="N17672" s="9"/>
      <c r="O17672" s="9"/>
      <c r="P17672" s="9"/>
      <c r="Q17672" s="9"/>
      <c r="R17672" s="9"/>
      <c r="S17672" s="9"/>
      <c r="T17672" s="9"/>
      <c r="U17672" s="9"/>
      <c r="V17672" s="9"/>
      <c r="W17672" s="9"/>
      <c r="X17672" s="9"/>
      <c r="Y17672" s="9"/>
      <c r="Z17672" s="9"/>
      <c r="AA17672" s="9"/>
      <c r="AB17672" s="9"/>
      <c r="AC17672" s="9"/>
      <c r="AG17672" s="10"/>
    </row>
    <row r="17673" spans="1:33">
      <c r="A17673" s="9"/>
      <c r="B17673" s="9"/>
      <c r="C17673" s="9"/>
      <c r="D17673" s="9"/>
      <c r="E17673" s="9"/>
      <c r="F17673" s="9"/>
      <c r="G17673" s="9"/>
      <c r="H17673" s="9"/>
      <c r="I17673" s="9"/>
      <c r="J17673" s="9"/>
      <c r="K17673" s="9"/>
      <c r="L17673" s="9"/>
      <c r="M17673" s="9"/>
      <c r="N17673" s="9"/>
      <c r="O17673" s="9"/>
      <c r="P17673" s="9"/>
      <c r="Q17673" s="9"/>
      <c r="R17673" s="9"/>
      <c r="S17673" s="9"/>
      <c r="T17673" s="9"/>
      <c r="U17673" s="9"/>
      <c r="V17673" s="9"/>
      <c r="W17673" s="9"/>
      <c r="X17673" s="9"/>
      <c r="Y17673" s="9"/>
      <c r="Z17673" s="9"/>
      <c r="AA17673" s="9"/>
      <c r="AB17673" s="9"/>
      <c r="AC17673" s="9"/>
      <c r="AG17673" s="10"/>
    </row>
    <row r="17674" spans="1:33">
      <c r="A17674" s="9"/>
      <c r="B17674" s="9"/>
      <c r="C17674" s="9"/>
      <c r="D17674" s="9"/>
      <c r="E17674" s="9"/>
      <c r="F17674" s="9"/>
      <c r="G17674" s="9"/>
      <c r="H17674" s="9"/>
      <c r="I17674" s="9"/>
      <c r="J17674" s="9"/>
      <c r="K17674" s="9"/>
      <c r="L17674" s="9"/>
      <c r="M17674" s="9"/>
      <c r="N17674" s="9"/>
      <c r="O17674" s="9"/>
      <c r="P17674" s="9"/>
      <c r="Q17674" s="9"/>
      <c r="R17674" s="9"/>
      <c r="S17674" s="9"/>
      <c r="T17674" s="9"/>
      <c r="U17674" s="9"/>
      <c r="V17674" s="9"/>
      <c r="W17674" s="9"/>
      <c r="X17674" s="9"/>
      <c r="Y17674" s="9"/>
      <c r="Z17674" s="9"/>
      <c r="AA17674" s="9"/>
      <c r="AB17674" s="9"/>
      <c r="AC17674" s="9"/>
      <c r="AG17674" s="10"/>
    </row>
    <row r="17675" spans="1:33">
      <c r="A17675" s="9"/>
      <c r="B17675" s="9"/>
      <c r="C17675" s="9"/>
      <c r="D17675" s="9"/>
      <c r="E17675" s="9"/>
      <c r="F17675" s="9"/>
      <c r="G17675" s="9"/>
      <c r="H17675" s="9"/>
      <c r="I17675" s="9"/>
      <c r="J17675" s="9"/>
      <c r="K17675" s="9"/>
      <c r="L17675" s="9"/>
      <c r="M17675" s="9"/>
      <c r="N17675" s="9"/>
      <c r="O17675" s="9"/>
      <c r="P17675" s="9"/>
      <c r="Q17675" s="9"/>
      <c r="R17675" s="9"/>
      <c r="S17675" s="9"/>
      <c r="T17675" s="9"/>
      <c r="U17675" s="9"/>
      <c r="V17675" s="9"/>
      <c r="W17675" s="9"/>
      <c r="X17675" s="9"/>
      <c r="Y17675" s="9"/>
      <c r="Z17675" s="9"/>
      <c r="AA17675" s="9"/>
      <c r="AB17675" s="9"/>
      <c r="AC17675" s="9"/>
      <c r="AG17675" s="10"/>
    </row>
    <row r="17676" spans="1:33">
      <c r="A17676" s="9"/>
      <c r="B17676" s="9"/>
      <c r="C17676" s="9"/>
      <c r="D17676" s="9"/>
      <c r="E17676" s="9"/>
      <c r="F17676" s="9"/>
      <c r="G17676" s="9"/>
      <c r="H17676" s="9"/>
      <c r="I17676" s="9"/>
      <c r="J17676" s="9"/>
      <c r="K17676" s="9"/>
      <c r="L17676" s="9"/>
      <c r="M17676" s="9"/>
      <c r="N17676" s="9"/>
      <c r="O17676" s="9"/>
      <c r="P17676" s="9"/>
      <c r="Q17676" s="9"/>
      <c r="R17676" s="9"/>
      <c r="S17676" s="9"/>
      <c r="T17676" s="9"/>
      <c r="U17676" s="9"/>
      <c r="V17676" s="9"/>
      <c r="W17676" s="9"/>
      <c r="X17676" s="9"/>
      <c r="Y17676" s="9"/>
      <c r="Z17676" s="9"/>
      <c r="AA17676" s="9"/>
      <c r="AB17676" s="9"/>
      <c r="AC17676" s="9"/>
      <c r="AG17676" s="10"/>
    </row>
    <row r="17677" spans="1:33">
      <c r="A17677" s="9"/>
      <c r="B17677" s="9"/>
      <c r="C17677" s="9"/>
      <c r="D17677" s="9"/>
      <c r="E17677" s="9"/>
      <c r="F17677" s="9"/>
      <c r="G17677" s="9"/>
      <c r="H17677" s="9"/>
      <c r="I17677" s="9"/>
      <c r="J17677" s="9"/>
      <c r="K17677" s="9"/>
      <c r="L17677" s="9"/>
      <c r="M17677" s="9"/>
      <c r="N17677" s="9"/>
      <c r="O17677" s="9"/>
      <c r="P17677" s="9"/>
      <c r="Q17677" s="9"/>
      <c r="R17677" s="9"/>
      <c r="S17677" s="9"/>
      <c r="T17677" s="9"/>
      <c r="U17677" s="9"/>
      <c r="V17677" s="9"/>
      <c r="W17677" s="9"/>
      <c r="X17677" s="9"/>
      <c r="Y17677" s="9"/>
      <c r="Z17677" s="9"/>
      <c r="AA17677" s="9"/>
      <c r="AB17677" s="9"/>
      <c r="AC17677" s="9"/>
      <c r="AG17677" s="10"/>
    </row>
    <row r="17678" spans="1:33">
      <c r="A17678" s="9"/>
      <c r="B17678" s="9"/>
      <c r="C17678" s="9"/>
      <c r="D17678" s="9"/>
      <c r="E17678" s="9"/>
      <c r="F17678" s="9"/>
      <c r="G17678" s="9"/>
      <c r="H17678" s="9"/>
      <c r="I17678" s="9"/>
      <c r="J17678" s="9"/>
      <c r="K17678" s="9"/>
      <c r="L17678" s="9"/>
      <c r="M17678" s="9"/>
      <c r="N17678" s="9"/>
      <c r="O17678" s="9"/>
      <c r="P17678" s="9"/>
      <c r="Q17678" s="9"/>
      <c r="R17678" s="9"/>
      <c r="S17678" s="9"/>
      <c r="T17678" s="9"/>
      <c r="U17678" s="9"/>
      <c r="V17678" s="9"/>
      <c r="W17678" s="9"/>
      <c r="X17678" s="9"/>
      <c r="Y17678" s="9"/>
      <c r="Z17678" s="9"/>
      <c r="AA17678" s="9"/>
      <c r="AB17678" s="9"/>
      <c r="AC17678" s="9"/>
      <c r="AG17678" s="10"/>
    </row>
    <row r="17679" spans="1:33">
      <c r="A17679" s="9"/>
      <c r="B17679" s="9"/>
      <c r="C17679" s="9"/>
      <c r="D17679" s="9"/>
      <c r="E17679" s="9"/>
      <c r="F17679" s="9"/>
      <c r="G17679" s="9"/>
      <c r="H17679" s="9"/>
      <c r="I17679" s="9"/>
      <c r="J17679" s="9"/>
      <c r="K17679" s="9"/>
      <c r="L17679" s="9"/>
      <c r="M17679" s="9"/>
      <c r="N17679" s="9"/>
      <c r="O17679" s="9"/>
      <c r="P17679" s="9"/>
      <c r="Q17679" s="9"/>
      <c r="R17679" s="9"/>
      <c r="S17679" s="9"/>
      <c r="T17679" s="9"/>
      <c r="U17679" s="9"/>
      <c r="V17679" s="9"/>
      <c r="W17679" s="9"/>
      <c r="X17679" s="9"/>
      <c r="Y17679" s="9"/>
      <c r="Z17679" s="9"/>
      <c r="AA17679" s="9"/>
      <c r="AB17679" s="9"/>
      <c r="AC17679" s="9"/>
      <c r="AG17679" s="10"/>
    </row>
    <row r="17680" spans="1:33">
      <c r="A17680" s="9"/>
      <c r="B17680" s="9"/>
      <c r="C17680" s="9"/>
      <c r="D17680" s="9"/>
      <c r="E17680" s="9"/>
      <c r="F17680" s="9"/>
      <c r="G17680" s="9"/>
      <c r="H17680" s="9"/>
      <c r="I17680" s="9"/>
      <c r="J17680" s="9"/>
      <c r="K17680" s="9"/>
      <c r="L17680" s="9"/>
      <c r="M17680" s="9"/>
      <c r="N17680" s="9"/>
      <c r="O17680" s="9"/>
      <c r="P17680" s="9"/>
      <c r="Q17680" s="9"/>
      <c r="R17680" s="9"/>
      <c r="S17680" s="9"/>
      <c r="T17680" s="9"/>
      <c r="U17680" s="9"/>
      <c r="V17680" s="9"/>
      <c r="W17680" s="9"/>
      <c r="X17680" s="9"/>
      <c r="Y17680" s="9"/>
      <c r="Z17680" s="9"/>
      <c r="AA17680" s="9"/>
      <c r="AB17680" s="9"/>
      <c r="AC17680" s="9"/>
      <c r="AG17680" s="10"/>
    </row>
    <row r="17681" spans="1:33">
      <c r="A17681" s="9"/>
      <c r="B17681" s="9"/>
      <c r="C17681" s="9"/>
      <c r="D17681" s="9"/>
      <c r="E17681" s="9"/>
      <c r="F17681" s="9"/>
      <c r="G17681" s="9"/>
      <c r="H17681" s="9"/>
      <c r="I17681" s="9"/>
      <c r="J17681" s="9"/>
      <c r="K17681" s="9"/>
      <c r="L17681" s="9"/>
      <c r="M17681" s="9"/>
      <c r="N17681" s="9"/>
      <c r="O17681" s="9"/>
      <c r="P17681" s="9"/>
      <c r="Q17681" s="9"/>
      <c r="R17681" s="9"/>
      <c r="S17681" s="9"/>
      <c r="T17681" s="9"/>
      <c r="U17681" s="9"/>
      <c r="V17681" s="9"/>
      <c r="W17681" s="9"/>
      <c r="X17681" s="9"/>
      <c r="Y17681" s="9"/>
      <c r="Z17681" s="9"/>
      <c r="AA17681" s="9"/>
      <c r="AB17681" s="9"/>
      <c r="AC17681" s="9"/>
      <c r="AG17681" s="10"/>
    </row>
    <row r="17682" spans="1:33">
      <c r="A17682" s="9"/>
      <c r="B17682" s="9"/>
      <c r="C17682" s="9"/>
      <c r="D17682" s="9"/>
      <c r="E17682" s="9"/>
      <c r="F17682" s="9"/>
      <c r="G17682" s="9"/>
      <c r="H17682" s="9"/>
      <c r="I17682" s="9"/>
      <c r="J17682" s="9"/>
      <c r="K17682" s="9"/>
      <c r="L17682" s="9"/>
      <c r="M17682" s="9"/>
      <c r="N17682" s="9"/>
      <c r="O17682" s="9"/>
      <c r="P17682" s="9"/>
      <c r="Q17682" s="9"/>
      <c r="R17682" s="9"/>
      <c r="S17682" s="9"/>
      <c r="T17682" s="9"/>
      <c r="U17682" s="9"/>
      <c r="V17682" s="9"/>
      <c r="W17682" s="9"/>
      <c r="X17682" s="9"/>
      <c r="Y17682" s="9"/>
      <c r="Z17682" s="9"/>
      <c r="AA17682" s="9"/>
      <c r="AB17682" s="9"/>
      <c r="AC17682" s="9"/>
      <c r="AG17682" s="10"/>
    </row>
    <row r="17683" spans="1:33">
      <c r="A17683" s="9"/>
      <c r="B17683" s="9"/>
      <c r="C17683" s="9"/>
      <c r="D17683" s="9"/>
      <c r="E17683" s="9"/>
      <c r="F17683" s="9"/>
      <c r="G17683" s="9"/>
      <c r="H17683" s="9"/>
      <c r="I17683" s="9"/>
      <c r="J17683" s="9"/>
      <c r="K17683" s="9"/>
      <c r="L17683" s="9"/>
      <c r="M17683" s="9"/>
      <c r="N17683" s="9"/>
      <c r="O17683" s="9"/>
      <c r="P17683" s="9"/>
      <c r="Q17683" s="9"/>
      <c r="R17683" s="9"/>
      <c r="S17683" s="9"/>
      <c r="T17683" s="9"/>
      <c r="U17683" s="9"/>
      <c r="V17683" s="9"/>
      <c r="W17683" s="9"/>
      <c r="X17683" s="9"/>
      <c r="Y17683" s="9"/>
      <c r="Z17683" s="9"/>
      <c r="AA17683" s="9"/>
      <c r="AB17683" s="9"/>
      <c r="AC17683" s="9"/>
      <c r="AG17683" s="10"/>
    </row>
    <row r="17684" spans="1:33">
      <c r="A17684" s="9"/>
      <c r="B17684" s="9"/>
      <c r="C17684" s="9"/>
      <c r="D17684" s="9"/>
      <c r="E17684" s="9"/>
      <c r="F17684" s="9"/>
      <c r="G17684" s="9"/>
      <c r="H17684" s="9"/>
      <c r="I17684" s="9"/>
      <c r="J17684" s="9"/>
      <c r="K17684" s="9"/>
      <c r="L17684" s="9"/>
      <c r="M17684" s="9"/>
      <c r="N17684" s="9"/>
      <c r="O17684" s="9"/>
      <c r="P17684" s="9"/>
      <c r="Q17684" s="9"/>
      <c r="R17684" s="9"/>
      <c r="S17684" s="9"/>
      <c r="T17684" s="9"/>
      <c r="U17684" s="9"/>
      <c r="V17684" s="9"/>
      <c r="W17684" s="9"/>
      <c r="X17684" s="9"/>
      <c r="Y17684" s="9"/>
      <c r="Z17684" s="9"/>
      <c r="AA17684" s="9"/>
      <c r="AB17684" s="9"/>
      <c r="AC17684" s="9"/>
      <c r="AG17684" s="10"/>
    </row>
    <row r="17685" spans="1:33">
      <c r="A17685" s="9"/>
      <c r="B17685" s="9"/>
      <c r="C17685" s="9"/>
      <c r="D17685" s="9"/>
      <c r="E17685" s="9"/>
      <c r="F17685" s="9"/>
      <c r="G17685" s="9"/>
      <c r="H17685" s="9"/>
      <c r="I17685" s="9"/>
      <c r="J17685" s="9"/>
      <c r="K17685" s="9"/>
      <c r="L17685" s="9"/>
      <c r="M17685" s="9"/>
      <c r="N17685" s="9"/>
      <c r="O17685" s="9"/>
      <c r="P17685" s="9"/>
      <c r="Q17685" s="9"/>
      <c r="R17685" s="9"/>
      <c r="S17685" s="9"/>
      <c r="T17685" s="9"/>
      <c r="U17685" s="9"/>
      <c r="V17685" s="9"/>
      <c r="W17685" s="9"/>
      <c r="X17685" s="9"/>
      <c r="Y17685" s="9"/>
      <c r="Z17685" s="9"/>
      <c r="AA17685" s="9"/>
      <c r="AB17685" s="9"/>
      <c r="AC17685" s="9"/>
      <c r="AG17685" s="10"/>
    </row>
    <row r="17686" spans="1:33">
      <c r="A17686" s="9"/>
      <c r="B17686" s="9"/>
      <c r="C17686" s="9"/>
      <c r="D17686" s="9"/>
      <c r="E17686" s="9"/>
      <c r="F17686" s="9"/>
      <c r="G17686" s="9"/>
      <c r="H17686" s="9"/>
      <c r="I17686" s="9"/>
      <c r="J17686" s="9"/>
      <c r="K17686" s="9"/>
      <c r="L17686" s="9"/>
      <c r="M17686" s="9"/>
      <c r="N17686" s="9"/>
      <c r="O17686" s="9"/>
      <c r="P17686" s="9"/>
      <c r="Q17686" s="9"/>
      <c r="R17686" s="9"/>
      <c r="S17686" s="9"/>
      <c r="T17686" s="9"/>
      <c r="U17686" s="9"/>
      <c r="V17686" s="9"/>
      <c r="W17686" s="9"/>
      <c r="X17686" s="9"/>
      <c r="Y17686" s="9"/>
      <c r="Z17686" s="9"/>
      <c r="AA17686" s="9"/>
      <c r="AB17686" s="9"/>
      <c r="AC17686" s="9"/>
      <c r="AG17686" s="10"/>
    </row>
    <row r="17687" spans="1:33">
      <c r="A17687" s="9"/>
      <c r="B17687" s="9"/>
      <c r="C17687" s="9"/>
      <c r="D17687" s="9"/>
      <c r="E17687" s="9"/>
      <c r="F17687" s="9"/>
      <c r="G17687" s="9"/>
      <c r="H17687" s="9"/>
      <c r="I17687" s="9"/>
      <c r="J17687" s="9"/>
      <c r="K17687" s="9"/>
      <c r="L17687" s="9"/>
      <c r="M17687" s="9"/>
      <c r="N17687" s="9"/>
      <c r="O17687" s="9"/>
      <c r="P17687" s="9"/>
      <c r="Q17687" s="9"/>
      <c r="R17687" s="9"/>
      <c r="S17687" s="9"/>
      <c r="T17687" s="9"/>
      <c r="U17687" s="9"/>
      <c r="V17687" s="9"/>
      <c r="W17687" s="9"/>
      <c r="X17687" s="9"/>
      <c r="Y17687" s="9"/>
      <c r="Z17687" s="9"/>
      <c r="AA17687" s="9"/>
      <c r="AB17687" s="9"/>
      <c r="AC17687" s="9"/>
      <c r="AG17687" s="10"/>
    </row>
    <row r="17688" spans="1:33">
      <c r="A17688" s="9"/>
      <c r="B17688" s="9"/>
      <c r="C17688" s="9"/>
      <c r="D17688" s="9"/>
      <c r="E17688" s="9"/>
      <c r="F17688" s="9"/>
      <c r="G17688" s="9"/>
      <c r="H17688" s="9"/>
      <c r="I17688" s="9"/>
      <c r="J17688" s="9"/>
      <c r="K17688" s="9"/>
      <c r="L17688" s="9"/>
      <c r="M17688" s="9"/>
      <c r="N17688" s="9"/>
      <c r="O17688" s="9"/>
      <c r="P17688" s="9"/>
      <c r="Q17688" s="9"/>
      <c r="R17688" s="9"/>
      <c r="S17688" s="9"/>
      <c r="T17688" s="9"/>
      <c r="U17688" s="9"/>
      <c r="V17688" s="9"/>
      <c r="W17688" s="9"/>
      <c r="X17688" s="9"/>
      <c r="Y17688" s="9"/>
      <c r="Z17688" s="9"/>
      <c r="AA17688" s="9"/>
      <c r="AB17688" s="9"/>
      <c r="AC17688" s="9"/>
      <c r="AG17688" s="10"/>
    </row>
    <row r="17689" spans="1:33">
      <c r="A17689" s="9"/>
      <c r="B17689" s="9"/>
      <c r="C17689" s="9"/>
      <c r="D17689" s="9"/>
      <c r="E17689" s="9"/>
      <c r="F17689" s="9"/>
      <c r="G17689" s="9"/>
      <c r="H17689" s="9"/>
      <c r="I17689" s="9"/>
      <c r="J17689" s="9"/>
      <c r="K17689" s="9"/>
      <c r="L17689" s="9"/>
      <c r="M17689" s="9"/>
      <c r="N17689" s="9"/>
      <c r="O17689" s="9"/>
      <c r="P17689" s="9"/>
      <c r="Q17689" s="9"/>
      <c r="R17689" s="9"/>
      <c r="S17689" s="9"/>
      <c r="T17689" s="9"/>
      <c r="U17689" s="9"/>
      <c r="V17689" s="9"/>
      <c r="W17689" s="9"/>
      <c r="X17689" s="9"/>
      <c r="Y17689" s="9"/>
      <c r="Z17689" s="9"/>
      <c r="AA17689" s="9"/>
      <c r="AB17689" s="9"/>
      <c r="AC17689" s="9"/>
      <c r="AG17689" s="10"/>
    </row>
    <row r="17690" spans="1:33">
      <c r="A17690" s="9"/>
      <c r="B17690" s="9"/>
      <c r="C17690" s="9"/>
      <c r="D17690" s="9"/>
      <c r="E17690" s="9"/>
      <c r="F17690" s="9"/>
      <c r="G17690" s="9"/>
      <c r="H17690" s="9"/>
      <c r="I17690" s="9"/>
      <c r="J17690" s="9"/>
      <c r="K17690" s="9"/>
      <c r="L17690" s="9"/>
      <c r="M17690" s="9"/>
      <c r="N17690" s="9"/>
      <c r="O17690" s="9"/>
      <c r="P17690" s="9"/>
      <c r="Q17690" s="9"/>
      <c r="R17690" s="9"/>
      <c r="S17690" s="9"/>
      <c r="T17690" s="9"/>
      <c r="U17690" s="9"/>
      <c r="V17690" s="9"/>
      <c r="W17690" s="9"/>
      <c r="X17690" s="9"/>
      <c r="Y17690" s="9"/>
      <c r="Z17690" s="9"/>
      <c r="AA17690" s="9"/>
      <c r="AB17690" s="9"/>
      <c r="AC17690" s="9"/>
      <c r="AG17690" s="10"/>
    </row>
    <row r="17691" spans="1:33">
      <c r="A17691" s="9"/>
      <c r="B17691" s="9"/>
      <c r="C17691" s="9"/>
      <c r="D17691" s="9"/>
      <c r="E17691" s="9"/>
      <c r="F17691" s="9"/>
      <c r="G17691" s="9"/>
      <c r="H17691" s="9"/>
      <c r="I17691" s="9"/>
      <c r="J17691" s="9"/>
      <c r="K17691" s="9"/>
      <c r="L17691" s="9"/>
      <c r="M17691" s="9"/>
      <c r="N17691" s="9"/>
      <c r="O17691" s="9"/>
      <c r="P17691" s="9"/>
      <c r="Q17691" s="9"/>
      <c r="R17691" s="9"/>
      <c r="S17691" s="9"/>
      <c r="T17691" s="9"/>
      <c r="U17691" s="9"/>
      <c r="V17691" s="9"/>
      <c r="W17691" s="9"/>
      <c r="X17691" s="9"/>
      <c r="Y17691" s="9"/>
      <c r="Z17691" s="9"/>
      <c r="AA17691" s="9"/>
      <c r="AB17691" s="9"/>
      <c r="AC17691" s="9"/>
      <c r="AG17691" s="10"/>
    </row>
    <row r="17692" spans="1:33">
      <c r="A17692" s="9"/>
      <c r="B17692" s="9"/>
      <c r="C17692" s="9"/>
      <c r="D17692" s="9"/>
      <c r="E17692" s="9"/>
      <c r="F17692" s="9"/>
      <c r="G17692" s="9"/>
      <c r="H17692" s="9"/>
      <c r="I17692" s="9"/>
      <c r="J17692" s="9"/>
      <c r="K17692" s="9"/>
      <c r="L17692" s="9"/>
      <c r="M17692" s="9"/>
      <c r="N17692" s="9"/>
      <c r="O17692" s="9"/>
      <c r="P17692" s="9"/>
      <c r="Q17692" s="9"/>
      <c r="R17692" s="9"/>
      <c r="S17692" s="9"/>
      <c r="T17692" s="9"/>
      <c r="U17692" s="9"/>
      <c r="V17692" s="9"/>
      <c r="W17692" s="9"/>
      <c r="X17692" s="9"/>
      <c r="Y17692" s="9"/>
      <c r="Z17692" s="9"/>
      <c r="AA17692" s="9"/>
      <c r="AB17692" s="9"/>
      <c r="AC17692" s="9"/>
      <c r="AG17692" s="10"/>
    </row>
    <row r="17693" spans="1:33">
      <c r="A17693" s="9"/>
      <c r="B17693" s="9"/>
      <c r="C17693" s="9"/>
      <c r="D17693" s="9"/>
      <c r="E17693" s="9"/>
      <c r="F17693" s="9"/>
      <c r="G17693" s="9"/>
      <c r="H17693" s="9"/>
      <c r="I17693" s="9"/>
      <c r="J17693" s="9"/>
      <c r="K17693" s="9"/>
      <c r="L17693" s="9"/>
      <c r="M17693" s="9"/>
      <c r="N17693" s="9"/>
      <c r="O17693" s="9"/>
      <c r="P17693" s="9"/>
      <c r="Q17693" s="9"/>
      <c r="R17693" s="9"/>
      <c r="S17693" s="9"/>
      <c r="T17693" s="9"/>
      <c r="U17693" s="9"/>
      <c r="V17693" s="9"/>
      <c r="W17693" s="9"/>
      <c r="X17693" s="9"/>
      <c r="Y17693" s="9"/>
      <c r="Z17693" s="9"/>
      <c r="AA17693" s="9"/>
      <c r="AB17693" s="9"/>
      <c r="AC17693" s="9"/>
      <c r="AG17693" s="10"/>
    </row>
    <row r="17694" spans="1:33">
      <c r="A17694" s="9"/>
      <c r="B17694" s="9"/>
      <c r="C17694" s="9"/>
      <c r="D17694" s="9"/>
      <c r="E17694" s="9"/>
      <c r="F17694" s="9"/>
      <c r="G17694" s="9"/>
      <c r="H17694" s="9"/>
      <c r="I17694" s="9"/>
      <c r="J17694" s="9"/>
      <c r="K17694" s="9"/>
      <c r="L17694" s="9"/>
      <c r="M17694" s="9"/>
      <c r="N17694" s="9"/>
      <c r="O17694" s="9"/>
      <c r="P17694" s="9"/>
      <c r="Q17694" s="9"/>
      <c r="R17694" s="9"/>
      <c r="S17694" s="9"/>
      <c r="T17694" s="9"/>
      <c r="U17694" s="9"/>
      <c r="V17694" s="9"/>
      <c r="W17694" s="9"/>
      <c r="X17694" s="9"/>
      <c r="Y17694" s="9"/>
      <c r="Z17694" s="9"/>
      <c r="AA17694" s="9"/>
      <c r="AB17694" s="9"/>
      <c r="AC17694" s="9"/>
      <c r="AG17694" s="10"/>
    </row>
    <row r="17695" spans="1:33">
      <c r="A17695" s="9"/>
      <c r="B17695" s="9"/>
      <c r="C17695" s="9"/>
      <c r="D17695" s="9"/>
      <c r="E17695" s="9"/>
      <c r="F17695" s="9"/>
      <c r="G17695" s="9"/>
      <c r="H17695" s="9"/>
      <c r="I17695" s="9"/>
      <c r="J17695" s="9"/>
      <c r="K17695" s="9"/>
      <c r="L17695" s="9"/>
      <c r="M17695" s="9"/>
      <c r="N17695" s="9"/>
      <c r="O17695" s="9"/>
      <c r="P17695" s="9"/>
      <c r="Q17695" s="9"/>
      <c r="R17695" s="9"/>
      <c r="S17695" s="9"/>
      <c r="T17695" s="9"/>
      <c r="U17695" s="9"/>
      <c r="V17695" s="9"/>
      <c r="W17695" s="9"/>
      <c r="X17695" s="9"/>
      <c r="Y17695" s="9"/>
      <c r="Z17695" s="9"/>
      <c r="AA17695" s="9"/>
      <c r="AB17695" s="9"/>
      <c r="AC17695" s="9"/>
      <c r="AG17695" s="10"/>
    </row>
    <row r="17696" spans="1:33">
      <c r="A17696" s="9"/>
      <c r="B17696" s="9"/>
      <c r="C17696" s="9"/>
      <c r="D17696" s="9"/>
      <c r="E17696" s="9"/>
      <c r="F17696" s="9"/>
      <c r="G17696" s="9"/>
      <c r="H17696" s="9"/>
      <c r="I17696" s="9"/>
      <c r="J17696" s="9"/>
      <c r="K17696" s="9"/>
      <c r="L17696" s="9"/>
      <c r="M17696" s="9"/>
      <c r="N17696" s="9"/>
      <c r="O17696" s="9"/>
      <c r="P17696" s="9"/>
      <c r="Q17696" s="9"/>
      <c r="R17696" s="9"/>
      <c r="S17696" s="9"/>
      <c r="T17696" s="9"/>
      <c r="U17696" s="9"/>
      <c r="V17696" s="9"/>
      <c r="W17696" s="9"/>
      <c r="X17696" s="9"/>
      <c r="Y17696" s="9"/>
      <c r="Z17696" s="9"/>
      <c r="AA17696" s="9"/>
      <c r="AB17696" s="9"/>
      <c r="AC17696" s="9"/>
      <c r="AG17696" s="10"/>
    </row>
    <row r="17697" spans="1:33">
      <c r="A17697" s="9"/>
      <c r="B17697" s="9"/>
      <c r="C17697" s="9"/>
      <c r="D17697" s="9"/>
      <c r="E17697" s="9"/>
      <c r="F17697" s="9"/>
      <c r="G17697" s="9"/>
      <c r="H17697" s="9"/>
      <c r="I17697" s="9"/>
      <c r="J17697" s="9"/>
      <c r="K17697" s="9"/>
      <c r="L17697" s="9"/>
      <c r="M17697" s="9"/>
      <c r="N17697" s="9"/>
      <c r="O17697" s="9"/>
      <c r="P17697" s="9"/>
      <c r="Q17697" s="9"/>
      <c r="R17697" s="9"/>
      <c r="S17697" s="9"/>
      <c r="T17697" s="9"/>
      <c r="U17697" s="9"/>
      <c r="V17697" s="9"/>
      <c r="W17697" s="9"/>
      <c r="X17697" s="9"/>
      <c r="Y17697" s="9"/>
      <c r="Z17697" s="9"/>
      <c r="AA17697" s="9"/>
      <c r="AB17697" s="9"/>
      <c r="AC17697" s="9"/>
      <c r="AG17697" s="10"/>
    </row>
    <row r="17698" spans="1:33">
      <c r="A17698" s="9"/>
      <c r="B17698" s="9"/>
      <c r="C17698" s="9"/>
      <c r="D17698" s="9"/>
      <c r="E17698" s="9"/>
      <c r="F17698" s="9"/>
      <c r="G17698" s="9"/>
      <c r="H17698" s="9"/>
      <c r="I17698" s="9"/>
      <c r="J17698" s="9"/>
      <c r="K17698" s="9"/>
      <c r="L17698" s="9"/>
      <c r="M17698" s="9"/>
      <c r="N17698" s="9"/>
      <c r="O17698" s="9"/>
      <c r="P17698" s="9"/>
      <c r="Q17698" s="9"/>
      <c r="R17698" s="9"/>
      <c r="S17698" s="9"/>
      <c r="T17698" s="9"/>
      <c r="U17698" s="9"/>
      <c r="V17698" s="9"/>
      <c r="W17698" s="9"/>
      <c r="X17698" s="9"/>
      <c r="Y17698" s="9"/>
      <c r="Z17698" s="9"/>
      <c r="AA17698" s="9"/>
      <c r="AB17698" s="9"/>
      <c r="AC17698" s="9"/>
      <c r="AG17698" s="10"/>
    </row>
    <row r="17699" spans="1:33">
      <c r="A17699" s="9"/>
      <c r="B17699" s="9"/>
      <c r="C17699" s="9"/>
      <c r="D17699" s="9"/>
      <c r="E17699" s="9"/>
      <c r="F17699" s="9"/>
      <c r="G17699" s="9"/>
      <c r="H17699" s="9"/>
      <c r="I17699" s="9"/>
      <c r="J17699" s="9"/>
      <c r="K17699" s="9"/>
      <c r="L17699" s="9"/>
      <c r="M17699" s="9"/>
      <c r="N17699" s="9"/>
      <c r="O17699" s="9"/>
      <c r="P17699" s="9"/>
      <c r="Q17699" s="9"/>
      <c r="R17699" s="9"/>
      <c r="S17699" s="9"/>
      <c r="T17699" s="9"/>
      <c r="U17699" s="9"/>
      <c r="V17699" s="9"/>
      <c r="W17699" s="9"/>
      <c r="X17699" s="9"/>
      <c r="Y17699" s="9"/>
      <c r="Z17699" s="9"/>
      <c r="AA17699" s="9"/>
      <c r="AB17699" s="9"/>
      <c r="AC17699" s="9"/>
      <c r="AG17699" s="10"/>
    </row>
    <row r="17700" spans="1:33">
      <c r="A17700" s="9"/>
      <c r="B17700" s="9"/>
      <c r="C17700" s="9"/>
      <c r="D17700" s="9"/>
      <c r="E17700" s="9"/>
      <c r="F17700" s="9"/>
      <c r="G17700" s="9"/>
      <c r="H17700" s="9"/>
      <c r="I17700" s="9"/>
      <c r="J17700" s="9"/>
      <c r="K17700" s="9"/>
      <c r="L17700" s="9"/>
      <c r="M17700" s="9"/>
      <c r="N17700" s="9"/>
      <c r="O17700" s="9"/>
      <c r="P17700" s="9"/>
      <c r="Q17700" s="9"/>
      <c r="R17700" s="9"/>
      <c r="S17700" s="9"/>
      <c r="T17700" s="9"/>
      <c r="U17700" s="9"/>
      <c r="V17700" s="9"/>
      <c r="W17700" s="9"/>
      <c r="X17700" s="9"/>
      <c r="Y17700" s="9"/>
      <c r="Z17700" s="9"/>
      <c r="AA17700" s="9"/>
      <c r="AB17700" s="9"/>
      <c r="AC17700" s="9"/>
      <c r="AG17700" s="10"/>
    </row>
    <row r="17701" spans="1:33">
      <c r="A17701" s="9"/>
      <c r="B17701" s="9"/>
      <c r="C17701" s="9"/>
      <c r="D17701" s="9"/>
      <c r="E17701" s="9"/>
      <c r="F17701" s="9"/>
      <c r="G17701" s="9"/>
      <c r="H17701" s="9"/>
      <c r="I17701" s="9"/>
      <c r="J17701" s="9"/>
      <c r="K17701" s="9"/>
      <c r="L17701" s="9"/>
      <c r="M17701" s="9"/>
      <c r="N17701" s="9"/>
      <c r="O17701" s="9"/>
      <c r="P17701" s="9"/>
      <c r="Q17701" s="9"/>
      <c r="R17701" s="9"/>
      <c r="S17701" s="9"/>
      <c r="T17701" s="9"/>
      <c r="U17701" s="9"/>
      <c r="V17701" s="9"/>
      <c r="W17701" s="9"/>
      <c r="X17701" s="9"/>
      <c r="Y17701" s="9"/>
      <c r="Z17701" s="9"/>
      <c r="AA17701" s="9"/>
      <c r="AB17701" s="9"/>
      <c r="AC17701" s="9"/>
      <c r="AG17701" s="10"/>
    </row>
    <row r="17702" spans="1:33">
      <c r="A17702" s="9"/>
      <c r="B17702" s="9"/>
      <c r="C17702" s="9"/>
      <c r="D17702" s="9"/>
      <c r="E17702" s="9"/>
      <c r="F17702" s="9"/>
      <c r="G17702" s="9"/>
      <c r="H17702" s="9"/>
      <c r="I17702" s="9"/>
      <c r="J17702" s="9"/>
      <c r="K17702" s="9"/>
      <c r="L17702" s="9"/>
      <c r="M17702" s="9"/>
      <c r="N17702" s="9"/>
      <c r="O17702" s="9"/>
      <c r="P17702" s="9"/>
      <c r="Q17702" s="9"/>
      <c r="R17702" s="9"/>
      <c r="S17702" s="9"/>
      <c r="T17702" s="9"/>
      <c r="U17702" s="9"/>
      <c r="V17702" s="9"/>
      <c r="W17702" s="9"/>
      <c r="X17702" s="9"/>
      <c r="Y17702" s="9"/>
      <c r="Z17702" s="9"/>
      <c r="AA17702" s="9"/>
      <c r="AB17702" s="9"/>
      <c r="AC17702" s="9"/>
      <c r="AG17702" s="10"/>
    </row>
    <row r="17703" spans="1:33">
      <c r="A17703" s="9"/>
      <c r="B17703" s="9"/>
      <c r="C17703" s="9"/>
      <c r="D17703" s="9"/>
      <c r="E17703" s="9"/>
      <c r="F17703" s="9"/>
      <c r="G17703" s="9"/>
      <c r="H17703" s="9"/>
      <c r="I17703" s="9"/>
      <c r="J17703" s="9"/>
      <c r="K17703" s="9"/>
      <c r="L17703" s="9"/>
      <c r="M17703" s="9"/>
      <c r="N17703" s="9"/>
      <c r="O17703" s="9"/>
      <c r="P17703" s="9"/>
      <c r="Q17703" s="9"/>
      <c r="R17703" s="9"/>
      <c r="S17703" s="9"/>
      <c r="T17703" s="9"/>
      <c r="U17703" s="9"/>
      <c r="V17703" s="9"/>
      <c r="W17703" s="9"/>
      <c r="X17703" s="9"/>
      <c r="Y17703" s="9"/>
      <c r="Z17703" s="9"/>
      <c r="AA17703" s="9"/>
      <c r="AB17703" s="9"/>
      <c r="AC17703" s="9"/>
      <c r="AG17703" s="10"/>
    </row>
    <row r="17704" spans="1:33">
      <c r="A17704" s="9"/>
      <c r="B17704" s="9"/>
      <c r="C17704" s="9"/>
      <c r="D17704" s="9"/>
      <c r="E17704" s="9"/>
      <c r="F17704" s="9"/>
      <c r="G17704" s="9"/>
      <c r="H17704" s="9"/>
      <c r="I17704" s="9"/>
      <c r="J17704" s="9"/>
      <c r="K17704" s="9"/>
      <c r="L17704" s="9"/>
      <c r="M17704" s="9"/>
      <c r="N17704" s="9"/>
      <c r="O17704" s="9"/>
      <c r="P17704" s="9"/>
      <c r="Q17704" s="9"/>
      <c r="R17704" s="9"/>
      <c r="S17704" s="9"/>
      <c r="T17704" s="9"/>
      <c r="U17704" s="9"/>
      <c r="V17704" s="9"/>
      <c r="W17704" s="9"/>
      <c r="X17704" s="9"/>
      <c r="Y17704" s="9"/>
      <c r="Z17704" s="9"/>
      <c r="AA17704" s="9"/>
      <c r="AB17704" s="9"/>
      <c r="AC17704" s="9"/>
      <c r="AG17704" s="10"/>
    </row>
    <row r="17705" spans="1:33">
      <c r="A17705" s="9"/>
      <c r="B17705" s="9"/>
      <c r="C17705" s="9"/>
      <c r="D17705" s="9"/>
      <c r="E17705" s="9"/>
      <c r="F17705" s="9"/>
      <c r="G17705" s="9"/>
      <c r="H17705" s="9"/>
      <c r="I17705" s="9"/>
      <c r="J17705" s="9"/>
      <c r="K17705" s="9"/>
      <c r="L17705" s="9"/>
      <c r="M17705" s="9"/>
      <c r="N17705" s="9"/>
      <c r="O17705" s="9"/>
      <c r="P17705" s="9"/>
      <c r="Q17705" s="9"/>
      <c r="R17705" s="9"/>
      <c r="S17705" s="9"/>
      <c r="T17705" s="9"/>
      <c r="U17705" s="9"/>
      <c r="V17705" s="9"/>
      <c r="W17705" s="9"/>
      <c r="X17705" s="9"/>
      <c r="Y17705" s="9"/>
      <c r="Z17705" s="9"/>
      <c r="AA17705" s="9"/>
      <c r="AB17705" s="9"/>
      <c r="AC17705" s="9"/>
      <c r="AG17705" s="10"/>
    </row>
    <row r="17706" spans="1:33">
      <c r="A17706" s="9"/>
      <c r="B17706" s="9"/>
      <c r="C17706" s="9"/>
      <c r="D17706" s="9"/>
      <c r="E17706" s="9"/>
      <c r="F17706" s="9"/>
      <c r="G17706" s="9"/>
      <c r="H17706" s="9"/>
      <c r="I17706" s="9"/>
      <c r="J17706" s="9"/>
      <c r="K17706" s="9"/>
      <c r="L17706" s="9"/>
      <c r="M17706" s="9"/>
      <c r="N17706" s="9"/>
      <c r="O17706" s="9"/>
      <c r="P17706" s="9"/>
      <c r="Q17706" s="9"/>
      <c r="R17706" s="9"/>
      <c r="S17706" s="9"/>
      <c r="T17706" s="9"/>
      <c r="U17706" s="9"/>
      <c r="V17706" s="9"/>
      <c r="W17706" s="9"/>
      <c r="X17706" s="9"/>
      <c r="Y17706" s="9"/>
      <c r="Z17706" s="9"/>
      <c r="AA17706" s="9"/>
      <c r="AB17706" s="9"/>
      <c r="AC17706" s="9"/>
      <c r="AG17706" s="10"/>
    </row>
    <row r="17707" spans="1:33">
      <c r="A17707" s="9"/>
      <c r="B17707" s="9"/>
      <c r="C17707" s="9"/>
      <c r="D17707" s="9"/>
      <c r="E17707" s="9"/>
      <c r="F17707" s="9"/>
      <c r="G17707" s="9"/>
      <c r="H17707" s="9"/>
      <c r="I17707" s="9"/>
      <c r="J17707" s="9"/>
      <c r="K17707" s="9"/>
      <c r="L17707" s="9"/>
      <c r="M17707" s="9"/>
      <c r="N17707" s="9"/>
      <c r="O17707" s="9"/>
      <c r="P17707" s="9"/>
      <c r="Q17707" s="9"/>
      <c r="R17707" s="9"/>
      <c r="S17707" s="9"/>
      <c r="T17707" s="9"/>
      <c r="U17707" s="9"/>
      <c r="V17707" s="9"/>
      <c r="W17707" s="9"/>
      <c r="X17707" s="9"/>
      <c r="Y17707" s="9"/>
      <c r="Z17707" s="9"/>
      <c r="AA17707" s="9"/>
      <c r="AB17707" s="9"/>
      <c r="AC17707" s="9"/>
      <c r="AG17707" s="10"/>
    </row>
    <row r="17708" spans="1:33">
      <c r="A17708" s="9"/>
      <c r="B17708" s="9"/>
      <c r="C17708" s="9"/>
      <c r="D17708" s="9"/>
      <c r="E17708" s="9"/>
      <c r="F17708" s="9"/>
      <c r="G17708" s="9"/>
      <c r="H17708" s="9"/>
      <c r="I17708" s="9"/>
      <c r="J17708" s="9"/>
      <c r="K17708" s="9"/>
      <c r="L17708" s="9"/>
      <c r="M17708" s="9"/>
      <c r="N17708" s="9"/>
      <c r="O17708" s="9"/>
      <c r="P17708" s="9"/>
      <c r="Q17708" s="9"/>
      <c r="R17708" s="9"/>
      <c r="S17708" s="9"/>
      <c r="T17708" s="9"/>
      <c r="U17708" s="9"/>
      <c r="V17708" s="9"/>
      <c r="W17708" s="9"/>
      <c r="X17708" s="9"/>
      <c r="Y17708" s="9"/>
      <c r="Z17708" s="9"/>
      <c r="AA17708" s="9"/>
      <c r="AB17708" s="9"/>
      <c r="AC17708" s="9"/>
      <c r="AG17708" s="10"/>
    </row>
    <row r="17709" spans="1:33">
      <c r="A17709" s="9"/>
      <c r="B17709" s="9"/>
      <c r="C17709" s="9"/>
      <c r="D17709" s="9"/>
      <c r="E17709" s="9"/>
      <c r="F17709" s="9"/>
      <c r="G17709" s="9"/>
      <c r="H17709" s="9"/>
      <c r="I17709" s="9"/>
      <c r="J17709" s="9"/>
      <c r="K17709" s="9"/>
      <c r="L17709" s="9"/>
      <c r="M17709" s="9"/>
      <c r="N17709" s="9"/>
      <c r="O17709" s="9"/>
      <c r="P17709" s="9"/>
      <c r="Q17709" s="9"/>
      <c r="R17709" s="9"/>
      <c r="S17709" s="9"/>
      <c r="T17709" s="9"/>
      <c r="U17709" s="9"/>
      <c r="V17709" s="9"/>
      <c r="W17709" s="9"/>
      <c r="X17709" s="9"/>
      <c r="Y17709" s="9"/>
      <c r="Z17709" s="9"/>
      <c r="AA17709" s="9"/>
      <c r="AB17709" s="9"/>
      <c r="AC17709" s="9"/>
      <c r="AG17709" s="10"/>
    </row>
    <row r="17710" spans="1:33">
      <c r="A17710" s="9"/>
      <c r="B17710" s="9"/>
      <c r="C17710" s="9"/>
      <c r="D17710" s="9"/>
      <c r="E17710" s="9"/>
      <c r="F17710" s="9"/>
      <c r="G17710" s="9"/>
      <c r="H17710" s="9"/>
      <c r="I17710" s="9"/>
      <c r="J17710" s="9"/>
      <c r="K17710" s="9"/>
      <c r="L17710" s="9"/>
      <c r="M17710" s="9"/>
      <c r="N17710" s="9"/>
      <c r="O17710" s="9"/>
      <c r="P17710" s="9"/>
      <c r="Q17710" s="9"/>
      <c r="R17710" s="9"/>
      <c r="S17710" s="9"/>
      <c r="T17710" s="9"/>
      <c r="U17710" s="9"/>
      <c r="V17710" s="9"/>
      <c r="W17710" s="9"/>
      <c r="X17710" s="9"/>
      <c r="Y17710" s="9"/>
      <c r="Z17710" s="9"/>
      <c r="AA17710" s="9"/>
      <c r="AB17710" s="9"/>
      <c r="AC17710" s="9"/>
      <c r="AG17710" s="10"/>
    </row>
    <row r="17711" spans="1:33">
      <c r="A17711" s="9"/>
      <c r="B17711" s="9"/>
      <c r="C17711" s="9"/>
      <c r="D17711" s="9"/>
      <c r="E17711" s="9"/>
      <c r="F17711" s="9"/>
      <c r="G17711" s="9"/>
      <c r="H17711" s="9"/>
      <c r="I17711" s="9"/>
      <c r="J17711" s="9"/>
      <c r="K17711" s="9"/>
      <c r="L17711" s="9"/>
      <c r="M17711" s="9"/>
      <c r="N17711" s="9"/>
      <c r="O17711" s="9"/>
      <c r="P17711" s="9"/>
      <c r="Q17711" s="9"/>
      <c r="R17711" s="9"/>
      <c r="S17711" s="9"/>
      <c r="T17711" s="9"/>
      <c r="U17711" s="9"/>
      <c r="V17711" s="9"/>
      <c r="W17711" s="9"/>
      <c r="X17711" s="9"/>
      <c r="Y17711" s="9"/>
      <c r="Z17711" s="9"/>
      <c r="AA17711" s="9"/>
      <c r="AB17711" s="9"/>
      <c r="AC17711" s="9"/>
      <c r="AG17711" s="10"/>
    </row>
    <row r="17712" spans="1:33">
      <c r="A17712" s="9"/>
      <c r="B17712" s="9"/>
      <c r="C17712" s="9"/>
      <c r="D17712" s="9"/>
      <c r="E17712" s="9"/>
      <c r="F17712" s="9"/>
      <c r="G17712" s="9"/>
      <c r="H17712" s="9"/>
      <c r="I17712" s="9"/>
      <c r="J17712" s="9"/>
      <c r="K17712" s="9"/>
      <c r="L17712" s="9"/>
      <c r="M17712" s="9"/>
      <c r="N17712" s="9"/>
      <c r="O17712" s="9"/>
      <c r="P17712" s="9"/>
      <c r="Q17712" s="9"/>
      <c r="R17712" s="9"/>
      <c r="S17712" s="9"/>
      <c r="T17712" s="9"/>
      <c r="U17712" s="9"/>
      <c r="V17712" s="9"/>
      <c r="W17712" s="9"/>
      <c r="X17712" s="9"/>
      <c r="Y17712" s="9"/>
      <c r="Z17712" s="9"/>
      <c r="AA17712" s="9"/>
      <c r="AB17712" s="9"/>
      <c r="AC17712" s="9"/>
      <c r="AG17712" s="10"/>
    </row>
    <row r="17713" spans="1:33">
      <c r="A17713" s="9"/>
      <c r="B17713" s="9"/>
      <c r="C17713" s="9"/>
      <c r="D17713" s="9"/>
      <c r="E17713" s="9"/>
      <c r="F17713" s="9"/>
      <c r="G17713" s="9"/>
      <c r="H17713" s="9"/>
      <c r="I17713" s="9"/>
      <c r="J17713" s="9"/>
      <c r="K17713" s="9"/>
      <c r="L17713" s="9"/>
      <c r="M17713" s="9"/>
      <c r="N17713" s="9"/>
      <c r="O17713" s="9"/>
      <c r="P17713" s="9"/>
      <c r="Q17713" s="9"/>
      <c r="R17713" s="9"/>
      <c r="S17713" s="9"/>
      <c r="T17713" s="9"/>
      <c r="U17713" s="9"/>
      <c r="V17713" s="9"/>
      <c r="W17713" s="9"/>
      <c r="X17713" s="9"/>
      <c r="Y17713" s="9"/>
      <c r="Z17713" s="9"/>
      <c r="AA17713" s="9"/>
      <c r="AB17713" s="9"/>
      <c r="AC17713" s="9"/>
      <c r="AG17713" s="10"/>
    </row>
    <row r="17714" spans="1:33">
      <c r="A17714" s="9"/>
      <c r="B17714" s="9"/>
      <c r="C17714" s="9"/>
      <c r="D17714" s="9"/>
      <c r="E17714" s="9"/>
      <c r="F17714" s="9"/>
      <c r="G17714" s="9"/>
      <c r="H17714" s="9"/>
      <c r="I17714" s="9"/>
      <c r="J17714" s="9"/>
      <c r="K17714" s="9"/>
      <c r="L17714" s="9"/>
      <c r="M17714" s="9"/>
      <c r="N17714" s="9"/>
      <c r="O17714" s="9"/>
      <c r="P17714" s="9"/>
      <c r="Q17714" s="9"/>
      <c r="R17714" s="9"/>
      <c r="S17714" s="9"/>
      <c r="T17714" s="9"/>
      <c r="U17714" s="9"/>
      <c r="V17714" s="9"/>
      <c r="W17714" s="9"/>
      <c r="X17714" s="9"/>
      <c r="Y17714" s="9"/>
      <c r="Z17714" s="9"/>
      <c r="AA17714" s="9"/>
      <c r="AB17714" s="9"/>
      <c r="AC17714" s="9"/>
      <c r="AG17714" s="10"/>
    </row>
    <row r="17715" spans="1:33">
      <c r="A17715" s="9"/>
      <c r="B17715" s="9"/>
      <c r="C17715" s="9"/>
      <c r="D17715" s="9"/>
      <c r="E17715" s="9"/>
      <c r="F17715" s="9"/>
      <c r="G17715" s="9"/>
      <c r="H17715" s="9"/>
      <c r="I17715" s="9"/>
      <c r="J17715" s="9"/>
      <c r="K17715" s="9"/>
      <c r="L17715" s="9"/>
      <c r="M17715" s="9"/>
      <c r="N17715" s="9"/>
      <c r="O17715" s="9"/>
      <c r="P17715" s="9"/>
      <c r="Q17715" s="9"/>
      <c r="R17715" s="9"/>
      <c r="S17715" s="9"/>
      <c r="T17715" s="9"/>
      <c r="U17715" s="9"/>
      <c r="V17715" s="9"/>
      <c r="W17715" s="9"/>
      <c r="X17715" s="9"/>
      <c r="Y17715" s="9"/>
      <c r="Z17715" s="9"/>
      <c r="AA17715" s="9"/>
      <c r="AB17715" s="9"/>
      <c r="AC17715" s="9"/>
      <c r="AG17715" s="10"/>
    </row>
    <row r="17716" spans="1:33">
      <c r="A17716" s="9"/>
      <c r="B17716" s="9"/>
      <c r="C17716" s="9"/>
      <c r="D17716" s="9"/>
      <c r="E17716" s="9"/>
      <c r="F17716" s="9"/>
      <c r="G17716" s="9"/>
      <c r="H17716" s="9"/>
      <c r="I17716" s="9"/>
      <c r="J17716" s="9"/>
      <c r="K17716" s="9"/>
      <c r="L17716" s="9"/>
      <c r="M17716" s="9"/>
      <c r="N17716" s="9"/>
      <c r="O17716" s="9"/>
      <c r="P17716" s="9"/>
      <c r="Q17716" s="9"/>
      <c r="R17716" s="9"/>
      <c r="S17716" s="9"/>
      <c r="T17716" s="9"/>
      <c r="U17716" s="9"/>
      <c r="V17716" s="9"/>
      <c r="W17716" s="9"/>
      <c r="X17716" s="9"/>
      <c r="Y17716" s="9"/>
      <c r="Z17716" s="9"/>
      <c r="AA17716" s="9"/>
      <c r="AB17716" s="9"/>
      <c r="AC17716" s="9"/>
      <c r="AG17716" s="10"/>
    </row>
    <row r="17717" spans="1:33">
      <c r="A17717" s="9"/>
      <c r="B17717" s="9"/>
      <c r="C17717" s="9"/>
      <c r="D17717" s="9"/>
      <c r="E17717" s="9"/>
      <c r="F17717" s="9"/>
      <c r="G17717" s="9"/>
      <c r="H17717" s="9"/>
      <c r="I17717" s="9"/>
      <c r="J17717" s="9"/>
      <c r="K17717" s="9"/>
      <c r="L17717" s="9"/>
      <c r="M17717" s="9"/>
      <c r="N17717" s="9"/>
      <c r="O17717" s="9"/>
      <c r="P17717" s="9"/>
      <c r="Q17717" s="9"/>
      <c r="R17717" s="9"/>
      <c r="S17717" s="9"/>
      <c r="T17717" s="9"/>
      <c r="U17717" s="9"/>
      <c r="V17717" s="9"/>
      <c r="W17717" s="9"/>
      <c r="X17717" s="9"/>
      <c r="Y17717" s="9"/>
      <c r="Z17717" s="9"/>
      <c r="AA17717" s="9"/>
      <c r="AB17717" s="9"/>
      <c r="AC17717" s="9"/>
      <c r="AG17717" s="10"/>
    </row>
    <row r="17718" spans="1:33">
      <c r="A17718" s="9"/>
      <c r="B17718" s="9"/>
      <c r="C17718" s="9"/>
      <c r="D17718" s="9"/>
      <c r="E17718" s="9"/>
      <c r="F17718" s="9"/>
      <c r="G17718" s="9"/>
      <c r="H17718" s="9"/>
      <c r="I17718" s="9"/>
      <c r="J17718" s="9"/>
      <c r="K17718" s="9"/>
      <c r="L17718" s="9"/>
      <c r="M17718" s="9"/>
      <c r="N17718" s="9"/>
      <c r="O17718" s="9"/>
      <c r="P17718" s="9"/>
      <c r="Q17718" s="9"/>
      <c r="R17718" s="9"/>
      <c r="S17718" s="9"/>
      <c r="T17718" s="9"/>
      <c r="U17718" s="9"/>
      <c r="V17718" s="9"/>
      <c r="W17718" s="9"/>
      <c r="X17718" s="9"/>
      <c r="Y17718" s="9"/>
      <c r="Z17718" s="9"/>
      <c r="AA17718" s="9"/>
      <c r="AB17718" s="9"/>
      <c r="AC17718" s="9"/>
      <c r="AG17718" s="10"/>
    </row>
    <row r="17719" spans="1:33">
      <c r="A17719" s="9"/>
      <c r="B17719" s="9"/>
      <c r="C17719" s="9"/>
      <c r="D17719" s="9"/>
      <c r="E17719" s="9"/>
      <c r="F17719" s="9"/>
      <c r="G17719" s="9"/>
      <c r="H17719" s="9"/>
      <c r="I17719" s="9"/>
      <c r="J17719" s="9"/>
      <c r="K17719" s="9"/>
      <c r="L17719" s="9"/>
      <c r="M17719" s="9"/>
      <c r="N17719" s="9"/>
      <c r="O17719" s="9"/>
      <c r="P17719" s="9"/>
      <c r="Q17719" s="9"/>
      <c r="R17719" s="9"/>
      <c r="S17719" s="9"/>
      <c r="T17719" s="9"/>
      <c r="U17719" s="9"/>
      <c r="V17719" s="9"/>
      <c r="W17719" s="9"/>
      <c r="X17719" s="9"/>
      <c r="Y17719" s="9"/>
      <c r="Z17719" s="9"/>
      <c r="AA17719" s="9"/>
      <c r="AB17719" s="9"/>
      <c r="AC17719" s="9"/>
      <c r="AG17719" s="10"/>
    </row>
    <row r="17720" spans="1:33">
      <c r="A17720" s="9"/>
      <c r="B17720" s="9"/>
      <c r="C17720" s="9"/>
      <c r="D17720" s="9"/>
      <c r="E17720" s="9"/>
      <c r="F17720" s="9"/>
      <c r="G17720" s="9"/>
      <c r="H17720" s="9"/>
      <c r="I17720" s="9"/>
      <c r="J17720" s="9"/>
      <c r="K17720" s="9"/>
      <c r="L17720" s="9"/>
      <c r="M17720" s="9"/>
      <c r="N17720" s="9"/>
      <c r="O17720" s="9"/>
      <c r="P17720" s="9"/>
      <c r="Q17720" s="9"/>
      <c r="R17720" s="9"/>
      <c r="S17720" s="9"/>
      <c r="T17720" s="9"/>
      <c r="U17720" s="9"/>
      <c r="V17720" s="9"/>
      <c r="W17720" s="9"/>
      <c r="X17720" s="9"/>
      <c r="Y17720" s="9"/>
      <c r="Z17720" s="9"/>
      <c r="AA17720" s="9"/>
      <c r="AB17720" s="9"/>
      <c r="AC17720" s="9"/>
      <c r="AG17720" s="10"/>
    </row>
    <row r="17721" spans="1:33">
      <c r="A17721" s="9"/>
      <c r="B17721" s="9"/>
      <c r="C17721" s="9"/>
      <c r="D17721" s="9"/>
      <c r="E17721" s="9"/>
      <c r="F17721" s="9"/>
      <c r="G17721" s="9"/>
      <c r="H17721" s="9"/>
      <c r="I17721" s="9"/>
      <c r="J17721" s="9"/>
      <c r="K17721" s="9"/>
      <c r="L17721" s="9"/>
      <c r="M17721" s="9"/>
      <c r="N17721" s="9"/>
      <c r="O17721" s="9"/>
      <c r="P17721" s="9"/>
      <c r="Q17721" s="9"/>
      <c r="R17721" s="9"/>
      <c r="S17721" s="9"/>
      <c r="T17721" s="9"/>
      <c r="U17721" s="9"/>
      <c r="V17721" s="9"/>
      <c r="W17721" s="9"/>
      <c r="X17721" s="9"/>
      <c r="Y17721" s="9"/>
      <c r="Z17721" s="9"/>
      <c r="AA17721" s="9"/>
      <c r="AB17721" s="9"/>
      <c r="AC17721" s="9"/>
      <c r="AG17721" s="10"/>
    </row>
    <row r="17722" spans="1:33">
      <c r="A17722" s="9"/>
      <c r="B17722" s="9"/>
      <c r="C17722" s="9"/>
      <c r="D17722" s="9"/>
      <c r="E17722" s="9"/>
      <c r="F17722" s="9"/>
      <c r="G17722" s="9"/>
      <c r="H17722" s="9"/>
      <c r="I17722" s="9"/>
      <c r="J17722" s="9"/>
      <c r="K17722" s="9"/>
      <c r="L17722" s="9"/>
      <c r="M17722" s="9"/>
      <c r="N17722" s="9"/>
      <c r="O17722" s="9"/>
      <c r="P17722" s="9"/>
      <c r="Q17722" s="9"/>
      <c r="R17722" s="9"/>
      <c r="S17722" s="9"/>
      <c r="T17722" s="9"/>
      <c r="U17722" s="9"/>
      <c r="V17722" s="9"/>
      <c r="W17722" s="9"/>
      <c r="X17722" s="9"/>
      <c r="Y17722" s="9"/>
      <c r="Z17722" s="9"/>
      <c r="AA17722" s="9"/>
      <c r="AB17722" s="9"/>
      <c r="AC17722" s="9"/>
      <c r="AG17722" s="10"/>
    </row>
    <row r="17723" spans="1:33">
      <c r="A17723" s="9"/>
      <c r="B17723" s="9"/>
      <c r="C17723" s="9"/>
      <c r="D17723" s="9"/>
      <c r="E17723" s="9"/>
      <c r="F17723" s="9"/>
      <c r="G17723" s="9"/>
      <c r="H17723" s="9"/>
      <c r="I17723" s="9"/>
      <c r="J17723" s="9"/>
      <c r="K17723" s="9"/>
      <c r="L17723" s="9"/>
      <c r="M17723" s="9"/>
      <c r="N17723" s="9"/>
      <c r="O17723" s="9"/>
      <c r="P17723" s="9"/>
      <c r="Q17723" s="9"/>
      <c r="R17723" s="9"/>
      <c r="S17723" s="9"/>
      <c r="T17723" s="9"/>
      <c r="U17723" s="9"/>
      <c r="V17723" s="9"/>
      <c r="W17723" s="9"/>
      <c r="X17723" s="9"/>
      <c r="Y17723" s="9"/>
      <c r="Z17723" s="9"/>
      <c r="AA17723" s="9"/>
      <c r="AB17723" s="9"/>
      <c r="AC17723" s="9"/>
      <c r="AG17723" s="10"/>
    </row>
    <row r="17724" spans="1:33">
      <c r="A17724" s="9"/>
      <c r="B17724" s="9"/>
      <c r="C17724" s="9"/>
      <c r="D17724" s="9"/>
      <c r="E17724" s="9"/>
      <c r="F17724" s="9"/>
      <c r="G17724" s="9"/>
      <c r="H17724" s="9"/>
      <c r="I17724" s="9"/>
      <c r="J17724" s="9"/>
      <c r="K17724" s="9"/>
      <c r="L17724" s="9"/>
      <c r="M17724" s="9"/>
      <c r="N17724" s="9"/>
      <c r="O17724" s="9"/>
      <c r="P17724" s="9"/>
      <c r="Q17724" s="9"/>
      <c r="R17724" s="9"/>
      <c r="S17724" s="9"/>
      <c r="T17724" s="9"/>
      <c r="U17724" s="9"/>
      <c r="V17724" s="9"/>
      <c r="W17724" s="9"/>
      <c r="X17724" s="9"/>
      <c r="Y17724" s="9"/>
      <c r="Z17724" s="9"/>
      <c r="AA17724" s="9"/>
      <c r="AB17724" s="9"/>
      <c r="AC17724" s="9"/>
      <c r="AG17724" s="10"/>
    </row>
    <row r="17725" spans="1:33">
      <c r="A17725" s="9"/>
      <c r="B17725" s="9"/>
      <c r="C17725" s="9"/>
      <c r="D17725" s="9"/>
      <c r="E17725" s="9"/>
      <c r="F17725" s="9"/>
      <c r="G17725" s="9"/>
      <c r="H17725" s="9"/>
      <c r="I17725" s="9"/>
      <c r="J17725" s="9"/>
      <c r="K17725" s="9"/>
      <c r="L17725" s="9"/>
      <c r="M17725" s="9"/>
      <c r="N17725" s="9"/>
      <c r="O17725" s="9"/>
      <c r="P17725" s="9"/>
      <c r="Q17725" s="9"/>
      <c r="R17725" s="9"/>
      <c r="S17725" s="9"/>
      <c r="T17725" s="9"/>
      <c r="U17725" s="9"/>
      <c r="V17725" s="9"/>
      <c r="W17725" s="9"/>
      <c r="X17725" s="9"/>
      <c r="Y17725" s="9"/>
      <c r="Z17725" s="9"/>
      <c r="AA17725" s="9"/>
      <c r="AB17725" s="9"/>
      <c r="AC17725" s="9"/>
      <c r="AG17725" s="10"/>
    </row>
    <row r="17726" spans="1:33">
      <c r="A17726" s="9"/>
      <c r="B17726" s="9"/>
      <c r="C17726" s="9"/>
      <c r="D17726" s="9"/>
      <c r="E17726" s="9"/>
      <c r="F17726" s="9"/>
      <c r="G17726" s="9"/>
      <c r="H17726" s="9"/>
      <c r="I17726" s="9"/>
      <c r="J17726" s="9"/>
      <c r="K17726" s="9"/>
      <c r="L17726" s="9"/>
      <c r="M17726" s="9"/>
      <c r="N17726" s="9"/>
      <c r="O17726" s="9"/>
      <c r="P17726" s="9"/>
      <c r="Q17726" s="9"/>
      <c r="R17726" s="9"/>
      <c r="S17726" s="9"/>
      <c r="T17726" s="9"/>
      <c r="U17726" s="9"/>
      <c r="V17726" s="9"/>
      <c r="W17726" s="9"/>
      <c r="X17726" s="9"/>
      <c r="Y17726" s="9"/>
      <c r="Z17726" s="9"/>
      <c r="AA17726" s="9"/>
      <c r="AB17726" s="9"/>
      <c r="AC17726" s="9"/>
      <c r="AG17726" s="10"/>
    </row>
    <row r="17727" spans="1:33">
      <c r="A17727" s="9"/>
      <c r="B17727" s="9"/>
      <c r="C17727" s="9"/>
      <c r="D17727" s="9"/>
      <c r="E17727" s="9"/>
      <c r="F17727" s="9"/>
      <c r="G17727" s="9"/>
      <c r="H17727" s="9"/>
      <c r="I17727" s="9"/>
      <c r="J17727" s="9"/>
      <c r="K17727" s="9"/>
      <c r="L17727" s="9"/>
      <c r="M17727" s="9"/>
      <c r="N17727" s="9"/>
      <c r="O17727" s="9"/>
      <c r="P17727" s="9"/>
      <c r="Q17727" s="9"/>
      <c r="R17727" s="9"/>
      <c r="S17727" s="9"/>
      <c r="T17727" s="9"/>
      <c r="U17727" s="9"/>
      <c r="V17727" s="9"/>
      <c r="W17727" s="9"/>
      <c r="X17727" s="9"/>
      <c r="Y17727" s="9"/>
      <c r="Z17727" s="9"/>
      <c r="AA17727" s="9"/>
      <c r="AB17727" s="9"/>
      <c r="AC17727" s="9"/>
      <c r="AG17727" s="10"/>
    </row>
    <row r="17728" spans="1:33">
      <c r="A17728" s="9"/>
      <c r="B17728" s="9"/>
      <c r="C17728" s="9"/>
      <c r="D17728" s="9"/>
      <c r="E17728" s="9"/>
      <c r="F17728" s="9"/>
      <c r="G17728" s="9"/>
      <c r="H17728" s="9"/>
      <c r="I17728" s="9"/>
      <c r="J17728" s="9"/>
      <c r="K17728" s="9"/>
      <c r="L17728" s="9"/>
      <c r="M17728" s="9"/>
      <c r="N17728" s="9"/>
      <c r="O17728" s="9"/>
      <c r="P17728" s="9"/>
      <c r="Q17728" s="9"/>
      <c r="R17728" s="9"/>
      <c r="S17728" s="9"/>
      <c r="T17728" s="9"/>
      <c r="U17728" s="9"/>
      <c r="V17728" s="9"/>
      <c r="W17728" s="9"/>
      <c r="X17728" s="9"/>
      <c r="Y17728" s="9"/>
      <c r="Z17728" s="9"/>
      <c r="AA17728" s="9"/>
      <c r="AB17728" s="9"/>
      <c r="AC17728" s="9"/>
      <c r="AG17728" s="10"/>
    </row>
    <row r="17729" spans="1:33">
      <c r="A17729" s="9"/>
      <c r="B17729" s="9"/>
      <c r="C17729" s="9"/>
      <c r="D17729" s="9"/>
      <c r="E17729" s="9"/>
      <c r="F17729" s="9"/>
      <c r="G17729" s="9"/>
      <c r="H17729" s="9"/>
      <c r="I17729" s="9"/>
      <c r="J17729" s="9"/>
      <c r="K17729" s="9"/>
      <c r="L17729" s="9"/>
      <c r="M17729" s="9"/>
      <c r="N17729" s="9"/>
      <c r="O17729" s="9"/>
      <c r="P17729" s="9"/>
      <c r="Q17729" s="9"/>
      <c r="R17729" s="9"/>
      <c r="S17729" s="9"/>
      <c r="T17729" s="9"/>
      <c r="U17729" s="9"/>
      <c r="V17729" s="9"/>
      <c r="W17729" s="9"/>
      <c r="X17729" s="9"/>
      <c r="Y17729" s="9"/>
      <c r="Z17729" s="9"/>
      <c r="AA17729" s="9"/>
      <c r="AB17729" s="9"/>
      <c r="AC17729" s="9"/>
      <c r="AG17729" s="10"/>
    </row>
    <row r="17730" spans="1:33">
      <c r="A17730" s="9"/>
      <c r="B17730" s="9"/>
      <c r="C17730" s="9"/>
      <c r="D17730" s="9"/>
      <c r="E17730" s="9"/>
      <c r="F17730" s="9"/>
      <c r="G17730" s="9"/>
      <c r="H17730" s="9"/>
      <c r="I17730" s="9"/>
      <c r="J17730" s="9"/>
      <c r="K17730" s="9"/>
      <c r="L17730" s="9"/>
      <c r="M17730" s="9"/>
      <c r="N17730" s="9"/>
      <c r="O17730" s="9"/>
      <c r="P17730" s="9"/>
      <c r="Q17730" s="9"/>
      <c r="R17730" s="9"/>
      <c r="S17730" s="9"/>
      <c r="T17730" s="9"/>
      <c r="U17730" s="9"/>
      <c r="V17730" s="9"/>
      <c r="W17730" s="9"/>
      <c r="X17730" s="9"/>
      <c r="Y17730" s="9"/>
      <c r="Z17730" s="9"/>
      <c r="AA17730" s="9"/>
      <c r="AB17730" s="9"/>
      <c r="AC17730" s="9"/>
      <c r="AG17730" s="10"/>
    </row>
    <row r="17731" spans="1:33">
      <c r="A17731" s="9"/>
      <c r="B17731" s="9"/>
      <c r="C17731" s="9"/>
      <c r="D17731" s="9"/>
      <c r="E17731" s="9"/>
      <c r="F17731" s="9"/>
      <c r="G17731" s="9"/>
      <c r="H17731" s="9"/>
      <c r="I17731" s="9"/>
      <c r="J17731" s="9"/>
      <c r="K17731" s="9"/>
      <c r="L17731" s="9"/>
      <c r="M17731" s="9"/>
      <c r="N17731" s="9"/>
      <c r="O17731" s="9"/>
      <c r="P17731" s="9"/>
      <c r="Q17731" s="9"/>
      <c r="R17731" s="9"/>
      <c r="S17731" s="9"/>
      <c r="T17731" s="9"/>
      <c r="U17731" s="9"/>
      <c r="V17731" s="9"/>
      <c r="W17731" s="9"/>
      <c r="X17731" s="9"/>
      <c r="Y17731" s="9"/>
      <c r="Z17731" s="9"/>
      <c r="AA17731" s="9"/>
      <c r="AB17731" s="9"/>
      <c r="AC17731" s="9"/>
      <c r="AG17731" s="10"/>
    </row>
    <row r="17732" spans="1:33">
      <c r="A17732" s="9"/>
      <c r="B17732" s="9"/>
      <c r="C17732" s="9"/>
      <c r="D17732" s="9"/>
      <c r="E17732" s="9"/>
      <c r="F17732" s="9"/>
      <c r="G17732" s="9"/>
      <c r="H17732" s="9"/>
      <c r="I17732" s="9"/>
      <c r="J17732" s="9"/>
      <c r="K17732" s="9"/>
      <c r="L17732" s="9"/>
      <c r="M17732" s="9"/>
      <c r="N17732" s="9"/>
      <c r="O17732" s="9"/>
      <c r="P17732" s="9"/>
      <c r="Q17732" s="9"/>
      <c r="R17732" s="9"/>
      <c r="S17732" s="9"/>
      <c r="T17732" s="9"/>
      <c r="U17732" s="9"/>
      <c r="V17732" s="9"/>
      <c r="W17732" s="9"/>
      <c r="X17732" s="9"/>
      <c r="Y17732" s="9"/>
      <c r="Z17732" s="9"/>
      <c r="AA17732" s="9"/>
      <c r="AB17732" s="9"/>
      <c r="AC17732" s="9"/>
      <c r="AG17732" s="10"/>
    </row>
    <row r="17733" spans="1:33">
      <c r="A17733" s="9"/>
      <c r="B17733" s="9"/>
      <c r="C17733" s="9"/>
      <c r="D17733" s="9"/>
      <c r="E17733" s="9"/>
      <c r="F17733" s="9"/>
      <c r="G17733" s="9"/>
      <c r="H17733" s="9"/>
      <c r="I17733" s="9"/>
      <c r="J17733" s="9"/>
      <c r="K17733" s="9"/>
      <c r="L17733" s="9"/>
      <c r="M17733" s="9"/>
      <c r="N17733" s="9"/>
      <c r="O17733" s="9"/>
      <c r="P17733" s="9"/>
      <c r="Q17733" s="9"/>
      <c r="R17733" s="9"/>
      <c r="S17733" s="9"/>
      <c r="T17733" s="9"/>
      <c r="U17733" s="9"/>
      <c r="V17733" s="9"/>
      <c r="W17733" s="9"/>
      <c r="X17733" s="9"/>
      <c r="Y17733" s="9"/>
      <c r="Z17733" s="9"/>
      <c r="AA17733" s="9"/>
      <c r="AB17733" s="9"/>
      <c r="AC17733" s="9"/>
      <c r="AG17733" s="10"/>
    </row>
    <row r="17734" spans="1:33">
      <c r="A17734" s="9"/>
      <c r="B17734" s="9"/>
      <c r="C17734" s="9"/>
      <c r="D17734" s="9"/>
      <c r="E17734" s="9"/>
      <c r="F17734" s="9"/>
      <c r="G17734" s="9"/>
      <c r="H17734" s="9"/>
      <c r="I17734" s="9"/>
      <c r="J17734" s="9"/>
      <c r="K17734" s="9"/>
      <c r="L17734" s="9"/>
      <c r="M17734" s="9"/>
      <c r="N17734" s="9"/>
      <c r="O17734" s="9"/>
      <c r="P17734" s="9"/>
      <c r="Q17734" s="9"/>
      <c r="R17734" s="9"/>
      <c r="S17734" s="9"/>
      <c r="T17734" s="9"/>
      <c r="U17734" s="9"/>
      <c r="V17734" s="9"/>
      <c r="W17734" s="9"/>
      <c r="X17734" s="9"/>
      <c r="Y17734" s="9"/>
      <c r="Z17734" s="9"/>
      <c r="AA17734" s="9"/>
      <c r="AB17734" s="9"/>
      <c r="AC17734" s="9"/>
      <c r="AG17734" s="10"/>
    </row>
    <row r="17735" spans="1:33">
      <c r="A17735" s="9"/>
      <c r="B17735" s="9"/>
      <c r="C17735" s="9"/>
      <c r="D17735" s="9"/>
      <c r="E17735" s="9"/>
      <c r="F17735" s="9"/>
      <c r="G17735" s="9"/>
      <c r="H17735" s="9"/>
      <c r="I17735" s="9"/>
      <c r="J17735" s="9"/>
      <c r="K17735" s="9"/>
      <c r="L17735" s="9"/>
      <c r="M17735" s="9"/>
      <c r="N17735" s="9"/>
      <c r="O17735" s="9"/>
      <c r="P17735" s="9"/>
      <c r="Q17735" s="9"/>
      <c r="R17735" s="9"/>
      <c r="S17735" s="9"/>
      <c r="T17735" s="9"/>
      <c r="U17735" s="9"/>
      <c r="V17735" s="9"/>
      <c r="W17735" s="9"/>
      <c r="X17735" s="9"/>
      <c r="Y17735" s="9"/>
      <c r="Z17735" s="9"/>
      <c r="AA17735" s="9"/>
      <c r="AB17735" s="9"/>
      <c r="AC17735" s="9"/>
      <c r="AG17735" s="10"/>
    </row>
    <row r="17736" spans="1:33">
      <c r="A17736" s="9"/>
      <c r="B17736" s="9"/>
      <c r="C17736" s="9"/>
      <c r="D17736" s="9"/>
      <c r="E17736" s="9"/>
      <c r="F17736" s="9"/>
      <c r="G17736" s="9"/>
      <c r="H17736" s="9"/>
      <c r="I17736" s="9"/>
      <c r="J17736" s="9"/>
      <c r="K17736" s="9"/>
      <c r="L17736" s="9"/>
      <c r="M17736" s="9"/>
      <c r="N17736" s="9"/>
      <c r="O17736" s="9"/>
      <c r="P17736" s="9"/>
      <c r="Q17736" s="9"/>
      <c r="R17736" s="9"/>
      <c r="S17736" s="9"/>
      <c r="T17736" s="9"/>
      <c r="U17736" s="9"/>
      <c r="V17736" s="9"/>
      <c r="W17736" s="9"/>
      <c r="X17736" s="9"/>
      <c r="Y17736" s="9"/>
      <c r="Z17736" s="9"/>
      <c r="AA17736" s="9"/>
      <c r="AB17736" s="9"/>
      <c r="AC17736" s="9"/>
      <c r="AG17736" s="10"/>
    </row>
    <row r="17737" spans="1:33">
      <c r="A17737" s="9"/>
      <c r="B17737" s="9"/>
      <c r="C17737" s="9"/>
      <c r="D17737" s="9"/>
      <c r="E17737" s="9"/>
      <c r="F17737" s="9"/>
      <c r="G17737" s="9"/>
      <c r="H17737" s="9"/>
      <c r="I17737" s="9"/>
      <c r="J17737" s="9"/>
      <c r="K17737" s="9"/>
      <c r="L17737" s="9"/>
      <c r="M17737" s="9"/>
      <c r="N17737" s="9"/>
      <c r="O17737" s="9"/>
      <c r="P17737" s="9"/>
      <c r="Q17737" s="9"/>
      <c r="R17737" s="9"/>
      <c r="S17737" s="9"/>
      <c r="T17737" s="9"/>
      <c r="U17737" s="9"/>
      <c r="V17737" s="9"/>
      <c r="W17737" s="9"/>
      <c r="X17737" s="9"/>
      <c r="Y17737" s="9"/>
      <c r="Z17737" s="9"/>
      <c r="AA17737" s="9"/>
      <c r="AB17737" s="9"/>
      <c r="AC17737" s="9"/>
      <c r="AG17737" s="10"/>
    </row>
    <row r="17738" spans="1:33">
      <c r="A17738" s="9"/>
      <c r="B17738" s="9"/>
      <c r="C17738" s="9"/>
      <c r="D17738" s="9"/>
      <c r="E17738" s="9"/>
      <c r="F17738" s="9"/>
      <c r="G17738" s="9"/>
      <c r="H17738" s="9"/>
      <c r="I17738" s="9"/>
      <c r="J17738" s="9"/>
      <c r="K17738" s="9"/>
      <c r="L17738" s="9"/>
      <c r="M17738" s="9"/>
      <c r="N17738" s="9"/>
      <c r="O17738" s="9"/>
      <c r="P17738" s="9"/>
      <c r="Q17738" s="9"/>
      <c r="R17738" s="9"/>
      <c r="S17738" s="9"/>
      <c r="T17738" s="9"/>
      <c r="U17738" s="9"/>
      <c r="V17738" s="9"/>
      <c r="W17738" s="9"/>
      <c r="X17738" s="9"/>
      <c r="Y17738" s="9"/>
      <c r="Z17738" s="9"/>
      <c r="AA17738" s="9"/>
      <c r="AB17738" s="9"/>
      <c r="AC17738" s="9"/>
      <c r="AG17738" s="10"/>
    </row>
    <row r="17739" spans="1:33">
      <c r="A17739" s="9"/>
      <c r="B17739" s="9"/>
      <c r="C17739" s="9"/>
      <c r="D17739" s="9"/>
      <c r="E17739" s="9"/>
      <c r="F17739" s="9"/>
      <c r="G17739" s="9"/>
      <c r="H17739" s="9"/>
      <c r="I17739" s="9"/>
      <c r="J17739" s="9"/>
      <c r="K17739" s="9"/>
      <c r="L17739" s="9"/>
      <c r="M17739" s="9"/>
      <c r="N17739" s="9"/>
      <c r="O17739" s="9"/>
      <c r="P17739" s="9"/>
      <c r="Q17739" s="9"/>
      <c r="R17739" s="9"/>
      <c r="S17739" s="9"/>
      <c r="T17739" s="9"/>
      <c r="U17739" s="9"/>
      <c r="V17739" s="9"/>
      <c r="W17739" s="9"/>
      <c r="X17739" s="9"/>
      <c r="Y17739" s="9"/>
      <c r="Z17739" s="9"/>
      <c r="AA17739" s="9"/>
      <c r="AB17739" s="9"/>
      <c r="AC17739" s="9"/>
      <c r="AG17739" s="10"/>
    </row>
    <row r="17740" spans="1:33">
      <c r="A17740" s="9"/>
      <c r="B17740" s="9"/>
      <c r="C17740" s="9"/>
      <c r="D17740" s="9"/>
      <c r="E17740" s="9"/>
      <c r="F17740" s="9"/>
      <c r="G17740" s="9"/>
      <c r="H17740" s="9"/>
      <c r="I17740" s="9"/>
      <c r="J17740" s="9"/>
      <c r="K17740" s="9"/>
      <c r="L17740" s="9"/>
      <c r="M17740" s="9"/>
      <c r="N17740" s="9"/>
      <c r="O17740" s="9"/>
      <c r="P17740" s="9"/>
      <c r="Q17740" s="9"/>
      <c r="R17740" s="9"/>
      <c r="S17740" s="9"/>
      <c r="T17740" s="9"/>
      <c r="U17740" s="9"/>
      <c r="V17740" s="9"/>
      <c r="W17740" s="9"/>
      <c r="X17740" s="9"/>
      <c r="Y17740" s="9"/>
      <c r="Z17740" s="9"/>
      <c r="AA17740" s="9"/>
      <c r="AB17740" s="9"/>
      <c r="AC17740" s="9"/>
      <c r="AG17740" s="10"/>
    </row>
    <row r="17741" spans="1:33">
      <c r="A17741" s="9"/>
      <c r="B17741" s="9"/>
      <c r="C17741" s="9"/>
      <c r="D17741" s="9"/>
      <c r="E17741" s="9"/>
      <c r="F17741" s="9"/>
      <c r="G17741" s="9"/>
      <c r="H17741" s="9"/>
      <c r="I17741" s="9"/>
      <c r="J17741" s="9"/>
      <c r="K17741" s="9"/>
      <c r="L17741" s="9"/>
      <c r="M17741" s="9"/>
      <c r="N17741" s="9"/>
      <c r="O17741" s="9"/>
      <c r="P17741" s="9"/>
      <c r="Q17741" s="9"/>
      <c r="R17741" s="9"/>
      <c r="S17741" s="9"/>
      <c r="T17741" s="9"/>
      <c r="U17741" s="9"/>
      <c r="V17741" s="9"/>
      <c r="W17741" s="9"/>
      <c r="X17741" s="9"/>
      <c r="Y17741" s="9"/>
      <c r="Z17741" s="9"/>
      <c r="AA17741" s="9"/>
      <c r="AB17741" s="9"/>
      <c r="AC17741" s="9"/>
      <c r="AG17741" s="10"/>
    </row>
    <row r="17742" spans="1:33">
      <c r="A17742" s="9"/>
      <c r="B17742" s="9"/>
      <c r="C17742" s="9"/>
      <c r="D17742" s="9"/>
      <c r="E17742" s="9"/>
      <c r="F17742" s="9"/>
      <c r="G17742" s="9"/>
      <c r="H17742" s="9"/>
      <c r="I17742" s="9"/>
      <c r="J17742" s="9"/>
      <c r="K17742" s="9"/>
      <c r="L17742" s="9"/>
      <c r="M17742" s="9"/>
      <c r="N17742" s="9"/>
      <c r="O17742" s="9"/>
      <c r="P17742" s="9"/>
      <c r="Q17742" s="9"/>
      <c r="R17742" s="9"/>
      <c r="S17742" s="9"/>
      <c r="T17742" s="9"/>
      <c r="U17742" s="9"/>
      <c r="V17742" s="9"/>
      <c r="W17742" s="9"/>
      <c r="X17742" s="9"/>
      <c r="Y17742" s="9"/>
      <c r="Z17742" s="9"/>
      <c r="AA17742" s="9"/>
      <c r="AB17742" s="9"/>
      <c r="AC17742" s="9"/>
      <c r="AG17742" s="10"/>
    </row>
    <row r="17743" spans="1:33">
      <c r="A17743" s="9"/>
      <c r="B17743" s="9"/>
      <c r="C17743" s="9"/>
      <c r="D17743" s="9"/>
      <c r="E17743" s="9"/>
      <c r="F17743" s="9"/>
      <c r="G17743" s="9"/>
      <c r="H17743" s="9"/>
      <c r="I17743" s="9"/>
      <c r="J17743" s="9"/>
      <c r="K17743" s="9"/>
      <c r="L17743" s="9"/>
      <c r="M17743" s="9"/>
      <c r="N17743" s="9"/>
      <c r="O17743" s="9"/>
      <c r="P17743" s="9"/>
      <c r="Q17743" s="9"/>
      <c r="R17743" s="9"/>
      <c r="S17743" s="9"/>
      <c r="T17743" s="9"/>
      <c r="U17743" s="9"/>
      <c r="V17743" s="9"/>
      <c r="W17743" s="9"/>
      <c r="X17743" s="9"/>
      <c r="Y17743" s="9"/>
      <c r="Z17743" s="9"/>
      <c r="AA17743" s="9"/>
      <c r="AB17743" s="9"/>
      <c r="AC17743" s="9"/>
      <c r="AG17743" s="10"/>
    </row>
    <row r="17744" spans="1:33">
      <c r="A17744" s="9"/>
      <c r="B17744" s="9"/>
      <c r="C17744" s="9"/>
      <c r="D17744" s="9"/>
      <c r="E17744" s="9"/>
      <c r="F17744" s="9"/>
      <c r="G17744" s="9"/>
      <c r="H17744" s="9"/>
      <c r="I17744" s="9"/>
      <c r="J17744" s="9"/>
      <c r="K17744" s="9"/>
      <c r="L17744" s="9"/>
      <c r="M17744" s="9"/>
      <c r="N17744" s="9"/>
      <c r="O17744" s="9"/>
      <c r="P17744" s="9"/>
      <c r="Q17744" s="9"/>
      <c r="R17744" s="9"/>
      <c r="S17744" s="9"/>
      <c r="T17744" s="9"/>
      <c r="U17744" s="9"/>
      <c r="V17744" s="9"/>
      <c r="W17744" s="9"/>
      <c r="X17744" s="9"/>
      <c r="Y17744" s="9"/>
      <c r="Z17744" s="9"/>
      <c r="AA17744" s="9"/>
      <c r="AB17744" s="9"/>
      <c r="AC17744" s="9"/>
      <c r="AG17744" s="10"/>
    </row>
    <row r="17745" spans="1:33">
      <c r="A17745" s="9"/>
      <c r="B17745" s="9"/>
      <c r="C17745" s="9"/>
      <c r="D17745" s="9"/>
      <c r="E17745" s="9"/>
      <c r="F17745" s="9"/>
      <c r="G17745" s="9"/>
      <c r="H17745" s="9"/>
      <c r="I17745" s="9"/>
      <c r="J17745" s="9"/>
      <c r="K17745" s="9"/>
      <c r="L17745" s="9"/>
      <c r="M17745" s="9"/>
      <c r="N17745" s="9"/>
      <c r="O17745" s="9"/>
      <c r="P17745" s="9"/>
      <c r="Q17745" s="9"/>
      <c r="R17745" s="9"/>
      <c r="S17745" s="9"/>
      <c r="T17745" s="9"/>
      <c r="U17745" s="9"/>
      <c r="V17745" s="9"/>
      <c r="W17745" s="9"/>
      <c r="X17745" s="9"/>
      <c r="Y17745" s="9"/>
      <c r="Z17745" s="9"/>
      <c r="AA17745" s="9"/>
      <c r="AB17745" s="9"/>
      <c r="AC17745" s="9"/>
      <c r="AG17745" s="10"/>
    </row>
    <row r="17746" spans="1:33">
      <c r="A17746" s="9"/>
      <c r="B17746" s="9"/>
      <c r="C17746" s="9"/>
      <c r="D17746" s="9"/>
      <c r="E17746" s="9"/>
      <c r="F17746" s="9"/>
      <c r="G17746" s="9"/>
      <c r="H17746" s="9"/>
      <c r="I17746" s="9"/>
      <c r="J17746" s="9"/>
      <c r="K17746" s="9"/>
      <c r="L17746" s="9"/>
      <c r="M17746" s="9"/>
      <c r="N17746" s="9"/>
      <c r="O17746" s="9"/>
      <c r="P17746" s="9"/>
      <c r="Q17746" s="9"/>
      <c r="R17746" s="9"/>
      <c r="S17746" s="9"/>
      <c r="T17746" s="9"/>
      <c r="U17746" s="9"/>
      <c r="V17746" s="9"/>
      <c r="W17746" s="9"/>
      <c r="X17746" s="9"/>
      <c r="Y17746" s="9"/>
      <c r="Z17746" s="9"/>
      <c r="AA17746" s="9"/>
      <c r="AB17746" s="9"/>
      <c r="AC17746" s="9"/>
      <c r="AG17746" s="10"/>
    </row>
    <row r="17747" spans="1:33">
      <c r="A17747" s="9"/>
      <c r="B17747" s="9"/>
      <c r="C17747" s="9"/>
      <c r="D17747" s="9"/>
      <c r="E17747" s="9"/>
      <c r="F17747" s="9"/>
      <c r="G17747" s="9"/>
      <c r="H17747" s="9"/>
      <c r="I17747" s="9"/>
      <c r="J17747" s="9"/>
      <c r="K17747" s="9"/>
      <c r="L17747" s="9"/>
      <c r="M17747" s="9"/>
      <c r="N17747" s="9"/>
      <c r="O17747" s="9"/>
      <c r="P17747" s="9"/>
      <c r="Q17747" s="9"/>
      <c r="R17747" s="9"/>
      <c r="S17747" s="9"/>
      <c r="T17747" s="9"/>
      <c r="U17747" s="9"/>
      <c r="V17747" s="9"/>
      <c r="W17747" s="9"/>
      <c r="X17747" s="9"/>
      <c r="Y17747" s="9"/>
      <c r="Z17747" s="9"/>
      <c r="AA17747" s="9"/>
      <c r="AB17747" s="9"/>
      <c r="AC17747" s="9"/>
      <c r="AG17747" s="10"/>
    </row>
    <row r="17748" spans="1:33">
      <c r="A17748" s="9"/>
      <c r="B17748" s="9"/>
      <c r="C17748" s="9"/>
      <c r="D17748" s="9"/>
      <c r="E17748" s="9"/>
      <c r="F17748" s="9"/>
      <c r="G17748" s="9"/>
      <c r="H17748" s="9"/>
      <c r="I17748" s="9"/>
      <c r="J17748" s="9"/>
      <c r="K17748" s="9"/>
      <c r="L17748" s="9"/>
      <c r="M17748" s="9"/>
      <c r="N17748" s="9"/>
      <c r="O17748" s="9"/>
      <c r="P17748" s="9"/>
      <c r="Q17748" s="9"/>
      <c r="R17748" s="9"/>
      <c r="S17748" s="9"/>
      <c r="T17748" s="9"/>
      <c r="U17748" s="9"/>
      <c r="V17748" s="9"/>
      <c r="W17748" s="9"/>
      <c r="X17748" s="9"/>
      <c r="Y17748" s="9"/>
      <c r="Z17748" s="9"/>
      <c r="AA17748" s="9"/>
      <c r="AB17748" s="9"/>
      <c r="AC17748" s="9"/>
      <c r="AG17748" s="10"/>
    </row>
    <row r="17749" spans="1:33">
      <c r="A17749" s="9"/>
      <c r="B17749" s="9"/>
      <c r="C17749" s="9"/>
      <c r="D17749" s="9"/>
      <c r="E17749" s="9"/>
      <c r="F17749" s="9"/>
      <c r="G17749" s="9"/>
      <c r="H17749" s="9"/>
      <c r="I17749" s="9"/>
      <c r="J17749" s="9"/>
      <c r="K17749" s="9"/>
      <c r="L17749" s="9"/>
      <c r="M17749" s="9"/>
      <c r="N17749" s="9"/>
      <c r="O17749" s="9"/>
      <c r="P17749" s="9"/>
      <c r="Q17749" s="9"/>
      <c r="R17749" s="9"/>
      <c r="S17749" s="9"/>
      <c r="T17749" s="9"/>
      <c r="U17749" s="9"/>
      <c r="V17749" s="9"/>
      <c r="W17749" s="9"/>
      <c r="X17749" s="9"/>
      <c r="Y17749" s="9"/>
      <c r="Z17749" s="9"/>
      <c r="AA17749" s="9"/>
      <c r="AB17749" s="9"/>
      <c r="AC17749" s="9"/>
      <c r="AG17749" s="10"/>
    </row>
    <row r="17750" spans="1:33">
      <c r="A17750" s="9"/>
      <c r="B17750" s="9"/>
      <c r="C17750" s="9"/>
      <c r="D17750" s="9"/>
      <c r="E17750" s="9"/>
      <c r="F17750" s="9"/>
      <c r="G17750" s="9"/>
      <c r="H17750" s="9"/>
      <c r="I17750" s="9"/>
      <c r="J17750" s="9"/>
      <c r="K17750" s="9"/>
      <c r="L17750" s="9"/>
      <c r="M17750" s="9"/>
      <c r="N17750" s="9"/>
      <c r="O17750" s="9"/>
      <c r="P17750" s="9"/>
      <c r="Q17750" s="9"/>
      <c r="R17750" s="9"/>
      <c r="S17750" s="9"/>
      <c r="T17750" s="9"/>
      <c r="U17750" s="9"/>
      <c r="V17750" s="9"/>
      <c r="W17750" s="9"/>
      <c r="X17750" s="9"/>
      <c r="Y17750" s="9"/>
      <c r="Z17750" s="9"/>
      <c r="AA17750" s="9"/>
      <c r="AB17750" s="9"/>
      <c r="AC17750" s="9"/>
      <c r="AG17750" s="10"/>
    </row>
    <row r="17751" spans="1:33">
      <c r="A17751" s="9"/>
      <c r="B17751" s="9"/>
      <c r="C17751" s="9"/>
      <c r="D17751" s="9"/>
      <c r="E17751" s="9"/>
      <c r="F17751" s="9"/>
      <c r="G17751" s="9"/>
      <c r="H17751" s="9"/>
      <c r="I17751" s="9"/>
      <c r="J17751" s="9"/>
      <c r="K17751" s="9"/>
      <c r="L17751" s="9"/>
      <c r="M17751" s="9"/>
      <c r="N17751" s="9"/>
      <c r="O17751" s="9"/>
      <c r="P17751" s="9"/>
      <c r="Q17751" s="9"/>
      <c r="R17751" s="9"/>
      <c r="S17751" s="9"/>
      <c r="T17751" s="9"/>
      <c r="U17751" s="9"/>
      <c r="V17751" s="9"/>
      <c r="W17751" s="9"/>
      <c r="X17751" s="9"/>
      <c r="Y17751" s="9"/>
      <c r="Z17751" s="9"/>
      <c r="AA17751" s="9"/>
      <c r="AB17751" s="9"/>
      <c r="AC17751" s="9"/>
      <c r="AG17751" s="10"/>
    </row>
    <row r="17752" spans="1:33">
      <c r="A17752" s="9"/>
      <c r="B17752" s="9"/>
      <c r="C17752" s="9"/>
      <c r="D17752" s="9"/>
      <c r="E17752" s="9"/>
      <c r="F17752" s="9"/>
      <c r="G17752" s="9"/>
      <c r="H17752" s="9"/>
      <c r="I17752" s="9"/>
      <c r="J17752" s="9"/>
      <c r="K17752" s="9"/>
      <c r="L17752" s="9"/>
      <c r="M17752" s="9"/>
      <c r="N17752" s="9"/>
      <c r="O17752" s="9"/>
      <c r="P17752" s="9"/>
      <c r="Q17752" s="9"/>
      <c r="R17752" s="9"/>
      <c r="S17752" s="9"/>
      <c r="T17752" s="9"/>
      <c r="U17752" s="9"/>
      <c r="V17752" s="9"/>
      <c r="W17752" s="9"/>
      <c r="X17752" s="9"/>
      <c r="Y17752" s="9"/>
      <c r="Z17752" s="9"/>
      <c r="AA17752" s="9"/>
      <c r="AB17752" s="9"/>
      <c r="AC17752" s="9"/>
      <c r="AG17752" s="10"/>
    </row>
    <row r="17753" spans="1:33">
      <c r="A17753" s="9"/>
      <c r="B17753" s="9"/>
      <c r="C17753" s="9"/>
      <c r="D17753" s="9"/>
      <c r="E17753" s="9"/>
      <c r="F17753" s="9"/>
      <c r="G17753" s="9"/>
      <c r="H17753" s="9"/>
      <c r="I17753" s="9"/>
      <c r="J17753" s="9"/>
      <c r="K17753" s="9"/>
      <c r="L17753" s="9"/>
      <c r="M17753" s="9"/>
      <c r="N17753" s="9"/>
      <c r="O17753" s="9"/>
      <c r="P17753" s="9"/>
      <c r="Q17753" s="9"/>
      <c r="R17753" s="9"/>
      <c r="S17753" s="9"/>
      <c r="T17753" s="9"/>
      <c r="U17753" s="9"/>
      <c r="V17753" s="9"/>
      <c r="W17753" s="9"/>
      <c r="X17753" s="9"/>
      <c r="Y17753" s="9"/>
      <c r="Z17753" s="9"/>
      <c r="AA17753" s="9"/>
      <c r="AB17753" s="9"/>
      <c r="AC17753" s="9"/>
      <c r="AG17753" s="10"/>
    </row>
    <row r="17754" spans="1:33">
      <c r="A17754" s="9"/>
      <c r="B17754" s="9"/>
      <c r="C17754" s="9"/>
      <c r="D17754" s="9"/>
      <c r="E17754" s="9"/>
      <c r="F17754" s="9"/>
      <c r="G17754" s="9"/>
      <c r="H17754" s="9"/>
      <c r="I17754" s="9"/>
      <c r="J17754" s="9"/>
      <c r="K17754" s="9"/>
      <c r="L17754" s="9"/>
      <c r="M17754" s="9"/>
      <c r="N17754" s="9"/>
      <c r="O17754" s="9"/>
      <c r="P17754" s="9"/>
      <c r="Q17754" s="9"/>
      <c r="R17754" s="9"/>
      <c r="S17754" s="9"/>
      <c r="T17754" s="9"/>
      <c r="U17754" s="9"/>
      <c r="V17754" s="9"/>
      <c r="W17754" s="9"/>
      <c r="X17754" s="9"/>
      <c r="Y17754" s="9"/>
      <c r="Z17754" s="9"/>
      <c r="AA17754" s="9"/>
      <c r="AB17754" s="9"/>
      <c r="AC17754" s="9"/>
      <c r="AG17754" s="10"/>
    </row>
    <row r="17755" spans="1:33">
      <c r="A17755" s="9"/>
      <c r="B17755" s="9"/>
      <c r="C17755" s="9"/>
      <c r="D17755" s="9"/>
      <c r="E17755" s="9"/>
      <c r="F17755" s="9"/>
      <c r="G17755" s="9"/>
      <c r="H17755" s="9"/>
      <c r="I17755" s="9"/>
      <c r="J17755" s="9"/>
      <c r="K17755" s="9"/>
      <c r="L17755" s="9"/>
      <c r="M17755" s="9"/>
      <c r="N17755" s="9"/>
      <c r="O17755" s="9"/>
      <c r="P17755" s="9"/>
      <c r="Q17755" s="9"/>
      <c r="R17755" s="9"/>
      <c r="S17755" s="9"/>
      <c r="T17755" s="9"/>
      <c r="U17755" s="9"/>
      <c r="V17755" s="9"/>
      <c r="W17755" s="9"/>
      <c r="X17755" s="9"/>
      <c r="Y17755" s="9"/>
      <c r="Z17755" s="9"/>
      <c r="AA17755" s="9"/>
      <c r="AB17755" s="9"/>
      <c r="AC17755" s="9"/>
      <c r="AG17755" s="10"/>
    </row>
    <row r="17756" spans="1:33">
      <c r="A17756" s="9"/>
      <c r="B17756" s="9"/>
      <c r="C17756" s="9"/>
      <c r="D17756" s="9"/>
      <c r="E17756" s="9"/>
      <c r="F17756" s="9"/>
      <c r="G17756" s="9"/>
      <c r="H17756" s="9"/>
      <c r="I17756" s="9"/>
      <c r="J17756" s="9"/>
      <c r="K17756" s="9"/>
      <c r="L17756" s="9"/>
      <c r="M17756" s="9"/>
      <c r="N17756" s="9"/>
      <c r="O17756" s="9"/>
      <c r="P17756" s="9"/>
      <c r="Q17756" s="9"/>
      <c r="R17756" s="9"/>
      <c r="S17756" s="9"/>
      <c r="T17756" s="9"/>
      <c r="U17756" s="9"/>
      <c r="V17756" s="9"/>
      <c r="W17756" s="9"/>
      <c r="X17756" s="9"/>
      <c r="Y17756" s="9"/>
      <c r="Z17756" s="9"/>
      <c r="AA17756" s="9"/>
      <c r="AB17756" s="9"/>
      <c r="AC17756" s="9"/>
      <c r="AG17756" s="10"/>
    </row>
    <row r="17757" spans="1:33">
      <c r="A17757" s="9"/>
      <c r="B17757" s="9"/>
      <c r="C17757" s="9"/>
      <c r="D17757" s="9"/>
      <c r="E17757" s="9"/>
      <c r="F17757" s="9"/>
      <c r="G17757" s="9"/>
      <c r="H17757" s="9"/>
      <c r="I17757" s="9"/>
      <c r="J17757" s="9"/>
      <c r="K17757" s="9"/>
      <c r="L17757" s="9"/>
      <c r="M17757" s="9"/>
      <c r="N17757" s="9"/>
      <c r="O17757" s="9"/>
      <c r="P17757" s="9"/>
      <c r="Q17757" s="9"/>
      <c r="R17757" s="9"/>
      <c r="S17757" s="9"/>
      <c r="T17757" s="9"/>
      <c r="U17757" s="9"/>
      <c r="V17757" s="9"/>
      <c r="W17757" s="9"/>
      <c r="X17757" s="9"/>
      <c r="Y17757" s="9"/>
      <c r="Z17757" s="9"/>
      <c r="AA17757" s="9"/>
      <c r="AB17757" s="9"/>
      <c r="AC17757" s="9"/>
      <c r="AG17757" s="10"/>
    </row>
    <row r="17758" spans="1:33">
      <c r="A17758" s="9"/>
      <c r="B17758" s="9"/>
      <c r="C17758" s="9"/>
      <c r="D17758" s="9"/>
      <c r="E17758" s="9"/>
      <c r="F17758" s="9"/>
      <c r="G17758" s="9"/>
      <c r="H17758" s="9"/>
      <c r="I17758" s="9"/>
      <c r="J17758" s="9"/>
      <c r="K17758" s="9"/>
      <c r="L17758" s="9"/>
      <c r="M17758" s="9"/>
      <c r="N17758" s="9"/>
      <c r="O17758" s="9"/>
      <c r="P17758" s="9"/>
      <c r="Q17758" s="9"/>
      <c r="R17758" s="9"/>
      <c r="S17758" s="9"/>
      <c r="T17758" s="9"/>
      <c r="U17758" s="9"/>
      <c r="V17758" s="9"/>
      <c r="W17758" s="9"/>
      <c r="X17758" s="9"/>
      <c r="Y17758" s="9"/>
      <c r="Z17758" s="9"/>
      <c r="AA17758" s="9"/>
      <c r="AB17758" s="9"/>
      <c r="AC17758" s="9"/>
      <c r="AG17758" s="10"/>
    </row>
    <row r="17759" spans="1:33">
      <c r="A17759" s="9"/>
      <c r="B17759" s="9"/>
      <c r="C17759" s="9"/>
      <c r="D17759" s="9"/>
      <c r="E17759" s="9"/>
      <c r="F17759" s="9"/>
      <c r="G17759" s="9"/>
      <c r="H17759" s="9"/>
      <c r="I17759" s="9"/>
      <c r="J17759" s="9"/>
      <c r="K17759" s="9"/>
      <c r="L17759" s="9"/>
      <c r="M17759" s="9"/>
      <c r="N17759" s="9"/>
      <c r="O17759" s="9"/>
      <c r="P17759" s="9"/>
      <c r="Q17759" s="9"/>
      <c r="R17759" s="9"/>
      <c r="S17759" s="9"/>
      <c r="T17759" s="9"/>
      <c r="U17759" s="9"/>
      <c r="V17759" s="9"/>
      <c r="W17759" s="9"/>
      <c r="X17759" s="9"/>
      <c r="Y17759" s="9"/>
      <c r="Z17759" s="9"/>
      <c r="AA17759" s="9"/>
      <c r="AB17759" s="9"/>
      <c r="AC17759" s="9"/>
      <c r="AG17759" s="10"/>
    </row>
    <row r="17760" spans="1:33">
      <c r="A17760" s="9"/>
      <c r="B17760" s="9"/>
      <c r="C17760" s="9"/>
      <c r="D17760" s="9"/>
      <c r="E17760" s="9"/>
      <c r="F17760" s="9"/>
      <c r="G17760" s="9"/>
      <c r="H17760" s="9"/>
      <c r="I17760" s="9"/>
      <c r="J17760" s="9"/>
      <c r="K17760" s="9"/>
      <c r="L17760" s="9"/>
      <c r="M17760" s="9"/>
      <c r="N17760" s="9"/>
      <c r="O17760" s="9"/>
      <c r="P17760" s="9"/>
      <c r="Q17760" s="9"/>
      <c r="R17760" s="9"/>
      <c r="S17760" s="9"/>
      <c r="T17760" s="9"/>
      <c r="U17760" s="9"/>
      <c r="V17760" s="9"/>
      <c r="W17760" s="9"/>
      <c r="X17760" s="9"/>
      <c r="Y17760" s="9"/>
      <c r="Z17760" s="9"/>
      <c r="AA17760" s="9"/>
      <c r="AB17760" s="9"/>
      <c r="AC17760" s="9"/>
      <c r="AG17760" s="10"/>
    </row>
    <row r="17761" spans="1:33">
      <c r="A17761" s="9"/>
      <c r="B17761" s="9"/>
      <c r="C17761" s="9"/>
      <c r="D17761" s="9"/>
      <c r="E17761" s="9"/>
      <c r="F17761" s="9"/>
      <c r="G17761" s="9"/>
      <c r="H17761" s="9"/>
      <c r="I17761" s="9"/>
      <c r="J17761" s="9"/>
      <c r="K17761" s="9"/>
      <c r="L17761" s="9"/>
      <c r="M17761" s="9"/>
      <c r="N17761" s="9"/>
      <c r="O17761" s="9"/>
      <c r="P17761" s="9"/>
      <c r="Q17761" s="9"/>
      <c r="R17761" s="9"/>
      <c r="S17761" s="9"/>
      <c r="T17761" s="9"/>
      <c r="U17761" s="9"/>
      <c r="V17761" s="9"/>
      <c r="W17761" s="9"/>
      <c r="X17761" s="9"/>
      <c r="Y17761" s="9"/>
      <c r="Z17761" s="9"/>
      <c r="AA17761" s="9"/>
      <c r="AB17761" s="9"/>
      <c r="AC17761" s="9"/>
      <c r="AG17761" s="10"/>
    </row>
    <row r="17762" spans="1:33">
      <c r="A17762" s="9"/>
      <c r="B17762" s="9"/>
      <c r="C17762" s="9"/>
      <c r="D17762" s="9"/>
      <c r="E17762" s="9"/>
      <c r="F17762" s="9"/>
      <c r="G17762" s="9"/>
      <c r="H17762" s="9"/>
      <c r="I17762" s="9"/>
      <c r="J17762" s="9"/>
      <c r="K17762" s="9"/>
      <c r="L17762" s="9"/>
      <c r="M17762" s="9"/>
      <c r="N17762" s="9"/>
      <c r="O17762" s="9"/>
      <c r="P17762" s="9"/>
      <c r="Q17762" s="9"/>
      <c r="R17762" s="9"/>
      <c r="S17762" s="9"/>
      <c r="T17762" s="9"/>
      <c r="U17762" s="9"/>
      <c r="V17762" s="9"/>
      <c r="W17762" s="9"/>
      <c r="X17762" s="9"/>
      <c r="Y17762" s="9"/>
      <c r="Z17762" s="9"/>
      <c r="AA17762" s="9"/>
      <c r="AB17762" s="9"/>
      <c r="AC17762" s="9"/>
      <c r="AG17762" s="10"/>
    </row>
    <row r="17763" spans="1:33">
      <c r="A17763" s="9"/>
      <c r="B17763" s="9"/>
      <c r="C17763" s="9"/>
      <c r="D17763" s="9"/>
      <c r="E17763" s="9"/>
      <c r="F17763" s="9"/>
      <c r="G17763" s="9"/>
      <c r="H17763" s="9"/>
      <c r="I17763" s="9"/>
      <c r="J17763" s="9"/>
      <c r="K17763" s="9"/>
      <c r="L17763" s="9"/>
      <c r="M17763" s="9"/>
      <c r="N17763" s="9"/>
      <c r="O17763" s="9"/>
      <c r="P17763" s="9"/>
      <c r="Q17763" s="9"/>
      <c r="R17763" s="9"/>
      <c r="S17763" s="9"/>
      <c r="T17763" s="9"/>
      <c r="U17763" s="9"/>
      <c r="V17763" s="9"/>
      <c r="W17763" s="9"/>
      <c r="X17763" s="9"/>
      <c r="Y17763" s="9"/>
      <c r="Z17763" s="9"/>
      <c r="AA17763" s="9"/>
      <c r="AB17763" s="9"/>
      <c r="AC17763" s="9"/>
      <c r="AG17763" s="10"/>
    </row>
    <row r="17764" spans="1:33">
      <c r="A17764" s="9"/>
      <c r="B17764" s="9"/>
      <c r="C17764" s="9"/>
      <c r="D17764" s="9"/>
      <c r="E17764" s="9"/>
      <c r="F17764" s="9"/>
      <c r="G17764" s="9"/>
      <c r="H17764" s="9"/>
      <c r="I17764" s="9"/>
      <c r="J17764" s="9"/>
      <c r="K17764" s="9"/>
      <c r="L17764" s="9"/>
      <c r="M17764" s="9"/>
      <c r="N17764" s="9"/>
      <c r="O17764" s="9"/>
      <c r="P17764" s="9"/>
      <c r="Q17764" s="9"/>
      <c r="R17764" s="9"/>
      <c r="S17764" s="9"/>
      <c r="T17764" s="9"/>
      <c r="U17764" s="9"/>
      <c r="V17764" s="9"/>
      <c r="W17764" s="9"/>
      <c r="X17764" s="9"/>
      <c r="Y17764" s="9"/>
      <c r="Z17764" s="9"/>
      <c r="AA17764" s="9"/>
      <c r="AB17764" s="9"/>
      <c r="AC17764" s="9"/>
      <c r="AG17764" s="10"/>
    </row>
    <row r="17765" spans="1:33">
      <c r="A17765" s="9"/>
      <c r="B17765" s="9"/>
      <c r="C17765" s="9"/>
      <c r="D17765" s="9"/>
      <c r="E17765" s="9"/>
      <c r="F17765" s="9"/>
      <c r="G17765" s="9"/>
      <c r="H17765" s="9"/>
      <c r="I17765" s="9"/>
      <c r="J17765" s="9"/>
      <c r="K17765" s="9"/>
      <c r="L17765" s="9"/>
      <c r="M17765" s="9"/>
      <c r="N17765" s="9"/>
      <c r="O17765" s="9"/>
      <c r="P17765" s="9"/>
      <c r="Q17765" s="9"/>
      <c r="R17765" s="9"/>
      <c r="S17765" s="9"/>
      <c r="T17765" s="9"/>
      <c r="U17765" s="9"/>
      <c r="V17765" s="9"/>
      <c r="W17765" s="9"/>
      <c r="X17765" s="9"/>
      <c r="Y17765" s="9"/>
      <c r="Z17765" s="9"/>
      <c r="AA17765" s="9"/>
      <c r="AB17765" s="9"/>
      <c r="AC17765" s="9"/>
      <c r="AG17765" s="10"/>
    </row>
    <row r="17766" spans="1:33">
      <c r="A17766" s="9"/>
      <c r="B17766" s="9"/>
      <c r="C17766" s="9"/>
      <c r="D17766" s="9"/>
      <c r="E17766" s="9"/>
      <c r="F17766" s="9"/>
      <c r="G17766" s="9"/>
      <c r="H17766" s="9"/>
      <c r="I17766" s="9"/>
      <c r="J17766" s="9"/>
      <c r="K17766" s="9"/>
      <c r="L17766" s="9"/>
      <c r="M17766" s="9"/>
      <c r="N17766" s="9"/>
      <c r="O17766" s="9"/>
      <c r="P17766" s="9"/>
      <c r="Q17766" s="9"/>
      <c r="R17766" s="9"/>
      <c r="S17766" s="9"/>
      <c r="T17766" s="9"/>
      <c r="U17766" s="9"/>
      <c r="V17766" s="9"/>
      <c r="W17766" s="9"/>
      <c r="X17766" s="9"/>
      <c r="Y17766" s="9"/>
      <c r="Z17766" s="9"/>
      <c r="AA17766" s="9"/>
      <c r="AB17766" s="9"/>
      <c r="AC17766" s="9"/>
      <c r="AG17766" s="10"/>
    </row>
    <row r="17767" spans="1:33">
      <c r="A17767" s="9"/>
      <c r="B17767" s="9"/>
      <c r="C17767" s="9"/>
      <c r="D17767" s="9"/>
      <c r="E17767" s="9"/>
      <c r="F17767" s="9"/>
      <c r="G17767" s="9"/>
      <c r="H17767" s="9"/>
      <c r="I17767" s="9"/>
      <c r="J17767" s="9"/>
      <c r="K17767" s="9"/>
      <c r="L17767" s="9"/>
      <c r="M17767" s="9"/>
      <c r="N17767" s="9"/>
      <c r="O17767" s="9"/>
      <c r="P17767" s="9"/>
      <c r="Q17767" s="9"/>
      <c r="R17767" s="9"/>
      <c r="S17767" s="9"/>
      <c r="T17767" s="9"/>
      <c r="U17767" s="9"/>
      <c r="V17767" s="9"/>
      <c r="W17767" s="9"/>
      <c r="X17767" s="9"/>
      <c r="Y17767" s="9"/>
      <c r="Z17767" s="9"/>
      <c r="AA17767" s="9"/>
      <c r="AB17767" s="9"/>
      <c r="AC17767" s="9"/>
      <c r="AG17767" s="10"/>
    </row>
    <row r="17768" spans="1:33">
      <c r="A17768" s="9"/>
      <c r="B17768" s="9"/>
      <c r="C17768" s="9"/>
      <c r="D17768" s="9"/>
      <c r="E17768" s="9"/>
      <c r="F17768" s="9"/>
      <c r="G17768" s="9"/>
      <c r="H17768" s="9"/>
      <c r="I17768" s="9"/>
      <c r="J17768" s="9"/>
      <c r="K17768" s="9"/>
      <c r="L17768" s="9"/>
      <c r="M17768" s="9"/>
      <c r="N17768" s="9"/>
      <c r="O17768" s="9"/>
      <c r="P17768" s="9"/>
      <c r="Q17768" s="9"/>
      <c r="R17768" s="9"/>
      <c r="S17768" s="9"/>
      <c r="T17768" s="9"/>
      <c r="U17768" s="9"/>
      <c r="V17768" s="9"/>
      <c r="W17768" s="9"/>
      <c r="X17768" s="9"/>
      <c r="Y17768" s="9"/>
      <c r="Z17768" s="9"/>
      <c r="AA17768" s="9"/>
      <c r="AB17768" s="9"/>
      <c r="AC17768" s="9"/>
      <c r="AG17768" s="10"/>
    </row>
    <row r="17769" spans="1:33">
      <c r="A17769" s="9"/>
      <c r="B17769" s="9"/>
      <c r="C17769" s="9"/>
      <c r="D17769" s="9"/>
      <c r="E17769" s="9"/>
      <c r="F17769" s="9"/>
      <c r="G17769" s="9"/>
      <c r="H17769" s="9"/>
      <c r="I17769" s="9"/>
      <c r="J17769" s="9"/>
      <c r="K17769" s="9"/>
      <c r="L17769" s="9"/>
      <c r="M17769" s="9"/>
      <c r="N17769" s="9"/>
      <c r="O17769" s="9"/>
      <c r="P17769" s="9"/>
      <c r="Q17769" s="9"/>
      <c r="R17769" s="9"/>
      <c r="S17769" s="9"/>
      <c r="T17769" s="9"/>
      <c r="U17769" s="9"/>
      <c r="V17769" s="9"/>
      <c r="W17769" s="9"/>
      <c r="X17769" s="9"/>
      <c r="Y17769" s="9"/>
      <c r="Z17769" s="9"/>
      <c r="AA17769" s="9"/>
      <c r="AB17769" s="9"/>
      <c r="AC17769" s="9"/>
      <c r="AG17769" s="10"/>
    </row>
    <row r="17770" spans="1:33">
      <c r="A17770" s="9"/>
      <c r="B17770" s="9"/>
      <c r="C17770" s="9"/>
      <c r="D17770" s="9"/>
      <c r="E17770" s="9"/>
      <c r="F17770" s="9"/>
      <c r="G17770" s="9"/>
      <c r="H17770" s="9"/>
      <c r="I17770" s="9"/>
      <c r="J17770" s="9"/>
      <c r="K17770" s="9"/>
      <c r="L17770" s="9"/>
      <c r="M17770" s="9"/>
      <c r="N17770" s="9"/>
      <c r="O17770" s="9"/>
      <c r="P17770" s="9"/>
      <c r="Q17770" s="9"/>
      <c r="R17770" s="9"/>
      <c r="S17770" s="9"/>
      <c r="T17770" s="9"/>
      <c r="U17770" s="9"/>
      <c r="V17770" s="9"/>
      <c r="W17770" s="9"/>
      <c r="X17770" s="9"/>
      <c r="Y17770" s="9"/>
      <c r="Z17770" s="9"/>
      <c r="AA17770" s="9"/>
      <c r="AB17770" s="9"/>
      <c r="AC17770" s="9"/>
      <c r="AG17770" s="10"/>
    </row>
    <row r="17771" spans="1:33">
      <c r="A17771" s="9"/>
      <c r="B17771" s="9"/>
      <c r="C17771" s="9"/>
      <c r="D17771" s="9"/>
      <c r="E17771" s="9"/>
      <c r="F17771" s="9"/>
      <c r="G17771" s="9"/>
      <c r="H17771" s="9"/>
      <c r="I17771" s="9"/>
      <c r="J17771" s="9"/>
      <c r="K17771" s="9"/>
      <c r="L17771" s="9"/>
      <c r="M17771" s="9"/>
      <c r="N17771" s="9"/>
      <c r="O17771" s="9"/>
      <c r="P17771" s="9"/>
      <c r="Q17771" s="9"/>
      <c r="R17771" s="9"/>
      <c r="S17771" s="9"/>
      <c r="T17771" s="9"/>
      <c r="U17771" s="9"/>
      <c r="V17771" s="9"/>
      <c r="W17771" s="9"/>
      <c r="X17771" s="9"/>
      <c r="Y17771" s="9"/>
      <c r="Z17771" s="9"/>
      <c r="AA17771" s="9"/>
      <c r="AB17771" s="9"/>
      <c r="AC17771" s="9"/>
      <c r="AG17771" s="10"/>
    </row>
    <row r="17772" spans="1:33">
      <c r="A17772" s="9"/>
      <c r="B17772" s="9"/>
      <c r="C17772" s="9"/>
      <c r="D17772" s="9"/>
      <c r="E17772" s="9"/>
      <c r="F17772" s="9"/>
      <c r="G17772" s="9"/>
      <c r="H17772" s="9"/>
      <c r="I17772" s="9"/>
      <c r="J17772" s="9"/>
      <c r="K17772" s="9"/>
      <c r="L17772" s="9"/>
      <c r="M17772" s="9"/>
      <c r="N17772" s="9"/>
      <c r="O17772" s="9"/>
      <c r="P17772" s="9"/>
      <c r="Q17772" s="9"/>
      <c r="R17772" s="9"/>
      <c r="S17772" s="9"/>
      <c r="T17772" s="9"/>
      <c r="U17772" s="9"/>
      <c r="V17772" s="9"/>
      <c r="W17772" s="9"/>
      <c r="X17772" s="9"/>
      <c r="Y17772" s="9"/>
      <c r="Z17772" s="9"/>
      <c r="AA17772" s="9"/>
      <c r="AB17772" s="9"/>
      <c r="AC17772" s="9"/>
      <c r="AG17772" s="10"/>
    </row>
    <row r="17773" spans="1:33">
      <c r="A17773" s="9"/>
      <c r="B17773" s="9"/>
      <c r="C17773" s="9"/>
      <c r="D17773" s="9"/>
      <c r="E17773" s="9"/>
      <c r="F17773" s="9"/>
      <c r="G17773" s="9"/>
      <c r="H17773" s="9"/>
      <c r="I17773" s="9"/>
      <c r="J17773" s="9"/>
      <c r="K17773" s="9"/>
      <c r="L17773" s="9"/>
      <c r="M17773" s="9"/>
      <c r="N17773" s="9"/>
      <c r="O17773" s="9"/>
      <c r="P17773" s="9"/>
      <c r="Q17773" s="9"/>
      <c r="R17773" s="9"/>
      <c r="S17773" s="9"/>
      <c r="T17773" s="9"/>
      <c r="U17773" s="9"/>
      <c r="V17773" s="9"/>
      <c r="W17773" s="9"/>
      <c r="X17773" s="9"/>
      <c r="Y17773" s="9"/>
      <c r="Z17773" s="9"/>
      <c r="AA17773" s="9"/>
      <c r="AB17773" s="9"/>
      <c r="AC17773" s="9"/>
      <c r="AG17773" s="10"/>
    </row>
    <row r="17774" spans="1:33">
      <c r="A17774" s="9"/>
      <c r="B17774" s="9"/>
      <c r="C17774" s="9"/>
      <c r="D17774" s="9"/>
      <c r="E17774" s="9"/>
      <c r="F17774" s="9"/>
      <c r="G17774" s="9"/>
      <c r="H17774" s="9"/>
      <c r="I17774" s="9"/>
      <c r="J17774" s="9"/>
      <c r="K17774" s="9"/>
      <c r="L17774" s="9"/>
      <c r="M17774" s="9"/>
      <c r="N17774" s="9"/>
      <c r="O17774" s="9"/>
      <c r="P17774" s="9"/>
      <c r="Q17774" s="9"/>
      <c r="R17774" s="9"/>
      <c r="S17774" s="9"/>
      <c r="T17774" s="9"/>
      <c r="U17774" s="9"/>
      <c r="V17774" s="9"/>
      <c r="W17774" s="9"/>
      <c r="X17774" s="9"/>
      <c r="Y17774" s="9"/>
      <c r="Z17774" s="9"/>
      <c r="AA17774" s="9"/>
      <c r="AB17774" s="9"/>
      <c r="AC17774" s="9"/>
      <c r="AG17774" s="10"/>
    </row>
    <row r="17775" spans="1:33">
      <c r="A17775" s="9"/>
      <c r="B17775" s="9"/>
      <c r="C17775" s="9"/>
      <c r="D17775" s="9"/>
      <c r="E17775" s="9"/>
      <c r="F17775" s="9"/>
      <c r="G17775" s="9"/>
      <c r="H17775" s="9"/>
      <c r="I17775" s="9"/>
      <c r="J17775" s="9"/>
      <c r="K17775" s="9"/>
      <c r="L17775" s="9"/>
      <c r="M17775" s="9"/>
      <c r="N17775" s="9"/>
      <c r="O17775" s="9"/>
      <c r="P17775" s="9"/>
      <c r="Q17775" s="9"/>
      <c r="R17775" s="9"/>
      <c r="S17775" s="9"/>
      <c r="T17775" s="9"/>
      <c r="U17775" s="9"/>
      <c r="V17775" s="9"/>
      <c r="W17775" s="9"/>
      <c r="X17775" s="9"/>
      <c r="Y17775" s="9"/>
      <c r="Z17775" s="9"/>
      <c r="AA17775" s="9"/>
      <c r="AB17775" s="9"/>
      <c r="AC17775" s="9"/>
      <c r="AG17775" s="10"/>
    </row>
    <row r="17776" spans="1:33">
      <c r="A17776" s="9"/>
      <c r="B17776" s="9"/>
      <c r="C17776" s="9"/>
      <c r="D17776" s="9"/>
      <c r="E17776" s="9"/>
      <c r="F17776" s="9"/>
      <c r="G17776" s="9"/>
      <c r="H17776" s="9"/>
      <c r="I17776" s="9"/>
      <c r="J17776" s="9"/>
      <c r="K17776" s="9"/>
      <c r="L17776" s="9"/>
      <c r="M17776" s="9"/>
      <c r="N17776" s="9"/>
      <c r="O17776" s="9"/>
      <c r="P17776" s="9"/>
      <c r="Q17776" s="9"/>
      <c r="R17776" s="9"/>
      <c r="S17776" s="9"/>
      <c r="T17776" s="9"/>
      <c r="U17776" s="9"/>
      <c r="V17776" s="9"/>
      <c r="W17776" s="9"/>
      <c r="X17776" s="9"/>
      <c r="Y17776" s="9"/>
      <c r="Z17776" s="9"/>
      <c r="AA17776" s="9"/>
      <c r="AB17776" s="9"/>
      <c r="AC17776" s="9"/>
      <c r="AG17776" s="10"/>
    </row>
    <row r="17777" spans="1:33">
      <c r="A17777" s="9"/>
      <c r="B17777" s="9"/>
      <c r="C17777" s="9"/>
      <c r="D17777" s="9"/>
      <c r="E17777" s="9"/>
      <c r="F17777" s="9"/>
      <c r="G17777" s="9"/>
      <c r="H17777" s="9"/>
      <c r="I17777" s="9"/>
      <c r="J17777" s="9"/>
      <c r="K17777" s="9"/>
      <c r="L17777" s="9"/>
      <c r="M17777" s="9"/>
      <c r="N17777" s="9"/>
      <c r="O17777" s="9"/>
      <c r="P17777" s="9"/>
      <c r="Q17777" s="9"/>
      <c r="R17777" s="9"/>
      <c r="S17777" s="9"/>
      <c r="T17777" s="9"/>
      <c r="U17777" s="9"/>
      <c r="V17777" s="9"/>
      <c r="W17777" s="9"/>
      <c r="X17777" s="9"/>
      <c r="Y17777" s="9"/>
      <c r="Z17777" s="9"/>
      <c r="AA17777" s="9"/>
      <c r="AB17777" s="9"/>
      <c r="AC17777" s="9"/>
      <c r="AG17777" s="10"/>
    </row>
    <row r="17778" spans="1:33">
      <c r="A17778" s="9"/>
      <c r="B17778" s="9"/>
      <c r="C17778" s="9"/>
      <c r="D17778" s="9"/>
      <c r="E17778" s="9"/>
      <c r="F17778" s="9"/>
      <c r="G17778" s="9"/>
      <c r="H17778" s="9"/>
      <c r="I17778" s="9"/>
      <c r="J17778" s="9"/>
      <c r="K17778" s="9"/>
      <c r="L17778" s="9"/>
      <c r="M17778" s="9"/>
      <c r="N17778" s="9"/>
      <c r="O17778" s="9"/>
      <c r="P17778" s="9"/>
      <c r="Q17778" s="9"/>
      <c r="R17778" s="9"/>
      <c r="S17778" s="9"/>
      <c r="T17778" s="9"/>
      <c r="U17778" s="9"/>
      <c r="V17778" s="9"/>
      <c r="W17778" s="9"/>
      <c r="X17778" s="9"/>
      <c r="Y17778" s="9"/>
      <c r="Z17778" s="9"/>
      <c r="AA17778" s="9"/>
      <c r="AB17778" s="9"/>
      <c r="AC17778" s="9"/>
      <c r="AG17778" s="10"/>
    </row>
    <row r="17779" spans="1:33">
      <c r="A17779" s="9"/>
      <c r="B17779" s="9"/>
      <c r="C17779" s="9"/>
      <c r="D17779" s="9"/>
      <c r="E17779" s="9"/>
      <c r="F17779" s="9"/>
      <c r="G17779" s="9"/>
      <c r="H17779" s="9"/>
      <c r="I17779" s="9"/>
      <c r="J17779" s="9"/>
      <c r="K17779" s="9"/>
      <c r="L17779" s="9"/>
      <c r="M17779" s="9"/>
      <c r="N17779" s="9"/>
      <c r="O17779" s="9"/>
      <c r="P17779" s="9"/>
      <c r="Q17779" s="9"/>
      <c r="R17779" s="9"/>
      <c r="S17779" s="9"/>
      <c r="T17779" s="9"/>
      <c r="U17779" s="9"/>
      <c r="V17779" s="9"/>
      <c r="W17779" s="9"/>
      <c r="X17779" s="9"/>
      <c r="Y17779" s="9"/>
      <c r="Z17779" s="9"/>
      <c r="AA17779" s="9"/>
      <c r="AB17779" s="9"/>
      <c r="AC17779" s="9"/>
      <c r="AG17779" s="10"/>
    </row>
    <row r="17780" spans="1:33">
      <c r="A17780" s="9"/>
      <c r="B17780" s="9"/>
      <c r="C17780" s="9"/>
      <c r="D17780" s="9"/>
      <c r="E17780" s="9"/>
      <c r="F17780" s="9"/>
      <c r="G17780" s="9"/>
      <c r="H17780" s="9"/>
      <c r="I17780" s="9"/>
      <c r="J17780" s="9"/>
      <c r="K17780" s="9"/>
      <c r="L17780" s="9"/>
      <c r="M17780" s="9"/>
      <c r="N17780" s="9"/>
      <c r="O17780" s="9"/>
      <c r="P17780" s="9"/>
      <c r="Q17780" s="9"/>
      <c r="R17780" s="9"/>
      <c r="S17780" s="9"/>
      <c r="T17780" s="9"/>
      <c r="U17780" s="9"/>
      <c r="V17780" s="9"/>
      <c r="W17780" s="9"/>
      <c r="X17780" s="9"/>
      <c r="Y17780" s="9"/>
      <c r="Z17780" s="9"/>
      <c r="AA17780" s="9"/>
      <c r="AB17780" s="9"/>
      <c r="AC17780" s="9"/>
      <c r="AG17780" s="10"/>
    </row>
    <row r="17781" spans="1:33">
      <c r="A17781" s="9"/>
      <c r="B17781" s="9"/>
      <c r="C17781" s="9"/>
      <c r="D17781" s="9"/>
      <c r="E17781" s="9"/>
      <c r="F17781" s="9"/>
      <c r="G17781" s="9"/>
      <c r="H17781" s="9"/>
      <c r="I17781" s="9"/>
      <c r="J17781" s="9"/>
      <c r="K17781" s="9"/>
      <c r="L17781" s="9"/>
      <c r="M17781" s="9"/>
      <c r="N17781" s="9"/>
      <c r="O17781" s="9"/>
      <c r="P17781" s="9"/>
      <c r="Q17781" s="9"/>
      <c r="R17781" s="9"/>
      <c r="S17781" s="9"/>
      <c r="T17781" s="9"/>
      <c r="U17781" s="9"/>
      <c r="V17781" s="9"/>
      <c r="W17781" s="9"/>
      <c r="X17781" s="9"/>
      <c r="Y17781" s="9"/>
      <c r="Z17781" s="9"/>
      <c r="AA17781" s="9"/>
      <c r="AB17781" s="9"/>
      <c r="AC17781" s="9"/>
      <c r="AG17781" s="10"/>
    </row>
    <row r="17782" spans="1:33">
      <c r="A17782" s="9"/>
      <c r="B17782" s="9"/>
      <c r="C17782" s="9"/>
      <c r="D17782" s="9"/>
      <c r="E17782" s="9"/>
      <c r="F17782" s="9"/>
      <c r="G17782" s="9"/>
      <c r="H17782" s="9"/>
      <c r="I17782" s="9"/>
      <c r="J17782" s="9"/>
      <c r="K17782" s="9"/>
      <c r="L17782" s="9"/>
      <c r="M17782" s="9"/>
      <c r="N17782" s="9"/>
      <c r="O17782" s="9"/>
      <c r="P17782" s="9"/>
      <c r="Q17782" s="9"/>
      <c r="R17782" s="9"/>
      <c r="S17782" s="9"/>
      <c r="T17782" s="9"/>
      <c r="U17782" s="9"/>
      <c r="V17782" s="9"/>
      <c r="W17782" s="9"/>
      <c r="X17782" s="9"/>
      <c r="Y17782" s="9"/>
      <c r="Z17782" s="9"/>
      <c r="AA17782" s="9"/>
      <c r="AB17782" s="9"/>
      <c r="AC17782" s="9"/>
      <c r="AG17782" s="10"/>
    </row>
    <row r="17783" spans="1:33">
      <c r="A17783" s="9"/>
      <c r="B17783" s="9"/>
      <c r="C17783" s="9"/>
      <c r="D17783" s="9"/>
      <c r="E17783" s="9"/>
      <c r="F17783" s="9"/>
      <c r="G17783" s="9"/>
      <c r="H17783" s="9"/>
      <c r="I17783" s="9"/>
      <c r="J17783" s="9"/>
      <c r="K17783" s="9"/>
      <c r="L17783" s="9"/>
      <c r="M17783" s="9"/>
      <c r="N17783" s="9"/>
      <c r="O17783" s="9"/>
      <c r="P17783" s="9"/>
      <c r="Q17783" s="9"/>
      <c r="R17783" s="9"/>
      <c r="S17783" s="9"/>
      <c r="T17783" s="9"/>
      <c r="U17783" s="9"/>
      <c r="V17783" s="9"/>
      <c r="W17783" s="9"/>
      <c r="X17783" s="9"/>
      <c r="Y17783" s="9"/>
      <c r="Z17783" s="9"/>
      <c r="AA17783" s="9"/>
      <c r="AB17783" s="9"/>
      <c r="AC17783" s="9"/>
      <c r="AG17783" s="10"/>
    </row>
    <row r="17784" spans="1:33">
      <c r="A17784" s="9"/>
      <c r="B17784" s="9"/>
      <c r="C17784" s="9"/>
      <c r="D17784" s="9"/>
      <c r="E17784" s="9"/>
      <c r="F17784" s="9"/>
      <c r="G17784" s="9"/>
      <c r="H17784" s="9"/>
      <c r="I17784" s="9"/>
      <c r="J17784" s="9"/>
      <c r="K17784" s="9"/>
      <c r="L17784" s="9"/>
      <c r="M17784" s="9"/>
      <c r="N17784" s="9"/>
      <c r="O17784" s="9"/>
      <c r="P17784" s="9"/>
      <c r="Q17784" s="9"/>
      <c r="R17784" s="9"/>
      <c r="S17784" s="9"/>
      <c r="T17784" s="9"/>
      <c r="U17784" s="9"/>
      <c r="V17784" s="9"/>
      <c r="W17784" s="9"/>
      <c r="X17784" s="9"/>
      <c r="Y17784" s="9"/>
      <c r="Z17784" s="9"/>
      <c r="AA17784" s="9"/>
      <c r="AB17784" s="9"/>
      <c r="AC17784" s="9"/>
      <c r="AG17784" s="10"/>
    </row>
    <row r="17785" spans="1:33">
      <c r="A17785" s="9"/>
      <c r="B17785" s="9"/>
      <c r="C17785" s="9"/>
      <c r="D17785" s="9"/>
      <c r="E17785" s="9"/>
      <c r="F17785" s="9"/>
      <c r="G17785" s="9"/>
      <c r="H17785" s="9"/>
      <c r="I17785" s="9"/>
      <c r="J17785" s="9"/>
      <c r="K17785" s="9"/>
      <c r="L17785" s="9"/>
      <c r="M17785" s="9"/>
      <c r="N17785" s="9"/>
      <c r="O17785" s="9"/>
      <c r="P17785" s="9"/>
      <c r="Q17785" s="9"/>
      <c r="R17785" s="9"/>
      <c r="S17785" s="9"/>
      <c r="T17785" s="9"/>
      <c r="U17785" s="9"/>
      <c r="V17785" s="9"/>
      <c r="W17785" s="9"/>
      <c r="X17785" s="9"/>
      <c r="Y17785" s="9"/>
      <c r="Z17785" s="9"/>
      <c r="AA17785" s="9"/>
      <c r="AB17785" s="9"/>
      <c r="AC17785" s="9"/>
      <c r="AG17785" s="10"/>
    </row>
    <row r="17786" spans="1:33">
      <c r="A17786" s="9"/>
      <c r="B17786" s="9"/>
      <c r="C17786" s="9"/>
      <c r="D17786" s="9"/>
      <c r="E17786" s="9"/>
      <c r="F17786" s="9"/>
      <c r="G17786" s="9"/>
      <c r="H17786" s="9"/>
      <c r="I17786" s="9"/>
      <c r="J17786" s="9"/>
      <c r="K17786" s="9"/>
      <c r="L17786" s="9"/>
      <c r="M17786" s="9"/>
      <c r="N17786" s="9"/>
      <c r="O17786" s="9"/>
      <c r="P17786" s="9"/>
      <c r="Q17786" s="9"/>
      <c r="R17786" s="9"/>
      <c r="S17786" s="9"/>
      <c r="T17786" s="9"/>
      <c r="U17786" s="9"/>
      <c r="V17786" s="9"/>
      <c r="W17786" s="9"/>
      <c r="X17786" s="9"/>
      <c r="Y17786" s="9"/>
      <c r="Z17786" s="9"/>
      <c r="AA17786" s="9"/>
      <c r="AB17786" s="9"/>
      <c r="AC17786" s="9"/>
      <c r="AG17786" s="10"/>
    </row>
    <row r="17787" spans="1:33">
      <c r="A17787" s="9"/>
      <c r="B17787" s="9"/>
      <c r="C17787" s="9"/>
      <c r="D17787" s="9"/>
      <c r="E17787" s="9"/>
      <c r="F17787" s="9"/>
      <c r="G17787" s="9"/>
      <c r="H17787" s="9"/>
      <c r="I17787" s="9"/>
      <c r="J17787" s="9"/>
      <c r="K17787" s="9"/>
      <c r="L17787" s="9"/>
      <c r="M17787" s="9"/>
      <c r="N17787" s="9"/>
      <c r="O17787" s="9"/>
      <c r="P17787" s="9"/>
      <c r="Q17787" s="9"/>
      <c r="R17787" s="9"/>
      <c r="S17787" s="9"/>
      <c r="T17787" s="9"/>
      <c r="U17787" s="9"/>
      <c r="V17787" s="9"/>
      <c r="W17787" s="9"/>
      <c r="X17787" s="9"/>
      <c r="Y17787" s="9"/>
      <c r="Z17787" s="9"/>
      <c r="AA17787" s="9"/>
      <c r="AB17787" s="9"/>
      <c r="AC17787" s="9"/>
      <c r="AG17787" s="10"/>
    </row>
    <row r="17788" spans="1:33">
      <c r="A17788" s="9"/>
      <c r="B17788" s="9"/>
      <c r="C17788" s="9"/>
      <c r="D17788" s="9"/>
      <c r="E17788" s="9"/>
      <c r="F17788" s="9"/>
      <c r="G17788" s="9"/>
      <c r="H17788" s="9"/>
      <c r="I17788" s="9"/>
      <c r="J17788" s="9"/>
      <c r="K17788" s="9"/>
      <c r="L17788" s="9"/>
      <c r="M17788" s="9"/>
      <c r="N17788" s="9"/>
      <c r="O17788" s="9"/>
      <c r="P17788" s="9"/>
      <c r="Q17788" s="9"/>
      <c r="R17788" s="9"/>
      <c r="S17788" s="9"/>
      <c r="T17788" s="9"/>
      <c r="U17788" s="9"/>
      <c r="V17788" s="9"/>
      <c r="W17788" s="9"/>
      <c r="X17788" s="9"/>
      <c r="Y17788" s="9"/>
      <c r="Z17788" s="9"/>
      <c r="AA17788" s="9"/>
      <c r="AB17788" s="9"/>
      <c r="AC17788" s="9"/>
      <c r="AG17788" s="10"/>
    </row>
    <row r="17789" spans="1:33">
      <c r="A17789" s="9"/>
      <c r="B17789" s="9"/>
      <c r="C17789" s="9"/>
      <c r="D17789" s="9"/>
      <c r="E17789" s="9"/>
      <c r="F17789" s="9"/>
      <c r="G17789" s="9"/>
      <c r="H17789" s="9"/>
      <c r="I17789" s="9"/>
      <c r="J17789" s="9"/>
      <c r="K17789" s="9"/>
      <c r="L17789" s="9"/>
      <c r="M17789" s="9"/>
      <c r="N17789" s="9"/>
      <c r="O17789" s="9"/>
      <c r="P17789" s="9"/>
      <c r="Q17789" s="9"/>
      <c r="R17789" s="9"/>
      <c r="S17789" s="9"/>
      <c r="T17789" s="9"/>
      <c r="U17789" s="9"/>
      <c r="V17789" s="9"/>
      <c r="W17789" s="9"/>
      <c r="X17789" s="9"/>
      <c r="Y17789" s="9"/>
      <c r="Z17789" s="9"/>
      <c r="AA17789" s="9"/>
      <c r="AB17789" s="9"/>
      <c r="AC17789" s="9"/>
      <c r="AG17789" s="10"/>
    </row>
    <row r="17790" spans="1:33">
      <c r="A17790" s="9"/>
      <c r="B17790" s="9"/>
      <c r="C17790" s="9"/>
      <c r="D17790" s="9"/>
      <c r="E17790" s="9"/>
      <c r="F17790" s="9"/>
      <c r="G17790" s="9"/>
      <c r="H17790" s="9"/>
      <c r="I17790" s="9"/>
      <c r="J17790" s="9"/>
      <c r="K17790" s="9"/>
      <c r="L17790" s="9"/>
      <c r="M17790" s="9"/>
      <c r="N17790" s="9"/>
      <c r="O17790" s="9"/>
      <c r="P17790" s="9"/>
      <c r="Q17790" s="9"/>
      <c r="R17790" s="9"/>
      <c r="S17790" s="9"/>
      <c r="T17790" s="9"/>
      <c r="U17790" s="9"/>
      <c r="V17790" s="9"/>
      <c r="W17790" s="9"/>
      <c r="X17790" s="9"/>
      <c r="Y17790" s="9"/>
      <c r="Z17790" s="9"/>
      <c r="AA17790" s="9"/>
      <c r="AB17790" s="9"/>
      <c r="AC17790" s="9"/>
      <c r="AG17790" s="10"/>
    </row>
    <row r="17791" spans="1:33">
      <c r="A17791" s="9"/>
      <c r="B17791" s="9"/>
      <c r="C17791" s="9"/>
      <c r="D17791" s="9"/>
      <c r="E17791" s="9"/>
      <c r="F17791" s="9"/>
      <c r="G17791" s="9"/>
      <c r="H17791" s="9"/>
      <c r="I17791" s="9"/>
      <c r="J17791" s="9"/>
      <c r="K17791" s="9"/>
      <c r="L17791" s="9"/>
      <c r="M17791" s="9"/>
      <c r="N17791" s="9"/>
      <c r="O17791" s="9"/>
      <c r="P17791" s="9"/>
      <c r="Q17791" s="9"/>
      <c r="R17791" s="9"/>
      <c r="S17791" s="9"/>
      <c r="T17791" s="9"/>
      <c r="U17791" s="9"/>
      <c r="V17791" s="9"/>
      <c r="W17791" s="9"/>
      <c r="X17791" s="9"/>
      <c r="Y17791" s="9"/>
      <c r="Z17791" s="9"/>
      <c r="AA17791" s="9"/>
      <c r="AB17791" s="9"/>
      <c r="AC17791" s="9"/>
      <c r="AG17791" s="10"/>
    </row>
    <row r="17792" spans="1:33">
      <c r="A17792" s="9"/>
      <c r="B17792" s="9"/>
      <c r="C17792" s="9"/>
      <c r="D17792" s="9"/>
      <c r="E17792" s="9"/>
      <c r="F17792" s="9"/>
      <c r="G17792" s="9"/>
      <c r="H17792" s="9"/>
      <c r="I17792" s="9"/>
      <c r="J17792" s="9"/>
      <c r="K17792" s="9"/>
      <c r="L17792" s="9"/>
      <c r="M17792" s="9"/>
      <c r="N17792" s="9"/>
      <c r="O17792" s="9"/>
      <c r="P17792" s="9"/>
      <c r="Q17792" s="9"/>
      <c r="R17792" s="9"/>
      <c r="S17792" s="9"/>
      <c r="T17792" s="9"/>
      <c r="U17792" s="9"/>
      <c r="V17792" s="9"/>
      <c r="W17792" s="9"/>
      <c r="X17792" s="9"/>
      <c r="Y17792" s="9"/>
      <c r="Z17792" s="9"/>
      <c r="AA17792" s="9"/>
      <c r="AB17792" s="9"/>
      <c r="AC17792" s="9"/>
      <c r="AG17792" s="10"/>
    </row>
    <row r="17793" spans="1:33">
      <c r="A17793" s="9"/>
      <c r="B17793" s="9"/>
      <c r="C17793" s="9"/>
      <c r="D17793" s="9"/>
      <c r="E17793" s="9"/>
      <c r="F17793" s="9"/>
      <c r="G17793" s="9"/>
      <c r="H17793" s="9"/>
      <c r="I17793" s="9"/>
      <c r="J17793" s="9"/>
      <c r="K17793" s="9"/>
      <c r="L17793" s="9"/>
      <c r="M17793" s="9"/>
      <c r="N17793" s="9"/>
      <c r="O17793" s="9"/>
      <c r="P17793" s="9"/>
      <c r="Q17793" s="9"/>
      <c r="R17793" s="9"/>
      <c r="S17793" s="9"/>
      <c r="T17793" s="9"/>
      <c r="U17793" s="9"/>
      <c r="V17793" s="9"/>
      <c r="W17793" s="9"/>
      <c r="X17793" s="9"/>
      <c r="Y17793" s="9"/>
      <c r="Z17793" s="9"/>
      <c r="AA17793" s="9"/>
      <c r="AB17793" s="9"/>
      <c r="AC17793" s="9"/>
      <c r="AG17793" s="10"/>
    </row>
    <row r="17794" spans="1:33">
      <c r="A17794" s="9"/>
      <c r="B17794" s="9"/>
      <c r="C17794" s="9"/>
      <c r="D17794" s="9"/>
      <c r="E17794" s="9"/>
      <c r="F17794" s="9"/>
      <c r="G17794" s="9"/>
      <c r="H17794" s="9"/>
      <c r="I17794" s="9"/>
      <c r="J17794" s="9"/>
      <c r="K17794" s="9"/>
      <c r="L17794" s="9"/>
      <c r="M17794" s="9"/>
      <c r="N17794" s="9"/>
      <c r="O17794" s="9"/>
      <c r="P17794" s="9"/>
      <c r="Q17794" s="9"/>
      <c r="R17794" s="9"/>
      <c r="S17794" s="9"/>
      <c r="T17794" s="9"/>
      <c r="U17794" s="9"/>
      <c r="V17794" s="9"/>
      <c r="W17794" s="9"/>
      <c r="X17794" s="9"/>
      <c r="Y17794" s="9"/>
      <c r="Z17794" s="9"/>
      <c r="AA17794" s="9"/>
      <c r="AB17794" s="9"/>
      <c r="AC17794" s="9"/>
      <c r="AG17794" s="10"/>
    </row>
    <row r="17795" spans="1:33">
      <c r="A17795" s="9"/>
      <c r="B17795" s="9"/>
      <c r="C17795" s="9"/>
      <c r="D17795" s="9"/>
      <c r="E17795" s="9"/>
      <c r="F17795" s="9"/>
      <c r="G17795" s="9"/>
      <c r="H17795" s="9"/>
      <c r="I17795" s="9"/>
      <c r="J17795" s="9"/>
      <c r="K17795" s="9"/>
      <c r="L17795" s="9"/>
      <c r="M17795" s="9"/>
      <c r="N17795" s="9"/>
      <c r="O17795" s="9"/>
      <c r="P17795" s="9"/>
      <c r="Q17795" s="9"/>
      <c r="R17795" s="9"/>
      <c r="S17795" s="9"/>
      <c r="T17795" s="9"/>
      <c r="U17795" s="9"/>
      <c r="V17795" s="9"/>
      <c r="W17795" s="9"/>
      <c r="X17795" s="9"/>
      <c r="Y17795" s="9"/>
      <c r="Z17795" s="9"/>
      <c r="AA17795" s="9"/>
      <c r="AB17795" s="9"/>
      <c r="AC17795" s="9"/>
      <c r="AG17795" s="10"/>
    </row>
    <row r="17796" spans="1:33">
      <c r="A17796" s="9"/>
      <c r="B17796" s="9"/>
      <c r="C17796" s="9"/>
      <c r="D17796" s="9"/>
      <c r="E17796" s="9"/>
      <c r="F17796" s="9"/>
      <c r="G17796" s="9"/>
      <c r="H17796" s="9"/>
      <c r="I17796" s="9"/>
      <c r="J17796" s="9"/>
      <c r="K17796" s="9"/>
      <c r="L17796" s="9"/>
      <c r="M17796" s="9"/>
      <c r="N17796" s="9"/>
      <c r="O17796" s="9"/>
      <c r="P17796" s="9"/>
      <c r="Q17796" s="9"/>
      <c r="R17796" s="9"/>
      <c r="S17796" s="9"/>
      <c r="T17796" s="9"/>
      <c r="U17796" s="9"/>
      <c r="V17796" s="9"/>
      <c r="W17796" s="9"/>
      <c r="X17796" s="9"/>
      <c r="Y17796" s="9"/>
      <c r="Z17796" s="9"/>
      <c r="AA17796" s="9"/>
      <c r="AB17796" s="9"/>
      <c r="AC17796" s="9"/>
      <c r="AG17796" s="10"/>
    </row>
    <row r="17797" spans="1:33">
      <c r="A17797" s="9"/>
      <c r="B17797" s="9"/>
      <c r="C17797" s="9"/>
      <c r="D17797" s="9"/>
      <c r="E17797" s="9"/>
      <c r="F17797" s="9"/>
      <c r="G17797" s="9"/>
      <c r="H17797" s="9"/>
      <c r="I17797" s="9"/>
      <c r="J17797" s="9"/>
      <c r="K17797" s="9"/>
      <c r="L17797" s="9"/>
      <c r="M17797" s="9"/>
      <c r="N17797" s="9"/>
      <c r="O17797" s="9"/>
      <c r="P17797" s="9"/>
      <c r="Q17797" s="9"/>
      <c r="R17797" s="9"/>
      <c r="S17797" s="9"/>
      <c r="T17797" s="9"/>
      <c r="U17797" s="9"/>
      <c r="V17797" s="9"/>
      <c r="W17797" s="9"/>
      <c r="X17797" s="9"/>
      <c r="Y17797" s="9"/>
      <c r="Z17797" s="9"/>
      <c r="AA17797" s="9"/>
      <c r="AB17797" s="9"/>
      <c r="AC17797" s="9"/>
      <c r="AG17797" s="10"/>
    </row>
    <row r="17798" spans="1:33">
      <c r="A17798" s="9"/>
      <c r="B17798" s="9"/>
      <c r="C17798" s="9"/>
      <c r="D17798" s="9"/>
      <c r="E17798" s="9"/>
      <c r="F17798" s="9"/>
      <c r="G17798" s="9"/>
      <c r="H17798" s="9"/>
      <c r="I17798" s="9"/>
      <c r="J17798" s="9"/>
      <c r="K17798" s="9"/>
      <c r="L17798" s="9"/>
      <c r="M17798" s="9"/>
      <c r="N17798" s="9"/>
      <c r="O17798" s="9"/>
      <c r="P17798" s="9"/>
      <c r="Q17798" s="9"/>
      <c r="R17798" s="9"/>
      <c r="S17798" s="9"/>
      <c r="T17798" s="9"/>
      <c r="U17798" s="9"/>
      <c r="V17798" s="9"/>
      <c r="W17798" s="9"/>
      <c r="X17798" s="9"/>
      <c r="Y17798" s="9"/>
      <c r="Z17798" s="9"/>
      <c r="AA17798" s="9"/>
      <c r="AB17798" s="9"/>
      <c r="AC17798" s="9"/>
      <c r="AG17798" s="10"/>
    </row>
    <row r="17799" spans="1:33">
      <c r="A17799" s="9"/>
      <c r="B17799" s="9"/>
      <c r="C17799" s="9"/>
      <c r="D17799" s="9"/>
      <c r="E17799" s="9"/>
      <c r="F17799" s="9"/>
      <c r="G17799" s="9"/>
      <c r="H17799" s="9"/>
      <c r="I17799" s="9"/>
      <c r="J17799" s="9"/>
      <c r="K17799" s="9"/>
      <c r="L17799" s="9"/>
      <c r="M17799" s="9"/>
      <c r="N17799" s="9"/>
      <c r="O17799" s="9"/>
      <c r="P17799" s="9"/>
      <c r="Q17799" s="9"/>
      <c r="R17799" s="9"/>
      <c r="S17799" s="9"/>
      <c r="T17799" s="9"/>
      <c r="U17799" s="9"/>
      <c r="V17799" s="9"/>
      <c r="W17799" s="9"/>
      <c r="X17799" s="9"/>
      <c r="Y17799" s="9"/>
      <c r="Z17799" s="9"/>
      <c r="AA17799" s="9"/>
      <c r="AB17799" s="9"/>
      <c r="AC17799" s="9"/>
      <c r="AG17799" s="10"/>
    </row>
    <row r="17800" spans="1:33">
      <c r="A17800" s="9"/>
      <c r="B17800" s="9"/>
      <c r="C17800" s="9"/>
      <c r="D17800" s="9"/>
      <c r="E17800" s="9"/>
      <c r="F17800" s="9"/>
      <c r="G17800" s="9"/>
      <c r="H17800" s="9"/>
      <c r="I17800" s="9"/>
      <c r="J17800" s="9"/>
      <c r="K17800" s="9"/>
      <c r="L17800" s="9"/>
      <c r="M17800" s="9"/>
      <c r="N17800" s="9"/>
      <c r="O17800" s="9"/>
      <c r="P17800" s="9"/>
      <c r="Q17800" s="9"/>
      <c r="R17800" s="9"/>
      <c r="S17800" s="9"/>
      <c r="T17800" s="9"/>
      <c r="U17800" s="9"/>
      <c r="V17800" s="9"/>
      <c r="W17800" s="9"/>
      <c r="X17800" s="9"/>
      <c r="Y17800" s="9"/>
      <c r="Z17800" s="9"/>
      <c r="AA17800" s="9"/>
      <c r="AB17800" s="9"/>
      <c r="AC17800" s="9"/>
      <c r="AG17800" s="10"/>
    </row>
    <row r="17801" spans="1:33">
      <c r="A17801" s="9"/>
      <c r="B17801" s="9"/>
      <c r="C17801" s="9"/>
      <c r="D17801" s="9"/>
      <c r="E17801" s="9"/>
      <c r="F17801" s="9"/>
      <c r="G17801" s="9"/>
      <c r="H17801" s="9"/>
      <c r="I17801" s="9"/>
      <c r="J17801" s="9"/>
      <c r="K17801" s="9"/>
      <c r="L17801" s="9"/>
      <c r="M17801" s="9"/>
      <c r="N17801" s="9"/>
      <c r="O17801" s="9"/>
      <c r="P17801" s="9"/>
      <c r="Q17801" s="9"/>
      <c r="R17801" s="9"/>
      <c r="S17801" s="9"/>
      <c r="T17801" s="9"/>
      <c r="U17801" s="9"/>
      <c r="V17801" s="9"/>
      <c r="W17801" s="9"/>
      <c r="X17801" s="9"/>
      <c r="Y17801" s="9"/>
      <c r="Z17801" s="9"/>
      <c r="AA17801" s="9"/>
      <c r="AB17801" s="9"/>
      <c r="AC17801" s="9"/>
      <c r="AG17801" s="10"/>
    </row>
    <row r="17802" spans="1:33">
      <c r="A17802" s="9"/>
      <c r="B17802" s="9"/>
      <c r="C17802" s="9"/>
      <c r="D17802" s="9"/>
      <c r="E17802" s="9"/>
      <c r="F17802" s="9"/>
      <c r="G17802" s="9"/>
      <c r="H17802" s="9"/>
      <c r="I17802" s="9"/>
      <c r="J17802" s="9"/>
      <c r="K17802" s="9"/>
      <c r="L17802" s="9"/>
      <c r="M17802" s="9"/>
      <c r="N17802" s="9"/>
      <c r="O17802" s="9"/>
      <c r="P17802" s="9"/>
      <c r="Q17802" s="9"/>
      <c r="R17802" s="9"/>
      <c r="S17802" s="9"/>
      <c r="T17802" s="9"/>
      <c r="U17802" s="9"/>
      <c r="V17802" s="9"/>
      <c r="W17802" s="9"/>
      <c r="X17802" s="9"/>
      <c r="Y17802" s="9"/>
      <c r="Z17802" s="9"/>
      <c r="AA17802" s="9"/>
      <c r="AB17802" s="9"/>
      <c r="AC17802" s="9"/>
      <c r="AG17802" s="10"/>
    </row>
    <row r="17803" spans="1:33">
      <c r="A17803" s="9"/>
      <c r="B17803" s="9"/>
      <c r="C17803" s="9"/>
      <c r="D17803" s="9"/>
      <c r="E17803" s="9"/>
      <c r="F17803" s="9"/>
      <c r="G17803" s="9"/>
      <c r="H17803" s="9"/>
      <c r="I17803" s="9"/>
      <c r="J17803" s="9"/>
      <c r="K17803" s="9"/>
      <c r="L17803" s="9"/>
      <c r="M17803" s="9"/>
      <c r="N17803" s="9"/>
      <c r="O17803" s="9"/>
      <c r="P17803" s="9"/>
      <c r="Q17803" s="9"/>
      <c r="R17803" s="9"/>
      <c r="S17803" s="9"/>
      <c r="T17803" s="9"/>
      <c r="U17803" s="9"/>
      <c r="V17803" s="9"/>
      <c r="W17803" s="9"/>
      <c r="X17803" s="9"/>
      <c r="Y17803" s="9"/>
      <c r="Z17803" s="9"/>
      <c r="AA17803" s="9"/>
      <c r="AB17803" s="9"/>
      <c r="AC17803" s="9"/>
      <c r="AG17803" s="10"/>
    </row>
    <row r="17804" spans="1:33">
      <c r="A17804" s="9"/>
      <c r="B17804" s="9"/>
      <c r="C17804" s="9"/>
      <c r="D17804" s="9"/>
      <c r="E17804" s="9"/>
      <c r="F17804" s="9"/>
      <c r="G17804" s="9"/>
      <c r="H17804" s="9"/>
      <c r="I17804" s="9"/>
      <c r="J17804" s="9"/>
      <c r="K17804" s="9"/>
      <c r="L17804" s="9"/>
      <c r="M17804" s="9"/>
      <c r="N17804" s="9"/>
      <c r="O17804" s="9"/>
      <c r="P17804" s="9"/>
      <c r="Q17804" s="9"/>
      <c r="R17804" s="9"/>
      <c r="S17804" s="9"/>
      <c r="T17804" s="9"/>
      <c r="U17804" s="9"/>
      <c r="V17804" s="9"/>
      <c r="W17804" s="9"/>
      <c r="X17804" s="9"/>
      <c r="Y17804" s="9"/>
      <c r="Z17804" s="9"/>
      <c r="AA17804" s="9"/>
      <c r="AB17804" s="9"/>
      <c r="AC17804" s="9"/>
      <c r="AG17804" s="10"/>
    </row>
    <row r="17805" spans="1:33">
      <c r="A17805" s="9"/>
      <c r="B17805" s="9"/>
      <c r="C17805" s="9"/>
      <c r="D17805" s="9"/>
      <c r="E17805" s="9"/>
      <c r="F17805" s="9"/>
      <c r="G17805" s="9"/>
      <c r="H17805" s="9"/>
      <c r="I17805" s="9"/>
      <c r="J17805" s="9"/>
      <c r="K17805" s="9"/>
      <c r="L17805" s="9"/>
      <c r="M17805" s="9"/>
      <c r="N17805" s="9"/>
      <c r="O17805" s="9"/>
      <c r="P17805" s="9"/>
      <c r="Q17805" s="9"/>
      <c r="R17805" s="9"/>
      <c r="S17805" s="9"/>
      <c r="T17805" s="9"/>
      <c r="U17805" s="9"/>
      <c r="V17805" s="9"/>
      <c r="W17805" s="9"/>
      <c r="X17805" s="9"/>
      <c r="Y17805" s="9"/>
      <c r="Z17805" s="9"/>
      <c r="AA17805" s="9"/>
      <c r="AB17805" s="9"/>
      <c r="AC17805" s="9"/>
      <c r="AG17805" s="10"/>
    </row>
    <row r="17806" spans="1:33">
      <c r="A17806" s="9"/>
      <c r="B17806" s="9"/>
      <c r="C17806" s="9"/>
      <c r="D17806" s="9"/>
      <c r="E17806" s="9"/>
      <c r="F17806" s="9"/>
      <c r="G17806" s="9"/>
      <c r="H17806" s="9"/>
      <c r="I17806" s="9"/>
      <c r="J17806" s="9"/>
      <c r="K17806" s="9"/>
      <c r="L17806" s="9"/>
      <c r="M17806" s="9"/>
      <c r="N17806" s="9"/>
      <c r="O17806" s="9"/>
      <c r="P17806" s="9"/>
      <c r="Q17806" s="9"/>
      <c r="R17806" s="9"/>
      <c r="S17806" s="9"/>
      <c r="T17806" s="9"/>
      <c r="U17806" s="9"/>
      <c r="V17806" s="9"/>
      <c r="W17806" s="9"/>
      <c r="X17806" s="9"/>
      <c r="Y17806" s="9"/>
      <c r="Z17806" s="9"/>
      <c r="AA17806" s="9"/>
      <c r="AB17806" s="9"/>
      <c r="AC17806" s="9"/>
      <c r="AG17806" s="10"/>
    </row>
    <row r="17807" spans="1:33">
      <c r="A17807" s="9"/>
      <c r="B17807" s="9"/>
      <c r="C17807" s="9"/>
      <c r="D17807" s="9"/>
      <c r="E17807" s="9"/>
      <c r="F17807" s="9"/>
      <c r="G17807" s="9"/>
      <c r="H17807" s="9"/>
      <c r="I17807" s="9"/>
      <c r="J17807" s="9"/>
      <c r="K17807" s="9"/>
      <c r="L17807" s="9"/>
      <c r="M17807" s="9"/>
      <c r="N17807" s="9"/>
      <c r="O17807" s="9"/>
      <c r="P17807" s="9"/>
      <c r="Q17807" s="9"/>
      <c r="R17807" s="9"/>
      <c r="S17807" s="9"/>
      <c r="T17807" s="9"/>
      <c r="U17807" s="9"/>
      <c r="V17807" s="9"/>
      <c r="W17807" s="9"/>
      <c r="X17807" s="9"/>
      <c r="Y17807" s="9"/>
      <c r="Z17807" s="9"/>
      <c r="AA17807" s="9"/>
      <c r="AB17807" s="9"/>
      <c r="AC17807" s="9"/>
      <c r="AG17807" s="10"/>
    </row>
    <row r="17808" spans="1:33">
      <c r="A17808" s="9"/>
      <c r="B17808" s="9"/>
      <c r="C17808" s="9"/>
      <c r="D17808" s="9"/>
      <c r="E17808" s="9"/>
      <c r="F17808" s="9"/>
      <c r="G17808" s="9"/>
      <c r="H17808" s="9"/>
      <c r="I17808" s="9"/>
      <c r="J17808" s="9"/>
      <c r="K17808" s="9"/>
      <c r="L17808" s="9"/>
      <c r="M17808" s="9"/>
      <c r="N17808" s="9"/>
      <c r="O17808" s="9"/>
      <c r="P17808" s="9"/>
      <c r="Q17808" s="9"/>
      <c r="R17808" s="9"/>
      <c r="S17808" s="9"/>
      <c r="T17808" s="9"/>
      <c r="U17808" s="9"/>
      <c r="V17808" s="9"/>
      <c r="W17808" s="9"/>
      <c r="X17808" s="9"/>
      <c r="Y17808" s="9"/>
      <c r="Z17808" s="9"/>
      <c r="AA17808" s="9"/>
      <c r="AB17808" s="9"/>
      <c r="AC17808" s="9"/>
      <c r="AG17808" s="10"/>
    </row>
    <row r="17809" spans="1:33">
      <c r="A17809" s="9"/>
      <c r="B17809" s="9"/>
      <c r="C17809" s="9"/>
      <c r="D17809" s="9"/>
      <c r="E17809" s="9"/>
      <c r="F17809" s="9"/>
      <c r="G17809" s="9"/>
      <c r="H17809" s="9"/>
      <c r="I17809" s="9"/>
      <c r="J17809" s="9"/>
      <c r="K17809" s="9"/>
      <c r="L17809" s="9"/>
      <c r="M17809" s="9"/>
      <c r="N17809" s="9"/>
      <c r="O17809" s="9"/>
      <c r="P17809" s="9"/>
      <c r="Q17809" s="9"/>
      <c r="R17809" s="9"/>
      <c r="S17809" s="9"/>
      <c r="T17809" s="9"/>
      <c r="U17809" s="9"/>
      <c r="V17809" s="9"/>
      <c r="W17809" s="9"/>
      <c r="X17809" s="9"/>
      <c r="Y17809" s="9"/>
      <c r="Z17809" s="9"/>
      <c r="AA17809" s="9"/>
      <c r="AB17809" s="9"/>
      <c r="AC17809" s="9"/>
      <c r="AG17809" s="10"/>
    </row>
    <row r="17810" spans="1:33">
      <c r="A17810" s="9"/>
      <c r="B17810" s="9"/>
      <c r="C17810" s="9"/>
      <c r="D17810" s="9"/>
      <c r="E17810" s="9"/>
      <c r="F17810" s="9"/>
      <c r="G17810" s="9"/>
      <c r="H17810" s="9"/>
      <c r="I17810" s="9"/>
      <c r="J17810" s="9"/>
      <c r="K17810" s="9"/>
      <c r="L17810" s="9"/>
      <c r="M17810" s="9"/>
      <c r="N17810" s="9"/>
      <c r="O17810" s="9"/>
      <c r="P17810" s="9"/>
      <c r="Q17810" s="9"/>
      <c r="R17810" s="9"/>
      <c r="S17810" s="9"/>
      <c r="T17810" s="9"/>
      <c r="U17810" s="9"/>
      <c r="V17810" s="9"/>
      <c r="W17810" s="9"/>
      <c r="X17810" s="9"/>
      <c r="Y17810" s="9"/>
      <c r="Z17810" s="9"/>
      <c r="AA17810" s="9"/>
      <c r="AB17810" s="9"/>
      <c r="AC17810" s="9"/>
      <c r="AG17810" s="10"/>
    </row>
    <row r="17811" spans="1:33">
      <c r="A17811" s="9"/>
      <c r="B17811" s="9"/>
      <c r="C17811" s="9"/>
      <c r="D17811" s="9"/>
      <c r="E17811" s="9"/>
      <c r="F17811" s="9"/>
      <c r="G17811" s="9"/>
      <c r="H17811" s="9"/>
      <c r="I17811" s="9"/>
      <c r="J17811" s="9"/>
      <c r="K17811" s="9"/>
      <c r="L17811" s="9"/>
      <c r="M17811" s="9"/>
      <c r="N17811" s="9"/>
      <c r="O17811" s="9"/>
      <c r="P17811" s="9"/>
      <c r="Q17811" s="9"/>
      <c r="R17811" s="9"/>
      <c r="S17811" s="9"/>
      <c r="T17811" s="9"/>
      <c r="U17811" s="9"/>
      <c r="V17811" s="9"/>
      <c r="W17811" s="9"/>
      <c r="X17811" s="9"/>
      <c r="Y17811" s="9"/>
      <c r="Z17811" s="9"/>
      <c r="AA17811" s="9"/>
      <c r="AB17811" s="9"/>
      <c r="AC17811" s="9"/>
      <c r="AG17811" s="10"/>
    </row>
    <row r="17812" spans="1:33">
      <c r="A17812" s="9"/>
      <c r="B17812" s="9"/>
      <c r="C17812" s="9"/>
      <c r="D17812" s="9"/>
      <c r="E17812" s="9"/>
      <c r="F17812" s="9"/>
      <c r="G17812" s="9"/>
      <c r="H17812" s="9"/>
      <c r="I17812" s="9"/>
      <c r="J17812" s="9"/>
      <c r="K17812" s="9"/>
      <c r="L17812" s="9"/>
      <c r="M17812" s="9"/>
      <c r="N17812" s="9"/>
      <c r="O17812" s="9"/>
      <c r="P17812" s="9"/>
      <c r="Q17812" s="9"/>
      <c r="R17812" s="9"/>
      <c r="S17812" s="9"/>
      <c r="T17812" s="9"/>
      <c r="U17812" s="9"/>
      <c r="V17812" s="9"/>
      <c r="W17812" s="9"/>
      <c r="X17812" s="9"/>
      <c r="Y17812" s="9"/>
      <c r="Z17812" s="9"/>
      <c r="AA17812" s="9"/>
      <c r="AB17812" s="9"/>
      <c r="AC17812" s="9"/>
      <c r="AG17812" s="10"/>
    </row>
    <row r="17813" spans="1:33">
      <c r="A17813" s="9"/>
      <c r="B17813" s="9"/>
      <c r="C17813" s="9"/>
      <c r="D17813" s="9"/>
      <c r="E17813" s="9"/>
      <c r="F17813" s="9"/>
      <c r="G17813" s="9"/>
      <c r="H17813" s="9"/>
      <c r="I17813" s="9"/>
      <c r="J17813" s="9"/>
      <c r="K17813" s="9"/>
      <c r="L17813" s="9"/>
      <c r="M17813" s="9"/>
      <c r="N17813" s="9"/>
      <c r="O17813" s="9"/>
      <c r="P17813" s="9"/>
      <c r="Q17813" s="9"/>
      <c r="R17813" s="9"/>
      <c r="S17813" s="9"/>
      <c r="T17813" s="9"/>
      <c r="U17813" s="9"/>
      <c r="V17813" s="9"/>
      <c r="W17813" s="9"/>
      <c r="X17813" s="9"/>
      <c r="Y17813" s="9"/>
      <c r="Z17813" s="9"/>
      <c r="AA17813" s="9"/>
      <c r="AB17813" s="9"/>
      <c r="AC17813" s="9"/>
      <c r="AG17813" s="10"/>
    </row>
    <row r="17814" spans="1:33">
      <c r="A17814" s="9"/>
      <c r="B17814" s="9"/>
      <c r="C17814" s="9"/>
      <c r="D17814" s="9"/>
      <c r="E17814" s="9"/>
      <c r="F17814" s="9"/>
      <c r="G17814" s="9"/>
      <c r="H17814" s="9"/>
      <c r="I17814" s="9"/>
      <c r="J17814" s="9"/>
      <c r="K17814" s="9"/>
      <c r="L17814" s="9"/>
      <c r="M17814" s="9"/>
      <c r="N17814" s="9"/>
      <c r="O17814" s="9"/>
      <c r="P17814" s="9"/>
      <c r="Q17814" s="9"/>
      <c r="R17814" s="9"/>
      <c r="S17814" s="9"/>
      <c r="T17814" s="9"/>
      <c r="U17814" s="9"/>
      <c r="V17814" s="9"/>
      <c r="W17814" s="9"/>
      <c r="X17814" s="9"/>
      <c r="Y17814" s="9"/>
      <c r="Z17814" s="9"/>
      <c r="AA17814" s="9"/>
      <c r="AB17814" s="9"/>
      <c r="AC17814" s="9"/>
      <c r="AG17814" s="10"/>
    </row>
    <row r="17815" spans="1:33">
      <c r="A17815" s="9"/>
      <c r="B17815" s="9"/>
      <c r="C17815" s="9"/>
      <c r="D17815" s="9"/>
      <c r="E17815" s="9"/>
      <c r="F17815" s="9"/>
      <c r="G17815" s="9"/>
      <c r="H17815" s="9"/>
      <c r="I17815" s="9"/>
      <c r="J17815" s="9"/>
      <c r="K17815" s="9"/>
      <c r="L17815" s="9"/>
      <c r="M17815" s="9"/>
      <c r="N17815" s="9"/>
      <c r="O17815" s="9"/>
      <c r="P17815" s="9"/>
      <c r="Q17815" s="9"/>
      <c r="R17815" s="9"/>
      <c r="S17815" s="9"/>
      <c r="T17815" s="9"/>
      <c r="U17815" s="9"/>
      <c r="V17815" s="9"/>
      <c r="W17815" s="9"/>
      <c r="X17815" s="9"/>
      <c r="Y17815" s="9"/>
      <c r="Z17815" s="9"/>
      <c r="AA17815" s="9"/>
      <c r="AB17815" s="9"/>
      <c r="AC17815" s="9"/>
      <c r="AG17815" s="10"/>
    </row>
    <row r="17816" spans="1:33">
      <c r="A17816" s="9"/>
      <c r="B17816" s="9"/>
      <c r="C17816" s="9"/>
      <c r="D17816" s="9"/>
      <c r="E17816" s="9"/>
      <c r="F17816" s="9"/>
      <c r="G17816" s="9"/>
      <c r="H17816" s="9"/>
      <c r="I17816" s="9"/>
      <c r="J17816" s="9"/>
      <c r="K17816" s="9"/>
      <c r="L17816" s="9"/>
      <c r="M17816" s="9"/>
      <c r="N17816" s="9"/>
      <c r="O17816" s="9"/>
      <c r="P17816" s="9"/>
      <c r="Q17816" s="9"/>
      <c r="R17816" s="9"/>
      <c r="S17816" s="9"/>
      <c r="T17816" s="9"/>
      <c r="U17816" s="9"/>
      <c r="V17816" s="9"/>
      <c r="W17816" s="9"/>
      <c r="X17816" s="9"/>
      <c r="Y17816" s="9"/>
      <c r="Z17816" s="9"/>
      <c r="AA17816" s="9"/>
      <c r="AB17816" s="9"/>
      <c r="AC17816" s="9"/>
      <c r="AG17816" s="10"/>
    </row>
    <row r="17817" spans="1:33">
      <c r="A17817" s="9"/>
      <c r="B17817" s="9"/>
      <c r="C17817" s="9"/>
      <c r="D17817" s="9"/>
      <c r="E17817" s="9"/>
      <c r="F17817" s="9"/>
      <c r="G17817" s="9"/>
      <c r="H17817" s="9"/>
      <c r="I17817" s="9"/>
      <c r="J17817" s="9"/>
      <c r="K17817" s="9"/>
      <c r="L17817" s="9"/>
      <c r="M17817" s="9"/>
      <c r="N17817" s="9"/>
      <c r="O17817" s="9"/>
      <c r="P17817" s="9"/>
      <c r="Q17817" s="9"/>
      <c r="R17817" s="9"/>
      <c r="S17817" s="9"/>
      <c r="T17817" s="9"/>
      <c r="U17817" s="9"/>
      <c r="V17817" s="9"/>
      <c r="W17817" s="9"/>
      <c r="X17817" s="9"/>
      <c r="Y17817" s="9"/>
      <c r="Z17817" s="9"/>
      <c r="AA17817" s="9"/>
      <c r="AB17817" s="9"/>
      <c r="AC17817" s="9"/>
      <c r="AG17817" s="10"/>
    </row>
    <row r="17818" spans="1:33">
      <c r="A17818" s="9"/>
      <c r="B17818" s="9"/>
      <c r="C17818" s="9"/>
      <c r="D17818" s="9"/>
      <c r="E17818" s="9"/>
      <c r="F17818" s="9"/>
      <c r="G17818" s="9"/>
      <c r="H17818" s="9"/>
      <c r="I17818" s="9"/>
      <c r="J17818" s="9"/>
      <c r="K17818" s="9"/>
      <c r="L17818" s="9"/>
      <c r="M17818" s="9"/>
      <c r="N17818" s="9"/>
      <c r="O17818" s="9"/>
      <c r="P17818" s="9"/>
      <c r="Q17818" s="9"/>
      <c r="R17818" s="9"/>
      <c r="S17818" s="9"/>
      <c r="T17818" s="9"/>
      <c r="U17818" s="9"/>
      <c r="V17818" s="9"/>
      <c r="W17818" s="9"/>
      <c r="X17818" s="9"/>
      <c r="Y17818" s="9"/>
      <c r="Z17818" s="9"/>
      <c r="AA17818" s="9"/>
      <c r="AB17818" s="9"/>
      <c r="AC17818" s="9"/>
      <c r="AG17818" s="10"/>
    </row>
    <row r="17819" spans="1:33">
      <c r="A17819" s="9"/>
      <c r="B17819" s="9"/>
      <c r="C17819" s="9"/>
      <c r="D17819" s="9"/>
      <c r="E17819" s="9"/>
      <c r="F17819" s="9"/>
      <c r="G17819" s="9"/>
      <c r="H17819" s="9"/>
      <c r="I17819" s="9"/>
      <c r="J17819" s="9"/>
      <c r="K17819" s="9"/>
      <c r="L17819" s="9"/>
      <c r="M17819" s="9"/>
      <c r="N17819" s="9"/>
      <c r="O17819" s="9"/>
      <c r="P17819" s="9"/>
      <c r="Q17819" s="9"/>
      <c r="R17819" s="9"/>
      <c r="S17819" s="9"/>
      <c r="T17819" s="9"/>
      <c r="U17819" s="9"/>
      <c r="V17819" s="9"/>
      <c r="W17819" s="9"/>
      <c r="X17819" s="9"/>
      <c r="Y17819" s="9"/>
      <c r="Z17819" s="9"/>
      <c r="AA17819" s="9"/>
      <c r="AB17819" s="9"/>
      <c r="AC17819" s="9"/>
      <c r="AG17819" s="10"/>
    </row>
    <row r="17820" spans="1:33">
      <c r="A17820" s="9"/>
      <c r="B17820" s="9"/>
      <c r="C17820" s="9"/>
      <c r="D17820" s="9"/>
      <c r="E17820" s="9"/>
      <c r="F17820" s="9"/>
      <c r="G17820" s="9"/>
      <c r="H17820" s="9"/>
      <c r="I17820" s="9"/>
      <c r="J17820" s="9"/>
      <c r="K17820" s="9"/>
      <c r="L17820" s="9"/>
      <c r="M17820" s="9"/>
      <c r="N17820" s="9"/>
      <c r="O17820" s="9"/>
      <c r="P17820" s="9"/>
      <c r="Q17820" s="9"/>
      <c r="R17820" s="9"/>
      <c r="S17820" s="9"/>
      <c r="T17820" s="9"/>
      <c r="U17820" s="9"/>
      <c r="V17820" s="9"/>
      <c r="W17820" s="9"/>
      <c r="X17820" s="9"/>
      <c r="Y17820" s="9"/>
      <c r="Z17820" s="9"/>
      <c r="AA17820" s="9"/>
      <c r="AB17820" s="9"/>
      <c r="AC17820" s="9"/>
      <c r="AG17820" s="10"/>
    </row>
    <row r="17821" spans="1:33">
      <c r="A17821" s="9"/>
      <c r="B17821" s="9"/>
      <c r="C17821" s="9"/>
      <c r="D17821" s="9"/>
      <c r="E17821" s="9"/>
      <c r="F17821" s="9"/>
      <c r="G17821" s="9"/>
      <c r="H17821" s="9"/>
      <c r="I17821" s="9"/>
      <c r="J17821" s="9"/>
      <c r="K17821" s="9"/>
      <c r="L17821" s="9"/>
      <c r="M17821" s="9"/>
      <c r="N17821" s="9"/>
      <c r="O17821" s="9"/>
      <c r="P17821" s="9"/>
      <c r="Q17821" s="9"/>
      <c r="R17821" s="9"/>
      <c r="S17821" s="9"/>
      <c r="T17821" s="9"/>
      <c r="U17821" s="9"/>
      <c r="V17821" s="9"/>
      <c r="W17821" s="9"/>
      <c r="X17821" s="9"/>
      <c r="Y17821" s="9"/>
      <c r="Z17821" s="9"/>
      <c r="AA17821" s="9"/>
      <c r="AB17821" s="9"/>
      <c r="AC17821" s="9"/>
      <c r="AG17821" s="10"/>
    </row>
    <row r="17822" spans="1:33">
      <c r="A17822" s="9"/>
      <c r="B17822" s="9"/>
      <c r="C17822" s="9"/>
      <c r="D17822" s="9"/>
      <c r="E17822" s="9"/>
      <c r="F17822" s="9"/>
      <c r="G17822" s="9"/>
      <c r="H17822" s="9"/>
      <c r="I17822" s="9"/>
      <c r="J17822" s="9"/>
      <c r="K17822" s="9"/>
      <c r="L17822" s="9"/>
      <c r="M17822" s="9"/>
      <c r="N17822" s="9"/>
      <c r="O17822" s="9"/>
      <c r="P17822" s="9"/>
      <c r="Q17822" s="9"/>
      <c r="R17822" s="9"/>
      <c r="S17822" s="9"/>
      <c r="T17822" s="9"/>
      <c r="U17822" s="9"/>
      <c r="V17822" s="9"/>
      <c r="W17822" s="9"/>
      <c r="X17822" s="9"/>
      <c r="Y17822" s="9"/>
      <c r="Z17822" s="9"/>
      <c r="AA17822" s="9"/>
      <c r="AB17822" s="9"/>
      <c r="AC17822" s="9"/>
      <c r="AG17822" s="10"/>
    </row>
    <row r="17823" spans="1:33">
      <c r="A17823" s="9"/>
      <c r="B17823" s="9"/>
      <c r="C17823" s="9"/>
      <c r="D17823" s="9"/>
      <c r="E17823" s="9"/>
      <c r="F17823" s="9"/>
      <c r="G17823" s="9"/>
      <c r="H17823" s="9"/>
      <c r="I17823" s="9"/>
      <c r="J17823" s="9"/>
      <c r="K17823" s="9"/>
      <c r="L17823" s="9"/>
      <c r="M17823" s="9"/>
      <c r="N17823" s="9"/>
      <c r="O17823" s="9"/>
      <c r="P17823" s="9"/>
      <c r="Q17823" s="9"/>
      <c r="R17823" s="9"/>
      <c r="S17823" s="9"/>
      <c r="T17823" s="9"/>
      <c r="U17823" s="9"/>
      <c r="V17823" s="9"/>
      <c r="W17823" s="9"/>
      <c r="X17823" s="9"/>
      <c r="Y17823" s="9"/>
      <c r="Z17823" s="9"/>
      <c r="AA17823" s="9"/>
      <c r="AB17823" s="9"/>
      <c r="AC17823" s="9"/>
      <c r="AG17823" s="10"/>
    </row>
    <row r="17824" spans="1:33">
      <c r="A17824" s="9"/>
      <c r="B17824" s="9"/>
      <c r="C17824" s="9"/>
      <c r="D17824" s="9"/>
      <c r="E17824" s="9"/>
      <c r="F17824" s="9"/>
      <c r="G17824" s="9"/>
      <c r="H17824" s="9"/>
      <c r="I17824" s="9"/>
      <c r="J17824" s="9"/>
      <c r="K17824" s="9"/>
      <c r="L17824" s="9"/>
      <c r="M17824" s="9"/>
      <c r="N17824" s="9"/>
      <c r="O17824" s="9"/>
      <c r="P17824" s="9"/>
      <c r="Q17824" s="9"/>
      <c r="R17824" s="9"/>
      <c r="S17824" s="9"/>
      <c r="T17824" s="9"/>
      <c r="U17824" s="9"/>
      <c r="V17824" s="9"/>
      <c r="W17824" s="9"/>
      <c r="X17824" s="9"/>
      <c r="Y17824" s="9"/>
      <c r="Z17824" s="9"/>
      <c r="AA17824" s="9"/>
      <c r="AB17824" s="9"/>
      <c r="AC17824" s="9"/>
      <c r="AG17824" s="10"/>
    </row>
    <row r="17825" spans="1:33">
      <c r="A17825" s="9"/>
      <c r="B17825" s="9"/>
      <c r="C17825" s="9"/>
      <c r="D17825" s="9"/>
      <c r="E17825" s="9"/>
      <c r="F17825" s="9"/>
      <c r="G17825" s="9"/>
      <c r="H17825" s="9"/>
      <c r="I17825" s="9"/>
      <c r="J17825" s="9"/>
      <c r="K17825" s="9"/>
      <c r="L17825" s="9"/>
      <c r="M17825" s="9"/>
      <c r="N17825" s="9"/>
      <c r="O17825" s="9"/>
      <c r="P17825" s="9"/>
      <c r="Q17825" s="9"/>
      <c r="R17825" s="9"/>
      <c r="S17825" s="9"/>
      <c r="T17825" s="9"/>
      <c r="U17825" s="9"/>
      <c r="V17825" s="9"/>
      <c r="W17825" s="9"/>
      <c r="X17825" s="9"/>
      <c r="Y17825" s="9"/>
      <c r="Z17825" s="9"/>
      <c r="AA17825" s="9"/>
      <c r="AB17825" s="9"/>
      <c r="AC17825" s="9"/>
      <c r="AG17825" s="10"/>
    </row>
    <row r="17826" spans="1:33">
      <c r="A17826" s="9"/>
      <c r="B17826" s="9"/>
      <c r="C17826" s="9"/>
      <c r="D17826" s="9"/>
      <c r="E17826" s="9"/>
      <c r="F17826" s="9"/>
      <c r="G17826" s="9"/>
      <c r="H17826" s="9"/>
      <c r="I17826" s="9"/>
      <c r="J17826" s="9"/>
      <c r="K17826" s="9"/>
      <c r="L17826" s="9"/>
      <c r="M17826" s="9"/>
      <c r="N17826" s="9"/>
      <c r="O17826" s="9"/>
      <c r="P17826" s="9"/>
      <c r="Q17826" s="9"/>
      <c r="R17826" s="9"/>
      <c r="S17826" s="9"/>
      <c r="T17826" s="9"/>
      <c r="U17826" s="9"/>
      <c r="V17826" s="9"/>
      <c r="W17826" s="9"/>
      <c r="X17826" s="9"/>
      <c r="Y17826" s="9"/>
      <c r="Z17826" s="9"/>
      <c r="AA17826" s="9"/>
      <c r="AB17826" s="9"/>
      <c r="AC17826" s="9"/>
      <c r="AG17826" s="10"/>
    </row>
    <row r="17827" spans="1:33">
      <c r="A17827" s="9"/>
      <c r="B17827" s="9"/>
      <c r="C17827" s="9"/>
      <c r="D17827" s="9"/>
      <c r="E17827" s="9"/>
      <c r="F17827" s="9"/>
      <c r="G17827" s="9"/>
      <c r="H17827" s="9"/>
      <c r="I17827" s="9"/>
      <c r="J17827" s="9"/>
      <c r="K17827" s="9"/>
      <c r="L17827" s="9"/>
      <c r="M17827" s="9"/>
      <c r="N17827" s="9"/>
      <c r="O17827" s="9"/>
      <c r="P17827" s="9"/>
      <c r="Q17827" s="9"/>
      <c r="R17827" s="9"/>
      <c r="S17827" s="9"/>
      <c r="T17827" s="9"/>
      <c r="U17827" s="9"/>
      <c r="V17827" s="9"/>
      <c r="W17827" s="9"/>
      <c r="X17827" s="9"/>
      <c r="Y17827" s="9"/>
      <c r="Z17827" s="9"/>
      <c r="AA17827" s="9"/>
      <c r="AB17827" s="9"/>
      <c r="AC17827" s="9"/>
      <c r="AG17827" s="10"/>
    </row>
    <row r="17828" spans="1:33">
      <c r="A17828" s="9"/>
      <c r="B17828" s="9"/>
      <c r="C17828" s="9"/>
      <c r="D17828" s="9"/>
      <c r="E17828" s="9"/>
      <c r="F17828" s="9"/>
      <c r="G17828" s="9"/>
      <c r="H17828" s="9"/>
      <c r="I17828" s="9"/>
      <c r="J17828" s="9"/>
      <c r="K17828" s="9"/>
      <c r="L17828" s="9"/>
      <c r="M17828" s="9"/>
      <c r="N17828" s="9"/>
      <c r="O17828" s="9"/>
      <c r="P17828" s="9"/>
      <c r="Q17828" s="9"/>
      <c r="R17828" s="9"/>
      <c r="S17828" s="9"/>
      <c r="T17828" s="9"/>
      <c r="U17828" s="9"/>
      <c r="V17828" s="9"/>
      <c r="W17828" s="9"/>
      <c r="X17828" s="9"/>
      <c r="Y17828" s="9"/>
      <c r="Z17828" s="9"/>
      <c r="AA17828" s="9"/>
      <c r="AB17828" s="9"/>
      <c r="AC17828" s="9"/>
      <c r="AG17828" s="10"/>
    </row>
    <row r="17829" spans="1:33">
      <c r="A17829" s="9"/>
      <c r="B17829" s="9"/>
      <c r="C17829" s="9"/>
      <c r="D17829" s="9"/>
      <c r="E17829" s="9"/>
      <c r="F17829" s="9"/>
      <c r="G17829" s="9"/>
      <c r="H17829" s="9"/>
      <c r="I17829" s="9"/>
      <c r="J17829" s="9"/>
      <c r="K17829" s="9"/>
      <c r="L17829" s="9"/>
      <c r="M17829" s="9"/>
      <c r="N17829" s="9"/>
      <c r="O17829" s="9"/>
      <c r="P17829" s="9"/>
      <c r="Q17829" s="9"/>
      <c r="R17829" s="9"/>
      <c r="S17829" s="9"/>
      <c r="T17829" s="9"/>
      <c r="U17829" s="9"/>
      <c r="V17829" s="9"/>
      <c r="W17829" s="9"/>
      <c r="X17829" s="9"/>
      <c r="Y17829" s="9"/>
      <c r="Z17829" s="9"/>
      <c r="AA17829" s="9"/>
      <c r="AB17829" s="9"/>
      <c r="AC17829" s="9"/>
      <c r="AG17829" s="10"/>
    </row>
    <row r="17830" spans="1:33">
      <c r="A17830" s="9"/>
      <c r="B17830" s="9"/>
      <c r="C17830" s="9"/>
      <c r="D17830" s="9"/>
      <c r="E17830" s="9"/>
      <c r="F17830" s="9"/>
      <c r="G17830" s="9"/>
      <c r="H17830" s="9"/>
      <c r="I17830" s="9"/>
      <c r="J17830" s="9"/>
      <c r="K17830" s="9"/>
      <c r="L17830" s="9"/>
      <c r="M17830" s="9"/>
      <c r="N17830" s="9"/>
      <c r="O17830" s="9"/>
      <c r="P17830" s="9"/>
      <c r="Q17830" s="9"/>
      <c r="R17830" s="9"/>
      <c r="S17830" s="9"/>
      <c r="T17830" s="9"/>
      <c r="U17830" s="9"/>
      <c r="V17830" s="9"/>
      <c r="W17830" s="9"/>
      <c r="X17830" s="9"/>
      <c r="Y17830" s="9"/>
      <c r="Z17830" s="9"/>
      <c r="AA17830" s="9"/>
      <c r="AB17830" s="9"/>
      <c r="AC17830" s="9"/>
      <c r="AG17830" s="10"/>
    </row>
    <row r="17831" spans="1:33">
      <c r="A17831" s="9"/>
      <c r="B17831" s="9"/>
      <c r="C17831" s="9"/>
      <c r="D17831" s="9"/>
      <c r="E17831" s="9"/>
      <c r="F17831" s="9"/>
      <c r="G17831" s="9"/>
      <c r="H17831" s="9"/>
      <c r="I17831" s="9"/>
      <c r="J17831" s="9"/>
      <c r="K17831" s="9"/>
      <c r="L17831" s="9"/>
      <c r="M17831" s="9"/>
      <c r="N17831" s="9"/>
      <c r="O17831" s="9"/>
      <c r="P17831" s="9"/>
      <c r="Q17831" s="9"/>
      <c r="R17831" s="9"/>
      <c r="S17831" s="9"/>
      <c r="T17831" s="9"/>
      <c r="U17831" s="9"/>
      <c r="V17831" s="9"/>
      <c r="W17831" s="9"/>
      <c r="X17831" s="9"/>
      <c r="Y17831" s="9"/>
      <c r="Z17831" s="9"/>
      <c r="AA17831" s="9"/>
      <c r="AB17831" s="9"/>
      <c r="AC17831" s="9"/>
      <c r="AG17831" s="10"/>
    </row>
    <row r="17832" spans="1:33">
      <c r="A17832" s="9"/>
      <c r="B17832" s="9"/>
      <c r="C17832" s="9"/>
      <c r="D17832" s="9"/>
      <c r="E17832" s="9"/>
      <c r="F17832" s="9"/>
      <c r="G17832" s="9"/>
      <c r="H17832" s="9"/>
      <c r="I17832" s="9"/>
      <c r="J17832" s="9"/>
      <c r="K17832" s="9"/>
      <c r="L17832" s="9"/>
      <c r="M17832" s="9"/>
      <c r="N17832" s="9"/>
      <c r="O17832" s="9"/>
      <c r="P17832" s="9"/>
      <c r="Q17832" s="9"/>
      <c r="R17832" s="9"/>
      <c r="S17832" s="9"/>
      <c r="T17832" s="9"/>
      <c r="U17832" s="9"/>
      <c r="V17832" s="9"/>
      <c r="W17832" s="9"/>
      <c r="X17832" s="9"/>
      <c r="Y17832" s="9"/>
      <c r="Z17832" s="9"/>
      <c r="AA17832" s="9"/>
      <c r="AB17832" s="9"/>
      <c r="AC17832" s="9"/>
      <c r="AG17832" s="10"/>
    </row>
    <row r="17833" spans="1:33">
      <c r="A17833" s="9"/>
      <c r="B17833" s="9"/>
      <c r="C17833" s="9"/>
      <c r="D17833" s="9"/>
      <c r="E17833" s="9"/>
      <c r="F17833" s="9"/>
      <c r="G17833" s="9"/>
      <c r="H17833" s="9"/>
      <c r="I17833" s="9"/>
      <c r="J17833" s="9"/>
      <c r="K17833" s="9"/>
      <c r="L17833" s="9"/>
      <c r="M17833" s="9"/>
      <c r="N17833" s="9"/>
      <c r="O17833" s="9"/>
      <c r="P17833" s="9"/>
      <c r="Q17833" s="9"/>
      <c r="R17833" s="9"/>
      <c r="S17833" s="9"/>
      <c r="T17833" s="9"/>
      <c r="U17833" s="9"/>
      <c r="V17833" s="9"/>
      <c r="W17833" s="9"/>
      <c r="X17833" s="9"/>
      <c r="Y17833" s="9"/>
      <c r="Z17833" s="9"/>
      <c r="AA17833" s="9"/>
      <c r="AB17833" s="9"/>
      <c r="AC17833" s="9"/>
      <c r="AG17833" s="10"/>
    </row>
    <row r="17834" spans="1:33">
      <c r="A17834" s="9"/>
      <c r="B17834" s="9"/>
      <c r="C17834" s="9"/>
      <c r="D17834" s="9"/>
      <c r="E17834" s="9"/>
      <c r="F17834" s="9"/>
      <c r="G17834" s="9"/>
      <c r="H17834" s="9"/>
      <c r="I17834" s="9"/>
      <c r="J17834" s="9"/>
      <c r="K17834" s="9"/>
      <c r="L17834" s="9"/>
      <c r="M17834" s="9"/>
      <c r="N17834" s="9"/>
      <c r="O17834" s="9"/>
      <c r="P17834" s="9"/>
      <c r="Q17834" s="9"/>
      <c r="R17834" s="9"/>
      <c r="S17834" s="9"/>
      <c r="T17834" s="9"/>
      <c r="U17834" s="9"/>
      <c r="V17834" s="9"/>
      <c r="W17834" s="9"/>
      <c r="X17834" s="9"/>
      <c r="Y17834" s="9"/>
      <c r="Z17834" s="9"/>
      <c r="AA17834" s="9"/>
      <c r="AB17834" s="9"/>
      <c r="AC17834" s="9"/>
      <c r="AG17834" s="10"/>
    </row>
    <row r="17835" spans="1:33">
      <c r="A17835" s="9"/>
      <c r="B17835" s="9"/>
      <c r="C17835" s="9"/>
      <c r="D17835" s="9"/>
      <c r="E17835" s="9"/>
      <c r="F17835" s="9"/>
      <c r="G17835" s="9"/>
      <c r="H17835" s="9"/>
      <c r="I17835" s="9"/>
      <c r="J17835" s="9"/>
      <c r="K17835" s="9"/>
      <c r="L17835" s="9"/>
      <c r="M17835" s="9"/>
      <c r="N17835" s="9"/>
      <c r="O17835" s="9"/>
      <c r="P17835" s="9"/>
      <c r="Q17835" s="9"/>
      <c r="R17835" s="9"/>
      <c r="S17835" s="9"/>
      <c r="T17835" s="9"/>
      <c r="U17835" s="9"/>
      <c r="V17835" s="9"/>
      <c r="W17835" s="9"/>
      <c r="X17835" s="9"/>
      <c r="Y17835" s="9"/>
      <c r="Z17835" s="9"/>
      <c r="AA17835" s="9"/>
      <c r="AB17835" s="9"/>
      <c r="AC17835" s="9"/>
      <c r="AG17835" s="10"/>
    </row>
    <row r="17836" spans="1:33">
      <c r="A17836" s="9"/>
      <c r="B17836" s="9"/>
      <c r="C17836" s="9"/>
      <c r="D17836" s="9"/>
      <c r="E17836" s="9"/>
      <c r="F17836" s="9"/>
      <c r="G17836" s="9"/>
      <c r="H17836" s="9"/>
      <c r="I17836" s="9"/>
      <c r="J17836" s="9"/>
      <c r="K17836" s="9"/>
      <c r="L17836" s="9"/>
      <c r="M17836" s="9"/>
      <c r="N17836" s="9"/>
      <c r="O17836" s="9"/>
      <c r="P17836" s="9"/>
      <c r="Q17836" s="9"/>
      <c r="R17836" s="9"/>
      <c r="S17836" s="9"/>
      <c r="T17836" s="9"/>
      <c r="U17836" s="9"/>
      <c r="V17836" s="9"/>
      <c r="W17836" s="9"/>
      <c r="X17836" s="9"/>
      <c r="Y17836" s="9"/>
      <c r="Z17836" s="9"/>
      <c r="AA17836" s="9"/>
      <c r="AB17836" s="9"/>
      <c r="AC17836" s="9"/>
      <c r="AG17836" s="10"/>
    </row>
    <row r="17837" spans="1:33">
      <c r="A17837" s="9"/>
      <c r="B17837" s="9"/>
      <c r="C17837" s="9"/>
      <c r="D17837" s="9"/>
      <c r="E17837" s="9"/>
      <c r="F17837" s="9"/>
      <c r="G17837" s="9"/>
      <c r="H17837" s="9"/>
      <c r="I17837" s="9"/>
      <c r="J17837" s="9"/>
      <c r="K17837" s="9"/>
      <c r="L17837" s="9"/>
      <c r="M17837" s="9"/>
      <c r="N17837" s="9"/>
      <c r="O17837" s="9"/>
      <c r="P17837" s="9"/>
      <c r="Q17837" s="9"/>
      <c r="R17837" s="9"/>
      <c r="S17837" s="9"/>
      <c r="T17837" s="9"/>
      <c r="U17837" s="9"/>
      <c r="V17837" s="9"/>
      <c r="W17837" s="9"/>
      <c r="X17837" s="9"/>
      <c r="Y17837" s="9"/>
      <c r="Z17837" s="9"/>
      <c r="AA17837" s="9"/>
      <c r="AB17837" s="9"/>
      <c r="AC17837" s="9"/>
      <c r="AG17837" s="10"/>
    </row>
    <row r="17838" spans="1:33">
      <c r="A17838" s="9"/>
      <c r="B17838" s="9"/>
      <c r="C17838" s="9"/>
      <c r="D17838" s="9"/>
      <c r="E17838" s="9"/>
      <c r="F17838" s="9"/>
      <c r="G17838" s="9"/>
      <c r="H17838" s="9"/>
      <c r="I17838" s="9"/>
      <c r="J17838" s="9"/>
      <c r="K17838" s="9"/>
      <c r="L17838" s="9"/>
      <c r="M17838" s="9"/>
      <c r="N17838" s="9"/>
      <c r="O17838" s="9"/>
      <c r="P17838" s="9"/>
      <c r="Q17838" s="9"/>
      <c r="R17838" s="9"/>
      <c r="S17838" s="9"/>
      <c r="T17838" s="9"/>
      <c r="U17838" s="9"/>
      <c r="V17838" s="9"/>
      <c r="W17838" s="9"/>
      <c r="X17838" s="9"/>
      <c r="Y17838" s="9"/>
      <c r="Z17838" s="9"/>
      <c r="AA17838" s="9"/>
      <c r="AB17838" s="9"/>
      <c r="AC17838" s="9"/>
      <c r="AG17838" s="10"/>
    </row>
    <row r="17839" spans="1:33">
      <c r="A17839" s="9"/>
      <c r="B17839" s="9"/>
      <c r="C17839" s="9"/>
      <c r="D17839" s="9"/>
      <c r="E17839" s="9"/>
      <c r="F17839" s="9"/>
      <c r="G17839" s="9"/>
      <c r="H17839" s="9"/>
      <c r="I17839" s="9"/>
      <c r="J17839" s="9"/>
      <c r="K17839" s="9"/>
      <c r="L17839" s="9"/>
      <c r="M17839" s="9"/>
      <c r="N17839" s="9"/>
      <c r="O17839" s="9"/>
      <c r="P17839" s="9"/>
      <c r="Q17839" s="9"/>
      <c r="R17839" s="9"/>
      <c r="S17839" s="9"/>
      <c r="T17839" s="9"/>
      <c r="U17839" s="9"/>
      <c r="V17839" s="9"/>
      <c r="W17839" s="9"/>
      <c r="X17839" s="9"/>
      <c r="Y17839" s="9"/>
      <c r="Z17839" s="9"/>
      <c r="AA17839" s="9"/>
      <c r="AB17839" s="9"/>
      <c r="AC17839" s="9"/>
      <c r="AG17839" s="10"/>
    </row>
    <row r="17840" spans="1:33">
      <c r="A17840" s="9"/>
      <c r="B17840" s="9"/>
      <c r="C17840" s="9"/>
      <c r="D17840" s="9"/>
      <c r="E17840" s="9"/>
      <c r="F17840" s="9"/>
      <c r="G17840" s="9"/>
      <c r="H17840" s="9"/>
      <c r="I17840" s="9"/>
      <c r="J17840" s="9"/>
      <c r="K17840" s="9"/>
      <c r="L17840" s="9"/>
      <c r="M17840" s="9"/>
      <c r="N17840" s="9"/>
      <c r="O17840" s="9"/>
      <c r="P17840" s="9"/>
      <c r="Q17840" s="9"/>
      <c r="R17840" s="9"/>
      <c r="S17840" s="9"/>
      <c r="T17840" s="9"/>
      <c r="U17840" s="9"/>
      <c r="V17840" s="9"/>
      <c r="W17840" s="9"/>
      <c r="X17840" s="9"/>
      <c r="Y17840" s="9"/>
      <c r="Z17840" s="9"/>
      <c r="AA17840" s="9"/>
      <c r="AB17840" s="9"/>
      <c r="AC17840" s="9"/>
      <c r="AG17840" s="10"/>
    </row>
    <row r="17841" spans="1:33">
      <c r="A17841" s="9"/>
      <c r="B17841" s="9"/>
      <c r="C17841" s="9"/>
      <c r="D17841" s="9"/>
      <c r="E17841" s="9"/>
      <c r="F17841" s="9"/>
      <c r="G17841" s="9"/>
      <c r="H17841" s="9"/>
      <c r="I17841" s="9"/>
      <c r="J17841" s="9"/>
      <c r="K17841" s="9"/>
      <c r="L17841" s="9"/>
      <c r="M17841" s="9"/>
      <c r="N17841" s="9"/>
      <c r="O17841" s="9"/>
      <c r="P17841" s="9"/>
      <c r="Q17841" s="9"/>
      <c r="R17841" s="9"/>
      <c r="S17841" s="9"/>
      <c r="T17841" s="9"/>
      <c r="U17841" s="9"/>
      <c r="V17841" s="9"/>
      <c r="W17841" s="9"/>
      <c r="X17841" s="9"/>
      <c r="Y17841" s="9"/>
      <c r="Z17841" s="9"/>
      <c r="AA17841" s="9"/>
      <c r="AB17841" s="9"/>
      <c r="AC17841" s="9"/>
      <c r="AG17841" s="10"/>
    </row>
    <row r="17842" spans="1:33">
      <c r="A17842" s="9"/>
      <c r="B17842" s="9"/>
      <c r="C17842" s="9"/>
      <c r="D17842" s="9"/>
      <c r="E17842" s="9"/>
      <c r="F17842" s="9"/>
      <c r="G17842" s="9"/>
      <c r="H17842" s="9"/>
      <c r="I17842" s="9"/>
      <c r="J17842" s="9"/>
      <c r="K17842" s="9"/>
      <c r="L17842" s="9"/>
      <c r="M17842" s="9"/>
      <c r="N17842" s="9"/>
      <c r="O17842" s="9"/>
      <c r="P17842" s="9"/>
      <c r="Q17842" s="9"/>
      <c r="R17842" s="9"/>
      <c r="S17842" s="9"/>
      <c r="T17842" s="9"/>
      <c r="U17842" s="9"/>
      <c r="V17842" s="9"/>
      <c r="W17842" s="9"/>
      <c r="X17842" s="9"/>
      <c r="Y17842" s="9"/>
      <c r="Z17842" s="9"/>
      <c r="AA17842" s="9"/>
      <c r="AB17842" s="9"/>
      <c r="AC17842" s="9"/>
      <c r="AG17842" s="10"/>
    </row>
    <row r="17843" spans="1:33">
      <c r="A17843" s="9"/>
      <c r="B17843" s="9"/>
      <c r="C17843" s="9"/>
      <c r="D17843" s="9"/>
      <c r="E17843" s="9"/>
      <c r="F17843" s="9"/>
      <c r="G17843" s="9"/>
      <c r="H17843" s="9"/>
      <c r="I17843" s="9"/>
      <c r="J17843" s="9"/>
      <c r="K17843" s="9"/>
      <c r="L17843" s="9"/>
      <c r="M17843" s="9"/>
      <c r="N17843" s="9"/>
      <c r="O17843" s="9"/>
      <c r="P17843" s="9"/>
      <c r="Q17843" s="9"/>
      <c r="R17843" s="9"/>
      <c r="S17843" s="9"/>
      <c r="T17843" s="9"/>
      <c r="U17843" s="9"/>
      <c r="V17843" s="9"/>
      <c r="W17843" s="9"/>
      <c r="X17843" s="9"/>
      <c r="Y17843" s="9"/>
      <c r="Z17843" s="9"/>
      <c r="AA17843" s="9"/>
      <c r="AB17843" s="9"/>
      <c r="AC17843" s="9"/>
      <c r="AG17843" s="10"/>
    </row>
    <row r="17844" spans="1:33">
      <c r="A17844" s="9"/>
      <c r="B17844" s="9"/>
      <c r="C17844" s="9"/>
      <c r="D17844" s="9"/>
      <c r="E17844" s="9"/>
      <c r="F17844" s="9"/>
      <c r="G17844" s="9"/>
      <c r="H17844" s="9"/>
      <c r="I17844" s="9"/>
      <c r="J17844" s="9"/>
      <c r="K17844" s="9"/>
      <c r="L17844" s="9"/>
      <c r="M17844" s="9"/>
      <c r="N17844" s="9"/>
      <c r="O17844" s="9"/>
      <c r="P17844" s="9"/>
      <c r="Q17844" s="9"/>
      <c r="R17844" s="9"/>
      <c r="S17844" s="9"/>
      <c r="T17844" s="9"/>
      <c r="U17844" s="9"/>
      <c r="V17844" s="9"/>
      <c r="W17844" s="9"/>
      <c r="X17844" s="9"/>
      <c r="Y17844" s="9"/>
      <c r="Z17844" s="9"/>
      <c r="AA17844" s="9"/>
      <c r="AB17844" s="9"/>
      <c r="AC17844" s="9"/>
      <c r="AG17844" s="10"/>
    </row>
    <row r="17845" spans="1:33">
      <c r="A17845" s="9"/>
      <c r="B17845" s="9"/>
      <c r="C17845" s="9"/>
      <c r="D17845" s="9"/>
      <c r="E17845" s="9"/>
      <c r="F17845" s="9"/>
      <c r="G17845" s="9"/>
      <c r="H17845" s="9"/>
      <c r="I17845" s="9"/>
      <c r="J17845" s="9"/>
      <c r="K17845" s="9"/>
      <c r="L17845" s="9"/>
      <c r="M17845" s="9"/>
      <c r="N17845" s="9"/>
      <c r="O17845" s="9"/>
      <c r="P17845" s="9"/>
      <c r="Q17845" s="9"/>
      <c r="R17845" s="9"/>
      <c r="S17845" s="9"/>
      <c r="T17845" s="9"/>
      <c r="U17845" s="9"/>
      <c r="V17845" s="9"/>
      <c r="W17845" s="9"/>
      <c r="X17845" s="9"/>
      <c r="Y17845" s="9"/>
      <c r="Z17845" s="9"/>
      <c r="AA17845" s="9"/>
      <c r="AB17845" s="9"/>
      <c r="AC17845" s="9"/>
      <c r="AG17845" s="10"/>
    </row>
    <row r="17846" spans="1:33">
      <c r="A17846" s="9"/>
      <c r="B17846" s="9"/>
      <c r="C17846" s="9"/>
      <c r="D17846" s="9"/>
      <c r="E17846" s="9"/>
      <c r="F17846" s="9"/>
      <c r="G17846" s="9"/>
      <c r="H17846" s="9"/>
      <c r="I17846" s="9"/>
      <c r="J17846" s="9"/>
      <c r="K17846" s="9"/>
      <c r="L17846" s="9"/>
      <c r="M17846" s="9"/>
      <c r="N17846" s="9"/>
      <c r="O17846" s="9"/>
      <c r="P17846" s="9"/>
      <c r="Q17846" s="9"/>
      <c r="R17846" s="9"/>
      <c r="S17846" s="9"/>
      <c r="T17846" s="9"/>
      <c r="U17846" s="9"/>
      <c r="V17846" s="9"/>
      <c r="W17846" s="9"/>
      <c r="X17846" s="9"/>
      <c r="Y17846" s="9"/>
      <c r="Z17846" s="9"/>
      <c r="AA17846" s="9"/>
      <c r="AB17846" s="9"/>
      <c r="AC17846" s="9"/>
      <c r="AG17846" s="10"/>
    </row>
    <row r="17847" spans="1:33">
      <c r="A17847" s="9"/>
      <c r="B17847" s="9"/>
      <c r="C17847" s="9"/>
      <c r="D17847" s="9"/>
      <c r="E17847" s="9"/>
      <c r="F17847" s="9"/>
      <c r="G17847" s="9"/>
      <c r="H17847" s="9"/>
      <c r="I17847" s="9"/>
      <c r="J17847" s="9"/>
      <c r="K17847" s="9"/>
      <c r="L17847" s="9"/>
      <c r="M17847" s="9"/>
      <c r="N17847" s="9"/>
      <c r="O17847" s="9"/>
      <c r="P17847" s="9"/>
      <c r="Q17847" s="9"/>
      <c r="R17847" s="9"/>
      <c r="S17847" s="9"/>
      <c r="T17847" s="9"/>
      <c r="U17847" s="9"/>
      <c r="V17847" s="9"/>
      <c r="W17847" s="9"/>
      <c r="X17847" s="9"/>
      <c r="Y17847" s="9"/>
      <c r="Z17847" s="9"/>
      <c r="AA17847" s="9"/>
      <c r="AB17847" s="9"/>
      <c r="AC17847" s="9"/>
      <c r="AG17847" s="10"/>
    </row>
    <row r="17848" spans="1:33">
      <c r="A17848" s="9"/>
      <c r="B17848" s="9"/>
      <c r="C17848" s="9"/>
      <c r="D17848" s="9"/>
      <c r="E17848" s="9"/>
      <c r="F17848" s="9"/>
      <c r="G17848" s="9"/>
      <c r="H17848" s="9"/>
      <c r="I17848" s="9"/>
      <c r="J17848" s="9"/>
      <c r="K17848" s="9"/>
      <c r="L17848" s="9"/>
      <c r="M17848" s="9"/>
      <c r="N17848" s="9"/>
      <c r="O17848" s="9"/>
      <c r="P17848" s="9"/>
      <c r="Q17848" s="9"/>
      <c r="R17848" s="9"/>
      <c r="S17848" s="9"/>
      <c r="T17848" s="9"/>
      <c r="U17848" s="9"/>
      <c r="V17848" s="9"/>
      <c r="W17848" s="9"/>
      <c r="X17848" s="9"/>
      <c r="Y17848" s="9"/>
      <c r="Z17848" s="9"/>
      <c r="AA17848" s="9"/>
      <c r="AB17848" s="9"/>
      <c r="AC17848" s="9"/>
      <c r="AG17848" s="10"/>
    </row>
    <row r="17849" spans="1:33">
      <c r="A17849" s="9"/>
      <c r="B17849" s="9"/>
      <c r="C17849" s="9"/>
      <c r="D17849" s="9"/>
      <c r="E17849" s="9"/>
      <c r="F17849" s="9"/>
      <c r="G17849" s="9"/>
      <c r="H17849" s="9"/>
      <c r="I17849" s="9"/>
      <c r="J17849" s="9"/>
      <c r="K17849" s="9"/>
      <c r="L17849" s="9"/>
      <c r="M17849" s="9"/>
      <c r="N17849" s="9"/>
      <c r="O17849" s="9"/>
      <c r="P17849" s="9"/>
      <c r="Q17849" s="9"/>
      <c r="R17849" s="9"/>
      <c r="S17849" s="9"/>
      <c r="T17849" s="9"/>
      <c r="U17849" s="9"/>
      <c r="V17849" s="9"/>
      <c r="W17849" s="9"/>
      <c r="X17849" s="9"/>
      <c r="Y17849" s="9"/>
      <c r="Z17849" s="9"/>
      <c r="AA17849" s="9"/>
      <c r="AB17849" s="9"/>
      <c r="AC17849" s="9"/>
      <c r="AG17849" s="10"/>
    </row>
    <row r="17850" spans="1:33">
      <c r="A17850" s="9"/>
      <c r="B17850" s="9"/>
      <c r="C17850" s="9"/>
      <c r="D17850" s="9"/>
      <c r="E17850" s="9"/>
      <c r="F17850" s="9"/>
      <c r="G17850" s="9"/>
      <c r="H17850" s="9"/>
      <c r="I17850" s="9"/>
      <c r="J17850" s="9"/>
      <c r="K17850" s="9"/>
      <c r="L17850" s="9"/>
      <c r="M17850" s="9"/>
      <c r="N17850" s="9"/>
      <c r="O17850" s="9"/>
      <c r="P17850" s="9"/>
      <c r="Q17850" s="9"/>
      <c r="R17850" s="9"/>
      <c r="S17850" s="9"/>
      <c r="T17850" s="9"/>
      <c r="U17850" s="9"/>
      <c r="V17850" s="9"/>
      <c r="W17850" s="9"/>
      <c r="X17850" s="9"/>
      <c r="Y17850" s="9"/>
      <c r="Z17850" s="9"/>
      <c r="AA17850" s="9"/>
      <c r="AB17850" s="9"/>
      <c r="AC17850" s="9"/>
      <c r="AG17850" s="10"/>
    </row>
    <row r="17851" spans="1:33">
      <c r="A17851" s="9"/>
      <c r="B17851" s="9"/>
      <c r="C17851" s="9"/>
      <c r="D17851" s="9"/>
      <c r="E17851" s="9"/>
      <c r="F17851" s="9"/>
      <c r="G17851" s="9"/>
      <c r="H17851" s="9"/>
      <c r="I17851" s="9"/>
      <c r="J17851" s="9"/>
      <c r="K17851" s="9"/>
      <c r="L17851" s="9"/>
      <c r="M17851" s="9"/>
      <c r="N17851" s="9"/>
      <c r="O17851" s="9"/>
      <c r="P17851" s="9"/>
      <c r="Q17851" s="9"/>
      <c r="R17851" s="9"/>
      <c r="S17851" s="9"/>
      <c r="T17851" s="9"/>
      <c r="U17851" s="9"/>
      <c r="V17851" s="9"/>
      <c r="W17851" s="9"/>
      <c r="X17851" s="9"/>
      <c r="Y17851" s="9"/>
      <c r="Z17851" s="9"/>
      <c r="AA17851" s="9"/>
      <c r="AB17851" s="9"/>
      <c r="AC17851" s="9"/>
      <c r="AG17851" s="10"/>
    </row>
    <row r="17852" spans="1:33">
      <c r="A17852" s="9"/>
      <c r="B17852" s="9"/>
      <c r="C17852" s="9"/>
      <c r="D17852" s="9"/>
      <c r="E17852" s="9"/>
      <c r="F17852" s="9"/>
      <c r="G17852" s="9"/>
      <c r="H17852" s="9"/>
      <c r="I17852" s="9"/>
      <c r="J17852" s="9"/>
      <c r="K17852" s="9"/>
      <c r="L17852" s="9"/>
      <c r="M17852" s="9"/>
      <c r="N17852" s="9"/>
      <c r="O17852" s="9"/>
      <c r="P17852" s="9"/>
      <c r="Q17852" s="9"/>
      <c r="R17852" s="9"/>
      <c r="S17852" s="9"/>
      <c r="T17852" s="9"/>
      <c r="U17852" s="9"/>
      <c r="V17852" s="9"/>
      <c r="W17852" s="9"/>
      <c r="X17852" s="9"/>
      <c r="Y17852" s="9"/>
      <c r="Z17852" s="9"/>
      <c r="AA17852" s="9"/>
      <c r="AB17852" s="9"/>
      <c r="AC17852" s="9"/>
      <c r="AG17852" s="10"/>
    </row>
    <row r="17853" spans="1:33">
      <c r="A17853" s="9"/>
      <c r="B17853" s="9"/>
      <c r="C17853" s="9"/>
      <c r="D17853" s="9"/>
      <c r="E17853" s="9"/>
      <c r="F17853" s="9"/>
      <c r="G17853" s="9"/>
      <c r="H17853" s="9"/>
      <c r="I17853" s="9"/>
      <c r="J17853" s="9"/>
      <c r="K17853" s="9"/>
      <c r="L17853" s="9"/>
      <c r="M17853" s="9"/>
      <c r="N17853" s="9"/>
      <c r="O17853" s="9"/>
      <c r="P17853" s="9"/>
      <c r="Q17853" s="9"/>
      <c r="R17853" s="9"/>
      <c r="S17853" s="9"/>
      <c r="T17853" s="9"/>
      <c r="U17853" s="9"/>
      <c r="V17853" s="9"/>
      <c r="W17853" s="9"/>
      <c r="X17853" s="9"/>
      <c r="Y17853" s="9"/>
      <c r="Z17853" s="9"/>
      <c r="AA17853" s="9"/>
      <c r="AB17853" s="9"/>
      <c r="AC17853" s="9"/>
      <c r="AG17853" s="10"/>
    </row>
    <row r="17854" spans="1:33">
      <c r="A17854" s="9"/>
      <c r="B17854" s="9"/>
      <c r="C17854" s="9"/>
      <c r="D17854" s="9"/>
      <c r="E17854" s="9"/>
      <c r="F17854" s="9"/>
      <c r="G17854" s="9"/>
      <c r="H17854" s="9"/>
      <c r="I17854" s="9"/>
      <c r="J17854" s="9"/>
      <c r="K17854" s="9"/>
      <c r="L17854" s="9"/>
      <c r="M17854" s="9"/>
      <c r="N17854" s="9"/>
      <c r="O17854" s="9"/>
      <c r="P17854" s="9"/>
      <c r="Q17854" s="9"/>
      <c r="R17854" s="9"/>
      <c r="S17854" s="9"/>
      <c r="T17854" s="9"/>
      <c r="U17854" s="9"/>
      <c r="V17854" s="9"/>
      <c r="W17854" s="9"/>
      <c r="X17854" s="9"/>
      <c r="Y17854" s="9"/>
      <c r="Z17854" s="9"/>
      <c r="AA17854" s="9"/>
      <c r="AB17854" s="9"/>
      <c r="AC17854" s="9"/>
      <c r="AG17854" s="10"/>
    </row>
    <row r="17855" spans="1:33">
      <c r="A17855" s="9"/>
      <c r="B17855" s="9"/>
      <c r="C17855" s="9"/>
      <c r="D17855" s="9"/>
      <c r="E17855" s="9"/>
      <c r="F17855" s="9"/>
      <c r="G17855" s="9"/>
      <c r="H17855" s="9"/>
      <c r="I17855" s="9"/>
      <c r="J17855" s="9"/>
      <c r="K17855" s="9"/>
      <c r="L17855" s="9"/>
      <c r="M17855" s="9"/>
      <c r="N17855" s="9"/>
      <c r="O17855" s="9"/>
      <c r="P17855" s="9"/>
      <c r="Q17855" s="9"/>
      <c r="R17855" s="9"/>
      <c r="S17855" s="9"/>
      <c r="T17855" s="9"/>
      <c r="U17855" s="9"/>
      <c r="V17855" s="9"/>
      <c r="W17855" s="9"/>
      <c r="X17855" s="9"/>
      <c r="Y17855" s="9"/>
      <c r="Z17855" s="9"/>
      <c r="AA17855" s="9"/>
      <c r="AB17855" s="9"/>
      <c r="AC17855" s="9"/>
      <c r="AG17855" s="10"/>
    </row>
    <row r="17856" spans="1:33">
      <c r="A17856" s="9"/>
      <c r="B17856" s="9"/>
      <c r="C17856" s="9"/>
      <c r="D17856" s="9"/>
      <c r="E17856" s="9"/>
      <c r="F17856" s="9"/>
      <c r="G17856" s="9"/>
      <c r="H17856" s="9"/>
      <c r="I17856" s="9"/>
      <c r="J17856" s="9"/>
      <c r="K17856" s="9"/>
      <c r="L17856" s="9"/>
      <c r="M17856" s="9"/>
      <c r="N17856" s="9"/>
      <c r="O17856" s="9"/>
      <c r="P17856" s="9"/>
      <c r="Q17856" s="9"/>
      <c r="R17856" s="9"/>
      <c r="S17856" s="9"/>
      <c r="T17856" s="9"/>
      <c r="U17856" s="9"/>
      <c r="V17856" s="9"/>
      <c r="W17856" s="9"/>
      <c r="X17856" s="9"/>
      <c r="Y17856" s="9"/>
      <c r="Z17856" s="9"/>
      <c r="AA17856" s="9"/>
      <c r="AB17856" s="9"/>
      <c r="AC17856" s="9"/>
      <c r="AG17856" s="10"/>
    </row>
    <row r="17857" spans="1:33">
      <c r="A17857" s="9"/>
      <c r="B17857" s="9"/>
      <c r="C17857" s="9"/>
      <c r="D17857" s="9"/>
      <c r="E17857" s="9"/>
      <c r="F17857" s="9"/>
      <c r="G17857" s="9"/>
      <c r="H17857" s="9"/>
      <c r="I17857" s="9"/>
      <c r="J17857" s="9"/>
      <c r="K17857" s="9"/>
      <c r="L17857" s="9"/>
      <c r="M17857" s="9"/>
      <c r="N17857" s="9"/>
      <c r="O17857" s="9"/>
      <c r="P17857" s="9"/>
      <c r="Q17857" s="9"/>
      <c r="R17857" s="9"/>
      <c r="S17857" s="9"/>
      <c r="T17857" s="9"/>
      <c r="U17857" s="9"/>
      <c r="V17857" s="9"/>
      <c r="W17857" s="9"/>
      <c r="X17857" s="9"/>
      <c r="Y17857" s="9"/>
      <c r="Z17857" s="9"/>
      <c r="AA17857" s="9"/>
      <c r="AB17857" s="9"/>
      <c r="AC17857" s="9"/>
      <c r="AG17857" s="10"/>
    </row>
    <row r="17858" spans="1:33">
      <c r="A17858" s="9"/>
      <c r="B17858" s="9"/>
      <c r="C17858" s="9"/>
      <c r="D17858" s="9"/>
      <c r="E17858" s="9"/>
      <c r="F17858" s="9"/>
      <c r="G17858" s="9"/>
      <c r="H17858" s="9"/>
      <c r="I17858" s="9"/>
      <c r="J17858" s="9"/>
      <c r="K17858" s="9"/>
      <c r="L17858" s="9"/>
      <c r="M17858" s="9"/>
      <c r="N17858" s="9"/>
      <c r="O17858" s="9"/>
      <c r="P17858" s="9"/>
      <c r="Q17858" s="9"/>
      <c r="R17858" s="9"/>
      <c r="S17858" s="9"/>
      <c r="T17858" s="9"/>
      <c r="U17858" s="9"/>
      <c r="V17858" s="9"/>
      <c r="W17858" s="9"/>
      <c r="X17858" s="9"/>
      <c r="Y17858" s="9"/>
      <c r="Z17858" s="9"/>
      <c r="AA17858" s="9"/>
      <c r="AB17858" s="9"/>
      <c r="AC17858" s="9"/>
      <c r="AG17858" s="10"/>
    </row>
    <row r="17859" spans="1:33">
      <c r="A17859" s="9"/>
      <c r="B17859" s="9"/>
      <c r="C17859" s="9"/>
      <c r="D17859" s="9"/>
      <c r="E17859" s="9"/>
      <c r="F17859" s="9"/>
      <c r="G17859" s="9"/>
      <c r="H17859" s="9"/>
      <c r="I17859" s="9"/>
      <c r="J17859" s="9"/>
      <c r="K17859" s="9"/>
      <c r="L17859" s="9"/>
      <c r="M17859" s="9"/>
      <c r="N17859" s="9"/>
      <c r="O17859" s="9"/>
      <c r="P17859" s="9"/>
      <c r="Q17859" s="9"/>
      <c r="R17859" s="9"/>
      <c r="S17859" s="9"/>
      <c r="T17859" s="9"/>
      <c r="U17859" s="9"/>
      <c r="V17859" s="9"/>
      <c r="W17859" s="9"/>
      <c r="X17859" s="9"/>
      <c r="Y17859" s="9"/>
      <c r="Z17859" s="9"/>
      <c r="AA17859" s="9"/>
      <c r="AB17859" s="9"/>
      <c r="AC17859" s="9"/>
      <c r="AG17859" s="10"/>
    </row>
    <row r="17860" spans="1:33">
      <c r="A17860" s="9"/>
      <c r="B17860" s="9"/>
      <c r="C17860" s="9"/>
      <c r="D17860" s="9"/>
      <c r="E17860" s="9"/>
      <c r="F17860" s="9"/>
      <c r="G17860" s="9"/>
      <c r="H17860" s="9"/>
      <c r="I17860" s="9"/>
      <c r="J17860" s="9"/>
      <c r="K17860" s="9"/>
      <c r="L17860" s="9"/>
      <c r="M17860" s="9"/>
      <c r="N17860" s="9"/>
      <c r="O17860" s="9"/>
      <c r="P17860" s="9"/>
      <c r="Q17860" s="9"/>
      <c r="R17860" s="9"/>
      <c r="S17860" s="9"/>
      <c r="T17860" s="9"/>
      <c r="U17860" s="9"/>
      <c r="V17860" s="9"/>
      <c r="W17860" s="9"/>
      <c r="X17860" s="9"/>
      <c r="Y17860" s="9"/>
      <c r="Z17860" s="9"/>
      <c r="AA17860" s="9"/>
      <c r="AB17860" s="9"/>
      <c r="AC17860" s="9"/>
      <c r="AG17860" s="10"/>
    </row>
    <row r="17861" spans="1:33">
      <c r="A17861" s="9"/>
      <c r="B17861" s="9"/>
      <c r="C17861" s="9"/>
      <c r="D17861" s="9"/>
      <c r="E17861" s="9"/>
      <c r="F17861" s="9"/>
      <c r="G17861" s="9"/>
      <c r="H17861" s="9"/>
      <c r="I17861" s="9"/>
      <c r="J17861" s="9"/>
      <c r="K17861" s="9"/>
      <c r="L17861" s="9"/>
      <c r="M17861" s="9"/>
      <c r="N17861" s="9"/>
      <c r="O17861" s="9"/>
      <c r="P17861" s="9"/>
      <c r="Q17861" s="9"/>
      <c r="R17861" s="9"/>
      <c r="S17861" s="9"/>
      <c r="T17861" s="9"/>
      <c r="U17861" s="9"/>
      <c r="V17861" s="9"/>
      <c r="W17861" s="9"/>
      <c r="X17861" s="9"/>
      <c r="Y17861" s="9"/>
      <c r="Z17861" s="9"/>
      <c r="AA17861" s="9"/>
      <c r="AB17861" s="9"/>
      <c r="AC17861" s="9"/>
      <c r="AG17861" s="10"/>
    </row>
    <row r="17862" spans="1:33">
      <c r="A17862" s="9"/>
      <c r="B17862" s="9"/>
      <c r="C17862" s="9"/>
      <c r="D17862" s="9"/>
      <c r="E17862" s="9"/>
      <c r="F17862" s="9"/>
      <c r="G17862" s="9"/>
      <c r="H17862" s="9"/>
      <c r="I17862" s="9"/>
      <c r="J17862" s="9"/>
      <c r="K17862" s="9"/>
      <c r="L17862" s="9"/>
      <c r="M17862" s="9"/>
      <c r="N17862" s="9"/>
      <c r="O17862" s="9"/>
      <c r="P17862" s="9"/>
      <c r="Q17862" s="9"/>
      <c r="R17862" s="9"/>
      <c r="S17862" s="9"/>
      <c r="T17862" s="9"/>
      <c r="U17862" s="9"/>
      <c r="V17862" s="9"/>
      <c r="W17862" s="9"/>
      <c r="X17862" s="9"/>
      <c r="Y17862" s="9"/>
      <c r="Z17862" s="9"/>
      <c r="AA17862" s="9"/>
      <c r="AB17862" s="9"/>
      <c r="AC17862" s="9"/>
      <c r="AG17862" s="10"/>
    </row>
    <row r="17863" spans="1:33">
      <c r="A17863" s="9"/>
      <c r="B17863" s="9"/>
      <c r="C17863" s="9"/>
      <c r="D17863" s="9"/>
      <c r="E17863" s="9"/>
      <c r="F17863" s="9"/>
      <c r="G17863" s="9"/>
      <c r="H17863" s="9"/>
      <c r="I17863" s="9"/>
      <c r="J17863" s="9"/>
      <c r="K17863" s="9"/>
      <c r="L17863" s="9"/>
      <c r="M17863" s="9"/>
      <c r="N17863" s="9"/>
      <c r="O17863" s="9"/>
      <c r="P17863" s="9"/>
      <c r="Q17863" s="9"/>
      <c r="R17863" s="9"/>
      <c r="S17863" s="9"/>
      <c r="T17863" s="9"/>
      <c r="U17863" s="9"/>
      <c r="V17863" s="9"/>
      <c r="W17863" s="9"/>
      <c r="X17863" s="9"/>
      <c r="Y17863" s="9"/>
      <c r="Z17863" s="9"/>
      <c r="AA17863" s="9"/>
      <c r="AB17863" s="9"/>
      <c r="AC17863" s="9"/>
      <c r="AG17863" s="10"/>
    </row>
    <row r="17864" spans="1:33">
      <c r="A17864" s="9"/>
      <c r="B17864" s="9"/>
      <c r="C17864" s="9"/>
      <c r="D17864" s="9"/>
      <c r="E17864" s="9"/>
      <c r="F17864" s="9"/>
      <c r="G17864" s="9"/>
      <c r="H17864" s="9"/>
      <c r="I17864" s="9"/>
      <c r="J17864" s="9"/>
      <c r="K17864" s="9"/>
      <c r="L17864" s="9"/>
      <c r="M17864" s="9"/>
      <c r="N17864" s="9"/>
      <c r="O17864" s="9"/>
      <c r="P17864" s="9"/>
      <c r="Q17864" s="9"/>
      <c r="R17864" s="9"/>
      <c r="S17864" s="9"/>
      <c r="T17864" s="9"/>
      <c r="U17864" s="9"/>
      <c r="V17864" s="9"/>
      <c r="W17864" s="9"/>
      <c r="X17864" s="9"/>
      <c r="Y17864" s="9"/>
      <c r="Z17864" s="9"/>
      <c r="AA17864" s="9"/>
      <c r="AB17864" s="9"/>
      <c r="AC17864" s="9"/>
      <c r="AG17864" s="10"/>
    </row>
    <row r="17865" spans="1:33">
      <c r="A17865" s="9"/>
      <c r="B17865" s="9"/>
      <c r="C17865" s="9"/>
      <c r="D17865" s="9"/>
      <c r="E17865" s="9"/>
      <c r="F17865" s="9"/>
      <c r="G17865" s="9"/>
      <c r="H17865" s="9"/>
      <c r="I17865" s="9"/>
      <c r="J17865" s="9"/>
      <c r="K17865" s="9"/>
      <c r="L17865" s="9"/>
      <c r="M17865" s="9"/>
      <c r="N17865" s="9"/>
      <c r="O17865" s="9"/>
      <c r="P17865" s="9"/>
      <c r="Q17865" s="9"/>
      <c r="R17865" s="9"/>
      <c r="S17865" s="9"/>
      <c r="T17865" s="9"/>
      <c r="U17865" s="9"/>
      <c r="V17865" s="9"/>
      <c r="W17865" s="9"/>
      <c r="X17865" s="9"/>
      <c r="Y17865" s="9"/>
      <c r="Z17865" s="9"/>
      <c r="AA17865" s="9"/>
      <c r="AB17865" s="9"/>
      <c r="AC17865" s="9"/>
      <c r="AG17865" s="10"/>
    </row>
    <row r="17866" spans="1:33">
      <c r="A17866" s="9"/>
      <c r="B17866" s="9"/>
      <c r="C17866" s="9"/>
      <c r="D17866" s="9"/>
      <c r="E17866" s="9"/>
      <c r="F17866" s="9"/>
      <c r="G17866" s="9"/>
      <c r="H17866" s="9"/>
      <c r="I17866" s="9"/>
      <c r="J17866" s="9"/>
      <c r="K17866" s="9"/>
      <c r="L17866" s="9"/>
      <c r="M17866" s="9"/>
      <c r="N17866" s="9"/>
      <c r="O17866" s="9"/>
      <c r="P17866" s="9"/>
      <c r="Q17866" s="9"/>
      <c r="R17866" s="9"/>
      <c r="S17866" s="9"/>
      <c r="T17866" s="9"/>
      <c r="U17866" s="9"/>
      <c r="V17866" s="9"/>
      <c r="W17866" s="9"/>
      <c r="X17866" s="9"/>
      <c r="Y17866" s="9"/>
      <c r="Z17866" s="9"/>
      <c r="AA17866" s="9"/>
      <c r="AB17866" s="9"/>
      <c r="AC17866" s="9"/>
      <c r="AG17866" s="10"/>
    </row>
    <row r="17867" spans="1:33">
      <c r="A17867" s="9"/>
      <c r="B17867" s="9"/>
      <c r="C17867" s="9"/>
      <c r="D17867" s="9"/>
      <c r="E17867" s="9"/>
      <c r="F17867" s="9"/>
      <c r="G17867" s="9"/>
      <c r="H17867" s="9"/>
      <c r="I17867" s="9"/>
      <c r="J17867" s="9"/>
      <c r="K17867" s="9"/>
      <c r="L17867" s="9"/>
      <c r="M17867" s="9"/>
      <c r="N17867" s="9"/>
      <c r="O17867" s="9"/>
      <c r="P17867" s="9"/>
      <c r="Q17867" s="9"/>
      <c r="R17867" s="9"/>
      <c r="S17867" s="9"/>
      <c r="T17867" s="9"/>
      <c r="U17867" s="9"/>
      <c r="V17867" s="9"/>
      <c r="W17867" s="9"/>
      <c r="X17867" s="9"/>
      <c r="Y17867" s="9"/>
      <c r="Z17867" s="9"/>
      <c r="AA17867" s="9"/>
      <c r="AB17867" s="9"/>
      <c r="AC17867" s="9"/>
      <c r="AG17867" s="10"/>
    </row>
    <row r="17868" spans="1:33">
      <c r="A17868" s="9"/>
      <c r="B17868" s="9"/>
      <c r="C17868" s="9"/>
      <c r="D17868" s="9"/>
      <c r="E17868" s="9"/>
      <c r="F17868" s="9"/>
      <c r="G17868" s="9"/>
      <c r="H17868" s="9"/>
      <c r="I17868" s="9"/>
      <c r="J17868" s="9"/>
      <c r="K17868" s="9"/>
      <c r="L17868" s="9"/>
      <c r="M17868" s="9"/>
      <c r="N17868" s="9"/>
      <c r="O17868" s="9"/>
      <c r="P17868" s="9"/>
      <c r="Q17868" s="9"/>
      <c r="R17868" s="9"/>
      <c r="S17868" s="9"/>
      <c r="T17868" s="9"/>
      <c r="U17868" s="9"/>
      <c r="V17868" s="9"/>
      <c r="W17868" s="9"/>
      <c r="X17868" s="9"/>
      <c r="Y17868" s="9"/>
      <c r="Z17868" s="9"/>
      <c r="AA17868" s="9"/>
      <c r="AB17868" s="9"/>
      <c r="AC17868" s="9"/>
      <c r="AG17868" s="10"/>
    </row>
    <row r="17869" spans="1:33">
      <c r="A17869" s="9"/>
      <c r="B17869" s="9"/>
      <c r="C17869" s="9"/>
      <c r="D17869" s="9"/>
      <c r="E17869" s="9"/>
      <c r="F17869" s="9"/>
      <c r="G17869" s="9"/>
      <c r="H17869" s="9"/>
      <c r="I17869" s="9"/>
      <c r="J17869" s="9"/>
      <c r="K17869" s="9"/>
      <c r="L17869" s="9"/>
      <c r="M17869" s="9"/>
      <c r="N17869" s="9"/>
      <c r="O17869" s="9"/>
      <c r="P17869" s="9"/>
      <c r="Q17869" s="9"/>
      <c r="R17869" s="9"/>
      <c r="S17869" s="9"/>
      <c r="T17869" s="9"/>
      <c r="U17869" s="9"/>
      <c r="V17869" s="9"/>
      <c r="W17869" s="9"/>
      <c r="X17869" s="9"/>
      <c r="Y17869" s="9"/>
      <c r="Z17869" s="9"/>
      <c r="AA17869" s="9"/>
      <c r="AB17869" s="9"/>
      <c r="AC17869" s="9"/>
      <c r="AG17869" s="10"/>
    </row>
    <row r="17870" spans="1:33">
      <c r="A17870" s="9"/>
      <c r="B17870" s="9"/>
      <c r="C17870" s="9"/>
      <c r="D17870" s="9"/>
      <c r="E17870" s="9"/>
      <c r="F17870" s="9"/>
      <c r="G17870" s="9"/>
      <c r="H17870" s="9"/>
      <c r="I17870" s="9"/>
      <c r="J17870" s="9"/>
      <c r="K17870" s="9"/>
      <c r="L17870" s="9"/>
      <c r="M17870" s="9"/>
      <c r="N17870" s="9"/>
      <c r="O17870" s="9"/>
      <c r="P17870" s="9"/>
      <c r="Q17870" s="9"/>
      <c r="R17870" s="9"/>
      <c r="S17870" s="9"/>
      <c r="T17870" s="9"/>
      <c r="U17870" s="9"/>
      <c r="V17870" s="9"/>
      <c r="W17870" s="9"/>
      <c r="X17870" s="9"/>
      <c r="Y17870" s="9"/>
      <c r="Z17870" s="9"/>
      <c r="AA17870" s="9"/>
      <c r="AB17870" s="9"/>
      <c r="AC17870" s="9"/>
      <c r="AG17870" s="10"/>
    </row>
    <row r="17871" spans="1:33">
      <c r="A17871" s="9"/>
      <c r="B17871" s="9"/>
      <c r="C17871" s="9"/>
      <c r="D17871" s="9"/>
      <c r="E17871" s="9"/>
      <c r="F17871" s="9"/>
      <c r="G17871" s="9"/>
      <c r="H17871" s="9"/>
      <c r="I17871" s="9"/>
      <c r="J17871" s="9"/>
      <c r="K17871" s="9"/>
      <c r="L17871" s="9"/>
      <c r="M17871" s="9"/>
      <c r="N17871" s="9"/>
      <c r="O17871" s="9"/>
      <c r="P17871" s="9"/>
      <c r="Q17871" s="9"/>
      <c r="R17871" s="9"/>
      <c r="S17871" s="9"/>
      <c r="T17871" s="9"/>
      <c r="U17871" s="9"/>
      <c r="V17871" s="9"/>
      <c r="W17871" s="9"/>
      <c r="X17871" s="9"/>
      <c r="Y17871" s="9"/>
      <c r="Z17871" s="9"/>
      <c r="AA17871" s="9"/>
      <c r="AB17871" s="9"/>
      <c r="AC17871" s="9"/>
      <c r="AG17871" s="10"/>
    </row>
    <row r="17872" spans="1:33">
      <c r="A17872" s="9"/>
      <c r="B17872" s="9"/>
      <c r="C17872" s="9"/>
      <c r="D17872" s="9"/>
      <c r="E17872" s="9"/>
      <c r="F17872" s="9"/>
      <c r="G17872" s="9"/>
      <c r="H17872" s="9"/>
      <c r="I17872" s="9"/>
      <c r="J17872" s="9"/>
      <c r="K17872" s="9"/>
      <c r="L17872" s="9"/>
      <c r="M17872" s="9"/>
      <c r="N17872" s="9"/>
      <c r="O17872" s="9"/>
      <c r="P17872" s="9"/>
      <c r="Q17872" s="9"/>
      <c r="R17872" s="9"/>
      <c r="S17872" s="9"/>
      <c r="T17872" s="9"/>
      <c r="U17872" s="9"/>
      <c r="V17872" s="9"/>
      <c r="W17872" s="9"/>
      <c r="X17872" s="9"/>
      <c r="Y17872" s="9"/>
      <c r="Z17872" s="9"/>
      <c r="AA17872" s="9"/>
      <c r="AB17872" s="9"/>
      <c r="AC17872" s="9"/>
      <c r="AG17872" s="10"/>
    </row>
    <row r="17873" spans="1:33">
      <c r="A17873" s="9"/>
      <c r="B17873" s="9"/>
      <c r="C17873" s="9"/>
      <c r="D17873" s="9"/>
      <c r="E17873" s="9"/>
      <c r="F17873" s="9"/>
      <c r="G17873" s="9"/>
      <c r="H17873" s="9"/>
      <c r="I17873" s="9"/>
      <c r="J17873" s="9"/>
      <c r="K17873" s="9"/>
      <c r="L17873" s="9"/>
      <c r="M17873" s="9"/>
      <c r="N17873" s="9"/>
      <c r="O17873" s="9"/>
      <c r="P17873" s="9"/>
      <c r="Q17873" s="9"/>
      <c r="R17873" s="9"/>
      <c r="S17873" s="9"/>
      <c r="T17873" s="9"/>
      <c r="U17873" s="9"/>
      <c r="V17873" s="9"/>
      <c r="W17873" s="9"/>
      <c r="X17873" s="9"/>
      <c r="Y17873" s="9"/>
      <c r="Z17873" s="9"/>
      <c r="AA17873" s="9"/>
      <c r="AB17873" s="9"/>
      <c r="AC17873" s="9"/>
      <c r="AG17873" s="10"/>
    </row>
    <row r="17874" spans="1:33">
      <c r="A17874" s="9"/>
      <c r="B17874" s="9"/>
      <c r="C17874" s="9"/>
      <c r="D17874" s="9"/>
      <c r="E17874" s="9"/>
      <c r="F17874" s="9"/>
      <c r="G17874" s="9"/>
      <c r="H17874" s="9"/>
      <c r="I17874" s="9"/>
      <c r="J17874" s="9"/>
      <c r="K17874" s="9"/>
      <c r="L17874" s="9"/>
      <c r="M17874" s="9"/>
      <c r="N17874" s="9"/>
      <c r="O17874" s="9"/>
      <c r="P17874" s="9"/>
      <c r="Q17874" s="9"/>
      <c r="R17874" s="9"/>
      <c r="S17874" s="9"/>
      <c r="T17874" s="9"/>
      <c r="U17874" s="9"/>
      <c r="V17874" s="9"/>
      <c r="W17874" s="9"/>
      <c r="X17874" s="9"/>
      <c r="Y17874" s="9"/>
      <c r="Z17874" s="9"/>
      <c r="AA17874" s="9"/>
      <c r="AB17874" s="9"/>
      <c r="AC17874" s="9"/>
      <c r="AG17874" s="10"/>
    </row>
    <row r="17875" spans="1:33">
      <c r="A17875" s="9"/>
      <c r="B17875" s="9"/>
      <c r="C17875" s="9"/>
      <c r="D17875" s="9"/>
      <c r="E17875" s="9"/>
      <c r="F17875" s="9"/>
      <c r="G17875" s="9"/>
      <c r="H17875" s="9"/>
      <c r="I17875" s="9"/>
      <c r="J17875" s="9"/>
      <c r="K17875" s="9"/>
      <c r="L17875" s="9"/>
      <c r="M17875" s="9"/>
      <c r="N17875" s="9"/>
      <c r="O17875" s="9"/>
      <c r="P17875" s="9"/>
      <c r="Q17875" s="9"/>
      <c r="R17875" s="9"/>
      <c r="S17875" s="9"/>
      <c r="T17875" s="9"/>
      <c r="U17875" s="9"/>
      <c r="V17875" s="9"/>
      <c r="W17875" s="9"/>
      <c r="X17875" s="9"/>
      <c r="Y17875" s="9"/>
      <c r="Z17875" s="9"/>
      <c r="AA17875" s="9"/>
      <c r="AB17875" s="9"/>
      <c r="AC17875" s="9"/>
      <c r="AG17875" s="10"/>
    </row>
    <row r="17876" spans="1:33">
      <c r="A17876" s="9"/>
      <c r="B17876" s="9"/>
      <c r="C17876" s="9"/>
      <c r="D17876" s="9"/>
      <c r="E17876" s="9"/>
      <c r="F17876" s="9"/>
      <c r="G17876" s="9"/>
      <c r="H17876" s="9"/>
      <c r="I17876" s="9"/>
      <c r="J17876" s="9"/>
      <c r="K17876" s="9"/>
      <c r="L17876" s="9"/>
      <c r="M17876" s="9"/>
      <c r="N17876" s="9"/>
      <c r="O17876" s="9"/>
      <c r="P17876" s="9"/>
      <c r="Q17876" s="9"/>
      <c r="R17876" s="9"/>
      <c r="S17876" s="9"/>
      <c r="T17876" s="9"/>
      <c r="U17876" s="9"/>
      <c r="V17876" s="9"/>
      <c r="W17876" s="9"/>
      <c r="X17876" s="9"/>
      <c r="Y17876" s="9"/>
      <c r="Z17876" s="9"/>
      <c r="AA17876" s="9"/>
      <c r="AB17876" s="9"/>
      <c r="AC17876" s="9"/>
      <c r="AG17876" s="10"/>
    </row>
    <row r="17877" spans="1:33">
      <c r="A17877" s="9"/>
      <c r="B17877" s="9"/>
      <c r="C17877" s="9"/>
      <c r="D17877" s="9"/>
      <c r="E17877" s="9"/>
      <c r="F17877" s="9"/>
      <c r="G17877" s="9"/>
      <c r="H17877" s="9"/>
      <c r="I17877" s="9"/>
      <c r="J17877" s="9"/>
      <c r="K17877" s="9"/>
      <c r="L17877" s="9"/>
      <c r="M17877" s="9"/>
      <c r="N17877" s="9"/>
      <c r="O17877" s="9"/>
      <c r="P17877" s="9"/>
      <c r="Q17877" s="9"/>
      <c r="R17877" s="9"/>
      <c r="S17877" s="9"/>
      <c r="T17877" s="9"/>
      <c r="U17877" s="9"/>
      <c r="V17877" s="9"/>
      <c r="W17877" s="9"/>
      <c r="X17877" s="9"/>
      <c r="Y17877" s="9"/>
      <c r="Z17877" s="9"/>
      <c r="AA17877" s="9"/>
      <c r="AB17877" s="9"/>
      <c r="AC17877" s="9"/>
      <c r="AG17877" s="10"/>
    </row>
    <row r="17878" spans="1:33">
      <c r="A17878" s="9"/>
      <c r="B17878" s="9"/>
      <c r="C17878" s="9"/>
      <c r="D17878" s="9"/>
      <c r="E17878" s="9"/>
      <c r="F17878" s="9"/>
      <c r="G17878" s="9"/>
      <c r="H17878" s="9"/>
      <c r="I17878" s="9"/>
      <c r="J17878" s="9"/>
      <c r="K17878" s="9"/>
      <c r="L17878" s="9"/>
      <c r="M17878" s="9"/>
      <c r="N17878" s="9"/>
      <c r="O17878" s="9"/>
      <c r="P17878" s="9"/>
      <c r="Q17878" s="9"/>
      <c r="R17878" s="9"/>
      <c r="S17878" s="9"/>
      <c r="T17878" s="9"/>
      <c r="U17878" s="9"/>
      <c r="V17878" s="9"/>
      <c r="W17878" s="9"/>
      <c r="X17878" s="9"/>
      <c r="Y17878" s="9"/>
      <c r="Z17878" s="9"/>
      <c r="AA17878" s="9"/>
      <c r="AB17878" s="9"/>
      <c r="AC17878" s="9"/>
      <c r="AG17878" s="10"/>
    </row>
    <row r="17879" spans="1:33">
      <c r="A17879" s="9"/>
      <c r="B17879" s="9"/>
      <c r="C17879" s="9"/>
      <c r="D17879" s="9"/>
      <c r="E17879" s="9"/>
      <c r="F17879" s="9"/>
      <c r="G17879" s="9"/>
      <c r="H17879" s="9"/>
      <c r="I17879" s="9"/>
      <c r="J17879" s="9"/>
      <c r="K17879" s="9"/>
      <c r="L17879" s="9"/>
      <c r="M17879" s="9"/>
      <c r="N17879" s="9"/>
      <c r="O17879" s="9"/>
      <c r="P17879" s="9"/>
      <c r="Q17879" s="9"/>
      <c r="R17879" s="9"/>
      <c r="S17879" s="9"/>
      <c r="T17879" s="9"/>
      <c r="U17879" s="9"/>
      <c r="V17879" s="9"/>
      <c r="W17879" s="9"/>
      <c r="X17879" s="9"/>
      <c r="Y17879" s="9"/>
      <c r="Z17879" s="9"/>
      <c r="AA17879" s="9"/>
      <c r="AB17879" s="9"/>
      <c r="AC17879" s="9"/>
      <c r="AG17879" s="10"/>
    </row>
    <row r="17880" spans="1:33">
      <c r="A17880" s="9"/>
      <c r="B17880" s="9"/>
      <c r="C17880" s="9"/>
      <c r="D17880" s="9"/>
      <c r="E17880" s="9"/>
      <c r="F17880" s="9"/>
      <c r="G17880" s="9"/>
      <c r="H17880" s="9"/>
      <c r="I17880" s="9"/>
      <c r="J17880" s="9"/>
      <c r="K17880" s="9"/>
      <c r="L17880" s="9"/>
      <c r="M17880" s="9"/>
      <c r="N17880" s="9"/>
      <c r="O17880" s="9"/>
      <c r="P17880" s="9"/>
      <c r="Q17880" s="9"/>
      <c r="R17880" s="9"/>
      <c r="S17880" s="9"/>
      <c r="T17880" s="9"/>
      <c r="U17880" s="9"/>
      <c r="V17880" s="9"/>
      <c r="W17880" s="9"/>
      <c r="X17880" s="9"/>
      <c r="Y17880" s="9"/>
      <c r="Z17880" s="9"/>
      <c r="AA17880" s="9"/>
      <c r="AB17880" s="9"/>
      <c r="AC17880" s="9"/>
      <c r="AG17880" s="10"/>
    </row>
    <row r="17881" spans="1:33">
      <c r="A17881" s="9"/>
      <c r="B17881" s="9"/>
      <c r="C17881" s="9"/>
      <c r="D17881" s="9"/>
      <c r="E17881" s="9"/>
      <c r="F17881" s="9"/>
      <c r="G17881" s="9"/>
      <c r="H17881" s="9"/>
      <c r="I17881" s="9"/>
      <c r="J17881" s="9"/>
      <c r="K17881" s="9"/>
      <c r="L17881" s="9"/>
      <c r="M17881" s="9"/>
      <c r="N17881" s="9"/>
      <c r="O17881" s="9"/>
      <c r="P17881" s="9"/>
      <c r="Q17881" s="9"/>
      <c r="R17881" s="9"/>
      <c r="S17881" s="9"/>
      <c r="T17881" s="9"/>
      <c r="U17881" s="9"/>
      <c r="V17881" s="9"/>
      <c r="W17881" s="9"/>
      <c r="X17881" s="9"/>
      <c r="Y17881" s="9"/>
      <c r="Z17881" s="9"/>
      <c r="AA17881" s="9"/>
      <c r="AB17881" s="9"/>
      <c r="AC17881" s="9"/>
      <c r="AG17881" s="10"/>
    </row>
    <row r="17882" spans="1:33">
      <c r="A17882" s="9"/>
      <c r="B17882" s="9"/>
      <c r="C17882" s="9"/>
      <c r="D17882" s="9"/>
      <c r="E17882" s="9"/>
      <c r="F17882" s="9"/>
      <c r="G17882" s="9"/>
      <c r="H17882" s="9"/>
      <c r="I17882" s="9"/>
      <c r="J17882" s="9"/>
      <c r="K17882" s="9"/>
      <c r="L17882" s="9"/>
      <c r="M17882" s="9"/>
      <c r="N17882" s="9"/>
      <c r="O17882" s="9"/>
      <c r="P17882" s="9"/>
      <c r="Q17882" s="9"/>
      <c r="R17882" s="9"/>
      <c r="S17882" s="9"/>
      <c r="T17882" s="9"/>
      <c r="U17882" s="9"/>
      <c r="V17882" s="9"/>
      <c r="W17882" s="9"/>
      <c r="X17882" s="9"/>
      <c r="Y17882" s="9"/>
      <c r="Z17882" s="9"/>
      <c r="AA17882" s="9"/>
      <c r="AB17882" s="9"/>
      <c r="AC17882" s="9"/>
      <c r="AG17882" s="10"/>
    </row>
    <row r="17883" spans="1:33">
      <c r="A17883" s="9"/>
      <c r="B17883" s="9"/>
      <c r="C17883" s="9"/>
      <c r="D17883" s="9"/>
      <c r="E17883" s="9"/>
      <c r="F17883" s="9"/>
      <c r="G17883" s="9"/>
      <c r="H17883" s="9"/>
      <c r="I17883" s="9"/>
      <c r="J17883" s="9"/>
      <c r="K17883" s="9"/>
      <c r="L17883" s="9"/>
      <c r="M17883" s="9"/>
      <c r="N17883" s="9"/>
      <c r="O17883" s="9"/>
      <c r="P17883" s="9"/>
      <c r="Q17883" s="9"/>
      <c r="R17883" s="9"/>
      <c r="S17883" s="9"/>
      <c r="T17883" s="9"/>
      <c r="U17883" s="9"/>
      <c r="V17883" s="9"/>
      <c r="W17883" s="9"/>
      <c r="X17883" s="9"/>
      <c r="Y17883" s="9"/>
      <c r="Z17883" s="9"/>
      <c r="AA17883" s="9"/>
      <c r="AB17883" s="9"/>
      <c r="AC17883" s="9"/>
      <c r="AG17883" s="10"/>
    </row>
    <row r="17884" spans="1:33">
      <c r="A17884" s="9"/>
      <c r="B17884" s="9"/>
      <c r="C17884" s="9"/>
      <c r="D17884" s="9"/>
      <c r="E17884" s="9"/>
      <c r="F17884" s="9"/>
      <c r="G17884" s="9"/>
      <c r="H17884" s="9"/>
      <c r="I17884" s="9"/>
      <c r="J17884" s="9"/>
      <c r="K17884" s="9"/>
      <c r="L17884" s="9"/>
      <c r="M17884" s="9"/>
      <c r="N17884" s="9"/>
      <c r="O17884" s="9"/>
      <c r="P17884" s="9"/>
      <c r="Q17884" s="9"/>
      <c r="R17884" s="9"/>
      <c r="S17884" s="9"/>
      <c r="T17884" s="9"/>
      <c r="U17884" s="9"/>
      <c r="V17884" s="9"/>
      <c r="W17884" s="9"/>
      <c r="X17884" s="9"/>
      <c r="Y17884" s="9"/>
      <c r="Z17884" s="9"/>
      <c r="AA17884" s="9"/>
      <c r="AB17884" s="9"/>
      <c r="AC17884" s="9"/>
      <c r="AG17884" s="10"/>
    </row>
    <row r="17885" spans="1:33">
      <c r="A17885" s="9"/>
      <c r="B17885" s="9"/>
      <c r="C17885" s="9"/>
      <c r="D17885" s="9"/>
      <c r="E17885" s="9"/>
      <c r="F17885" s="9"/>
      <c r="G17885" s="9"/>
      <c r="H17885" s="9"/>
      <c r="I17885" s="9"/>
      <c r="J17885" s="9"/>
      <c r="K17885" s="9"/>
      <c r="L17885" s="9"/>
      <c r="M17885" s="9"/>
      <c r="N17885" s="9"/>
      <c r="O17885" s="9"/>
      <c r="P17885" s="9"/>
      <c r="Q17885" s="9"/>
      <c r="R17885" s="9"/>
      <c r="S17885" s="9"/>
      <c r="T17885" s="9"/>
      <c r="U17885" s="9"/>
      <c r="V17885" s="9"/>
      <c r="W17885" s="9"/>
      <c r="X17885" s="9"/>
      <c r="Y17885" s="9"/>
      <c r="Z17885" s="9"/>
      <c r="AA17885" s="9"/>
      <c r="AB17885" s="9"/>
      <c r="AC17885" s="9"/>
      <c r="AG17885" s="10"/>
    </row>
    <row r="17886" spans="1:33">
      <c r="A17886" s="9"/>
      <c r="B17886" s="9"/>
      <c r="C17886" s="9"/>
      <c r="D17886" s="9"/>
      <c r="E17886" s="9"/>
      <c r="F17886" s="9"/>
      <c r="G17886" s="9"/>
      <c r="H17886" s="9"/>
      <c r="I17886" s="9"/>
      <c r="J17886" s="9"/>
      <c r="K17886" s="9"/>
      <c r="L17886" s="9"/>
      <c r="M17886" s="9"/>
      <c r="N17886" s="9"/>
      <c r="O17886" s="9"/>
      <c r="P17886" s="9"/>
      <c r="Q17886" s="9"/>
      <c r="R17886" s="9"/>
      <c r="S17886" s="9"/>
      <c r="T17886" s="9"/>
      <c r="U17886" s="9"/>
      <c r="V17886" s="9"/>
      <c r="W17886" s="9"/>
      <c r="X17886" s="9"/>
      <c r="Y17886" s="9"/>
      <c r="Z17886" s="9"/>
      <c r="AA17886" s="9"/>
      <c r="AB17886" s="9"/>
      <c r="AC17886" s="9"/>
      <c r="AG17886" s="10"/>
    </row>
    <row r="17887" spans="1:33">
      <c r="A17887" s="9"/>
      <c r="B17887" s="9"/>
      <c r="C17887" s="9"/>
      <c r="D17887" s="9"/>
      <c r="E17887" s="9"/>
      <c r="F17887" s="9"/>
      <c r="G17887" s="9"/>
      <c r="H17887" s="9"/>
      <c r="I17887" s="9"/>
      <c r="J17887" s="9"/>
      <c r="K17887" s="9"/>
      <c r="L17887" s="9"/>
      <c r="M17887" s="9"/>
      <c r="N17887" s="9"/>
      <c r="O17887" s="9"/>
      <c r="P17887" s="9"/>
      <c r="Q17887" s="9"/>
      <c r="R17887" s="9"/>
      <c r="S17887" s="9"/>
      <c r="T17887" s="9"/>
      <c r="U17887" s="9"/>
      <c r="V17887" s="9"/>
      <c r="W17887" s="9"/>
      <c r="X17887" s="9"/>
      <c r="Y17887" s="9"/>
      <c r="Z17887" s="9"/>
      <c r="AA17887" s="9"/>
      <c r="AB17887" s="9"/>
      <c r="AC17887" s="9"/>
      <c r="AG17887" s="10"/>
    </row>
    <row r="17888" spans="1:33">
      <c r="A17888" s="9"/>
      <c r="B17888" s="9"/>
      <c r="C17888" s="9"/>
      <c r="D17888" s="9"/>
      <c r="E17888" s="9"/>
      <c r="F17888" s="9"/>
      <c r="G17888" s="9"/>
      <c r="H17888" s="9"/>
      <c r="I17888" s="9"/>
      <c r="J17888" s="9"/>
      <c r="K17888" s="9"/>
      <c r="L17888" s="9"/>
      <c r="M17888" s="9"/>
      <c r="N17888" s="9"/>
      <c r="O17888" s="9"/>
      <c r="P17888" s="9"/>
      <c r="Q17888" s="9"/>
      <c r="R17888" s="9"/>
      <c r="S17888" s="9"/>
      <c r="T17888" s="9"/>
      <c r="U17888" s="9"/>
      <c r="V17888" s="9"/>
      <c r="W17888" s="9"/>
      <c r="X17888" s="9"/>
      <c r="Y17888" s="9"/>
      <c r="Z17888" s="9"/>
      <c r="AA17888" s="9"/>
      <c r="AB17888" s="9"/>
      <c r="AC17888" s="9"/>
      <c r="AG17888" s="10"/>
    </row>
    <row r="17889" spans="1:33">
      <c r="A17889" s="9"/>
      <c r="B17889" s="9"/>
      <c r="C17889" s="9"/>
      <c r="D17889" s="9"/>
      <c r="E17889" s="9"/>
      <c r="F17889" s="9"/>
      <c r="G17889" s="9"/>
      <c r="H17889" s="9"/>
      <c r="I17889" s="9"/>
      <c r="J17889" s="9"/>
      <c r="K17889" s="9"/>
      <c r="L17889" s="9"/>
      <c r="M17889" s="9"/>
      <c r="N17889" s="9"/>
      <c r="O17889" s="9"/>
      <c r="P17889" s="9"/>
      <c r="Q17889" s="9"/>
      <c r="R17889" s="9"/>
      <c r="S17889" s="9"/>
      <c r="T17889" s="9"/>
      <c r="U17889" s="9"/>
      <c r="V17889" s="9"/>
      <c r="W17889" s="9"/>
      <c r="X17889" s="9"/>
      <c r="Y17889" s="9"/>
      <c r="Z17889" s="9"/>
      <c r="AA17889" s="9"/>
      <c r="AB17889" s="9"/>
      <c r="AC17889" s="9"/>
      <c r="AG17889" s="10"/>
    </row>
    <row r="17890" spans="1:33">
      <c r="A17890" s="9"/>
      <c r="B17890" s="9"/>
      <c r="C17890" s="9"/>
      <c r="D17890" s="9"/>
      <c r="E17890" s="9"/>
      <c r="F17890" s="9"/>
      <c r="G17890" s="9"/>
      <c r="H17890" s="9"/>
      <c r="I17890" s="9"/>
      <c r="J17890" s="9"/>
      <c r="K17890" s="9"/>
      <c r="L17890" s="9"/>
      <c r="M17890" s="9"/>
      <c r="N17890" s="9"/>
      <c r="O17890" s="9"/>
      <c r="P17890" s="9"/>
      <c r="Q17890" s="9"/>
      <c r="R17890" s="9"/>
      <c r="S17890" s="9"/>
      <c r="T17890" s="9"/>
      <c r="U17890" s="9"/>
      <c r="V17890" s="9"/>
      <c r="W17890" s="9"/>
      <c r="X17890" s="9"/>
      <c r="Y17890" s="9"/>
      <c r="Z17890" s="9"/>
      <c r="AA17890" s="9"/>
      <c r="AB17890" s="9"/>
      <c r="AC17890" s="9"/>
      <c r="AG17890" s="10"/>
    </row>
    <row r="17891" spans="1:33">
      <c r="A17891" s="9"/>
      <c r="B17891" s="9"/>
      <c r="C17891" s="9"/>
      <c r="D17891" s="9"/>
      <c r="E17891" s="9"/>
      <c r="F17891" s="9"/>
      <c r="G17891" s="9"/>
      <c r="H17891" s="9"/>
      <c r="I17891" s="9"/>
      <c r="J17891" s="9"/>
      <c r="K17891" s="9"/>
      <c r="L17891" s="9"/>
      <c r="M17891" s="9"/>
      <c r="N17891" s="9"/>
      <c r="O17891" s="9"/>
      <c r="P17891" s="9"/>
      <c r="Q17891" s="9"/>
      <c r="R17891" s="9"/>
      <c r="S17891" s="9"/>
      <c r="T17891" s="9"/>
      <c r="U17891" s="9"/>
      <c r="V17891" s="9"/>
      <c r="W17891" s="9"/>
      <c r="X17891" s="9"/>
      <c r="Y17891" s="9"/>
      <c r="Z17891" s="9"/>
      <c r="AA17891" s="9"/>
      <c r="AB17891" s="9"/>
      <c r="AC17891" s="9"/>
      <c r="AG17891" s="10"/>
    </row>
    <row r="17892" spans="1:33">
      <c r="A17892" s="9"/>
      <c r="B17892" s="9"/>
      <c r="C17892" s="9"/>
      <c r="D17892" s="9"/>
      <c r="E17892" s="9"/>
      <c r="F17892" s="9"/>
      <c r="G17892" s="9"/>
      <c r="H17892" s="9"/>
      <c r="I17892" s="9"/>
      <c r="J17892" s="9"/>
      <c r="K17892" s="9"/>
      <c r="L17892" s="9"/>
      <c r="M17892" s="9"/>
      <c r="N17892" s="9"/>
      <c r="O17892" s="9"/>
      <c r="P17892" s="9"/>
      <c r="Q17892" s="9"/>
      <c r="R17892" s="9"/>
      <c r="S17892" s="9"/>
      <c r="T17892" s="9"/>
      <c r="U17892" s="9"/>
      <c r="V17892" s="9"/>
      <c r="W17892" s="9"/>
      <c r="X17892" s="9"/>
      <c r="Y17892" s="9"/>
      <c r="Z17892" s="9"/>
      <c r="AA17892" s="9"/>
      <c r="AB17892" s="9"/>
      <c r="AC17892" s="9"/>
      <c r="AG17892" s="10"/>
    </row>
    <row r="17893" spans="1:33">
      <c r="A17893" s="9"/>
      <c r="B17893" s="9"/>
      <c r="C17893" s="9"/>
      <c r="D17893" s="9"/>
      <c r="E17893" s="9"/>
      <c r="F17893" s="9"/>
      <c r="G17893" s="9"/>
      <c r="H17893" s="9"/>
      <c r="I17893" s="9"/>
      <c r="J17893" s="9"/>
      <c r="K17893" s="9"/>
      <c r="L17893" s="9"/>
      <c r="M17893" s="9"/>
      <c r="N17893" s="9"/>
      <c r="O17893" s="9"/>
      <c r="P17893" s="9"/>
      <c r="Q17893" s="9"/>
      <c r="R17893" s="9"/>
      <c r="S17893" s="9"/>
      <c r="T17893" s="9"/>
      <c r="U17893" s="9"/>
      <c r="V17893" s="9"/>
      <c r="W17893" s="9"/>
      <c r="X17893" s="9"/>
      <c r="Y17893" s="9"/>
      <c r="Z17893" s="9"/>
      <c r="AA17893" s="9"/>
      <c r="AB17893" s="9"/>
      <c r="AC17893" s="9"/>
      <c r="AG17893" s="10"/>
    </row>
    <row r="17894" spans="1:33">
      <c r="A17894" s="9"/>
      <c r="B17894" s="9"/>
      <c r="C17894" s="9"/>
      <c r="D17894" s="9"/>
      <c r="E17894" s="9"/>
      <c r="F17894" s="9"/>
      <c r="G17894" s="9"/>
      <c r="H17894" s="9"/>
      <c r="I17894" s="9"/>
      <c r="J17894" s="9"/>
      <c r="K17894" s="9"/>
      <c r="L17894" s="9"/>
      <c r="M17894" s="9"/>
      <c r="N17894" s="9"/>
      <c r="O17894" s="9"/>
      <c r="P17894" s="9"/>
      <c r="Q17894" s="9"/>
      <c r="R17894" s="9"/>
      <c r="S17894" s="9"/>
      <c r="T17894" s="9"/>
      <c r="U17894" s="9"/>
      <c r="V17894" s="9"/>
      <c r="W17894" s="9"/>
      <c r="X17894" s="9"/>
      <c r="Y17894" s="9"/>
      <c r="Z17894" s="9"/>
      <c r="AA17894" s="9"/>
      <c r="AB17894" s="9"/>
      <c r="AC17894" s="9"/>
      <c r="AG17894" s="10"/>
    </row>
    <row r="17895" spans="1:33">
      <c r="A17895" s="9"/>
      <c r="B17895" s="9"/>
      <c r="C17895" s="9"/>
      <c r="D17895" s="9"/>
      <c r="E17895" s="9"/>
      <c r="F17895" s="9"/>
      <c r="G17895" s="9"/>
      <c r="H17895" s="9"/>
      <c r="I17895" s="9"/>
      <c r="J17895" s="9"/>
      <c r="K17895" s="9"/>
      <c r="L17895" s="9"/>
      <c r="M17895" s="9"/>
      <c r="N17895" s="9"/>
      <c r="O17895" s="9"/>
      <c r="P17895" s="9"/>
      <c r="Q17895" s="9"/>
      <c r="R17895" s="9"/>
      <c r="S17895" s="9"/>
      <c r="T17895" s="9"/>
      <c r="U17895" s="9"/>
      <c r="V17895" s="9"/>
      <c r="W17895" s="9"/>
      <c r="X17895" s="9"/>
      <c r="Y17895" s="9"/>
      <c r="Z17895" s="9"/>
      <c r="AA17895" s="9"/>
      <c r="AB17895" s="9"/>
      <c r="AC17895" s="9"/>
      <c r="AG17895" s="10"/>
    </row>
    <row r="17896" spans="1:33">
      <c r="A17896" s="9"/>
      <c r="B17896" s="9"/>
      <c r="C17896" s="9"/>
      <c r="D17896" s="9"/>
      <c r="E17896" s="9"/>
      <c r="F17896" s="9"/>
      <c r="G17896" s="9"/>
      <c r="H17896" s="9"/>
      <c r="I17896" s="9"/>
      <c r="J17896" s="9"/>
      <c r="K17896" s="9"/>
      <c r="L17896" s="9"/>
      <c r="M17896" s="9"/>
      <c r="N17896" s="9"/>
      <c r="O17896" s="9"/>
      <c r="P17896" s="9"/>
      <c r="Q17896" s="9"/>
      <c r="R17896" s="9"/>
      <c r="S17896" s="9"/>
      <c r="T17896" s="9"/>
      <c r="U17896" s="9"/>
      <c r="V17896" s="9"/>
      <c r="W17896" s="9"/>
      <c r="X17896" s="9"/>
      <c r="Y17896" s="9"/>
      <c r="Z17896" s="9"/>
      <c r="AA17896" s="9"/>
      <c r="AB17896" s="9"/>
      <c r="AC17896" s="9"/>
      <c r="AG17896" s="10"/>
    </row>
    <row r="17897" spans="1:33">
      <c r="A17897" s="9"/>
      <c r="B17897" s="9"/>
      <c r="C17897" s="9"/>
      <c r="D17897" s="9"/>
      <c r="E17897" s="9"/>
      <c r="F17897" s="9"/>
      <c r="G17897" s="9"/>
      <c r="H17897" s="9"/>
      <c r="I17897" s="9"/>
      <c r="J17897" s="9"/>
      <c r="K17897" s="9"/>
      <c r="L17897" s="9"/>
      <c r="M17897" s="9"/>
      <c r="N17897" s="9"/>
      <c r="O17897" s="9"/>
      <c r="P17897" s="9"/>
      <c r="Q17897" s="9"/>
      <c r="R17897" s="9"/>
      <c r="S17897" s="9"/>
      <c r="T17897" s="9"/>
      <c r="U17897" s="9"/>
      <c r="V17897" s="9"/>
      <c r="W17897" s="9"/>
      <c r="X17897" s="9"/>
      <c r="Y17897" s="9"/>
      <c r="Z17897" s="9"/>
      <c r="AA17897" s="9"/>
      <c r="AB17897" s="9"/>
      <c r="AC17897" s="9"/>
      <c r="AG17897" s="10"/>
    </row>
    <row r="17898" spans="1:33">
      <c r="A17898" s="9"/>
      <c r="B17898" s="9"/>
      <c r="C17898" s="9"/>
      <c r="D17898" s="9"/>
      <c r="E17898" s="9"/>
      <c r="F17898" s="9"/>
      <c r="G17898" s="9"/>
      <c r="H17898" s="9"/>
      <c r="I17898" s="9"/>
      <c r="J17898" s="9"/>
      <c r="K17898" s="9"/>
      <c r="L17898" s="9"/>
      <c r="M17898" s="9"/>
      <c r="N17898" s="9"/>
      <c r="O17898" s="9"/>
      <c r="P17898" s="9"/>
      <c r="Q17898" s="9"/>
      <c r="R17898" s="9"/>
      <c r="S17898" s="9"/>
      <c r="T17898" s="9"/>
      <c r="U17898" s="9"/>
      <c r="V17898" s="9"/>
      <c r="W17898" s="9"/>
      <c r="X17898" s="9"/>
      <c r="Y17898" s="9"/>
      <c r="Z17898" s="9"/>
      <c r="AA17898" s="9"/>
      <c r="AB17898" s="9"/>
      <c r="AC17898" s="9"/>
      <c r="AG17898" s="10"/>
    </row>
    <row r="17899" spans="1:33">
      <c r="A17899" s="9"/>
      <c r="B17899" s="9"/>
      <c r="C17899" s="9"/>
      <c r="D17899" s="9"/>
      <c r="E17899" s="9"/>
      <c r="F17899" s="9"/>
      <c r="G17899" s="9"/>
      <c r="H17899" s="9"/>
      <c r="I17899" s="9"/>
      <c r="J17899" s="9"/>
      <c r="K17899" s="9"/>
      <c r="L17899" s="9"/>
      <c r="M17899" s="9"/>
      <c r="N17899" s="9"/>
      <c r="O17899" s="9"/>
      <c r="P17899" s="9"/>
      <c r="Q17899" s="9"/>
      <c r="R17899" s="9"/>
      <c r="S17899" s="9"/>
      <c r="T17899" s="9"/>
      <c r="U17899" s="9"/>
      <c r="V17899" s="9"/>
      <c r="W17899" s="9"/>
      <c r="X17899" s="9"/>
      <c r="Y17899" s="9"/>
      <c r="Z17899" s="9"/>
      <c r="AA17899" s="9"/>
      <c r="AB17899" s="9"/>
      <c r="AC17899" s="9"/>
      <c r="AG17899" s="10"/>
    </row>
    <row r="17900" spans="1:33">
      <c r="A17900" s="9"/>
      <c r="B17900" s="9"/>
      <c r="C17900" s="9"/>
      <c r="D17900" s="9"/>
      <c r="E17900" s="9"/>
      <c r="F17900" s="9"/>
      <c r="G17900" s="9"/>
      <c r="H17900" s="9"/>
      <c r="I17900" s="9"/>
      <c r="J17900" s="9"/>
      <c r="K17900" s="9"/>
      <c r="L17900" s="9"/>
      <c r="M17900" s="9"/>
      <c r="N17900" s="9"/>
      <c r="O17900" s="9"/>
      <c r="P17900" s="9"/>
      <c r="Q17900" s="9"/>
      <c r="R17900" s="9"/>
      <c r="S17900" s="9"/>
      <c r="T17900" s="9"/>
      <c r="U17900" s="9"/>
      <c r="V17900" s="9"/>
      <c r="W17900" s="9"/>
      <c r="X17900" s="9"/>
      <c r="Y17900" s="9"/>
      <c r="Z17900" s="9"/>
      <c r="AA17900" s="9"/>
      <c r="AB17900" s="9"/>
      <c r="AC17900" s="9"/>
      <c r="AG17900" s="10"/>
    </row>
    <row r="17901" spans="1:33">
      <c r="A17901" s="9"/>
      <c r="B17901" s="9"/>
      <c r="C17901" s="9"/>
      <c r="D17901" s="9"/>
      <c r="E17901" s="9"/>
      <c r="F17901" s="9"/>
      <c r="G17901" s="9"/>
      <c r="H17901" s="9"/>
      <c r="I17901" s="9"/>
      <c r="J17901" s="9"/>
      <c r="K17901" s="9"/>
      <c r="L17901" s="9"/>
      <c r="M17901" s="9"/>
      <c r="N17901" s="9"/>
      <c r="O17901" s="9"/>
      <c r="P17901" s="9"/>
      <c r="Q17901" s="9"/>
      <c r="R17901" s="9"/>
      <c r="S17901" s="9"/>
      <c r="T17901" s="9"/>
      <c r="U17901" s="9"/>
      <c r="V17901" s="9"/>
      <c r="W17901" s="9"/>
      <c r="X17901" s="9"/>
      <c r="Y17901" s="9"/>
      <c r="Z17901" s="9"/>
      <c r="AA17901" s="9"/>
      <c r="AB17901" s="9"/>
      <c r="AC17901" s="9"/>
      <c r="AG17901" s="10"/>
    </row>
    <row r="17902" spans="1:33">
      <c r="A17902" s="9"/>
      <c r="B17902" s="9"/>
      <c r="C17902" s="9"/>
      <c r="D17902" s="9"/>
      <c r="E17902" s="9"/>
      <c r="F17902" s="9"/>
      <c r="G17902" s="9"/>
      <c r="H17902" s="9"/>
      <c r="I17902" s="9"/>
      <c r="J17902" s="9"/>
      <c r="K17902" s="9"/>
      <c r="L17902" s="9"/>
      <c r="M17902" s="9"/>
      <c r="N17902" s="9"/>
      <c r="O17902" s="9"/>
      <c r="P17902" s="9"/>
      <c r="Q17902" s="9"/>
      <c r="R17902" s="9"/>
      <c r="S17902" s="9"/>
      <c r="T17902" s="9"/>
      <c r="U17902" s="9"/>
      <c r="V17902" s="9"/>
      <c r="W17902" s="9"/>
      <c r="X17902" s="9"/>
      <c r="Y17902" s="9"/>
      <c r="Z17902" s="9"/>
      <c r="AA17902" s="9"/>
      <c r="AB17902" s="9"/>
      <c r="AC17902" s="9"/>
      <c r="AG17902" s="10"/>
    </row>
    <row r="17903" spans="1:33">
      <c r="A17903" s="9"/>
      <c r="B17903" s="9"/>
      <c r="C17903" s="9"/>
      <c r="D17903" s="9"/>
      <c r="E17903" s="9"/>
      <c r="F17903" s="9"/>
      <c r="G17903" s="9"/>
      <c r="H17903" s="9"/>
      <c r="I17903" s="9"/>
      <c r="J17903" s="9"/>
      <c r="K17903" s="9"/>
      <c r="L17903" s="9"/>
      <c r="M17903" s="9"/>
      <c r="N17903" s="9"/>
      <c r="O17903" s="9"/>
      <c r="P17903" s="9"/>
      <c r="Q17903" s="9"/>
      <c r="R17903" s="9"/>
      <c r="S17903" s="9"/>
      <c r="T17903" s="9"/>
      <c r="U17903" s="9"/>
      <c r="V17903" s="9"/>
      <c r="W17903" s="9"/>
      <c r="X17903" s="9"/>
      <c r="Y17903" s="9"/>
      <c r="Z17903" s="9"/>
      <c r="AA17903" s="9"/>
      <c r="AB17903" s="9"/>
      <c r="AC17903" s="9"/>
      <c r="AG17903" s="10"/>
    </row>
    <row r="17904" spans="1:33">
      <c r="A17904" s="9"/>
      <c r="B17904" s="9"/>
      <c r="C17904" s="9"/>
      <c r="D17904" s="9"/>
      <c r="E17904" s="9"/>
      <c r="F17904" s="9"/>
      <c r="G17904" s="9"/>
      <c r="H17904" s="9"/>
      <c r="I17904" s="9"/>
      <c r="J17904" s="9"/>
      <c r="K17904" s="9"/>
      <c r="L17904" s="9"/>
      <c r="M17904" s="9"/>
      <c r="N17904" s="9"/>
      <c r="O17904" s="9"/>
      <c r="P17904" s="9"/>
      <c r="Q17904" s="9"/>
      <c r="R17904" s="9"/>
      <c r="S17904" s="9"/>
      <c r="T17904" s="9"/>
      <c r="U17904" s="9"/>
      <c r="V17904" s="9"/>
      <c r="W17904" s="9"/>
      <c r="X17904" s="9"/>
      <c r="Y17904" s="9"/>
      <c r="Z17904" s="9"/>
      <c r="AA17904" s="9"/>
      <c r="AB17904" s="9"/>
      <c r="AC17904" s="9"/>
      <c r="AG17904" s="10"/>
    </row>
    <row r="17905" spans="1:33">
      <c r="A17905" s="9"/>
      <c r="B17905" s="9"/>
      <c r="C17905" s="9"/>
      <c r="D17905" s="9"/>
      <c r="E17905" s="9"/>
      <c r="F17905" s="9"/>
      <c r="G17905" s="9"/>
      <c r="H17905" s="9"/>
      <c r="I17905" s="9"/>
      <c r="J17905" s="9"/>
      <c r="K17905" s="9"/>
      <c r="L17905" s="9"/>
      <c r="M17905" s="9"/>
      <c r="N17905" s="9"/>
      <c r="O17905" s="9"/>
      <c r="P17905" s="9"/>
      <c r="Q17905" s="9"/>
      <c r="R17905" s="9"/>
      <c r="S17905" s="9"/>
      <c r="T17905" s="9"/>
      <c r="U17905" s="9"/>
      <c r="V17905" s="9"/>
      <c r="W17905" s="9"/>
      <c r="X17905" s="9"/>
      <c r="Y17905" s="9"/>
      <c r="Z17905" s="9"/>
      <c r="AA17905" s="9"/>
      <c r="AB17905" s="9"/>
      <c r="AC17905" s="9"/>
      <c r="AG17905" s="10"/>
    </row>
    <row r="17906" spans="1:33">
      <c r="A17906" s="9"/>
      <c r="B17906" s="9"/>
      <c r="C17906" s="9"/>
      <c r="D17906" s="9"/>
      <c r="E17906" s="9"/>
      <c r="F17906" s="9"/>
      <c r="G17906" s="9"/>
      <c r="H17906" s="9"/>
      <c r="I17906" s="9"/>
      <c r="J17906" s="9"/>
      <c r="K17906" s="9"/>
      <c r="L17906" s="9"/>
      <c r="M17906" s="9"/>
      <c r="N17906" s="9"/>
      <c r="O17906" s="9"/>
      <c r="P17906" s="9"/>
      <c r="Q17906" s="9"/>
      <c r="R17906" s="9"/>
      <c r="S17906" s="9"/>
      <c r="T17906" s="9"/>
      <c r="U17906" s="9"/>
      <c r="V17906" s="9"/>
      <c r="W17906" s="9"/>
      <c r="X17906" s="9"/>
      <c r="Y17906" s="9"/>
      <c r="Z17906" s="9"/>
      <c r="AA17906" s="9"/>
      <c r="AB17906" s="9"/>
      <c r="AC17906" s="9"/>
      <c r="AG17906" s="10"/>
    </row>
    <row r="17907" spans="1:33">
      <c r="A17907" s="9"/>
      <c r="B17907" s="9"/>
      <c r="C17907" s="9"/>
      <c r="D17907" s="9"/>
      <c r="E17907" s="9"/>
      <c r="F17907" s="9"/>
      <c r="G17907" s="9"/>
      <c r="H17907" s="9"/>
      <c r="I17907" s="9"/>
      <c r="J17907" s="9"/>
      <c r="K17907" s="9"/>
      <c r="L17907" s="9"/>
      <c r="M17907" s="9"/>
      <c r="N17907" s="9"/>
      <c r="O17907" s="9"/>
      <c r="P17907" s="9"/>
      <c r="Q17907" s="9"/>
      <c r="R17907" s="9"/>
      <c r="S17907" s="9"/>
      <c r="T17907" s="9"/>
      <c r="U17907" s="9"/>
      <c r="V17907" s="9"/>
      <c r="W17907" s="9"/>
      <c r="X17907" s="9"/>
      <c r="Y17907" s="9"/>
      <c r="Z17907" s="9"/>
      <c r="AA17907" s="9"/>
      <c r="AB17907" s="9"/>
      <c r="AC17907" s="9"/>
      <c r="AG17907" s="10"/>
    </row>
    <row r="17908" spans="1:33">
      <c r="A17908" s="9"/>
      <c r="B17908" s="9"/>
      <c r="C17908" s="9"/>
      <c r="D17908" s="9"/>
      <c r="E17908" s="9"/>
      <c r="F17908" s="9"/>
      <c r="G17908" s="9"/>
      <c r="H17908" s="9"/>
      <c r="I17908" s="9"/>
      <c r="J17908" s="9"/>
      <c r="K17908" s="9"/>
      <c r="L17908" s="9"/>
      <c r="M17908" s="9"/>
      <c r="N17908" s="9"/>
      <c r="O17908" s="9"/>
      <c r="P17908" s="9"/>
      <c r="Q17908" s="9"/>
      <c r="R17908" s="9"/>
      <c r="S17908" s="9"/>
      <c r="T17908" s="9"/>
      <c r="U17908" s="9"/>
      <c r="V17908" s="9"/>
      <c r="W17908" s="9"/>
      <c r="X17908" s="9"/>
      <c r="Y17908" s="9"/>
      <c r="Z17908" s="9"/>
      <c r="AA17908" s="9"/>
      <c r="AB17908" s="9"/>
      <c r="AC17908" s="9"/>
      <c r="AG17908" s="10"/>
    </row>
    <row r="17909" spans="1:33">
      <c r="A17909" s="9"/>
      <c r="B17909" s="9"/>
      <c r="C17909" s="9"/>
      <c r="D17909" s="9"/>
      <c r="E17909" s="9"/>
      <c r="F17909" s="9"/>
      <c r="G17909" s="9"/>
      <c r="H17909" s="9"/>
      <c r="I17909" s="9"/>
      <c r="J17909" s="9"/>
      <c r="K17909" s="9"/>
      <c r="L17909" s="9"/>
      <c r="M17909" s="9"/>
      <c r="N17909" s="9"/>
      <c r="O17909" s="9"/>
      <c r="P17909" s="9"/>
      <c r="Q17909" s="9"/>
      <c r="R17909" s="9"/>
      <c r="S17909" s="9"/>
      <c r="T17909" s="9"/>
      <c r="U17909" s="9"/>
      <c r="V17909" s="9"/>
      <c r="W17909" s="9"/>
      <c r="X17909" s="9"/>
      <c r="Y17909" s="9"/>
      <c r="Z17909" s="9"/>
      <c r="AA17909" s="9"/>
      <c r="AB17909" s="9"/>
      <c r="AC17909" s="9"/>
      <c r="AG17909" s="10"/>
    </row>
    <row r="17910" spans="1:33">
      <c r="A17910" s="9"/>
      <c r="B17910" s="9"/>
      <c r="C17910" s="9"/>
      <c r="D17910" s="9"/>
      <c r="E17910" s="9"/>
      <c r="F17910" s="9"/>
      <c r="G17910" s="9"/>
      <c r="H17910" s="9"/>
      <c r="I17910" s="9"/>
      <c r="J17910" s="9"/>
      <c r="K17910" s="9"/>
      <c r="L17910" s="9"/>
      <c r="M17910" s="9"/>
      <c r="N17910" s="9"/>
      <c r="O17910" s="9"/>
      <c r="P17910" s="9"/>
      <c r="Q17910" s="9"/>
      <c r="R17910" s="9"/>
      <c r="S17910" s="9"/>
      <c r="T17910" s="9"/>
      <c r="U17910" s="9"/>
      <c r="V17910" s="9"/>
      <c r="W17910" s="9"/>
      <c r="X17910" s="9"/>
      <c r="Y17910" s="9"/>
      <c r="Z17910" s="9"/>
      <c r="AA17910" s="9"/>
      <c r="AB17910" s="9"/>
      <c r="AC17910" s="9"/>
      <c r="AG17910" s="10"/>
    </row>
    <row r="17911" spans="1:33">
      <c r="A17911" s="9"/>
      <c r="B17911" s="9"/>
      <c r="C17911" s="9"/>
      <c r="D17911" s="9"/>
      <c r="E17911" s="9"/>
      <c r="F17911" s="9"/>
      <c r="G17911" s="9"/>
      <c r="H17911" s="9"/>
      <c r="I17911" s="9"/>
      <c r="J17911" s="9"/>
      <c r="K17911" s="9"/>
      <c r="L17911" s="9"/>
      <c r="M17911" s="9"/>
      <c r="N17911" s="9"/>
      <c r="O17911" s="9"/>
      <c r="P17911" s="9"/>
      <c r="Q17911" s="9"/>
      <c r="R17911" s="9"/>
      <c r="S17911" s="9"/>
      <c r="T17911" s="9"/>
      <c r="U17911" s="9"/>
      <c r="V17911" s="9"/>
      <c r="W17911" s="9"/>
      <c r="X17911" s="9"/>
      <c r="Y17911" s="9"/>
      <c r="Z17911" s="9"/>
      <c r="AA17911" s="9"/>
      <c r="AB17911" s="9"/>
      <c r="AC17911" s="9"/>
      <c r="AG17911" s="10"/>
    </row>
    <row r="17912" spans="1:33">
      <c r="A17912" s="9"/>
      <c r="B17912" s="9"/>
      <c r="C17912" s="9"/>
      <c r="D17912" s="9"/>
      <c r="E17912" s="9"/>
      <c r="F17912" s="9"/>
      <c r="G17912" s="9"/>
      <c r="H17912" s="9"/>
      <c r="I17912" s="9"/>
      <c r="J17912" s="9"/>
      <c r="K17912" s="9"/>
      <c r="L17912" s="9"/>
      <c r="M17912" s="9"/>
      <c r="N17912" s="9"/>
      <c r="O17912" s="9"/>
      <c r="P17912" s="9"/>
      <c r="Q17912" s="9"/>
      <c r="R17912" s="9"/>
      <c r="S17912" s="9"/>
      <c r="T17912" s="9"/>
      <c r="U17912" s="9"/>
      <c r="V17912" s="9"/>
      <c r="W17912" s="9"/>
      <c r="X17912" s="9"/>
      <c r="Y17912" s="9"/>
      <c r="Z17912" s="9"/>
      <c r="AA17912" s="9"/>
      <c r="AB17912" s="9"/>
      <c r="AC17912" s="9"/>
      <c r="AG17912" s="10"/>
    </row>
    <row r="17913" spans="1:33">
      <c r="A17913" s="9"/>
      <c r="B17913" s="9"/>
      <c r="C17913" s="9"/>
      <c r="D17913" s="9"/>
      <c r="E17913" s="9"/>
      <c r="F17913" s="9"/>
      <c r="G17913" s="9"/>
      <c r="H17913" s="9"/>
      <c r="I17913" s="9"/>
      <c r="J17913" s="9"/>
      <c r="K17913" s="9"/>
      <c r="L17913" s="9"/>
      <c r="M17913" s="9"/>
      <c r="N17913" s="9"/>
      <c r="O17913" s="9"/>
      <c r="P17913" s="9"/>
      <c r="Q17913" s="9"/>
      <c r="R17913" s="9"/>
      <c r="S17913" s="9"/>
      <c r="T17913" s="9"/>
      <c r="U17913" s="9"/>
      <c r="V17913" s="9"/>
      <c r="W17913" s="9"/>
      <c r="X17913" s="9"/>
      <c r="Y17913" s="9"/>
      <c r="Z17913" s="9"/>
      <c r="AA17913" s="9"/>
      <c r="AB17913" s="9"/>
      <c r="AC17913" s="9"/>
      <c r="AG17913" s="10"/>
    </row>
    <row r="17914" spans="1:33">
      <c r="A17914" s="9"/>
      <c r="B17914" s="9"/>
      <c r="C17914" s="9"/>
      <c r="D17914" s="9"/>
      <c r="E17914" s="9"/>
      <c r="F17914" s="9"/>
      <c r="G17914" s="9"/>
      <c r="H17914" s="9"/>
      <c r="I17914" s="9"/>
      <c r="J17914" s="9"/>
      <c r="K17914" s="9"/>
      <c r="L17914" s="9"/>
      <c r="M17914" s="9"/>
      <c r="N17914" s="9"/>
      <c r="O17914" s="9"/>
      <c r="P17914" s="9"/>
      <c r="Q17914" s="9"/>
      <c r="R17914" s="9"/>
      <c r="S17914" s="9"/>
      <c r="T17914" s="9"/>
      <c r="U17914" s="9"/>
      <c r="V17914" s="9"/>
      <c r="W17914" s="9"/>
      <c r="X17914" s="9"/>
      <c r="Y17914" s="9"/>
      <c r="Z17914" s="9"/>
      <c r="AA17914" s="9"/>
      <c r="AB17914" s="9"/>
      <c r="AC17914" s="9"/>
      <c r="AG17914" s="10"/>
    </row>
    <row r="17915" spans="1:33">
      <c r="A17915" s="9"/>
      <c r="B17915" s="9"/>
      <c r="C17915" s="9"/>
      <c r="D17915" s="9"/>
      <c r="E17915" s="9"/>
      <c r="F17915" s="9"/>
      <c r="G17915" s="9"/>
      <c r="H17915" s="9"/>
      <c r="I17915" s="9"/>
      <c r="J17915" s="9"/>
      <c r="K17915" s="9"/>
      <c r="L17915" s="9"/>
      <c r="M17915" s="9"/>
      <c r="N17915" s="9"/>
      <c r="O17915" s="9"/>
      <c r="P17915" s="9"/>
      <c r="Q17915" s="9"/>
      <c r="R17915" s="9"/>
      <c r="S17915" s="9"/>
      <c r="T17915" s="9"/>
      <c r="U17915" s="9"/>
      <c r="V17915" s="9"/>
      <c r="W17915" s="9"/>
      <c r="X17915" s="9"/>
      <c r="Y17915" s="9"/>
      <c r="Z17915" s="9"/>
      <c r="AA17915" s="9"/>
      <c r="AB17915" s="9"/>
      <c r="AC17915" s="9"/>
      <c r="AG17915" s="10"/>
    </row>
    <row r="17916" spans="1:33">
      <c r="A17916" s="9"/>
      <c r="B17916" s="9"/>
      <c r="C17916" s="9"/>
      <c r="D17916" s="9"/>
      <c r="E17916" s="9"/>
      <c r="F17916" s="9"/>
      <c r="G17916" s="9"/>
      <c r="H17916" s="9"/>
      <c r="I17916" s="9"/>
      <c r="J17916" s="9"/>
      <c r="K17916" s="9"/>
      <c r="L17916" s="9"/>
      <c r="M17916" s="9"/>
      <c r="N17916" s="9"/>
      <c r="O17916" s="9"/>
      <c r="P17916" s="9"/>
      <c r="Q17916" s="9"/>
      <c r="R17916" s="9"/>
      <c r="S17916" s="9"/>
      <c r="T17916" s="9"/>
      <c r="U17916" s="9"/>
      <c r="V17916" s="9"/>
      <c r="W17916" s="9"/>
      <c r="X17916" s="9"/>
      <c r="Y17916" s="9"/>
      <c r="Z17916" s="9"/>
      <c r="AA17916" s="9"/>
      <c r="AB17916" s="9"/>
      <c r="AC17916" s="9"/>
      <c r="AG17916" s="10"/>
    </row>
    <row r="17917" spans="1:33">
      <c r="A17917" s="9"/>
      <c r="B17917" s="9"/>
      <c r="C17917" s="9"/>
      <c r="D17917" s="9"/>
      <c r="E17917" s="9"/>
      <c r="F17917" s="9"/>
      <c r="G17917" s="9"/>
      <c r="H17917" s="9"/>
      <c r="I17917" s="9"/>
      <c r="J17917" s="9"/>
      <c r="K17917" s="9"/>
      <c r="L17917" s="9"/>
      <c r="M17917" s="9"/>
      <c r="N17917" s="9"/>
      <c r="O17917" s="9"/>
      <c r="P17917" s="9"/>
      <c r="Q17917" s="9"/>
      <c r="R17917" s="9"/>
      <c r="S17917" s="9"/>
      <c r="T17917" s="9"/>
      <c r="U17917" s="9"/>
      <c r="V17917" s="9"/>
      <c r="W17917" s="9"/>
      <c r="X17917" s="9"/>
      <c r="Y17917" s="9"/>
      <c r="Z17917" s="9"/>
      <c r="AA17917" s="9"/>
      <c r="AB17917" s="9"/>
      <c r="AC17917" s="9"/>
      <c r="AG17917" s="10"/>
    </row>
    <row r="17918" spans="1:33">
      <c r="A17918" s="9"/>
      <c r="B17918" s="9"/>
      <c r="C17918" s="9"/>
      <c r="D17918" s="9"/>
      <c r="E17918" s="9"/>
      <c r="F17918" s="9"/>
      <c r="G17918" s="9"/>
      <c r="H17918" s="9"/>
      <c r="I17918" s="9"/>
      <c r="J17918" s="9"/>
      <c r="K17918" s="9"/>
      <c r="L17918" s="9"/>
      <c r="M17918" s="9"/>
      <c r="N17918" s="9"/>
      <c r="O17918" s="9"/>
      <c r="P17918" s="9"/>
      <c r="Q17918" s="9"/>
      <c r="R17918" s="9"/>
      <c r="S17918" s="9"/>
      <c r="T17918" s="9"/>
      <c r="U17918" s="9"/>
      <c r="V17918" s="9"/>
      <c r="W17918" s="9"/>
      <c r="X17918" s="9"/>
      <c r="Y17918" s="9"/>
      <c r="Z17918" s="9"/>
      <c r="AA17918" s="9"/>
      <c r="AB17918" s="9"/>
      <c r="AC17918" s="9"/>
      <c r="AG17918" s="10"/>
    </row>
    <row r="17919" spans="1:33">
      <c r="A17919" s="9"/>
      <c r="B17919" s="9"/>
      <c r="C17919" s="9"/>
      <c r="D17919" s="9"/>
      <c r="E17919" s="9"/>
      <c r="F17919" s="9"/>
      <c r="G17919" s="9"/>
      <c r="H17919" s="9"/>
      <c r="I17919" s="9"/>
      <c r="J17919" s="9"/>
      <c r="K17919" s="9"/>
      <c r="L17919" s="9"/>
      <c r="M17919" s="9"/>
      <c r="N17919" s="9"/>
      <c r="O17919" s="9"/>
      <c r="P17919" s="9"/>
      <c r="Q17919" s="9"/>
      <c r="R17919" s="9"/>
      <c r="S17919" s="9"/>
      <c r="T17919" s="9"/>
      <c r="U17919" s="9"/>
      <c r="V17919" s="9"/>
      <c r="W17919" s="9"/>
      <c r="X17919" s="9"/>
      <c r="Y17919" s="9"/>
      <c r="Z17919" s="9"/>
      <c r="AA17919" s="9"/>
      <c r="AB17919" s="9"/>
      <c r="AC17919" s="9"/>
      <c r="AG17919" s="10"/>
    </row>
    <row r="17920" spans="1:33">
      <c r="A17920" s="9"/>
      <c r="B17920" s="9"/>
      <c r="C17920" s="9"/>
      <c r="D17920" s="9"/>
      <c r="E17920" s="9"/>
      <c r="F17920" s="9"/>
      <c r="G17920" s="9"/>
      <c r="H17920" s="9"/>
      <c r="I17920" s="9"/>
      <c r="J17920" s="9"/>
      <c r="K17920" s="9"/>
      <c r="L17920" s="9"/>
      <c r="M17920" s="9"/>
      <c r="N17920" s="9"/>
      <c r="O17920" s="9"/>
      <c r="P17920" s="9"/>
      <c r="Q17920" s="9"/>
      <c r="R17920" s="9"/>
      <c r="S17920" s="9"/>
      <c r="T17920" s="9"/>
      <c r="U17920" s="9"/>
      <c r="V17920" s="9"/>
      <c r="W17920" s="9"/>
      <c r="X17920" s="9"/>
      <c r="Y17920" s="9"/>
      <c r="Z17920" s="9"/>
      <c r="AA17920" s="9"/>
      <c r="AB17920" s="9"/>
      <c r="AC17920" s="9"/>
      <c r="AG17920" s="10"/>
    </row>
    <row r="17921" spans="1:33">
      <c r="A17921" s="9"/>
      <c r="B17921" s="9"/>
      <c r="C17921" s="9"/>
      <c r="D17921" s="9"/>
      <c r="E17921" s="9"/>
      <c r="F17921" s="9"/>
      <c r="G17921" s="9"/>
      <c r="H17921" s="9"/>
      <c r="I17921" s="9"/>
      <c r="J17921" s="9"/>
      <c r="K17921" s="9"/>
      <c r="L17921" s="9"/>
      <c r="M17921" s="9"/>
      <c r="N17921" s="9"/>
      <c r="O17921" s="9"/>
      <c r="P17921" s="9"/>
      <c r="Q17921" s="9"/>
      <c r="R17921" s="9"/>
      <c r="S17921" s="9"/>
      <c r="T17921" s="9"/>
      <c r="U17921" s="9"/>
      <c r="V17921" s="9"/>
      <c r="W17921" s="9"/>
      <c r="X17921" s="9"/>
      <c r="Y17921" s="9"/>
      <c r="Z17921" s="9"/>
      <c r="AA17921" s="9"/>
      <c r="AB17921" s="9"/>
      <c r="AC17921" s="9"/>
      <c r="AG17921" s="10"/>
    </row>
    <row r="17922" spans="1:33">
      <c r="A17922" s="9"/>
      <c r="B17922" s="9"/>
      <c r="C17922" s="9"/>
      <c r="D17922" s="9"/>
      <c r="E17922" s="9"/>
      <c r="F17922" s="9"/>
      <c r="G17922" s="9"/>
      <c r="H17922" s="9"/>
      <c r="I17922" s="9"/>
      <c r="J17922" s="9"/>
      <c r="K17922" s="9"/>
      <c r="L17922" s="9"/>
      <c r="M17922" s="9"/>
      <c r="N17922" s="9"/>
      <c r="O17922" s="9"/>
      <c r="P17922" s="9"/>
      <c r="Q17922" s="9"/>
      <c r="R17922" s="9"/>
      <c r="S17922" s="9"/>
      <c r="T17922" s="9"/>
      <c r="U17922" s="9"/>
      <c r="V17922" s="9"/>
      <c r="W17922" s="9"/>
      <c r="X17922" s="9"/>
      <c r="Y17922" s="9"/>
      <c r="Z17922" s="9"/>
      <c r="AA17922" s="9"/>
      <c r="AB17922" s="9"/>
      <c r="AC17922" s="9"/>
      <c r="AG17922" s="10"/>
    </row>
    <row r="17923" spans="1:33">
      <c r="A17923" s="9"/>
      <c r="B17923" s="9"/>
      <c r="C17923" s="9"/>
      <c r="D17923" s="9"/>
      <c r="E17923" s="9"/>
      <c r="F17923" s="9"/>
      <c r="G17923" s="9"/>
      <c r="H17923" s="9"/>
      <c r="I17923" s="9"/>
      <c r="J17923" s="9"/>
      <c r="K17923" s="9"/>
      <c r="L17923" s="9"/>
      <c r="M17923" s="9"/>
      <c r="N17923" s="9"/>
      <c r="O17923" s="9"/>
      <c r="P17923" s="9"/>
      <c r="Q17923" s="9"/>
      <c r="R17923" s="9"/>
      <c r="S17923" s="9"/>
      <c r="T17923" s="9"/>
      <c r="U17923" s="9"/>
      <c r="V17923" s="9"/>
      <c r="W17923" s="9"/>
      <c r="X17923" s="9"/>
      <c r="Y17923" s="9"/>
      <c r="Z17923" s="9"/>
      <c r="AA17923" s="9"/>
      <c r="AB17923" s="9"/>
      <c r="AC17923" s="9"/>
      <c r="AG17923" s="10"/>
    </row>
    <row r="17924" spans="1:33">
      <c r="A17924" s="9"/>
      <c r="B17924" s="9"/>
      <c r="C17924" s="9"/>
      <c r="D17924" s="9"/>
      <c r="E17924" s="9"/>
      <c r="F17924" s="9"/>
      <c r="G17924" s="9"/>
      <c r="H17924" s="9"/>
      <c r="I17924" s="9"/>
      <c r="J17924" s="9"/>
      <c r="K17924" s="9"/>
      <c r="L17924" s="9"/>
      <c r="M17924" s="9"/>
      <c r="N17924" s="9"/>
      <c r="O17924" s="9"/>
      <c r="P17924" s="9"/>
      <c r="Q17924" s="9"/>
      <c r="R17924" s="9"/>
      <c r="S17924" s="9"/>
      <c r="T17924" s="9"/>
      <c r="U17924" s="9"/>
      <c r="V17924" s="9"/>
      <c r="W17924" s="9"/>
      <c r="X17924" s="9"/>
      <c r="Y17924" s="9"/>
      <c r="Z17924" s="9"/>
      <c r="AA17924" s="9"/>
      <c r="AB17924" s="9"/>
      <c r="AC17924" s="9"/>
      <c r="AG17924" s="10"/>
    </row>
    <row r="17925" spans="1:33">
      <c r="A17925" s="9"/>
      <c r="B17925" s="9"/>
      <c r="C17925" s="9"/>
      <c r="D17925" s="9"/>
      <c r="E17925" s="9"/>
      <c r="F17925" s="9"/>
      <c r="G17925" s="9"/>
      <c r="H17925" s="9"/>
      <c r="I17925" s="9"/>
      <c r="J17925" s="9"/>
      <c r="K17925" s="9"/>
      <c r="L17925" s="9"/>
      <c r="M17925" s="9"/>
      <c r="N17925" s="9"/>
      <c r="O17925" s="9"/>
      <c r="P17925" s="9"/>
      <c r="Q17925" s="9"/>
      <c r="R17925" s="9"/>
      <c r="S17925" s="9"/>
      <c r="T17925" s="9"/>
      <c r="U17925" s="9"/>
      <c r="V17925" s="9"/>
      <c r="W17925" s="9"/>
      <c r="X17925" s="9"/>
      <c r="Y17925" s="9"/>
      <c r="Z17925" s="9"/>
      <c r="AA17925" s="9"/>
      <c r="AB17925" s="9"/>
      <c r="AC17925" s="9"/>
      <c r="AG17925" s="10"/>
    </row>
    <row r="17926" spans="1:33">
      <c r="A17926" s="9"/>
      <c r="B17926" s="9"/>
      <c r="C17926" s="9"/>
      <c r="D17926" s="9"/>
      <c r="E17926" s="9"/>
      <c r="F17926" s="9"/>
      <c r="G17926" s="9"/>
      <c r="H17926" s="9"/>
      <c r="I17926" s="9"/>
      <c r="J17926" s="9"/>
      <c r="K17926" s="9"/>
      <c r="L17926" s="9"/>
      <c r="M17926" s="9"/>
      <c r="N17926" s="9"/>
      <c r="O17926" s="9"/>
      <c r="P17926" s="9"/>
      <c r="Q17926" s="9"/>
      <c r="R17926" s="9"/>
      <c r="S17926" s="9"/>
      <c r="T17926" s="9"/>
      <c r="U17926" s="9"/>
      <c r="V17926" s="9"/>
      <c r="W17926" s="9"/>
      <c r="X17926" s="9"/>
      <c r="Y17926" s="9"/>
      <c r="Z17926" s="9"/>
      <c r="AA17926" s="9"/>
      <c r="AB17926" s="9"/>
      <c r="AC17926" s="9"/>
      <c r="AG17926" s="10"/>
    </row>
    <row r="17927" spans="1:33">
      <c r="A17927" s="9"/>
      <c r="B17927" s="9"/>
      <c r="C17927" s="9"/>
      <c r="D17927" s="9"/>
      <c r="E17927" s="9"/>
      <c r="F17927" s="9"/>
      <c r="G17927" s="9"/>
      <c r="H17927" s="9"/>
      <c r="I17927" s="9"/>
      <c r="J17927" s="9"/>
      <c r="K17927" s="9"/>
      <c r="L17927" s="9"/>
      <c r="M17927" s="9"/>
      <c r="N17927" s="9"/>
      <c r="O17927" s="9"/>
      <c r="P17927" s="9"/>
      <c r="Q17927" s="9"/>
      <c r="R17927" s="9"/>
      <c r="S17927" s="9"/>
      <c r="T17927" s="9"/>
      <c r="U17927" s="9"/>
      <c r="V17927" s="9"/>
      <c r="W17927" s="9"/>
      <c r="X17927" s="9"/>
      <c r="Y17927" s="9"/>
      <c r="Z17927" s="9"/>
      <c r="AA17927" s="9"/>
      <c r="AB17927" s="9"/>
      <c r="AC17927" s="9"/>
      <c r="AG17927" s="10"/>
    </row>
    <row r="17928" spans="1:33">
      <c r="A17928" s="9"/>
      <c r="B17928" s="9"/>
      <c r="C17928" s="9"/>
      <c r="D17928" s="9"/>
      <c r="E17928" s="9"/>
      <c r="F17928" s="9"/>
      <c r="G17928" s="9"/>
      <c r="H17928" s="9"/>
      <c r="I17928" s="9"/>
      <c r="J17928" s="9"/>
      <c r="K17928" s="9"/>
      <c r="L17928" s="9"/>
      <c r="M17928" s="9"/>
      <c r="N17928" s="9"/>
      <c r="O17928" s="9"/>
      <c r="P17928" s="9"/>
      <c r="Q17928" s="9"/>
      <c r="R17928" s="9"/>
      <c r="S17928" s="9"/>
      <c r="T17928" s="9"/>
      <c r="U17928" s="9"/>
      <c r="V17928" s="9"/>
      <c r="W17928" s="9"/>
      <c r="X17928" s="9"/>
      <c r="Y17928" s="9"/>
      <c r="Z17928" s="9"/>
      <c r="AA17928" s="9"/>
      <c r="AB17928" s="9"/>
      <c r="AC17928" s="9"/>
      <c r="AG17928" s="10"/>
    </row>
    <row r="17929" spans="1:33">
      <c r="A17929" s="9"/>
      <c r="B17929" s="9"/>
      <c r="C17929" s="9"/>
      <c r="D17929" s="9"/>
      <c r="E17929" s="9"/>
      <c r="F17929" s="9"/>
      <c r="G17929" s="9"/>
      <c r="H17929" s="9"/>
      <c r="I17929" s="9"/>
      <c r="J17929" s="9"/>
      <c r="K17929" s="9"/>
      <c r="L17929" s="9"/>
      <c r="M17929" s="9"/>
      <c r="N17929" s="9"/>
      <c r="O17929" s="9"/>
      <c r="P17929" s="9"/>
      <c r="Q17929" s="9"/>
      <c r="R17929" s="9"/>
      <c r="S17929" s="9"/>
      <c r="T17929" s="9"/>
      <c r="U17929" s="9"/>
      <c r="V17929" s="9"/>
      <c r="W17929" s="9"/>
      <c r="X17929" s="9"/>
      <c r="Y17929" s="9"/>
      <c r="Z17929" s="9"/>
      <c r="AA17929" s="9"/>
      <c r="AB17929" s="9"/>
      <c r="AC17929" s="9"/>
      <c r="AG17929" s="10"/>
    </row>
    <row r="17930" spans="1:33">
      <c r="A17930" s="9"/>
      <c r="B17930" s="9"/>
      <c r="C17930" s="9"/>
      <c r="D17930" s="9"/>
      <c r="E17930" s="9"/>
      <c r="F17930" s="9"/>
      <c r="G17930" s="9"/>
      <c r="H17930" s="9"/>
      <c r="I17930" s="9"/>
      <c r="J17930" s="9"/>
      <c r="K17930" s="9"/>
      <c r="L17930" s="9"/>
      <c r="M17930" s="9"/>
      <c r="N17930" s="9"/>
      <c r="O17930" s="9"/>
      <c r="P17930" s="9"/>
      <c r="Q17930" s="9"/>
      <c r="R17930" s="9"/>
      <c r="S17930" s="9"/>
      <c r="T17930" s="9"/>
      <c r="U17930" s="9"/>
      <c r="V17930" s="9"/>
      <c r="W17930" s="9"/>
      <c r="X17930" s="9"/>
      <c r="Y17930" s="9"/>
      <c r="Z17930" s="9"/>
      <c r="AA17930" s="9"/>
      <c r="AB17930" s="9"/>
      <c r="AC17930" s="9"/>
      <c r="AG17930" s="10"/>
    </row>
    <row r="17931" spans="1:33">
      <c r="A17931" s="9"/>
      <c r="B17931" s="9"/>
      <c r="C17931" s="9"/>
      <c r="D17931" s="9"/>
      <c r="E17931" s="9"/>
      <c r="F17931" s="9"/>
      <c r="G17931" s="9"/>
      <c r="H17931" s="9"/>
      <c r="I17931" s="9"/>
      <c r="J17931" s="9"/>
      <c r="K17931" s="9"/>
      <c r="L17931" s="9"/>
      <c r="M17931" s="9"/>
      <c r="N17931" s="9"/>
      <c r="O17931" s="9"/>
      <c r="P17931" s="9"/>
      <c r="Q17931" s="9"/>
      <c r="R17931" s="9"/>
      <c r="S17931" s="9"/>
      <c r="T17931" s="9"/>
      <c r="U17931" s="9"/>
      <c r="V17931" s="9"/>
      <c r="W17931" s="9"/>
      <c r="X17931" s="9"/>
      <c r="Y17931" s="9"/>
      <c r="Z17931" s="9"/>
      <c r="AA17931" s="9"/>
      <c r="AB17931" s="9"/>
      <c r="AC17931" s="9"/>
      <c r="AG17931" s="10"/>
    </row>
    <row r="17932" spans="1:33">
      <c r="A17932" s="9"/>
      <c r="B17932" s="9"/>
      <c r="C17932" s="9"/>
      <c r="D17932" s="9"/>
      <c r="E17932" s="9"/>
      <c r="F17932" s="9"/>
      <c r="G17932" s="9"/>
      <c r="H17932" s="9"/>
      <c r="I17932" s="9"/>
      <c r="J17932" s="9"/>
      <c r="K17932" s="9"/>
      <c r="L17932" s="9"/>
      <c r="M17932" s="9"/>
      <c r="N17932" s="9"/>
      <c r="O17932" s="9"/>
      <c r="P17932" s="9"/>
      <c r="Q17932" s="9"/>
      <c r="R17932" s="9"/>
      <c r="S17932" s="9"/>
      <c r="T17932" s="9"/>
      <c r="U17932" s="9"/>
      <c r="V17932" s="9"/>
      <c r="W17932" s="9"/>
      <c r="X17932" s="9"/>
      <c r="Y17932" s="9"/>
      <c r="Z17932" s="9"/>
      <c r="AA17932" s="9"/>
      <c r="AB17932" s="9"/>
      <c r="AC17932" s="9"/>
      <c r="AG17932" s="10"/>
    </row>
    <row r="17933" spans="1:33">
      <c r="A17933" s="9"/>
      <c r="B17933" s="9"/>
      <c r="C17933" s="9"/>
      <c r="D17933" s="9"/>
      <c r="E17933" s="9"/>
      <c r="F17933" s="9"/>
      <c r="G17933" s="9"/>
      <c r="H17933" s="9"/>
      <c r="I17933" s="9"/>
      <c r="J17933" s="9"/>
      <c r="K17933" s="9"/>
      <c r="L17933" s="9"/>
      <c r="M17933" s="9"/>
      <c r="N17933" s="9"/>
      <c r="O17933" s="9"/>
      <c r="P17933" s="9"/>
      <c r="Q17933" s="9"/>
      <c r="R17933" s="9"/>
      <c r="S17933" s="9"/>
      <c r="T17933" s="9"/>
      <c r="U17933" s="9"/>
      <c r="V17933" s="9"/>
      <c r="W17933" s="9"/>
      <c r="X17933" s="9"/>
      <c r="Y17933" s="9"/>
      <c r="Z17933" s="9"/>
      <c r="AA17933" s="9"/>
      <c r="AB17933" s="9"/>
      <c r="AC17933" s="9"/>
      <c r="AG17933" s="10"/>
    </row>
    <row r="17934" spans="1:33">
      <c r="A17934" s="9"/>
      <c r="B17934" s="9"/>
      <c r="C17934" s="9"/>
      <c r="D17934" s="9"/>
      <c r="E17934" s="9"/>
      <c r="F17934" s="9"/>
      <c r="G17934" s="9"/>
      <c r="H17934" s="9"/>
      <c r="I17934" s="9"/>
      <c r="J17934" s="9"/>
      <c r="K17934" s="9"/>
      <c r="L17934" s="9"/>
      <c r="M17934" s="9"/>
      <c r="N17934" s="9"/>
      <c r="O17934" s="9"/>
      <c r="P17934" s="9"/>
      <c r="Q17934" s="9"/>
      <c r="R17934" s="9"/>
      <c r="S17934" s="9"/>
      <c r="T17934" s="9"/>
      <c r="U17934" s="9"/>
      <c r="V17934" s="9"/>
      <c r="W17934" s="9"/>
      <c r="X17934" s="9"/>
      <c r="Y17934" s="9"/>
      <c r="Z17934" s="9"/>
      <c r="AA17934" s="9"/>
      <c r="AB17934" s="9"/>
      <c r="AC17934" s="9"/>
      <c r="AG17934" s="10"/>
    </row>
    <row r="17935" spans="1:33">
      <c r="A17935" s="9"/>
      <c r="B17935" s="9"/>
      <c r="C17935" s="9"/>
      <c r="D17935" s="9"/>
      <c r="E17935" s="9"/>
      <c r="F17935" s="9"/>
      <c r="G17935" s="9"/>
      <c r="H17935" s="9"/>
      <c r="I17935" s="9"/>
      <c r="J17935" s="9"/>
      <c r="K17935" s="9"/>
      <c r="L17935" s="9"/>
      <c r="M17935" s="9"/>
      <c r="N17935" s="9"/>
      <c r="O17935" s="9"/>
      <c r="P17935" s="9"/>
      <c r="Q17935" s="9"/>
      <c r="R17935" s="9"/>
      <c r="S17935" s="9"/>
      <c r="T17935" s="9"/>
      <c r="U17935" s="9"/>
      <c r="V17935" s="9"/>
      <c r="W17935" s="9"/>
      <c r="X17935" s="9"/>
      <c r="Y17935" s="9"/>
      <c r="Z17935" s="9"/>
      <c r="AA17935" s="9"/>
      <c r="AB17935" s="9"/>
      <c r="AC17935" s="9"/>
      <c r="AG17935" s="10"/>
    </row>
    <row r="17936" spans="1:33">
      <c r="A17936" s="9"/>
      <c r="B17936" s="9"/>
      <c r="C17936" s="9"/>
      <c r="D17936" s="9"/>
      <c r="E17936" s="9"/>
      <c r="F17936" s="9"/>
      <c r="G17936" s="9"/>
      <c r="H17936" s="9"/>
      <c r="I17936" s="9"/>
      <c r="J17936" s="9"/>
      <c r="K17936" s="9"/>
      <c r="L17936" s="9"/>
      <c r="M17936" s="9"/>
      <c r="N17936" s="9"/>
      <c r="O17936" s="9"/>
      <c r="P17936" s="9"/>
      <c r="Q17936" s="9"/>
      <c r="R17936" s="9"/>
      <c r="S17936" s="9"/>
      <c r="T17936" s="9"/>
      <c r="U17936" s="9"/>
      <c r="V17936" s="9"/>
      <c r="W17936" s="9"/>
      <c r="X17936" s="9"/>
      <c r="Y17936" s="9"/>
      <c r="Z17936" s="9"/>
      <c r="AA17936" s="9"/>
      <c r="AB17936" s="9"/>
      <c r="AC17936" s="9"/>
      <c r="AG17936" s="10"/>
    </row>
    <row r="17937" spans="1:33">
      <c r="A17937" s="9"/>
      <c r="B17937" s="9"/>
      <c r="C17937" s="9"/>
      <c r="D17937" s="9"/>
      <c r="E17937" s="9"/>
      <c r="F17937" s="9"/>
      <c r="G17937" s="9"/>
      <c r="H17937" s="9"/>
      <c r="I17937" s="9"/>
      <c r="J17937" s="9"/>
      <c r="K17937" s="9"/>
      <c r="L17937" s="9"/>
      <c r="M17937" s="9"/>
      <c r="N17937" s="9"/>
      <c r="O17937" s="9"/>
      <c r="P17937" s="9"/>
      <c r="Q17937" s="9"/>
      <c r="R17937" s="9"/>
      <c r="S17937" s="9"/>
      <c r="T17937" s="9"/>
      <c r="U17937" s="9"/>
      <c r="V17937" s="9"/>
      <c r="W17937" s="9"/>
      <c r="X17937" s="9"/>
      <c r="Y17937" s="9"/>
      <c r="Z17937" s="9"/>
      <c r="AA17937" s="9"/>
      <c r="AB17937" s="9"/>
      <c r="AC17937" s="9"/>
      <c r="AG17937" s="10"/>
    </row>
    <row r="17938" spans="1:33">
      <c r="A17938" s="9"/>
      <c r="B17938" s="9"/>
      <c r="C17938" s="9"/>
      <c r="D17938" s="9"/>
      <c r="E17938" s="9"/>
      <c r="F17938" s="9"/>
      <c r="G17938" s="9"/>
      <c r="H17938" s="9"/>
      <c r="I17938" s="9"/>
      <c r="J17938" s="9"/>
      <c r="K17938" s="9"/>
      <c r="L17938" s="9"/>
      <c r="M17938" s="9"/>
      <c r="N17938" s="9"/>
      <c r="O17938" s="9"/>
      <c r="P17938" s="9"/>
      <c r="Q17938" s="9"/>
      <c r="R17938" s="9"/>
      <c r="S17938" s="9"/>
      <c r="T17938" s="9"/>
      <c r="U17938" s="9"/>
      <c r="V17938" s="9"/>
      <c r="W17938" s="9"/>
      <c r="X17938" s="9"/>
      <c r="Y17938" s="9"/>
      <c r="Z17938" s="9"/>
      <c r="AA17938" s="9"/>
      <c r="AB17938" s="9"/>
      <c r="AC17938" s="9"/>
      <c r="AG17938" s="10"/>
    </row>
    <row r="17939" spans="1:33">
      <c r="A17939" s="9"/>
      <c r="B17939" s="9"/>
      <c r="C17939" s="9"/>
      <c r="D17939" s="9"/>
      <c r="E17939" s="9"/>
      <c r="F17939" s="9"/>
      <c r="G17939" s="9"/>
      <c r="H17939" s="9"/>
      <c r="I17939" s="9"/>
      <c r="J17939" s="9"/>
      <c r="K17939" s="9"/>
      <c r="L17939" s="9"/>
      <c r="M17939" s="9"/>
      <c r="N17939" s="9"/>
      <c r="O17939" s="9"/>
      <c r="P17939" s="9"/>
      <c r="Q17939" s="9"/>
      <c r="R17939" s="9"/>
      <c r="S17939" s="9"/>
      <c r="T17939" s="9"/>
      <c r="U17939" s="9"/>
      <c r="V17939" s="9"/>
      <c r="W17939" s="9"/>
      <c r="X17939" s="9"/>
      <c r="Y17939" s="9"/>
      <c r="Z17939" s="9"/>
      <c r="AA17939" s="9"/>
      <c r="AB17939" s="9"/>
      <c r="AC17939" s="9"/>
      <c r="AG17939" s="10"/>
    </row>
    <row r="17940" spans="1:33">
      <c r="A17940" s="9"/>
      <c r="B17940" s="9"/>
      <c r="C17940" s="9"/>
      <c r="D17940" s="9"/>
      <c r="E17940" s="9"/>
      <c r="F17940" s="9"/>
      <c r="G17940" s="9"/>
      <c r="H17940" s="9"/>
      <c r="I17940" s="9"/>
      <c r="J17940" s="9"/>
      <c r="K17940" s="9"/>
      <c r="L17940" s="9"/>
      <c r="M17940" s="9"/>
      <c r="N17940" s="9"/>
      <c r="O17940" s="9"/>
      <c r="P17940" s="9"/>
      <c r="Q17940" s="9"/>
      <c r="R17940" s="9"/>
      <c r="S17940" s="9"/>
      <c r="T17940" s="9"/>
      <c r="U17940" s="9"/>
      <c r="V17940" s="9"/>
      <c r="W17940" s="9"/>
      <c r="X17940" s="9"/>
      <c r="Y17940" s="9"/>
      <c r="Z17940" s="9"/>
      <c r="AA17940" s="9"/>
      <c r="AB17940" s="9"/>
      <c r="AC17940" s="9"/>
      <c r="AG17940" s="10"/>
    </row>
    <row r="17941" spans="1:33">
      <c r="A17941" s="9"/>
      <c r="B17941" s="9"/>
      <c r="C17941" s="9"/>
      <c r="D17941" s="9"/>
      <c r="E17941" s="9"/>
      <c r="F17941" s="9"/>
      <c r="G17941" s="9"/>
      <c r="H17941" s="9"/>
      <c r="I17941" s="9"/>
      <c r="J17941" s="9"/>
      <c r="K17941" s="9"/>
      <c r="L17941" s="9"/>
      <c r="M17941" s="9"/>
      <c r="N17941" s="9"/>
      <c r="O17941" s="9"/>
      <c r="P17941" s="9"/>
      <c r="Q17941" s="9"/>
      <c r="R17941" s="9"/>
      <c r="S17941" s="9"/>
      <c r="T17941" s="9"/>
      <c r="U17941" s="9"/>
      <c r="V17941" s="9"/>
      <c r="W17941" s="9"/>
      <c r="X17941" s="9"/>
      <c r="Y17941" s="9"/>
      <c r="Z17941" s="9"/>
      <c r="AA17941" s="9"/>
      <c r="AB17941" s="9"/>
      <c r="AC17941" s="9"/>
      <c r="AG17941" s="10"/>
    </row>
    <row r="17942" spans="1:33">
      <c r="A17942" s="9"/>
      <c r="B17942" s="9"/>
      <c r="C17942" s="9"/>
      <c r="D17942" s="9"/>
      <c r="E17942" s="9"/>
      <c r="F17942" s="9"/>
      <c r="G17942" s="9"/>
      <c r="H17942" s="9"/>
      <c r="I17942" s="9"/>
      <c r="J17942" s="9"/>
      <c r="K17942" s="9"/>
      <c r="L17942" s="9"/>
      <c r="M17942" s="9"/>
      <c r="N17942" s="9"/>
      <c r="O17942" s="9"/>
      <c r="P17942" s="9"/>
      <c r="Q17942" s="9"/>
      <c r="R17942" s="9"/>
      <c r="S17942" s="9"/>
      <c r="T17942" s="9"/>
      <c r="U17942" s="9"/>
      <c r="V17942" s="9"/>
      <c r="W17942" s="9"/>
      <c r="X17942" s="9"/>
      <c r="Y17942" s="9"/>
      <c r="Z17942" s="9"/>
      <c r="AA17942" s="9"/>
      <c r="AB17942" s="9"/>
      <c r="AC17942" s="9"/>
      <c r="AG17942" s="10"/>
    </row>
    <row r="17943" spans="1:33">
      <c r="A17943" s="9"/>
      <c r="B17943" s="9"/>
      <c r="C17943" s="9"/>
      <c r="D17943" s="9"/>
      <c r="E17943" s="9"/>
      <c r="F17943" s="9"/>
      <c r="G17943" s="9"/>
      <c r="H17943" s="9"/>
      <c r="I17943" s="9"/>
      <c r="J17943" s="9"/>
      <c r="K17943" s="9"/>
      <c r="L17943" s="9"/>
      <c r="M17943" s="9"/>
      <c r="N17943" s="9"/>
      <c r="O17943" s="9"/>
      <c r="P17943" s="9"/>
      <c r="Q17943" s="9"/>
      <c r="R17943" s="9"/>
      <c r="S17943" s="9"/>
      <c r="T17943" s="9"/>
      <c r="U17943" s="9"/>
      <c r="V17943" s="9"/>
      <c r="W17943" s="9"/>
      <c r="X17943" s="9"/>
      <c r="Y17943" s="9"/>
      <c r="Z17943" s="9"/>
      <c r="AA17943" s="9"/>
      <c r="AB17943" s="9"/>
      <c r="AC17943" s="9"/>
      <c r="AG17943" s="10"/>
    </row>
    <row r="17944" spans="1:33">
      <c r="A17944" s="9"/>
      <c r="B17944" s="9"/>
      <c r="C17944" s="9"/>
      <c r="D17944" s="9"/>
      <c r="E17944" s="9"/>
      <c r="F17944" s="9"/>
      <c r="G17944" s="9"/>
      <c r="H17944" s="9"/>
      <c r="I17944" s="9"/>
      <c r="J17944" s="9"/>
      <c r="K17944" s="9"/>
      <c r="L17944" s="9"/>
      <c r="M17944" s="9"/>
      <c r="N17944" s="9"/>
      <c r="O17944" s="9"/>
      <c r="P17944" s="9"/>
      <c r="Q17944" s="9"/>
      <c r="R17944" s="9"/>
      <c r="S17944" s="9"/>
      <c r="T17944" s="9"/>
      <c r="U17944" s="9"/>
      <c r="V17944" s="9"/>
      <c r="W17944" s="9"/>
      <c r="X17944" s="9"/>
      <c r="Y17944" s="9"/>
      <c r="Z17944" s="9"/>
      <c r="AA17944" s="9"/>
      <c r="AB17944" s="9"/>
      <c r="AC17944" s="9"/>
      <c r="AG17944" s="10"/>
    </row>
    <row r="17945" spans="1:33">
      <c r="A17945" s="9"/>
      <c r="B17945" s="9"/>
      <c r="C17945" s="9"/>
      <c r="D17945" s="9"/>
      <c r="E17945" s="9"/>
      <c r="F17945" s="9"/>
      <c r="G17945" s="9"/>
      <c r="H17945" s="9"/>
      <c r="I17945" s="9"/>
      <c r="J17945" s="9"/>
      <c r="K17945" s="9"/>
      <c r="L17945" s="9"/>
      <c r="M17945" s="9"/>
      <c r="N17945" s="9"/>
      <c r="O17945" s="9"/>
      <c r="P17945" s="9"/>
      <c r="Q17945" s="9"/>
      <c r="R17945" s="9"/>
      <c r="S17945" s="9"/>
      <c r="T17945" s="9"/>
      <c r="U17945" s="9"/>
      <c r="V17945" s="9"/>
      <c r="W17945" s="9"/>
      <c r="X17945" s="9"/>
      <c r="Y17945" s="9"/>
      <c r="Z17945" s="9"/>
      <c r="AA17945" s="9"/>
      <c r="AB17945" s="9"/>
      <c r="AC17945" s="9"/>
      <c r="AG17945" s="10"/>
    </row>
    <row r="17946" spans="1:33">
      <c r="A17946" s="9"/>
      <c r="B17946" s="9"/>
      <c r="C17946" s="9"/>
      <c r="D17946" s="9"/>
      <c r="E17946" s="9"/>
      <c r="F17946" s="9"/>
      <c r="G17946" s="9"/>
      <c r="H17946" s="9"/>
      <c r="I17946" s="9"/>
      <c r="J17946" s="9"/>
      <c r="K17946" s="9"/>
      <c r="L17946" s="9"/>
      <c r="M17946" s="9"/>
      <c r="N17946" s="9"/>
      <c r="O17946" s="9"/>
      <c r="P17946" s="9"/>
      <c r="Q17946" s="9"/>
      <c r="R17946" s="9"/>
      <c r="S17946" s="9"/>
      <c r="T17946" s="9"/>
      <c r="U17946" s="9"/>
      <c r="V17946" s="9"/>
      <c r="W17946" s="9"/>
      <c r="X17946" s="9"/>
      <c r="Y17946" s="9"/>
      <c r="Z17946" s="9"/>
      <c r="AA17946" s="9"/>
      <c r="AB17946" s="9"/>
      <c r="AC17946" s="9"/>
      <c r="AG17946" s="10"/>
    </row>
    <row r="17947" spans="1:33">
      <c r="A17947" s="9"/>
      <c r="B17947" s="9"/>
      <c r="C17947" s="9"/>
      <c r="D17947" s="9"/>
      <c r="E17947" s="9"/>
      <c r="F17947" s="9"/>
      <c r="G17947" s="9"/>
      <c r="H17947" s="9"/>
      <c r="I17947" s="9"/>
      <c r="J17947" s="9"/>
      <c r="K17947" s="9"/>
      <c r="L17947" s="9"/>
      <c r="M17947" s="9"/>
      <c r="N17947" s="9"/>
      <c r="O17947" s="9"/>
      <c r="P17947" s="9"/>
      <c r="Q17947" s="9"/>
      <c r="R17947" s="9"/>
      <c r="S17947" s="9"/>
      <c r="T17947" s="9"/>
      <c r="U17947" s="9"/>
      <c r="V17947" s="9"/>
      <c r="W17947" s="9"/>
      <c r="X17947" s="9"/>
      <c r="Y17947" s="9"/>
      <c r="Z17947" s="9"/>
      <c r="AA17947" s="9"/>
      <c r="AB17947" s="9"/>
      <c r="AC17947" s="9"/>
      <c r="AG17947" s="10"/>
    </row>
    <row r="17948" spans="1:33">
      <c r="A17948" s="9"/>
      <c r="B17948" s="9"/>
      <c r="C17948" s="9"/>
      <c r="D17948" s="9"/>
      <c r="E17948" s="9"/>
      <c r="F17948" s="9"/>
      <c r="G17948" s="9"/>
      <c r="H17948" s="9"/>
      <c r="I17948" s="9"/>
      <c r="J17948" s="9"/>
      <c r="K17948" s="9"/>
      <c r="L17948" s="9"/>
      <c r="M17948" s="9"/>
      <c r="N17948" s="9"/>
      <c r="O17948" s="9"/>
      <c r="P17948" s="9"/>
      <c r="Q17948" s="9"/>
      <c r="R17948" s="9"/>
      <c r="S17948" s="9"/>
      <c r="T17948" s="9"/>
      <c r="U17948" s="9"/>
      <c r="V17948" s="9"/>
      <c r="W17948" s="9"/>
      <c r="X17948" s="9"/>
      <c r="Y17948" s="9"/>
      <c r="Z17948" s="9"/>
      <c r="AA17948" s="9"/>
      <c r="AB17948" s="9"/>
      <c r="AC17948" s="9"/>
      <c r="AG17948" s="10"/>
    </row>
    <row r="17949" spans="1:33">
      <c r="A17949" s="9"/>
      <c r="B17949" s="9"/>
      <c r="C17949" s="9"/>
      <c r="D17949" s="9"/>
      <c r="E17949" s="9"/>
      <c r="F17949" s="9"/>
      <c r="G17949" s="9"/>
      <c r="H17949" s="9"/>
      <c r="I17949" s="9"/>
      <c r="J17949" s="9"/>
      <c r="K17949" s="9"/>
      <c r="L17949" s="9"/>
      <c r="M17949" s="9"/>
      <c r="N17949" s="9"/>
      <c r="O17949" s="9"/>
      <c r="P17949" s="9"/>
      <c r="Q17949" s="9"/>
      <c r="R17949" s="9"/>
      <c r="S17949" s="9"/>
      <c r="T17949" s="9"/>
      <c r="U17949" s="9"/>
      <c r="V17949" s="9"/>
      <c r="W17949" s="9"/>
      <c r="X17949" s="9"/>
      <c r="Y17949" s="9"/>
      <c r="Z17949" s="9"/>
      <c r="AA17949" s="9"/>
      <c r="AB17949" s="9"/>
      <c r="AC17949" s="9"/>
      <c r="AG17949" s="10"/>
    </row>
    <row r="17950" spans="1:33">
      <c r="A17950" s="9"/>
      <c r="B17950" s="9"/>
      <c r="C17950" s="9"/>
      <c r="D17950" s="9"/>
      <c r="E17950" s="9"/>
      <c r="F17950" s="9"/>
      <c r="G17950" s="9"/>
      <c r="H17950" s="9"/>
      <c r="I17950" s="9"/>
      <c r="J17950" s="9"/>
      <c r="K17950" s="9"/>
      <c r="L17950" s="9"/>
      <c r="M17950" s="9"/>
      <c r="N17950" s="9"/>
      <c r="O17950" s="9"/>
      <c r="P17950" s="9"/>
      <c r="Q17950" s="9"/>
      <c r="R17950" s="9"/>
      <c r="S17950" s="9"/>
      <c r="T17950" s="9"/>
      <c r="U17950" s="9"/>
      <c r="V17950" s="9"/>
      <c r="W17950" s="9"/>
      <c r="X17950" s="9"/>
      <c r="Y17950" s="9"/>
      <c r="Z17950" s="9"/>
      <c r="AA17950" s="9"/>
      <c r="AB17950" s="9"/>
      <c r="AC17950" s="9"/>
      <c r="AG17950" s="10"/>
    </row>
    <row r="17951" spans="1:33">
      <c r="A17951" s="9"/>
      <c r="B17951" s="9"/>
      <c r="C17951" s="9"/>
      <c r="D17951" s="9"/>
      <c r="E17951" s="9"/>
      <c r="F17951" s="9"/>
      <c r="G17951" s="9"/>
      <c r="H17951" s="9"/>
      <c r="I17951" s="9"/>
      <c r="J17951" s="9"/>
      <c r="K17951" s="9"/>
      <c r="L17951" s="9"/>
      <c r="M17951" s="9"/>
      <c r="N17951" s="9"/>
      <c r="O17951" s="9"/>
      <c r="P17951" s="9"/>
      <c r="Q17951" s="9"/>
      <c r="R17951" s="9"/>
      <c r="S17951" s="9"/>
      <c r="T17951" s="9"/>
      <c r="U17951" s="9"/>
      <c r="V17951" s="9"/>
      <c r="W17951" s="9"/>
      <c r="X17951" s="9"/>
      <c r="Y17951" s="9"/>
      <c r="Z17951" s="9"/>
      <c r="AA17951" s="9"/>
      <c r="AB17951" s="9"/>
      <c r="AC17951" s="9"/>
      <c r="AG17951" s="10"/>
    </row>
    <row r="17952" spans="1:33">
      <c r="A17952" s="9"/>
      <c r="B17952" s="9"/>
      <c r="C17952" s="9"/>
      <c r="D17952" s="9"/>
      <c r="E17952" s="9"/>
      <c r="F17952" s="9"/>
      <c r="G17952" s="9"/>
      <c r="H17952" s="9"/>
      <c r="I17952" s="9"/>
      <c r="J17952" s="9"/>
      <c r="K17952" s="9"/>
      <c r="L17952" s="9"/>
      <c r="M17952" s="9"/>
      <c r="N17952" s="9"/>
      <c r="O17952" s="9"/>
      <c r="P17952" s="9"/>
      <c r="Q17952" s="9"/>
      <c r="R17952" s="9"/>
      <c r="S17952" s="9"/>
      <c r="T17952" s="9"/>
      <c r="U17952" s="9"/>
      <c r="V17952" s="9"/>
      <c r="W17952" s="9"/>
      <c r="X17952" s="9"/>
      <c r="Y17952" s="9"/>
      <c r="Z17952" s="9"/>
      <c r="AA17952" s="9"/>
      <c r="AB17952" s="9"/>
      <c r="AC17952" s="9"/>
      <c r="AG17952" s="10"/>
    </row>
    <row r="17953" spans="1:33">
      <c r="A17953" s="9"/>
      <c r="B17953" s="9"/>
      <c r="C17953" s="9"/>
      <c r="D17953" s="9"/>
      <c r="E17953" s="9"/>
      <c r="F17953" s="9"/>
      <c r="G17953" s="9"/>
      <c r="H17953" s="9"/>
      <c r="I17953" s="9"/>
      <c r="J17953" s="9"/>
      <c r="K17953" s="9"/>
      <c r="L17953" s="9"/>
      <c r="M17953" s="9"/>
      <c r="N17953" s="9"/>
      <c r="O17953" s="9"/>
      <c r="P17953" s="9"/>
      <c r="Q17953" s="9"/>
      <c r="R17953" s="9"/>
      <c r="S17953" s="9"/>
      <c r="T17953" s="9"/>
      <c r="U17953" s="9"/>
      <c r="V17953" s="9"/>
      <c r="W17953" s="9"/>
      <c r="X17953" s="9"/>
      <c r="Y17953" s="9"/>
      <c r="Z17953" s="9"/>
      <c r="AA17953" s="9"/>
      <c r="AB17953" s="9"/>
      <c r="AC17953" s="9"/>
      <c r="AG17953" s="10"/>
    </row>
    <row r="17954" spans="1:33">
      <c r="A17954" s="9"/>
      <c r="B17954" s="9"/>
      <c r="C17954" s="9"/>
      <c r="D17954" s="9"/>
      <c r="E17954" s="9"/>
      <c r="F17954" s="9"/>
      <c r="G17954" s="9"/>
      <c r="H17954" s="9"/>
      <c r="I17954" s="9"/>
      <c r="J17954" s="9"/>
      <c r="K17954" s="9"/>
      <c r="L17954" s="9"/>
      <c r="M17954" s="9"/>
      <c r="N17954" s="9"/>
      <c r="O17954" s="9"/>
      <c r="P17954" s="9"/>
      <c r="Q17954" s="9"/>
      <c r="R17954" s="9"/>
      <c r="S17954" s="9"/>
      <c r="T17954" s="9"/>
      <c r="U17954" s="9"/>
      <c r="V17954" s="9"/>
      <c r="W17954" s="9"/>
      <c r="X17954" s="9"/>
      <c r="Y17954" s="9"/>
      <c r="Z17954" s="9"/>
      <c r="AA17954" s="9"/>
      <c r="AB17954" s="9"/>
      <c r="AC17954" s="9"/>
      <c r="AG17954" s="10"/>
    </row>
    <row r="17955" spans="1:33">
      <c r="A17955" s="9"/>
      <c r="B17955" s="9"/>
      <c r="C17955" s="9"/>
      <c r="D17955" s="9"/>
      <c r="E17955" s="9"/>
      <c r="F17955" s="9"/>
      <c r="G17955" s="9"/>
      <c r="H17955" s="9"/>
      <c r="I17955" s="9"/>
      <c r="J17955" s="9"/>
      <c r="K17955" s="9"/>
      <c r="L17955" s="9"/>
      <c r="M17955" s="9"/>
      <c r="N17955" s="9"/>
      <c r="O17955" s="9"/>
      <c r="P17955" s="9"/>
      <c r="Q17955" s="9"/>
      <c r="R17955" s="9"/>
      <c r="S17955" s="9"/>
      <c r="T17955" s="9"/>
      <c r="U17955" s="9"/>
      <c r="V17955" s="9"/>
      <c r="W17955" s="9"/>
      <c r="X17955" s="9"/>
      <c r="Y17955" s="9"/>
      <c r="Z17955" s="9"/>
      <c r="AA17955" s="9"/>
      <c r="AB17955" s="9"/>
      <c r="AC17955" s="9"/>
      <c r="AG17955" s="10"/>
    </row>
    <row r="17956" spans="1:33">
      <c r="A17956" s="9"/>
      <c r="B17956" s="9"/>
      <c r="C17956" s="9"/>
      <c r="D17956" s="9"/>
      <c r="E17956" s="9"/>
      <c r="F17956" s="9"/>
      <c r="G17956" s="9"/>
      <c r="H17956" s="9"/>
      <c r="I17956" s="9"/>
      <c r="J17956" s="9"/>
      <c r="K17956" s="9"/>
      <c r="L17956" s="9"/>
      <c r="M17956" s="9"/>
      <c r="N17956" s="9"/>
      <c r="O17956" s="9"/>
      <c r="P17956" s="9"/>
      <c r="Q17956" s="9"/>
      <c r="R17956" s="9"/>
      <c r="S17956" s="9"/>
      <c r="T17956" s="9"/>
      <c r="U17956" s="9"/>
      <c r="V17956" s="9"/>
      <c r="W17956" s="9"/>
      <c r="X17956" s="9"/>
      <c r="Y17956" s="9"/>
      <c r="Z17956" s="9"/>
      <c r="AA17956" s="9"/>
      <c r="AB17956" s="9"/>
      <c r="AC17956" s="9"/>
      <c r="AG17956" s="10"/>
    </row>
    <row r="17957" spans="1:33">
      <c r="A17957" s="9"/>
      <c r="B17957" s="9"/>
      <c r="C17957" s="9"/>
      <c r="D17957" s="9"/>
      <c r="E17957" s="9"/>
      <c r="F17957" s="9"/>
      <c r="G17957" s="9"/>
      <c r="H17957" s="9"/>
      <c r="I17957" s="9"/>
      <c r="J17957" s="9"/>
      <c r="K17957" s="9"/>
      <c r="L17957" s="9"/>
      <c r="M17957" s="9"/>
      <c r="N17957" s="9"/>
      <c r="O17957" s="9"/>
      <c r="P17957" s="9"/>
      <c r="Q17957" s="9"/>
      <c r="R17957" s="9"/>
      <c r="S17957" s="9"/>
      <c r="T17957" s="9"/>
      <c r="U17957" s="9"/>
      <c r="V17957" s="9"/>
      <c r="W17957" s="9"/>
      <c r="X17957" s="9"/>
      <c r="Y17957" s="9"/>
      <c r="Z17957" s="9"/>
      <c r="AA17957" s="9"/>
      <c r="AB17957" s="9"/>
      <c r="AC17957" s="9"/>
      <c r="AG17957" s="10"/>
    </row>
    <row r="17958" spans="1:33">
      <c r="A17958" s="9"/>
      <c r="B17958" s="9"/>
      <c r="C17958" s="9"/>
      <c r="D17958" s="9"/>
      <c r="E17958" s="9"/>
      <c r="F17958" s="9"/>
      <c r="G17958" s="9"/>
      <c r="H17958" s="9"/>
      <c r="I17958" s="9"/>
      <c r="J17958" s="9"/>
      <c r="K17958" s="9"/>
      <c r="L17958" s="9"/>
      <c r="M17958" s="9"/>
      <c r="N17958" s="9"/>
      <c r="O17958" s="9"/>
      <c r="P17958" s="9"/>
      <c r="Q17958" s="9"/>
      <c r="R17958" s="9"/>
      <c r="S17958" s="9"/>
      <c r="T17958" s="9"/>
      <c r="U17958" s="9"/>
      <c r="V17958" s="9"/>
      <c r="W17958" s="9"/>
      <c r="X17958" s="9"/>
      <c r="Y17958" s="9"/>
      <c r="Z17958" s="9"/>
      <c r="AA17958" s="9"/>
      <c r="AB17958" s="9"/>
      <c r="AC17958" s="9"/>
      <c r="AG17958" s="10"/>
    </row>
    <row r="17959" spans="1:33">
      <c r="A17959" s="9"/>
      <c r="B17959" s="9"/>
      <c r="C17959" s="9"/>
      <c r="D17959" s="9"/>
      <c r="E17959" s="9"/>
      <c r="F17959" s="9"/>
      <c r="G17959" s="9"/>
      <c r="H17959" s="9"/>
      <c r="I17959" s="9"/>
      <c r="J17959" s="9"/>
      <c r="K17959" s="9"/>
      <c r="L17959" s="9"/>
      <c r="M17959" s="9"/>
      <c r="N17959" s="9"/>
      <c r="O17959" s="9"/>
      <c r="P17959" s="9"/>
      <c r="Q17959" s="9"/>
      <c r="R17959" s="9"/>
      <c r="S17959" s="9"/>
      <c r="T17959" s="9"/>
      <c r="U17959" s="9"/>
      <c r="V17959" s="9"/>
      <c r="W17959" s="9"/>
      <c r="X17959" s="9"/>
      <c r="Y17959" s="9"/>
      <c r="Z17959" s="9"/>
      <c r="AA17959" s="9"/>
      <c r="AB17959" s="9"/>
      <c r="AC17959" s="9"/>
      <c r="AG17959" s="10"/>
    </row>
    <row r="17960" spans="1:33">
      <c r="A17960" s="9"/>
      <c r="B17960" s="9"/>
      <c r="C17960" s="9"/>
      <c r="D17960" s="9"/>
      <c r="E17960" s="9"/>
      <c r="F17960" s="9"/>
      <c r="G17960" s="9"/>
      <c r="H17960" s="9"/>
      <c r="I17960" s="9"/>
      <c r="J17960" s="9"/>
      <c r="K17960" s="9"/>
      <c r="L17960" s="9"/>
      <c r="M17960" s="9"/>
      <c r="N17960" s="9"/>
      <c r="O17960" s="9"/>
      <c r="P17960" s="9"/>
      <c r="Q17960" s="9"/>
      <c r="R17960" s="9"/>
      <c r="S17960" s="9"/>
      <c r="T17960" s="9"/>
      <c r="U17960" s="9"/>
      <c r="V17960" s="9"/>
      <c r="W17960" s="9"/>
      <c r="X17960" s="9"/>
      <c r="Y17960" s="9"/>
      <c r="Z17960" s="9"/>
      <c r="AA17960" s="9"/>
      <c r="AB17960" s="9"/>
      <c r="AC17960" s="9"/>
      <c r="AG17960" s="10"/>
    </row>
    <row r="17961" spans="1:33">
      <c r="A17961" s="9"/>
      <c r="B17961" s="9"/>
      <c r="C17961" s="9"/>
      <c r="D17961" s="9"/>
      <c r="E17961" s="9"/>
      <c r="F17961" s="9"/>
      <c r="G17961" s="9"/>
      <c r="H17961" s="9"/>
      <c r="I17961" s="9"/>
      <c r="J17961" s="9"/>
      <c r="K17961" s="9"/>
      <c r="L17961" s="9"/>
      <c r="M17961" s="9"/>
      <c r="N17961" s="9"/>
      <c r="O17961" s="9"/>
      <c r="P17961" s="9"/>
      <c r="Q17961" s="9"/>
      <c r="R17961" s="9"/>
      <c r="S17961" s="9"/>
      <c r="T17961" s="9"/>
      <c r="U17961" s="9"/>
      <c r="V17961" s="9"/>
      <c r="W17961" s="9"/>
      <c r="X17961" s="9"/>
      <c r="Y17961" s="9"/>
      <c r="Z17961" s="9"/>
      <c r="AA17961" s="9"/>
      <c r="AB17961" s="9"/>
      <c r="AC17961" s="9"/>
      <c r="AG17961" s="10"/>
    </row>
    <row r="17962" spans="1:33">
      <c r="A17962" s="9"/>
      <c r="B17962" s="9"/>
      <c r="C17962" s="9"/>
      <c r="D17962" s="9"/>
      <c r="E17962" s="9"/>
      <c r="F17962" s="9"/>
      <c r="G17962" s="9"/>
      <c r="H17962" s="9"/>
      <c r="I17962" s="9"/>
      <c r="J17962" s="9"/>
      <c r="K17962" s="9"/>
      <c r="L17962" s="9"/>
      <c r="M17962" s="9"/>
      <c r="N17962" s="9"/>
      <c r="O17962" s="9"/>
      <c r="P17962" s="9"/>
      <c r="Q17962" s="9"/>
      <c r="R17962" s="9"/>
      <c r="S17962" s="9"/>
      <c r="T17962" s="9"/>
      <c r="U17962" s="9"/>
      <c r="V17962" s="9"/>
      <c r="W17962" s="9"/>
      <c r="X17962" s="9"/>
      <c r="Y17962" s="9"/>
      <c r="Z17962" s="9"/>
      <c r="AA17962" s="9"/>
      <c r="AB17962" s="9"/>
      <c r="AC17962" s="9"/>
      <c r="AG17962" s="10"/>
    </row>
    <row r="17963" spans="1:33">
      <c r="A17963" s="9"/>
      <c r="B17963" s="9"/>
      <c r="C17963" s="9"/>
      <c r="D17963" s="9"/>
      <c r="E17963" s="9"/>
      <c r="F17963" s="9"/>
      <c r="G17963" s="9"/>
      <c r="H17963" s="9"/>
      <c r="I17963" s="9"/>
      <c r="J17963" s="9"/>
      <c r="K17963" s="9"/>
      <c r="L17963" s="9"/>
      <c r="M17963" s="9"/>
      <c r="N17963" s="9"/>
      <c r="O17963" s="9"/>
      <c r="P17963" s="9"/>
      <c r="Q17963" s="9"/>
      <c r="R17963" s="9"/>
      <c r="S17963" s="9"/>
      <c r="T17963" s="9"/>
      <c r="U17963" s="9"/>
      <c r="V17963" s="9"/>
      <c r="W17963" s="9"/>
      <c r="X17963" s="9"/>
      <c r="Y17963" s="9"/>
      <c r="Z17963" s="9"/>
      <c r="AA17963" s="9"/>
      <c r="AB17963" s="9"/>
      <c r="AC17963" s="9"/>
      <c r="AG17963" s="10"/>
    </row>
    <row r="17964" spans="1:33">
      <c r="A17964" s="9"/>
      <c r="B17964" s="9"/>
      <c r="C17964" s="9"/>
      <c r="D17964" s="9"/>
      <c r="E17964" s="9"/>
      <c r="F17964" s="9"/>
      <c r="G17964" s="9"/>
      <c r="H17964" s="9"/>
      <c r="I17964" s="9"/>
      <c r="J17964" s="9"/>
      <c r="K17964" s="9"/>
      <c r="L17964" s="9"/>
      <c r="M17964" s="9"/>
      <c r="N17964" s="9"/>
      <c r="O17964" s="9"/>
      <c r="P17964" s="9"/>
      <c r="Q17964" s="9"/>
      <c r="R17964" s="9"/>
      <c r="S17964" s="9"/>
      <c r="T17964" s="9"/>
      <c r="U17964" s="9"/>
      <c r="V17964" s="9"/>
      <c r="W17964" s="9"/>
      <c r="X17964" s="9"/>
      <c r="Y17964" s="9"/>
      <c r="Z17964" s="9"/>
      <c r="AA17964" s="9"/>
      <c r="AB17964" s="9"/>
      <c r="AC17964" s="9"/>
      <c r="AG17964" s="10"/>
    </row>
    <row r="17965" spans="1:33">
      <c r="A17965" s="9"/>
      <c r="B17965" s="9"/>
      <c r="C17965" s="9"/>
      <c r="D17965" s="9"/>
      <c r="E17965" s="9"/>
      <c r="F17965" s="9"/>
      <c r="G17965" s="9"/>
      <c r="H17965" s="9"/>
      <c r="I17965" s="9"/>
      <c r="J17965" s="9"/>
      <c r="K17965" s="9"/>
      <c r="L17965" s="9"/>
      <c r="M17965" s="9"/>
      <c r="N17965" s="9"/>
      <c r="O17965" s="9"/>
      <c r="P17965" s="9"/>
      <c r="Q17965" s="9"/>
      <c r="R17965" s="9"/>
      <c r="S17965" s="9"/>
      <c r="T17965" s="9"/>
      <c r="U17965" s="9"/>
      <c r="V17965" s="9"/>
      <c r="W17965" s="9"/>
      <c r="X17965" s="9"/>
      <c r="Y17965" s="9"/>
      <c r="Z17965" s="9"/>
      <c r="AA17965" s="9"/>
      <c r="AB17965" s="9"/>
      <c r="AC17965" s="9"/>
      <c r="AG17965" s="10"/>
    </row>
    <row r="17966" spans="1:33">
      <c r="A17966" s="9"/>
      <c r="B17966" s="9"/>
      <c r="C17966" s="9"/>
      <c r="D17966" s="9"/>
      <c r="E17966" s="9"/>
      <c r="F17966" s="9"/>
      <c r="G17966" s="9"/>
      <c r="H17966" s="9"/>
      <c r="I17966" s="9"/>
      <c r="J17966" s="9"/>
      <c r="K17966" s="9"/>
      <c r="L17966" s="9"/>
      <c r="M17966" s="9"/>
      <c r="N17966" s="9"/>
      <c r="O17966" s="9"/>
      <c r="P17966" s="9"/>
      <c r="Q17966" s="9"/>
      <c r="R17966" s="9"/>
      <c r="S17966" s="9"/>
      <c r="T17966" s="9"/>
      <c r="U17966" s="9"/>
      <c r="V17966" s="9"/>
      <c r="W17966" s="9"/>
      <c r="X17966" s="9"/>
      <c r="Y17966" s="9"/>
      <c r="Z17966" s="9"/>
      <c r="AA17966" s="9"/>
      <c r="AB17966" s="9"/>
      <c r="AC17966" s="9"/>
      <c r="AG17966" s="10"/>
    </row>
    <row r="17967" spans="1:33">
      <c r="A17967" s="9"/>
      <c r="B17967" s="9"/>
      <c r="C17967" s="9"/>
      <c r="D17967" s="9"/>
      <c r="E17967" s="9"/>
      <c r="F17967" s="9"/>
      <c r="G17967" s="9"/>
      <c r="H17967" s="9"/>
      <c r="I17967" s="9"/>
      <c r="J17967" s="9"/>
      <c r="K17967" s="9"/>
      <c r="L17967" s="9"/>
      <c r="M17967" s="9"/>
      <c r="N17967" s="9"/>
      <c r="O17967" s="9"/>
      <c r="P17967" s="9"/>
      <c r="Q17967" s="9"/>
      <c r="R17967" s="9"/>
      <c r="S17967" s="9"/>
      <c r="T17967" s="9"/>
      <c r="U17967" s="9"/>
      <c r="V17967" s="9"/>
      <c r="W17967" s="9"/>
      <c r="X17967" s="9"/>
      <c r="Y17967" s="9"/>
      <c r="Z17967" s="9"/>
      <c r="AA17967" s="9"/>
      <c r="AB17967" s="9"/>
      <c r="AC17967" s="9"/>
      <c r="AG17967" s="10"/>
    </row>
    <row r="17968" spans="1:33">
      <c r="A17968" s="9"/>
      <c r="B17968" s="9"/>
      <c r="C17968" s="9"/>
      <c r="D17968" s="9"/>
      <c r="E17968" s="9"/>
      <c r="F17968" s="9"/>
      <c r="G17968" s="9"/>
      <c r="H17968" s="9"/>
      <c r="I17968" s="9"/>
      <c r="J17968" s="9"/>
      <c r="K17968" s="9"/>
      <c r="L17968" s="9"/>
      <c r="M17968" s="9"/>
      <c r="N17968" s="9"/>
      <c r="O17968" s="9"/>
      <c r="P17968" s="9"/>
      <c r="Q17968" s="9"/>
      <c r="R17968" s="9"/>
      <c r="S17968" s="9"/>
      <c r="T17968" s="9"/>
      <c r="U17968" s="9"/>
      <c r="V17968" s="9"/>
      <c r="W17968" s="9"/>
      <c r="X17968" s="9"/>
      <c r="Y17968" s="9"/>
      <c r="Z17968" s="9"/>
      <c r="AA17968" s="9"/>
      <c r="AB17968" s="9"/>
      <c r="AC17968" s="9"/>
      <c r="AG17968" s="10"/>
    </row>
    <row r="17969" spans="1:33">
      <c r="A17969" s="9"/>
      <c r="B17969" s="9"/>
      <c r="C17969" s="9"/>
      <c r="D17969" s="9"/>
      <c r="E17969" s="9"/>
      <c r="F17969" s="9"/>
      <c r="G17969" s="9"/>
      <c r="H17969" s="9"/>
      <c r="I17969" s="9"/>
      <c r="J17969" s="9"/>
      <c r="K17969" s="9"/>
      <c r="L17969" s="9"/>
      <c r="M17969" s="9"/>
      <c r="N17969" s="9"/>
      <c r="O17969" s="9"/>
      <c r="P17969" s="9"/>
      <c r="Q17969" s="9"/>
      <c r="R17969" s="9"/>
      <c r="S17969" s="9"/>
      <c r="T17969" s="9"/>
      <c r="U17969" s="9"/>
      <c r="V17969" s="9"/>
      <c r="W17969" s="9"/>
      <c r="X17969" s="9"/>
      <c r="Y17969" s="9"/>
      <c r="Z17969" s="9"/>
      <c r="AA17969" s="9"/>
      <c r="AB17969" s="9"/>
      <c r="AC17969" s="9"/>
      <c r="AG17969" s="10"/>
    </row>
    <row r="17970" spans="1:33">
      <c r="A17970" s="9"/>
      <c r="B17970" s="9"/>
      <c r="C17970" s="9"/>
      <c r="D17970" s="9"/>
      <c r="E17970" s="9"/>
      <c r="F17970" s="9"/>
      <c r="G17970" s="9"/>
      <c r="H17970" s="9"/>
      <c r="I17970" s="9"/>
      <c r="J17970" s="9"/>
      <c r="K17970" s="9"/>
      <c r="L17970" s="9"/>
      <c r="M17970" s="9"/>
      <c r="N17970" s="9"/>
      <c r="O17970" s="9"/>
      <c r="P17970" s="9"/>
      <c r="Q17970" s="9"/>
      <c r="R17970" s="9"/>
      <c r="S17970" s="9"/>
      <c r="T17970" s="9"/>
      <c r="U17970" s="9"/>
      <c r="V17970" s="9"/>
      <c r="W17970" s="9"/>
      <c r="X17970" s="9"/>
      <c r="Y17970" s="9"/>
      <c r="Z17970" s="9"/>
      <c r="AA17970" s="9"/>
      <c r="AB17970" s="9"/>
      <c r="AC17970" s="9"/>
      <c r="AG17970" s="10"/>
    </row>
    <row r="17971" spans="1:33">
      <c r="A17971" s="9"/>
      <c r="B17971" s="9"/>
      <c r="C17971" s="9"/>
      <c r="D17971" s="9"/>
      <c r="E17971" s="9"/>
      <c r="F17971" s="9"/>
      <c r="G17971" s="9"/>
      <c r="H17971" s="9"/>
      <c r="I17971" s="9"/>
      <c r="J17971" s="9"/>
      <c r="K17971" s="9"/>
      <c r="L17971" s="9"/>
      <c r="M17971" s="9"/>
      <c r="N17971" s="9"/>
      <c r="O17971" s="9"/>
      <c r="P17971" s="9"/>
      <c r="Q17971" s="9"/>
      <c r="R17971" s="9"/>
      <c r="S17971" s="9"/>
      <c r="T17971" s="9"/>
      <c r="U17971" s="9"/>
      <c r="V17971" s="9"/>
      <c r="W17971" s="9"/>
      <c r="X17971" s="9"/>
      <c r="Y17971" s="9"/>
      <c r="Z17971" s="9"/>
      <c r="AA17971" s="9"/>
      <c r="AB17971" s="9"/>
      <c r="AC17971" s="9"/>
      <c r="AG17971" s="10"/>
    </row>
    <row r="17972" spans="1:33">
      <c r="A17972" s="9"/>
      <c r="B17972" s="9"/>
      <c r="C17972" s="9"/>
      <c r="D17972" s="9"/>
      <c r="E17972" s="9"/>
      <c r="F17972" s="9"/>
      <c r="G17972" s="9"/>
      <c r="H17972" s="9"/>
      <c r="I17972" s="9"/>
      <c r="J17972" s="9"/>
      <c r="K17972" s="9"/>
      <c r="L17972" s="9"/>
      <c r="M17972" s="9"/>
      <c r="N17972" s="9"/>
      <c r="O17972" s="9"/>
      <c r="P17972" s="9"/>
      <c r="Q17972" s="9"/>
      <c r="R17972" s="9"/>
      <c r="S17972" s="9"/>
      <c r="T17972" s="9"/>
      <c r="U17972" s="9"/>
      <c r="V17972" s="9"/>
      <c r="W17972" s="9"/>
      <c r="X17972" s="9"/>
      <c r="Y17972" s="9"/>
      <c r="Z17972" s="9"/>
      <c r="AA17972" s="9"/>
      <c r="AB17972" s="9"/>
      <c r="AC17972" s="9"/>
      <c r="AG17972" s="10"/>
    </row>
    <row r="17973" spans="1:33">
      <c r="A17973" s="9"/>
      <c r="B17973" s="9"/>
      <c r="C17973" s="9"/>
      <c r="D17973" s="9"/>
      <c r="E17973" s="9"/>
      <c r="F17973" s="9"/>
      <c r="G17973" s="9"/>
      <c r="H17973" s="9"/>
      <c r="I17973" s="9"/>
      <c r="J17973" s="9"/>
      <c r="K17973" s="9"/>
      <c r="L17973" s="9"/>
      <c r="M17973" s="9"/>
      <c r="N17973" s="9"/>
      <c r="O17973" s="9"/>
      <c r="P17973" s="9"/>
      <c r="Q17973" s="9"/>
      <c r="R17973" s="9"/>
      <c r="S17973" s="9"/>
      <c r="T17973" s="9"/>
      <c r="U17973" s="9"/>
      <c r="V17973" s="9"/>
      <c r="W17973" s="9"/>
      <c r="X17973" s="9"/>
      <c r="Y17973" s="9"/>
      <c r="Z17973" s="9"/>
      <c r="AA17973" s="9"/>
      <c r="AB17973" s="9"/>
      <c r="AC17973" s="9"/>
      <c r="AG17973" s="10"/>
    </row>
    <row r="17974" spans="1:33">
      <c r="A17974" s="9"/>
      <c r="B17974" s="9"/>
      <c r="C17974" s="9"/>
      <c r="D17974" s="9"/>
      <c r="E17974" s="9"/>
      <c r="F17974" s="9"/>
      <c r="G17974" s="9"/>
      <c r="H17974" s="9"/>
      <c r="I17974" s="9"/>
      <c r="J17974" s="9"/>
      <c r="K17974" s="9"/>
      <c r="L17974" s="9"/>
      <c r="M17974" s="9"/>
      <c r="N17974" s="9"/>
      <c r="O17974" s="9"/>
      <c r="P17974" s="9"/>
      <c r="Q17974" s="9"/>
      <c r="R17974" s="9"/>
      <c r="S17974" s="9"/>
      <c r="T17974" s="9"/>
      <c r="U17974" s="9"/>
      <c r="V17974" s="9"/>
      <c r="W17974" s="9"/>
      <c r="X17974" s="9"/>
      <c r="Y17974" s="9"/>
      <c r="Z17974" s="9"/>
      <c r="AA17974" s="9"/>
      <c r="AB17974" s="9"/>
      <c r="AC17974" s="9"/>
      <c r="AG17974" s="10"/>
    </row>
    <row r="17975" spans="1:33">
      <c r="A17975" s="9"/>
      <c r="B17975" s="9"/>
      <c r="C17975" s="9"/>
      <c r="D17975" s="9"/>
      <c r="E17975" s="9"/>
      <c r="F17975" s="9"/>
      <c r="G17975" s="9"/>
      <c r="H17975" s="9"/>
      <c r="I17975" s="9"/>
      <c r="J17975" s="9"/>
      <c r="K17975" s="9"/>
      <c r="L17975" s="9"/>
      <c r="M17975" s="9"/>
      <c r="N17975" s="9"/>
      <c r="O17975" s="9"/>
      <c r="P17975" s="9"/>
      <c r="Q17975" s="9"/>
      <c r="R17975" s="9"/>
      <c r="S17975" s="9"/>
      <c r="T17975" s="9"/>
      <c r="U17975" s="9"/>
      <c r="V17975" s="9"/>
      <c r="W17975" s="9"/>
      <c r="X17975" s="9"/>
      <c r="Y17975" s="9"/>
      <c r="Z17975" s="9"/>
      <c r="AA17975" s="9"/>
      <c r="AB17975" s="9"/>
      <c r="AC17975" s="9"/>
      <c r="AG17975" s="10"/>
    </row>
    <row r="17976" spans="1:33">
      <c r="A17976" s="9"/>
      <c r="B17976" s="9"/>
      <c r="C17976" s="9"/>
      <c r="D17976" s="9"/>
      <c r="E17976" s="9"/>
      <c r="F17976" s="9"/>
      <c r="G17976" s="9"/>
      <c r="H17976" s="9"/>
      <c r="I17976" s="9"/>
      <c r="J17976" s="9"/>
      <c r="K17976" s="9"/>
      <c r="L17976" s="9"/>
      <c r="M17976" s="9"/>
      <c r="N17976" s="9"/>
      <c r="O17976" s="9"/>
      <c r="P17976" s="9"/>
      <c r="Q17976" s="9"/>
      <c r="R17976" s="9"/>
      <c r="S17976" s="9"/>
      <c r="T17976" s="9"/>
      <c r="U17976" s="9"/>
      <c r="V17976" s="9"/>
      <c r="W17976" s="9"/>
      <c r="X17976" s="9"/>
      <c r="Y17976" s="9"/>
      <c r="Z17976" s="9"/>
      <c r="AA17976" s="9"/>
      <c r="AB17976" s="9"/>
      <c r="AC17976" s="9"/>
      <c r="AG17976" s="10"/>
    </row>
    <row r="17977" spans="1:33">
      <c r="A17977" s="9"/>
      <c r="B17977" s="9"/>
      <c r="C17977" s="9"/>
      <c r="D17977" s="9"/>
      <c r="E17977" s="9"/>
      <c r="F17977" s="9"/>
      <c r="G17977" s="9"/>
      <c r="H17977" s="9"/>
      <c r="I17977" s="9"/>
      <c r="J17977" s="9"/>
      <c r="K17977" s="9"/>
      <c r="L17977" s="9"/>
      <c r="M17977" s="9"/>
      <c r="N17977" s="9"/>
      <c r="O17977" s="9"/>
      <c r="P17977" s="9"/>
      <c r="Q17977" s="9"/>
      <c r="R17977" s="9"/>
      <c r="S17977" s="9"/>
      <c r="T17977" s="9"/>
      <c r="U17977" s="9"/>
      <c r="V17977" s="9"/>
      <c r="W17977" s="9"/>
      <c r="X17977" s="9"/>
      <c r="Y17977" s="9"/>
      <c r="Z17977" s="9"/>
      <c r="AA17977" s="9"/>
      <c r="AB17977" s="9"/>
      <c r="AC17977" s="9"/>
      <c r="AG17977" s="10"/>
    </row>
    <row r="17978" spans="1:33">
      <c r="A17978" s="9"/>
      <c r="B17978" s="9"/>
      <c r="C17978" s="9"/>
      <c r="D17978" s="9"/>
      <c r="E17978" s="9"/>
      <c r="F17978" s="9"/>
      <c r="G17978" s="9"/>
      <c r="H17978" s="9"/>
      <c r="I17978" s="9"/>
      <c r="J17978" s="9"/>
      <c r="K17978" s="9"/>
      <c r="L17978" s="9"/>
      <c r="M17978" s="9"/>
      <c r="N17978" s="9"/>
      <c r="O17978" s="9"/>
      <c r="P17978" s="9"/>
      <c r="Q17978" s="9"/>
      <c r="R17978" s="9"/>
      <c r="S17978" s="9"/>
      <c r="T17978" s="9"/>
      <c r="U17978" s="9"/>
      <c r="V17978" s="9"/>
      <c r="W17978" s="9"/>
      <c r="X17978" s="9"/>
      <c r="Y17978" s="9"/>
      <c r="Z17978" s="9"/>
      <c r="AA17978" s="9"/>
      <c r="AB17978" s="9"/>
      <c r="AC17978" s="9"/>
      <c r="AG17978" s="10"/>
    </row>
    <row r="17979" spans="1:33">
      <c r="A17979" s="9"/>
      <c r="B17979" s="9"/>
      <c r="C17979" s="9"/>
      <c r="D17979" s="9"/>
      <c r="E17979" s="9"/>
      <c r="F17979" s="9"/>
      <c r="G17979" s="9"/>
      <c r="H17979" s="9"/>
      <c r="I17979" s="9"/>
      <c r="J17979" s="9"/>
      <c r="K17979" s="9"/>
      <c r="L17979" s="9"/>
      <c r="M17979" s="9"/>
      <c r="N17979" s="9"/>
      <c r="O17979" s="9"/>
      <c r="P17979" s="9"/>
      <c r="Q17979" s="9"/>
      <c r="R17979" s="9"/>
      <c r="S17979" s="9"/>
      <c r="T17979" s="9"/>
      <c r="U17979" s="9"/>
      <c r="V17979" s="9"/>
      <c r="W17979" s="9"/>
      <c r="X17979" s="9"/>
      <c r="Y17979" s="9"/>
      <c r="Z17979" s="9"/>
      <c r="AA17979" s="9"/>
      <c r="AB17979" s="9"/>
      <c r="AC17979" s="9"/>
      <c r="AG17979" s="10"/>
    </row>
    <row r="17980" spans="1:33">
      <c r="A17980" s="9"/>
      <c r="B17980" s="9"/>
      <c r="C17980" s="9"/>
      <c r="D17980" s="9"/>
      <c r="E17980" s="9"/>
      <c r="F17980" s="9"/>
      <c r="G17980" s="9"/>
      <c r="H17980" s="9"/>
      <c r="I17980" s="9"/>
      <c r="J17980" s="9"/>
      <c r="K17980" s="9"/>
      <c r="L17980" s="9"/>
      <c r="M17980" s="9"/>
      <c r="N17980" s="9"/>
      <c r="O17980" s="9"/>
      <c r="P17980" s="9"/>
      <c r="Q17980" s="9"/>
      <c r="R17980" s="9"/>
      <c r="S17980" s="9"/>
      <c r="T17980" s="9"/>
      <c r="U17980" s="9"/>
      <c r="V17980" s="9"/>
      <c r="W17980" s="9"/>
      <c r="X17980" s="9"/>
      <c r="Y17980" s="9"/>
      <c r="Z17980" s="9"/>
      <c r="AA17980" s="9"/>
      <c r="AB17980" s="9"/>
      <c r="AC17980" s="9"/>
      <c r="AG17980" s="10"/>
    </row>
    <row r="17981" spans="1:33">
      <c r="A17981" s="9"/>
      <c r="B17981" s="9"/>
      <c r="C17981" s="9"/>
      <c r="D17981" s="9"/>
      <c r="E17981" s="9"/>
      <c r="F17981" s="9"/>
      <c r="G17981" s="9"/>
      <c r="H17981" s="9"/>
      <c r="I17981" s="9"/>
      <c r="J17981" s="9"/>
      <c r="K17981" s="9"/>
      <c r="L17981" s="9"/>
      <c r="M17981" s="9"/>
      <c r="N17981" s="9"/>
      <c r="O17981" s="9"/>
      <c r="P17981" s="9"/>
      <c r="Q17981" s="9"/>
      <c r="R17981" s="9"/>
      <c r="S17981" s="9"/>
      <c r="T17981" s="9"/>
      <c r="U17981" s="9"/>
      <c r="V17981" s="9"/>
      <c r="W17981" s="9"/>
      <c r="X17981" s="9"/>
      <c r="Y17981" s="9"/>
      <c r="Z17981" s="9"/>
      <c r="AA17981" s="9"/>
      <c r="AB17981" s="9"/>
      <c r="AC17981" s="9"/>
      <c r="AG17981" s="10"/>
    </row>
    <row r="17982" spans="1:33">
      <c r="A17982" s="9"/>
      <c r="B17982" s="9"/>
      <c r="C17982" s="9"/>
      <c r="D17982" s="9"/>
      <c r="E17982" s="9"/>
      <c r="F17982" s="9"/>
      <c r="G17982" s="9"/>
      <c r="H17982" s="9"/>
      <c r="I17982" s="9"/>
      <c r="J17982" s="9"/>
      <c r="K17982" s="9"/>
      <c r="L17982" s="9"/>
      <c r="M17982" s="9"/>
      <c r="N17982" s="9"/>
      <c r="O17982" s="9"/>
      <c r="P17982" s="9"/>
      <c r="Q17982" s="9"/>
      <c r="R17982" s="9"/>
      <c r="S17982" s="9"/>
      <c r="T17982" s="9"/>
      <c r="U17982" s="9"/>
      <c r="V17982" s="9"/>
      <c r="W17982" s="9"/>
      <c r="X17982" s="9"/>
      <c r="Y17982" s="9"/>
      <c r="Z17982" s="9"/>
      <c r="AA17982" s="9"/>
      <c r="AB17982" s="9"/>
      <c r="AC17982" s="9"/>
      <c r="AG17982" s="10"/>
    </row>
    <row r="17983" spans="1:33">
      <c r="A17983" s="9"/>
      <c r="B17983" s="9"/>
      <c r="C17983" s="9"/>
      <c r="D17983" s="9"/>
      <c r="E17983" s="9"/>
      <c r="F17983" s="9"/>
      <c r="G17983" s="9"/>
      <c r="H17983" s="9"/>
      <c r="I17983" s="9"/>
      <c r="J17983" s="9"/>
      <c r="K17983" s="9"/>
      <c r="L17983" s="9"/>
      <c r="M17983" s="9"/>
      <c r="N17983" s="9"/>
      <c r="O17983" s="9"/>
      <c r="P17983" s="9"/>
      <c r="Q17983" s="9"/>
      <c r="R17983" s="9"/>
      <c r="S17983" s="9"/>
      <c r="T17983" s="9"/>
      <c r="U17983" s="9"/>
      <c r="V17983" s="9"/>
      <c r="W17983" s="9"/>
      <c r="X17983" s="9"/>
      <c r="Y17983" s="9"/>
      <c r="Z17983" s="9"/>
      <c r="AA17983" s="9"/>
      <c r="AB17983" s="9"/>
      <c r="AC17983" s="9"/>
      <c r="AG17983" s="10"/>
    </row>
    <row r="17984" spans="1:33">
      <c r="A17984" s="9"/>
      <c r="B17984" s="9"/>
      <c r="C17984" s="9"/>
      <c r="D17984" s="9"/>
      <c r="E17984" s="9"/>
      <c r="F17984" s="9"/>
      <c r="G17984" s="9"/>
      <c r="H17984" s="9"/>
      <c r="I17984" s="9"/>
      <c r="J17984" s="9"/>
      <c r="K17984" s="9"/>
      <c r="L17984" s="9"/>
      <c r="M17984" s="9"/>
      <c r="N17984" s="9"/>
      <c r="O17984" s="9"/>
      <c r="P17984" s="9"/>
      <c r="Q17984" s="9"/>
      <c r="R17984" s="9"/>
      <c r="S17984" s="9"/>
      <c r="T17984" s="9"/>
      <c r="U17984" s="9"/>
      <c r="V17984" s="9"/>
      <c r="W17984" s="9"/>
      <c r="X17984" s="9"/>
      <c r="Y17984" s="9"/>
      <c r="Z17984" s="9"/>
      <c r="AA17984" s="9"/>
      <c r="AB17984" s="9"/>
      <c r="AC17984" s="9"/>
      <c r="AG17984" s="10"/>
    </row>
    <row r="17985" spans="1:33">
      <c r="A17985" s="9"/>
      <c r="B17985" s="9"/>
      <c r="C17985" s="9"/>
      <c r="D17985" s="9"/>
      <c r="E17985" s="9"/>
      <c r="F17985" s="9"/>
      <c r="G17985" s="9"/>
      <c r="H17985" s="9"/>
      <c r="I17985" s="9"/>
      <c r="J17985" s="9"/>
      <c r="K17985" s="9"/>
      <c r="L17985" s="9"/>
      <c r="M17985" s="9"/>
      <c r="N17985" s="9"/>
      <c r="O17985" s="9"/>
      <c r="P17985" s="9"/>
      <c r="Q17985" s="9"/>
      <c r="R17985" s="9"/>
      <c r="S17985" s="9"/>
      <c r="T17985" s="9"/>
      <c r="U17985" s="9"/>
      <c r="V17985" s="9"/>
      <c r="W17985" s="9"/>
      <c r="X17985" s="9"/>
      <c r="Y17985" s="9"/>
      <c r="Z17985" s="9"/>
      <c r="AA17985" s="9"/>
      <c r="AB17985" s="9"/>
      <c r="AC17985" s="9"/>
      <c r="AG17985" s="10"/>
    </row>
    <row r="17986" spans="1:33">
      <c r="A17986" s="9"/>
      <c r="B17986" s="9"/>
      <c r="C17986" s="9"/>
      <c r="D17986" s="9"/>
      <c r="E17986" s="9"/>
      <c r="F17986" s="9"/>
      <c r="G17986" s="9"/>
      <c r="H17986" s="9"/>
      <c r="I17986" s="9"/>
      <c r="J17986" s="9"/>
      <c r="K17986" s="9"/>
      <c r="L17986" s="9"/>
      <c r="M17986" s="9"/>
      <c r="N17986" s="9"/>
      <c r="O17986" s="9"/>
      <c r="P17986" s="9"/>
      <c r="Q17986" s="9"/>
      <c r="R17986" s="9"/>
      <c r="S17986" s="9"/>
      <c r="T17986" s="9"/>
      <c r="U17986" s="9"/>
      <c r="V17986" s="9"/>
      <c r="W17986" s="9"/>
      <c r="X17986" s="9"/>
      <c r="Y17986" s="9"/>
      <c r="Z17986" s="9"/>
      <c r="AA17986" s="9"/>
      <c r="AB17986" s="9"/>
      <c r="AC17986" s="9"/>
      <c r="AG17986" s="10"/>
    </row>
    <row r="17987" spans="1:33">
      <c r="A17987" s="9"/>
      <c r="B17987" s="9"/>
      <c r="C17987" s="9"/>
      <c r="D17987" s="9"/>
      <c r="E17987" s="9"/>
      <c r="F17987" s="9"/>
      <c r="G17987" s="9"/>
      <c r="H17987" s="9"/>
      <c r="I17987" s="9"/>
      <c r="J17987" s="9"/>
      <c r="K17987" s="9"/>
      <c r="L17987" s="9"/>
      <c r="M17987" s="9"/>
      <c r="N17987" s="9"/>
      <c r="O17987" s="9"/>
      <c r="P17987" s="9"/>
      <c r="Q17987" s="9"/>
      <c r="R17987" s="9"/>
      <c r="S17987" s="9"/>
      <c r="T17987" s="9"/>
      <c r="U17987" s="9"/>
      <c r="V17987" s="9"/>
      <c r="W17987" s="9"/>
      <c r="X17987" s="9"/>
      <c r="Y17987" s="9"/>
      <c r="Z17987" s="9"/>
      <c r="AA17987" s="9"/>
      <c r="AB17987" s="9"/>
      <c r="AC17987" s="9"/>
      <c r="AG17987" s="10"/>
    </row>
    <row r="17988" spans="1:33">
      <c r="A17988" s="9"/>
      <c r="B17988" s="9"/>
      <c r="C17988" s="9"/>
      <c r="D17988" s="9"/>
      <c r="E17988" s="9"/>
      <c r="F17988" s="9"/>
      <c r="G17988" s="9"/>
      <c r="H17988" s="9"/>
      <c r="I17988" s="9"/>
      <c r="J17988" s="9"/>
      <c r="K17988" s="9"/>
      <c r="L17988" s="9"/>
      <c r="M17988" s="9"/>
      <c r="N17988" s="9"/>
      <c r="O17988" s="9"/>
      <c r="P17988" s="9"/>
      <c r="Q17988" s="9"/>
      <c r="R17988" s="9"/>
      <c r="S17988" s="9"/>
      <c r="T17988" s="9"/>
      <c r="U17988" s="9"/>
      <c r="V17988" s="9"/>
      <c r="W17988" s="9"/>
      <c r="X17988" s="9"/>
      <c r="Y17988" s="9"/>
      <c r="Z17988" s="9"/>
      <c r="AA17988" s="9"/>
      <c r="AB17988" s="9"/>
      <c r="AC17988" s="9"/>
      <c r="AG17988" s="10"/>
    </row>
    <row r="17989" spans="1:33">
      <c r="A17989" s="9"/>
      <c r="B17989" s="9"/>
      <c r="C17989" s="9"/>
      <c r="D17989" s="9"/>
      <c r="E17989" s="9"/>
      <c r="F17989" s="9"/>
      <c r="G17989" s="9"/>
      <c r="H17989" s="9"/>
      <c r="I17989" s="9"/>
      <c r="J17989" s="9"/>
      <c r="K17989" s="9"/>
      <c r="L17989" s="9"/>
      <c r="M17989" s="9"/>
      <c r="N17989" s="9"/>
      <c r="O17989" s="9"/>
      <c r="P17989" s="9"/>
      <c r="Q17989" s="9"/>
      <c r="R17989" s="9"/>
      <c r="S17989" s="9"/>
      <c r="T17989" s="9"/>
      <c r="U17989" s="9"/>
      <c r="V17989" s="9"/>
      <c r="W17989" s="9"/>
      <c r="X17989" s="9"/>
      <c r="Y17989" s="9"/>
      <c r="Z17989" s="9"/>
      <c r="AA17989" s="9"/>
      <c r="AB17989" s="9"/>
      <c r="AC17989" s="9"/>
      <c r="AG17989" s="10"/>
    </row>
    <row r="17990" spans="1:33">
      <c r="A17990" s="9"/>
      <c r="B17990" s="9"/>
      <c r="C17990" s="9"/>
      <c r="D17990" s="9"/>
      <c r="E17990" s="9"/>
      <c r="F17990" s="9"/>
      <c r="G17990" s="9"/>
      <c r="H17990" s="9"/>
      <c r="I17990" s="9"/>
      <c r="J17990" s="9"/>
      <c r="K17990" s="9"/>
      <c r="L17990" s="9"/>
      <c r="M17990" s="9"/>
      <c r="N17990" s="9"/>
      <c r="O17990" s="9"/>
      <c r="P17990" s="9"/>
      <c r="Q17990" s="9"/>
      <c r="R17990" s="9"/>
      <c r="S17990" s="9"/>
      <c r="T17990" s="9"/>
      <c r="U17990" s="9"/>
      <c r="V17990" s="9"/>
      <c r="W17990" s="9"/>
      <c r="X17990" s="9"/>
      <c r="Y17990" s="9"/>
      <c r="Z17990" s="9"/>
      <c r="AA17990" s="9"/>
      <c r="AB17990" s="9"/>
      <c r="AC17990" s="9"/>
      <c r="AG17990" s="10"/>
    </row>
    <row r="17991" spans="1:33">
      <c r="A17991" s="9"/>
      <c r="B17991" s="9"/>
      <c r="C17991" s="9"/>
      <c r="D17991" s="9"/>
      <c r="E17991" s="9"/>
      <c r="F17991" s="9"/>
      <c r="G17991" s="9"/>
      <c r="H17991" s="9"/>
      <c r="I17991" s="9"/>
      <c r="J17991" s="9"/>
      <c r="K17991" s="9"/>
      <c r="L17991" s="9"/>
      <c r="M17991" s="9"/>
      <c r="N17991" s="9"/>
      <c r="O17991" s="9"/>
      <c r="P17991" s="9"/>
      <c r="Q17991" s="9"/>
      <c r="R17991" s="9"/>
      <c r="S17991" s="9"/>
      <c r="T17991" s="9"/>
      <c r="U17991" s="9"/>
      <c r="V17991" s="9"/>
      <c r="W17991" s="9"/>
      <c r="X17991" s="9"/>
      <c r="Y17991" s="9"/>
      <c r="Z17991" s="9"/>
      <c r="AA17991" s="9"/>
      <c r="AB17991" s="9"/>
      <c r="AC17991" s="9"/>
      <c r="AG17991" s="10"/>
    </row>
    <row r="17992" spans="1:33">
      <c r="A17992" s="9"/>
      <c r="B17992" s="9"/>
      <c r="C17992" s="9"/>
      <c r="D17992" s="9"/>
      <c r="E17992" s="9"/>
      <c r="F17992" s="9"/>
      <c r="G17992" s="9"/>
      <c r="H17992" s="9"/>
      <c r="I17992" s="9"/>
      <c r="J17992" s="9"/>
      <c r="K17992" s="9"/>
      <c r="L17992" s="9"/>
      <c r="M17992" s="9"/>
      <c r="N17992" s="9"/>
      <c r="O17992" s="9"/>
      <c r="P17992" s="9"/>
      <c r="Q17992" s="9"/>
      <c r="R17992" s="9"/>
      <c r="S17992" s="9"/>
      <c r="T17992" s="9"/>
      <c r="U17992" s="9"/>
      <c r="V17992" s="9"/>
      <c r="W17992" s="9"/>
      <c r="X17992" s="9"/>
      <c r="Y17992" s="9"/>
      <c r="Z17992" s="9"/>
      <c r="AA17992" s="9"/>
      <c r="AB17992" s="9"/>
      <c r="AC17992" s="9"/>
      <c r="AG17992" s="10"/>
    </row>
    <row r="17993" spans="1:33">
      <c r="A17993" s="9"/>
      <c r="B17993" s="9"/>
      <c r="C17993" s="9"/>
      <c r="D17993" s="9"/>
      <c r="E17993" s="9"/>
      <c r="F17993" s="9"/>
      <c r="G17993" s="9"/>
      <c r="H17993" s="9"/>
      <c r="I17993" s="9"/>
      <c r="J17993" s="9"/>
      <c r="K17993" s="9"/>
      <c r="L17993" s="9"/>
      <c r="M17993" s="9"/>
      <c r="N17993" s="9"/>
      <c r="O17993" s="9"/>
      <c r="P17993" s="9"/>
      <c r="Q17993" s="9"/>
      <c r="R17993" s="9"/>
      <c r="S17993" s="9"/>
      <c r="T17993" s="9"/>
      <c r="U17993" s="9"/>
      <c r="V17993" s="9"/>
      <c r="W17993" s="9"/>
      <c r="X17993" s="9"/>
      <c r="Y17993" s="9"/>
      <c r="Z17993" s="9"/>
      <c r="AA17993" s="9"/>
      <c r="AB17993" s="9"/>
      <c r="AC17993" s="9"/>
      <c r="AG17993" s="10"/>
    </row>
    <row r="17994" spans="1:33">
      <c r="A17994" s="9"/>
      <c r="B17994" s="9"/>
      <c r="C17994" s="9"/>
      <c r="D17994" s="9"/>
      <c r="E17994" s="9"/>
      <c r="F17994" s="9"/>
      <c r="G17994" s="9"/>
      <c r="H17994" s="9"/>
      <c r="I17994" s="9"/>
      <c r="J17994" s="9"/>
      <c r="K17994" s="9"/>
      <c r="L17994" s="9"/>
      <c r="M17994" s="9"/>
      <c r="N17994" s="9"/>
      <c r="O17994" s="9"/>
      <c r="P17994" s="9"/>
      <c r="Q17994" s="9"/>
      <c r="R17994" s="9"/>
      <c r="S17994" s="9"/>
      <c r="T17994" s="9"/>
      <c r="U17994" s="9"/>
      <c r="V17994" s="9"/>
      <c r="W17994" s="9"/>
      <c r="X17994" s="9"/>
      <c r="Y17994" s="9"/>
      <c r="Z17994" s="9"/>
      <c r="AA17994" s="9"/>
      <c r="AB17994" s="9"/>
      <c r="AC17994" s="9"/>
      <c r="AG17994" s="10"/>
    </row>
    <row r="17995" spans="1:33">
      <c r="A17995" s="9"/>
      <c r="B17995" s="9"/>
      <c r="C17995" s="9"/>
      <c r="D17995" s="9"/>
      <c r="E17995" s="9"/>
      <c r="F17995" s="9"/>
      <c r="G17995" s="9"/>
      <c r="H17995" s="9"/>
      <c r="I17995" s="9"/>
      <c r="J17995" s="9"/>
      <c r="K17995" s="9"/>
      <c r="L17995" s="9"/>
      <c r="M17995" s="9"/>
      <c r="N17995" s="9"/>
      <c r="O17995" s="9"/>
      <c r="P17995" s="9"/>
      <c r="Q17995" s="9"/>
      <c r="R17995" s="9"/>
      <c r="S17995" s="9"/>
      <c r="T17995" s="9"/>
      <c r="U17995" s="9"/>
      <c r="V17995" s="9"/>
      <c r="W17995" s="9"/>
      <c r="X17995" s="9"/>
      <c r="Y17995" s="9"/>
      <c r="Z17995" s="9"/>
      <c r="AA17995" s="9"/>
      <c r="AB17995" s="9"/>
      <c r="AC17995" s="9"/>
      <c r="AG17995" s="10"/>
    </row>
    <row r="17996" spans="1:33">
      <c r="A17996" s="9"/>
      <c r="B17996" s="9"/>
      <c r="C17996" s="9"/>
      <c r="D17996" s="9"/>
      <c r="E17996" s="9"/>
      <c r="F17996" s="9"/>
      <c r="G17996" s="9"/>
      <c r="H17996" s="9"/>
      <c r="I17996" s="9"/>
      <c r="J17996" s="9"/>
      <c r="K17996" s="9"/>
      <c r="L17996" s="9"/>
      <c r="M17996" s="9"/>
      <c r="N17996" s="9"/>
      <c r="O17996" s="9"/>
      <c r="P17996" s="9"/>
      <c r="Q17996" s="9"/>
      <c r="R17996" s="9"/>
      <c r="S17996" s="9"/>
      <c r="T17996" s="9"/>
      <c r="U17996" s="9"/>
      <c r="V17996" s="9"/>
      <c r="W17996" s="9"/>
      <c r="X17996" s="9"/>
      <c r="Y17996" s="9"/>
      <c r="Z17996" s="9"/>
      <c r="AA17996" s="9"/>
      <c r="AB17996" s="9"/>
      <c r="AC17996" s="9"/>
      <c r="AG17996" s="10"/>
    </row>
    <row r="17997" spans="1:33">
      <c r="A17997" s="9"/>
      <c r="B17997" s="9"/>
      <c r="C17997" s="9"/>
      <c r="D17997" s="9"/>
      <c r="E17997" s="9"/>
      <c r="F17997" s="9"/>
      <c r="G17997" s="9"/>
      <c r="H17997" s="9"/>
      <c r="I17997" s="9"/>
      <c r="J17997" s="9"/>
      <c r="K17997" s="9"/>
      <c r="L17997" s="9"/>
      <c r="M17997" s="9"/>
      <c r="N17997" s="9"/>
      <c r="O17997" s="9"/>
      <c r="P17997" s="9"/>
      <c r="Q17997" s="9"/>
      <c r="R17997" s="9"/>
      <c r="S17997" s="9"/>
      <c r="T17997" s="9"/>
      <c r="U17997" s="9"/>
      <c r="V17997" s="9"/>
      <c r="W17997" s="9"/>
      <c r="X17997" s="9"/>
      <c r="Y17997" s="9"/>
      <c r="Z17997" s="9"/>
      <c r="AA17997" s="9"/>
      <c r="AB17997" s="9"/>
      <c r="AC17997" s="9"/>
      <c r="AG17997" s="10"/>
    </row>
    <row r="17998" spans="1:33">
      <c r="A17998" s="9"/>
      <c r="B17998" s="9"/>
      <c r="C17998" s="9"/>
      <c r="D17998" s="9"/>
      <c r="E17998" s="9"/>
      <c r="F17998" s="9"/>
      <c r="G17998" s="9"/>
      <c r="H17998" s="9"/>
      <c r="I17998" s="9"/>
      <c r="J17998" s="9"/>
      <c r="K17998" s="9"/>
      <c r="L17998" s="9"/>
      <c r="M17998" s="9"/>
      <c r="N17998" s="9"/>
      <c r="O17998" s="9"/>
      <c r="P17998" s="9"/>
      <c r="Q17998" s="9"/>
      <c r="R17998" s="9"/>
      <c r="S17998" s="9"/>
      <c r="T17998" s="9"/>
      <c r="U17998" s="9"/>
      <c r="V17998" s="9"/>
      <c r="W17998" s="9"/>
      <c r="X17998" s="9"/>
      <c r="Y17998" s="9"/>
      <c r="Z17998" s="9"/>
      <c r="AA17998" s="9"/>
      <c r="AB17998" s="9"/>
      <c r="AC17998" s="9"/>
      <c r="AG17998" s="10"/>
    </row>
    <row r="17999" spans="1:33">
      <c r="A17999" s="9"/>
      <c r="B17999" s="9"/>
      <c r="C17999" s="9"/>
      <c r="D17999" s="9"/>
      <c r="E17999" s="9"/>
      <c r="F17999" s="9"/>
      <c r="G17999" s="9"/>
      <c r="H17999" s="9"/>
      <c r="I17999" s="9"/>
      <c r="J17999" s="9"/>
      <c r="K17999" s="9"/>
      <c r="L17999" s="9"/>
      <c r="M17999" s="9"/>
      <c r="N17999" s="9"/>
      <c r="O17999" s="9"/>
      <c r="P17999" s="9"/>
      <c r="Q17999" s="9"/>
      <c r="R17999" s="9"/>
      <c r="S17999" s="9"/>
      <c r="T17999" s="9"/>
      <c r="U17999" s="9"/>
      <c r="V17999" s="9"/>
      <c r="W17999" s="9"/>
      <c r="X17999" s="9"/>
      <c r="Y17999" s="9"/>
      <c r="Z17999" s="9"/>
      <c r="AA17999" s="9"/>
      <c r="AB17999" s="9"/>
      <c r="AC17999" s="9"/>
      <c r="AG17999" s="10"/>
    </row>
    <row r="18000" spans="1:33">
      <c r="A18000" s="9"/>
      <c r="B18000" s="9"/>
      <c r="C18000" s="9"/>
      <c r="D18000" s="9"/>
      <c r="E18000" s="9"/>
      <c r="F18000" s="9"/>
      <c r="G18000" s="9"/>
      <c r="H18000" s="9"/>
      <c r="I18000" s="9"/>
      <c r="J18000" s="9"/>
      <c r="K18000" s="9"/>
      <c r="L18000" s="9"/>
      <c r="M18000" s="9"/>
      <c r="N18000" s="9"/>
      <c r="O18000" s="9"/>
      <c r="P18000" s="9"/>
      <c r="Q18000" s="9"/>
      <c r="R18000" s="9"/>
      <c r="S18000" s="9"/>
      <c r="T18000" s="9"/>
      <c r="U18000" s="9"/>
      <c r="V18000" s="9"/>
      <c r="W18000" s="9"/>
      <c r="X18000" s="9"/>
      <c r="Y18000" s="9"/>
      <c r="Z18000" s="9"/>
      <c r="AA18000" s="9"/>
      <c r="AB18000" s="9"/>
      <c r="AC18000" s="9"/>
      <c r="AG18000" s="10"/>
    </row>
    <row r="18001" spans="1:33">
      <c r="A18001" s="9"/>
      <c r="B18001" s="9"/>
      <c r="C18001" s="9"/>
      <c r="D18001" s="9"/>
      <c r="E18001" s="9"/>
      <c r="F18001" s="9"/>
      <c r="G18001" s="9"/>
      <c r="H18001" s="9"/>
      <c r="I18001" s="9"/>
      <c r="J18001" s="9"/>
      <c r="K18001" s="9"/>
      <c r="L18001" s="9"/>
      <c r="M18001" s="9"/>
      <c r="N18001" s="9"/>
      <c r="O18001" s="9"/>
      <c r="P18001" s="9"/>
      <c r="Q18001" s="9"/>
      <c r="R18001" s="9"/>
      <c r="S18001" s="9"/>
      <c r="T18001" s="9"/>
      <c r="U18001" s="9"/>
      <c r="V18001" s="9"/>
      <c r="W18001" s="9"/>
      <c r="X18001" s="9"/>
      <c r="Y18001" s="9"/>
      <c r="Z18001" s="9"/>
      <c r="AA18001" s="9"/>
      <c r="AB18001" s="9"/>
      <c r="AC18001" s="9"/>
      <c r="AG18001" s="10"/>
    </row>
    <row r="18002" spans="1:33">
      <c r="A18002" s="9"/>
      <c r="B18002" s="9"/>
      <c r="C18002" s="9"/>
      <c r="D18002" s="9"/>
      <c r="E18002" s="9"/>
      <c r="F18002" s="9"/>
      <c r="G18002" s="9"/>
      <c r="H18002" s="9"/>
      <c r="I18002" s="9"/>
      <c r="J18002" s="9"/>
      <c r="K18002" s="9"/>
      <c r="L18002" s="9"/>
      <c r="M18002" s="9"/>
      <c r="N18002" s="9"/>
      <c r="O18002" s="9"/>
      <c r="P18002" s="9"/>
      <c r="Q18002" s="9"/>
      <c r="R18002" s="9"/>
      <c r="S18002" s="9"/>
      <c r="T18002" s="9"/>
      <c r="U18002" s="9"/>
      <c r="V18002" s="9"/>
      <c r="W18002" s="9"/>
      <c r="X18002" s="9"/>
      <c r="Y18002" s="9"/>
      <c r="Z18002" s="9"/>
      <c r="AA18002" s="9"/>
      <c r="AB18002" s="9"/>
      <c r="AC18002" s="9"/>
      <c r="AG18002" s="10"/>
    </row>
    <row r="18003" spans="1:33">
      <c r="A18003" s="9"/>
      <c r="B18003" s="9"/>
      <c r="C18003" s="9"/>
      <c r="D18003" s="9"/>
      <c r="E18003" s="9"/>
      <c r="F18003" s="9"/>
      <c r="G18003" s="9"/>
      <c r="H18003" s="9"/>
      <c r="I18003" s="9"/>
      <c r="J18003" s="9"/>
      <c r="K18003" s="9"/>
      <c r="L18003" s="9"/>
      <c r="M18003" s="9"/>
      <c r="N18003" s="9"/>
      <c r="O18003" s="9"/>
      <c r="P18003" s="9"/>
      <c r="Q18003" s="9"/>
      <c r="R18003" s="9"/>
      <c r="S18003" s="9"/>
      <c r="T18003" s="9"/>
      <c r="U18003" s="9"/>
      <c r="V18003" s="9"/>
      <c r="W18003" s="9"/>
      <c r="X18003" s="9"/>
      <c r="Y18003" s="9"/>
      <c r="Z18003" s="9"/>
      <c r="AA18003" s="9"/>
      <c r="AB18003" s="9"/>
      <c r="AC18003" s="9"/>
      <c r="AG18003" s="10"/>
    </row>
    <row r="18004" spans="1:33">
      <c r="A18004" s="9"/>
      <c r="B18004" s="9"/>
      <c r="C18004" s="9"/>
      <c r="D18004" s="9"/>
      <c r="E18004" s="9"/>
      <c r="F18004" s="9"/>
      <c r="G18004" s="9"/>
      <c r="H18004" s="9"/>
      <c r="I18004" s="9"/>
      <c r="J18004" s="9"/>
      <c r="K18004" s="9"/>
      <c r="L18004" s="9"/>
      <c r="M18004" s="9"/>
      <c r="N18004" s="9"/>
      <c r="O18004" s="9"/>
      <c r="P18004" s="9"/>
      <c r="Q18004" s="9"/>
      <c r="R18004" s="9"/>
      <c r="S18004" s="9"/>
      <c r="T18004" s="9"/>
      <c r="U18004" s="9"/>
      <c r="V18004" s="9"/>
      <c r="W18004" s="9"/>
      <c r="X18004" s="9"/>
      <c r="Y18004" s="9"/>
      <c r="Z18004" s="9"/>
      <c r="AA18004" s="9"/>
      <c r="AB18004" s="9"/>
      <c r="AC18004" s="9"/>
      <c r="AG18004" s="10"/>
    </row>
    <row r="18005" spans="1:33">
      <c r="A18005" s="9"/>
      <c r="B18005" s="9"/>
      <c r="C18005" s="9"/>
      <c r="D18005" s="9"/>
      <c r="E18005" s="9"/>
      <c r="F18005" s="9"/>
      <c r="G18005" s="9"/>
      <c r="H18005" s="9"/>
      <c r="I18005" s="9"/>
      <c r="J18005" s="9"/>
      <c r="K18005" s="9"/>
      <c r="L18005" s="9"/>
      <c r="M18005" s="9"/>
      <c r="N18005" s="9"/>
      <c r="O18005" s="9"/>
      <c r="P18005" s="9"/>
      <c r="Q18005" s="9"/>
      <c r="R18005" s="9"/>
      <c r="S18005" s="9"/>
      <c r="T18005" s="9"/>
      <c r="U18005" s="9"/>
      <c r="V18005" s="9"/>
      <c r="W18005" s="9"/>
      <c r="X18005" s="9"/>
      <c r="Y18005" s="9"/>
      <c r="Z18005" s="9"/>
      <c r="AA18005" s="9"/>
      <c r="AB18005" s="9"/>
      <c r="AC18005" s="9"/>
      <c r="AG18005" s="10"/>
    </row>
    <row r="18006" spans="1:33">
      <c r="A18006" s="9"/>
      <c r="B18006" s="9"/>
      <c r="C18006" s="9"/>
      <c r="D18006" s="9"/>
      <c r="E18006" s="9"/>
      <c r="F18006" s="9"/>
      <c r="G18006" s="9"/>
      <c r="H18006" s="9"/>
      <c r="I18006" s="9"/>
      <c r="J18006" s="9"/>
      <c r="K18006" s="9"/>
      <c r="L18006" s="9"/>
      <c r="M18006" s="9"/>
      <c r="N18006" s="9"/>
      <c r="O18006" s="9"/>
      <c r="P18006" s="9"/>
      <c r="Q18006" s="9"/>
      <c r="R18006" s="9"/>
      <c r="S18006" s="9"/>
      <c r="T18006" s="9"/>
      <c r="U18006" s="9"/>
      <c r="V18006" s="9"/>
      <c r="W18006" s="9"/>
      <c r="X18006" s="9"/>
      <c r="Y18006" s="9"/>
      <c r="Z18006" s="9"/>
      <c r="AA18006" s="9"/>
      <c r="AB18006" s="9"/>
      <c r="AC18006" s="9"/>
      <c r="AG18006" s="10"/>
    </row>
    <row r="18007" spans="1:33">
      <c r="A18007" s="9"/>
      <c r="B18007" s="9"/>
      <c r="C18007" s="9"/>
      <c r="D18007" s="9"/>
      <c r="E18007" s="9"/>
      <c r="F18007" s="9"/>
      <c r="G18007" s="9"/>
      <c r="H18007" s="9"/>
      <c r="I18007" s="9"/>
      <c r="J18007" s="9"/>
      <c r="K18007" s="9"/>
      <c r="L18007" s="9"/>
      <c r="M18007" s="9"/>
      <c r="N18007" s="9"/>
      <c r="O18007" s="9"/>
      <c r="P18007" s="9"/>
      <c r="Q18007" s="9"/>
      <c r="R18007" s="9"/>
      <c r="S18007" s="9"/>
      <c r="T18007" s="9"/>
      <c r="U18007" s="9"/>
      <c r="V18007" s="9"/>
      <c r="W18007" s="9"/>
      <c r="X18007" s="9"/>
      <c r="Y18007" s="9"/>
      <c r="Z18007" s="9"/>
      <c r="AA18007" s="9"/>
      <c r="AB18007" s="9"/>
      <c r="AC18007" s="9"/>
      <c r="AG18007" s="10"/>
    </row>
    <row r="18008" spans="1:33">
      <c r="A18008" s="9"/>
      <c r="B18008" s="9"/>
      <c r="C18008" s="9"/>
      <c r="D18008" s="9"/>
      <c r="E18008" s="9"/>
      <c r="F18008" s="9"/>
      <c r="G18008" s="9"/>
      <c r="H18008" s="9"/>
      <c r="I18008" s="9"/>
      <c r="J18008" s="9"/>
      <c r="K18008" s="9"/>
      <c r="L18008" s="9"/>
      <c r="M18008" s="9"/>
      <c r="N18008" s="9"/>
      <c r="O18008" s="9"/>
      <c r="P18008" s="9"/>
      <c r="Q18008" s="9"/>
      <c r="R18008" s="9"/>
      <c r="S18008" s="9"/>
      <c r="T18008" s="9"/>
      <c r="U18008" s="9"/>
      <c r="V18008" s="9"/>
      <c r="W18008" s="9"/>
      <c r="X18008" s="9"/>
      <c r="Y18008" s="9"/>
      <c r="Z18008" s="9"/>
      <c r="AA18008" s="9"/>
      <c r="AB18008" s="9"/>
      <c r="AC18008" s="9"/>
      <c r="AG18008" s="10"/>
    </row>
    <row r="18009" spans="1:33">
      <c r="A18009" s="9"/>
      <c r="B18009" s="9"/>
      <c r="C18009" s="9"/>
      <c r="D18009" s="9"/>
      <c r="E18009" s="9"/>
      <c r="F18009" s="9"/>
      <c r="G18009" s="9"/>
      <c r="H18009" s="9"/>
      <c r="I18009" s="9"/>
      <c r="J18009" s="9"/>
      <c r="K18009" s="9"/>
      <c r="L18009" s="9"/>
      <c r="M18009" s="9"/>
      <c r="N18009" s="9"/>
      <c r="O18009" s="9"/>
      <c r="P18009" s="9"/>
      <c r="Q18009" s="9"/>
      <c r="R18009" s="9"/>
      <c r="S18009" s="9"/>
      <c r="T18009" s="9"/>
      <c r="U18009" s="9"/>
      <c r="V18009" s="9"/>
      <c r="W18009" s="9"/>
      <c r="X18009" s="9"/>
      <c r="Y18009" s="9"/>
      <c r="Z18009" s="9"/>
      <c r="AA18009" s="9"/>
      <c r="AB18009" s="9"/>
      <c r="AC18009" s="9"/>
      <c r="AG18009" s="10"/>
    </row>
    <row r="18010" spans="1:33">
      <c r="A18010" s="9"/>
      <c r="B18010" s="9"/>
      <c r="C18010" s="9"/>
      <c r="D18010" s="9"/>
      <c r="E18010" s="9"/>
      <c r="F18010" s="9"/>
      <c r="G18010" s="9"/>
      <c r="H18010" s="9"/>
      <c r="I18010" s="9"/>
      <c r="J18010" s="9"/>
      <c r="K18010" s="9"/>
      <c r="L18010" s="9"/>
      <c r="M18010" s="9"/>
      <c r="N18010" s="9"/>
      <c r="O18010" s="9"/>
      <c r="P18010" s="9"/>
      <c r="Q18010" s="9"/>
      <c r="R18010" s="9"/>
      <c r="S18010" s="9"/>
      <c r="T18010" s="9"/>
      <c r="U18010" s="9"/>
      <c r="V18010" s="9"/>
      <c r="W18010" s="9"/>
      <c r="X18010" s="9"/>
      <c r="Y18010" s="9"/>
      <c r="Z18010" s="9"/>
      <c r="AA18010" s="9"/>
      <c r="AB18010" s="9"/>
      <c r="AC18010" s="9"/>
      <c r="AG18010" s="10"/>
    </row>
    <row r="18011" spans="1:33">
      <c r="A18011" s="9"/>
      <c r="B18011" s="9"/>
      <c r="C18011" s="9"/>
      <c r="D18011" s="9"/>
      <c r="E18011" s="9"/>
      <c r="F18011" s="9"/>
      <c r="G18011" s="9"/>
      <c r="H18011" s="9"/>
      <c r="I18011" s="9"/>
      <c r="J18011" s="9"/>
      <c r="K18011" s="9"/>
      <c r="L18011" s="9"/>
      <c r="M18011" s="9"/>
      <c r="N18011" s="9"/>
      <c r="O18011" s="9"/>
      <c r="P18011" s="9"/>
      <c r="Q18011" s="9"/>
      <c r="R18011" s="9"/>
      <c r="S18011" s="9"/>
      <c r="T18011" s="9"/>
      <c r="U18011" s="9"/>
      <c r="V18011" s="9"/>
      <c r="W18011" s="9"/>
      <c r="X18011" s="9"/>
      <c r="Y18011" s="9"/>
      <c r="Z18011" s="9"/>
      <c r="AA18011" s="9"/>
      <c r="AB18011" s="9"/>
      <c r="AC18011" s="9"/>
      <c r="AG18011" s="10"/>
    </row>
    <row r="18012" spans="1:33">
      <c r="A18012" s="9"/>
      <c r="B18012" s="9"/>
      <c r="C18012" s="9"/>
      <c r="D18012" s="9"/>
      <c r="E18012" s="9"/>
      <c r="F18012" s="9"/>
      <c r="G18012" s="9"/>
      <c r="H18012" s="9"/>
      <c r="I18012" s="9"/>
      <c r="J18012" s="9"/>
      <c r="K18012" s="9"/>
      <c r="L18012" s="9"/>
      <c r="M18012" s="9"/>
      <c r="N18012" s="9"/>
      <c r="O18012" s="9"/>
      <c r="P18012" s="9"/>
      <c r="Q18012" s="9"/>
      <c r="R18012" s="9"/>
      <c r="S18012" s="9"/>
      <c r="T18012" s="9"/>
      <c r="U18012" s="9"/>
      <c r="V18012" s="9"/>
      <c r="W18012" s="9"/>
      <c r="X18012" s="9"/>
      <c r="Y18012" s="9"/>
      <c r="Z18012" s="9"/>
      <c r="AA18012" s="9"/>
      <c r="AB18012" s="9"/>
      <c r="AC18012" s="9"/>
      <c r="AG18012" s="10"/>
    </row>
    <row r="18013" spans="1:33">
      <c r="A18013" s="9"/>
      <c r="B18013" s="9"/>
      <c r="C18013" s="9"/>
      <c r="D18013" s="9"/>
      <c r="E18013" s="9"/>
      <c r="F18013" s="9"/>
      <c r="G18013" s="9"/>
      <c r="H18013" s="9"/>
      <c r="I18013" s="9"/>
      <c r="J18013" s="9"/>
      <c r="K18013" s="9"/>
      <c r="L18013" s="9"/>
      <c r="M18013" s="9"/>
      <c r="N18013" s="9"/>
      <c r="O18013" s="9"/>
      <c r="P18013" s="9"/>
      <c r="Q18013" s="9"/>
      <c r="R18013" s="9"/>
      <c r="S18013" s="9"/>
      <c r="T18013" s="9"/>
      <c r="U18013" s="9"/>
      <c r="V18013" s="9"/>
      <c r="W18013" s="9"/>
      <c r="X18013" s="9"/>
      <c r="Y18013" s="9"/>
      <c r="Z18013" s="9"/>
      <c r="AA18013" s="9"/>
      <c r="AB18013" s="9"/>
      <c r="AC18013" s="9"/>
      <c r="AG18013" s="10"/>
    </row>
    <row r="18014" spans="1:33">
      <c r="A18014" s="9"/>
      <c r="B18014" s="9"/>
      <c r="C18014" s="9"/>
      <c r="D18014" s="9"/>
      <c r="E18014" s="9"/>
      <c r="F18014" s="9"/>
      <c r="G18014" s="9"/>
      <c r="H18014" s="9"/>
      <c r="I18014" s="9"/>
      <c r="J18014" s="9"/>
      <c r="K18014" s="9"/>
      <c r="L18014" s="9"/>
      <c r="M18014" s="9"/>
      <c r="N18014" s="9"/>
      <c r="O18014" s="9"/>
      <c r="P18014" s="9"/>
      <c r="Q18014" s="9"/>
      <c r="R18014" s="9"/>
      <c r="S18014" s="9"/>
      <c r="T18014" s="9"/>
      <c r="U18014" s="9"/>
      <c r="V18014" s="9"/>
      <c r="W18014" s="9"/>
      <c r="X18014" s="9"/>
      <c r="Y18014" s="9"/>
      <c r="Z18014" s="9"/>
      <c r="AA18014" s="9"/>
      <c r="AB18014" s="9"/>
      <c r="AC18014" s="9"/>
      <c r="AG18014" s="10"/>
    </row>
    <row r="18015" spans="1:33">
      <c r="A18015" s="9"/>
      <c r="B18015" s="9"/>
      <c r="C18015" s="9"/>
      <c r="D18015" s="9"/>
      <c r="E18015" s="9"/>
      <c r="F18015" s="9"/>
      <c r="G18015" s="9"/>
      <c r="H18015" s="9"/>
      <c r="I18015" s="9"/>
      <c r="J18015" s="9"/>
      <c r="K18015" s="9"/>
      <c r="L18015" s="9"/>
      <c r="M18015" s="9"/>
      <c r="N18015" s="9"/>
      <c r="O18015" s="9"/>
      <c r="P18015" s="9"/>
      <c r="Q18015" s="9"/>
      <c r="R18015" s="9"/>
      <c r="S18015" s="9"/>
      <c r="T18015" s="9"/>
      <c r="U18015" s="9"/>
      <c r="V18015" s="9"/>
      <c r="W18015" s="9"/>
      <c r="X18015" s="9"/>
      <c r="Y18015" s="9"/>
      <c r="Z18015" s="9"/>
      <c r="AA18015" s="9"/>
      <c r="AB18015" s="9"/>
      <c r="AC18015" s="9"/>
      <c r="AG18015" s="10"/>
    </row>
    <row r="18016" spans="1:33">
      <c r="A18016" s="9"/>
      <c r="B18016" s="9"/>
      <c r="C18016" s="9"/>
      <c r="D18016" s="9"/>
      <c r="E18016" s="9"/>
      <c r="F18016" s="9"/>
      <c r="G18016" s="9"/>
      <c r="H18016" s="9"/>
      <c r="I18016" s="9"/>
      <c r="J18016" s="9"/>
      <c r="K18016" s="9"/>
      <c r="L18016" s="9"/>
      <c r="M18016" s="9"/>
      <c r="N18016" s="9"/>
      <c r="O18016" s="9"/>
      <c r="P18016" s="9"/>
      <c r="Q18016" s="9"/>
      <c r="R18016" s="9"/>
      <c r="S18016" s="9"/>
      <c r="T18016" s="9"/>
      <c r="U18016" s="9"/>
      <c r="V18016" s="9"/>
      <c r="W18016" s="9"/>
      <c r="X18016" s="9"/>
      <c r="Y18016" s="9"/>
      <c r="Z18016" s="9"/>
      <c r="AA18016" s="9"/>
      <c r="AB18016" s="9"/>
      <c r="AC18016" s="9"/>
      <c r="AG18016" s="10"/>
    </row>
    <row r="18017" spans="1:33">
      <c r="A18017" s="9"/>
      <c r="B18017" s="9"/>
      <c r="C18017" s="9"/>
      <c r="D18017" s="9"/>
      <c r="E18017" s="9"/>
      <c r="F18017" s="9"/>
      <c r="G18017" s="9"/>
      <c r="H18017" s="9"/>
      <c r="I18017" s="9"/>
      <c r="J18017" s="9"/>
      <c r="K18017" s="9"/>
      <c r="L18017" s="9"/>
      <c r="M18017" s="9"/>
      <c r="N18017" s="9"/>
      <c r="O18017" s="9"/>
      <c r="P18017" s="9"/>
      <c r="Q18017" s="9"/>
      <c r="R18017" s="9"/>
      <c r="S18017" s="9"/>
      <c r="T18017" s="9"/>
      <c r="U18017" s="9"/>
      <c r="V18017" s="9"/>
      <c r="W18017" s="9"/>
      <c r="X18017" s="9"/>
      <c r="Y18017" s="9"/>
      <c r="Z18017" s="9"/>
      <c r="AA18017" s="9"/>
      <c r="AB18017" s="9"/>
      <c r="AC18017" s="9"/>
      <c r="AG18017" s="10"/>
    </row>
    <row r="18018" spans="1:33">
      <c r="A18018" s="9"/>
      <c r="B18018" s="9"/>
      <c r="C18018" s="9"/>
      <c r="D18018" s="9"/>
      <c r="E18018" s="9"/>
      <c r="F18018" s="9"/>
      <c r="G18018" s="9"/>
      <c r="H18018" s="9"/>
      <c r="I18018" s="9"/>
      <c r="J18018" s="9"/>
      <c r="K18018" s="9"/>
      <c r="L18018" s="9"/>
      <c r="M18018" s="9"/>
      <c r="N18018" s="9"/>
      <c r="O18018" s="9"/>
      <c r="P18018" s="9"/>
      <c r="Q18018" s="9"/>
      <c r="R18018" s="9"/>
      <c r="S18018" s="9"/>
      <c r="T18018" s="9"/>
      <c r="U18018" s="9"/>
      <c r="V18018" s="9"/>
      <c r="W18018" s="9"/>
      <c r="X18018" s="9"/>
      <c r="Y18018" s="9"/>
      <c r="Z18018" s="9"/>
      <c r="AA18018" s="9"/>
      <c r="AB18018" s="9"/>
      <c r="AC18018" s="9"/>
      <c r="AG18018" s="10"/>
    </row>
    <row r="18019" spans="1:33">
      <c r="A18019" s="9"/>
      <c r="B18019" s="9"/>
      <c r="C18019" s="9"/>
      <c r="D18019" s="9"/>
      <c r="E18019" s="9"/>
      <c r="F18019" s="9"/>
      <c r="G18019" s="9"/>
      <c r="H18019" s="9"/>
      <c r="I18019" s="9"/>
      <c r="J18019" s="9"/>
      <c r="K18019" s="9"/>
      <c r="L18019" s="9"/>
      <c r="M18019" s="9"/>
      <c r="N18019" s="9"/>
      <c r="O18019" s="9"/>
      <c r="P18019" s="9"/>
      <c r="Q18019" s="9"/>
      <c r="R18019" s="9"/>
      <c r="S18019" s="9"/>
      <c r="T18019" s="9"/>
      <c r="U18019" s="9"/>
      <c r="V18019" s="9"/>
      <c r="W18019" s="9"/>
      <c r="X18019" s="9"/>
      <c r="Y18019" s="9"/>
      <c r="Z18019" s="9"/>
      <c r="AA18019" s="9"/>
      <c r="AB18019" s="9"/>
      <c r="AC18019" s="9"/>
      <c r="AG18019" s="10"/>
    </row>
    <row r="18020" spans="1:33">
      <c r="A18020" s="9"/>
      <c r="B18020" s="9"/>
      <c r="C18020" s="9"/>
      <c r="D18020" s="9"/>
      <c r="E18020" s="9"/>
      <c r="F18020" s="9"/>
      <c r="G18020" s="9"/>
      <c r="H18020" s="9"/>
      <c r="I18020" s="9"/>
      <c r="J18020" s="9"/>
      <c r="K18020" s="9"/>
      <c r="L18020" s="9"/>
      <c r="M18020" s="9"/>
      <c r="N18020" s="9"/>
      <c r="O18020" s="9"/>
      <c r="P18020" s="9"/>
      <c r="Q18020" s="9"/>
      <c r="R18020" s="9"/>
      <c r="S18020" s="9"/>
      <c r="T18020" s="9"/>
      <c r="U18020" s="9"/>
      <c r="V18020" s="9"/>
      <c r="W18020" s="9"/>
      <c r="X18020" s="9"/>
      <c r="Y18020" s="9"/>
      <c r="Z18020" s="9"/>
      <c r="AA18020" s="9"/>
      <c r="AB18020" s="9"/>
      <c r="AC18020" s="9"/>
      <c r="AG18020" s="10"/>
    </row>
    <row r="18021" spans="1:33">
      <c r="A18021" s="9"/>
      <c r="B18021" s="9"/>
      <c r="C18021" s="9"/>
      <c r="D18021" s="9"/>
      <c r="E18021" s="9"/>
      <c r="F18021" s="9"/>
      <c r="G18021" s="9"/>
      <c r="H18021" s="9"/>
      <c r="I18021" s="9"/>
      <c r="J18021" s="9"/>
      <c r="K18021" s="9"/>
      <c r="L18021" s="9"/>
      <c r="M18021" s="9"/>
      <c r="N18021" s="9"/>
      <c r="O18021" s="9"/>
      <c r="P18021" s="9"/>
      <c r="Q18021" s="9"/>
      <c r="R18021" s="9"/>
      <c r="S18021" s="9"/>
      <c r="T18021" s="9"/>
      <c r="U18021" s="9"/>
      <c r="V18021" s="9"/>
      <c r="W18021" s="9"/>
      <c r="X18021" s="9"/>
      <c r="Y18021" s="9"/>
      <c r="Z18021" s="9"/>
      <c r="AA18021" s="9"/>
      <c r="AB18021" s="9"/>
      <c r="AC18021" s="9"/>
      <c r="AG18021" s="10"/>
    </row>
    <row r="18022" spans="1:33">
      <c r="A18022" s="9"/>
      <c r="B18022" s="9"/>
      <c r="C18022" s="9"/>
      <c r="D18022" s="9"/>
      <c r="E18022" s="9"/>
      <c r="F18022" s="9"/>
      <c r="G18022" s="9"/>
      <c r="H18022" s="9"/>
      <c r="I18022" s="9"/>
      <c r="J18022" s="9"/>
      <c r="K18022" s="9"/>
      <c r="L18022" s="9"/>
      <c r="M18022" s="9"/>
      <c r="N18022" s="9"/>
      <c r="O18022" s="9"/>
      <c r="P18022" s="9"/>
      <c r="Q18022" s="9"/>
      <c r="R18022" s="9"/>
      <c r="S18022" s="9"/>
      <c r="T18022" s="9"/>
      <c r="U18022" s="9"/>
      <c r="V18022" s="9"/>
      <c r="W18022" s="9"/>
      <c r="X18022" s="9"/>
      <c r="Y18022" s="9"/>
      <c r="Z18022" s="9"/>
      <c r="AA18022" s="9"/>
      <c r="AB18022" s="9"/>
      <c r="AC18022" s="9"/>
      <c r="AG18022" s="10"/>
    </row>
    <row r="18023" spans="1:33">
      <c r="A18023" s="9"/>
      <c r="B18023" s="9"/>
      <c r="C18023" s="9"/>
      <c r="D18023" s="9"/>
      <c r="E18023" s="9"/>
      <c r="F18023" s="9"/>
      <c r="G18023" s="9"/>
      <c r="H18023" s="9"/>
      <c r="I18023" s="9"/>
      <c r="J18023" s="9"/>
      <c r="K18023" s="9"/>
      <c r="L18023" s="9"/>
      <c r="M18023" s="9"/>
      <c r="N18023" s="9"/>
      <c r="O18023" s="9"/>
      <c r="P18023" s="9"/>
      <c r="Q18023" s="9"/>
      <c r="R18023" s="9"/>
      <c r="S18023" s="9"/>
      <c r="T18023" s="9"/>
      <c r="U18023" s="9"/>
      <c r="V18023" s="9"/>
      <c r="W18023" s="9"/>
      <c r="X18023" s="9"/>
      <c r="Y18023" s="9"/>
      <c r="Z18023" s="9"/>
      <c r="AA18023" s="9"/>
      <c r="AB18023" s="9"/>
      <c r="AC18023" s="9"/>
      <c r="AG18023" s="10"/>
    </row>
    <row r="18024" spans="1:33">
      <c r="A18024" s="9"/>
      <c r="B18024" s="9"/>
      <c r="C18024" s="9"/>
      <c r="D18024" s="9"/>
      <c r="E18024" s="9"/>
      <c r="F18024" s="9"/>
      <c r="G18024" s="9"/>
      <c r="H18024" s="9"/>
      <c r="I18024" s="9"/>
      <c r="J18024" s="9"/>
      <c r="K18024" s="9"/>
      <c r="L18024" s="9"/>
      <c r="M18024" s="9"/>
      <c r="N18024" s="9"/>
      <c r="O18024" s="9"/>
      <c r="P18024" s="9"/>
      <c r="Q18024" s="9"/>
      <c r="R18024" s="9"/>
      <c r="S18024" s="9"/>
      <c r="T18024" s="9"/>
      <c r="U18024" s="9"/>
      <c r="V18024" s="9"/>
      <c r="W18024" s="9"/>
      <c r="X18024" s="9"/>
      <c r="Y18024" s="9"/>
      <c r="Z18024" s="9"/>
      <c r="AA18024" s="9"/>
      <c r="AB18024" s="9"/>
      <c r="AC18024" s="9"/>
      <c r="AG18024" s="10"/>
    </row>
    <row r="18025" spans="1:33">
      <c r="A18025" s="9"/>
      <c r="B18025" s="9"/>
      <c r="C18025" s="9"/>
      <c r="D18025" s="9"/>
      <c r="E18025" s="9"/>
      <c r="F18025" s="9"/>
      <c r="G18025" s="9"/>
      <c r="H18025" s="9"/>
      <c r="I18025" s="9"/>
      <c r="J18025" s="9"/>
      <c r="K18025" s="9"/>
      <c r="L18025" s="9"/>
      <c r="M18025" s="9"/>
      <c r="N18025" s="9"/>
      <c r="O18025" s="9"/>
      <c r="P18025" s="9"/>
      <c r="Q18025" s="9"/>
      <c r="R18025" s="9"/>
      <c r="S18025" s="9"/>
      <c r="T18025" s="9"/>
      <c r="U18025" s="9"/>
      <c r="V18025" s="9"/>
      <c r="W18025" s="9"/>
      <c r="X18025" s="9"/>
      <c r="Y18025" s="9"/>
      <c r="Z18025" s="9"/>
      <c r="AA18025" s="9"/>
      <c r="AB18025" s="9"/>
      <c r="AC18025" s="9"/>
      <c r="AG18025" s="10"/>
    </row>
    <row r="18026" spans="1:33">
      <c r="A18026" s="9"/>
      <c r="B18026" s="9"/>
      <c r="C18026" s="9"/>
      <c r="D18026" s="9"/>
      <c r="E18026" s="9"/>
      <c r="F18026" s="9"/>
      <c r="G18026" s="9"/>
      <c r="H18026" s="9"/>
      <c r="I18026" s="9"/>
      <c r="J18026" s="9"/>
      <c r="K18026" s="9"/>
      <c r="L18026" s="9"/>
      <c r="M18026" s="9"/>
      <c r="N18026" s="9"/>
      <c r="O18026" s="9"/>
      <c r="P18026" s="9"/>
      <c r="Q18026" s="9"/>
      <c r="R18026" s="9"/>
      <c r="S18026" s="9"/>
      <c r="T18026" s="9"/>
      <c r="U18026" s="9"/>
      <c r="V18026" s="9"/>
      <c r="W18026" s="9"/>
      <c r="X18026" s="9"/>
      <c r="Y18026" s="9"/>
      <c r="Z18026" s="9"/>
      <c r="AA18026" s="9"/>
      <c r="AB18026" s="9"/>
      <c r="AC18026" s="9"/>
      <c r="AG18026" s="10"/>
    </row>
    <row r="18027" spans="1:33">
      <c r="A18027" s="9"/>
      <c r="B18027" s="9"/>
      <c r="C18027" s="9"/>
      <c r="D18027" s="9"/>
      <c r="E18027" s="9"/>
      <c r="F18027" s="9"/>
      <c r="G18027" s="9"/>
      <c r="H18027" s="9"/>
      <c r="I18027" s="9"/>
      <c r="J18027" s="9"/>
      <c r="K18027" s="9"/>
      <c r="L18027" s="9"/>
      <c r="M18027" s="9"/>
      <c r="N18027" s="9"/>
      <c r="O18027" s="9"/>
      <c r="P18027" s="9"/>
      <c r="Q18027" s="9"/>
      <c r="R18027" s="9"/>
      <c r="S18027" s="9"/>
      <c r="T18027" s="9"/>
      <c r="U18027" s="9"/>
      <c r="V18027" s="9"/>
      <c r="W18027" s="9"/>
      <c r="X18027" s="9"/>
      <c r="Y18027" s="9"/>
      <c r="Z18027" s="9"/>
      <c r="AA18027" s="9"/>
      <c r="AB18027" s="9"/>
      <c r="AC18027" s="9"/>
      <c r="AG18027" s="10"/>
    </row>
    <row r="18028" spans="1:33">
      <c r="A18028" s="9"/>
      <c r="B18028" s="9"/>
      <c r="C18028" s="9"/>
      <c r="D18028" s="9"/>
      <c r="E18028" s="9"/>
      <c r="F18028" s="9"/>
      <c r="G18028" s="9"/>
      <c r="H18028" s="9"/>
      <c r="I18028" s="9"/>
      <c r="J18028" s="9"/>
      <c r="K18028" s="9"/>
      <c r="L18028" s="9"/>
      <c r="M18028" s="9"/>
      <c r="N18028" s="9"/>
      <c r="O18028" s="9"/>
      <c r="P18028" s="9"/>
      <c r="Q18028" s="9"/>
      <c r="R18028" s="9"/>
      <c r="S18028" s="9"/>
      <c r="T18028" s="9"/>
      <c r="U18028" s="9"/>
      <c r="V18028" s="9"/>
      <c r="W18028" s="9"/>
      <c r="X18028" s="9"/>
      <c r="Y18028" s="9"/>
      <c r="Z18028" s="9"/>
      <c r="AA18028" s="9"/>
      <c r="AB18028" s="9"/>
      <c r="AC18028" s="9"/>
      <c r="AG18028" s="10"/>
    </row>
    <row r="18029" spans="1:33">
      <c r="A18029" s="9"/>
      <c r="B18029" s="9"/>
      <c r="C18029" s="9"/>
      <c r="D18029" s="9"/>
      <c r="E18029" s="9"/>
      <c r="F18029" s="9"/>
      <c r="G18029" s="9"/>
      <c r="H18029" s="9"/>
      <c r="I18029" s="9"/>
      <c r="J18029" s="9"/>
      <c r="K18029" s="9"/>
      <c r="L18029" s="9"/>
      <c r="M18029" s="9"/>
      <c r="N18029" s="9"/>
      <c r="O18029" s="9"/>
      <c r="P18029" s="9"/>
      <c r="Q18029" s="9"/>
      <c r="R18029" s="9"/>
      <c r="S18029" s="9"/>
      <c r="T18029" s="9"/>
      <c r="U18029" s="9"/>
      <c r="V18029" s="9"/>
      <c r="W18029" s="9"/>
      <c r="X18029" s="9"/>
      <c r="Y18029" s="9"/>
      <c r="Z18029" s="9"/>
      <c r="AA18029" s="9"/>
      <c r="AB18029" s="9"/>
      <c r="AC18029" s="9"/>
      <c r="AG18029" s="10"/>
    </row>
    <row r="18030" spans="1:33">
      <c r="A18030" s="9"/>
      <c r="B18030" s="9"/>
      <c r="C18030" s="9"/>
      <c r="D18030" s="9"/>
      <c r="E18030" s="9"/>
      <c r="F18030" s="9"/>
      <c r="G18030" s="9"/>
      <c r="H18030" s="9"/>
      <c r="I18030" s="9"/>
      <c r="J18030" s="9"/>
      <c r="K18030" s="9"/>
      <c r="L18030" s="9"/>
      <c r="M18030" s="9"/>
      <c r="N18030" s="9"/>
      <c r="O18030" s="9"/>
      <c r="P18030" s="9"/>
      <c r="Q18030" s="9"/>
      <c r="R18030" s="9"/>
      <c r="S18030" s="9"/>
      <c r="T18030" s="9"/>
      <c r="U18030" s="9"/>
      <c r="V18030" s="9"/>
      <c r="W18030" s="9"/>
      <c r="X18030" s="9"/>
      <c r="Y18030" s="9"/>
      <c r="Z18030" s="9"/>
      <c r="AA18030" s="9"/>
      <c r="AB18030" s="9"/>
      <c r="AC18030" s="9"/>
      <c r="AG18030" s="10"/>
    </row>
    <row r="18031" spans="1:33">
      <c r="A18031" s="9"/>
      <c r="B18031" s="9"/>
      <c r="C18031" s="9"/>
      <c r="D18031" s="9"/>
      <c r="E18031" s="9"/>
      <c r="F18031" s="9"/>
      <c r="G18031" s="9"/>
      <c r="H18031" s="9"/>
      <c r="I18031" s="9"/>
      <c r="J18031" s="9"/>
      <c r="K18031" s="9"/>
      <c r="L18031" s="9"/>
      <c r="M18031" s="9"/>
      <c r="N18031" s="9"/>
      <c r="O18031" s="9"/>
      <c r="P18031" s="9"/>
      <c r="Q18031" s="9"/>
      <c r="R18031" s="9"/>
      <c r="S18031" s="9"/>
      <c r="T18031" s="9"/>
      <c r="U18031" s="9"/>
      <c r="V18031" s="9"/>
      <c r="W18031" s="9"/>
      <c r="X18031" s="9"/>
      <c r="Y18031" s="9"/>
      <c r="Z18031" s="9"/>
      <c r="AA18031" s="9"/>
      <c r="AB18031" s="9"/>
      <c r="AC18031" s="9"/>
      <c r="AG18031" s="10"/>
    </row>
    <row r="18032" spans="1:33">
      <c r="A18032" s="9"/>
      <c r="B18032" s="9"/>
      <c r="C18032" s="9"/>
      <c r="D18032" s="9"/>
      <c r="E18032" s="9"/>
      <c r="F18032" s="9"/>
      <c r="G18032" s="9"/>
      <c r="H18032" s="9"/>
      <c r="I18032" s="9"/>
      <c r="J18032" s="9"/>
      <c r="K18032" s="9"/>
      <c r="L18032" s="9"/>
      <c r="M18032" s="9"/>
      <c r="N18032" s="9"/>
      <c r="O18032" s="9"/>
      <c r="P18032" s="9"/>
      <c r="Q18032" s="9"/>
      <c r="R18032" s="9"/>
      <c r="S18032" s="9"/>
      <c r="T18032" s="9"/>
      <c r="U18032" s="9"/>
      <c r="V18032" s="9"/>
      <c r="W18032" s="9"/>
      <c r="X18032" s="9"/>
      <c r="Y18032" s="9"/>
      <c r="Z18032" s="9"/>
      <c r="AA18032" s="9"/>
      <c r="AB18032" s="9"/>
      <c r="AC18032" s="9"/>
      <c r="AG18032" s="10"/>
    </row>
    <row r="18033" spans="1:33">
      <c r="A18033" s="9"/>
      <c r="B18033" s="9"/>
      <c r="C18033" s="9"/>
      <c r="D18033" s="9"/>
      <c r="E18033" s="9"/>
      <c r="F18033" s="9"/>
      <c r="G18033" s="9"/>
      <c r="H18033" s="9"/>
      <c r="I18033" s="9"/>
      <c r="J18033" s="9"/>
      <c r="K18033" s="9"/>
      <c r="L18033" s="9"/>
      <c r="M18033" s="9"/>
      <c r="N18033" s="9"/>
      <c r="O18033" s="9"/>
      <c r="P18033" s="9"/>
      <c r="Q18033" s="9"/>
      <c r="R18033" s="9"/>
      <c r="S18033" s="9"/>
      <c r="T18033" s="9"/>
      <c r="U18033" s="9"/>
      <c r="V18033" s="9"/>
      <c r="W18033" s="9"/>
      <c r="X18033" s="9"/>
      <c r="Y18033" s="9"/>
      <c r="Z18033" s="9"/>
      <c r="AA18033" s="9"/>
      <c r="AB18033" s="9"/>
      <c r="AC18033" s="9"/>
      <c r="AG18033" s="10"/>
    </row>
    <row r="18034" spans="1:33">
      <c r="A18034" s="9"/>
      <c r="B18034" s="9"/>
      <c r="C18034" s="9"/>
      <c r="D18034" s="9"/>
      <c r="E18034" s="9"/>
      <c r="F18034" s="9"/>
      <c r="G18034" s="9"/>
      <c r="H18034" s="9"/>
      <c r="I18034" s="9"/>
      <c r="J18034" s="9"/>
      <c r="K18034" s="9"/>
      <c r="L18034" s="9"/>
      <c r="M18034" s="9"/>
      <c r="N18034" s="9"/>
      <c r="O18034" s="9"/>
      <c r="P18034" s="9"/>
      <c r="Q18034" s="9"/>
      <c r="R18034" s="9"/>
      <c r="S18034" s="9"/>
      <c r="T18034" s="9"/>
      <c r="U18034" s="9"/>
      <c r="V18034" s="9"/>
      <c r="W18034" s="9"/>
      <c r="X18034" s="9"/>
      <c r="Y18034" s="9"/>
      <c r="Z18034" s="9"/>
      <c r="AA18034" s="9"/>
      <c r="AB18034" s="9"/>
      <c r="AC18034" s="9"/>
      <c r="AG18034" s="10"/>
    </row>
    <row r="18035" spans="1:33">
      <c r="A18035" s="9"/>
      <c r="B18035" s="9"/>
      <c r="C18035" s="9"/>
      <c r="D18035" s="9"/>
      <c r="E18035" s="9"/>
      <c r="F18035" s="9"/>
      <c r="G18035" s="9"/>
      <c r="H18035" s="9"/>
      <c r="I18035" s="9"/>
      <c r="J18035" s="9"/>
      <c r="K18035" s="9"/>
      <c r="L18035" s="9"/>
      <c r="M18035" s="9"/>
      <c r="N18035" s="9"/>
      <c r="O18035" s="9"/>
      <c r="P18035" s="9"/>
      <c r="Q18035" s="9"/>
      <c r="R18035" s="9"/>
      <c r="S18035" s="9"/>
      <c r="T18035" s="9"/>
      <c r="U18035" s="9"/>
      <c r="V18035" s="9"/>
      <c r="W18035" s="9"/>
      <c r="X18035" s="9"/>
      <c r="Y18035" s="9"/>
      <c r="Z18035" s="9"/>
      <c r="AA18035" s="9"/>
      <c r="AB18035" s="9"/>
      <c r="AC18035" s="9"/>
      <c r="AG18035" s="10"/>
    </row>
    <row r="18036" spans="1:33">
      <c r="A18036" s="9"/>
      <c r="B18036" s="9"/>
      <c r="C18036" s="9"/>
      <c r="D18036" s="9"/>
      <c r="E18036" s="9"/>
      <c r="F18036" s="9"/>
      <c r="G18036" s="9"/>
      <c r="H18036" s="9"/>
      <c r="I18036" s="9"/>
      <c r="J18036" s="9"/>
      <c r="K18036" s="9"/>
      <c r="L18036" s="9"/>
      <c r="M18036" s="9"/>
      <c r="N18036" s="9"/>
      <c r="O18036" s="9"/>
      <c r="P18036" s="9"/>
      <c r="Q18036" s="9"/>
      <c r="R18036" s="9"/>
      <c r="S18036" s="9"/>
      <c r="T18036" s="9"/>
      <c r="U18036" s="9"/>
      <c r="V18036" s="9"/>
      <c r="W18036" s="9"/>
      <c r="X18036" s="9"/>
      <c r="Y18036" s="9"/>
      <c r="Z18036" s="9"/>
      <c r="AA18036" s="9"/>
      <c r="AB18036" s="9"/>
      <c r="AC18036" s="9"/>
      <c r="AG18036" s="10"/>
    </row>
    <row r="18037" spans="1:33">
      <c r="A18037" s="9"/>
      <c r="B18037" s="9"/>
      <c r="C18037" s="9"/>
      <c r="D18037" s="9"/>
      <c r="E18037" s="9"/>
      <c r="F18037" s="9"/>
      <c r="G18037" s="9"/>
      <c r="H18037" s="9"/>
      <c r="I18037" s="9"/>
      <c r="J18037" s="9"/>
      <c r="K18037" s="9"/>
      <c r="L18037" s="9"/>
      <c r="M18037" s="9"/>
      <c r="N18037" s="9"/>
      <c r="O18037" s="9"/>
      <c r="P18037" s="9"/>
      <c r="Q18037" s="9"/>
      <c r="R18037" s="9"/>
      <c r="S18037" s="9"/>
      <c r="T18037" s="9"/>
      <c r="U18037" s="9"/>
      <c r="V18037" s="9"/>
      <c r="W18037" s="9"/>
      <c r="X18037" s="9"/>
      <c r="Y18037" s="9"/>
      <c r="Z18037" s="9"/>
      <c r="AA18037" s="9"/>
      <c r="AB18037" s="9"/>
      <c r="AC18037" s="9"/>
      <c r="AG18037" s="10"/>
    </row>
    <row r="18038" spans="1:33">
      <c r="A18038" s="9"/>
      <c r="B18038" s="9"/>
      <c r="C18038" s="9"/>
      <c r="D18038" s="9"/>
      <c r="E18038" s="9"/>
      <c r="F18038" s="9"/>
      <c r="G18038" s="9"/>
      <c r="H18038" s="9"/>
      <c r="I18038" s="9"/>
      <c r="J18038" s="9"/>
      <c r="K18038" s="9"/>
      <c r="L18038" s="9"/>
      <c r="M18038" s="9"/>
      <c r="N18038" s="9"/>
      <c r="O18038" s="9"/>
      <c r="P18038" s="9"/>
      <c r="Q18038" s="9"/>
      <c r="R18038" s="9"/>
      <c r="S18038" s="9"/>
      <c r="T18038" s="9"/>
      <c r="U18038" s="9"/>
      <c r="V18038" s="9"/>
      <c r="W18038" s="9"/>
      <c r="X18038" s="9"/>
      <c r="Y18038" s="9"/>
      <c r="Z18038" s="9"/>
      <c r="AA18038" s="9"/>
      <c r="AB18038" s="9"/>
      <c r="AC18038" s="9"/>
      <c r="AG18038" s="10"/>
    </row>
    <row r="18039" spans="1:33">
      <c r="A18039" s="9"/>
      <c r="B18039" s="9"/>
      <c r="C18039" s="9"/>
      <c r="D18039" s="9"/>
      <c r="E18039" s="9"/>
      <c r="F18039" s="9"/>
      <c r="G18039" s="9"/>
      <c r="H18039" s="9"/>
      <c r="I18039" s="9"/>
      <c r="J18039" s="9"/>
      <c r="K18039" s="9"/>
      <c r="L18039" s="9"/>
      <c r="M18039" s="9"/>
      <c r="N18039" s="9"/>
      <c r="O18039" s="9"/>
      <c r="P18039" s="9"/>
      <c r="Q18039" s="9"/>
      <c r="R18039" s="9"/>
      <c r="S18039" s="9"/>
      <c r="T18039" s="9"/>
      <c r="U18039" s="9"/>
      <c r="V18039" s="9"/>
      <c r="W18039" s="9"/>
      <c r="X18039" s="9"/>
      <c r="Y18039" s="9"/>
      <c r="Z18039" s="9"/>
      <c r="AA18039" s="9"/>
      <c r="AB18039" s="9"/>
      <c r="AC18039" s="9"/>
      <c r="AG18039" s="10"/>
    </row>
    <row r="18040" spans="1:33">
      <c r="A18040" s="9"/>
      <c r="B18040" s="9"/>
      <c r="C18040" s="9"/>
      <c r="D18040" s="9"/>
      <c r="E18040" s="9"/>
      <c r="F18040" s="9"/>
      <c r="G18040" s="9"/>
      <c r="H18040" s="9"/>
      <c r="I18040" s="9"/>
      <c r="J18040" s="9"/>
      <c r="K18040" s="9"/>
      <c r="L18040" s="9"/>
      <c r="M18040" s="9"/>
      <c r="N18040" s="9"/>
      <c r="O18040" s="9"/>
      <c r="P18040" s="9"/>
      <c r="Q18040" s="9"/>
      <c r="R18040" s="9"/>
      <c r="S18040" s="9"/>
      <c r="T18040" s="9"/>
      <c r="U18040" s="9"/>
      <c r="V18040" s="9"/>
      <c r="W18040" s="9"/>
      <c r="X18040" s="9"/>
      <c r="Y18040" s="9"/>
      <c r="Z18040" s="9"/>
      <c r="AA18040" s="9"/>
      <c r="AB18040" s="9"/>
      <c r="AC18040" s="9"/>
      <c r="AG18040" s="10"/>
    </row>
    <row r="18041" spans="1:33">
      <c r="A18041" s="9"/>
      <c r="B18041" s="9"/>
      <c r="C18041" s="9"/>
      <c r="D18041" s="9"/>
      <c r="E18041" s="9"/>
      <c r="F18041" s="9"/>
      <c r="G18041" s="9"/>
      <c r="H18041" s="9"/>
      <c r="I18041" s="9"/>
      <c r="J18041" s="9"/>
      <c r="K18041" s="9"/>
      <c r="L18041" s="9"/>
      <c r="M18041" s="9"/>
      <c r="N18041" s="9"/>
      <c r="O18041" s="9"/>
      <c r="P18041" s="9"/>
      <c r="Q18041" s="9"/>
      <c r="R18041" s="9"/>
      <c r="S18041" s="9"/>
      <c r="T18041" s="9"/>
      <c r="U18041" s="9"/>
      <c r="V18041" s="9"/>
      <c r="W18041" s="9"/>
      <c r="X18041" s="9"/>
      <c r="Y18041" s="9"/>
      <c r="Z18041" s="9"/>
      <c r="AA18041" s="9"/>
      <c r="AB18041" s="9"/>
      <c r="AC18041" s="9"/>
      <c r="AG18041" s="10"/>
    </row>
    <row r="18042" spans="1:33">
      <c r="A18042" s="9"/>
      <c r="B18042" s="9"/>
      <c r="C18042" s="9"/>
      <c r="D18042" s="9"/>
      <c r="E18042" s="9"/>
      <c r="F18042" s="9"/>
      <c r="G18042" s="9"/>
      <c r="H18042" s="9"/>
      <c r="I18042" s="9"/>
      <c r="J18042" s="9"/>
      <c r="K18042" s="9"/>
      <c r="L18042" s="9"/>
      <c r="M18042" s="9"/>
      <c r="N18042" s="9"/>
      <c r="O18042" s="9"/>
      <c r="P18042" s="9"/>
      <c r="Q18042" s="9"/>
      <c r="R18042" s="9"/>
      <c r="S18042" s="9"/>
      <c r="T18042" s="9"/>
      <c r="U18042" s="9"/>
      <c r="V18042" s="9"/>
      <c r="W18042" s="9"/>
      <c r="X18042" s="9"/>
      <c r="Y18042" s="9"/>
      <c r="Z18042" s="9"/>
      <c r="AA18042" s="9"/>
      <c r="AB18042" s="9"/>
      <c r="AC18042" s="9"/>
      <c r="AG18042" s="10"/>
    </row>
    <row r="18043" spans="1:33">
      <c r="A18043" s="9"/>
      <c r="B18043" s="9"/>
      <c r="C18043" s="9"/>
      <c r="D18043" s="9"/>
      <c r="E18043" s="9"/>
      <c r="F18043" s="9"/>
      <c r="G18043" s="9"/>
      <c r="H18043" s="9"/>
      <c r="I18043" s="9"/>
      <c r="J18043" s="9"/>
      <c r="K18043" s="9"/>
      <c r="L18043" s="9"/>
      <c r="M18043" s="9"/>
      <c r="N18043" s="9"/>
      <c r="O18043" s="9"/>
      <c r="P18043" s="9"/>
      <c r="Q18043" s="9"/>
      <c r="R18043" s="9"/>
      <c r="S18043" s="9"/>
      <c r="T18043" s="9"/>
      <c r="U18043" s="9"/>
      <c r="V18043" s="9"/>
      <c r="W18043" s="9"/>
      <c r="X18043" s="9"/>
      <c r="Y18043" s="9"/>
      <c r="Z18043" s="9"/>
      <c r="AA18043" s="9"/>
      <c r="AB18043" s="9"/>
      <c r="AC18043" s="9"/>
      <c r="AG18043" s="10"/>
    </row>
    <row r="18044" spans="1:33">
      <c r="A18044" s="9"/>
      <c r="B18044" s="9"/>
      <c r="C18044" s="9"/>
      <c r="D18044" s="9"/>
      <c r="E18044" s="9"/>
      <c r="F18044" s="9"/>
      <c r="G18044" s="9"/>
      <c r="H18044" s="9"/>
      <c r="I18044" s="9"/>
      <c r="J18044" s="9"/>
      <c r="K18044" s="9"/>
      <c r="L18044" s="9"/>
      <c r="M18044" s="9"/>
      <c r="N18044" s="9"/>
      <c r="O18044" s="9"/>
      <c r="P18044" s="9"/>
      <c r="Q18044" s="9"/>
      <c r="R18044" s="9"/>
      <c r="S18044" s="9"/>
      <c r="T18044" s="9"/>
      <c r="U18044" s="9"/>
      <c r="V18044" s="9"/>
      <c r="W18044" s="9"/>
      <c r="X18044" s="9"/>
      <c r="Y18044" s="9"/>
      <c r="Z18044" s="9"/>
      <c r="AA18044" s="9"/>
      <c r="AB18044" s="9"/>
      <c r="AC18044" s="9"/>
      <c r="AG18044" s="10"/>
    </row>
    <row r="18045" spans="1:33">
      <c r="A18045" s="9"/>
      <c r="B18045" s="9"/>
      <c r="C18045" s="9"/>
      <c r="D18045" s="9"/>
      <c r="E18045" s="9"/>
      <c r="F18045" s="9"/>
      <c r="G18045" s="9"/>
      <c r="H18045" s="9"/>
      <c r="I18045" s="9"/>
      <c r="J18045" s="9"/>
      <c r="K18045" s="9"/>
      <c r="L18045" s="9"/>
      <c r="M18045" s="9"/>
      <c r="N18045" s="9"/>
      <c r="O18045" s="9"/>
      <c r="P18045" s="9"/>
      <c r="Q18045" s="9"/>
      <c r="R18045" s="9"/>
      <c r="S18045" s="9"/>
      <c r="T18045" s="9"/>
      <c r="U18045" s="9"/>
      <c r="V18045" s="9"/>
      <c r="W18045" s="9"/>
      <c r="X18045" s="9"/>
      <c r="Y18045" s="9"/>
      <c r="Z18045" s="9"/>
      <c r="AA18045" s="9"/>
      <c r="AB18045" s="9"/>
      <c r="AC18045" s="9"/>
      <c r="AG18045" s="10"/>
    </row>
    <row r="18046" spans="1:33">
      <c r="A18046" s="9"/>
      <c r="B18046" s="9"/>
      <c r="C18046" s="9"/>
      <c r="D18046" s="9"/>
      <c r="E18046" s="9"/>
      <c r="F18046" s="9"/>
      <c r="G18046" s="9"/>
      <c r="H18046" s="9"/>
      <c r="I18046" s="9"/>
      <c r="J18046" s="9"/>
      <c r="K18046" s="9"/>
      <c r="L18046" s="9"/>
      <c r="M18046" s="9"/>
      <c r="N18046" s="9"/>
      <c r="O18046" s="9"/>
      <c r="P18046" s="9"/>
      <c r="Q18046" s="9"/>
      <c r="R18046" s="9"/>
      <c r="S18046" s="9"/>
      <c r="T18046" s="9"/>
      <c r="U18046" s="9"/>
      <c r="V18046" s="9"/>
      <c r="W18046" s="9"/>
      <c r="X18046" s="9"/>
      <c r="Y18046" s="9"/>
      <c r="Z18046" s="9"/>
      <c r="AA18046" s="9"/>
      <c r="AB18046" s="9"/>
      <c r="AC18046" s="9"/>
      <c r="AG18046" s="10"/>
    </row>
    <row r="18047" spans="1:33">
      <c r="A18047" s="9"/>
      <c r="B18047" s="9"/>
      <c r="C18047" s="9"/>
      <c r="D18047" s="9"/>
      <c r="E18047" s="9"/>
      <c r="F18047" s="9"/>
      <c r="G18047" s="9"/>
      <c r="H18047" s="9"/>
      <c r="I18047" s="9"/>
      <c r="J18047" s="9"/>
      <c r="K18047" s="9"/>
      <c r="L18047" s="9"/>
      <c r="M18047" s="9"/>
      <c r="N18047" s="9"/>
      <c r="O18047" s="9"/>
      <c r="P18047" s="9"/>
      <c r="Q18047" s="9"/>
      <c r="R18047" s="9"/>
      <c r="S18047" s="9"/>
      <c r="T18047" s="9"/>
      <c r="U18047" s="9"/>
      <c r="V18047" s="9"/>
      <c r="W18047" s="9"/>
      <c r="X18047" s="9"/>
      <c r="Y18047" s="9"/>
      <c r="Z18047" s="9"/>
      <c r="AA18047" s="9"/>
      <c r="AB18047" s="9"/>
      <c r="AC18047" s="9"/>
      <c r="AG18047" s="10"/>
    </row>
    <row r="18048" spans="1:33">
      <c r="A18048" s="9"/>
      <c r="B18048" s="9"/>
      <c r="C18048" s="9"/>
      <c r="D18048" s="9"/>
      <c r="E18048" s="9"/>
      <c r="F18048" s="9"/>
      <c r="G18048" s="9"/>
      <c r="H18048" s="9"/>
      <c r="I18048" s="9"/>
      <c r="J18048" s="9"/>
      <c r="K18048" s="9"/>
      <c r="L18048" s="9"/>
      <c r="M18048" s="9"/>
      <c r="N18048" s="9"/>
      <c r="O18048" s="9"/>
      <c r="P18048" s="9"/>
      <c r="Q18048" s="9"/>
      <c r="R18048" s="9"/>
      <c r="S18048" s="9"/>
      <c r="T18048" s="9"/>
      <c r="U18048" s="9"/>
      <c r="V18048" s="9"/>
      <c r="W18048" s="9"/>
      <c r="X18048" s="9"/>
      <c r="Y18048" s="9"/>
      <c r="Z18048" s="9"/>
      <c r="AA18048" s="9"/>
      <c r="AB18048" s="9"/>
      <c r="AC18048" s="9"/>
      <c r="AG18048" s="10"/>
    </row>
    <row r="18049" spans="1:33">
      <c r="A18049" s="9"/>
      <c r="B18049" s="9"/>
      <c r="C18049" s="9"/>
      <c r="D18049" s="9"/>
      <c r="E18049" s="9"/>
      <c r="F18049" s="9"/>
      <c r="G18049" s="9"/>
      <c r="H18049" s="9"/>
      <c r="I18049" s="9"/>
      <c r="J18049" s="9"/>
      <c r="K18049" s="9"/>
      <c r="L18049" s="9"/>
      <c r="M18049" s="9"/>
      <c r="N18049" s="9"/>
      <c r="O18049" s="9"/>
      <c r="P18049" s="9"/>
      <c r="Q18049" s="9"/>
      <c r="R18049" s="9"/>
      <c r="S18049" s="9"/>
      <c r="T18049" s="9"/>
      <c r="U18049" s="9"/>
      <c r="V18049" s="9"/>
      <c r="W18049" s="9"/>
      <c r="X18049" s="9"/>
      <c r="Y18049" s="9"/>
      <c r="Z18049" s="9"/>
      <c r="AA18049" s="9"/>
      <c r="AB18049" s="9"/>
      <c r="AC18049" s="9"/>
      <c r="AG18049" s="10"/>
    </row>
    <row r="18050" spans="1:33">
      <c r="A18050" s="9"/>
      <c r="B18050" s="9"/>
      <c r="C18050" s="9"/>
      <c r="D18050" s="9"/>
      <c r="E18050" s="9"/>
      <c r="F18050" s="9"/>
      <c r="G18050" s="9"/>
      <c r="H18050" s="9"/>
      <c r="I18050" s="9"/>
      <c r="J18050" s="9"/>
      <c r="K18050" s="9"/>
      <c r="L18050" s="9"/>
      <c r="M18050" s="9"/>
      <c r="N18050" s="9"/>
      <c r="O18050" s="9"/>
      <c r="P18050" s="9"/>
      <c r="Q18050" s="9"/>
      <c r="R18050" s="9"/>
      <c r="S18050" s="9"/>
      <c r="T18050" s="9"/>
      <c r="U18050" s="9"/>
      <c r="V18050" s="9"/>
      <c r="W18050" s="9"/>
      <c r="X18050" s="9"/>
      <c r="Y18050" s="9"/>
      <c r="Z18050" s="9"/>
      <c r="AA18050" s="9"/>
      <c r="AB18050" s="9"/>
      <c r="AC18050" s="9"/>
      <c r="AG18050" s="10"/>
    </row>
    <row r="18051" spans="1:33">
      <c r="A18051" s="9"/>
      <c r="B18051" s="9"/>
      <c r="C18051" s="9"/>
      <c r="D18051" s="9"/>
      <c r="E18051" s="9"/>
      <c r="F18051" s="9"/>
      <c r="G18051" s="9"/>
      <c r="H18051" s="9"/>
      <c r="I18051" s="9"/>
      <c r="J18051" s="9"/>
      <c r="K18051" s="9"/>
      <c r="L18051" s="9"/>
      <c r="M18051" s="9"/>
      <c r="N18051" s="9"/>
      <c r="O18051" s="9"/>
      <c r="P18051" s="9"/>
      <c r="Q18051" s="9"/>
      <c r="R18051" s="9"/>
      <c r="S18051" s="9"/>
      <c r="T18051" s="9"/>
      <c r="U18051" s="9"/>
      <c r="V18051" s="9"/>
      <c r="W18051" s="9"/>
      <c r="X18051" s="9"/>
      <c r="Y18051" s="9"/>
      <c r="Z18051" s="9"/>
      <c r="AA18051" s="9"/>
      <c r="AB18051" s="9"/>
      <c r="AC18051" s="9"/>
      <c r="AG18051" s="10"/>
    </row>
    <row r="18052" spans="1:33">
      <c r="A18052" s="9"/>
      <c r="B18052" s="9"/>
      <c r="C18052" s="9"/>
      <c r="D18052" s="9"/>
      <c r="E18052" s="9"/>
      <c r="F18052" s="9"/>
      <c r="G18052" s="9"/>
      <c r="H18052" s="9"/>
      <c r="I18052" s="9"/>
      <c r="J18052" s="9"/>
      <c r="K18052" s="9"/>
      <c r="L18052" s="9"/>
      <c r="M18052" s="9"/>
      <c r="N18052" s="9"/>
      <c r="O18052" s="9"/>
      <c r="P18052" s="9"/>
      <c r="Q18052" s="9"/>
      <c r="R18052" s="9"/>
      <c r="S18052" s="9"/>
      <c r="T18052" s="9"/>
      <c r="U18052" s="9"/>
      <c r="V18052" s="9"/>
      <c r="W18052" s="9"/>
      <c r="X18052" s="9"/>
      <c r="Y18052" s="9"/>
      <c r="Z18052" s="9"/>
      <c r="AA18052" s="9"/>
      <c r="AB18052" s="9"/>
      <c r="AC18052" s="9"/>
      <c r="AG18052" s="10"/>
    </row>
    <row r="18053" spans="1:33">
      <c r="A18053" s="9"/>
      <c r="B18053" s="9"/>
      <c r="C18053" s="9"/>
      <c r="D18053" s="9"/>
      <c r="E18053" s="9"/>
      <c r="F18053" s="9"/>
      <c r="G18053" s="9"/>
      <c r="H18053" s="9"/>
      <c r="I18053" s="9"/>
      <c r="J18053" s="9"/>
      <c r="K18053" s="9"/>
      <c r="L18053" s="9"/>
      <c r="M18053" s="9"/>
      <c r="N18053" s="9"/>
      <c r="O18053" s="9"/>
      <c r="P18053" s="9"/>
      <c r="Q18053" s="9"/>
      <c r="R18053" s="9"/>
      <c r="S18053" s="9"/>
      <c r="T18053" s="9"/>
      <c r="U18053" s="9"/>
      <c r="V18053" s="9"/>
      <c r="W18053" s="9"/>
      <c r="X18053" s="9"/>
      <c r="Y18053" s="9"/>
      <c r="Z18053" s="9"/>
      <c r="AA18053" s="9"/>
      <c r="AB18053" s="9"/>
      <c r="AC18053" s="9"/>
      <c r="AG18053" s="10"/>
    </row>
    <row r="18054" spans="1:33">
      <c r="A18054" s="9"/>
      <c r="B18054" s="9"/>
      <c r="C18054" s="9"/>
      <c r="D18054" s="9"/>
      <c r="E18054" s="9"/>
      <c r="F18054" s="9"/>
      <c r="G18054" s="9"/>
      <c r="H18054" s="9"/>
      <c r="I18054" s="9"/>
      <c r="J18054" s="9"/>
      <c r="K18054" s="9"/>
      <c r="L18054" s="9"/>
      <c r="M18054" s="9"/>
      <c r="N18054" s="9"/>
      <c r="O18054" s="9"/>
      <c r="P18054" s="9"/>
      <c r="Q18054" s="9"/>
      <c r="R18054" s="9"/>
      <c r="S18054" s="9"/>
      <c r="T18054" s="9"/>
      <c r="U18054" s="9"/>
      <c r="V18054" s="9"/>
      <c r="W18054" s="9"/>
      <c r="X18054" s="9"/>
      <c r="Y18054" s="9"/>
      <c r="Z18054" s="9"/>
      <c r="AA18054" s="9"/>
      <c r="AB18054" s="9"/>
      <c r="AC18054" s="9"/>
      <c r="AG18054" s="10"/>
    </row>
    <row r="18055" spans="1:33">
      <c r="A18055" s="9"/>
      <c r="B18055" s="9"/>
      <c r="C18055" s="9"/>
      <c r="D18055" s="9"/>
      <c r="E18055" s="9"/>
      <c r="F18055" s="9"/>
      <c r="G18055" s="9"/>
      <c r="H18055" s="9"/>
      <c r="I18055" s="9"/>
      <c r="J18055" s="9"/>
      <c r="K18055" s="9"/>
      <c r="L18055" s="9"/>
      <c r="M18055" s="9"/>
      <c r="N18055" s="9"/>
      <c r="O18055" s="9"/>
      <c r="P18055" s="9"/>
      <c r="Q18055" s="9"/>
      <c r="R18055" s="9"/>
      <c r="S18055" s="9"/>
      <c r="T18055" s="9"/>
      <c r="U18055" s="9"/>
      <c r="V18055" s="9"/>
      <c r="W18055" s="9"/>
      <c r="X18055" s="9"/>
      <c r="Y18055" s="9"/>
      <c r="Z18055" s="9"/>
      <c r="AA18055" s="9"/>
      <c r="AB18055" s="9"/>
      <c r="AC18055" s="9"/>
      <c r="AG18055" s="10"/>
    </row>
    <row r="18056" spans="1:33">
      <c r="A18056" s="9"/>
      <c r="B18056" s="9"/>
      <c r="C18056" s="9"/>
      <c r="D18056" s="9"/>
      <c r="E18056" s="9"/>
      <c r="F18056" s="9"/>
      <c r="G18056" s="9"/>
      <c r="H18056" s="9"/>
      <c r="I18056" s="9"/>
      <c r="J18056" s="9"/>
      <c r="K18056" s="9"/>
      <c r="L18056" s="9"/>
      <c r="M18056" s="9"/>
      <c r="N18056" s="9"/>
      <c r="O18056" s="9"/>
      <c r="P18056" s="9"/>
      <c r="Q18056" s="9"/>
      <c r="R18056" s="9"/>
      <c r="S18056" s="9"/>
      <c r="T18056" s="9"/>
      <c r="U18056" s="9"/>
      <c r="V18056" s="9"/>
      <c r="W18056" s="9"/>
      <c r="X18056" s="9"/>
      <c r="Y18056" s="9"/>
      <c r="Z18056" s="9"/>
      <c r="AA18056" s="9"/>
      <c r="AB18056" s="9"/>
      <c r="AC18056" s="9"/>
      <c r="AG18056" s="10"/>
    </row>
    <row r="18057" spans="1:33">
      <c r="A18057" s="9"/>
      <c r="B18057" s="9"/>
      <c r="C18057" s="9"/>
      <c r="D18057" s="9"/>
      <c r="E18057" s="9"/>
      <c r="F18057" s="9"/>
      <c r="G18057" s="9"/>
      <c r="H18057" s="9"/>
      <c r="I18057" s="9"/>
      <c r="J18057" s="9"/>
      <c r="K18057" s="9"/>
      <c r="L18057" s="9"/>
      <c r="M18057" s="9"/>
      <c r="N18057" s="9"/>
      <c r="O18057" s="9"/>
      <c r="P18057" s="9"/>
      <c r="Q18057" s="9"/>
      <c r="R18057" s="9"/>
      <c r="S18057" s="9"/>
      <c r="T18057" s="9"/>
      <c r="U18057" s="9"/>
      <c r="V18057" s="9"/>
      <c r="W18057" s="9"/>
      <c r="X18057" s="9"/>
      <c r="Y18057" s="9"/>
      <c r="Z18057" s="9"/>
      <c r="AA18057" s="9"/>
      <c r="AB18057" s="9"/>
      <c r="AC18057" s="9"/>
      <c r="AG18057" s="10"/>
    </row>
    <row r="18058" spans="1:33">
      <c r="A18058" s="9"/>
      <c r="B18058" s="9"/>
      <c r="C18058" s="9"/>
      <c r="D18058" s="9"/>
      <c r="E18058" s="9"/>
      <c r="F18058" s="9"/>
      <c r="G18058" s="9"/>
      <c r="H18058" s="9"/>
      <c r="I18058" s="9"/>
      <c r="J18058" s="9"/>
      <c r="K18058" s="9"/>
      <c r="L18058" s="9"/>
      <c r="M18058" s="9"/>
      <c r="N18058" s="9"/>
      <c r="O18058" s="9"/>
      <c r="P18058" s="9"/>
      <c r="Q18058" s="9"/>
      <c r="R18058" s="9"/>
      <c r="S18058" s="9"/>
      <c r="T18058" s="9"/>
      <c r="U18058" s="9"/>
      <c r="V18058" s="9"/>
      <c r="W18058" s="9"/>
      <c r="X18058" s="9"/>
      <c r="Y18058" s="9"/>
      <c r="Z18058" s="9"/>
      <c r="AA18058" s="9"/>
      <c r="AB18058" s="9"/>
      <c r="AC18058" s="9"/>
      <c r="AG18058" s="10"/>
    </row>
    <row r="18059" spans="1:33">
      <c r="A18059" s="9"/>
      <c r="B18059" s="9"/>
      <c r="C18059" s="9"/>
      <c r="D18059" s="9"/>
      <c r="E18059" s="9"/>
      <c r="F18059" s="9"/>
      <c r="G18059" s="9"/>
      <c r="H18059" s="9"/>
      <c r="I18059" s="9"/>
      <c r="J18059" s="9"/>
      <c r="K18059" s="9"/>
      <c r="L18059" s="9"/>
      <c r="M18059" s="9"/>
      <c r="N18059" s="9"/>
      <c r="O18059" s="9"/>
      <c r="P18059" s="9"/>
      <c r="Q18059" s="9"/>
      <c r="R18059" s="9"/>
      <c r="S18059" s="9"/>
      <c r="T18059" s="9"/>
      <c r="U18059" s="9"/>
      <c r="V18059" s="9"/>
      <c r="W18059" s="9"/>
      <c r="X18059" s="9"/>
      <c r="Y18059" s="9"/>
      <c r="Z18059" s="9"/>
      <c r="AA18059" s="9"/>
      <c r="AB18059" s="9"/>
      <c r="AC18059" s="9"/>
      <c r="AG18059" s="10"/>
    </row>
    <row r="18060" spans="1:33">
      <c r="A18060" s="9"/>
      <c r="B18060" s="9"/>
      <c r="C18060" s="9"/>
      <c r="D18060" s="9"/>
      <c r="E18060" s="9"/>
      <c r="F18060" s="9"/>
      <c r="G18060" s="9"/>
      <c r="H18060" s="9"/>
      <c r="I18060" s="9"/>
      <c r="J18060" s="9"/>
      <c r="K18060" s="9"/>
      <c r="L18060" s="9"/>
      <c r="M18060" s="9"/>
      <c r="N18060" s="9"/>
      <c r="O18060" s="9"/>
      <c r="P18060" s="9"/>
      <c r="Q18060" s="9"/>
      <c r="R18060" s="9"/>
      <c r="S18060" s="9"/>
      <c r="T18060" s="9"/>
      <c r="U18060" s="9"/>
      <c r="V18060" s="9"/>
      <c r="W18060" s="9"/>
      <c r="X18060" s="9"/>
      <c r="Y18060" s="9"/>
      <c r="Z18060" s="9"/>
      <c r="AA18060" s="9"/>
      <c r="AB18060" s="9"/>
      <c r="AC18060" s="9"/>
      <c r="AG18060" s="10"/>
    </row>
    <row r="18061" spans="1:33">
      <c r="A18061" s="9"/>
      <c r="B18061" s="9"/>
      <c r="C18061" s="9"/>
      <c r="D18061" s="9"/>
      <c r="E18061" s="9"/>
      <c r="F18061" s="9"/>
      <c r="G18061" s="9"/>
      <c r="H18061" s="9"/>
      <c r="I18061" s="9"/>
      <c r="J18061" s="9"/>
      <c r="K18061" s="9"/>
      <c r="L18061" s="9"/>
      <c r="M18061" s="9"/>
      <c r="N18061" s="9"/>
      <c r="O18061" s="9"/>
      <c r="P18061" s="9"/>
      <c r="Q18061" s="9"/>
      <c r="R18061" s="9"/>
      <c r="S18061" s="9"/>
      <c r="T18061" s="9"/>
      <c r="U18061" s="9"/>
      <c r="V18061" s="9"/>
      <c r="W18061" s="9"/>
      <c r="X18061" s="9"/>
      <c r="Y18061" s="9"/>
      <c r="Z18061" s="9"/>
      <c r="AA18061" s="9"/>
      <c r="AB18061" s="9"/>
      <c r="AC18061" s="9"/>
      <c r="AG18061" s="10"/>
    </row>
    <row r="18062" spans="1:33">
      <c r="A18062" s="9"/>
      <c r="B18062" s="9"/>
      <c r="C18062" s="9"/>
      <c r="D18062" s="9"/>
      <c r="E18062" s="9"/>
      <c r="F18062" s="9"/>
      <c r="G18062" s="9"/>
      <c r="H18062" s="9"/>
      <c r="I18062" s="9"/>
      <c r="J18062" s="9"/>
      <c r="K18062" s="9"/>
      <c r="L18062" s="9"/>
      <c r="M18062" s="9"/>
      <c r="N18062" s="9"/>
      <c r="O18062" s="9"/>
      <c r="P18062" s="9"/>
      <c r="Q18062" s="9"/>
      <c r="R18062" s="9"/>
      <c r="S18062" s="9"/>
      <c r="T18062" s="9"/>
      <c r="U18062" s="9"/>
      <c r="V18062" s="9"/>
      <c r="W18062" s="9"/>
      <c r="X18062" s="9"/>
      <c r="Y18062" s="9"/>
      <c r="Z18062" s="9"/>
      <c r="AA18062" s="9"/>
      <c r="AB18062" s="9"/>
      <c r="AC18062" s="9"/>
      <c r="AG18062" s="10"/>
    </row>
    <row r="18063" spans="1:33">
      <c r="A18063" s="9"/>
      <c r="B18063" s="9"/>
      <c r="C18063" s="9"/>
      <c r="D18063" s="9"/>
      <c r="E18063" s="9"/>
      <c r="F18063" s="9"/>
      <c r="G18063" s="9"/>
      <c r="H18063" s="9"/>
      <c r="I18063" s="9"/>
      <c r="J18063" s="9"/>
      <c r="K18063" s="9"/>
      <c r="L18063" s="9"/>
      <c r="M18063" s="9"/>
      <c r="N18063" s="9"/>
      <c r="O18063" s="9"/>
      <c r="P18063" s="9"/>
      <c r="Q18063" s="9"/>
      <c r="R18063" s="9"/>
      <c r="S18063" s="9"/>
      <c r="T18063" s="9"/>
      <c r="U18063" s="9"/>
      <c r="V18063" s="9"/>
      <c r="W18063" s="9"/>
      <c r="X18063" s="9"/>
      <c r="Y18063" s="9"/>
      <c r="Z18063" s="9"/>
      <c r="AA18063" s="9"/>
      <c r="AB18063" s="9"/>
      <c r="AC18063" s="9"/>
      <c r="AG18063" s="10"/>
    </row>
    <row r="18064" spans="1:33">
      <c r="A18064" s="9"/>
      <c r="B18064" s="9"/>
      <c r="C18064" s="9"/>
      <c r="D18064" s="9"/>
      <c r="E18064" s="9"/>
      <c r="F18064" s="9"/>
      <c r="G18064" s="9"/>
      <c r="H18064" s="9"/>
      <c r="I18064" s="9"/>
      <c r="J18064" s="9"/>
      <c r="K18064" s="9"/>
      <c r="L18064" s="9"/>
      <c r="M18064" s="9"/>
      <c r="N18064" s="9"/>
      <c r="O18064" s="9"/>
      <c r="P18064" s="9"/>
      <c r="Q18064" s="9"/>
      <c r="R18064" s="9"/>
      <c r="S18064" s="9"/>
      <c r="T18064" s="9"/>
      <c r="U18064" s="9"/>
      <c r="V18064" s="9"/>
      <c r="W18064" s="9"/>
      <c r="X18064" s="9"/>
      <c r="Y18064" s="9"/>
      <c r="Z18064" s="9"/>
      <c r="AA18064" s="9"/>
      <c r="AB18064" s="9"/>
      <c r="AC18064" s="9"/>
      <c r="AG18064" s="10"/>
    </row>
    <row r="18065" spans="1:33">
      <c r="A18065" s="9"/>
      <c r="B18065" s="9"/>
      <c r="C18065" s="9"/>
      <c r="D18065" s="9"/>
      <c r="E18065" s="9"/>
      <c r="F18065" s="9"/>
      <c r="G18065" s="9"/>
      <c r="H18065" s="9"/>
      <c r="I18065" s="9"/>
      <c r="J18065" s="9"/>
      <c r="K18065" s="9"/>
      <c r="L18065" s="9"/>
      <c r="M18065" s="9"/>
      <c r="N18065" s="9"/>
      <c r="O18065" s="9"/>
      <c r="P18065" s="9"/>
      <c r="Q18065" s="9"/>
      <c r="R18065" s="9"/>
      <c r="S18065" s="9"/>
      <c r="T18065" s="9"/>
      <c r="U18065" s="9"/>
      <c r="V18065" s="9"/>
      <c r="W18065" s="9"/>
      <c r="X18065" s="9"/>
      <c r="Y18065" s="9"/>
      <c r="Z18065" s="9"/>
      <c r="AA18065" s="9"/>
      <c r="AB18065" s="9"/>
      <c r="AC18065" s="9"/>
      <c r="AG18065" s="10"/>
    </row>
    <row r="18066" spans="1:33">
      <c r="A18066" s="9"/>
      <c r="B18066" s="9"/>
      <c r="C18066" s="9"/>
      <c r="D18066" s="9"/>
      <c r="E18066" s="9"/>
      <c r="F18066" s="9"/>
      <c r="G18066" s="9"/>
      <c r="H18066" s="9"/>
      <c r="I18066" s="9"/>
      <c r="J18066" s="9"/>
      <c r="K18066" s="9"/>
      <c r="L18066" s="9"/>
      <c r="M18066" s="9"/>
      <c r="N18066" s="9"/>
      <c r="O18066" s="9"/>
      <c r="P18066" s="9"/>
      <c r="Q18066" s="9"/>
      <c r="R18066" s="9"/>
      <c r="S18066" s="9"/>
      <c r="T18066" s="9"/>
      <c r="U18066" s="9"/>
      <c r="V18066" s="9"/>
      <c r="W18066" s="9"/>
      <c r="X18066" s="9"/>
      <c r="Y18066" s="9"/>
      <c r="Z18066" s="9"/>
      <c r="AA18066" s="9"/>
      <c r="AB18066" s="9"/>
      <c r="AC18066" s="9"/>
      <c r="AG18066" s="10"/>
    </row>
    <row r="18067" spans="1:33">
      <c r="A18067" s="9"/>
      <c r="B18067" s="9"/>
      <c r="C18067" s="9"/>
      <c r="D18067" s="9"/>
      <c r="E18067" s="9"/>
      <c r="F18067" s="9"/>
      <c r="G18067" s="9"/>
      <c r="H18067" s="9"/>
      <c r="I18067" s="9"/>
      <c r="J18067" s="9"/>
      <c r="K18067" s="9"/>
      <c r="L18067" s="9"/>
      <c r="M18067" s="9"/>
      <c r="N18067" s="9"/>
      <c r="O18067" s="9"/>
      <c r="P18067" s="9"/>
      <c r="Q18067" s="9"/>
      <c r="R18067" s="9"/>
      <c r="S18067" s="9"/>
      <c r="T18067" s="9"/>
      <c r="U18067" s="9"/>
      <c r="V18067" s="9"/>
      <c r="W18067" s="9"/>
      <c r="X18067" s="9"/>
      <c r="Y18067" s="9"/>
      <c r="Z18067" s="9"/>
      <c r="AA18067" s="9"/>
      <c r="AB18067" s="9"/>
      <c r="AC18067" s="9"/>
      <c r="AG18067" s="10"/>
    </row>
    <row r="18068" spans="1:33">
      <c r="A18068" s="9"/>
      <c r="B18068" s="9"/>
      <c r="C18068" s="9"/>
      <c r="D18068" s="9"/>
      <c r="E18068" s="9"/>
      <c r="F18068" s="9"/>
      <c r="G18068" s="9"/>
      <c r="H18068" s="9"/>
      <c r="I18068" s="9"/>
      <c r="J18068" s="9"/>
      <c r="K18068" s="9"/>
      <c r="L18068" s="9"/>
      <c r="M18068" s="9"/>
      <c r="N18068" s="9"/>
      <c r="O18068" s="9"/>
      <c r="P18068" s="9"/>
      <c r="Q18068" s="9"/>
      <c r="R18068" s="9"/>
      <c r="S18068" s="9"/>
      <c r="T18068" s="9"/>
      <c r="U18068" s="9"/>
      <c r="V18068" s="9"/>
      <c r="W18068" s="9"/>
      <c r="X18068" s="9"/>
      <c r="Y18068" s="9"/>
      <c r="Z18068" s="9"/>
      <c r="AA18068" s="9"/>
      <c r="AB18068" s="9"/>
      <c r="AC18068" s="9"/>
      <c r="AG18068" s="10"/>
    </row>
    <row r="18069" spans="1:33">
      <c r="A18069" s="9"/>
      <c r="B18069" s="9"/>
      <c r="C18069" s="9"/>
      <c r="D18069" s="9"/>
      <c r="E18069" s="9"/>
      <c r="F18069" s="9"/>
      <c r="G18069" s="9"/>
      <c r="H18069" s="9"/>
      <c r="I18069" s="9"/>
      <c r="J18069" s="9"/>
      <c r="K18069" s="9"/>
      <c r="L18069" s="9"/>
      <c r="M18069" s="9"/>
      <c r="N18069" s="9"/>
      <c r="O18069" s="9"/>
      <c r="P18069" s="9"/>
      <c r="Q18069" s="9"/>
      <c r="R18069" s="9"/>
      <c r="S18069" s="9"/>
      <c r="T18069" s="9"/>
      <c r="U18069" s="9"/>
      <c r="V18069" s="9"/>
      <c r="W18069" s="9"/>
      <c r="X18069" s="9"/>
      <c r="Y18069" s="9"/>
      <c r="Z18069" s="9"/>
      <c r="AA18069" s="9"/>
      <c r="AB18069" s="9"/>
      <c r="AC18069" s="9"/>
      <c r="AG18069" s="10"/>
    </row>
    <row r="18070" spans="1:33">
      <c r="A18070" s="9"/>
      <c r="B18070" s="9"/>
      <c r="C18070" s="9"/>
      <c r="D18070" s="9"/>
      <c r="E18070" s="9"/>
      <c r="F18070" s="9"/>
      <c r="G18070" s="9"/>
      <c r="H18070" s="9"/>
      <c r="I18070" s="9"/>
      <c r="J18070" s="9"/>
      <c r="K18070" s="9"/>
      <c r="L18070" s="9"/>
      <c r="M18070" s="9"/>
      <c r="N18070" s="9"/>
      <c r="O18070" s="9"/>
      <c r="P18070" s="9"/>
      <c r="Q18070" s="9"/>
      <c r="R18070" s="9"/>
      <c r="S18070" s="9"/>
      <c r="T18070" s="9"/>
      <c r="U18070" s="9"/>
      <c r="V18070" s="9"/>
      <c r="W18070" s="9"/>
      <c r="X18070" s="9"/>
      <c r="Y18070" s="9"/>
      <c r="Z18070" s="9"/>
      <c r="AA18070" s="9"/>
      <c r="AB18070" s="9"/>
      <c r="AC18070" s="9"/>
      <c r="AG18070" s="10"/>
    </row>
    <row r="18071" spans="1:33">
      <c r="A18071" s="9"/>
      <c r="B18071" s="9"/>
      <c r="C18071" s="9"/>
      <c r="D18071" s="9"/>
      <c r="E18071" s="9"/>
      <c r="F18071" s="9"/>
      <c r="G18071" s="9"/>
      <c r="H18071" s="9"/>
      <c r="I18071" s="9"/>
      <c r="J18071" s="9"/>
      <c r="K18071" s="9"/>
      <c r="L18071" s="9"/>
      <c r="M18071" s="9"/>
      <c r="N18071" s="9"/>
      <c r="O18071" s="9"/>
      <c r="P18071" s="9"/>
      <c r="Q18071" s="9"/>
      <c r="R18071" s="9"/>
      <c r="S18071" s="9"/>
      <c r="T18071" s="9"/>
      <c r="U18071" s="9"/>
      <c r="V18071" s="9"/>
      <c r="W18071" s="9"/>
      <c r="X18071" s="9"/>
      <c r="Y18071" s="9"/>
      <c r="Z18071" s="9"/>
      <c r="AA18071" s="9"/>
      <c r="AB18071" s="9"/>
      <c r="AC18071" s="9"/>
      <c r="AG18071" s="10"/>
    </row>
    <row r="18072" spans="1:33">
      <c r="A18072" s="9"/>
      <c r="B18072" s="9"/>
      <c r="C18072" s="9"/>
      <c r="D18072" s="9"/>
      <c r="E18072" s="9"/>
      <c r="F18072" s="9"/>
      <c r="G18072" s="9"/>
      <c r="H18072" s="9"/>
      <c r="I18072" s="9"/>
      <c r="J18072" s="9"/>
      <c r="K18072" s="9"/>
      <c r="L18072" s="9"/>
      <c r="M18072" s="9"/>
      <c r="N18072" s="9"/>
      <c r="O18072" s="9"/>
      <c r="P18072" s="9"/>
      <c r="Q18072" s="9"/>
      <c r="R18072" s="9"/>
      <c r="S18072" s="9"/>
      <c r="T18072" s="9"/>
      <c r="U18072" s="9"/>
      <c r="V18072" s="9"/>
      <c r="W18072" s="9"/>
      <c r="X18072" s="9"/>
      <c r="Y18072" s="9"/>
      <c r="Z18072" s="9"/>
      <c r="AA18072" s="9"/>
      <c r="AB18072" s="9"/>
      <c r="AC18072" s="9"/>
      <c r="AG18072" s="10"/>
    </row>
    <row r="18073" spans="1:33">
      <c r="A18073" s="9"/>
      <c r="B18073" s="9"/>
      <c r="C18073" s="9"/>
      <c r="D18073" s="9"/>
      <c r="E18073" s="9"/>
      <c r="F18073" s="9"/>
      <c r="G18073" s="9"/>
      <c r="H18073" s="9"/>
      <c r="I18073" s="9"/>
      <c r="J18073" s="9"/>
      <c r="K18073" s="9"/>
      <c r="L18073" s="9"/>
      <c r="M18073" s="9"/>
      <c r="N18073" s="9"/>
      <c r="O18073" s="9"/>
      <c r="P18073" s="9"/>
      <c r="Q18073" s="9"/>
      <c r="R18073" s="9"/>
      <c r="S18073" s="9"/>
      <c r="T18073" s="9"/>
      <c r="U18073" s="9"/>
      <c r="V18073" s="9"/>
      <c r="W18073" s="9"/>
      <c r="X18073" s="9"/>
      <c r="Y18073" s="9"/>
      <c r="Z18073" s="9"/>
      <c r="AA18073" s="9"/>
      <c r="AB18073" s="9"/>
      <c r="AC18073" s="9"/>
      <c r="AG18073" s="10"/>
    </row>
    <row r="18074" spans="1:33">
      <c r="A18074" s="9"/>
      <c r="B18074" s="9"/>
      <c r="C18074" s="9"/>
      <c r="D18074" s="9"/>
      <c r="E18074" s="9"/>
      <c r="F18074" s="9"/>
      <c r="G18074" s="9"/>
      <c r="H18074" s="9"/>
      <c r="I18074" s="9"/>
      <c r="J18074" s="9"/>
      <c r="K18074" s="9"/>
      <c r="L18074" s="9"/>
      <c r="M18074" s="9"/>
      <c r="N18074" s="9"/>
      <c r="O18074" s="9"/>
      <c r="P18074" s="9"/>
      <c r="Q18074" s="9"/>
      <c r="R18074" s="9"/>
      <c r="S18074" s="9"/>
      <c r="T18074" s="9"/>
      <c r="U18074" s="9"/>
      <c r="V18074" s="9"/>
      <c r="W18074" s="9"/>
      <c r="X18074" s="9"/>
      <c r="Y18074" s="9"/>
      <c r="Z18074" s="9"/>
      <c r="AA18074" s="9"/>
      <c r="AB18074" s="9"/>
      <c r="AC18074" s="9"/>
      <c r="AG18074" s="10"/>
    </row>
    <row r="18075" spans="1:33">
      <c r="A18075" s="9"/>
      <c r="B18075" s="9"/>
      <c r="C18075" s="9"/>
      <c r="D18075" s="9"/>
      <c r="E18075" s="9"/>
      <c r="F18075" s="9"/>
      <c r="G18075" s="9"/>
      <c r="H18075" s="9"/>
      <c r="I18075" s="9"/>
      <c r="J18075" s="9"/>
      <c r="K18075" s="9"/>
      <c r="L18075" s="9"/>
      <c r="M18075" s="9"/>
      <c r="N18075" s="9"/>
      <c r="O18075" s="9"/>
      <c r="P18075" s="9"/>
      <c r="Q18075" s="9"/>
      <c r="R18075" s="9"/>
      <c r="S18075" s="9"/>
      <c r="T18075" s="9"/>
      <c r="U18075" s="9"/>
      <c r="V18075" s="9"/>
      <c r="W18075" s="9"/>
      <c r="X18075" s="9"/>
      <c r="Y18075" s="9"/>
      <c r="Z18075" s="9"/>
      <c r="AA18075" s="9"/>
      <c r="AB18075" s="9"/>
      <c r="AC18075" s="9"/>
      <c r="AG18075" s="10"/>
    </row>
    <row r="18076" spans="1:33">
      <c r="A18076" s="9"/>
      <c r="B18076" s="9"/>
      <c r="C18076" s="9"/>
      <c r="D18076" s="9"/>
      <c r="E18076" s="9"/>
      <c r="F18076" s="9"/>
      <c r="G18076" s="9"/>
      <c r="H18076" s="9"/>
      <c r="I18076" s="9"/>
      <c r="J18076" s="9"/>
      <c r="K18076" s="9"/>
      <c r="L18076" s="9"/>
      <c r="M18076" s="9"/>
      <c r="N18076" s="9"/>
      <c r="O18076" s="9"/>
      <c r="P18076" s="9"/>
      <c r="Q18076" s="9"/>
      <c r="R18076" s="9"/>
      <c r="S18076" s="9"/>
      <c r="T18076" s="9"/>
      <c r="U18076" s="9"/>
      <c r="V18076" s="9"/>
      <c r="W18076" s="9"/>
      <c r="X18076" s="9"/>
      <c r="Y18076" s="9"/>
      <c r="Z18076" s="9"/>
      <c r="AA18076" s="9"/>
      <c r="AB18076" s="9"/>
      <c r="AC18076" s="9"/>
      <c r="AG18076" s="10"/>
    </row>
    <row r="18077" spans="1:33">
      <c r="A18077" s="9"/>
      <c r="B18077" s="9"/>
      <c r="C18077" s="9"/>
      <c r="D18077" s="9"/>
      <c r="E18077" s="9"/>
      <c r="F18077" s="9"/>
      <c r="G18077" s="9"/>
      <c r="H18077" s="9"/>
      <c r="I18077" s="9"/>
      <c r="J18077" s="9"/>
      <c r="K18077" s="9"/>
      <c r="L18077" s="9"/>
      <c r="M18077" s="9"/>
      <c r="N18077" s="9"/>
      <c r="O18077" s="9"/>
      <c r="P18077" s="9"/>
      <c r="Q18077" s="9"/>
      <c r="R18077" s="9"/>
      <c r="S18077" s="9"/>
      <c r="T18077" s="9"/>
      <c r="U18077" s="9"/>
      <c r="V18077" s="9"/>
      <c r="W18077" s="9"/>
      <c r="X18077" s="9"/>
      <c r="Y18077" s="9"/>
      <c r="Z18077" s="9"/>
      <c r="AA18077" s="9"/>
      <c r="AB18077" s="9"/>
      <c r="AC18077" s="9"/>
      <c r="AG18077" s="10"/>
    </row>
    <row r="18078" spans="1:33">
      <c r="A18078" s="9"/>
      <c r="B18078" s="9"/>
      <c r="C18078" s="9"/>
      <c r="D18078" s="9"/>
      <c r="E18078" s="9"/>
      <c r="F18078" s="9"/>
      <c r="G18078" s="9"/>
      <c r="H18078" s="9"/>
      <c r="I18078" s="9"/>
      <c r="J18078" s="9"/>
      <c r="K18078" s="9"/>
      <c r="L18078" s="9"/>
      <c r="M18078" s="9"/>
      <c r="N18078" s="9"/>
      <c r="O18078" s="9"/>
      <c r="P18078" s="9"/>
      <c r="Q18078" s="9"/>
      <c r="R18078" s="9"/>
      <c r="S18078" s="9"/>
      <c r="T18078" s="9"/>
      <c r="U18078" s="9"/>
      <c r="V18078" s="9"/>
      <c r="W18078" s="9"/>
      <c r="X18078" s="9"/>
      <c r="Y18078" s="9"/>
      <c r="Z18078" s="9"/>
      <c r="AA18078" s="9"/>
      <c r="AB18078" s="9"/>
      <c r="AC18078" s="9"/>
      <c r="AG18078" s="10"/>
    </row>
    <row r="18079" spans="1:33">
      <c r="A18079" s="9"/>
      <c r="B18079" s="9"/>
      <c r="C18079" s="9"/>
      <c r="D18079" s="9"/>
      <c r="E18079" s="9"/>
      <c r="F18079" s="9"/>
      <c r="G18079" s="9"/>
      <c r="H18079" s="9"/>
      <c r="I18079" s="9"/>
      <c r="J18079" s="9"/>
      <c r="K18079" s="9"/>
      <c r="L18079" s="9"/>
      <c r="M18079" s="9"/>
      <c r="N18079" s="9"/>
      <c r="O18079" s="9"/>
      <c r="P18079" s="9"/>
      <c r="Q18079" s="9"/>
      <c r="R18079" s="9"/>
      <c r="S18079" s="9"/>
      <c r="T18079" s="9"/>
      <c r="U18079" s="9"/>
      <c r="V18079" s="9"/>
      <c r="W18079" s="9"/>
      <c r="X18079" s="9"/>
      <c r="Y18079" s="9"/>
      <c r="Z18079" s="9"/>
      <c r="AA18079" s="9"/>
      <c r="AB18079" s="9"/>
      <c r="AC18079" s="9"/>
      <c r="AG18079" s="10"/>
    </row>
    <row r="18080" spans="1:33">
      <c r="A18080" s="9"/>
      <c r="B18080" s="9"/>
      <c r="C18080" s="9"/>
      <c r="D18080" s="9"/>
      <c r="E18080" s="9"/>
      <c r="F18080" s="9"/>
      <c r="G18080" s="9"/>
      <c r="H18080" s="9"/>
      <c r="I18080" s="9"/>
      <c r="J18080" s="9"/>
      <c r="K18080" s="9"/>
      <c r="L18080" s="9"/>
      <c r="M18080" s="9"/>
      <c r="N18080" s="9"/>
      <c r="O18080" s="9"/>
      <c r="P18080" s="9"/>
      <c r="Q18080" s="9"/>
      <c r="R18080" s="9"/>
      <c r="S18080" s="9"/>
      <c r="T18080" s="9"/>
      <c r="U18080" s="9"/>
      <c r="V18080" s="9"/>
      <c r="W18080" s="9"/>
      <c r="X18080" s="9"/>
      <c r="Y18080" s="9"/>
      <c r="Z18080" s="9"/>
      <c r="AA18080" s="9"/>
      <c r="AB18080" s="9"/>
      <c r="AC18080" s="9"/>
      <c r="AG18080" s="10"/>
    </row>
    <row r="18081" spans="1:33">
      <c r="A18081" s="9"/>
      <c r="B18081" s="9"/>
      <c r="C18081" s="9"/>
      <c r="D18081" s="9"/>
      <c r="E18081" s="9"/>
      <c r="F18081" s="9"/>
      <c r="G18081" s="9"/>
      <c r="H18081" s="9"/>
      <c r="I18081" s="9"/>
      <c r="J18081" s="9"/>
      <c r="K18081" s="9"/>
      <c r="L18081" s="9"/>
      <c r="M18081" s="9"/>
      <c r="N18081" s="9"/>
      <c r="O18081" s="9"/>
      <c r="P18081" s="9"/>
      <c r="Q18081" s="9"/>
      <c r="R18081" s="9"/>
      <c r="S18081" s="9"/>
      <c r="T18081" s="9"/>
      <c r="U18081" s="9"/>
      <c r="V18081" s="9"/>
      <c r="W18081" s="9"/>
      <c r="X18081" s="9"/>
      <c r="Y18081" s="9"/>
      <c r="Z18081" s="9"/>
      <c r="AA18081" s="9"/>
      <c r="AB18081" s="9"/>
      <c r="AC18081" s="9"/>
      <c r="AG18081" s="10"/>
    </row>
    <row r="18082" spans="1:33">
      <c r="A18082" s="9"/>
      <c r="B18082" s="9"/>
      <c r="C18082" s="9"/>
      <c r="D18082" s="9"/>
      <c r="E18082" s="9"/>
      <c r="F18082" s="9"/>
      <c r="G18082" s="9"/>
      <c r="H18082" s="9"/>
      <c r="I18082" s="9"/>
      <c r="J18082" s="9"/>
      <c r="K18082" s="9"/>
      <c r="L18082" s="9"/>
      <c r="M18082" s="9"/>
      <c r="N18082" s="9"/>
      <c r="O18082" s="9"/>
      <c r="P18082" s="9"/>
      <c r="Q18082" s="9"/>
      <c r="R18082" s="9"/>
      <c r="S18082" s="9"/>
      <c r="T18082" s="9"/>
      <c r="U18082" s="9"/>
      <c r="V18082" s="9"/>
      <c r="W18082" s="9"/>
      <c r="X18082" s="9"/>
      <c r="Y18082" s="9"/>
      <c r="Z18082" s="9"/>
      <c r="AA18082" s="9"/>
      <c r="AB18082" s="9"/>
      <c r="AC18082" s="9"/>
      <c r="AG18082" s="10"/>
    </row>
    <row r="18083" spans="1:33">
      <c r="A18083" s="9"/>
      <c r="B18083" s="9"/>
      <c r="C18083" s="9"/>
      <c r="D18083" s="9"/>
      <c r="E18083" s="9"/>
      <c r="F18083" s="9"/>
      <c r="G18083" s="9"/>
      <c r="H18083" s="9"/>
      <c r="I18083" s="9"/>
      <c r="J18083" s="9"/>
      <c r="K18083" s="9"/>
      <c r="L18083" s="9"/>
      <c r="M18083" s="9"/>
      <c r="N18083" s="9"/>
      <c r="O18083" s="9"/>
      <c r="P18083" s="9"/>
      <c r="Q18083" s="9"/>
      <c r="R18083" s="9"/>
      <c r="S18083" s="9"/>
      <c r="T18083" s="9"/>
      <c r="U18083" s="9"/>
      <c r="V18083" s="9"/>
      <c r="W18083" s="9"/>
      <c r="X18083" s="9"/>
      <c r="Y18083" s="9"/>
      <c r="Z18083" s="9"/>
      <c r="AA18083" s="9"/>
      <c r="AB18083" s="9"/>
      <c r="AC18083" s="9"/>
      <c r="AG18083" s="10"/>
    </row>
    <row r="18084" spans="1:33">
      <c r="A18084" s="9"/>
      <c r="B18084" s="9"/>
      <c r="C18084" s="9"/>
      <c r="D18084" s="9"/>
      <c r="E18084" s="9"/>
      <c r="F18084" s="9"/>
      <c r="G18084" s="9"/>
      <c r="H18084" s="9"/>
      <c r="I18084" s="9"/>
      <c r="J18084" s="9"/>
      <c r="K18084" s="9"/>
      <c r="L18084" s="9"/>
      <c r="M18084" s="9"/>
      <c r="N18084" s="9"/>
      <c r="O18084" s="9"/>
      <c r="P18084" s="9"/>
      <c r="Q18084" s="9"/>
      <c r="R18084" s="9"/>
      <c r="S18084" s="9"/>
      <c r="T18084" s="9"/>
      <c r="U18084" s="9"/>
      <c r="V18084" s="9"/>
      <c r="W18084" s="9"/>
      <c r="X18084" s="9"/>
      <c r="Y18084" s="9"/>
      <c r="Z18084" s="9"/>
      <c r="AA18084" s="9"/>
      <c r="AB18084" s="9"/>
      <c r="AC18084" s="9"/>
      <c r="AG18084" s="10"/>
    </row>
    <row r="18085" spans="1:33">
      <c r="A18085" s="9"/>
      <c r="B18085" s="9"/>
      <c r="C18085" s="9"/>
      <c r="D18085" s="9"/>
      <c r="E18085" s="9"/>
      <c r="F18085" s="9"/>
      <c r="G18085" s="9"/>
      <c r="H18085" s="9"/>
      <c r="I18085" s="9"/>
      <c r="J18085" s="9"/>
      <c r="K18085" s="9"/>
      <c r="L18085" s="9"/>
      <c r="M18085" s="9"/>
      <c r="N18085" s="9"/>
      <c r="O18085" s="9"/>
      <c r="P18085" s="9"/>
      <c r="Q18085" s="9"/>
      <c r="R18085" s="9"/>
      <c r="S18085" s="9"/>
      <c r="T18085" s="9"/>
      <c r="U18085" s="9"/>
      <c r="V18085" s="9"/>
      <c r="W18085" s="9"/>
      <c r="X18085" s="9"/>
      <c r="Y18085" s="9"/>
      <c r="Z18085" s="9"/>
      <c r="AA18085" s="9"/>
      <c r="AB18085" s="9"/>
      <c r="AC18085" s="9"/>
      <c r="AG18085" s="10"/>
    </row>
    <row r="18086" spans="1:33">
      <c r="A18086" s="9"/>
      <c r="B18086" s="9"/>
      <c r="C18086" s="9"/>
      <c r="D18086" s="9"/>
      <c r="E18086" s="9"/>
      <c r="F18086" s="9"/>
      <c r="G18086" s="9"/>
      <c r="H18086" s="9"/>
      <c r="I18086" s="9"/>
      <c r="J18086" s="9"/>
      <c r="K18086" s="9"/>
      <c r="L18086" s="9"/>
      <c r="M18086" s="9"/>
      <c r="N18086" s="9"/>
      <c r="O18086" s="9"/>
      <c r="P18086" s="9"/>
      <c r="Q18086" s="9"/>
      <c r="R18086" s="9"/>
      <c r="S18086" s="9"/>
      <c r="T18086" s="9"/>
      <c r="U18086" s="9"/>
      <c r="V18086" s="9"/>
      <c r="W18086" s="9"/>
      <c r="X18086" s="9"/>
      <c r="Y18086" s="9"/>
      <c r="Z18086" s="9"/>
      <c r="AA18086" s="9"/>
      <c r="AB18086" s="9"/>
      <c r="AC18086" s="9"/>
      <c r="AG18086" s="10"/>
    </row>
    <row r="18087" spans="1:33">
      <c r="A18087" s="9"/>
      <c r="B18087" s="9"/>
      <c r="C18087" s="9"/>
      <c r="D18087" s="9"/>
      <c r="E18087" s="9"/>
      <c r="F18087" s="9"/>
      <c r="G18087" s="9"/>
      <c r="H18087" s="9"/>
      <c r="I18087" s="9"/>
      <c r="J18087" s="9"/>
      <c r="K18087" s="9"/>
      <c r="L18087" s="9"/>
      <c r="M18087" s="9"/>
      <c r="N18087" s="9"/>
      <c r="O18087" s="9"/>
      <c r="P18087" s="9"/>
      <c r="Q18087" s="9"/>
      <c r="R18087" s="9"/>
      <c r="S18087" s="9"/>
      <c r="T18087" s="9"/>
      <c r="U18087" s="9"/>
      <c r="V18087" s="9"/>
      <c r="W18087" s="9"/>
      <c r="X18087" s="9"/>
      <c r="Y18087" s="9"/>
      <c r="Z18087" s="9"/>
      <c r="AA18087" s="9"/>
      <c r="AB18087" s="9"/>
      <c r="AC18087" s="9"/>
      <c r="AG18087" s="10"/>
    </row>
    <row r="18088" spans="1:33">
      <c r="A18088" s="9"/>
      <c r="B18088" s="9"/>
      <c r="C18088" s="9"/>
      <c r="D18088" s="9"/>
      <c r="E18088" s="9"/>
      <c r="F18088" s="9"/>
      <c r="G18088" s="9"/>
      <c r="H18088" s="9"/>
      <c r="I18088" s="9"/>
      <c r="J18088" s="9"/>
      <c r="K18088" s="9"/>
      <c r="L18088" s="9"/>
      <c r="M18088" s="9"/>
      <c r="N18088" s="9"/>
      <c r="O18088" s="9"/>
      <c r="P18088" s="9"/>
      <c r="Q18088" s="9"/>
      <c r="R18088" s="9"/>
      <c r="S18088" s="9"/>
      <c r="T18088" s="9"/>
      <c r="U18088" s="9"/>
      <c r="V18088" s="9"/>
      <c r="W18088" s="9"/>
      <c r="X18088" s="9"/>
      <c r="Y18088" s="9"/>
      <c r="Z18088" s="9"/>
      <c r="AA18088" s="9"/>
      <c r="AB18088" s="9"/>
      <c r="AC18088" s="9"/>
      <c r="AG18088" s="10"/>
    </row>
    <row r="18089" spans="1:33">
      <c r="A18089" s="9"/>
      <c r="B18089" s="9"/>
      <c r="C18089" s="9"/>
      <c r="D18089" s="9"/>
      <c r="E18089" s="9"/>
      <c r="F18089" s="9"/>
      <c r="G18089" s="9"/>
      <c r="H18089" s="9"/>
      <c r="I18089" s="9"/>
      <c r="J18089" s="9"/>
      <c r="K18089" s="9"/>
      <c r="L18089" s="9"/>
      <c r="M18089" s="9"/>
      <c r="N18089" s="9"/>
      <c r="O18089" s="9"/>
      <c r="P18089" s="9"/>
      <c r="Q18089" s="9"/>
      <c r="R18089" s="9"/>
      <c r="S18089" s="9"/>
      <c r="T18089" s="9"/>
      <c r="U18089" s="9"/>
      <c r="V18089" s="9"/>
      <c r="W18089" s="9"/>
      <c r="X18089" s="9"/>
      <c r="Y18089" s="9"/>
      <c r="Z18089" s="9"/>
      <c r="AA18089" s="9"/>
      <c r="AB18089" s="9"/>
      <c r="AC18089" s="9"/>
      <c r="AG18089" s="10"/>
    </row>
    <row r="18090" spans="1:33">
      <c r="A18090" s="9"/>
      <c r="B18090" s="9"/>
      <c r="C18090" s="9"/>
      <c r="D18090" s="9"/>
      <c r="E18090" s="9"/>
      <c r="F18090" s="9"/>
      <c r="G18090" s="9"/>
      <c r="H18090" s="9"/>
      <c r="I18090" s="9"/>
      <c r="J18090" s="9"/>
      <c r="K18090" s="9"/>
      <c r="L18090" s="9"/>
      <c r="M18090" s="9"/>
      <c r="N18090" s="9"/>
      <c r="O18090" s="9"/>
      <c r="P18090" s="9"/>
      <c r="Q18090" s="9"/>
      <c r="R18090" s="9"/>
      <c r="S18090" s="9"/>
      <c r="T18090" s="9"/>
      <c r="U18090" s="9"/>
      <c r="V18090" s="9"/>
      <c r="W18090" s="9"/>
      <c r="X18090" s="9"/>
      <c r="Y18090" s="9"/>
      <c r="Z18090" s="9"/>
      <c r="AA18090" s="9"/>
      <c r="AB18090" s="9"/>
      <c r="AC18090" s="9"/>
      <c r="AG18090" s="10"/>
    </row>
    <row r="18091" spans="1:33">
      <c r="A18091" s="9"/>
      <c r="B18091" s="9"/>
      <c r="C18091" s="9"/>
      <c r="D18091" s="9"/>
      <c r="E18091" s="9"/>
      <c r="F18091" s="9"/>
      <c r="G18091" s="9"/>
      <c r="H18091" s="9"/>
      <c r="I18091" s="9"/>
      <c r="J18091" s="9"/>
      <c r="K18091" s="9"/>
      <c r="L18091" s="9"/>
      <c r="M18091" s="9"/>
      <c r="N18091" s="9"/>
      <c r="O18091" s="9"/>
      <c r="P18091" s="9"/>
      <c r="Q18091" s="9"/>
      <c r="R18091" s="9"/>
      <c r="S18091" s="9"/>
      <c r="T18091" s="9"/>
      <c r="U18091" s="9"/>
      <c r="V18091" s="9"/>
      <c r="W18091" s="9"/>
      <c r="X18091" s="9"/>
      <c r="Y18091" s="9"/>
      <c r="Z18091" s="9"/>
      <c r="AA18091" s="9"/>
      <c r="AB18091" s="9"/>
      <c r="AC18091" s="9"/>
      <c r="AG18091" s="10"/>
    </row>
    <row r="18092" spans="1:33">
      <c r="A18092" s="9"/>
      <c r="B18092" s="9"/>
      <c r="C18092" s="9"/>
      <c r="D18092" s="9"/>
      <c r="E18092" s="9"/>
      <c r="F18092" s="9"/>
      <c r="G18092" s="9"/>
      <c r="H18092" s="9"/>
      <c r="I18092" s="9"/>
      <c r="J18092" s="9"/>
      <c r="K18092" s="9"/>
      <c r="L18092" s="9"/>
      <c r="M18092" s="9"/>
      <c r="N18092" s="9"/>
      <c r="O18092" s="9"/>
      <c r="P18092" s="9"/>
      <c r="Q18092" s="9"/>
      <c r="R18092" s="9"/>
      <c r="S18092" s="9"/>
      <c r="T18092" s="9"/>
      <c r="U18092" s="9"/>
      <c r="V18092" s="9"/>
      <c r="W18092" s="9"/>
      <c r="X18092" s="9"/>
      <c r="Y18092" s="9"/>
      <c r="Z18092" s="9"/>
      <c r="AA18092" s="9"/>
      <c r="AB18092" s="9"/>
      <c r="AC18092" s="9"/>
      <c r="AG18092" s="10"/>
    </row>
    <row r="18093" spans="1:33">
      <c r="A18093" s="9"/>
      <c r="B18093" s="9"/>
      <c r="C18093" s="9"/>
      <c r="D18093" s="9"/>
      <c r="E18093" s="9"/>
      <c r="F18093" s="9"/>
      <c r="G18093" s="9"/>
      <c r="H18093" s="9"/>
      <c r="I18093" s="9"/>
      <c r="J18093" s="9"/>
      <c r="K18093" s="9"/>
      <c r="L18093" s="9"/>
      <c r="M18093" s="9"/>
      <c r="N18093" s="9"/>
      <c r="O18093" s="9"/>
      <c r="P18093" s="9"/>
      <c r="Q18093" s="9"/>
      <c r="R18093" s="9"/>
      <c r="S18093" s="9"/>
      <c r="T18093" s="9"/>
      <c r="U18093" s="9"/>
      <c r="V18093" s="9"/>
      <c r="W18093" s="9"/>
      <c r="X18093" s="9"/>
      <c r="Y18093" s="9"/>
      <c r="Z18093" s="9"/>
      <c r="AA18093" s="9"/>
      <c r="AB18093" s="9"/>
      <c r="AC18093" s="9"/>
      <c r="AG18093" s="10"/>
    </row>
    <row r="18094" spans="1:33">
      <c r="A18094" s="9"/>
      <c r="B18094" s="9"/>
      <c r="C18094" s="9"/>
      <c r="D18094" s="9"/>
      <c r="E18094" s="9"/>
      <c r="F18094" s="9"/>
      <c r="G18094" s="9"/>
      <c r="H18094" s="9"/>
      <c r="I18094" s="9"/>
      <c r="J18094" s="9"/>
      <c r="K18094" s="9"/>
      <c r="L18094" s="9"/>
      <c r="M18094" s="9"/>
      <c r="N18094" s="9"/>
      <c r="O18094" s="9"/>
      <c r="P18094" s="9"/>
      <c r="Q18094" s="9"/>
      <c r="R18094" s="9"/>
      <c r="S18094" s="9"/>
      <c r="T18094" s="9"/>
      <c r="U18094" s="9"/>
      <c r="V18094" s="9"/>
      <c r="W18094" s="9"/>
      <c r="X18094" s="9"/>
      <c r="Y18094" s="9"/>
      <c r="Z18094" s="9"/>
      <c r="AA18094" s="9"/>
      <c r="AB18094" s="9"/>
      <c r="AC18094" s="9"/>
      <c r="AG18094" s="10"/>
    </row>
    <row r="18095" spans="1:33">
      <c r="A18095" s="9"/>
      <c r="B18095" s="9"/>
      <c r="C18095" s="9"/>
      <c r="D18095" s="9"/>
      <c r="E18095" s="9"/>
      <c r="F18095" s="9"/>
      <c r="G18095" s="9"/>
      <c r="H18095" s="9"/>
      <c r="I18095" s="9"/>
      <c r="J18095" s="9"/>
      <c r="K18095" s="9"/>
      <c r="L18095" s="9"/>
      <c r="M18095" s="9"/>
      <c r="N18095" s="9"/>
      <c r="O18095" s="9"/>
      <c r="P18095" s="9"/>
      <c r="Q18095" s="9"/>
      <c r="R18095" s="9"/>
      <c r="S18095" s="9"/>
      <c r="T18095" s="9"/>
      <c r="U18095" s="9"/>
      <c r="V18095" s="9"/>
      <c r="W18095" s="9"/>
      <c r="X18095" s="9"/>
      <c r="Y18095" s="9"/>
      <c r="Z18095" s="9"/>
      <c r="AA18095" s="9"/>
      <c r="AB18095" s="9"/>
      <c r="AC18095" s="9"/>
      <c r="AG18095" s="10"/>
    </row>
    <row r="18096" spans="1:33">
      <c r="A18096" s="9"/>
      <c r="B18096" s="9"/>
      <c r="C18096" s="9"/>
      <c r="D18096" s="9"/>
      <c r="E18096" s="9"/>
      <c r="F18096" s="9"/>
      <c r="G18096" s="9"/>
      <c r="H18096" s="9"/>
      <c r="I18096" s="9"/>
      <c r="J18096" s="9"/>
      <c r="K18096" s="9"/>
      <c r="L18096" s="9"/>
      <c r="M18096" s="9"/>
      <c r="N18096" s="9"/>
      <c r="O18096" s="9"/>
      <c r="P18096" s="9"/>
      <c r="Q18096" s="9"/>
      <c r="R18096" s="9"/>
      <c r="S18096" s="9"/>
      <c r="T18096" s="9"/>
      <c r="U18096" s="9"/>
      <c r="V18096" s="9"/>
      <c r="W18096" s="9"/>
      <c r="X18096" s="9"/>
      <c r="Y18096" s="9"/>
      <c r="Z18096" s="9"/>
      <c r="AA18096" s="9"/>
      <c r="AB18096" s="9"/>
      <c r="AC18096" s="9"/>
      <c r="AG18096" s="10"/>
    </row>
    <row r="18097" spans="1:33">
      <c r="A18097" s="9"/>
      <c r="B18097" s="9"/>
      <c r="C18097" s="9"/>
      <c r="D18097" s="9"/>
      <c r="E18097" s="9"/>
      <c r="F18097" s="9"/>
      <c r="G18097" s="9"/>
      <c r="H18097" s="9"/>
      <c r="I18097" s="9"/>
      <c r="J18097" s="9"/>
      <c r="K18097" s="9"/>
      <c r="L18097" s="9"/>
      <c r="M18097" s="9"/>
      <c r="N18097" s="9"/>
      <c r="O18097" s="9"/>
      <c r="P18097" s="9"/>
      <c r="Q18097" s="9"/>
      <c r="R18097" s="9"/>
      <c r="S18097" s="9"/>
      <c r="T18097" s="9"/>
      <c r="U18097" s="9"/>
      <c r="V18097" s="9"/>
      <c r="W18097" s="9"/>
      <c r="X18097" s="9"/>
      <c r="Y18097" s="9"/>
      <c r="Z18097" s="9"/>
      <c r="AA18097" s="9"/>
      <c r="AB18097" s="9"/>
      <c r="AC18097" s="9"/>
      <c r="AG18097" s="10"/>
    </row>
    <row r="18098" spans="1:33">
      <c r="A18098" s="9"/>
      <c r="B18098" s="9"/>
      <c r="C18098" s="9"/>
      <c r="D18098" s="9"/>
      <c r="E18098" s="9"/>
      <c r="F18098" s="9"/>
      <c r="G18098" s="9"/>
      <c r="H18098" s="9"/>
      <c r="I18098" s="9"/>
      <c r="J18098" s="9"/>
      <c r="K18098" s="9"/>
      <c r="L18098" s="9"/>
      <c r="M18098" s="9"/>
      <c r="N18098" s="9"/>
      <c r="O18098" s="9"/>
      <c r="P18098" s="9"/>
      <c r="Q18098" s="9"/>
      <c r="R18098" s="9"/>
      <c r="S18098" s="9"/>
      <c r="T18098" s="9"/>
      <c r="U18098" s="9"/>
      <c r="V18098" s="9"/>
      <c r="W18098" s="9"/>
      <c r="X18098" s="9"/>
      <c r="Y18098" s="9"/>
      <c r="Z18098" s="9"/>
      <c r="AA18098" s="9"/>
      <c r="AB18098" s="9"/>
      <c r="AC18098" s="9"/>
      <c r="AG18098" s="10"/>
    </row>
    <row r="18099" spans="1:33">
      <c r="A18099" s="9"/>
      <c r="B18099" s="9"/>
      <c r="C18099" s="9"/>
      <c r="D18099" s="9"/>
      <c r="E18099" s="9"/>
      <c r="F18099" s="9"/>
      <c r="G18099" s="9"/>
      <c r="H18099" s="9"/>
      <c r="I18099" s="9"/>
      <c r="J18099" s="9"/>
      <c r="K18099" s="9"/>
      <c r="L18099" s="9"/>
      <c r="M18099" s="9"/>
      <c r="N18099" s="9"/>
      <c r="O18099" s="9"/>
      <c r="P18099" s="9"/>
      <c r="Q18099" s="9"/>
      <c r="R18099" s="9"/>
      <c r="S18099" s="9"/>
      <c r="T18099" s="9"/>
      <c r="U18099" s="9"/>
      <c r="V18099" s="9"/>
      <c r="W18099" s="9"/>
      <c r="X18099" s="9"/>
      <c r="Y18099" s="9"/>
      <c r="Z18099" s="9"/>
      <c r="AA18099" s="9"/>
      <c r="AB18099" s="9"/>
      <c r="AC18099" s="9"/>
      <c r="AG18099" s="10"/>
    </row>
    <row r="18100" spans="1:33">
      <c r="A18100" s="9"/>
      <c r="B18100" s="9"/>
      <c r="C18100" s="9"/>
      <c r="D18100" s="9"/>
      <c r="E18100" s="9"/>
      <c r="F18100" s="9"/>
      <c r="G18100" s="9"/>
      <c r="H18100" s="9"/>
      <c r="I18100" s="9"/>
      <c r="J18100" s="9"/>
      <c r="K18100" s="9"/>
      <c r="L18100" s="9"/>
      <c r="M18100" s="9"/>
      <c r="N18100" s="9"/>
      <c r="O18100" s="9"/>
      <c r="P18100" s="9"/>
      <c r="Q18100" s="9"/>
      <c r="R18100" s="9"/>
      <c r="S18100" s="9"/>
      <c r="T18100" s="9"/>
      <c r="U18100" s="9"/>
      <c r="V18100" s="9"/>
      <c r="W18100" s="9"/>
      <c r="X18100" s="9"/>
      <c r="Y18100" s="9"/>
      <c r="Z18100" s="9"/>
      <c r="AA18100" s="9"/>
      <c r="AB18100" s="9"/>
      <c r="AC18100" s="9"/>
      <c r="AG18100" s="10"/>
    </row>
    <row r="18101" spans="1:33">
      <c r="A18101" s="9"/>
      <c r="B18101" s="9"/>
      <c r="C18101" s="9"/>
      <c r="D18101" s="9"/>
      <c r="E18101" s="9"/>
      <c r="F18101" s="9"/>
      <c r="G18101" s="9"/>
      <c r="H18101" s="9"/>
      <c r="I18101" s="9"/>
      <c r="J18101" s="9"/>
      <c r="K18101" s="9"/>
      <c r="L18101" s="9"/>
      <c r="M18101" s="9"/>
      <c r="N18101" s="9"/>
      <c r="O18101" s="9"/>
      <c r="P18101" s="9"/>
      <c r="Q18101" s="9"/>
      <c r="R18101" s="9"/>
      <c r="S18101" s="9"/>
      <c r="T18101" s="9"/>
      <c r="U18101" s="9"/>
      <c r="V18101" s="9"/>
      <c r="W18101" s="9"/>
      <c r="X18101" s="9"/>
      <c r="Y18101" s="9"/>
      <c r="Z18101" s="9"/>
      <c r="AA18101" s="9"/>
      <c r="AB18101" s="9"/>
      <c r="AC18101" s="9"/>
      <c r="AG18101" s="10"/>
    </row>
    <row r="18102" spans="1:33">
      <c r="A18102" s="9"/>
      <c r="B18102" s="9"/>
      <c r="C18102" s="9"/>
      <c r="D18102" s="9"/>
      <c r="E18102" s="9"/>
      <c r="F18102" s="9"/>
      <c r="G18102" s="9"/>
      <c r="H18102" s="9"/>
      <c r="I18102" s="9"/>
      <c r="J18102" s="9"/>
      <c r="K18102" s="9"/>
      <c r="L18102" s="9"/>
      <c r="M18102" s="9"/>
      <c r="N18102" s="9"/>
      <c r="O18102" s="9"/>
      <c r="P18102" s="9"/>
      <c r="Q18102" s="9"/>
      <c r="R18102" s="9"/>
      <c r="S18102" s="9"/>
      <c r="T18102" s="9"/>
      <c r="U18102" s="9"/>
      <c r="V18102" s="9"/>
      <c r="W18102" s="9"/>
      <c r="X18102" s="9"/>
      <c r="Y18102" s="9"/>
      <c r="Z18102" s="9"/>
      <c r="AA18102" s="9"/>
      <c r="AB18102" s="9"/>
      <c r="AC18102" s="9"/>
      <c r="AG18102" s="10"/>
    </row>
    <row r="18103" spans="1:33">
      <c r="A18103" s="9"/>
      <c r="B18103" s="9"/>
      <c r="C18103" s="9"/>
      <c r="D18103" s="9"/>
      <c r="E18103" s="9"/>
      <c r="F18103" s="9"/>
      <c r="G18103" s="9"/>
      <c r="H18103" s="9"/>
      <c r="I18103" s="9"/>
      <c r="J18103" s="9"/>
      <c r="K18103" s="9"/>
      <c r="L18103" s="9"/>
      <c r="M18103" s="9"/>
      <c r="N18103" s="9"/>
      <c r="O18103" s="9"/>
      <c r="P18103" s="9"/>
      <c r="Q18103" s="9"/>
      <c r="R18103" s="9"/>
      <c r="S18103" s="9"/>
      <c r="T18103" s="9"/>
      <c r="U18103" s="9"/>
      <c r="V18103" s="9"/>
      <c r="W18103" s="9"/>
      <c r="X18103" s="9"/>
      <c r="Y18103" s="9"/>
      <c r="Z18103" s="9"/>
      <c r="AA18103" s="9"/>
      <c r="AB18103" s="9"/>
      <c r="AC18103" s="9"/>
      <c r="AG18103" s="10"/>
    </row>
    <row r="18104" spans="1:33">
      <c r="A18104" s="9"/>
      <c r="B18104" s="9"/>
      <c r="C18104" s="9"/>
      <c r="D18104" s="9"/>
      <c r="E18104" s="9"/>
      <c r="F18104" s="9"/>
      <c r="G18104" s="9"/>
      <c r="H18104" s="9"/>
      <c r="I18104" s="9"/>
      <c r="J18104" s="9"/>
      <c r="K18104" s="9"/>
      <c r="L18104" s="9"/>
      <c r="M18104" s="9"/>
      <c r="N18104" s="9"/>
      <c r="O18104" s="9"/>
      <c r="P18104" s="9"/>
      <c r="Q18104" s="9"/>
      <c r="R18104" s="9"/>
      <c r="S18104" s="9"/>
      <c r="T18104" s="9"/>
      <c r="U18104" s="9"/>
      <c r="V18104" s="9"/>
      <c r="W18104" s="9"/>
      <c r="X18104" s="9"/>
      <c r="Y18104" s="9"/>
      <c r="Z18104" s="9"/>
      <c r="AA18104" s="9"/>
      <c r="AB18104" s="9"/>
      <c r="AC18104" s="9"/>
      <c r="AG18104" s="10"/>
    </row>
    <row r="18105" spans="1:33">
      <c r="A18105" s="9"/>
      <c r="B18105" s="9"/>
      <c r="C18105" s="9"/>
      <c r="D18105" s="9"/>
      <c r="E18105" s="9"/>
      <c r="F18105" s="9"/>
      <c r="G18105" s="9"/>
      <c r="H18105" s="9"/>
      <c r="I18105" s="9"/>
      <c r="J18105" s="9"/>
      <c r="K18105" s="9"/>
      <c r="L18105" s="9"/>
      <c r="M18105" s="9"/>
      <c r="N18105" s="9"/>
      <c r="O18105" s="9"/>
      <c r="P18105" s="9"/>
      <c r="Q18105" s="9"/>
      <c r="R18105" s="9"/>
      <c r="S18105" s="9"/>
      <c r="T18105" s="9"/>
      <c r="U18105" s="9"/>
      <c r="V18105" s="9"/>
      <c r="W18105" s="9"/>
      <c r="X18105" s="9"/>
      <c r="Y18105" s="9"/>
      <c r="Z18105" s="9"/>
      <c r="AA18105" s="9"/>
      <c r="AB18105" s="9"/>
      <c r="AC18105" s="9"/>
      <c r="AG18105" s="10"/>
    </row>
    <row r="18106" spans="1:33">
      <c r="A18106" s="9"/>
      <c r="B18106" s="9"/>
      <c r="C18106" s="9"/>
      <c r="D18106" s="9"/>
      <c r="E18106" s="9"/>
      <c r="F18106" s="9"/>
      <c r="G18106" s="9"/>
      <c r="H18106" s="9"/>
      <c r="I18106" s="9"/>
      <c r="J18106" s="9"/>
      <c r="K18106" s="9"/>
      <c r="L18106" s="9"/>
      <c r="M18106" s="9"/>
      <c r="N18106" s="9"/>
      <c r="O18106" s="9"/>
      <c r="P18106" s="9"/>
      <c r="Q18106" s="9"/>
      <c r="R18106" s="9"/>
      <c r="S18106" s="9"/>
      <c r="T18106" s="9"/>
      <c r="U18106" s="9"/>
      <c r="V18106" s="9"/>
      <c r="W18106" s="9"/>
      <c r="X18106" s="9"/>
      <c r="Y18106" s="9"/>
      <c r="Z18106" s="9"/>
      <c r="AA18106" s="9"/>
      <c r="AB18106" s="9"/>
      <c r="AC18106" s="9"/>
      <c r="AG18106" s="10"/>
    </row>
    <row r="18107" spans="1:33">
      <c r="A18107" s="9"/>
      <c r="B18107" s="9"/>
      <c r="C18107" s="9"/>
      <c r="D18107" s="9"/>
      <c r="E18107" s="9"/>
      <c r="F18107" s="9"/>
      <c r="G18107" s="9"/>
      <c r="H18107" s="9"/>
      <c r="I18107" s="9"/>
      <c r="J18107" s="9"/>
      <c r="K18107" s="9"/>
      <c r="L18107" s="9"/>
      <c r="M18107" s="9"/>
      <c r="N18107" s="9"/>
      <c r="O18107" s="9"/>
      <c r="P18107" s="9"/>
      <c r="Q18107" s="9"/>
      <c r="R18107" s="9"/>
      <c r="S18107" s="9"/>
      <c r="T18107" s="9"/>
      <c r="U18107" s="9"/>
      <c r="V18107" s="9"/>
      <c r="W18107" s="9"/>
      <c r="X18107" s="9"/>
      <c r="Y18107" s="9"/>
      <c r="Z18107" s="9"/>
      <c r="AA18107" s="9"/>
      <c r="AB18107" s="9"/>
      <c r="AC18107" s="9"/>
      <c r="AG18107" s="10"/>
    </row>
    <row r="18108" spans="1:33">
      <c r="A18108" s="9"/>
      <c r="B18108" s="9"/>
      <c r="C18108" s="9"/>
      <c r="D18108" s="9"/>
      <c r="E18108" s="9"/>
      <c r="F18108" s="9"/>
      <c r="G18108" s="9"/>
      <c r="H18108" s="9"/>
      <c r="I18108" s="9"/>
      <c r="J18108" s="9"/>
      <c r="K18108" s="9"/>
      <c r="L18108" s="9"/>
      <c r="M18108" s="9"/>
      <c r="N18108" s="9"/>
      <c r="O18108" s="9"/>
      <c r="P18108" s="9"/>
      <c r="Q18108" s="9"/>
      <c r="R18108" s="9"/>
      <c r="S18108" s="9"/>
      <c r="T18108" s="9"/>
      <c r="U18108" s="9"/>
      <c r="V18108" s="9"/>
      <c r="W18108" s="9"/>
      <c r="X18108" s="9"/>
      <c r="Y18108" s="9"/>
      <c r="Z18108" s="9"/>
      <c r="AA18108" s="9"/>
      <c r="AB18108" s="9"/>
      <c r="AC18108" s="9"/>
      <c r="AG18108" s="10"/>
    </row>
    <row r="18109" spans="1:33">
      <c r="A18109" s="9"/>
      <c r="B18109" s="9"/>
      <c r="C18109" s="9"/>
      <c r="D18109" s="9"/>
      <c r="E18109" s="9"/>
      <c r="F18109" s="9"/>
      <c r="G18109" s="9"/>
      <c r="H18109" s="9"/>
      <c r="I18109" s="9"/>
      <c r="J18109" s="9"/>
      <c r="K18109" s="9"/>
      <c r="L18109" s="9"/>
      <c r="M18109" s="9"/>
      <c r="N18109" s="9"/>
      <c r="O18109" s="9"/>
      <c r="P18109" s="9"/>
      <c r="Q18109" s="9"/>
      <c r="R18109" s="9"/>
      <c r="S18109" s="9"/>
      <c r="T18109" s="9"/>
      <c r="U18109" s="9"/>
      <c r="V18109" s="9"/>
      <c r="W18109" s="9"/>
      <c r="X18109" s="9"/>
      <c r="Y18109" s="9"/>
      <c r="Z18109" s="9"/>
      <c r="AA18109" s="9"/>
      <c r="AB18109" s="9"/>
      <c r="AC18109" s="9"/>
      <c r="AG18109" s="10"/>
    </row>
    <row r="18110" spans="1:33">
      <c r="A18110" s="9"/>
      <c r="B18110" s="9"/>
      <c r="C18110" s="9"/>
      <c r="D18110" s="9"/>
      <c r="E18110" s="9"/>
      <c r="F18110" s="9"/>
      <c r="G18110" s="9"/>
      <c r="H18110" s="9"/>
      <c r="I18110" s="9"/>
      <c r="J18110" s="9"/>
      <c r="K18110" s="9"/>
      <c r="L18110" s="9"/>
      <c r="M18110" s="9"/>
      <c r="N18110" s="9"/>
      <c r="O18110" s="9"/>
      <c r="P18110" s="9"/>
      <c r="Q18110" s="9"/>
      <c r="R18110" s="9"/>
      <c r="S18110" s="9"/>
      <c r="T18110" s="9"/>
      <c r="U18110" s="9"/>
      <c r="V18110" s="9"/>
      <c r="W18110" s="9"/>
      <c r="X18110" s="9"/>
      <c r="Y18110" s="9"/>
      <c r="Z18110" s="9"/>
      <c r="AA18110" s="9"/>
      <c r="AB18110" s="9"/>
      <c r="AC18110" s="9"/>
      <c r="AG18110" s="10"/>
    </row>
    <row r="18111" spans="1:33">
      <c r="A18111" s="9"/>
      <c r="B18111" s="9"/>
      <c r="C18111" s="9"/>
      <c r="D18111" s="9"/>
      <c r="E18111" s="9"/>
      <c r="F18111" s="9"/>
      <c r="G18111" s="9"/>
      <c r="H18111" s="9"/>
      <c r="I18111" s="9"/>
      <c r="J18111" s="9"/>
      <c r="K18111" s="9"/>
      <c r="L18111" s="9"/>
      <c r="M18111" s="9"/>
      <c r="N18111" s="9"/>
      <c r="O18111" s="9"/>
      <c r="P18111" s="9"/>
      <c r="Q18111" s="9"/>
      <c r="R18111" s="9"/>
      <c r="S18111" s="9"/>
      <c r="T18111" s="9"/>
      <c r="U18111" s="9"/>
      <c r="V18111" s="9"/>
      <c r="W18111" s="9"/>
      <c r="X18111" s="9"/>
      <c r="Y18111" s="9"/>
      <c r="Z18111" s="9"/>
      <c r="AA18111" s="9"/>
      <c r="AB18111" s="9"/>
      <c r="AC18111" s="9"/>
      <c r="AG18111" s="10"/>
    </row>
    <row r="18112" spans="1:33">
      <c r="A18112" s="9"/>
      <c r="B18112" s="9"/>
      <c r="C18112" s="9"/>
      <c r="D18112" s="9"/>
      <c r="E18112" s="9"/>
      <c r="F18112" s="9"/>
      <c r="G18112" s="9"/>
      <c r="H18112" s="9"/>
      <c r="I18112" s="9"/>
      <c r="J18112" s="9"/>
      <c r="K18112" s="9"/>
      <c r="L18112" s="9"/>
      <c r="M18112" s="9"/>
      <c r="N18112" s="9"/>
      <c r="O18112" s="9"/>
      <c r="P18112" s="9"/>
      <c r="Q18112" s="9"/>
      <c r="R18112" s="9"/>
      <c r="S18112" s="9"/>
      <c r="T18112" s="9"/>
      <c r="U18112" s="9"/>
      <c r="V18112" s="9"/>
      <c r="W18112" s="9"/>
      <c r="X18112" s="9"/>
      <c r="Y18112" s="9"/>
      <c r="Z18112" s="9"/>
      <c r="AA18112" s="9"/>
      <c r="AB18112" s="9"/>
      <c r="AC18112" s="9"/>
      <c r="AG18112" s="10"/>
    </row>
    <row r="18113" spans="1:33">
      <c r="A18113" s="9"/>
      <c r="B18113" s="9"/>
      <c r="C18113" s="9"/>
      <c r="D18113" s="9"/>
      <c r="E18113" s="9"/>
      <c r="F18113" s="9"/>
      <c r="G18113" s="9"/>
      <c r="H18113" s="9"/>
      <c r="I18113" s="9"/>
      <c r="J18113" s="9"/>
      <c r="K18113" s="9"/>
      <c r="L18113" s="9"/>
      <c r="M18113" s="9"/>
      <c r="N18113" s="9"/>
      <c r="O18113" s="9"/>
      <c r="P18113" s="9"/>
      <c r="Q18113" s="9"/>
      <c r="R18113" s="9"/>
      <c r="S18113" s="9"/>
      <c r="T18113" s="9"/>
      <c r="U18113" s="9"/>
      <c r="V18113" s="9"/>
      <c r="W18113" s="9"/>
      <c r="X18113" s="9"/>
      <c r="Y18113" s="9"/>
      <c r="Z18113" s="9"/>
      <c r="AA18113" s="9"/>
      <c r="AB18113" s="9"/>
      <c r="AC18113" s="9"/>
      <c r="AG18113" s="10"/>
    </row>
    <row r="18114" spans="1:33">
      <c r="A18114" s="9"/>
      <c r="B18114" s="9"/>
      <c r="C18114" s="9"/>
      <c r="D18114" s="9"/>
      <c r="E18114" s="9"/>
      <c r="F18114" s="9"/>
      <c r="G18114" s="9"/>
      <c r="H18114" s="9"/>
      <c r="I18114" s="9"/>
      <c r="J18114" s="9"/>
      <c r="K18114" s="9"/>
      <c r="L18114" s="9"/>
      <c r="M18114" s="9"/>
      <c r="N18114" s="9"/>
      <c r="O18114" s="9"/>
      <c r="P18114" s="9"/>
      <c r="Q18114" s="9"/>
      <c r="R18114" s="9"/>
      <c r="S18114" s="9"/>
      <c r="T18114" s="9"/>
      <c r="U18114" s="9"/>
      <c r="V18114" s="9"/>
      <c r="W18114" s="9"/>
      <c r="X18114" s="9"/>
      <c r="Y18114" s="9"/>
      <c r="Z18114" s="9"/>
      <c r="AA18114" s="9"/>
      <c r="AB18114" s="9"/>
      <c r="AC18114" s="9"/>
      <c r="AG18114" s="10"/>
    </row>
    <row r="18115" spans="1:33">
      <c r="A18115" s="9"/>
      <c r="B18115" s="9"/>
      <c r="C18115" s="9"/>
      <c r="D18115" s="9"/>
      <c r="E18115" s="9"/>
      <c r="F18115" s="9"/>
      <c r="G18115" s="9"/>
      <c r="H18115" s="9"/>
      <c r="I18115" s="9"/>
      <c r="J18115" s="9"/>
      <c r="K18115" s="9"/>
      <c r="L18115" s="9"/>
      <c r="M18115" s="9"/>
      <c r="N18115" s="9"/>
      <c r="O18115" s="9"/>
      <c r="P18115" s="9"/>
      <c r="Q18115" s="9"/>
      <c r="R18115" s="9"/>
      <c r="S18115" s="9"/>
      <c r="T18115" s="9"/>
      <c r="U18115" s="9"/>
      <c r="V18115" s="9"/>
      <c r="W18115" s="9"/>
      <c r="X18115" s="9"/>
      <c r="Y18115" s="9"/>
      <c r="Z18115" s="9"/>
      <c r="AA18115" s="9"/>
      <c r="AB18115" s="9"/>
      <c r="AC18115" s="9"/>
      <c r="AG18115" s="10"/>
    </row>
    <row r="18116" spans="1:33">
      <c r="A18116" s="9"/>
      <c r="B18116" s="9"/>
      <c r="C18116" s="9"/>
      <c r="D18116" s="9"/>
      <c r="E18116" s="9"/>
      <c r="F18116" s="9"/>
      <c r="G18116" s="9"/>
      <c r="H18116" s="9"/>
      <c r="I18116" s="9"/>
      <c r="J18116" s="9"/>
      <c r="K18116" s="9"/>
      <c r="L18116" s="9"/>
      <c r="M18116" s="9"/>
      <c r="N18116" s="9"/>
      <c r="O18116" s="9"/>
      <c r="P18116" s="9"/>
      <c r="Q18116" s="9"/>
      <c r="R18116" s="9"/>
      <c r="S18116" s="9"/>
      <c r="T18116" s="9"/>
      <c r="U18116" s="9"/>
      <c r="V18116" s="9"/>
      <c r="W18116" s="9"/>
      <c r="X18116" s="9"/>
      <c r="Y18116" s="9"/>
      <c r="Z18116" s="9"/>
      <c r="AA18116" s="9"/>
      <c r="AB18116" s="9"/>
      <c r="AC18116" s="9"/>
      <c r="AG18116" s="10"/>
    </row>
    <row r="18117" spans="1:33">
      <c r="A18117" s="9"/>
      <c r="B18117" s="9"/>
      <c r="C18117" s="9"/>
      <c r="D18117" s="9"/>
      <c r="E18117" s="9"/>
      <c r="F18117" s="9"/>
      <c r="G18117" s="9"/>
      <c r="H18117" s="9"/>
      <c r="I18117" s="9"/>
      <c r="J18117" s="9"/>
      <c r="K18117" s="9"/>
      <c r="L18117" s="9"/>
      <c r="M18117" s="9"/>
      <c r="N18117" s="9"/>
      <c r="O18117" s="9"/>
      <c r="P18117" s="9"/>
      <c r="Q18117" s="9"/>
      <c r="R18117" s="9"/>
      <c r="S18117" s="9"/>
      <c r="T18117" s="9"/>
      <c r="U18117" s="9"/>
      <c r="V18117" s="9"/>
      <c r="W18117" s="9"/>
      <c r="X18117" s="9"/>
      <c r="Y18117" s="9"/>
      <c r="Z18117" s="9"/>
      <c r="AA18117" s="9"/>
      <c r="AB18117" s="9"/>
      <c r="AC18117" s="9"/>
      <c r="AG18117" s="10"/>
    </row>
    <row r="18118" spans="1:33">
      <c r="A18118" s="9"/>
      <c r="B18118" s="9"/>
      <c r="C18118" s="9"/>
      <c r="D18118" s="9"/>
      <c r="E18118" s="9"/>
      <c r="F18118" s="9"/>
      <c r="G18118" s="9"/>
      <c r="H18118" s="9"/>
      <c r="I18118" s="9"/>
      <c r="J18118" s="9"/>
      <c r="K18118" s="9"/>
      <c r="L18118" s="9"/>
      <c r="M18118" s="9"/>
      <c r="N18118" s="9"/>
      <c r="O18118" s="9"/>
      <c r="P18118" s="9"/>
      <c r="Q18118" s="9"/>
      <c r="R18118" s="9"/>
      <c r="S18118" s="9"/>
      <c r="T18118" s="9"/>
      <c r="U18118" s="9"/>
      <c r="V18118" s="9"/>
      <c r="W18118" s="9"/>
      <c r="X18118" s="9"/>
      <c r="Y18118" s="9"/>
      <c r="Z18118" s="9"/>
      <c r="AA18118" s="9"/>
      <c r="AB18118" s="9"/>
      <c r="AC18118" s="9"/>
      <c r="AG18118" s="10"/>
    </row>
    <row r="18119" spans="1:33">
      <c r="A18119" s="9"/>
      <c r="B18119" s="9"/>
      <c r="C18119" s="9"/>
      <c r="D18119" s="9"/>
      <c r="E18119" s="9"/>
      <c r="F18119" s="9"/>
      <c r="G18119" s="9"/>
      <c r="H18119" s="9"/>
      <c r="I18119" s="9"/>
      <c r="J18119" s="9"/>
      <c r="K18119" s="9"/>
      <c r="L18119" s="9"/>
      <c r="M18119" s="9"/>
      <c r="N18119" s="9"/>
      <c r="O18119" s="9"/>
      <c r="P18119" s="9"/>
      <c r="Q18119" s="9"/>
      <c r="R18119" s="9"/>
      <c r="S18119" s="9"/>
      <c r="T18119" s="9"/>
      <c r="U18119" s="9"/>
      <c r="V18119" s="9"/>
      <c r="W18119" s="9"/>
      <c r="X18119" s="9"/>
      <c r="Y18119" s="9"/>
      <c r="Z18119" s="9"/>
      <c r="AA18119" s="9"/>
      <c r="AB18119" s="9"/>
      <c r="AC18119" s="9"/>
      <c r="AG18119" s="10"/>
    </row>
    <row r="18120" spans="1:33">
      <c r="A18120" s="9"/>
      <c r="B18120" s="9"/>
      <c r="C18120" s="9"/>
      <c r="D18120" s="9"/>
      <c r="E18120" s="9"/>
      <c r="F18120" s="9"/>
      <c r="G18120" s="9"/>
      <c r="H18120" s="9"/>
      <c r="I18120" s="9"/>
      <c r="J18120" s="9"/>
      <c r="K18120" s="9"/>
      <c r="L18120" s="9"/>
      <c r="M18120" s="9"/>
      <c r="N18120" s="9"/>
      <c r="O18120" s="9"/>
      <c r="P18120" s="9"/>
      <c r="Q18120" s="9"/>
      <c r="R18120" s="9"/>
      <c r="S18120" s="9"/>
      <c r="T18120" s="9"/>
      <c r="U18120" s="9"/>
      <c r="V18120" s="9"/>
      <c r="W18120" s="9"/>
      <c r="X18120" s="9"/>
      <c r="Y18120" s="9"/>
      <c r="Z18120" s="9"/>
      <c r="AA18120" s="9"/>
      <c r="AB18120" s="9"/>
      <c r="AC18120" s="9"/>
      <c r="AG18120" s="10"/>
    </row>
    <row r="18121" spans="1:33">
      <c r="A18121" s="9"/>
      <c r="B18121" s="9"/>
      <c r="C18121" s="9"/>
      <c r="D18121" s="9"/>
      <c r="E18121" s="9"/>
      <c r="F18121" s="9"/>
      <c r="G18121" s="9"/>
      <c r="H18121" s="9"/>
      <c r="I18121" s="9"/>
      <c r="J18121" s="9"/>
      <c r="K18121" s="9"/>
      <c r="L18121" s="9"/>
      <c r="M18121" s="9"/>
      <c r="N18121" s="9"/>
      <c r="O18121" s="9"/>
      <c r="P18121" s="9"/>
      <c r="Q18121" s="9"/>
      <c r="R18121" s="9"/>
      <c r="S18121" s="9"/>
      <c r="T18121" s="9"/>
      <c r="U18121" s="9"/>
      <c r="V18121" s="9"/>
      <c r="W18121" s="9"/>
      <c r="X18121" s="9"/>
      <c r="Y18121" s="9"/>
      <c r="Z18121" s="9"/>
      <c r="AA18121" s="9"/>
      <c r="AB18121" s="9"/>
      <c r="AC18121" s="9"/>
      <c r="AG18121" s="10"/>
    </row>
    <row r="18122" spans="1:33">
      <c r="A18122" s="9"/>
      <c r="B18122" s="9"/>
      <c r="C18122" s="9"/>
      <c r="D18122" s="9"/>
      <c r="E18122" s="9"/>
      <c r="F18122" s="9"/>
      <c r="G18122" s="9"/>
      <c r="H18122" s="9"/>
      <c r="I18122" s="9"/>
      <c r="J18122" s="9"/>
      <c r="K18122" s="9"/>
      <c r="L18122" s="9"/>
      <c r="M18122" s="9"/>
      <c r="N18122" s="9"/>
      <c r="O18122" s="9"/>
      <c r="P18122" s="9"/>
      <c r="Q18122" s="9"/>
      <c r="R18122" s="9"/>
      <c r="S18122" s="9"/>
      <c r="T18122" s="9"/>
      <c r="U18122" s="9"/>
      <c r="V18122" s="9"/>
      <c r="W18122" s="9"/>
      <c r="X18122" s="9"/>
      <c r="Y18122" s="9"/>
      <c r="Z18122" s="9"/>
      <c r="AA18122" s="9"/>
      <c r="AB18122" s="9"/>
      <c r="AC18122" s="9"/>
      <c r="AG18122" s="10"/>
    </row>
    <row r="18123" spans="1:33">
      <c r="A18123" s="9"/>
      <c r="B18123" s="9"/>
      <c r="C18123" s="9"/>
      <c r="D18123" s="9"/>
      <c r="E18123" s="9"/>
      <c r="F18123" s="9"/>
      <c r="G18123" s="9"/>
      <c r="H18123" s="9"/>
      <c r="I18123" s="9"/>
      <c r="J18123" s="9"/>
      <c r="K18123" s="9"/>
      <c r="L18123" s="9"/>
      <c r="M18123" s="9"/>
      <c r="N18123" s="9"/>
      <c r="O18123" s="9"/>
      <c r="P18123" s="9"/>
      <c r="Q18123" s="9"/>
      <c r="R18123" s="9"/>
      <c r="S18123" s="9"/>
      <c r="T18123" s="9"/>
      <c r="U18123" s="9"/>
      <c r="V18123" s="9"/>
      <c r="W18123" s="9"/>
      <c r="X18123" s="9"/>
      <c r="Y18123" s="9"/>
      <c r="Z18123" s="9"/>
      <c r="AA18123" s="9"/>
      <c r="AB18123" s="9"/>
      <c r="AC18123" s="9"/>
      <c r="AG18123" s="10"/>
    </row>
    <row r="18124" spans="1:33">
      <c r="A18124" s="9"/>
      <c r="B18124" s="9"/>
      <c r="C18124" s="9"/>
      <c r="D18124" s="9"/>
      <c r="E18124" s="9"/>
      <c r="F18124" s="9"/>
      <c r="G18124" s="9"/>
      <c r="H18124" s="9"/>
      <c r="I18124" s="9"/>
      <c r="J18124" s="9"/>
      <c r="K18124" s="9"/>
      <c r="L18124" s="9"/>
      <c r="M18124" s="9"/>
      <c r="N18124" s="9"/>
      <c r="O18124" s="9"/>
      <c r="P18124" s="9"/>
      <c r="Q18124" s="9"/>
      <c r="R18124" s="9"/>
      <c r="S18124" s="9"/>
      <c r="T18124" s="9"/>
      <c r="U18124" s="9"/>
      <c r="V18124" s="9"/>
      <c r="W18124" s="9"/>
      <c r="X18124" s="9"/>
      <c r="Y18124" s="9"/>
      <c r="Z18124" s="9"/>
      <c r="AA18124" s="9"/>
      <c r="AB18124" s="9"/>
      <c r="AC18124" s="9"/>
      <c r="AG18124" s="10"/>
    </row>
    <row r="18125" spans="1:33">
      <c r="A18125" s="9"/>
      <c r="B18125" s="9"/>
      <c r="C18125" s="9"/>
      <c r="D18125" s="9"/>
      <c r="E18125" s="9"/>
      <c r="F18125" s="9"/>
      <c r="G18125" s="9"/>
      <c r="H18125" s="9"/>
      <c r="I18125" s="9"/>
      <c r="J18125" s="9"/>
      <c r="K18125" s="9"/>
      <c r="L18125" s="9"/>
      <c r="M18125" s="9"/>
      <c r="N18125" s="9"/>
      <c r="O18125" s="9"/>
      <c r="P18125" s="9"/>
      <c r="Q18125" s="9"/>
      <c r="R18125" s="9"/>
      <c r="S18125" s="9"/>
      <c r="T18125" s="9"/>
      <c r="U18125" s="9"/>
      <c r="V18125" s="9"/>
      <c r="W18125" s="9"/>
      <c r="X18125" s="9"/>
      <c r="Y18125" s="9"/>
      <c r="Z18125" s="9"/>
      <c r="AA18125" s="9"/>
      <c r="AB18125" s="9"/>
      <c r="AC18125" s="9"/>
      <c r="AG18125" s="10"/>
    </row>
    <row r="18126" spans="1:33">
      <c r="A18126" s="9"/>
      <c r="B18126" s="9"/>
      <c r="C18126" s="9"/>
      <c r="D18126" s="9"/>
      <c r="E18126" s="9"/>
      <c r="F18126" s="9"/>
      <c r="G18126" s="9"/>
      <c r="H18126" s="9"/>
      <c r="I18126" s="9"/>
      <c r="J18126" s="9"/>
      <c r="K18126" s="9"/>
      <c r="L18126" s="9"/>
      <c r="M18126" s="9"/>
      <c r="N18126" s="9"/>
      <c r="O18126" s="9"/>
      <c r="P18126" s="9"/>
      <c r="Q18126" s="9"/>
      <c r="R18126" s="9"/>
      <c r="S18126" s="9"/>
      <c r="T18126" s="9"/>
      <c r="U18126" s="9"/>
      <c r="V18126" s="9"/>
      <c r="W18126" s="9"/>
      <c r="X18126" s="9"/>
      <c r="Y18126" s="9"/>
      <c r="Z18126" s="9"/>
      <c r="AA18126" s="9"/>
      <c r="AB18126" s="9"/>
      <c r="AC18126" s="9"/>
      <c r="AG18126" s="10"/>
    </row>
    <row r="18127" spans="1:33">
      <c r="A18127" s="9"/>
      <c r="B18127" s="9"/>
      <c r="C18127" s="9"/>
      <c r="D18127" s="9"/>
      <c r="E18127" s="9"/>
      <c r="F18127" s="9"/>
      <c r="G18127" s="9"/>
      <c r="H18127" s="9"/>
      <c r="I18127" s="9"/>
      <c r="J18127" s="9"/>
      <c r="K18127" s="9"/>
      <c r="L18127" s="9"/>
      <c r="M18127" s="9"/>
      <c r="N18127" s="9"/>
      <c r="O18127" s="9"/>
      <c r="P18127" s="9"/>
      <c r="Q18127" s="9"/>
      <c r="R18127" s="9"/>
      <c r="S18127" s="9"/>
      <c r="T18127" s="9"/>
      <c r="U18127" s="9"/>
      <c r="V18127" s="9"/>
      <c r="W18127" s="9"/>
      <c r="X18127" s="9"/>
      <c r="Y18127" s="9"/>
      <c r="Z18127" s="9"/>
      <c r="AA18127" s="9"/>
      <c r="AB18127" s="9"/>
      <c r="AC18127" s="9"/>
      <c r="AG18127" s="10"/>
    </row>
    <row r="18128" spans="1:33">
      <c r="A18128" s="9"/>
      <c r="B18128" s="9"/>
      <c r="C18128" s="9"/>
      <c r="D18128" s="9"/>
      <c r="E18128" s="9"/>
      <c r="F18128" s="9"/>
      <c r="G18128" s="9"/>
      <c r="H18128" s="9"/>
      <c r="I18128" s="9"/>
      <c r="J18128" s="9"/>
      <c r="K18128" s="9"/>
      <c r="L18128" s="9"/>
      <c r="M18128" s="9"/>
      <c r="N18128" s="9"/>
      <c r="O18128" s="9"/>
      <c r="P18128" s="9"/>
      <c r="Q18128" s="9"/>
      <c r="R18128" s="9"/>
      <c r="S18128" s="9"/>
      <c r="T18128" s="9"/>
      <c r="U18128" s="9"/>
      <c r="V18128" s="9"/>
      <c r="W18128" s="9"/>
      <c r="X18128" s="9"/>
      <c r="Y18128" s="9"/>
      <c r="Z18128" s="9"/>
      <c r="AA18128" s="9"/>
      <c r="AB18128" s="9"/>
      <c r="AC18128" s="9"/>
      <c r="AG18128" s="10"/>
    </row>
    <row r="18129" spans="1:33">
      <c r="A18129" s="9"/>
      <c r="B18129" s="9"/>
      <c r="C18129" s="9"/>
      <c r="D18129" s="9"/>
      <c r="E18129" s="9"/>
      <c r="F18129" s="9"/>
      <c r="G18129" s="9"/>
      <c r="H18129" s="9"/>
      <c r="I18129" s="9"/>
      <c r="J18129" s="9"/>
      <c r="K18129" s="9"/>
      <c r="L18129" s="9"/>
      <c r="M18129" s="9"/>
      <c r="N18129" s="9"/>
      <c r="O18129" s="9"/>
      <c r="P18129" s="9"/>
      <c r="Q18129" s="9"/>
      <c r="R18129" s="9"/>
      <c r="S18129" s="9"/>
      <c r="T18129" s="9"/>
      <c r="U18129" s="9"/>
      <c r="V18129" s="9"/>
      <c r="W18129" s="9"/>
      <c r="X18129" s="9"/>
      <c r="Y18129" s="9"/>
      <c r="Z18129" s="9"/>
      <c r="AA18129" s="9"/>
      <c r="AB18129" s="9"/>
      <c r="AC18129" s="9"/>
      <c r="AG18129" s="10"/>
    </row>
    <row r="18130" spans="1:33">
      <c r="A18130" s="9"/>
      <c r="B18130" s="9"/>
      <c r="C18130" s="9"/>
      <c r="D18130" s="9"/>
      <c r="E18130" s="9"/>
      <c r="F18130" s="9"/>
      <c r="G18130" s="9"/>
      <c r="H18130" s="9"/>
      <c r="I18130" s="9"/>
      <c r="J18130" s="9"/>
      <c r="K18130" s="9"/>
      <c r="L18130" s="9"/>
      <c r="M18130" s="9"/>
      <c r="N18130" s="9"/>
      <c r="O18130" s="9"/>
      <c r="P18130" s="9"/>
      <c r="Q18130" s="9"/>
      <c r="R18130" s="9"/>
      <c r="S18130" s="9"/>
      <c r="T18130" s="9"/>
      <c r="U18130" s="9"/>
      <c r="V18130" s="9"/>
      <c r="W18130" s="9"/>
      <c r="X18130" s="9"/>
      <c r="Y18130" s="9"/>
      <c r="Z18130" s="9"/>
      <c r="AA18130" s="9"/>
      <c r="AB18130" s="9"/>
      <c r="AC18130" s="9"/>
      <c r="AG18130" s="10"/>
    </row>
    <row r="18131" spans="1:33">
      <c r="A18131" s="9"/>
      <c r="B18131" s="9"/>
      <c r="C18131" s="9"/>
      <c r="D18131" s="9"/>
      <c r="E18131" s="9"/>
      <c r="F18131" s="9"/>
      <c r="G18131" s="9"/>
      <c r="H18131" s="9"/>
      <c r="I18131" s="9"/>
      <c r="J18131" s="9"/>
      <c r="K18131" s="9"/>
      <c r="L18131" s="9"/>
      <c r="M18131" s="9"/>
      <c r="N18131" s="9"/>
      <c r="O18131" s="9"/>
      <c r="P18131" s="9"/>
      <c r="Q18131" s="9"/>
      <c r="R18131" s="9"/>
      <c r="S18131" s="9"/>
      <c r="T18131" s="9"/>
      <c r="U18131" s="9"/>
      <c r="V18131" s="9"/>
      <c r="W18131" s="9"/>
      <c r="X18131" s="9"/>
      <c r="Y18131" s="9"/>
      <c r="Z18131" s="9"/>
      <c r="AA18131" s="9"/>
      <c r="AB18131" s="9"/>
      <c r="AC18131" s="9"/>
      <c r="AG18131" s="10"/>
    </row>
    <row r="18132" spans="1:33">
      <c r="A18132" s="9"/>
      <c r="B18132" s="9"/>
      <c r="C18132" s="9"/>
      <c r="D18132" s="9"/>
      <c r="E18132" s="9"/>
      <c r="F18132" s="9"/>
      <c r="G18132" s="9"/>
      <c r="H18132" s="9"/>
      <c r="I18132" s="9"/>
      <c r="J18132" s="9"/>
      <c r="K18132" s="9"/>
      <c r="L18132" s="9"/>
      <c r="M18132" s="9"/>
      <c r="N18132" s="9"/>
      <c r="O18132" s="9"/>
      <c r="P18132" s="9"/>
      <c r="Q18132" s="9"/>
      <c r="R18132" s="9"/>
      <c r="S18132" s="9"/>
      <c r="T18132" s="9"/>
      <c r="U18132" s="9"/>
      <c r="V18132" s="9"/>
      <c r="W18132" s="9"/>
      <c r="X18132" s="9"/>
      <c r="Y18132" s="9"/>
      <c r="Z18132" s="9"/>
      <c r="AA18132" s="9"/>
      <c r="AB18132" s="9"/>
      <c r="AC18132" s="9"/>
      <c r="AD18132" s="9"/>
      <c r="AE18132" s="9"/>
      <c r="AF18132" s="9"/>
      <c r="AG18132" s="10"/>
    </row>
    <row r="18133" spans="1:33">
      <c r="A18133" s="9"/>
      <c r="B18133" s="9"/>
      <c r="C18133" s="9"/>
      <c r="D18133" s="9"/>
      <c r="E18133" s="9"/>
      <c r="F18133" s="9"/>
      <c r="G18133" s="9"/>
      <c r="H18133" s="9"/>
      <c r="I18133" s="9"/>
      <c r="J18133" s="9"/>
      <c r="K18133" s="9"/>
      <c r="L18133" s="9"/>
      <c r="M18133" s="9"/>
      <c r="N18133" s="9"/>
      <c r="O18133" s="9"/>
      <c r="P18133" s="9"/>
      <c r="Q18133" s="9"/>
      <c r="R18133" s="9"/>
      <c r="S18133" s="9"/>
      <c r="T18133" s="9"/>
      <c r="U18133" s="9"/>
      <c r="V18133" s="9"/>
      <c r="W18133" s="9"/>
      <c r="X18133" s="9"/>
      <c r="Y18133" s="9"/>
      <c r="Z18133" s="9"/>
      <c r="AA18133" s="9"/>
      <c r="AB18133" s="9"/>
      <c r="AC18133" s="9"/>
      <c r="AD18133" s="9"/>
      <c r="AE18133" s="9"/>
      <c r="AF18133" s="9"/>
      <c r="AG18133" s="10"/>
    </row>
    <row r="18134" spans="1:33">
      <c r="A18134" s="9"/>
      <c r="B18134" s="9"/>
      <c r="C18134" s="9"/>
      <c r="D18134" s="9"/>
      <c r="E18134" s="9"/>
      <c r="F18134" s="9"/>
      <c r="G18134" s="9"/>
      <c r="H18134" s="9"/>
      <c r="I18134" s="9"/>
      <c r="J18134" s="9"/>
      <c r="K18134" s="9"/>
      <c r="L18134" s="9"/>
      <c r="M18134" s="9"/>
      <c r="N18134" s="9"/>
      <c r="O18134" s="9"/>
      <c r="P18134" s="9"/>
      <c r="Q18134" s="9"/>
      <c r="R18134" s="9"/>
      <c r="S18134" s="9"/>
      <c r="T18134" s="9"/>
      <c r="U18134" s="9"/>
      <c r="V18134" s="9"/>
      <c r="W18134" s="9"/>
      <c r="X18134" s="9"/>
      <c r="Y18134" s="9"/>
      <c r="Z18134" s="9"/>
      <c r="AA18134" s="9"/>
      <c r="AB18134" s="9"/>
      <c r="AC18134" s="9"/>
      <c r="AD18134" s="9"/>
      <c r="AE18134" s="9"/>
      <c r="AF18134" s="9"/>
      <c r="AG18134" s="10"/>
    </row>
    <row r="18135" spans="1:33">
      <c r="A18135" s="9"/>
      <c r="B18135" s="9"/>
      <c r="C18135" s="9"/>
      <c r="D18135" s="9"/>
      <c r="E18135" s="9"/>
      <c r="F18135" s="9"/>
      <c r="G18135" s="9"/>
      <c r="H18135" s="9"/>
      <c r="I18135" s="9"/>
      <c r="J18135" s="9"/>
      <c r="K18135" s="9"/>
      <c r="L18135" s="9"/>
      <c r="M18135" s="9"/>
      <c r="N18135" s="9"/>
      <c r="O18135" s="9"/>
      <c r="P18135" s="9"/>
      <c r="Q18135" s="9"/>
      <c r="R18135" s="9"/>
      <c r="S18135" s="9"/>
      <c r="T18135" s="9"/>
      <c r="U18135" s="9"/>
      <c r="V18135" s="9"/>
      <c r="W18135" s="9"/>
      <c r="X18135" s="9"/>
      <c r="Y18135" s="9"/>
      <c r="Z18135" s="9"/>
      <c r="AA18135" s="9"/>
      <c r="AB18135" s="9"/>
      <c r="AC18135" s="9"/>
      <c r="AD18135" s="9"/>
      <c r="AE18135" s="9"/>
      <c r="AF18135" s="9"/>
      <c r="AG18135" s="10"/>
    </row>
    <row r="18136" spans="1:33">
      <c r="A18136" s="9"/>
      <c r="B18136" s="9"/>
      <c r="C18136" s="9"/>
      <c r="D18136" s="9"/>
      <c r="E18136" s="9"/>
      <c r="F18136" s="9"/>
      <c r="G18136" s="9"/>
      <c r="H18136" s="9"/>
      <c r="I18136" s="9"/>
      <c r="J18136" s="9"/>
      <c r="K18136" s="9"/>
      <c r="L18136" s="9"/>
      <c r="M18136" s="9"/>
      <c r="N18136" s="9"/>
      <c r="O18136" s="9"/>
      <c r="P18136" s="9"/>
      <c r="Q18136" s="9"/>
      <c r="R18136" s="9"/>
      <c r="S18136" s="9"/>
      <c r="T18136" s="9"/>
      <c r="U18136" s="9"/>
      <c r="V18136" s="9"/>
      <c r="W18136" s="9"/>
      <c r="X18136" s="9"/>
      <c r="Y18136" s="9"/>
      <c r="Z18136" s="9"/>
      <c r="AA18136" s="9"/>
      <c r="AB18136" s="9"/>
      <c r="AC18136" s="9"/>
      <c r="AD18136" s="9"/>
      <c r="AE18136" s="9"/>
      <c r="AF18136" s="9"/>
      <c r="AG18136" s="10"/>
    </row>
    <row r="18137" spans="1:33">
      <c r="A18137" s="9"/>
      <c r="B18137" s="9"/>
      <c r="C18137" s="9"/>
      <c r="D18137" s="9"/>
      <c r="E18137" s="9"/>
      <c r="F18137" s="9"/>
      <c r="G18137" s="9"/>
      <c r="H18137" s="9"/>
      <c r="I18137" s="9"/>
      <c r="J18137" s="9"/>
      <c r="K18137" s="9"/>
      <c r="L18137" s="9"/>
      <c r="M18137" s="9"/>
      <c r="N18137" s="9"/>
      <c r="O18137" s="9"/>
      <c r="P18137" s="9"/>
      <c r="Q18137" s="9"/>
      <c r="R18137" s="9"/>
      <c r="S18137" s="9"/>
      <c r="T18137" s="9"/>
      <c r="U18137" s="9"/>
      <c r="V18137" s="9"/>
      <c r="W18137" s="9"/>
      <c r="X18137" s="9"/>
      <c r="Y18137" s="9"/>
      <c r="Z18137" s="9"/>
      <c r="AA18137" s="9"/>
      <c r="AB18137" s="9"/>
      <c r="AC18137" s="9"/>
      <c r="AD18137" s="9"/>
      <c r="AE18137" s="9"/>
      <c r="AF18137" s="9"/>
      <c r="AG18137" s="10"/>
    </row>
    <row r="18138" spans="1:33">
      <c r="A18138" s="9"/>
      <c r="B18138" s="9"/>
      <c r="C18138" s="9"/>
      <c r="D18138" s="9"/>
      <c r="E18138" s="9"/>
      <c r="F18138" s="9"/>
      <c r="G18138" s="9"/>
      <c r="H18138" s="9"/>
      <c r="I18138" s="9"/>
      <c r="J18138" s="9"/>
      <c r="K18138" s="9"/>
      <c r="L18138" s="9"/>
      <c r="M18138" s="9"/>
      <c r="N18138" s="9"/>
      <c r="O18138" s="9"/>
      <c r="P18138" s="9"/>
      <c r="Q18138" s="9"/>
      <c r="R18138" s="9"/>
      <c r="S18138" s="9"/>
      <c r="T18138" s="9"/>
      <c r="U18138" s="9"/>
      <c r="V18138" s="9"/>
      <c r="W18138" s="9"/>
      <c r="X18138" s="9"/>
      <c r="Y18138" s="9"/>
      <c r="Z18138" s="9"/>
      <c r="AA18138" s="9"/>
      <c r="AB18138" s="9"/>
      <c r="AC18138" s="9"/>
      <c r="AD18138" s="9"/>
      <c r="AE18138" s="9"/>
      <c r="AF18138" s="9"/>
      <c r="AG18138" s="10"/>
    </row>
    <row r="18139" spans="1:33">
      <c r="A18139" s="9"/>
      <c r="B18139" s="9"/>
      <c r="C18139" s="9"/>
      <c r="D18139" s="9"/>
      <c r="E18139" s="9"/>
      <c r="F18139" s="9"/>
      <c r="G18139" s="9"/>
      <c r="H18139" s="9"/>
      <c r="I18139" s="9"/>
      <c r="J18139" s="9"/>
      <c r="K18139" s="9"/>
      <c r="L18139" s="9"/>
      <c r="M18139" s="9"/>
      <c r="N18139" s="9"/>
      <c r="O18139" s="9"/>
      <c r="P18139" s="9"/>
      <c r="Q18139" s="9"/>
      <c r="R18139" s="9"/>
      <c r="S18139" s="9"/>
      <c r="T18139" s="9"/>
      <c r="U18139" s="9"/>
      <c r="V18139" s="9"/>
      <c r="W18139" s="9"/>
      <c r="X18139" s="9"/>
      <c r="Y18139" s="9"/>
      <c r="Z18139" s="9"/>
      <c r="AA18139" s="9"/>
      <c r="AB18139" s="9"/>
      <c r="AC18139" s="9"/>
      <c r="AD18139" s="9"/>
      <c r="AE18139" s="9"/>
      <c r="AF18139" s="9"/>
      <c r="AG18139" s="10"/>
    </row>
    <row r="18140" spans="1:33">
      <c r="A18140" s="9"/>
      <c r="B18140" s="9"/>
      <c r="C18140" s="9"/>
      <c r="D18140" s="9"/>
      <c r="E18140" s="9"/>
      <c r="F18140" s="9"/>
      <c r="G18140" s="9"/>
      <c r="H18140" s="9"/>
      <c r="I18140" s="9"/>
      <c r="J18140" s="9"/>
      <c r="K18140" s="9"/>
      <c r="L18140" s="9"/>
      <c r="M18140" s="9"/>
      <c r="N18140" s="9"/>
      <c r="O18140" s="9"/>
      <c r="P18140" s="9"/>
      <c r="Q18140" s="9"/>
      <c r="R18140" s="9"/>
      <c r="S18140" s="9"/>
      <c r="T18140" s="9"/>
      <c r="U18140" s="9"/>
      <c r="V18140" s="9"/>
      <c r="W18140" s="9"/>
      <c r="X18140" s="9"/>
      <c r="Y18140" s="9"/>
      <c r="Z18140" s="9"/>
      <c r="AA18140" s="9"/>
      <c r="AB18140" s="9"/>
      <c r="AC18140" s="9"/>
      <c r="AD18140" s="9"/>
      <c r="AE18140" s="9"/>
      <c r="AF18140" s="9"/>
      <c r="AG18140" s="10"/>
    </row>
    <row r="18141" spans="1:33">
      <c r="A18141" s="9"/>
      <c r="B18141" s="9"/>
      <c r="C18141" s="9"/>
      <c r="D18141" s="9"/>
      <c r="E18141" s="9"/>
      <c r="F18141" s="9"/>
      <c r="G18141" s="9"/>
      <c r="H18141" s="9"/>
      <c r="I18141" s="9"/>
      <c r="J18141" s="9"/>
      <c r="K18141" s="9"/>
      <c r="L18141" s="9"/>
      <c r="M18141" s="9"/>
      <c r="N18141" s="9"/>
      <c r="O18141" s="9"/>
      <c r="P18141" s="9"/>
      <c r="Q18141" s="9"/>
      <c r="R18141" s="9"/>
      <c r="S18141" s="9"/>
      <c r="T18141" s="9"/>
      <c r="U18141" s="9"/>
      <c r="V18141" s="9"/>
      <c r="W18141" s="9"/>
      <c r="X18141" s="9"/>
      <c r="Y18141" s="9"/>
      <c r="Z18141" s="9"/>
      <c r="AA18141" s="9"/>
      <c r="AB18141" s="9"/>
      <c r="AC18141" s="9"/>
      <c r="AD18141" s="9"/>
      <c r="AE18141" s="9"/>
      <c r="AF18141" s="9"/>
      <c r="AG18141" s="10"/>
    </row>
    <row r="18142" spans="1:33">
      <c r="A18142" s="9"/>
      <c r="B18142" s="9"/>
      <c r="C18142" s="9"/>
      <c r="D18142" s="9"/>
      <c r="E18142" s="9"/>
      <c r="F18142" s="9"/>
      <c r="G18142" s="9"/>
      <c r="H18142" s="9"/>
      <c r="I18142" s="9"/>
      <c r="J18142" s="9"/>
      <c r="K18142" s="9"/>
      <c r="L18142" s="9"/>
      <c r="M18142" s="9"/>
      <c r="N18142" s="9"/>
      <c r="O18142" s="9"/>
      <c r="P18142" s="9"/>
      <c r="Q18142" s="9"/>
      <c r="R18142" s="9"/>
      <c r="S18142" s="9"/>
      <c r="T18142" s="9"/>
      <c r="U18142" s="9"/>
      <c r="V18142" s="9"/>
      <c r="W18142" s="9"/>
      <c r="X18142" s="9"/>
      <c r="Y18142" s="9"/>
      <c r="Z18142" s="9"/>
      <c r="AA18142" s="9"/>
      <c r="AB18142" s="9"/>
      <c r="AC18142" s="9"/>
      <c r="AD18142" s="9"/>
      <c r="AE18142" s="9"/>
      <c r="AF18142" s="9"/>
      <c r="AG18142" s="10"/>
    </row>
    <row r="18143" spans="1:33">
      <c r="A18143" s="9"/>
      <c r="B18143" s="9"/>
      <c r="C18143" s="9"/>
      <c r="D18143" s="9"/>
      <c r="E18143" s="9"/>
      <c r="F18143" s="9"/>
      <c r="G18143" s="9"/>
      <c r="H18143" s="9"/>
      <c r="I18143" s="9"/>
      <c r="J18143" s="9"/>
      <c r="K18143" s="9"/>
      <c r="L18143" s="9"/>
      <c r="M18143" s="9"/>
      <c r="N18143" s="9"/>
      <c r="O18143" s="9"/>
      <c r="P18143" s="9"/>
      <c r="Q18143" s="9"/>
      <c r="R18143" s="9"/>
      <c r="S18143" s="9"/>
      <c r="T18143" s="9"/>
      <c r="U18143" s="9"/>
      <c r="V18143" s="9"/>
      <c r="W18143" s="9"/>
      <c r="X18143" s="9"/>
      <c r="Y18143" s="9"/>
      <c r="Z18143" s="9"/>
      <c r="AA18143" s="9"/>
      <c r="AB18143" s="9"/>
      <c r="AC18143" s="9"/>
      <c r="AD18143" s="9"/>
      <c r="AE18143" s="9"/>
      <c r="AF18143" s="9"/>
      <c r="AG18143" s="10"/>
    </row>
    <row r="18144" spans="1:33">
      <c r="A18144" s="9"/>
      <c r="B18144" s="9"/>
      <c r="C18144" s="9"/>
      <c r="D18144" s="9"/>
      <c r="E18144" s="9"/>
      <c r="F18144" s="9"/>
      <c r="G18144" s="9"/>
      <c r="H18144" s="9"/>
      <c r="I18144" s="9"/>
      <c r="J18144" s="9"/>
      <c r="K18144" s="9"/>
      <c r="L18144" s="9"/>
      <c r="M18144" s="9"/>
      <c r="N18144" s="9"/>
      <c r="O18144" s="9"/>
      <c r="P18144" s="9"/>
      <c r="Q18144" s="9"/>
      <c r="R18144" s="9"/>
      <c r="S18144" s="9"/>
      <c r="T18144" s="9"/>
      <c r="U18144" s="9"/>
      <c r="V18144" s="9"/>
      <c r="W18144" s="9"/>
      <c r="X18144" s="9"/>
      <c r="Y18144" s="9"/>
      <c r="Z18144" s="9"/>
      <c r="AA18144" s="9"/>
      <c r="AB18144" s="9"/>
      <c r="AC18144" s="9"/>
      <c r="AD18144" s="9"/>
      <c r="AE18144" s="9"/>
      <c r="AF18144" s="9"/>
      <c r="AG18144" s="10"/>
    </row>
    <row r="18145" spans="1:33">
      <c r="A18145" s="9"/>
      <c r="B18145" s="9"/>
      <c r="C18145" s="9"/>
      <c r="D18145" s="9"/>
      <c r="E18145" s="9"/>
      <c r="F18145" s="9"/>
      <c r="G18145" s="9"/>
      <c r="H18145" s="9"/>
      <c r="I18145" s="9"/>
      <c r="J18145" s="9"/>
      <c r="K18145" s="9"/>
      <c r="L18145" s="9"/>
      <c r="M18145" s="9"/>
      <c r="N18145" s="9"/>
      <c r="O18145" s="9"/>
      <c r="P18145" s="9"/>
      <c r="Q18145" s="9"/>
      <c r="R18145" s="9"/>
      <c r="S18145" s="9"/>
      <c r="T18145" s="9"/>
      <c r="U18145" s="9"/>
      <c r="V18145" s="9"/>
      <c r="W18145" s="9"/>
      <c r="X18145" s="9"/>
      <c r="Y18145" s="9"/>
      <c r="Z18145" s="9"/>
      <c r="AA18145" s="9"/>
      <c r="AB18145" s="9"/>
      <c r="AC18145" s="9"/>
      <c r="AD18145" s="9"/>
      <c r="AE18145" s="9"/>
      <c r="AF18145" s="9"/>
      <c r="AG18145" s="10"/>
    </row>
    <row r="18146" spans="1:33">
      <c r="A18146" s="9"/>
      <c r="B18146" s="9"/>
      <c r="C18146" s="9"/>
      <c r="D18146" s="9"/>
      <c r="E18146" s="9"/>
      <c r="F18146" s="9"/>
      <c r="G18146" s="9"/>
      <c r="H18146" s="9"/>
      <c r="I18146" s="9"/>
      <c r="J18146" s="9"/>
      <c r="K18146" s="9"/>
      <c r="L18146" s="9"/>
      <c r="M18146" s="9"/>
      <c r="N18146" s="9"/>
      <c r="O18146" s="9"/>
      <c r="P18146" s="9"/>
      <c r="Q18146" s="9"/>
      <c r="R18146" s="9"/>
      <c r="S18146" s="9"/>
      <c r="T18146" s="9"/>
      <c r="U18146" s="9"/>
      <c r="V18146" s="9"/>
      <c r="W18146" s="9"/>
      <c r="X18146" s="9"/>
      <c r="Y18146" s="9"/>
      <c r="Z18146" s="9"/>
      <c r="AA18146" s="9"/>
      <c r="AB18146" s="9"/>
      <c r="AC18146" s="9"/>
      <c r="AD18146" s="9"/>
      <c r="AE18146" s="9"/>
      <c r="AF18146" s="9"/>
      <c r="AG18146" s="10"/>
    </row>
    <row r="18147" spans="1:33">
      <c r="A18147" s="9"/>
      <c r="B18147" s="9"/>
      <c r="C18147" s="9"/>
      <c r="D18147" s="9"/>
      <c r="E18147" s="9"/>
      <c r="F18147" s="9"/>
      <c r="G18147" s="9"/>
      <c r="H18147" s="9"/>
      <c r="I18147" s="9"/>
      <c r="J18147" s="9"/>
      <c r="K18147" s="9"/>
      <c r="L18147" s="9"/>
      <c r="M18147" s="9"/>
      <c r="N18147" s="9"/>
      <c r="O18147" s="9"/>
      <c r="P18147" s="9"/>
      <c r="Q18147" s="9"/>
      <c r="R18147" s="9"/>
      <c r="S18147" s="9"/>
      <c r="T18147" s="9"/>
      <c r="U18147" s="9"/>
      <c r="V18147" s="9"/>
      <c r="W18147" s="9"/>
      <c r="X18147" s="9"/>
      <c r="Y18147" s="9"/>
      <c r="Z18147" s="9"/>
      <c r="AA18147" s="9"/>
      <c r="AB18147" s="9"/>
      <c r="AC18147" s="9"/>
      <c r="AD18147" s="9"/>
      <c r="AE18147" s="9"/>
      <c r="AF18147" s="9"/>
      <c r="AG18147" s="10"/>
    </row>
    <row r="18148" spans="1:33">
      <c r="A18148" s="9"/>
      <c r="B18148" s="9"/>
      <c r="C18148" s="9"/>
      <c r="D18148" s="9"/>
      <c r="E18148" s="9"/>
      <c r="F18148" s="9"/>
      <c r="G18148" s="9"/>
      <c r="H18148" s="9"/>
      <c r="I18148" s="9"/>
      <c r="J18148" s="9"/>
      <c r="K18148" s="9"/>
      <c r="L18148" s="9"/>
      <c r="M18148" s="9"/>
      <c r="N18148" s="9"/>
      <c r="O18148" s="9"/>
      <c r="P18148" s="9"/>
      <c r="Q18148" s="9"/>
      <c r="R18148" s="9"/>
      <c r="S18148" s="9"/>
      <c r="T18148" s="9"/>
      <c r="U18148" s="9"/>
      <c r="V18148" s="9"/>
      <c r="W18148" s="9"/>
      <c r="X18148" s="9"/>
      <c r="Y18148" s="9"/>
      <c r="Z18148" s="9"/>
      <c r="AA18148" s="9"/>
      <c r="AB18148" s="9"/>
      <c r="AC18148" s="9"/>
      <c r="AD18148" s="9"/>
      <c r="AE18148" s="9"/>
      <c r="AF18148" s="9"/>
      <c r="AG18148" s="10"/>
    </row>
    <row r="18149" spans="1:33">
      <c r="A18149" s="9"/>
      <c r="B18149" s="9"/>
      <c r="C18149" s="9"/>
      <c r="D18149" s="9"/>
      <c r="E18149" s="9"/>
      <c r="F18149" s="9"/>
      <c r="G18149" s="9"/>
      <c r="H18149" s="9"/>
      <c r="I18149" s="9"/>
      <c r="J18149" s="9"/>
      <c r="K18149" s="9"/>
      <c r="L18149" s="9"/>
      <c r="M18149" s="9"/>
      <c r="N18149" s="9"/>
      <c r="O18149" s="9"/>
      <c r="P18149" s="9"/>
      <c r="Q18149" s="9"/>
      <c r="R18149" s="9"/>
      <c r="S18149" s="9"/>
      <c r="T18149" s="9"/>
      <c r="U18149" s="9"/>
      <c r="V18149" s="9"/>
      <c r="W18149" s="9"/>
      <c r="X18149" s="9"/>
      <c r="Y18149" s="9"/>
      <c r="Z18149" s="9"/>
      <c r="AA18149" s="9"/>
      <c r="AB18149" s="9"/>
      <c r="AC18149" s="9"/>
      <c r="AD18149" s="9"/>
      <c r="AE18149" s="9"/>
      <c r="AF18149" s="9"/>
      <c r="AG18149" s="10"/>
    </row>
    <row r="18150" spans="1:33">
      <c r="A18150" s="9"/>
      <c r="B18150" s="9"/>
      <c r="C18150" s="9"/>
      <c r="D18150" s="9"/>
      <c r="E18150" s="9"/>
      <c r="F18150" s="9"/>
      <c r="G18150" s="9"/>
      <c r="H18150" s="9"/>
      <c r="I18150" s="9"/>
      <c r="J18150" s="9"/>
      <c r="K18150" s="9"/>
      <c r="L18150" s="9"/>
      <c r="M18150" s="9"/>
      <c r="N18150" s="9"/>
      <c r="O18150" s="9"/>
      <c r="P18150" s="9"/>
      <c r="Q18150" s="9"/>
      <c r="R18150" s="9"/>
      <c r="S18150" s="9"/>
      <c r="T18150" s="9"/>
      <c r="U18150" s="9"/>
      <c r="V18150" s="9"/>
      <c r="W18150" s="9"/>
      <c r="X18150" s="9"/>
      <c r="Y18150" s="9"/>
      <c r="Z18150" s="9"/>
      <c r="AA18150" s="9"/>
      <c r="AB18150" s="9"/>
      <c r="AC18150" s="9"/>
      <c r="AD18150" s="9"/>
      <c r="AE18150" s="9"/>
      <c r="AF18150" s="9"/>
      <c r="AG18150" s="10"/>
    </row>
    <row r="18151" spans="1:33">
      <c r="A18151" s="9"/>
      <c r="B18151" s="9"/>
      <c r="C18151" s="9"/>
      <c r="D18151" s="9"/>
      <c r="E18151" s="9"/>
      <c r="F18151" s="9"/>
      <c r="G18151" s="9"/>
      <c r="H18151" s="9"/>
      <c r="I18151" s="9"/>
      <c r="J18151" s="9"/>
      <c r="K18151" s="9"/>
      <c r="L18151" s="9"/>
      <c r="M18151" s="9"/>
      <c r="N18151" s="9"/>
      <c r="O18151" s="9"/>
      <c r="P18151" s="9"/>
      <c r="Q18151" s="9"/>
      <c r="R18151" s="9"/>
      <c r="S18151" s="9"/>
      <c r="T18151" s="9"/>
      <c r="U18151" s="9"/>
      <c r="V18151" s="9"/>
      <c r="W18151" s="9"/>
      <c r="X18151" s="9"/>
      <c r="Y18151" s="9"/>
      <c r="Z18151" s="9"/>
      <c r="AA18151" s="9"/>
      <c r="AB18151" s="9"/>
      <c r="AC18151" s="9"/>
      <c r="AD18151" s="9"/>
      <c r="AE18151" s="9"/>
      <c r="AF18151" s="9"/>
      <c r="AG18151" s="10"/>
    </row>
    <row r="18152" spans="1:33">
      <c r="A18152" s="9"/>
      <c r="B18152" s="9"/>
      <c r="C18152" s="9"/>
      <c r="D18152" s="9"/>
      <c r="E18152" s="9"/>
      <c r="F18152" s="9"/>
      <c r="G18152" s="9"/>
      <c r="H18152" s="9"/>
      <c r="I18152" s="9"/>
      <c r="J18152" s="9"/>
      <c r="K18152" s="9"/>
      <c r="L18152" s="9"/>
      <c r="M18152" s="9"/>
      <c r="N18152" s="9"/>
      <c r="O18152" s="9"/>
      <c r="P18152" s="9"/>
      <c r="Q18152" s="9"/>
      <c r="R18152" s="9"/>
      <c r="S18152" s="9"/>
      <c r="T18152" s="9"/>
      <c r="U18152" s="9"/>
      <c r="V18152" s="9"/>
      <c r="W18152" s="9"/>
      <c r="X18152" s="9"/>
      <c r="Y18152" s="9"/>
      <c r="Z18152" s="9"/>
      <c r="AA18152" s="9"/>
      <c r="AB18152" s="9"/>
      <c r="AC18152" s="9"/>
      <c r="AD18152" s="9"/>
      <c r="AE18152" s="9"/>
      <c r="AF18152" s="9"/>
      <c r="AG18152" s="10"/>
    </row>
    <row r="18153" spans="1:33">
      <c r="A18153" s="9"/>
      <c r="B18153" s="9"/>
      <c r="C18153" s="9"/>
      <c r="D18153" s="9"/>
      <c r="E18153" s="9"/>
      <c r="F18153" s="9"/>
      <c r="G18153" s="9"/>
      <c r="H18153" s="9"/>
      <c r="I18153" s="9"/>
      <c r="J18153" s="9"/>
      <c r="K18153" s="9"/>
      <c r="L18153" s="9"/>
      <c r="M18153" s="9"/>
      <c r="N18153" s="9"/>
      <c r="O18153" s="9"/>
      <c r="P18153" s="9"/>
      <c r="Q18153" s="9"/>
      <c r="R18153" s="9"/>
      <c r="S18153" s="9"/>
      <c r="T18153" s="9"/>
      <c r="U18153" s="9"/>
      <c r="V18153" s="9"/>
      <c r="W18153" s="9"/>
      <c r="X18153" s="9"/>
      <c r="Y18153" s="9"/>
      <c r="Z18153" s="9"/>
      <c r="AA18153" s="9"/>
      <c r="AB18153" s="9"/>
      <c r="AC18153" s="9"/>
      <c r="AD18153" s="9"/>
      <c r="AE18153" s="9"/>
      <c r="AF18153" s="9"/>
      <c r="AG18153" s="10"/>
    </row>
    <row r="18154" spans="1:33">
      <c r="A18154" s="9"/>
      <c r="B18154" s="9"/>
      <c r="C18154" s="9"/>
      <c r="D18154" s="9"/>
      <c r="E18154" s="9"/>
      <c r="F18154" s="9"/>
      <c r="G18154" s="9"/>
      <c r="H18154" s="9"/>
      <c r="I18154" s="9"/>
      <c r="J18154" s="9"/>
      <c r="K18154" s="9"/>
      <c r="L18154" s="9"/>
      <c r="M18154" s="9"/>
      <c r="N18154" s="9"/>
      <c r="O18154" s="9"/>
      <c r="P18154" s="9"/>
      <c r="Q18154" s="9"/>
      <c r="R18154" s="9"/>
      <c r="S18154" s="9"/>
      <c r="T18154" s="9"/>
      <c r="U18154" s="9"/>
      <c r="V18154" s="9"/>
      <c r="W18154" s="9"/>
      <c r="X18154" s="9"/>
      <c r="Y18154" s="9"/>
      <c r="Z18154" s="9"/>
      <c r="AA18154" s="9"/>
      <c r="AB18154" s="9"/>
      <c r="AC18154" s="9"/>
      <c r="AD18154" s="9"/>
      <c r="AE18154" s="9"/>
      <c r="AF18154" s="9"/>
      <c r="AG18154" s="10"/>
    </row>
    <row r="18155" spans="1:33">
      <c r="A18155" s="9"/>
      <c r="B18155" s="9"/>
      <c r="C18155" s="9"/>
      <c r="D18155" s="9"/>
      <c r="E18155" s="9"/>
      <c r="F18155" s="9"/>
      <c r="G18155" s="9"/>
      <c r="H18155" s="9"/>
      <c r="I18155" s="9"/>
      <c r="J18155" s="9"/>
      <c r="K18155" s="9"/>
      <c r="L18155" s="9"/>
      <c r="M18155" s="9"/>
      <c r="N18155" s="9"/>
      <c r="O18155" s="9"/>
      <c r="P18155" s="9"/>
      <c r="Q18155" s="9"/>
      <c r="R18155" s="9"/>
      <c r="S18155" s="9"/>
      <c r="T18155" s="9"/>
      <c r="U18155" s="9"/>
      <c r="V18155" s="9"/>
      <c r="W18155" s="9"/>
      <c r="X18155" s="9"/>
      <c r="Y18155" s="9"/>
      <c r="Z18155" s="9"/>
      <c r="AA18155" s="9"/>
      <c r="AB18155" s="9"/>
      <c r="AC18155" s="9"/>
      <c r="AD18155" s="9"/>
      <c r="AE18155" s="9"/>
      <c r="AF18155" s="9"/>
      <c r="AG18155" s="10"/>
    </row>
    <row r="18156" spans="1:33">
      <c r="A18156" s="9"/>
      <c r="B18156" s="9"/>
      <c r="C18156" s="9"/>
      <c r="D18156" s="9"/>
      <c r="E18156" s="9"/>
      <c r="F18156" s="9"/>
      <c r="G18156" s="9"/>
      <c r="H18156" s="9"/>
      <c r="I18156" s="9"/>
      <c r="J18156" s="9"/>
      <c r="K18156" s="9"/>
      <c r="L18156" s="9"/>
      <c r="M18156" s="9"/>
      <c r="N18156" s="9"/>
      <c r="O18156" s="9"/>
      <c r="P18156" s="9"/>
      <c r="Q18156" s="9"/>
      <c r="R18156" s="9"/>
      <c r="S18156" s="9"/>
      <c r="T18156" s="9"/>
      <c r="U18156" s="9"/>
      <c r="V18156" s="9"/>
      <c r="W18156" s="9"/>
      <c r="X18156" s="9"/>
      <c r="Y18156" s="9"/>
      <c r="Z18156" s="9"/>
      <c r="AA18156" s="9"/>
      <c r="AB18156" s="9"/>
      <c r="AC18156" s="9"/>
      <c r="AD18156" s="9"/>
      <c r="AE18156" s="9"/>
      <c r="AF18156" s="9"/>
      <c r="AG18156" s="10"/>
    </row>
    <row r="18157" spans="1:33">
      <c r="A18157" s="9"/>
      <c r="B18157" s="9"/>
      <c r="C18157" s="9"/>
      <c r="D18157" s="9"/>
      <c r="E18157" s="9"/>
      <c r="F18157" s="9"/>
      <c r="G18157" s="9"/>
      <c r="H18157" s="9"/>
      <c r="I18157" s="9"/>
      <c r="J18157" s="9"/>
      <c r="K18157" s="9"/>
      <c r="L18157" s="9"/>
      <c r="M18157" s="9"/>
      <c r="N18157" s="9"/>
      <c r="O18157" s="9"/>
      <c r="P18157" s="9"/>
      <c r="Q18157" s="9"/>
      <c r="R18157" s="9"/>
      <c r="S18157" s="9"/>
      <c r="T18157" s="9"/>
      <c r="U18157" s="9"/>
      <c r="V18157" s="9"/>
      <c r="W18157" s="9"/>
      <c r="X18157" s="9"/>
      <c r="Y18157" s="9"/>
      <c r="Z18157" s="9"/>
      <c r="AA18157" s="9"/>
      <c r="AB18157" s="9"/>
      <c r="AC18157" s="9"/>
      <c r="AD18157" s="9"/>
      <c r="AE18157" s="9"/>
      <c r="AF18157" s="9"/>
      <c r="AG18157" s="10"/>
    </row>
    <row r="18158" spans="1:33">
      <c r="A18158" s="9"/>
      <c r="B18158" s="9"/>
      <c r="C18158" s="9"/>
      <c r="D18158" s="9"/>
      <c r="E18158" s="9"/>
      <c r="F18158" s="9"/>
      <c r="G18158" s="9"/>
      <c r="H18158" s="9"/>
      <c r="I18158" s="9"/>
      <c r="J18158" s="9"/>
      <c r="K18158" s="9"/>
      <c r="L18158" s="9"/>
      <c r="M18158" s="9"/>
      <c r="N18158" s="9"/>
      <c r="O18158" s="9"/>
      <c r="P18158" s="9"/>
      <c r="Q18158" s="9"/>
      <c r="R18158" s="9"/>
      <c r="S18158" s="9"/>
      <c r="T18158" s="9"/>
      <c r="U18158" s="9"/>
      <c r="V18158" s="9"/>
      <c r="W18158" s="9"/>
      <c r="X18158" s="9"/>
      <c r="Y18158" s="9"/>
      <c r="Z18158" s="9"/>
      <c r="AA18158" s="9"/>
      <c r="AB18158" s="9"/>
      <c r="AC18158" s="9"/>
      <c r="AD18158" s="9"/>
      <c r="AE18158" s="9"/>
      <c r="AF18158" s="9"/>
      <c r="AG18158" s="10"/>
    </row>
    <row r="18159" spans="1:33">
      <c r="A18159" s="9"/>
      <c r="B18159" s="9"/>
      <c r="C18159" s="9"/>
      <c r="D18159" s="9"/>
      <c r="E18159" s="9"/>
      <c r="F18159" s="9"/>
      <c r="G18159" s="9"/>
      <c r="H18159" s="9"/>
      <c r="I18159" s="9"/>
      <c r="J18159" s="9"/>
      <c r="K18159" s="9"/>
      <c r="L18159" s="9"/>
      <c r="M18159" s="9"/>
      <c r="N18159" s="9"/>
      <c r="O18159" s="9"/>
      <c r="P18159" s="9"/>
      <c r="Q18159" s="9"/>
      <c r="R18159" s="9"/>
      <c r="S18159" s="9"/>
      <c r="T18159" s="9"/>
      <c r="U18159" s="9"/>
      <c r="V18159" s="9"/>
      <c r="W18159" s="9"/>
      <c r="X18159" s="9"/>
      <c r="Y18159" s="9"/>
      <c r="Z18159" s="9"/>
      <c r="AA18159" s="9"/>
      <c r="AB18159" s="9"/>
      <c r="AC18159" s="9"/>
      <c r="AD18159" s="9"/>
      <c r="AE18159" s="9"/>
      <c r="AF18159" s="9"/>
      <c r="AG18159" s="10"/>
    </row>
    <row r="18160" spans="1:33">
      <c r="A18160" s="9"/>
      <c r="B18160" s="9"/>
      <c r="C18160" s="9"/>
      <c r="D18160" s="9"/>
      <c r="E18160" s="9"/>
      <c r="F18160" s="9"/>
      <c r="G18160" s="9"/>
      <c r="H18160" s="9"/>
      <c r="I18160" s="9"/>
      <c r="J18160" s="9"/>
      <c r="K18160" s="9"/>
      <c r="L18160" s="9"/>
      <c r="M18160" s="9"/>
      <c r="N18160" s="9"/>
      <c r="O18160" s="9"/>
      <c r="P18160" s="9"/>
      <c r="Q18160" s="9"/>
      <c r="R18160" s="9"/>
      <c r="S18160" s="9"/>
      <c r="T18160" s="9"/>
      <c r="U18160" s="9"/>
      <c r="V18160" s="9"/>
      <c r="W18160" s="9"/>
      <c r="X18160" s="9"/>
      <c r="Y18160" s="9"/>
      <c r="Z18160" s="9"/>
      <c r="AA18160" s="9"/>
      <c r="AB18160" s="9"/>
      <c r="AC18160" s="9"/>
      <c r="AD18160" s="9"/>
      <c r="AE18160" s="9"/>
      <c r="AF18160" s="9"/>
      <c r="AG18160" s="10"/>
    </row>
    <row r="18161" spans="1:33">
      <c r="A18161" s="9"/>
      <c r="B18161" s="9"/>
      <c r="C18161" s="9"/>
      <c r="D18161" s="9"/>
      <c r="E18161" s="9"/>
      <c r="F18161" s="9"/>
      <c r="G18161" s="9"/>
      <c r="H18161" s="9"/>
      <c r="I18161" s="9"/>
      <c r="J18161" s="9"/>
      <c r="K18161" s="9"/>
      <c r="L18161" s="9"/>
      <c r="M18161" s="9"/>
      <c r="N18161" s="9"/>
      <c r="O18161" s="9"/>
      <c r="P18161" s="9"/>
      <c r="Q18161" s="9"/>
      <c r="R18161" s="9"/>
      <c r="S18161" s="9"/>
      <c r="T18161" s="9"/>
      <c r="U18161" s="9"/>
      <c r="V18161" s="9"/>
      <c r="W18161" s="9"/>
      <c r="X18161" s="9"/>
      <c r="Y18161" s="9"/>
      <c r="Z18161" s="9"/>
      <c r="AA18161" s="9"/>
      <c r="AB18161" s="9"/>
      <c r="AC18161" s="9"/>
      <c r="AD18161" s="9"/>
      <c r="AE18161" s="9"/>
      <c r="AF18161" s="9"/>
      <c r="AG18161" s="10"/>
    </row>
    <row r="18162" spans="1:33">
      <c r="A18162" s="9"/>
      <c r="B18162" s="9"/>
      <c r="C18162" s="9"/>
      <c r="D18162" s="9"/>
      <c r="E18162" s="9"/>
      <c r="F18162" s="9"/>
      <c r="G18162" s="9"/>
      <c r="H18162" s="9"/>
      <c r="I18162" s="9"/>
      <c r="J18162" s="9"/>
      <c r="K18162" s="9"/>
      <c r="L18162" s="9"/>
      <c r="M18162" s="9"/>
      <c r="N18162" s="9"/>
      <c r="O18162" s="9"/>
      <c r="P18162" s="9"/>
      <c r="Q18162" s="9"/>
      <c r="R18162" s="9"/>
      <c r="S18162" s="9"/>
      <c r="T18162" s="9"/>
      <c r="U18162" s="9"/>
      <c r="V18162" s="9"/>
      <c r="W18162" s="9"/>
      <c r="X18162" s="9"/>
      <c r="Y18162" s="9"/>
      <c r="Z18162" s="9"/>
      <c r="AA18162" s="9"/>
      <c r="AB18162" s="9"/>
      <c r="AC18162" s="9"/>
      <c r="AD18162" s="9"/>
      <c r="AE18162" s="9"/>
      <c r="AF18162" s="9"/>
      <c r="AG18162" s="10"/>
    </row>
    <row r="18163" spans="1:33">
      <c r="A18163" s="9"/>
      <c r="B18163" s="9"/>
      <c r="C18163" s="9"/>
      <c r="D18163" s="9"/>
      <c r="E18163" s="9"/>
      <c r="F18163" s="9"/>
      <c r="G18163" s="9"/>
      <c r="H18163" s="9"/>
      <c r="I18163" s="9"/>
      <c r="J18163" s="9"/>
      <c r="K18163" s="9"/>
      <c r="L18163" s="9"/>
      <c r="M18163" s="9"/>
      <c r="N18163" s="9"/>
      <c r="O18163" s="9"/>
      <c r="P18163" s="9"/>
      <c r="Q18163" s="9"/>
      <c r="R18163" s="9"/>
      <c r="S18163" s="9"/>
      <c r="T18163" s="9"/>
      <c r="U18163" s="9"/>
      <c r="V18163" s="9"/>
      <c r="W18163" s="9"/>
      <c r="X18163" s="9"/>
      <c r="Y18163" s="9"/>
      <c r="Z18163" s="9"/>
      <c r="AA18163" s="9"/>
      <c r="AB18163" s="9"/>
      <c r="AC18163" s="9"/>
      <c r="AD18163" s="9"/>
      <c r="AE18163" s="9"/>
      <c r="AF18163" s="9"/>
      <c r="AG18163" s="10"/>
    </row>
    <row r="18164" spans="1:33">
      <c r="A18164" s="9"/>
      <c r="B18164" s="9"/>
      <c r="C18164" s="9"/>
      <c r="D18164" s="9"/>
      <c r="E18164" s="9"/>
      <c r="F18164" s="9"/>
      <c r="G18164" s="9"/>
      <c r="H18164" s="9"/>
      <c r="I18164" s="9"/>
      <c r="J18164" s="9"/>
      <c r="K18164" s="9"/>
      <c r="L18164" s="9"/>
      <c r="M18164" s="9"/>
      <c r="N18164" s="9"/>
      <c r="O18164" s="9"/>
      <c r="P18164" s="9"/>
      <c r="Q18164" s="9"/>
      <c r="R18164" s="9"/>
      <c r="S18164" s="9"/>
      <c r="T18164" s="9"/>
      <c r="U18164" s="9"/>
      <c r="V18164" s="9"/>
      <c r="W18164" s="9"/>
      <c r="X18164" s="9"/>
      <c r="Y18164" s="9"/>
      <c r="Z18164" s="9"/>
      <c r="AA18164" s="9"/>
      <c r="AB18164" s="9"/>
      <c r="AC18164" s="9"/>
      <c r="AD18164" s="9"/>
      <c r="AE18164" s="9"/>
      <c r="AF18164" s="9"/>
      <c r="AG18164" s="10"/>
    </row>
    <row r="18165" spans="1:33">
      <c r="A18165" s="9"/>
      <c r="B18165" s="9"/>
      <c r="C18165" s="9"/>
      <c r="D18165" s="9"/>
      <c r="E18165" s="9"/>
      <c r="F18165" s="9"/>
      <c r="G18165" s="9"/>
      <c r="H18165" s="9"/>
      <c r="I18165" s="9"/>
      <c r="J18165" s="9"/>
      <c r="K18165" s="9"/>
      <c r="L18165" s="9"/>
      <c r="M18165" s="9"/>
      <c r="N18165" s="9"/>
      <c r="O18165" s="9"/>
      <c r="P18165" s="9"/>
      <c r="Q18165" s="9"/>
      <c r="R18165" s="9"/>
      <c r="S18165" s="9"/>
      <c r="T18165" s="9"/>
      <c r="U18165" s="9"/>
      <c r="V18165" s="9"/>
      <c r="W18165" s="9"/>
      <c r="X18165" s="9"/>
      <c r="Y18165" s="9"/>
      <c r="Z18165" s="9"/>
      <c r="AA18165" s="9"/>
      <c r="AB18165" s="9"/>
      <c r="AC18165" s="9"/>
      <c r="AD18165" s="9"/>
      <c r="AE18165" s="9"/>
      <c r="AF18165" s="9"/>
      <c r="AG18165" s="10"/>
    </row>
    <row r="18166" spans="1:33">
      <c r="A18166" s="9"/>
      <c r="B18166" s="9"/>
      <c r="C18166" s="9"/>
      <c r="D18166" s="9"/>
      <c r="E18166" s="9"/>
      <c r="F18166" s="9"/>
      <c r="G18166" s="9"/>
      <c r="H18166" s="9"/>
      <c r="I18166" s="9"/>
      <c r="J18166" s="9"/>
      <c r="K18166" s="9"/>
      <c r="L18166" s="9"/>
      <c r="M18166" s="9"/>
      <c r="N18166" s="9"/>
      <c r="O18166" s="9"/>
      <c r="P18166" s="9"/>
      <c r="Q18166" s="9"/>
      <c r="R18166" s="9"/>
      <c r="S18166" s="9"/>
      <c r="T18166" s="9"/>
      <c r="U18166" s="9"/>
      <c r="V18166" s="9"/>
      <c r="W18166" s="9"/>
      <c r="X18166" s="9"/>
      <c r="Y18166" s="9"/>
      <c r="Z18166" s="9"/>
      <c r="AA18166" s="9"/>
      <c r="AB18166" s="9"/>
      <c r="AC18166" s="9"/>
      <c r="AD18166" s="9"/>
      <c r="AE18166" s="9"/>
      <c r="AF18166" s="9"/>
      <c r="AG18166" s="10"/>
    </row>
    <row r="18167" spans="1:33">
      <c r="A18167" s="9"/>
      <c r="B18167" s="9"/>
      <c r="C18167" s="9"/>
      <c r="D18167" s="9"/>
      <c r="E18167" s="9"/>
      <c r="F18167" s="9"/>
      <c r="G18167" s="9"/>
      <c r="H18167" s="9"/>
      <c r="I18167" s="9"/>
      <c r="J18167" s="9"/>
      <c r="K18167" s="9"/>
      <c r="L18167" s="9"/>
      <c r="M18167" s="9"/>
      <c r="N18167" s="9"/>
      <c r="O18167" s="9"/>
      <c r="P18167" s="9"/>
      <c r="Q18167" s="9"/>
      <c r="R18167" s="9"/>
      <c r="S18167" s="9"/>
      <c r="T18167" s="9"/>
      <c r="U18167" s="9"/>
      <c r="V18167" s="9"/>
      <c r="W18167" s="9"/>
      <c r="X18167" s="9"/>
      <c r="Y18167" s="9"/>
      <c r="Z18167" s="9"/>
      <c r="AA18167" s="9"/>
      <c r="AB18167" s="9"/>
      <c r="AC18167" s="9"/>
      <c r="AD18167" s="9"/>
      <c r="AE18167" s="9"/>
      <c r="AF18167" s="9"/>
      <c r="AG18167" s="10"/>
    </row>
    <row r="18168" spans="1:33">
      <c r="A18168" s="9"/>
      <c r="B18168" s="9"/>
      <c r="C18168" s="9"/>
      <c r="D18168" s="9"/>
      <c r="E18168" s="9"/>
      <c r="F18168" s="9"/>
      <c r="G18168" s="9"/>
      <c r="H18168" s="9"/>
      <c r="I18168" s="9"/>
      <c r="J18168" s="9"/>
      <c r="K18168" s="9"/>
      <c r="L18168" s="9"/>
      <c r="M18168" s="9"/>
      <c r="N18168" s="9"/>
      <c r="O18168" s="9"/>
      <c r="P18168" s="9"/>
      <c r="Q18168" s="9"/>
      <c r="R18168" s="9"/>
      <c r="S18168" s="9"/>
      <c r="T18168" s="9"/>
      <c r="U18168" s="9"/>
      <c r="V18168" s="9"/>
      <c r="W18168" s="9"/>
      <c r="X18168" s="9"/>
      <c r="Y18168" s="9"/>
      <c r="Z18168" s="9"/>
      <c r="AA18168" s="9"/>
      <c r="AB18168" s="9"/>
      <c r="AC18168" s="9"/>
      <c r="AD18168" s="9"/>
      <c r="AE18168" s="9"/>
      <c r="AF18168" s="9"/>
      <c r="AG18168" s="10"/>
    </row>
    <row r="18169" spans="1:33">
      <c r="A18169" s="9"/>
      <c r="B18169" s="9"/>
      <c r="C18169" s="9"/>
      <c r="D18169" s="9"/>
      <c r="E18169" s="9"/>
      <c r="F18169" s="9"/>
      <c r="G18169" s="9"/>
      <c r="H18169" s="9"/>
      <c r="I18169" s="9"/>
      <c r="J18169" s="9"/>
      <c r="K18169" s="9"/>
      <c r="L18169" s="9"/>
      <c r="M18169" s="9"/>
      <c r="N18169" s="9"/>
      <c r="O18169" s="9"/>
      <c r="P18169" s="9"/>
      <c r="Q18169" s="9"/>
      <c r="R18169" s="9"/>
      <c r="S18169" s="9"/>
      <c r="T18169" s="9"/>
      <c r="U18169" s="9"/>
      <c r="V18169" s="9"/>
      <c r="W18169" s="9"/>
      <c r="X18169" s="9"/>
      <c r="Y18169" s="9"/>
      <c r="Z18169" s="9"/>
      <c r="AA18169" s="9"/>
      <c r="AB18169" s="9"/>
      <c r="AC18169" s="9"/>
      <c r="AD18169" s="9"/>
      <c r="AE18169" s="9"/>
      <c r="AF18169" s="9"/>
      <c r="AG18169" s="10"/>
    </row>
    <row r="18170" spans="1:33">
      <c r="A18170" s="9"/>
      <c r="B18170" s="9"/>
      <c r="C18170" s="9"/>
      <c r="D18170" s="9"/>
      <c r="E18170" s="9"/>
      <c r="F18170" s="9"/>
      <c r="G18170" s="9"/>
      <c r="H18170" s="9"/>
      <c r="I18170" s="9"/>
      <c r="J18170" s="9"/>
      <c r="K18170" s="9"/>
      <c r="L18170" s="9"/>
      <c r="M18170" s="9"/>
      <c r="N18170" s="9"/>
      <c r="O18170" s="9"/>
      <c r="P18170" s="9"/>
      <c r="Q18170" s="9"/>
      <c r="R18170" s="9"/>
      <c r="S18170" s="9"/>
      <c r="T18170" s="9"/>
      <c r="U18170" s="9"/>
      <c r="V18170" s="9"/>
      <c r="W18170" s="9"/>
      <c r="X18170" s="9"/>
      <c r="Y18170" s="9"/>
      <c r="Z18170" s="9"/>
      <c r="AA18170" s="9"/>
      <c r="AB18170" s="9"/>
      <c r="AC18170" s="9"/>
      <c r="AD18170" s="9"/>
      <c r="AE18170" s="9"/>
      <c r="AF18170" s="9"/>
      <c r="AG18170" s="10"/>
    </row>
    <row r="18171" spans="1:33">
      <c r="A18171" s="9"/>
      <c r="B18171" s="9"/>
      <c r="C18171" s="9"/>
      <c r="D18171" s="9"/>
      <c r="E18171" s="9"/>
      <c r="F18171" s="9"/>
      <c r="G18171" s="9"/>
      <c r="H18171" s="9"/>
      <c r="I18171" s="9"/>
      <c r="J18171" s="9"/>
      <c r="K18171" s="9"/>
      <c r="L18171" s="9"/>
      <c r="M18171" s="9"/>
      <c r="N18171" s="9"/>
      <c r="O18171" s="9"/>
      <c r="P18171" s="9"/>
      <c r="Q18171" s="9"/>
      <c r="R18171" s="9"/>
      <c r="S18171" s="9"/>
      <c r="T18171" s="9"/>
      <c r="U18171" s="9"/>
      <c r="V18171" s="9"/>
      <c r="W18171" s="9"/>
      <c r="X18171" s="9"/>
      <c r="Y18171" s="9"/>
      <c r="Z18171" s="9"/>
      <c r="AA18171" s="9"/>
      <c r="AB18171" s="9"/>
      <c r="AC18171" s="9"/>
      <c r="AD18171" s="9"/>
      <c r="AE18171" s="9"/>
      <c r="AF18171" s="9"/>
      <c r="AG18171" s="10"/>
    </row>
    <row r="18172" spans="1:33">
      <c r="A18172" s="9"/>
      <c r="B18172" s="9"/>
      <c r="C18172" s="9"/>
      <c r="D18172" s="9"/>
      <c r="E18172" s="9"/>
      <c r="F18172" s="9"/>
      <c r="G18172" s="9"/>
      <c r="H18172" s="9"/>
      <c r="I18172" s="9"/>
      <c r="J18172" s="9"/>
      <c r="K18172" s="9"/>
      <c r="L18172" s="9"/>
      <c r="M18172" s="9"/>
      <c r="N18172" s="9"/>
      <c r="O18172" s="9"/>
      <c r="P18172" s="9"/>
      <c r="Q18172" s="9"/>
      <c r="R18172" s="9"/>
      <c r="S18172" s="9"/>
      <c r="T18172" s="9"/>
      <c r="U18172" s="9"/>
      <c r="V18172" s="9"/>
      <c r="W18172" s="9"/>
      <c r="X18172" s="9"/>
      <c r="Y18172" s="9"/>
      <c r="Z18172" s="9"/>
      <c r="AA18172" s="9"/>
      <c r="AB18172" s="9"/>
      <c r="AC18172" s="9"/>
      <c r="AD18172" s="9"/>
      <c r="AE18172" s="9"/>
      <c r="AF18172" s="9"/>
      <c r="AG18172" s="10"/>
    </row>
    <row r="18173" spans="1:33">
      <c r="A18173" s="9"/>
      <c r="B18173" s="9"/>
      <c r="C18173" s="9"/>
      <c r="D18173" s="9"/>
      <c r="E18173" s="9"/>
      <c r="F18173" s="9"/>
      <c r="G18173" s="9"/>
      <c r="H18173" s="9"/>
      <c r="I18173" s="9"/>
      <c r="J18173" s="9"/>
      <c r="K18173" s="9"/>
      <c r="L18173" s="9"/>
      <c r="M18173" s="9"/>
      <c r="N18173" s="9"/>
      <c r="O18173" s="9"/>
      <c r="P18173" s="9"/>
      <c r="Q18173" s="9"/>
      <c r="R18173" s="9"/>
      <c r="S18173" s="9"/>
      <c r="T18173" s="9"/>
      <c r="U18173" s="9"/>
      <c r="V18173" s="9"/>
      <c r="W18173" s="9"/>
      <c r="X18173" s="9"/>
      <c r="Y18173" s="9"/>
      <c r="Z18173" s="9"/>
      <c r="AA18173" s="9"/>
      <c r="AB18173" s="9"/>
      <c r="AC18173" s="9"/>
      <c r="AD18173" s="9"/>
      <c r="AE18173" s="9"/>
      <c r="AF18173" s="9"/>
      <c r="AG18173" s="10"/>
    </row>
    <row r="18174" spans="1:33">
      <c r="A18174" s="9"/>
      <c r="B18174" s="9"/>
      <c r="C18174" s="9"/>
      <c r="D18174" s="9"/>
      <c r="E18174" s="9"/>
      <c r="F18174" s="9"/>
      <c r="G18174" s="9"/>
      <c r="H18174" s="9"/>
      <c r="I18174" s="9"/>
      <c r="J18174" s="9"/>
      <c r="K18174" s="9"/>
      <c r="L18174" s="9"/>
      <c r="M18174" s="9"/>
      <c r="N18174" s="9"/>
      <c r="O18174" s="9"/>
      <c r="P18174" s="9"/>
      <c r="Q18174" s="9"/>
      <c r="R18174" s="9"/>
      <c r="S18174" s="9"/>
      <c r="T18174" s="9"/>
      <c r="U18174" s="9"/>
      <c r="V18174" s="9"/>
      <c r="W18174" s="9"/>
      <c r="X18174" s="9"/>
      <c r="Y18174" s="9"/>
      <c r="Z18174" s="9"/>
      <c r="AA18174" s="9"/>
      <c r="AB18174" s="9"/>
      <c r="AC18174" s="9"/>
      <c r="AD18174" s="9"/>
      <c r="AE18174" s="9"/>
      <c r="AF18174" s="9"/>
      <c r="AG18174" s="10"/>
    </row>
    <row r="18175" spans="1:33">
      <c r="A18175" s="9"/>
      <c r="B18175" s="9"/>
      <c r="C18175" s="9"/>
      <c r="D18175" s="9"/>
      <c r="E18175" s="9"/>
      <c r="F18175" s="9"/>
      <c r="G18175" s="9"/>
      <c r="H18175" s="9"/>
      <c r="I18175" s="9"/>
      <c r="J18175" s="9"/>
      <c r="K18175" s="9"/>
      <c r="L18175" s="9"/>
      <c r="M18175" s="9"/>
      <c r="N18175" s="9"/>
      <c r="O18175" s="9"/>
      <c r="P18175" s="9"/>
      <c r="Q18175" s="9"/>
      <c r="R18175" s="9"/>
      <c r="S18175" s="9"/>
      <c r="T18175" s="9"/>
      <c r="U18175" s="9"/>
      <c r="V18175" s="9"/>
      <c r="W18175" s="9"/>
      <c r="X18175" s="9"/>
      <c r="Y18175" s="9"/>
      <c r="Z18175" s="9"/>
      <c r="AA18175" s="9"/>
      <c r="AB18175" s="9"/>
      <c r="AC18175" s="9"/>
      <c r="AD18175" s="9"/>
      <c r="AE18175" s="9"/>
      <c r="AF18175" s="9"/>
      <c r="AG18175" s="10"/>
    </row>
    <row r="18176" spans="1:33">
      <c r="A18176" s="9"/>
      <c r="B18176" s="9"/>
      <c r="C18176" s="9"/>
      <c r="D18176" s="9"/>
      <c r="E18176" s="9"/>
      <c r="F18176" s="9"/>
      <c r="G18176" s="9"/>
      <c r="H18176" s="9"/>
      <c r="I18176" s="9"/>
      <c r="J18176" s="9"/>
      <c r="K18176" s="9"/>
      <c r="L18176" s="9"/>
      <c r="M18176" s="9"/>
      <c r="N18176" s="9"/>
      <c r="O18176" s="9"/>
      <c r="P18176" s="9"/>
      <c r="Q18176" s="9"/>
      <c r="R18176" s="9"/>
      <c r="S18176" s="9"/>
      <c r="T18176" s="9"/>
      <c r="U18176" s="9"/>
      <c r="V18176" s="9"/>
      <c r="W18176" s="9"/>
      <c r="X18176" s="9"/>
      <c r="Y18176" s="9"/>
      <c r="Z18176" s="9"/>
      <c r="AA18176" s="9"/>
      <c r="AB18176" s="9"/>
      <c r="AC18176" s="9"/>
      <c r="AD18176" s="9"/>
      <c r="AE18176" s="9"/>
      <c r="AF18176" s="9"/>
      <c r="AG18176" s="10"/>
    </row>
    <row r="18177" spans="1:33">
      <c r="A18177" s="9"/>
      <c r="B18177" s="9"/>
      <c r="C18177" s="9"/>
      <c r="D18177" s="9"/>
      <c r="E18177" s="9"/>
      <c r="F18177" s="9"/>
      <c r="G18177" s="9"/>
      <c r="H18177" s="9"/>
      <c r="I18177" s="9"/>
      <c r="J18177" s="9"/>
      <c r="K18177" s="9"/>
      <c r="L18177" s="9"/>
      <c r="M18177" s="9"/>
      <c r="N18177" s="9"/>
      <c r="O18177" s="9"/>
      <c r="P18177" s="9"/>
      <c r="Q18177" s="9"/>
      <c r="R18177" s="9"/>
      <c r="S18177" s="9"/>
      <c r="T18177" s="9"/>
      <c r="U18177" s="9"/>
      <c r="V18177" s="9"/>
      <c r="W18177" s="9"/>
      <c r="X18177" s="9"/>
      <c r="Y18177" s="9"/>
      <c r="Z18177" s="9"/>
      <c r="AA18177" s="9"/>
      <c r="AB18177" s="9"/>
      <c r="AC18177" s="9"/>
      <c r="AD18177" s="9"/>
      <c r="AE18177" s="9"/>
      <c r="AF18177" s="9"/>
      <c r="AG18177" s="10"/>
    </row>
    <row r="18178" spans="1:33">
      <c r="A18178" s="9"/>
      <c r="B18178" s="9"/>
      <c r="C18178" s="9"/>
      <c r="D18178" s="9"/>
      <c r="E18178" s="9"/>
      <c r="F18178" s="9"/>
      <c r="G18178" s="9"/>
      <c r="H18178" s="9"/>
      <c r="I18178" s="9"/>
      <c r="J18178" s="9"/>
      <c r="K18178" s="9"/>
      <c r="L18178" s="9"/>
      <c r="M18178" s="9"/>
      <c r="N18178" s="9"/>
      <c r="O18178" s="9"/>
      <c r="P18178" s="9"/>
      <c r="Q18178" s="9"/>
      <c r="R18178" s="9"/>
      <c r="S18178" s="9"/>
      <c r="T18178" s="9"/>
      <c r="U18178" s="9"/>
      <c r="V18178" s="9"/>
      <c r="W18178" s="9"/>
      <c r="X18178" s="9"/>
      <c r="Y18178" s="9"/>
      <c r="Z18178" s="9"/>
      <c r="AA18178" s="9"/>
      <c r="AB18178" s="9"/>
      <c r="AC18178" s="9"/>
      <c r="AD18178" s="9"/>
      <c r="AE18178" s="9"/>
      <c r="AF18178" s="9"/>
      <c r="AG18178" s="10"/>
    </row>
    <row r="18179" spans="1:33">
      <c r="A18179" s="9"/>
      <c r="B18179" s="9"/>
      <c r="C18179" s="9"/>
      <c r="D18179" s="9"/>
      <c r="E18179" s="9"/>
      <c r="F18179" s="9"/>
      <c r="G18179" s="9"/>
      <c r="H18179" s="9"/>
      <c r="I18179" s="9"/>
      <c r="J18179" s="9"/>
      <c r="K18179" s="9"/>
      <c r="L18179" s="9"/>
      <c r="M18179" s="9"/>
      <c r="N18179" s="9"/>
      <c r="O18179" s="9"/>
      <c r="P18179" s="9"/>
      <c r="Q18179" s="9"/>
      <c r="R18179" s="9"/>
      <c r="S18179" s="9"/>
      <c r="T18179" s="9"/>
      <c r="U18179" s="9"/>
      <c r="V18179" s="9"/>
      <c r="W18179" s="9"/>
      <c r="X18179" s="9"/>
      <c r="Y18179" s="9"/>
      <c r="Z18179" s="9"/>
      <c r="AA18179" s="9"/>
      <c r="AB18179" s="9"/>
      <c r="AC18179" s="9"/>
      <c r="AD18179" s="9"/>
      <c r="AE18179" s="9"/>
      <c r="AF18179" s="9"/>
      <c r="AG18179" s="10"/>
    </row>
    <row r="18180" spans="1:33">
      <c r="A18180" s="9"/>
      <c r="B18180" s="9"/>
      <c r="C18180" s="9"/>
      <c r="D18180" s="9"/>
      <c r="E18180" s="9"/>
      <c r="F18180" s="9"/>
      <c r="G18180" s="9"/>
      <c r="H18180" s="9"/>
      <c r="I18180" s="9"/>
      <c r="J18180" s="9"/>
      <c r="K18180" s="9"/>
      <c r="L18180" s="9"/>
      <c r="M18180" s="9"/>
      <c r="N18180" s="9"/>
      <c r="O18180" s="9"/>
      <c r="P18180" s="9"/>
      <c r="Q18180" s="9"/>
      <c r="R18180" s="9"/>
      <c r="S18180" s="9"/>
      <c r="T18180" s="9"/>
      <c r="U18180" s="9"/>
      <c r="V18180" s="9"/>
      <c r="W18180" s="9"/>
      <c r="X18180" s="9"/>
      <c r="Y18180" s="9"/>
      <c r="Z18180" s="9"/>
      <c r="AA18180" s="9"/>
      <c r="AB18180" s="9"/>
      <c r="AC18180" s="9"/>
      <c r="AD18180" s="9"/>
      <c r="AE18180" s="9"/>
      <c r="AF18180" s="9"/>
      <c r="AG18180" s="10"/>
    </row>
    <row r="18181" spans="1:33">
      <c r="A18181" s="9"/>
      <c r="B18181" s="9"/>
      <c r="C18181" s="9"/>
      <c r="D18181" s="9"/>
      <c r="E18181" s="9"/>
      <c r="F18181" s="9"/>
      <c r="G18181" s="9"/>
      <c r="H18181" s="9"/>
      <c r="I18181" s="9"/>
      <c r="J18181" s="9"/>
      <c r="K18181" s="9"/>
      <c r="L18181" s="9"/>
      <c r="M18181" s="9"/>
      <c r="N18181" s="9"/>
      <c r="O18181" s="9"/>
      <c r="P18181" s="9"/>
      <c r="Q18181" s="9"/>
      <c r="R18181" s="9"/>
      <c r="S18181" s="9"/>
      <c r="T18181" s="9"/>
      <c r="U18181" s="9"/>
      <c r="V18181" s="9"/>
      <c r="W18181" s="9"/>
      <c r="X18181" s="9"/>
      <c r="Y18181" s="9"/>
      <c r="Z18181" s="9"/>
      <c r="AA18181" s="9"/>
      <c r="AB18181" s="9"/>
      <c r="AC18181" s="9"/>
      <c r="AD18181" s="9"/>
      <c r="AE18181" s="9"/>
      <c r="AF18181" s="9"/>
      <c r="AG18181" s="10"/>
    </row>
    <row r="18182" spans="1:33">
      <c r="A18182" s="9"/>
      <c r="B18182" s="9"/>
      <c r="C18182" s="9"/>
      <c r="D18182" s="9"/>
      <c r="E18182" s="9"/>
      <c r="F18182" s="9"/>
      <c r="G18182" s="9"/>
      <c r="H18182" s="9"/>
      <c r="I18182" s="9"/>
      <c r="J18182" s="9"/>
      <c r="K18182" s="9"/>
      <c r="L18182" s="9"/>
      <c r="M18182" s="9"/>
      <c r="N18182" s="9"/>
      <c r="O18182" s="9"/>
      <c r="P18182" s="9"/>
      <c r="Q18182" s="9"/>
      <c r="R18182" s="9"/>
      <c r="S18182" s="9"/>
      <c r="T18182" s="9"/>
      <c r="U18182" s="9"/>
      <c r="V18182" s="9"/>
      <c r="W18182" s="9"/>
      <c r="X18182" s="9"/>
      <c r="Y18182" s="9"/>
      <c r="Z18182" s="9"/>
      <c r="AA18182" s="9"/>
      <c r="AB18182" s="9"/>
      <c r="AC18182" s="9"/>
      <c r="AD18182" s="9"/>
      <c r="AE18182" s="9"/>
      <c r="AF18182" s="9"/>
      <c r="AG18182" s="10"/>
    </row>
    <row r="18183" spans="1:33">
      <c r="A18183" s="9"/>
      <c r="B18183" s="9"/>
      <c r="C18183" s="9"/>
      <c r="D18183" s="9"/>
      <c r="E18183" s="9"/>
      <c r="F18183" s="9"/>
      <c r="G18183" s="9"/>
      <c r="H18183" s="9"/>
      <c r="I18183" s="9"/>
      <c r="J18183" s="9"/>
      <c r="K18183" s="9"/>
      <c r="L18183" s="9"/>
      <c r="M18183" s="9"/>
      <c r="N18183" s="9"/>
      <c r="O18183" s="9"/>
      <c r="P18183" s="9"/>
      <c r="Q18183" s="9"/>
      <c r="R18183" s="9"/>
      <c r="S18183" s="9"/>
      <c r="T18183" s="9"/>
      <c r="U18183" s="9"/>
      <c r="V18183" s="9"/>
      <c r="W18183" s="9"/>
      <c r="X18183" s="9"/>
      <c r="Y18183" s="9"/>
      <c r="Z18183" s="9"/>
      <c r="AA18183" s="9"/>
      <c r="AB18183" s="9"/>
      <c r="AC18183" s="9"/>
      <c r="AD18183" s="9"/>
      <c r="AE18183" s="9"/>
      <c r="AF18183" s="9"/>
      <c r="AG18183" s="10"/>
    </row>
    <row r="18184" spans="1:33">
      <c r="A18184" s="9"/>
      <c r="B18184" s="9"/>
      <c r="C18184" s="9"/>
      <c r="D18184" s="9"/>
      <c r="E18184" s="9"/>
      <c r="F18184" s="9"/>
      <c r="G18184" s="9"/>
      <c r="H18184" s="9"/>
      <c r="I18184" s="9"/>
      <c r="J18184" s="9"/>
      <c r="K18184" s="9"/>
      <c r="L18184" s="9"/>
      <c r="M18184" s="9"/>
      <c r="N18184" s="9"/>
      <c r="O18184" s="9"/>
      <c r="P18184" s="9"/>
      <c r="Q18184" s="9"/>
      <c r="R18184" s="9"/>
      <c r="S18184" s="9"/>
      <c r="T18184" s="9"/>
      <c r="U18184" s="9"/>
      <c r="V18184" s="9"/>
      <c r="W18184" s="9"/>
      <c r="X18184" s="9"/>
      <c r="Y18184" s="9"/>
      <c r="Z18184" s="9"/>
      <c r="AA18184" s="9"/>
      <c r="AB18184" s="9"/>
      <c r="AC18184" s="9"/>
      <c r="AD18184" s="9"/>
      <c r="AE18184" s="9"/>
      <c r="AF18184" s="9"/>
      <c r="AG18184" s="10"/>
    </row>
    <row r="18185" spans="1:33">
      <c r="A18185" s="9"/>
      <c r="B18185" s="9"/>
      <c r="C18185" s="9"/>
      <c r="D18185" s="9"/>
      <c r="E18185" s="9"/>
      <c r="F18185" s="9"/>
      <c r="G18185" s="9"/>
      <c r="H18185" s="9"/>
      <c r="I18185" s="9"/>
      <c r="J18185" s="9"/>
      <c r="K18185" s="9"/>
      <c r="L18185" s="9"/>
      <c r="M18185" s="9"/>
      <c r="N18185" s="9"/>
      <c r="O18185" s="9"/>
      <c r="P18185" s="9"/>
      <c r="Q18185" s="9"/>
      <c r="R18185" s="9"/>
      <c r="S18185" s="9"/>
      <c r="T18185" s="9"/>
      <c r="U18185" s="9"/>
      <c r="V18185" s="9"/>
      <c r="W18185" s="9"/>
      <c r="X18185" s="9"/>
      <c r="Y18185" s="9"/>
      <c r="Z18185" s="9"/>
      <c r="AA18185" s="9"/>
      <c r="AB18185" s="9"/>
      <c r="AC18185" s="9"/>
      <c r="AD18185" s="9"/>
      <c r="AE18185" s="9"/>
      <c r="AF18185" s="9"/>
      <c r="AG18185" s="10"/>
    </row>
    <row r="18186" spans="1:33">
      <c r="A18186" s="9"/>
      <c r="B18186" s="9"/>
      <c r="C18186" s="9"/>
      <c r="D18186" s="9"/>
      <c r="E18186" s="9"/>
      <c r="F18186" s="9"/>
      <c r="G18186" s="9"/>
      <c r="H18186" s="9"/>
      <c r="I18186" s="9"/>
      <c r="J18186" s="9"/>
      <c r="K18186" s="9"/>
      <c r="L18186" s="9"/>
      <c r="M18186" s="9"/>
      <c r="N18186" s="9"/>
      <c r="O18186" s="9"/>
      <c r="P18186" s="9"/>
      <c r="Q18186" s="9"/>
      <c r="R18186" s="9"/>
      <c r="S18186" s="9"/>
      <c r="T18186" s="9"/>
      <c r="U18186" s="9"/>
      <c r="V18186" s="9"/>
      <c r="W18186" s="9"/>
      <c r="X18186" s="9"/>
      <c r="Y18186" s="9"/>
      <c r="Z18186" s="9"/>
      <c r="AA18186" s="9"/>
      <c r="AB18186" s="9"/>
      <c r="AC18186" s="9"/>
      <c r="AD18186" s="9"/>
      <c r="AE18186" s="9"/>
      <c r="AF18186" s="9"/>
      <c r="AG18186" s="10"/>
    </row>
    <row r="18187" spans="1:33">
      <c r="A18187" s="9"/>
      <c r="B18187" s="9"/>
      <c r="C18187" s="9"/>
      <c r="D18187" s="9"/>
      <c r="E18187" s="9"/>
      <c r="F18187" s="9"/>
      <c r="G18187" s="9"/>
      <c r="H18187" s="9"/>
      <c r="I18187" s="9"/>
      <c r="J18187" s="9"/>
      <c r="K18187" s="9"/>
      <c r="L18187" s="9"/>
      <c r="M18187" s="9"/>
      <c r="N18187" s="9"/>
      <c r="O18187" s="9"/>
      <c r="P18187" s="9"/>
      <c r="Q18187" s="9"/>
      <c r="R18187" s="9"/>
      <c r="S18187" s="9"/>
      <c r="T18187" s="9"/>
      <c r="U18187" s="9"/>
      <c r="V18187" s="9"/>
      <c r="W18187" s="9"/>
      <c r="X18187" s="9"/>
      <c r="Y18187" s="9"/>
      <c r="Z18187" s="9"/>
      <c r="AA18187" s="9"/>
      <c r="AB18187" s="9"/>
      <c r="AC18187" s="9"/>
      <c r="AD18187" s="9"/>
      <c r="AE18187" s="9"/>
      <c r="AF18187" s="9"/>
      <c r="AG18187" s="10"/>
    </row>
    <row r="18188" spans="1:33">
      <c r="A18188" s="9"/>
      <c r="B18188" s="9"/>
      <c r="C18188" s="9"/>
      <c r="D18188" s="9"/>
      <c r="E18188" s="9"/>
      <c r="F18188" s="9"/>
      <c r="G18188" s="9"/>
      <c r="H18188" s="9"/>
      <c r="I18188" s="9"/>
      <c r="J18188" s="9"/>
      <c r="K18188" s="9"/>
      <c r="L18188" s="9"/>
      <c r="M18188" s="9"/>
      <c r="N18188" s="9"/>
      <c r="O18188" s="9"/>
      <c r="P18188" s="9"/>
      <c r="Q18188" s="9"/>
      <c r="R18188" s="9"/>
      <c r="S18188" s="9"/>
      <c r="T18188" s="9"/>
      <c r="U18188" s="9"/>
      <c r="V18188" s="9"/>
      <c r="W18188" s="9"/>
      <c r="X18188" s="9"/>
      <c r="Y18188" s="9"/>
      <c r="Z18188" s="9"/>
      <c r="AA18188" s="9"/>
      <c r="AB18188" s="9"/>
      <c r="AC18188" s="9"/>
      <c r="AD18188" s="9"/>
      <c r="AE18188" s="9"/>
      <c r="AF18188" s="9"/>
      <c r="AG18188" s="10"/>
    </row>
    <row r="18189" spans="1:33">
      <c r="A18189" s="9"/>
      <c r="B18189" s="9"/>
      <c r="C18189" s="9"/>
      <c r="D18189" s="9"/>
      <c r="E18189" s="9"/>
      <c r="F18189" s="9"/>
      <c r="G18189" s="9"/>
      <c r="H18189" s="9"/>
      <c r="I18189" s="9"/>
      <c r="J18189" s="9"/>
      <c r="K18189" s="9"/>
      <c r="L18189" s="9"/>
      <c r="M18189" s="9"/>
      <c r="N18189" s="9"/>
      <c r="O18189" s="9"/>
      <c r="P18189" s="9"/>
      <c r="Q18189" s="9"/>
      <c r="R18189" s="9"/>
      <c r="S18189" s="9"/>
      <c r="T18189" s="9"/>
      <c r="U18189" s="9"/>
      <c r="V18189" s="9"/>
      <c r="W18189" s="9"/>
      <c r="X18189" s="9"/>
      <c r="Y18189" s="9"/>
      <c r="Z18189" s="9"/>
      <c r="AA18189" s="9"/>
      <c r="AB18189" s="9"/>
      <c r="AC18189" s="9"/>
      <c r="AD18189" s="9"/>
      <c r="AE18189" s="9"/>
      <c r="AF18189" s="9"/>
      <c r="AG18189" s="10"/>
    </row>
    <row r="18190" spans="1:33">
      <c r="A18190" s="9"/>
      <c r="B18190" s="9"/>
      <c r="C18190" s="9"/>
      <c r="D18190" s="9"/>
      <c r="E18190" s="9"/>
      <c r="F18190" s="9"/>
      <c r="G18190" s="9"/>
      <c r="H18190" s="9"/>
      <c r="I18190" s="9"/>
      <c r="J18190" s="9"/>
      <c r="K18190" s="9"/>
      <c r="L18190" s="9"/>
      <c r="M18190" s="9"/>
      <c r="N18190" s="9"/>
      <c r="O18190" s="9"/>
      <c r="P18190" s="9"/>
      <c r="Q18190" s="9"/>
      <c r="R18190" s="9"/>
      <c r="S18190" s="9"/>
      <c r="T18190" s="9"/>
      <c r="U18190" s="9"/>
      <c r="V18190" s="9"/>
      <c r="W18190" s="9"/>
      <c r="X18190" s="9"/>
      <c r="Y18190" s="9"/>
      <c r="Z18190" s="9"/>
      <c r="AA18190" s="9"/>
      <c r="AB18190" s="9"/>
      <c r="AC18190" s="9"/>
      <c r="AD18190" s="9"/>
      <c r="AE18190" s="9"/>
      <c r="AF18190" s="9"/>
      <c r="AG18190" s="10"/>
    </row>
    <row r="18191" spans="1:33">
      <c r="A18191" s="9"/>
      <c r="B18191" s="9"/>
      <c r="C18191" s="9"/>
      <c r="D18191" s="9"/>
      <c r="E18191" s="9"/>
      <c r="F18191" s="9"/>
      <c r="G18191" s="9"/>
      <c r="H18191" s="9"/>
      <c r="I18191" s="9"/>
      <c r="J18191" s="9"/>
      <c r="K18191" s="9"/>
      <c r="L18191" s="9"/>
      <c r="M18191" s="9"/>
      <c r="N18191" s="9"/>
      <c r="O18191" s="9"/>
      <c r="P18191" s="9"/>
      <c r="Q18191" s="9"/>
      <c r="R18191" s="9"/>
      <c r="S18191" s="9"/>
      <c r="T18191" s="9"/>
      <c r="U18191" s="9"/>
      <c r="V18191" s="9"/>
      <c r="W18191" s="9"/>
      <c r="X18191" s="9"/>
      <c r="Y18191" s="9"/>
      <c r="Z18191" s="9"/>
      <c r="AA18191" s="9"/>
      <c r="AB18191" s="9"/>
      <c r="AC18191" s="9"/>
      <c r="AD18191" s="9"/>
      <c r="AE18191" s="9"/>
      <c r="AF18191" s="9"/>
      <c r="AG18191" s="10"/>
    </row>
    <row r="18192" spans="1:33">
      <c r="A18192" s="9"/>
      <c r="B18192" s="9"/>
      <c r="C18192" s="9"/>
      <c r="D18192" s="9"/>
      <c r="E18192" s="9"/>
      <c r="F18192" s="9"/>
      <c r="G18192" s="9"/>
      <c r="H18192" s="9"/>
      <c r="I18192" s="9"/>
      <c r="J18192" s="9"/>
      <c r="K18192" s="9"/>
      <c r="L18192" s="9"/>
      <c r="M18192" s="9"/>
      <c r="N18192" s="9"/>
      <c r="O18192" s="9"/>
      <c r="P18192" s="9"/>
      <c r="Q18192" s="9"/>
      <c r="R18192" s="9"/>
      <c r="S18192" s="9"/>
      <c r="T18192" s="9"/>
      <c r="U18192" s="9"/>
      <c r="V18192" s="9"/>
      <c r="W18192" s="9"/>
      <c r="X18192" s="9"/>
      <c r="Y18192" s="9"/>
      <c r="Z18192" s="9"/>
      <c r="AA18192" s="9"/>
      <c r="AB18192" s="9"/>
      <c r="AC18192" s="9"/>
      <c r="AD18192" s="9"/>
      <c r="AE18192" s="9"/>
      <c r="AF18192" s="9"/>
      <c r="AG18192" s="10"/>
    </row>
    <row r="18193" spans="1:33">
      <c r="A18193" s="9"/>
      <c r="B18193" s="9"/>
      <c r="C18193" s="9"/>
      <c r="D18193" s="9"/>
      <c r="E18193" s="9"/>
      <c r="F18193" s="9"/>
      <c r="G18193" s="9"/>
      <c r="H18193" s="9"/>
      <c r="I18193" s="9"/>
      <c r="J18193" s="9"/>
      <c r="K18193" s="9"/>
      <c r="L18193" s="9"/>
      <c r="M18193" s="9"/>
      <c r="N18193" s="9"/>
      <c r="O18193" s="9"/>
      <c r="P18193" s="9"/>
      <c r="Q18193" s="9"/>
      <c r="R18193" s="9"/>
      <c r="S18193" s="9"/>
      <c r="T18193" s="9"/>
      <c r="U18193" s="9"/>
      <c r="V18193" s="9"/>
      <c r="W18193" s="9"/>
      <c r="X18193" s="9"/>
      <c r="Y18193" s="9"/>
      <c r="Z18193" s="9"/>
      <c r="AA18193" s="9"/>
      <c r="AB18193" s="9"/>
      <c r="AC18193" s="9"/>
      <c r="AD18193" s="9"/>
      <c r="AE18193" s="9"/>
      <c r="AF18193" s="9"/>
      <c r="AG18193" s="10"/>
    </row>
    <row r="18194" spans="1:33">
      <c r="A18194" s="9"/>
      <c r="B18194" s="9"/>
      <c r="C18194" s="9"/>
      <c r="D18194" s="9"/>
      <c r="E18194" s="9"/>
      <c r="F18194" s="9"/>
      <c r="G18194" s="9"/>
      <c r="H18194" s="9"/>
      <c r="I18194" s="9"/>
      <c r="J18194" s="9"/>
      <c r="K18194" s="9"/>
      <c r="L18194" s="9"/>
      <c r="M18194" s="9"/>
      <c r="N18194" s="9"/>
      <c r="O18194" s="9"/>
      <c r="P18194" s="9"/>
      <c r="Q18194" s="9"/>
      <c r="R18194" s="9"/>
      <c r="S18194" s="9"/>
      <c r="T18194" s="9"/>
      <c r="U18194" s="9"/>
      <c r="V18194" s="9"/>
      <c r="W18194" s="9"/>
      <c r="X18194" s="9"/>
      <c r="Y18194" s="9"/>
      <c r="Z18194" s="9"/>
      <c r="AA18194" s="9"/>
      <c r="AB18194" s="9"/>
      <c r="AC18194" s="9"/>
      <c r="AD18194" s="9"/>
      <c r="AE18194" s="9"/>
      <c r="AF18194" s="9"/>
      <c r="AG18194" s="10"/>
    </row>
    <row r="18195" spans="1:33">
      <c r="A18195" s="9"/>
      <c r="B18195" s="9"/>
      <c r="C18195" s="9"/>
      <c r="D18195" s="9"/>
      <c r="E18195" s="9"/>
      <c r="F18195" s="9"/>
      <c r="G18195" s="9"/>
      <c r="H18195" s="9"/>
      <c r="I18195" s="9"/>
      <c r="J18195" s="9"/>
      <c r="K18195" s="9"/>
      <c r="L18195" s="9"/>
      <c r="M18195" s="9"/>
      <c r="N18195" s="9"/>
      <c r="O18195" s="9"/>
      <c r="P18195" s="9"/>
      <c r="Q18195" s="9"/>
      <c r="R18195" s="9"/>
      <c r="S18195" s="9"/>
      <c r="T18195" s="9"/>
      <c r="U18195" s="9"/>
      <c r="V18195" s="9"/>
      <c r="W18195" s="9"/>
      <c r="X18195" s="9"/>
      <c r="Y18195" s="9"/>
      <c r="Z18195" s="9"/>
      <c r="AA18195" s="9"/>
      <c r="AB18195" s="9"/>
      <c r="AC18195" s="9"/>
      <c r="AD18195" s="9"/>
      <c r="AE18195" s="9"/>
      <c r="AF18195" s="9"/>
      <c r="AG18195" s="10"/>
    </row>
    <row r="18196" spans="1:33">
      <c r="A18196" s="9"/>
      <c r="B18196" s="9"/>
      <c r="C18196" s="9"/>
      <c r="D18196" s="9"/>
      <c r="E18196" s="9"/>
      <c r="F18196" s="9"/>
      <c r="G18196" s="9"/>
      <c r="H18196" s="9"/>
      <c r="I18196" s="9"/>
      <c r="J18196" s="9"/>
      <c r="K18196" s="9"/>
      <c r="L18196" s="9"/>
      <c r="M18196" s="9"/>
      <c r="N18196" s="9"/>
      <c r="O18196" s="9"/>
      <c r="P18196" s="9"/>
      <c r="Q18196" s="9"/>
      <c r="R18196" s="9"/>
      <c r="S18196" s="9"/>
      <c r="T18196" s="9"/>
      <c r="U18196" s="9"/>
      <c r="V18196" s="9"/>
      <c r="W18196" s="9"/>
      <c r="X18196" s="9"/>
      <c r="Y18196" s="9"/>
      <c r="Z18196" s="9"/>
      <c r="AA18196" s="9"/>
      <c r="AB18196" s="9"/>
      <c r="AC18196" s="9"/>
      <c r="AD18196" s="9"/>
      <c r="AE18196" s="9"/>
      <c r="AF18196" s="9"/>
      <c r="AG18196" s="10"/>
    </row>
    <row r="18197" spans="1:33">
      <c r="A18197" s="9"/>
      <c r="B18197" s="9"/>
      <c r="C18197" s="9"/>
      <c r="D18197" s="9"/>
      <c r="E18197" s="9"/>
      <c r="F18197" s="9"/>
      <c r="G18197" s="9"/>
      <c r="H18197" s="9"/>
      <c r="I18197" s="9"/>
      <c r="J18197" s="9"/>
      <c r="K18197" s="9"/>
      <c r="L18197" s="9"/>
      <c r="M18197" s="9"/>
      <c r="N18197" s="9"/>
      <c r="O18197" s="9"/>
      <c r="P18197" s="9"/>
      <c r="Q18197" s="9"/>
      <c r="R18197" s="9"/>
      <c r="S18197" s="9"/>
      <c r="T18197" s="9"/>
      <c r="U18197" s="9"/>
      <c r="V18197" s="9"/>
      <c r="W18197" s="9"/>
      <c r="X18197" s="9"/>
      <c r="Y18197" s="9"/>
      <c r="Z18197" s="9"/>
      <c r="AA18197" s="9"/>
      <c r="AB18197" s="9"/>
      <c r="AC18197" s="9"/>
      <c r="AD18197" s="9"/>
      <c r="AE18197" s="9"/>
      <c r="AF18197" s="9"/>
      <c r="AG18197" s="10"/>
    </row>
    <row r="18198" spans="1:33">
      <c r="A18198" s="9"/>
      <c r="B18198" s="9"/>
      <c r="C18198" s="9"/>
      <c r="D18198" s="9"/>
      <c r="E18198" s="9"/>
      <c r="F18198" s="9"/>
      <c r="G18198" s="9"/>
      <c r="H18198" s="9"/>
      <c r="I18198" s="9"/>
      <c r="J18198" s="9"/>
      <c r="K18198" s="9"/>
      <c r="L18198" s="9"/>
      <c r="M18198" s="9"/>
      <c r="N18198" s="9"/>
      <c r="O18198" s="9"/>
      <c r="P18198" s="9"/>
      <c r="Q18198" s="9"/>
      <c r="R18198" s="9"/>
      <c r="S18198" s="9"/>
      <c r="T18198" s="9"/>
      <c r="U18198" s="9"/>
      <c r="V18198" s="9"/>
      <c r="W18198" s="9"/>
      <c r="X18198" s="9"/>
      <c r="Y18198" s="9"/>
      <c r="Z18198" s="9"/>
      <c r="AA18198" s="9"/>
      <c r="AB18198" s="9"/>
      <c r="AC18198" s="9"/>
      <c r="AD18198" s="9"/>
      <c r="AE18198" s="9"/>
      <c r="AF18198" s="9"/>
      <c r="AG18198" s="10"/>
    </row>
    <row r="18199" spans="1:33">
      <c r="A18199" s="9"/>
      <c r="B18199" s="9"/>
      <c r="C18199" s="9"/>
      <c r="D18199" s="9"/>
      <c r="E18199" s="9"/>
      <c r="F18199" s="9"/>
      <c r="G18199" s="9"/>
      <c r="H18199" s="9"/>
      <c r="I18199" s="9"/>
      <c r="J18199" s="9"/>
      <c r="K18199" s="9"/>
      <c r="L18199" s="9"/>
      <c r="M18199" s="9"/>
      <c r="N18199" s="9"/>
      <c r="O18199" s="9"/>
      <c r="P18199" s="9"/>
      <c r="Q18199" s="9"/>
      <c r="R18199" s="9"/>
      <c r="S18199" s="9"/>
      <c r="T18199" s="9"/>
      <c r="U18199" s="9"/>
      <c r="V18199" s="9"/>
      <c r="W18199" s="9"/>
      <c r="X18199" s="9"/>
      <c r="Y18199" s="9"/>
      <c r="Z18199" s="9"/>
      <c r="AA18199" s="9"/>
      <c r="AB18199" s="9"/>
      <c r="AC18199" s="9"/>
      <c r="AD18199" s="9"/>
      <c r="AE18199" s="9"/>
      <c r="AF18199" s="9"/>
      <c r="AG18199" s="10"/>
    </row>
    <row r="18200" spans="1:33">
      <c r="A18200" s="9"/>
      <c r="B18200" s="9"/>
      <c r="C18200" s="9"/>
      <c r="D18200" s="9"/>
      <c r="E18200" s="9"/>
      <c r="F18200" s="9"/>
      <c r="G18200" s="9"/>
      <c r="H18200" s="9"/>
      <c r="I18200" s="9"/>
      <c r="J18200" s="9"/>
      <c r="K18200" s="9"/>
      <c r="L18200" s="9"/>
      <c r="M18200" s="9"/>
      <c r="N18200" s="9"/>
      <c r="O18200" s="9"/>
      <c r="P18200" s="9"/>
      <c r="Q18200" s="9"/>
      <c r="R18200" s="9"/>
      <c r="S18200" s="9"/>
      <c r="T18200" s="9"/>
      <c r="U18200" s="9"/>
      <c r="V18200" s="9"/>
      <c r="W18200" s="9"/>
      <c r="X18200" s="9"/>
      <c r="Y18200" s="9"/>
      <c r="Z18200" s="9"/>
      <c r="AA18200" s="9"/>
      <c r="AB18200" s="9"/>
      <c r="AC18200" s="9"/>
      <c r="AD18200" s="9"/>
      <c r="AE18200" s="9"/>
      <c r="AF18200" s="9"/>
      <c r="AG18200" s="10"/>
    </row>
    <row r="18201" spans="1:33">
      <c r="A18201" s="9"/>
      <c r="B18201" s="9"/>
      <c r="C18201" s="9"/>
      <c r="D18201" s="9"/>
      <c r="E18201" s="9"/>
      <c r="F18201" s="9"/>
      <c r="G18201" s="9"/>
      <c r="H18201" s="9"/>
      <c r="I18201" s="9"/>
      <c r="J18201" s="9"/>
      <c r="K18201" s="9"/>
      <c r="L18201" s="9"/>
      <c r="M18201" s="9"/>
      <c r="N18201" s="9"/>
      <c r="O18201" s="9"/>
      <c r="P18201" s="9"/>
      <c r="Q18201" s="9"/>
      <c r="R18201" s="9"/>
      <c r="S18201" s="9"/>
      <c r="T18201" s="9"/>
      <c r="U18201" s="9"/>
      <c r="V18201" s="9"/>
      <c r="W18201" s="9"/>
      <c r="X18201" s="9"/>
      <c r="Y18201" s="9"/>
      <c r="Z18201" s="9"/>
      <c r="AA18201" s="9"/>
      <c r="AB18201" s="9"/>
      <c r="AC18201" s="9"/>
      <c r="AD18201" s="9"/>
      <c r="AE18201" s="9"/>
      <c r="AF18201" s="9"/>
      <c r="AG18201" s="10"/>
    </row>
    <row r="18202" spans="1:33">
      <c r="A18202" s="9"/>
      <c r="B18202" s="9"/>
      <c r="C18202" s="9"/>
      <c r="D18202" s="9"/>
      <c r="E18202" s="9"/>
      <c r="F18202" s="9"/>
      <c r="G18202" s="9"/>
      <c r="H18202" s="9"/>
      <c r="I18202" s="9"/>
      <c r="J18202" s="9"/>
      <c r="K18202" s="9"/>
      <c r="L18202" s="9"/>
      <c r="M18202" s="9"/>
      <c r="N18202" s="9"/>
      <c r="O18202" s="9"/>
      <c r="P18202" s="9"/>
      <c r="Q18202" s="9"/>
      <c r="R18202" s="9"/>
      <c r="S18202" s="9"/>
      <c r="T18202" s="9"/>
      <c r="U18202" s="9"/>
      <c r="V18202" s="9"/>
      <c r="W18202" s="9"/>
      <c r="X18202" s="9"/>
      <c r="Y18202" s="9"/>
      <c r="Z18202" s="9"/>
      <c r="AA18202" s="9"/>
      <c r="AB18202" s="9"/>
      <c r="AC18202" s="9"/>
      <c r="AD18202" s="9"/>
      <c r="AE18202" s="9"/>
      <c r="AF18202" s="9"/>
      <c r="AG18202" s="10"/>
    </row>
    <row r="18203" spans="1:33">
      <c r="A18203" s="9"/>
      <c r="B18203" s="9"/>
      <c r="C18203" s="9"/>
      <c r="D18203" s="9"/>
      <c r="E18203" s="9"/>
      <c r="F18203" s="9"/>
      <c r="G18203" s="9"/>
      <c r="H18203" s="9"/>
      <c r="I18203" s="9"/>
      <c r="J18203" s="9"/>
      <c r="K18203" s="9"/>
      <c r="L18203" s="9"/>
      <c r="M18203" s="9"/>
      <c r="N18203" s="9"/>
      <c r="O18203" s="9"/>
      <c r="P18203" s="9"/>
      <c r="Q18203" s="9"/>
      <c r="R18203" s="9"/>
      <c r="S18203" s="9"/>
      <c r="T18203" s="9"/>
      <c r="U18203" s="9"/>
      <c r="V18203" s="9"/>
      <c r="W18203" s="9"/>
      <c r="X18203" s="9"/>
      <c r="Y18203" s="9"/>
      <c r="Z18203" s="9"/>
      <c r="AA18203" s="9"/>
      <c r="AB18203" s="9"/>
      <c r="AC18203" s="9"/>
      <c r="AD18203" s="9"/>
      <c r="AE18203" s="9"/>
      <c r="AF18203" s="9"/>
      <c r="AG18203" s="10"/>
    </row>
    <row r="18204" spans="1:33">
      <c r="A18204" s="9"/>
      <c r="B18204" s="9"/>
      <c r="C18204" s="9"/>
      <c r="D18204" s="9"/>
      <c r="E18204" s="9"/>
      <c r="F18204" s="9"/>
      <c r="G18204" s="9"/>
      <c r="H18204" s="9"/>
      <c r="I18204" s="9"/>
      <c r="J18204" s="9"/>
      <c r="K18204" s="9"/>
      <c r="L18204" s="9"/>
      <c r="M18204" s="9"/>
      <c r="N18204" s="9"/>
      <c r="O18204" s="9"/>
      <c r="P18204" s="9"/>
      <c r="Q18204" s="9"/>
      <c r="R18204" s="9"/>
      <c r="S18204" s="9"/>
      <c r="T18204" s="9"/>
      <c r="U18204" s="9"/>
      <c r="V18204" s="9"/>
      <c r="W18204" s="9"/>
      <c r="X18204" s="9"/>
      <c r="Y18204" s="9"/>
      <c r="Z18204" s="9"/>
      <c r="AA18204" s="9"/>
      <c r="AB18204" s="9"/>
      <c r="AC18204" s="9"/>
      <c r="AD18204" s="9"/>
      <c r="AE18204" s="9"/>
      <c r="AF18204" s="9"/>
      <c r="AG18204" s="10"/>
    </row>
    <row r="18205" spans="1:33">
      <c r="A18205" s="9"/>
      <c r="B18205" s="9"/>
      <c r="C18205" s="9"/>
      <c r="D18205" s="9"/>
      <c r="E18205" s="9"/>
      <c r="F18205" s="9"/>
      <c r="G18205" s="9"/>
      <c r="H18205" s="9"/>
      <c r="I18205" s="9"/>
      <c r="J18205" s="9"/>
      <c r="K18205" s="9"/>
      <c r="L18205" s="9"/>
      <c r="M18205" s="9"/>
      <c r="N18205" s="9"/>
      <c r="O18205" s="9"/>
      <c r="P18205" s="9"/>
      <c r="Q18205" s="9"/>
      <c r="R18205" s="9"/>
      <c r="S18205" s="9"/>
      <c r="T18205" s="9"/>
      <c r="U18205" s="9"/>
      <c r="V18205" s="9"/>
      <c r="W18205" s="9"/>
      <c r="X18205" s="9"/>
      <c r="Y18205" s="9"/>
      <c r="Z18205" s="9"/>
      <c r="AA18205" s="9"/>
      <c r="AB18205" s="9"/>
      <c r="AC18205" s="9"/>
      <c r="AD18205" s="9"/>
      <c r="AE18205" s="9"/>
      <c r="AF18205" s="9"/>
      <c r="AG18205" s="10"/>
    </row>
    <row r="18206" spans="1:33">
      <c r="A18206" s="9"/>
      <c r="B18206" s="9"/>
      <c r="C18206" s="9"/>
      <c r="D18206" s="9"/>
      <c r="E18206" s="9"/>
      <c r="F18206" s="9"/>
      <c r="G18206" s="9"/>
      <c r="H18206" s="9"/>
      <c r="I18206" s="9"/>
      <c r="J18206" s="9"/>
      <c r="K18206" s="9"/>
      <c r="L18206" s="9"/>
      <c r="M18206" s="9"/>
      <c r="N18206" s="9"/>
      <c r="O18206" s="9"/>
      <c r="P18206" s="9"/>
      <c r="Q18206" s="9"/>
      <c r="R18206" s="9"/>
      <c r="S18206" s="9"/>
      <c r="T18206" s="9"/>
      <c r="U18206" s="9"/>
      <c r="V18206" s="9"/>
      <c r="W18206" s="9"/>
      <c r="X18206" s="9"/>
      <c r="Y18206" s="9"/>
      <c r="Z18206" s="9"/>
      <c r="AA18206" s="9"/>
      <c r="AB18206" s="9"/>
      <c r="AC18206" s="9"/>
      <c r="AD18206" s="9"/>
      <c r="AE18206" s="9"/>
      <c r="AF18206" s="9"/>
      <c r="AG18206" s="10"/>
    </row>
    <row r="18207" spans="1:33">
      <c r="A18207" s="9"/>
      <c r="B18207" s="9"/>
      <c r="C18207" s="9"/>
      <c r="D18207" s="9"/>
      <c r="E18207" s="9"/>
      <c r="F18207" s="9"/>
      <c r="G18207" s="9"/>
      <c r="H18207" s="9"/>
      <c r="I18207" s="9"/>
      <c r="J18207" s="9"/>
      <c r="K18207" s="9"/>
      <c r="L18207" s="9"/>
      <c r="M18207" s="9"/>
      <c r="N18207" s="9"/>
      <c r="O18207" s="9"/>
      <c r="P18207" s="9"/>
      <c r="Q18207" s="9"/>
      <c r="R18207" s="9"/>
      <c r="S18207" s="9"/>
      <c r="T18207" s="9"/>
      <c r="U18207" s="9"/>
      <c r="V18207" s="9"/>
      <c r="W18207" s="9"/>
      <c r="X18207" s="9"/>
      <c r="Y18207" s="9"/>
      <c r="Z18207" s="9"/>
      <c r="AA18207" s="9"/>
      <c r="AB18207" s="9"/>
      <c r="AC18207" s="9"/>
      <c r="AD18207" s="9"/>
      <c r="AE18207" s="9"/>
      <c r="AF18207" s="9"/>
      <c r="AG18207" s="10"/>
    </row>
    <row r="18208" spans="1:33">
      <c r="A18208" s="9"/>
      <c r="B18208" s="9"/>
      <c r="C18208" s="9"/>
      <c r="D18208" s="9"/>
      <c r="E18208" s="9"/>
      <c r="F18208" s="9"/>
      <c r="G18208" s="9"/>
      <c r="H18208" s="9"/>
      <c r="I18208" s="9"/>
      <c r="J18208" s="9"/>
      <c r="K18208" s="9"/>
      <c r="L18208" s="9"/>
      <c r="M18208" s="9"/>
      <c r="N18208" s="9"/>
      <c r="O18208" s="9"/>
      <c r="P18208" s="9"/>
      <c r="Q18208" s="9"/>
      <c r="R18208" s="9"/>
      <c r="S18208" s="9"/>
      <c r="T18208" s="9"/>
      <c r="U18208" s="9"/>
      <c r="V18208" s="9"/>
      <c r="W18208" s="9"/>
      <c r="X18208" s="9"/>
      <c r="Y18208" s="9"/>
      <c r="Z18208" s="9"/>
      <c r="AA18208" s="9"/>
      <c r="AB18208" s="9"/>
      <c r="AC18208" s="9"/>
      <c r="AD18208" s="9"/>
      <c r="AE18208" s="9"/>
      <c r="AF18208" s="9"/>
      <c r="AG18208" s="10"/>
    </row>
    <row r="18209" spans="1:33">
      <c r="A18209" s="9"/>
      <c r="B18209" s="9"/>
      <c r="C18209" s="9"/>
      <c r="D18209" s="9"/>
      <c r="E18209" s="9"/>
      <c r="F18209" s="9"/>
      <c r="G18209" s="9"/>
      <c r="H18209" s="9"/>
      <c r="I18209" s="9"/>
      <c r="J18209" s="9"/>
      <c r="K18209" s="9"/>
      <c r="L18209" s="9"/>
      <c r="M18209" s="9"/>
      <c r="N18209" s="9"/>
      <c r="O18209" s="9"/>
      <c r="P18209" s="9"/>
      <c r="Q18209" s="9"/>
      <c r="R18209" s="9"/>
      <c r="S18209" s="9"/>
      <c r="T18209" s="9"/>
      <c r="U18209" s="9"/>
      <c r="V18209" s="9"/>
      <c r="W18209" s="9"/>
      <c r="X18209" s="9"/>
      <c r="Y18209" s="9"/>
      <c r="Z18209" s="9"/>
      <c r="AA18209" s="9"/>
      <c r="AB18209" s="9"/>
      <c r="AC18209" s="9"/>
      <c r="AD18209" s="9"/>
      <c r="AE18209" s="9"/>
      <c r="AF18209" s="9"/>
      <c r="AG18209" s="10"/>
    </row>
    <row r="18210" spans="1:33">
      <c r="A18210" s="9"/>
      <c r="B18210" s="9"/>
      <c r="C18210" s="9"/>
      <c r="D18210" s="9"/>
      <c r="E18210" s="9"/>
      <c r="F18210" s="9"/>
      <c r="G18210" s="9"/>
      <c r="H18210" s="9"/>
      <c r="I18210" s="9"/>
      <c r="J18210" s="9"/>
      <c r="K18210" s="9"/>
      <c r="L18210" s="9"/>
      <c r="M18210" s="9"/>
      <c r="N18210" s="9"/>
      <c r="O18210" s="9"/>
      <c r="P18210" s="9"/>
      <c r="Q18210" s="9"/>
      <c r="R18210" s="9"/>
      <c r="S18210" s="9"/>
      <c r="T18210" s="9"/>
      <c r="U18210" s="9"/>
      <c r="V18210" s="9"/>
      <c r="W18210" s="9"/>
      <c r="X18210" s="9"/>
      <c r="Y18210" s="9"/>
      <c r="Z18210" s="9"/>
      <c r="AA18210" s="9"/>
      <c r="AB18210" s="9"/>
      <c r="AC18210" s="9"/>
      <c r="AD18210" s="9"/>
      <c r="AE18210" s="9"/>
      <c r="AF18210" s="9"/>
      <c r="AG18210" s="10"/>
    </row>
    <row r="18211" spans="1:33">
      <c r="A18211" s="9"/>
      <c r="B18211" s="9"/>
      <c r="C18211" s="9"/>
      <c r="D18211" s="9"/>
      <c r="E18211" s="9"/>
      <c r="F18211" s="9"/>
      <c r="G18211" s="9"/>
      <c r="H18211" s="9"/>
      <c r="I18211" s="9"/>
      <c r="J18211" s="9"/>
      <c r="K18211" s="9"/>
      <c r="L18211" s="9"/>
      <c r="M18211" s="9"/>
      <c r="N18211" s="9"/>
      <c r="O18211" s="9"/>
      <c r="P18211" s="9"/>
      <c r="Q18211" s="9"/>
      <c r="R18211" s="9"/>
      <c r="S18211" s="9"/>
      <c r="T18211" s="9"/>
      <c r="U18211" s="9"/>
      <c r="V18211" s="9"/>
      <c r="W18211" s="9"/>
      <c r="X18211" s="9"/>
      <c r="Y18211" s="9"/>
      <c r="Z18211" s="9"/>
      <c r="AA18211" s="9"/>
      <c r="AB18211" s="9"/>
      <c r="AC18211" s="9"/>
      <c r="AD18211" s="9"/>
      <c r="AE18211" s="9"/>
      <c r="AF18211" s="9"/>
      <c r="AG18211" s="10"/>
    </row>
    <row r="18212" spans="1:33">
      <c r="A18212" s="9"/>
      <c r="B18212" s="9"/>
      <c r="C18212" s="9"/>
      <c r="D18212" s="9"/>
      <c r="E18212" s="9"/>
      <c r="F18212" s="9"/>
      <c r="G18212" s="9"/>
      <c r="H18212" s="9"/>
      <c r="I18212" s="9"/>
      <c r="J18212" s="9"/>
      <c r="K18212" s="9"/>
      <c r="L18212" s="9"/>
      <c r="M18212" s="9"/>
      <c r="N18212" s="9"/>
      <c r="O18212" s="9"/>
      <c r="P18212" s="9"/>
      <c r="Q18212" s="9"/>
      <c r="R18212" s="9"/>
      <c r="S18212" s="9"/>
      <c r="T18212" s="9"/>
      <c r="U18212" s="9"/>
      <c r="V18212" s="9"/>
      <c r="W18212" s="9"/>
      <c r="X18212" s="9"/>
      <c r="Y18212" s="9"/>
      <c r="Z18212" s="9"/>
      <c r="AA18212" s="9"/>
      <c r="AB18212" s="9"/>
      <c r="AC18212" s="9"/>
      <c r="AD18212" s="9"/>
      <c r="AE18212" s="9"/>
      <c r="AF18212" s="9"/>
      <c r="AG18212" s="10"/>
    </row>
    <row r="18213" spans="1:33">
      <c r="A18213" s="9"/>
      <c r="B18213" s="9"/>
      <c r="C18213" s="9"/>
      <c r="D18213" s="9"/>
      <c r="E18213" s="9"/>
      <c r="F18213" s="9"/>
      <c r="G18213" s="9"/>
      <c r="H18213" s="9"/>
      <c r="I18213" s="9"/>
      <c r="J18213" s="9"/>
      <c r="K18213" s="9"/>
      <c r="L18213" s="9"/>
      <c r="M18213" s="9"/>
      <c r="N18213" s="9"/>
      <c r="O18213" s="9"/>
      <c r="P18213" s="9"/>
      <c r="Q18213" s="9"/>
      <c r="R18213" s="9"/>
      <c r="S18213" s="9"/>
      <c r="T18213" s="9"/>
      <c r="U18213" s="9"/>
      <c r="V18213" s="9"/>
      <c r="W18213" s="9"/>
      <c r="X18213" s="9"/>
      <c r="Y18213" s="9"/>
      <c r="Z18213" s="9"/>
      <c r="AA18213" s="9"/>
      <c r="AB18213" s="9"/>
      <c r="AC18213" s="9"/>
      <c r="AD18213" s="9"/>
      <c r="AE18213" s="9"/>
      <c r="AF18213" s="9"/>
      <c r="AG18213" s="10"/>
    </row>
    <row r="18214" spans="1:33">
      <c r="A18214" s="9"/>
      <c r="B18214" s="9"/>
      <c r="C18214" s="9"/>
      <c r="D18214" s="9"/>
      <c r="E18214" s="9"/>
      <c r="F18214" s="9"/>
      <c r="G18214" s="9"/>
      <c r="H18214" s="9"/>
      <c r="I18214" s="9"/>
      <c r="J18214" s="9"/>
      <c r="K18214" s="9"/>
      <c r="L18214" s="9"/>
      <c r="M18214" s="9"/>
      <c r="N18214" s="9"/>
      <c r="O18214" s="9"/>
      <c r="P18214" s="9"/>
      <c r="Q18214" s="9"/>
      <c r="R18214" s="9"/>
      <c r="S18214" s="9"/>
      <c r="T18214" s="9"/>
      <c r="U18214" s="9"/>
      <c r="V18214" s="9"/>
      <c r="W18214" s="9"/>
      <c r="X18214" s="9"/>
      <c r="Y18214" s="9"/>
      <c r="Z18214" s="9"/>
      <c r="AA18214" s="9"/>
      <c r="AB18214" s="9"/>
      <c r="AC18214" s="9"/>
      <c r="AD18214" s="9"/>
      <c r="AE18214" s="9"/>
      <c r="AF18214" s="9"/>
      <c r="AG18214" s="10"/>
    </row>
    <row r="18215" spans="1:33">
      <c r="A18215" s="9"/>
      <c r="B18215" s="9"/>
      <c r="C18215" s="9"/>
      <c r="D18215" s="9"/>
      <c r="E18215" s="9"/>
      <c r="F18215" s="9"/>
      <c r="G18215" s="9"/>
      <c r="H18215" s="9"/>
      <c r="I18215" s="9"/>
      <c r="J18215" s="9"/>
      <c r="K18215" s="9"/>
      <c r="L18215" s="9"/>
      <c r="M18215" s="9"/>
      <c r="N18215" s="9"/>
      <c r="O18215" s="9"/>
      <c r="P18215" s="9"/>
      <c r="Q18215" s="9"/>
      <c r="R18215" s="9"/>
      <c r="S18215" s="9"/>
      <c r="T18215" s="9"/>
      <c r="U18215" s="9"/>
      <c r="V18215" s="9"/>
      <c r="W18215" s="9"/>
      <c r="X18215" s="9"/>
      <c r="Y18215" s="9"/>
      <c r="Z18215" s="9"/>
      <c r="AA18215" s="9"/>
      <c r="AB18215" s="9"/>
      <c r="AC18215" s="9"/>
      <c r="AD18215" s="9"/>
      <c r="AE18215" s="9"/>
      <c r="AF18215" s="9"/>
      <c r="AG18215" s="10"/>
    </row>
    <row r="18216" spans="1:33">
      <c r="A18216" s="9"/>
      <c r="B18216" s="9"/>
      <c r="C18216" s="9"/>
      <c r="D18216" s="9"/>
      <c r="E18216" s="9"/>
      <c r="F18216" s="9"/>
      <c r="G18216" s="9"/>
      <c r="H18216" s="9"/>
      <c r="I18216" s="9"/>
      <c r="J18216" s="9"/>
      <c r="K18216" s="9"/>
      <c r="L18216" s="9"/>
      <c r="M18216" s="9"/>
      <c r="N18216" s="9"/>
      <c r="O18216" s="9"/>
      <c r="P18216" s="9"/>
      <c r="Q18216" s="9"/>
      <c r="R18216" s="9"/>
      <c r="S18216" s="9"/>
      <c r="T18216" s="9"/>
      <c r="U18216" s="9"/>
      <c r="V18216" s="9"/>
      <c r="W18216" s="9"/>
      <c r="X18216" s="9"/>
      <c r="Y18216" s="9"/>
      <c r="Z18216" s="9"/>
      <c r="AA18216" s="9"/>
      <c r="AB18216" s="9"/>
      <c r="AC18216" s="9"/>
      <c r="AD18216" s="9"/>
      <c r="AE18216" s="9"/>
      <c r="AF18216" s="9"/>
      <c r="AG18216" s="10"/>
    </row>
    <row r="18217" spans="1:33">
      <c r="A18217" s="9"/>
      <c r="B18217" s="9"/>
      <c r="C18217" s="9"/>
      <c r="D18217" s="9"/>
      <c r="E18217" s="9"/>
      <c r="F18217" s="9"/>
      <c r="G18217" s="9"/>
      <c r="H18217" s="9"/>
      <c r="I18217" s="9"/>
      <c r="J18217" s="9"/>
      <c r="K18217" s="9"/>
      <c r="L18217" s="9"/>
      <c r="M18217" s="9"/>
      <c r="N18217" s="9"/>
      <c r="O18217" s="9"/>
      <c r="P18217" s="9"/>
      <c r="Q18217" s="9"/>
      <c r="R18217" s="9"/>
      <c r="S18217" s="9"/>
      <c r="T18217" s="9"/>
      <c r="U18217" s="9"/>
      <c r="V18217" s="9"/>
      <c r="W18217" s="9"/>
      <c r="X18217" s="9"/>
      <c r="Y18217" s="9"/>
      <c r="Z18217" s="9"/>
      <c r="AA18217" s="9"/>
      <c r="AB18217" s="9"/>
      <c r="AC18217" s="9"/>
      <c r="AD18217" s="9"/>
      <c r="AE18217" s="9"/>
      <c r="AF18217" s="9"/>
      <c r="AG18217" s="10"/>
    </row>
    <row r="18218" spans="1:33">
      <c r="A18218" s="9"/>
      <c r="B18218" s="9"/>
      <c r="C18218" s="9"/>
      <c r="D18218" s="9"/>
      <c r="E18218" s="9"/>
      <c r="F18218" s="9"/>
      <c r="G18218" s="9"/>
      <c r="H18218" s="9"/>
      <c r="I18218" s="9"/>
      <c r="J18218" s="9"/>
      <c r="K18218" s="9"/>
      <c r="L18218" s="9"/>
      <c r="M18218" s="9"/>
      <c r="N18218" s="9"/>
      <c r="O18218" s="9"/>
      <c r="P18218" s="9"/>
      <c r="Q18218" s="9"/>
      <c r="R18218" s="9"/>
      <c r="S18218" s="9"/>
      <c r="T18218" s="9"/>
      <c r="U18218" s="9"/>
      <c r="V18218" s="9"/>
      <c r="W18218" s="9"/>
      <c r="X18218" s="9"/>
      <c r="Y18218" s="9"/>
      <c r="Z18218" s="9"/>
      <c r="AA18218" s="9"/>
      <c r="AB18218" s="9"/>
      <c r="AC18218" s="9"/>
      <c r="AD18218" s="9"/>
      <c r="AE18218" s="9"/>
      <c r="AF18218" s="9"/>
      <c r="AG18218" s="10"/>
    </row>
    <row r="18219" spans="1:33">
      <c r="A18219" s="9"/>
      <c r="B18219" s="9"/>
      <c r="C18219" s="9"/>
      <c r="D18219" s="9"/>
      <c r="E18219" s="9"/>
      <c r="F18219" s="9"/>
      <c r="G18219" s="9"/>
      <c r="H18219" s="9"/>
      <c r="I18219" s="9"/>
      <c r="J18219" s="9"/>
      <c r="K18219" s="9"/>
      <c r="L18219" s="9"/>
      <c r="M18219" s="9"/>
      <c r="N18219" s="9"/>
      <c r="O18219" s="9"/>
      <c r="P18219" s="9"/>
      <c r="Q18219" s="9"/>
      <c r="R18219" s="9"/>
      <c r="S18219" s="9"/>
      <c r="T18219" s="9"/>
      <c r="U18219" s="9"/>
      <c r="V18219" s="9"/>
      <c r="W18219" s="9"/>
      <c r="X18219" s="9"/>
      <c r="Y18219" s="9"/>
      <c r="Z18219" s="9"/>
      <c r="AA18219" s="9"/>
      <c r="AB18219" s="9"/>
      <c r="AC18219" s="9"/>
      <c r="AD18219" s="9"/>
      <c r="AE18219" s="9"/>
      <c r="AF18219" s="9"/>
      <c r="AG18219" s="10"/>
    </row>
    <row r="18220" spans="1:33">
      <c r="A18220" s="9"/>
      <c r="B18220" s="9"/>
      <c r="C18220" s="9"/>
      <c r="D18220" s="9"/>
      <c r="E18220" s="9"/>
      <c r="F18220" s="9"/>
      <c r="G18220" s="9"/>
      <c r="H18220" s="9"/>
      <c r="I18220" s="9"/>
      <c r="J18220" s="9"/>
      <c r="K18220" s="9"/>
      <c r="L18220" s="9"/>
      <c r="M18220" s="9"/>
      <c r="N18220" s="9"/>
      <c r="O18220" s="9"/>
      <c r="P18220" s="9"/>
      <c r="Q18220" s="9"/>
      <c r="R18220" s="9"/>
      <c r="S18220" s="9"/>
      <c r="T18220" s="9"/>
      <c r="U18220" s="9"/>
      <c r="V18220" s="9"/>
      <c r="W18220" s="9"/>
      <c r="X18220" s="9"/>
      <c r="Y18220" s="9"/>
      <c r="Z18220" s="9"/>
      <c r="AA18220" s="9"/>
      <c r="AB18220" s="9"/>
      <c r="AC18220" s="9"/>
      <c r="AD18220" s="9"/>
      <c r="AE18220" s="9"/>
      <c r="AF18220" s="9"/>
      <c r="AG18220" s="10"/>
    </row>
    <row r="18221" spans="1:33">
      <c r="A18221" s="9"/>
      <c r="B18221" s="9"/>
      <c r="C18221" s="9"/>
      <c r="D18221" s="9"/>
      <c r="E18221" s="9"/>
      <c r="F18221" s="9"/>
      <c r="G18221" s="9"/>
      <c r="H18221" s="9"/>
      <c r="I18221" s="9"/>
      <c r="J18221" s="9"/>
      <c r="K18221" s="9"/>
      <c r="L18221" s="9"/>
      <c r="M18221" s="9"/>
      <c r="N18221" s="9"/>
      <c r="O18221" s="9"/>
      <c r="P18221" s="9"/>
      <c r="Q18221" s="9"/>
      <c r="R18221" s="9"/>
      <c r="S18221" s="9"/>
      <c r="T18221" s="9"/>
      <c r="U18221" s="9"/>
      <c r="V18221" s="9"/>
      <c r="W18221" s="9"/>
      <c r="X18221" s="9"/>
      <c r="Y18221" s="9"/>
      <c r="Z18221" s="9"/>
      <c r="AA18221" s="9"/>
      <c r="AB18221" s="9"/>
      <c r="AC18221" s="9"/>
      <c r="AD18221" s="9"/>
      <c r="AE18221" s="9"/>
      <c r="AF18221" s="9"/>
      <c r="AG18221" s="10"/>
    </row>
    <row r="18222" spans="1:33">
      <c r="A18222" s="9"/>
      <c r="B18222" s="9"/>
      <c r="C18222" s="9"/>
      <c r="D18222" s="9"/>
      <c r="E18222" s="9"/>
      <c r="F18222" s="9"/>
      <c r="G18222" s="9"/>
      <c r="H18222" s="9"/>
      <c r="I18222" s="9"/>
      <c r="J18222" s="9"/>
      <c r="K18222" s="9"/>
      <c r="L18222" s="9"/>
      <c r="M18222" s="9"/>
      <c r="N18222" s="9"/>
      <c r="O18222" s="9"/>
      <c r="P18222" s="9"/>
      <c r="Q18222" s="9"/>
      <c r="R18222" s="9"/>
      <c r="S18222" s="9"/>
      <c r="T18222" s="9"/>
      <c r="U18222" s="9"/>
      <c r="V18222" s="9"/>
      <c r="W18222" s="9"/>
      <c r="X18222" s="9"/>
      <c r="Y18222" s="9"/>
      <c r="Z18222" s="9"/>
      <c r="AA18222" s="9"/>
      <c r="AB18222" s="9"/>
      <c r="AC18222" s="9"/>
      <c r="AD18222" s="9"/>
      <c r="AE18222" s="9"/>
      <c r="AF18222" s="9"/>
      <c r="AG18222" s="10"/>
    </row>
    <row r="18223" spans="1:33">
      <c r="A18223" s="9"/>
      <c r="B18223" s="9"/>
      <c r="C18223" s="9"/>
      <c r="D18223" s="9"/>
      <c r="E18223" s="9"/>
      <c r="F18223" s="9"/>
      <c r="G18223" s="9"/>
      <c r="H18223" s="9"/>
      <c r="I18223" s="9"/>
      <c r="J18223" s="9"/>
      <c r="K18223" s="9"/>
      <c r="L18223" s="9"/>
      <c r="M18223" s="9"/>
      <c r="N18223" s="9"/>
      <c r="O18223" s="9"/>
      <c r="P18223" s="9"/>
      <c r="Q18223" s="9"/>
      <c r="R18223" s="9"/>
      <c r="S18223" s="9"/>
      <c r="T18223" s="9"/>
      <c r="U18223" s="9"/>
      <c r="V18223" s="9"/>
      <c r="W18223" s="9"/>
      <c r="X18223" s="9"/>
      <c r="Y18223" s="9"/>
      <c r="Z18223" s="9"/>
      <c r="AA18223" s="9"/>
      <c r="AB18223" s="9"/>
      <c r="AC18223" s="9"/>
      <c r="AD18223" s="9"/>
      <c r="AE18223" s="9"/>
      <c r="AF18223" s="9"/>
      <c r="AG18223" s="10"/>
    </row>
    <row r="18224" spans="1:33">
      <c r="A18224" s="9"/>
      <c r="B18224" s="9"/>
      <c r="C18224" s="9"/>
      <c r="D18224" s="9"/>
      <c r="E18224" s="9"/>
      <c r="F18224" s="9"/>
      <c r="G18224" s="9"/>
      <c r="H18224" s="9"/>
      <c r="I18224" s="9"/>
      <c r="J18224" s="9"/>
      <c r="K18224" s="9"/>
      <c r="L18224" s="9"/>
      <c r="M18224" s="9"/>
      <c r="N18224" s="9"/>
      <c r="O18224" s="9"/>
      <c r="P18224" s="9"/>
      <c r="Q18224" s="9"/>
      <c r="R18224" s="9"/>
      <c r="S18224" s="9"/>
      <c r="T18224" s="9"/>
      <c r="U18224" s="9"/>
      <c r="V18224" s="9"/>
      <c r="W18224" s="9"/>
      <c r="X18224" s="9"/>
      <c r="Y18224" s="9"/>
      <c r="Z18224" s="9"/>
      <c r="AA18224" s="9"/>
      <c r="AB18224" s="9"/>
      <c r="AC18224" s="9"/>
      <c r="AD18224" s="9"/>
      <c r="AE18224" s="9"/>
      <c r="AF18224" s="9"/>
      <c r="AG18224" s="10"/>
    </row>
    <row r="18225" spans="1:33">
      <c r="A18225" s="9"/>
      <c r="B18225" s="9"/>
      <c r="C18225" s="9"/>
      <c r="D18225" s="9"/>
      <c r="E18225" s="9"/>
      <c r="F18225" s="9"/>
      <c r="G18225" s="9"/>
      <c r="H18225" s="9"/>
      <c r="I18225" s="9"/>
      <c r="J18225" s="9"/>
      <c r="K18225" s="9"/>
      <c r="L18225" s="9"/>
      <c r="M18225" s="9"/>
      <c r="N18225" s="9"/>
      <c r="O18225" s="9"/>
      <c r="P18225" s="9"/>
      <c r="Q18225" s="9"/>
      <c r="R18225" s="9"/>
      <c r="S18225" s="9"/>
      <c r="T18225" s="9"/>
      <c r="U18225" s="9"/>
      <c r="V18225" s="9"/>
      <c r="W18225" s="9"/>
      <c r="X18225" s="9"/>
      <c r="Y18225" s="9"/>
      <c r="Z18225" s="9"/>
      <c r="AA18225" s="9"/>
      <c r="AB18225" s="9"/>
      <c r="AC18225" s="9"/>
      <c r="AD18225" s="9"/>
      <c r="AE18225" s="9"/>
      <c r="AF18225" s="9"/>
      <c r="AG18225" s="10"/>
    </row>
    <row r="18226" spans="1:33">
      <c r="A18226" s="9"/>
      <c r="B18226" s="9"/>
      <c r="C18226" s="9"/>
      <c r="D18226" s="9"/>
      <c r="E18226" s="9"/>
      <c r="F18226" s="9"/>
      <c r="G18226" s="9"/>
      <c r="H18226" s="9"/>
      <c r="I18226" s="9"/>
      <c r="J18226" s="9"/>
      <c r="K18226" s="9"/>
      <c r="L18226" s="9"/>
      <c r="M18226" s="9"/>
      <c r="N18226" s="9"/>
      <c r="O18226" s="9"/>
      <c r="P18226" s="9"/>
      <c r="Q18226" s="9"/>
      <c r="R18226" s="9"/>
      <c r="S18226" s="9"/>
      <c r="T18226" s="9"/>
      <c r="U18226" s="9"/>
      <c r="V18226" s="9"/>
      <c r="W18226" s="9"/>
      <c r="X18226" s="9"/>
      <c r="Y18226" s="9"/>
      <c r="Z18226" s="9"/>
      <c r="AA18226" s="9"/>
      <c r="AB18226" s="9"/>
      <c r="AC18226" s="9"/>
      <c r="AD18226" s="9"/>
      <c r="AE18226" s="9"/>
      <c r="AF18226" s="9"/>
      <c r="AG18226" s="10"/>
    </row>
    <row r="18227" spans="1:33">
      <c r="A18227" s="9"/>
      <c r="B18227" s="9"/>
      <c r="C18227" s="9"/>
      <c r="D18227" s="9"/>
      <c r="E18227" s="9"/>
      <c r="F18227" s="9"/>
      <c r="G18227" s="9"/>
      <c r="H18227" s="9"/>
      <c r="I18227" s="9"/>
      <c r="J18227" s="9"/>
      <c r="K18227" s="9"/>
      <c r="L18227" s="9"/>
      <c r="M18227" s="9"/>
      <c r="N18227" s="9"/>
      <c r="O18227" s="9"/>
      <c r="P18227" s="9"/>
      <c r="Q18227" s="9"/>
      <c r="R18227" s="9"/>
      <c r="S18227" s="9"/>
      <c r="T18227" s="9"/>
      <c r="U18227" s="9"/>
      <c r="V18227" s="9"/>
      <c r="W18227" s="9"/>
      <c r="X18227" s="9"/>
      <c r="Y18227" s="9"/>
      <c r="Z18227" s="9"/>
      <c r="AA18227" s="9"/>
      <c r="AB18227" s="9"/>
      <c r="AC18227" s="9"/>
      <c r="AD18227" s="9"/>
      <c r="AE18227" s="9"/>
      <c r="AF18227" s="9"/>
      <c r="AG18227" s="10"/>
    </row>
    <row r="18228" spans="1:33">
      <c r="A18228" s="9"/>
      <c r="B18228" s="9"/>
      <c r="C18228" s="9"/>
      <c r="D18228" s="9"/>
      <c r="E18228" s="9"/>
      <c r="F18228" s="9"/>
      <c r="G18228" s="9"/>
      <c r="H18228" s="9"/>
      <c r="I18228" s="9"/>
      <c r="J18228" s="9"/>
      <c r="K18228" s="9"/>
      <c r="L18228" s="9"/>
      <c r="M18228" s="9"/>
      <c r="N18228" s="9"/>
      <c r="O18228" s="9"/>
      <c r="P18228" s="9"/>
      <c r="Q18228" s="9"/>
      <c r="R18228" s="9"/>
      <c r="S18228" s="9"/>
      <c r="T18228" s="9"/>
      <c r="U18228" s="9"/>
      <c r="V18228" s="9"/>
      <c r="W18228" s="9"/>
      <c r="X18228" s="9"/>
      <c r="Y18228" s="9"/>
      <c r="Z18228" s="9"/>
      <c r="AA18228" s="9"/>
      <c r="AB18228" s="9"/>
      <c r="AC18228" s="9"/>
      <c r="AD18228" s="9"/>
      <c r="AE18228" s="9"/>
      <c r="AF18228" s="9"/>
      <c r="AG18228" s="10"/>
    </row>
    <row r="18229" spans="1:33">
      <c r="A18229" s="9"/>
      <c r="B18229" s="9"/>
      <c r="C18229" s="9"/>
      <c r="D18229" s="9"/>
      <c r="E18229" s="9"/>
      <c r="F18229" s="9"/>
      <c r="G18229" s="9"/>
      <c r="H18229" s="9"/>
      <c r="I18229" s="9"/>
      <c r="J18229" s="9"/>
      <c r="K18229" s="9"/>
      <c r="L18229" s="9"/>
      <c r="M18229" s="9"/>
      <c r="N18229" s="9"/>
      <c r="O18229" s="9"/>
      <c r="P18229" s="9"/>
      <c r="Q18229" s="9"/>
      <c r="R18229" s="9"/>
      <c r="S18229" s="9"/>
      <c r="T18229" s="9"/>
      <c r="U18229" s="9"/>
      <c r="V18229" s="9"/>
      <c r="W18229" s="9"/>
      <c r="X18229" s="9"/>
      <c r="Y18229" s="9"/>
      <c r="Z18229" s="9"/>
      <c r="AA18229" s="9"/>
      <c r="AB18229" s="9"/>
      <c r="AC18229" s="9"/>
      <c r="AD18229" s="9"/>
      <c r="AE18229" s="9"/>
      <c r="AF18229" s="9"/>
      <c r="AG18229" s="10"/>
    </row>
    <row r="18230" spans="1:33">
      <c r="A18230" s="9"/>
      <c r="B18230" s="9"/>
      <c r="C18230" s="9"/>
      <c r="D18230" s="9"/>
      <c r="E18230" s="9"/>
      <c r="F18230" s="9"/>
      <c r="G18230" s="9"/>
      <c r="H18230" s="9"/>
      <c r="I18230" s="9"/>
      <c r="J18230" s="9"/>
      <c r="K18230" s="9"/>
      <c r="L18230" s="9"/>
      <c r="M18230" s="9"/>
      <c r="N18230" s="9"/>
      <c r="O18230" s="9"/>
      <c r="P18230" s="9"/>
      <c r="Q18230" s="9"/>
      <c r="R18230" s="9"/>
      <c r="S18230" s="9"/>
      <c r="T18230" s="9"/>
      <c r="U18230" s="9"/>
      <c r="V18230" s="9"/>
      <c r="W18230" s="9"/>
      <c r="X18230" s="9"/>
      <c r="Y18230" s="9"/>
      <c r="Z18230" s="9"/>
      <c r="AA18230" s="9"/>
      <c r="AB18230" s="9"/>
      <c r="AC18230" s="9"/>
      <c r="AD18230" s="9"/>
      <c r="AE18230" s="9"/>
      <c r="AF18230" s="9"/>
      <c r="AG18230" s="10"/>
    </row>
    <row r="18231" spans="1:33">
      <c r="A18231" s="9"/>
      <c r="B18231" s="9"/>
      <c r="C18231" s="9"/>
      <c r="D18231" s="9"/>
      <c r="E18231" s="9"/>
      <c r="F18231" s="9"/>
      <c r="G18231" s="9"/>
      <c r="H18231" s="9"/>
      <c r="I18231" s="9"/>
      <c r="J18231" s="9"/>
      <c r="K18231" s="9"/>
      <c r="L18231" s="9"/>
      <c r="M18231" s="9"/>
      <c r="N18231" s="9"/>
      <c r="O18231" s="9"/>
      <c r="P18231" s="9"/>
      <c r="Q18231" s="9"/>
      <c r="R18231" s="9"/>
      <c r="S18231" s="9"/>
      <c r="T18231" s="9"/>
      <c r="U18231" s="9"/>
      <c r="V18231" s="9"/>
      <c r="W18231" s="9"/>
      <c r="X18231" s="9"/>
      <c r="Y18231" s="9"/>
      <c r="Z18231" s="9"/>
      <c r="AA18231" s="9"/>
      <c r="AB18231" s="9"/>
      <c r="AC18231" s="9"/>
      <c r="AD18231" s="9"/>
      <c r="AE18231" s="9"/>
      <c r="AF18231" s="9"/>
      <c r="AG18231" s="10"/>
    </row>
    <row r="18232" spans="1:33">
      <c r="A18232" s="9"/>
      <c r="B18232" s="9"/>
      <c r="C18232" s="9"/>
      <c r="D18232" s="9"/>
      <c r="E18232" s="9"/>
      <c r="F18232" s="9"/>
      <c r="G18232" s="9"/>
      <c r="H18232" s="9"/>
      <c r="I18232" s="9"/>
      <c r="J18232" s="9"/>
      <c r="K18232" s="9"/>
      <c r="L18232" s="9"/>
      <c r="M18232" s="9"/>
      <c r="N18232" s="9"/>
      <c r="O18232" s="9"/>
      <c r="P18232" s="9"/>
      <c r="Q18232" s="9"/>
      <c r="R18232" s="9"/>
      <c r="S18232" s="9"/>
      <c r="T18232" s="9"/>
      <c r="U18232" s="9"/>
      <c r="V18232" s="9"/>
      <c r="W18232" s="9"/>
      <c r="X18232" s="9"/>
      <c r="Y18232" s="9"/>
      <c r="Z18232" s="9"/>
      <c r="AA18232" s="9"/>
      <c r="AB18232" s="9"/>
      <c r="AC18232" s="9"/>
      <c r="AD18232" s="9"/>
      <c r="AE18232" s="9"/>
      <c r="AF18232" s="9"/>
      <c r="AG18232" s="10"/>
    </row>
    <row r="18233" spans="1:33">
      <c r="A18233" s="9"/>
      <c r="B18233" s="9"/>
      <c r="C18233" s="9"/>
      <c r="D18233" s="9"/>
      <c r="E18233" s="9"/>
      <c r="F18233" s="9"/>
      <c r="G18233" s="9"/>
      <c r="H18233" s="9"/>
      <c r="I18233" s="9"/>
      <c r="J18233" s="9"/>
      <c r="K18233" s="9"/>
      <c r="L18233" s="9"/>
      <c r="M18233" s="9"/>
      <c r="N18233" s="9"/>
      <c r="O18233" s="9"/>
      <c r="P18233" s="9"/>
      <c r="Q18233" s="9"/>
      <c r="R18233" s="9"/>
      <c r="S18233" s="9"/>
      <c r="T18233" s="9"/>
      <c r="U18233" s="9"/>
      <c r="V18233" s="9"/>
      <c r="W18233" s="9"/>
      <c r="X18233" s="9"/>
      <c r="Y18233" s="9"/>
      <c r="Z18233" s="9"/>
      <c r="AA18233" s="9"/>
      <c r="AB18233" s="9"/>
      <c r="AC18233" s="9"/>
      <c r="AD18233" s="9"/>
      <c r="AE18233" s="9"/>
      <c r="AF18233" s="9"/>
      <c r="AG18233" s="10"/>
    </row>
    <row r="18234" spans="1:33">
      <c r="A18234" s="9"/>
      <c r="B18234" s="9"/>
      <c r="C18234" s="9"/>
      <c r="D18234" s="9"/>
      <c r="E18234" s="9"/>
      <c r="F18234" s="9"/>
      <c r="G18234" s="9"/>
      <c r="H18234" s="9"/>
      <c r="I18234" s="9"/>
      <c r="J18234" s="9"/>
      <c r="K18234" s="9"/>
      <c r="L18234" s="9"/>
      <c r="M18234" s="9"/>
      <c r="N18234" s="9"/>
      <c r="O18234" s="9"/>
      <c r="P18234" s="9"/>
      <c r="Q18234" s="9"/>
      <c r="R18234" s="9"/>
      <c r="S18234" s="9"/>
      <c r="T18234" s="9"/>
      <c r="U18234" s="9"/>
      <c r="V18234" s="9"/>
      <c r="W18234" s="9"/>
      <c r="X18234" s="9"/>
      <c r="Y18234" s="9"/>
      <c r="Z18234" s="9"/>
      <c r="AA18234" s="9"/>
      <c r="AB18234" s="9"/>
      <c r="AC18234" s="9"/>
      <c r="AD18234" s="9"/>
      <c r="AE18234" s="9"/>
      <c r="AF18234" s="9"/>
      <c r="AG18234" s="10"/>
    </row>
    <row r="18235" spans="1:33">
      <c r="A18235" s="9"/>
      <c r="B18235" s="9"/>
      <c r="C18235" s="9"/>
      <c r="D18235" s="9"/>
      <c r="E18235" s="9"/>
      <c r="F18235" s="9"/>
      <c r="G18235" s="9"/>
      <c r="H18235" s="9"/>
      <c r="I18235" s="9"/>
      <c r="J18235" s="9"/>
      <c r="K18235" s="9"/>
      <c r="L18235" s="9"/>
      <c r="M18235" s="9"/>
      <c r="N18235" s="9"/>
      <c r="O18235" s="9"/>
      <c r="P18235" s="9"/>
      <c r="Q18235" s="9"/>
      <c r="R18235" s="9"/>
      <c r="S18235" s="9"/>
      <c r="T18235" s="9"/>
      <c r="U18235" s="9"/>
      <c r="V18235" s="9"/>
      <c r="W18235" s="9"/>
      <c r="X18235" s="9"/>
      <c r="Y18235" s="9"/>
      <c r="Z18235" s="9"/>
      <c r="AA18235" s="9"/>
      <c r="AB18235" s="9"/>
      <c r="AC18235" s="9"/>
      <c r="AD18235" s="9"/>
      <c r="AE18235" s="9"/>
      <c r="AF18235" s="9"/>
      <c r="AG18235" s="10"/>
    </row>
    <row r="18236" spans="1:33">
      <c r="A18236" s="9"/>
      <c r="B18236" s="9"/>
      <c r="C18236" s="9"/>
      <c r="D18236" s="9"/>
      <c r="E18236" s="9"/>
      <c r="F18236" s="9"/>
      <c r="G18236" s="9"/>
      <c r="H18236" s="9"/>
      <c r="I18236" s="9"/>
      <c r="J18236" s="9"/>
      <c r="K18236" s="9"/>
      <c r="L18236" s="9"/>
      <c r="M18236" s="9"/>
      <c r="N18236" s="9"/>
      <c r="O18236" s="9"/>
      <c r="P18236" s="9"/>
      <c r="Q18236" s="9"/>
      <c r="R18236" s="9"/>
      <c r="S18236" s="9"/>
      <c r="T18236" s="9"/>
      <c r="U18236" s="9"/>
      <c r="V18236" s="9"/>
      <c r="W18236" s="9"/>
      <c r="X18236" s="9"/>
      <c r="Y18236" s="9"/>
      <c r="Z18236" s="9"/>
      <c r="AA18236" s="9"/>
      <c r="AB18236" s="9"/>
      <c r="AC18236" s="9"/>
      <c r="AD18236" s="9"/>
      <c r="AE18236" s="9"/>
      <c r="AF18236" s="9"/>
      <c r="AG18236" s="10"/>
    </row>
    <row r="18237" spans="1:33">
      <c r="A18237" s="9"/>
      <c r="B18237" s="9"/>
      <c r="C18237" s="9"/>
      <c r="D18237" s="9"/>
      <c r="E18237" s="9"/>
      <c r="F18237" s="9"/>
      <c r="G18237" s="9"/>
      <c r="H18237" s="9"/>
      <c r="I18237" s="9"/>
      <c r="J18237" s="9"/>
      <c r="K18237" s="9"/>
      <c r="L18237" s="9"/>
      <c r="M18237" s="9"/>
      <c r="N18237" s="9"/>
      <c r="O18237" s="9"/>
      <c r="P18237" s="9"/>
      <c r="Q18237" s="9"/>
      <c r="R18237" s="9"/>
      <c r="S18237" s="9"/>
      <c r="T18237" s="9"/>
      <c r="U18237" s="9"/>
      <c r="V18237" s="9"/>
      <c r="W18237" s="9"/>
      <c r="X18237" s="9"/>
      <c r="Y18237" s="9"/>
      <c r="Z18237" s="9"/>
      <c r="AA18237" s="9"/>
      <c r="AB18237" s="9"/>
      <c r="AC18237" s="9"/>
      <c r="AD18237" s="9"/>
      <c r="AE18237" s="9"/>
      <c r="AF18237" s="9"/>
      <c r="AG18237" s="10"/>
    </row>
    <row r="18238" spans="1:33">
      <c r="A18238" s="9"/>
      <c r="B18238" s="9"/>
      <c r="C18238" s="9"/>
      <c r="D18238" s="9"/>
      <c r="E18238" s="9"/>
      <c r="F18238" s="9"/>
      <c r="G18238" s="9"/>
      <c r="H18238" s="9"/>
      <c r="I18238" s="9"/>
      <c r="J18238" s="9"/>
      <c r="K18238" s="9"/>
      <c r="L18238" s="9"/>
      <c r="M18238" s="9"/>
      <c r="N18238" s="9"/>
      <c r="O18238" s="9"/>
      <c r="P18238" s="9"/>
      <c r="Q18238" s="9"/>
      <c r="R18238" s="9"/>
      <c r="S18238" s="9"/>
      <c r="T18238" s="9"/>
      <c r="U18238" s="9"/>
      <c r="V18238" s="9"/>
      <c r="W18238" s="9"/>
      <c r="X18238" s="9"/>
      <c r="Y18238" s="9"/>
      <c r="Z18238" s="9"/>
      <c r="AA18238" s="9"/>
      <c r="AB18238" s="9"/>
      <c r="AC18238" s="9"/>
      <c r="AD18238" s="9"/>
      <c r="AE18238" s="9"/>
      <c r="AF18238" s="9"/>
      <c r="AG18238" s="10"/>
    </row>
    <row r="18239" spans="1:33">
      <c r="A18239" s="9"/>
      <c r="B18239" s="9"/>
      <c r="C18239" s="9"/>
      <c r="D18239" s="9"/>
      <c r="E18239" s="9"/>
      <c r="F18239" s="9"/>
      <c r="G18239" s="9"/>
      <c r="H18239" s="9"/>
      <c r="I18239" s="9"/>
      <c r="J18239" s="9"/>
      <c r="K18239" s="9"/>
      <c r="L18239" s="9"/>
      <c r="M18239" s="9"/>
      <c r="N18239" s="9"/>
      <c r="O18239" s="9"/>
      <c r="P18239" s="9"/>
      <c r="Q18239" s="9"/>
      <c r="R18239" s="9"/>
      <c r="S18239" s="9"/>
      <c r="T18239" s="9"/>
      <c r="U18239" s="9"/>
      <c r="V18239" s="9"/>
      <c r="W18239" s="9"/>
      <c r="X18239" s="9"/>
      <c r="Y18239" s="9"/>
      <c r="Z18239" s="9"/>
      <c r="AA18239" s="9"/>
      <c r="AB18239" s="9"/>
      <c r="AC18239" s="9"/>
      <c r="AD18239" s="9"/>
      <c r="AE18239" s="9"/>
      <c r="AF18239" s="9"/>
      <c r="AG18239" s="10"/>
    </row>
    <row r="18240" spans="1:33">
      <c r="A18240" s="9"/>
      <c r="B18240" s="9"/>
      <c r="C18240" s="9"/>
      <c r="D18240" s="9"/>
      <c r="E18240" s="9"/>
      <c r="F18240" s="9"/>
      <c r="G18240" s="9"/>
      <c r="H18240" s="9"/>
      <c r="I18240" s="9"/>
      <c r="J18240" s="9"/>
      <c r="K18240" s="9"/>
      <c r="L18240" s="9"/>
      <c r="M18240" s="9"/>
      <c r="N18240" s="9"/>
      <c r="O18240" s="9"/>
      <c r="P18240" s="9"/>
      <c r="Q18240" s="9"/>
      <c r="R18240" s="9"/>
      <c r="S18240" s="9"/>
      <c r="T18240" s="9"/>
      <c r="U18240" s="9"/>
      <c r="V18240" s="9"/>
      <c r="W18240" s="9"/>
      <c r="X18240" s="9"/>
      <c r="Y18240" s="9"/>
      <c r="Z18240" s="9"/>
      <c r="AA18240" s="9"/>
      <c r="AB18240" s="9"/>
      <c r="AC18240" s="9"/>
      <c r="AD18240" s="9"/>
      <c r="AE18240" s="9"/>
      <c r="AF18240" s="9"/>
      <c r="AG18240" s="10"/>
    </row>
    <row r="18241" spans="1:33">
      <c r="A18241" s="9"/>
      <c r="B18241" s="9"/>
      <c r="C18241" s="9"/>
      <c r="D18241" s="9"/>
      <c r="E18241" s="9"/>
      <c r="F18241" s="9"/>
      <c r="G18241" s="9"/>
      <c r="H18241" s="9"/>
      <c r="I18241" s="9"/>
      <c r="J18241" s="9"/>
      <c r="K18241" s="9"/>
      <c r="L18241" s="9"/>
      <c r="M18241" s="9"/>
      <c r="N18241" s="9"/>
      <c r="O18241" s="9"/>
      <c r="P18241" s="9"/>
      <c r="Q18241" s="9"/>
      <c r="R18241" s="9"/>
      <c r="S18241" s="9"/>
      <c r="T18241" s="9"/>
      <c r="U18241" s="9"/>
      <c r="V18241" s="9"/>
      <c r="W18241" s="9"/>
      <c r="X18241" s="9"/>
      <c r="Y18241" s="9"/>
      <c r="Z18241" s="9"/>
      <c r="AA18241" s="9"/>
      <c r="AB18241" s="9"/>
      <c r="AC18241" s="9"/>
      <c r="AD18241" s="9"/>
      <c r="AE18241" s="9"/>
      <c r="AF18241" s="9"/>
      <c r="AG18241" s="10"/>
    </row>
    <row r="18242" spans="1:33">
      <c r="A18242" s="9"/>
      <c r="B18242" s="9"/>
      <c r="C18242" s="9"/>
      <c r="D18242" s="9"/>
      <c r="E18242" s="9"/>
      <c r="F18242" s="9"/>
      <c r="G18242" s="9"/>
      <c r="H18242" s="9"/>
      <c r="I18242" s="9"/>
      <c r="J18242" s="9"/>
      <c r="K18242" s="9"/>
      <c r="L18242" s="9"/>
      <c r="M18242" s="9"/>
      <c r="N18242" s="9"/>
      <c r="O18242" s="9"/>
      <c r="P18242" s="9"/>
      <c r="Q18242" s="9"/>
      <c r="R18242" s="9"/>
      <c r="S18242" s="9"/>
      <c r="T18242" s="9"/>
      <c r="U18242" s="9"/>
      <c r="V18242" s="9"/>
      <c r="W18242" s="9"/>
      <c r="X18242" s="9"/>
      <c r="Y18242" s="9"/>
      <c r="Z18242" s="9"/>
      <c r="AA18242" s="9"/>
      <c r="AB18242" s="9"/>
      <c r="AC18242" s="9"/>
      <c r="AD18242" s="9"/>
      <c r="AE18242" s="9"/>
      <c r="AF18242" s="9"/>
      <c r="AG18242" s="10"/>
    </row>
    <row r="18243" spans="1:33">
      <c r="A18243" s="9"/>
      <c r="B18243" s="9"/>
      <c r="C18243" s="9"/>
      <c r="D18243" s="9"/>
      <c r="E18243" s="9"/>
      <c r="F18243" s="9"/>
      <c r="G18243" s="9"/>
      <c r="H18243" s="9"/>
      <c r="I18243" s="9"/>
      <c r="J18243" s="9"/>
      <c r="K18243" s="9"/>
      <c r="L18243" s="9"/>
      <c r="M18243" s="9"/>
      <c r="N18243" s="9"/>
      <c r="O18243" s="9"/>
      <c r="P18243" s="9"/>
      <c r="Q18243" s="9"/>
      <c r="R18243" s="9"/>
      <c r="S18243" s="9"/>
      <c r="T18243" s="9"/>
      <c r="U18243" s="9"/>
      <c r="V18243" s="9"/>
      <c r="W18243" s="9"/>
      <c r="X18243" s="9"/>
      <c r="Y18243" s="9"/>
      <c r="Z18243" s="9"/>
      <c r="AA18243" s="9"/>
      <c r="AB18243" s="9"/>
      <c r="AC18243" s="9"/>
      <c r="AD18243" s="9"/>
      <c r="AE18243" s="9"/>
      <c r="AF18243" s="9"/>
      <c r="AG18243" s="10"/>
    </row>
    <row r="18244" spans="1:33">
      <c r="A18244" s="9"/>
      <c r="B18244" s="9"/>
      <c r="C18244" s="9"/>
      <c r="D18244" s="9"/>
      <c r="E18244" s="9"/>
      <c r="F18244" s="9"/>
      <c r="G18244" s="9"/>
      <c r="H18244" s="9"/>
      <c r="I18244" s="9"/>
      <c r="J18244" s="9"/>
      <c r="K18244" s="9"/>
      <c r="L18244" s="9"/>
      <c r="M18244" s="9"/>
      <c r="N18244" s="9"/>
      <c r="O18244" s="9"/>
      <c r="P18244" s="9"/>
      <c r="Q18244" s="9"/>
      <c r="R18244" s="9"/>
      <c r="S18244" s="9"/>
      <c r="T18244" s="9"/>
      <c r="U18244" s="9"/>
      <c r="V18244" s="9"/>
      <c r="W18244" s="9"/>
      <c r="X18244" s="9"/>
      <c r="Y18244" s="9"/>
      <c r="Z18244" s="9"/>
      <c r="AA18244" s="9"/>
      <c r="AB18244" s="9"/>
      <c r="AC18244" s="9"/>
      <c r="AD18244" s="9"/>
      <c r="AE18244" s="9"/>
      <c r="AF18244" s="9"/>
      <c r="AG18244" s="10"/>
    </row>
    <row r="18245" spans="1:33">
      <c r="A18245" s="9"/>
      <c r="B18245" s="9"/>
      <c r="C18245" s="9"/>
      <c r="D18245" s="9"/>
      <c r="E18245" s="9"/>
      <c r="F18245" s="9"/>
      <c r="G18245" s="9"/>
      <c r="H18245" s="9"/>
      <c r="I18245" s="9"/>
      <c r="J18245" s="9"/>
      <c r="K18245" s="9"/>
      <c r="L18245" s="9"/>
      <c r="M18245" s="9"/>
      <c r="N18245" s="9"/>
      <c r="O18245" s="9"/>
      <c r="P18245" s="9"/>
      <c r="Q18245" s="9"/>
      <c r="R18245" s="9"/>
      <c r="S18245" s="9"/>
      <c r="T18245" s="9"/>
      <c r="U18245" s="9"/>
      <c r="V18245" s="9"/>
      <c r="W18245" s="9"/>
      <c r="X18245" s="9"/>
      <c r="Y18245" s="9"/>
      <c r="Z18245" s="9"/>
      <c r="AA18245" s="9"/>
      <c r="AB18245" s="9"/>
      <c r="AC18245" s="9"/>
      <c r="AD18245" s="9"/>
      <c r="AE18245" s="9"/>
      <c r="AF18245" s="9"/>
      <c r="AG18245" s="10"/>
    </row>
    <row r="18246" spans="1:33">
      <c r="A18246" s="9"/>
      <c r="B18246" s="9"/>
      <c r="C18246" s="9"/>
      <c r="D18246" s="9"/>
      <c r="E18246" s="9"/>
      <c r="F18246" s="9"/>
      <c r="G18246" s="9"/>
      <c r="H18246" s="9"/>
      <c r="I18246" s="9"/>
      <c r="J18246" s="9"/>
      <c r="K18246" s="9"/>
      <c r="L18246" s="9"/>
      <c r="M18246" s="9"/>
      <c r="N18246" s="9"/>
      <c r="O18246" s="9"/>
      <c r="P18246" s="9"/>
      <c r="Q18246" s="9"/>
      <c r="R18246" s="9"/>
      <c r="S18246" s="9"/>
      <c r="T18246" s="9"/>
      <c r="U18246" s="9"/>
      <c r="V18246" s="9"/>
      <c r="W18246" s="9"/>
      <c r="X18246" s="9"/>
      <c r="Y18246" s="9"/>
      <c r="Z18246" s="9"/>
      <c r="AA18246" s="9"/>
      <c r="AB18246" s="9"/>
      <c r="AC18246" s="9"/>
      <c r="AD18246" s="9"/>
      <c r="AE18246" s="9"/>
      <c r="AF18246" s="9"/>
      <c r="AG18246" s="10"/>
    </row>
    <row r="18247" spans="1:33">
      <c r="A18247" s="9"/>
      <c r="B18247" s="9"/>
      <c r="C18247" s="9"/>
      <c r="D18247" s="9"/>
      <c r="E18247" s="9"/>
      <c r="F18247" s="9"/>
      <c r="G18247" s="9"/>
      <c r="H18247" s="9"/>
      <c r="I18247" s="9"/>
      <c r="J18247" s="9"/>
      <c r="K18247" s="9"/>
      <c r="L18247" s="9"/>
      <c r="M18247" s="9"/>
      <c r="N18247" s="9"/>
      <c r="O18247" s="9"/>
      <c r="P18247" s="9"/>
      <c r="Q18247" s="9"/>
      <c r="R18247" s="9"/>
      <c r="S18247" s="9"/>
      <c r="T18247" s="9"/>
      <c r="U18247" s="9"/>
      <c r="V18247" s="9"/>
      <c r="W18247" s="9"/>
      <c r="X18247" s="9"/>
      <c r="Y18247" s="9"/>
      <c r="Z18247" s="9"/>
      <c r="AA18247" s="9"/>
      <c r="AB18247" s="9"/>
      <c r="AC18247" s="9"/>
      <c r="AD18247" s="9"/>
      <c r="AE18247" s="9"/>
      <c r="AF18247" s="9"/>
      <c r="AG18247" s="10"/>
    </row>
    <row r="18248" spans="1:33">
      <c r="A18248" s="9"/>
      <c r="B18248" s="9"/>
      <c r="C18248" s="9"/>
      <c r="D18248" s="9"/>
      <c r="E18248" s="9"/>
      <c r="F18248" s="9"/>
      <c r="G18248" s="9"/>
      <c r="H18248" s="9"/>
      <c r="I18248" s="9"/>
      <c r="J18248" s="9"/>
      <c r="K18248" s="9"/>
      <c r="L18248" s="9"/>
      <c r="M18248" s="9"/>
      <c r="N18248" s="9"/>
      <c r="O18248" s="9"/>
      <c r="P18248" s="9"/>
      <c r="Q18248" s="9"/>
      <c r="R18248" s="9"/>
      <c r="S18248" s="9"/>
      <c r="T18248" s="9"/>
      <c r="U18248" s="9"/>
      <c r="V18248" s="9"/>
      <c r="W18248" s="9"/>
      <c r="X18248" s="9"/>
      <c r="Y18248" s="9"/>
      <c r="Z18248" s="9"/>
      <c r="AA18248" s="9"/>
      <c r="AB18248" s="9"/>
      <c r="AC18248" s="9"/>
      <c r="AD18248" s="9"/>
      <c r="AE18248" s="9"/>
      <c r="AF18248" s="9"/>
      <c r="AG18248" s="10"/>
    </row>
    <row r="18249" spans="1:33">
      <c r="A18249" s="9"/>
      <c r="B18249" s="9"/>
      <c r="C18249" s="9"/>
      <c r="D18249" s="9"/>
      <c r="E18249" s="9"/>
      <c r="F18249" s="9"/>
      <c r="G18249" s="9"/>
      <c r="H18249" s="9"/>
      <c r="I18249" s="9"/>
      <c r="J18249" s="9"/>
      <c r="K18249" s="9"/>
      <c r="L18249" s="9"/>
      <c r="M18249" s="9"/>
      <c r="N18249" s="9"/>
      <c r="O18249" s="9"/>
      <c r="P18249" s="9"/>
      <c r="Q18249" s="9"/>
      <c r="R18249" s="9"/>
      <c r="S18249" s="9"/>
      <c r="T18249" s="9"/>
      <c r="U18249" s="9"/>
      <c r="V18249" s="9"/>
      <c r="W18249" s="9"/>
      <c r="X18249" s="9"/>
      <c r="Y18249" s="9"/>
      <c r="Z18249" s="9"/>
      <c r="AA18249" s="9"/>
      <c r="AB18249" s="9"/>
      <c r="AC18249" s="9"/>
      <c r="AD18249" s="9"/>
      <c r="AE18249" s="9"/>
      <c r="AF18249" s="9"/>
      <c r="AG18249" s="10"/>
    </row>
    <row r="18250" spans="1:33">
      <c r="A18250" s="9"/>
      <c r="B18250" s="9"/>
      <c r="C18250" s="9"/>
      <c r="D18250" s="9"/>
      <c r="E18250" s="9"/>
      <c r="F18250" s="9"/>
      <c r="G18250" s="9"/>
      <c r="H18250" s="9"/>
      <c r="I18250" s="9"/>
      <c r="J18250" s="9"/>
      <c r="K18250" s="9"/>
      <c r="L18250" s="9"/>
      <c r="M18250" s="9"/>
      <c r="N18250" s="9"/>
      <c r="O18250" s="9"/>
      <c r="P18250" s="9"/>
      <c r="Q18250" s="9"/>
      <c r="R18250" s="9"/>
      <c r="S18250" s="9"/>
      <c r="T18250" s="9"/>
      <c r="U18250" s="9"/>
      <c r="V18250" s="9"/>
      <c r="W18250" s="9"/>
      <c r="X18250" s="9"/>
      <c r="Y18250" s="9"/>
      <c r="Z18250" s="9"/>
      <c r="AA18250" s="9"/>
      <c r="AB18250" s="9"/>
      <c r="AC18250" s="9"/>
      <c r="AD18250" s="9"/>
      <c r="AE18250" s="9"/>
      <c r="AF18250" s="9"/>
      <c r="AG18250" s="10"/>
    </row>
    <row r="18251" spans="1:33">
      <c r="A18251" s="9"/>
      <c r="B18251" s="9"/>
      <c r="C18251" s="9"/>
      <c r="D18251" s="9"/>
      <c r="E18251" s="9"/>
      <c r="F18251" s="9"/>
      <c r="G18251" s="9"/>
      <c r="H18251" s="9"/>
      <c r="I18251" s="9"/>
      <c r="J18251" s="9"/>
      <c r="K18251" s="9"/>
      <c r="L18251" s="9"/>
      <c r="M18251" s="9"/>
      <c r="N18251" s="9"/>
      <c r="O18251" s="9"/>
      <c r="P18251" s="9"/>
      <c r="Q18251" s="9"/>
      <c r="R18251" s="9"/>
      <c r="S18251" s="9"/>
      <c r="T18251" s="9"/>
      <c r="U18251" s="9"/>
      <c r="V18251" s="9"/>
      <c r="W18251" s="9"/>
      <c r="X18251" s="9"/>
      <c r="Y18251" s="9"/>
      <c r="Z18251" s="9"/>
      <c r="AA18251" s="9"/>
      <c r="AB18251" s="9"/>
      <c r="AC18251" s="9"/>
      <c r="AD18251" s="9"/>
      <c r="AE18251" s="9"/>
      <c r="AF18251" s="9"/>
      <c r="AG18251" s="10"/>
    </row>
    <row r="18252" spans="1:33">
      <c r="A18252" s="9"/>
      <c r="B18252" s="9"/>
      <c r="C18252" s="9"/>
      <c r="D18252" s="9"/>
      <c r="E18252" s="9"/>
      <c r="F18252" s="9"/>
      <c r="G18252" s="9"/>
      <c r="H18252" s="9"/>
      <c r="I18252" s="9"/>
      <c r="J18252" s="9"/>
      <c r="K18252" s="9"/>
      <c r="L18252" s="9"/>
      <c r="M18252" s="9"/>
      <c r="N18252" s="9"/>
      <c r="O18252" s="9"/>
      <c r="P18252" s="9"/>
      <c r="Q18252" s="9"/>
      <c r="R18252" s="9"/>
      <c r="S18252" s="9"/>
      <c r="T18252" s="9"/>
      <c r="U18252" s="9"/>
      <c r="V18252" s="9"/>
      <c r="W18252" s="9"/>
      <c r="X18252" s="9"/>
      <c r="Y18252" s="9"/>
      <c r="Z18252" s="9"/>
      <c r="AA18252" s="9"/>
      <c r="AB18252" s="9"/>
      <c r="AC18252" s="9"/>
      <c r="AD18252" s="9"/>
      <c r="AE18252" s="9"/>
      <c r="AF18252" s="9"/>
      <c r="AG18252" s="10"/>
    </row>
    <row r="18253" spans="1:33">
      <c r="A18253" s="9"/>
      <c r="B18253" s="9"/>
      <c r="C18253" s="9"/>
      <c r="D18253" s="9"/>
      <c r="E18253" s="9"/>
      <c r="F18253" s="9"/>
      <c r="G18253" s="9"/>
      <c r="H18253" s="9"/>
      <c r="I18253" s="9"/>
      <c r="J18253" s="9"/>
      <c r="K18253" s="9"/>
      <c r="L18253" s="9"/>
      <c r="M18253" s="9"/>
      <c r="N18253" s="9"/>
      <c r="O18253" s="9"/>
      <c r="P18253" s="9"/>
      <c r="Q18253" s="9"/>
      <c r="R18253" s="9"/>
      <c r="S18253" s="9"/>
      <c r="T18253" s="9"/>
      <c r="U18253" s="9"/>
      <c r="V18253" s="9"/>
      <c r="W18253" s="9"/>
      <c r="X18253" s="9"/>
      <c r="Y18253" s="9"/>
      <c r="Z18253" s="9"/>
      <c r="AA18253" s="9"/>
      <c r="AB18253" s="9"/>
      <c r="AC18253" s="9"/>
      <c r="AD18253" s="9"/>
      <c r="AE18253" s="9"/>
      <c r="AF18253" s="9"/>
      <c r="AG18253" s="10"/>
    </row>
    <row r="18254" spans="1:33">
      <c r="A18254" s="9"/>
      <c r="B18254" s="9"/>
      <c r="C18254" s="9"/>
      <c r="D18254" s="9"/>
      <c r="E18254" s="9"/>
      <c r="F18254" s="9"/>
      <c r="G18254" s="9"/>
      <c r="H18254" s="9"/>
      <c r="I18254" s="9"/>
      <c r="J18254" s="9"/>
      <c r="K18254" s="9"/>
      <c r="L18254" s="9"/>
      <c r="M18254" s="9"/>
      <c r="N18254" s="9"/>
      <c r="O18254" s="9"/>
      <c r="P18254" s="9"/>
      <c r="Q18254" s="9"/>
      <c r="R18254" s="9"/>
      <c r="S18254" s="9"/>
      <c r="T18254" s="9"/>
      <c r="U18254" s="9"/>
      <c r="V18254" s="9"/>
      <c r="W18254" s="9"/>
      <c r="X18254" s="9"/>
      <c r="Y18254" s="9"/>
      <c r="Z18254" s="9"/>
      <c r="AA18254" s="9"/>
      <c r="AB18254" s="9"/>
      <c r="AC18254" s="9"/>
      <c r="AD18254" s="9"/>
      <c r="AE18254" s="9"/>
      <c r="AF18254" s="9"/>
      <c r="AG18254" s="10"/>
    </row>
    <row r="18255" spans="1:33">
      <c r="A18255" s="9"/>
      <c r="B18255" s="9"/>
      <c r="C18255" s="9"/>
      <c r="D18255" s="9"/>
      <c r="E18255" s="9"/>
      <c r="F18255" s="9"/>
      <c r="G18255" s="9"/>
      <c r="H18255" s="9"/>
      <c r="I18255" s="9"/>
      <c r="J18255" s="9"/>
      <c r="K18255" s="9"/>
      <c r="L18255" s="9"/>
      <c r="M18255" s="9"/>
      <c r="N18255" s="9"/>
      <c r="O18255" s="9"/>
      <c r="P18255" s="9"/>
      <c r="Q18255" s="9"/>
      <c r="R18255" s="9"/>
      <c r="S18255" s="9"/>
      <c r="T18255" s="9"/>
      <c r="U18255" s="9"/>
      <c r="V18255" s="9"/>
      <c r="W18255" s="9"/>
      <c r="X18255" s="9"/>
      <c r="Y18255" s="9"/>
      <c r="Z18255" s="9"/>
      <c r="AA18255" s="9"/>
      <c r="AB18255" s="9"/>
      <c r="AC18255" s="9"/>
      <c r="AD18255" s="9"/>
      <c r="AE18255" s="9"/>
      <c r="AF18255" s="9"/>
      <c r="AG18255" s="10"/>
    </row>
    <row r="18256" spans="1:33">
      <c r="A18256" s="9"/>
      <c r="B18256" s="9"/>
      <c r="C18256" s="9"/>
      <c r="D18256" s="9"/>
      <c r="E18256" s="9"/>
      <c r="F18256" s="9"/>
      <c r="G18256" s="9"/>
      <c r="H18256" s="9"/>
      <c r="I18256" s="9"/>
      <c r="J18256" s="9"/>
      <c r="K18256" s="9"/>
      <c r="L18256" s="9"/>
      <c r="M18256" s="9"/>
      <c r="N18256" s="9"/>
      <c r="O18256" s="9"/>
      <c r="P18256" s="9"/>
      <c r="Q18256" s="9"/>
      <c r="R18256" s="9"/>
      <c r="S18256" s="9"/>
      <c r="T18256" s="9"/>
      <c r="U18256" s="9"/>
      <c r="V18256" s="9"/>
      <c r="W18256" s="9"/>
      <c r="X18256" s="9"/>
      <c r="Y18256" s="9"/>
      <c r="Z18256" s="9"/>
      <c r="AA18256" s="9"/>
      <c r="AB18256" s="9"/>
      <c r="AC18256" s="9"/>
      <c r="AD18256" s="9"/>
      <c r="AE18256" s="9"/>
      <c r="AF18256" s="9"/>
      <c r="AG18256" s="10"/>
    </row>
    <row r="18257" spans="1:33">
      <c r="A18257" s="9"/>
      <c r="B18257" s="9"/>
      <c r="C18257" s="9"/>
      <c r="D18257" s="9"/>
      <c r="E18257" s="9"/>
      <c r="F18257" s="9"/>
      <c r="G18257" s="9"/>
      <c r="H18257" s="9"/>
      <c r="I18257" s="9"/>
      <c r="J18257" s="9"/>
      <c r="K18257" s="9"/>
      <c r="L18257" s="9"/>
      <c r="M18257" s="9"/>
      <c r="N18257" s="9"/>
      <c r="O18257" s="9"/>
      <c r="P18257" s="9"/>
      <c r="Q18257" s="9"/>
      <c r="R18257" s="9"/>
      <c r="S18257" s="9"/>
      <c r="T18257" s="9"/>
      <c r="U18257" s="9"/>
      <c r="V18257" s="9"/>
      <c r="W18257" s="9"/>
      <c r="X18257" s="9"/>
      <c r="Y18257" s="9"/>
      <c r="Z18257" s="9"/>
      <c r="AA18257" s="9"/>
      <c r="AB18257" s="9"/>
      <c r="AC18257" s="9"/>
      <c r="AD18257" s="9"/>
      <c r="AE18257" s="9"/>
      <c r="AF18257" s="9"/>
      <c r="AG18257" s="10"/>
    </row>
    <row r="18258" spans="1:33">
      <c r="A18258" s="9"/>
      <c r="B18258" s="9"/>
      <c r="C18258" s="9"/>
      <c r="D18258" s="9"/>
      <c r="E18258" s="9"/>
      <c r="F18258" s="9"/>
      <c r="G18258" s="9"/>
      <c r="H18258" s="9"/>
      <c r="I18258" s="9"/>
      <c r="J18258" s="9"/>
      <c r="K18258" s="9"/>
      <c r="L18258" s="9"/>
      <c r="M18258" s="9"/>
      <c r="N18258" s="9"/>
      <c r="O18258" s="9"/>
      <c r="P18258" s="9"/>
      <c r="Q18258" s="9"/>
      <c r="R18258" s="9"/>
      <c r="S18258" s="9"/>
      <c r="T18258" s="9"/>
      <c r="U18258" s="9"/>
      <c r="V18258" s="9"/>
      <c r="W18258" s="9"/>
      <c r="X18258" s="9"/>
      <c r="Y18258" s="9"/>
      <c r="Z18258" s="9"/>
      <c r="AA18258" s="9"/>
      <c r="AB18258" s="9"/>
      <c r="AC18258" s="9"/>
      <c r="AD18258" s="9"/>
      <c r="AE18258" s="9"/>
      <c r="AF18258" s="9"/>
      <c r="AG18258" s="10"/>
    </row>
    <row r="18259" spans="1:33">
      <c r="A18259" s="9"/>
      <c r="B18259" s="9"/>
      <c r="C18259" s="9"/>
      <c r="D18259" s="9"/>
      <c r="E18259" s="9"/>
      <c r="F18259" s="9"/>
      <c r="G18259" s="9"/>
      <c r="H18259" s="9"/>
      <c r="I18259" s="9"/>
      <c r="J18259" s="9"/>
      <c r="K18259" s="9"/>
      <c r="L18259" s="9"/>
      <c r="M18259" s="9"/>
      <c r="N18259" s="9"/>
      <c r="O18259" s="9"/>
      <c r="P18259" s="9"/>
      <c r="Q18259" s="9"/>
      <c r="R18259" s="9"/>
      <c r="S18259" s="9"/>
      <c r="T18259" s="9"/>
      <c r="U18259" s="9"/>
      <c r="V18259" s="9"/>
      <c r="W18259" s="9"/>
      <c r="X18259" s="9"/>
      <c r="Y18259" s="9"/>
      <c r="Z18259" s="9"/>
      <c r="AA18259" s="9"/>
      <c r="AB18259" s="9"/>
      <c r="AC18259" s="9"/>
      <c r="AD18259" s="9"/>
      <c r="AE18259" s="9"/>
      <c r="AF18259" s="9"/>
      <c r="AG18259" s="10"/>
    </row>
    <row r="18260" spans="1:33">
      <c r="A18260" s="9"/>
      <c r="B18260" s="9"/>
      <c r="C18260" s="9"/>
      <c r="D18260" s="9"/>
      <c r="E18260" s="9"/>
      <c r="F18260" s="9"/>
      <c r="G18260" s="9"/>
      <c r="H18260" s="9"/>
      <c r="I18260" s="9"/>
      <c r="J18260" s="9"/>
      <c r="K18260" s="9"/>
      <c r="L18260" s="9"/>
      <c r="M18260" s="9"/>
      <c r="N18260" s="9"/>
      <c r="O18260" s="9"/>
      <c r="P18260" s="9"/>
      <c r="Q18260" s="9"/>
      <c r="R18260" s="9"/>
      <c r="S18260" s="9"/>
      <c r="T18260" s="9"/>
      <c r="U18260" s="9"/>
      <c r="V18260" s="9"/>
      <c r="W18260" s="9"/>
      <c r="X18260" s="9"/>
      <c r="Y18260" s="9"/>
      <c r="Z18260" s="9"/>
      <c r="AA18260" s="9"/>
      <c r="AB18260" s="9"/>
      <c r="AC18260" s="9"/>
      <c r="AD18260" s="9"/>
      <c r="AE18260" s="9"/>
      <c r="AF18260" s="9"/>
      <c r="AG18260" s="10"/>
    </row>
    <row r="18261" spans="1:33">
      <c r="A18261" s="9"/>
      <c r="B18261" s="9"/>
      <c r="C18261" s="9"/>
      <c r="D18261" s="9"/>
      <c r="E18261" s="9"/>
      <c r="F18261" s="9"/>
      <c r="G18261" s="9"/>
      <c r="H18261" s="9"/>
      <c r="I18261" s="9"/>
      <c r="J18261" s="9"/>
      <c r="K18261" s="9"/>
      <c r="L18261" s="9"/>
      <c r="M18261" s="9"/>
      <c r="N18261" s="9"/>
      <c r="O18261" s="9"/>
      <c r="P18261" s="9"/>
      <c r="Q18261" s="9"/>
      <c r="R18261" s="9"/>
      <c r="S18261" s="9"/>
      <c r="T18261" s="9"/>
      <c r="U18261" s="9"/>
      <c r="V18261" s="9"/>
      <c r="W18261" s="9"/>
      <c r="X18261" s="9"/>
      <c r="Y18261" s="9"/>
      <c r="Z18261" s="9"/>
      <c r="AA18261" s="9"/>
      <c r="AB18261" s="9"/>
      <c r="AC18261" s="9"/>
      <c r="AD18261" s="9"/>
      <c r="AE18261" s="9"/>
      <c r="AF18261" s="9"/>
      <c r="AG18261" s="10"/>
    </row>
    <row r="18262" spans="1:33">
      <c r="A18262" s="9"/>
      <c r="B18262" s="9"/>
      <c r="C18262" s="9"/>
      <c r="D18262" s="9"/>
      <c r="E18262" s="9"/>
      <c r="F18262" s="9"/>
      <c r="G18262" s="9"/>
      <c r="H18262" s="9"/>
      <c r="I18262" s="9"/>
      <c r="J18262" s="9"/>
      <c r="K18262" s="9"/>
      <c r="L18262" s="9"/>
      <c r="M18262" s="9"/>
      <c r="N18262" s="9"/>
      <c r="O18262" s="9"/>
      <c r="P18262" s="9"/>
      <c r="Q18262" s="9"/>
      <c r="R18262" s="9"/>
      <c r="S18262" s="9"/>
      <c r="T18262" s="9"/>
      <c r="U18262" s="9"/>
      <c r="V18262" s="9"/>
      <c r="W18262" s="9"/>
      <c r="X18262" s="9"/>
      <c r="Y18262" s="9"/>
      <c r="Z18262" s="9"/>
      <c r="AA18262" s="9"/>
      <c r="AB18262" s="9"/>
      <c r="AC18262" s="9"/>
      <c r="AD18262" s="9"/>
      <c r="AE18262" s="9"/>
      <c r="AF18262" s="9"/>
      <c r="AG18262" s="10"/>
    </row>
    <row r="18263" spans="1:33">
      <c r="A18263" s="9"/>
      <c r="B18263" s="9"/>
      <c r="C18263" s="9"/>
      <c r="D18263" s="9"/>
      <c r="E18263" s="9"/>
      <c r="F18263" s="9"/>
      <c r="G18263" s="9"/>
      <c r="H18263" s="9"/>
      <c r="I18263" s="9"/>
      <c r="J18263" s="9"/>
      <c r="K18263" s="9"/>
      <c r="L18263" s="9"/>
      <c r="M18263" s="9"/>
      <c r="N18263" s="9"/>
      <c r="O18263" s="9"/>
      <c r="P18263" s="9"/>
      <c r="Q18263" s="9"/>
      <c r="R18263" s="9"/>
      <c r="S18263" s="9"/>
      <c r="T18263" s="9"/>
      <c r="U18263" s="9"/>
      <c r="V18263" s="9"/>
      <c r="W18263" s="9"/>
      <c r="X18263" s="9"/>
      <c r="Y18263" s="9"/>
      <c r="Z18263" s="9"/>
      <c r="AA18263" s="9"/>
      <c r="AB18263" s="9"/>
      <c r="AC18263" s="9"/>
      <c r="AD18263" s="9"/>
      <c r="AE18263" s="9"/>
      <c r="AF18263" s="9"/>
      <c r="AG18263" s="10"/>
    </row>
    <row r="18264" spans="1:33">
      <c r="A18264" s="9"/>
      <c r="B18264" s="9"/>
      <c r="C18264" s="9"/>
      <c r="D18264" s="9"/>
      <c r="E18264" s="9"/>
      <c r="F18264" s="9"/>
      <c r="G18264" s="9"/>
      <c r="H18264" s="9"/>
      <c r="I18264" s="9"/>
      <c r="J18264" s="9"/>
      <c r="K18264" s="9"/>
      <c r="L18264" s="9"/>
      <c r="M18264" s="9"/>
      <c r="N18264" s="9"/>
      <c r="O18264" s="9"/>
      <c r="P18264" s="9"/>
      <c r="Q18264" s="9"/>
      <c r="R18264" s="9"/>
      <c r="S18264" s="9"/>
      <c r="T18264" s="9"/>
      <c r="U18264" s="9"/>
      <c r="V18264" s="9"/>
      <c r="W18264" s="9"/>
      <c r="X18264" s="9"/>
      <c r="Y18264" s="9"/>
      <c r="Z18264" s="9"/>
      <c r="AA18264" s="9"/>
      <c r="AB18264" s="9"/>
      <c r="AC18264" s="9"/>
      <c r="AD18264" s="9"/>
      <c r="AE18264" s="9"/>
      <c r="AF18264" s="9"/>
      <c r="AG18264" s="10"/>
    </row>
    <row r="18265" spans="1:33">
      <c r="A18265" s="9"/>
      <c r="B18265" s="9"/>
      <c r="C18265" s="9"/>
      <c r="D18265" s="9"/>
      <c r="E18265" s="9"/>
      <c r="F18265" s="9"/>
      <c r="G18265" s="9"/>
      <c r="H18265" s="9"/>
      <c r="I18265" s="9"/>
      <c r="J18265" s="9"/>
      <c r="K18265" s="9"/>
      <c r="L18265" s="9"/>
      <c r="M18265" s="9"/>
      <c r="N18265" s="9"/>
      <c r="O18265" s="9"/>
      <c r="P18265" s="9"/>
      <c r="Q18265" s="9"/>
      <c r="R18265" s="9"/>
      <c r="S18265" s="9"/>
      <c r="T18265" s="9"/>
      <c r="U18265" s="9"/>
      <c r="V18265" s="9"/>
      <c r="W18265" s="9"/>
      <c r="X18265" s="9"/>
      <c r="Y18265" s="9"/>
      <c r="Z18265" s="9"/>
      <c r="AA18265" s="9"/>
      <c r="AB18265" s="9"/>
      <c r="AC18265" s="9"/>
      <c r="AD18265" s="9"/>
      <c r="AE18265" s="9"/>
      <c r="AF18265" s="9"/>
      <c r="AG18265" s="10"/>
    </row>
    <row r="18266" spans="1:33">
      <c r="A18266" s="9"/>
      <c r="B18266" s="9"/>
      <c r="C18266" s="9"/>
      <c r="D18266" s="9"/>
      <c r="E18266" s="9"/>
      <c r="F18266" s="9"/>
      <c r="G18266" s="9"/>
      <c r="H18266" s="9"/>
      <c r="I18266" s="9"/>
      <c r="J18266" s="9"/>
      <c r="K18266" s="9"/>
      <c r="L18266" s="9"/>
      <c r="M18266" s="9"/>
      <c r="N18266" s="9"/>
      <c r="O18266" s="9"/>
      <c r="P18266" s="9"/>
      <c r="Q18266" s="9"/>
      <c r="R18266" s="9"/>
      <c r="S18266" s="9"/>
      <c r="T18266" s="9"/>
      <c r="U18266" s="9"/>
      <c r="V18266" s="9"/>
      <c r="W18266" s="9"/>
      <c r="X18266" s="9"/>
      <c r="Y18266" s="9"/>
      <c r="Z18266" s="9"/>
      <c r="AA18266" s="9"/>
      <c r="AB18266" s="9"/>
      <c r="AC18266" s="9"/>
      <c r="AD18266" s="9"/>
      <c r="AE18266" s="9"/>
      <c r="AF18266" s="9"/>
      <c r="AG18266" s="10"/>
    </row>
    <row r="18267" spans="1:33">
      <c r="A18267" s="9"/>
      <c r="B18267" s="9"/>
      <c r="C18267" s="9"/>
      <c r="D18267" s="9"/>
      <c r="E18267" s="9"/>
      <c r="F18267" s="9"/>
      <c r="G18267" s="9"/>
      <c r="H18267" s="9"/>
      <c r="I18267" s="9"/>
      <c r="J18267" s="9"/>
      <c r="K18267" s="9"/>
      <c r="L18267" s="9"/>
      <c r="M18267" s="9"/>
      <c r="N18267" s="9"/>
      <c r="O18267" s="9"/>
      <c r="P18267" s="9"/>
      <c r="Q18267" s="9"/>
      <c r="R18267" s="9"/>
      <c r="S18267" s="9"/>
      <c r="T18267" s="9"/>
      <c r="U18267" s="9"/>
      <c r="V18267" s="9"/>
      <c r="W18267" s="9"/>
      <c r="X18267" s="9"/>
      <c r="Y18267" s="9"/>
      <c r="Z18267" s="9"/>
      <c r="AA18267" s="9"/>
      <c r="AB18267" s="9"/>
      <c r="AC18267" s="9"/>
      <c r="AD18267" s="9"/>
      <c r="AE18267" s="9"/>
      <c r="AF18267" s="9"/>
      <c r="AG18267" s="10"/>
    </row>
    <row r="18268" spans="1:33">
      <c r="A18268" s="9"/>
      <c r="B18268" s="9"/>
      <c r="C18268" s="9"/>
      <c r="D18268" s="9"/>
      <c r="E18268" s="9"/>
      <c r="F18268" s="9"/>
      <c r="G18268" s="9"/>
      <c r="H18268" s="9"/>
      <c r="I18268" s="9"/>
      <c r="J18268" s="9"/>
      <c r="K18268" s="9"/>
      <c r="L18268" s="9"/>
      <c r="M18268" s="9"/>
      <c r="N18268" s="9"/>
      <c r="O18268" s="9"/>
      <c r="P18268" s="9"/>
      <c r="Q18268" s="9"/>
      <c r="R18268" s="9"/>
      <c r="S18268" s="9"/>
      <c r="T18268" s="9"/>
      <c r="U18268" s="9"/>
      <c r="V18268" s="9"/>
      <c r="W18268" s="9"/>
      <c r="X18268" s="9"/>
      <c r="Y18268" s="9"/>
      <c r="Z18268" s="9"/>
      <c r="AA18268" s="9"/>
      <c r="AB18268" s="9"/>
      <c r="AC18268" s="9"/>
      <c r="AD18268" s="9"/>
      <c r="AE18268" s="9"/>
      <c r="AF18268" s="9"/>
      <c r="AG18268" s="10"/>
    </row>
    <row r="18269" spans="1:33">
      <c r="A18269" s="9"/>
      <c r="B18269" s="9"/>
      <c r="C18269" s="9"/>
      <c r="D18269" s="9"/>
      <c r="E18269" s="9"/>
      <c r="F18269" s="9"/>
      <c r="G18269" s="9"/>
      <c r="H18269" s="9"/>
      <c r="I18269" s="9"/>
      <c r="J18269" s="9"/>
      <c r="K18269" s="9"/>
      <c r="L18269" s="9"/>
      <c r="M18269" s="9"/>
      <c r="N18269" s="9"/>
      <c r="O18269" s="9"/>
      <c r="P18269" s="9"/>
      <c r="Q18269" s="9"/>
      <c r="R18269" s="9"/>
      <c r="S18269" s="9"/>
      <c r="T18269" s="9"/>
      <c r="U18269" s="9"/>
      <c r="V18269" s="9"/>
      <c r="W18269" s="9"/>
      <c r="X18269" s="9"/>
      <c r="Y18269" s="9"/>
      <c r="Z18269" s="9"/>
      <c r="AA18269" s="9"/>
      <c r="AB18269" s="9"/>
      <c r="AC18269" s="9"/>
      <c r="AD18269" s="9"/>
      <c r="AE18269" s="9"/>
      <c r="AF18269" s="9"/>
      <c r="AG18269" s="10"/>
    </row>
    <row r="18270" spans="1:33">
      <c r="A18270" s="9"/>
      <c r="B18270" s="9"/>
      <c r="C18270" s="9"/>
      <c r="D18270" s="9"/>
      <c r="E18270" s="9"/>
      <c r="F18270" s="9"/>
      <c r="G18270" s="9"/>
      <c r="H18270" s="9"/>
      <c r="I18270" s="9"/>
      <c r="J18270" s="9"/>
      <c r="K18270" s="9"/>
      <c r="L18270" s="9"/>
      <c r="M18270" s="9"/>
      <c r="N18270" s="9"/>
      <c r="O18270" s="9"/>
      <c r="P18270" s="9"/>
      <c r="Q18270" s="9"/>
      <c r="R18270" s="9"/>
      <c r="S18270" s="9"/>
      <c r="T18270" s="9"/>
      <c r="U18270" s="9"/>
      <c r="V18270" s="9"/>
      <c r="W18270" s="9"/>
      <c r="X18270" s="9"/>
      <c r="Y18270" s="9"/>
      <c r="Z18270" s="9"/>
      <c r="AA18270" s="9"/>
      <c r="AB18270" s="9"/>
      <c r="AC18270" s="9"/>
      <c r="AD18270" s="9"/>
      <c r="AE18270" s="9"/>
      <c r="AF18270" s="9"/>
      <c r="AG18270" s="10"/>
    </row>
    <row r="18271" spans="1:33">
      <c r="A18271" s="9"/>
      <c r="B18271" s="9"/>
      <c r="C18271" s="9"/>
      <c r="D18271" s="9"/>
      <c r="E18271" s="9"/>
      <c r="F18271" s="9"/>
      <c r="G18271" s="9"/>
      <c r="H18271" s="9"/>
      <c r="I18271" s="9"/>
      <c r="J18271" s="9"/>
      <c r="K18271" s="9"/>
      <c r="L18271" s="9"/>
      <c r="M18271" s="9"/>
      <c r="N18271" s="9"/>
      <c r="O18271" s="9"/>
      <c r="P18271" s="9"/>
      <c r="Q18271" s="9"/>
      <c r="R18271" s="9"/>
      <c r="S18271" s="9"/>
      <c r="T18271" s="9"/>
      <c r="U18271" s="9"/>
      <c r="V18271" s="9"/>
      <c r="W18271" s="9"/>
      <c r="X18271" s="9"/>
      <c r="Y18271" s="9"/>
      <c r="Z18271" s="9"/>
      <c r="AA18271" s="9"/>
      <c r="AB18271" s="9"/>
      <c r="AC18271" s="9"/>
      <c r="AD18271" s="9"/>
      <c r="AE18271" s="9"/>
      <c r="AF18271" s="9"/>
      <c r="AG18271" s="10"/>
    </row>
    <row r="18272" spans="1:33">
      <c r="A18272" s="9"/>
      <c r="B18272" s="9"/>
      <c r="C18272" s="9"/>
      <c r="D18272" s="9"/>
      <c r="E18272" s="9"/>
      <c r="F18272" s="9"/>
      <c r="G18272" s="9"/>
      <c r="H18272" s="9"/>
      <c r="I18272" s="9"/>
      <c r="J18272" s="9"/>
      <c r="K18272" s="9"/>
      <c r="L18272" s="9"/>
      <c r="M18272" s="9"/>
      <c r="N18272" s="9"/>
      <c r="O18272" s="9"/>
      <c r="P18272" s="9"/>
      <c r="Q18272" s="9"/>
      <c r="R18272" s="9"/>
      <c r="S18272" s="9"/>
      <c r="T18272" s="9"/>
      <c r="U18272" s="9"/>
      <c r="V18272" s="9"/>
      <c r="W18272" s="9"/>
      <c r="X18272" s="9"/>
      <c r="Y18272" s="9"/>
      <c r="Z18272" s="9"/>
      <c r="AA18272" s="9"/>
      <c r="AB18272" s="9"/>
      <c r="AC18272" s="9"/>
      <c r="AD18272" s="9"/>
      <c r="AE18272" s="9"/>
      <c r="AF18272" s="9"/>
      <c r="AG18272" s="10"/>
    </row>
    <row r="18273" spans="1:33">
      <c r="A18273" s="9"/>
      <c r="B18273" s="9"/>
      <c r="C18273" s="9"/>
      <c r="D18273" s="9"/>
      <c r="E18273" s="9"/>
      <c r="F18273" s="9"/>
      <c r="G18273" s="9"/>
      <c r="H18273" s="9"/>
      <c r="I18273" s="9"/>
      <c r="J18273" s="9"/>
      <c r="K18273" s="9"/>
      <c r="L18273" s="9"/>
      <c r="M18273" s="9"/>
      <c r="N18273" s="9"/>
      <c r="O18273" s="9"/>
      <c r="P18273" s="9"/>
      <c r="Q18273" s="9"/>
      <c r="R18273" s="9"/>
      <c r="S18273" s="9"/>
      <c r="T18273" s="9"/>
      <c r="U18273" s="9"/>
      <c r="V18273" s="9"/>
      <c r="W18273" s="9"/>
      <c r="X18273" s="9"/>
      <c r="Y18273" s="9"/>
      <c r="Z18273" s="9"/>
      <c r="AA18273" s="9"/>
      <c r="AB18273" s="9"/>
      <c r="AC18273" s="9"/>
      <c r="AD18273" s="9"/>
      <c r="AE18273" s="9"/>
      <c r="AF18273" s="9"/>
      <c r="AG18273" s="10"/>
    </row>
    <row r="18274" spans="1:33">
      <c r="A18274" s="9"/>
      <c r="B18274" s="9"/>
      <c r="C18274" s="9"/>
      <c r="D18274" s="9"/>
      <c r="E18274" s="9"/>
      <c r="F18274" s="9"/>
      <c r="G18274" s="9"/>
      <c r="H18274" s="9"/>
      <c r="I18274" s="9"/>
      <c r="J18274" s="9"/>
      <c r="K18274" s="9"/>
      <c r="L18274" s="9"/>
      <c r="M18274" s="9"/>
      <c r="N18274" s="9"/>
      <c r="O18274" s="9"/>
      <c r="P18274" s="9"/>
      <c r="Q18274" s="9"/>
      <c r="R18274" s="9"/>
      <c r="S18274" s="9"/>
      <c r="T18274" s="9"/>
      <c r="U18274" s="9"/>
      <c r="V18274" s="9"/>
      <c r="W18274" s="9"/>
      <c r="X18274" s="9"/>
      <c r="Y18274" s="9"/>
      <c r="Z18274" s="9"/>
      <c r="AA18274" s="9"/>
      <c r="AB18274" s="9"/>
      <c r="AC18274" s="9"/>
      <c r="AD18274" s="9"/>
      <c r="AE18274" s="9"/>
      <c r="AF18274" s="9"/>
      <c r="AG18274" s="10"/>
    </row>
    <row r="18275" spans="1:33">
      <c r="A18275" s="9"/>
      <c r="B18275" s="9"/>
      <c r="C18275" s="9"/>
      <c r="D18275" s="9"/>
      <c r="E18275" s="9"/>
      <c r="F18275" s="9"/>
      <c r="G18275" s="9"/>
      <c r="H18275" s="9"/>
      <c r="I18275" s="9"/>
      <c r="J18275" s="9"/>
      <c r="K18275" s="9"/>
      <c r="L18275" s="9"/>
      <c r="M18275" s="9"/>
      <c r="N18275" s="9"/>
      <c r="O18275" s="9"/>
      <c r="P18275" s="9"/>
      <c r="Q18275" s="9"/>
      <c r="R18275" s="9"/>
      <c r="S18275" s="9"/>
      <c r="T18275" s="9"/>
      <c r="U18275" s="9"/>
      <c r="V18275" s="9"/>
      <c r="W18275" s="9"/>
      <c r="X18275" s="9"/>
      <c r="Y18275" s="9"/>
      <c r="Z18275" s="9"/>
      <c r="AA18275" s="9"/>
      <c r="AB18275" s="9"/>
      <c r="AC18275" s="9"/>
      <c r="AD18275" s="9"/>
      <c r="AE18275" s="9"/>
      <c r="AF18275" s="9"/>
      <c r="AG18275" s="10"/>
    </row>
    <row r="18276" spans="1:33">
      <c r="A18276" s="9"/>
      <c r="B18276" s="9"/>
      <c r="C18276" s="9"/>
      <c r="D18276" s="9"/>
      <c r="E18276" s="9"/>
      <c r="F18276" s="9"/>
      <c r="G18276" s="9"/>
      <c r="H18276" s="9"/>
      <c r="I18276" s="9"/>
      <c r="J18276" s="9"/>
      <c r="K18276" s="9"/>
      <c r="L18276" s="9"/>
      <c r="M18276" s="9"/>
      <c r="N18276" s="9"/>
      <c r="O18276" s="9"/>
      <c r="P18276" s="9"/>
      <c r="Q18276" s="9"/>
      <c r="R18276" s="9"/>
      <c r="S18276" s="9"/>
      <c r="T18276" s="9"/>
      <c r="U18276" s="9"/>
      <c r="V18276" s="9"/>
      <c r="W18276" s="9"/>
      <c r="X18276" s="9"/>
      <c r="Y18276" s="9"/>
      <c r="Z18276" s="9"/>
      <c r="AA18276" s="9"/>
      <c r="AB18276" s="9"/>
      <c r="AC18276" s="9"/>
      <c r="AD18276" s="9"/>
      <c r="AE18276" s="9"/>
      <c r="AF18276" s="9"/>
      <c r="AG18276" s="10"/>
    </row>
    <row r="18277" spans="1:33">
      <c r="A18277" s="9"/>
      <c r="B18277" s="9"/>
      <c r="C18277" s="9"/>
      <c r="D18277" s="9"/>
      <c r="E18277" s="9"/>
      <c r="F18277" s="9"/>
      <c r="G18277" s="9"/>
      <c r="H18277" s="9"/>
      <c r="I18277" s="9"/>
      <c r="J18277" s="9"/>
      <c r="K18277" s="9"/>
      <c r="L18277" s="9"/>
      <c r="M18277" s="9"/>
      <c r="N18277" s="9"/>
      <c r="O18277" s="9"/>
      <c r="P18277" s="9"/>
      <c r="Q18277" s="9"/>
      <c r="R18277" s="9"/>
      <c r="S18277" s="9"/>
      <c r="T18277" s="9"/>
      <c r="U18277" s="9"/>
      <c r="V18277" s="9"/>
      <c r="W18277" s="9"/>
      <c r="X18277" s="9"/>
      <c r="Y18277" s="9"/>
      <c r="Z18277" s="9"/>
      <c r="AA18277" s="9"/>
      <c r="AB18277" s="9"/>
      <c r="AC18277" s="9"/>
      <c r="AD18277" s="9"/>
      <c r="AE18277" s="9"/>
      <c r="AF18277" s="9"/>
      <c r="AG18277" s="10"/>
    </row>
    <row r="18278" spans="1:33">
      <c r="A18278" s="9"/>
      <c r="B18278" s="9"/>
      <c r="C18278" s="9"/>
      <c r="D18278" s="9"/>
      <c r="E18278" s="9"/>
      <c r="F18278" s="9"/>
      <c r="G18278" s="9"/>
      <c r="H18278" s="9"/>
      <c r="I18278" s="9"/>
      <c r="J18278" s="9"/>
      <c r="K18278" s="9"/>
      <c r="L18278" s="9"/>
      <c r="M18278" s="9"/>
      <c r="N18278" s="9"/>
      <c r="O18278" s="9"/>
      <c r="P18278" s="9"/>
      <c r="Q18278" s="9"/>
      <c r="R18278" s="9"/>
      <c r="S18278" s="9"/>
      <c r="T18278" s="9"/>
      <c r="U18278" s="9"/>
      <c r="V18278" s="9"/>
      <c r="W18278" s="9"/>
      <c r="X18278" s="9"/>
      <c r="Y18278" s="9"/>
      <c r="Z18278" s="9"/>
      <c r="AA18278" s="9"/>
      <c r="AB18278" s="9"/>
      <c r="AC18278" s="9"/>
      <c r="AD18278" s="9"/>
      <c r="AE18278" s="9"/>
      <c r="AF18278" s="9"/>
      <c r="AG18278" s="10"/>
    </row>
    <row r="18279" spans="1:33">
      <c r="A18279" s="9"/>
      <c r="B18279" s="9"/>
      <c r="C18279" s="9"/>
      <c r="D18279" s="9"/>
      <c r="E18279" s="9"/>
      <c r="F18279" s="9"/>
      <c r="G18279" s="9"/>
      <c r="H18279" s="9"/>
      <c r="I18279" s="9"/>
      <c r="J18279" s="9"/>
      <c r="K18279" s="9"/>
      <c r="L18279" s="9"/>
      <c r="M18279" s="9"/>
      <c r="N18279" s="9"/>
      <c r="O18279" s="9"/>
      <c r="P18279" s="9"/>
      <c r="Q18279" s="9"/>
      <c r="R18279" s="9"/>
      <c r="S18279" s="9"/>
      <c r="T18279" s="9"/>
      <c r="U18279" s="9"/>
      <c r="V18279" s="9"/>
      <c r="W18279" s="9"/>
      <c r="X18279" s="9"/>
      <c r="Y18279" s="9"/>
      <c r="Z18279" s="9"/>
      <c r="AA18279" s="9"/>
      <c r="AB18279" s="9"/>
      <c r="AC18279" s="9"/>
      <c r="AD18279" s="9"/>
      <c r="AE18279" s="9"/>
      <c r="AF18279" s="9"/>
      <c r="AG18279" s="10"/>
    </row>
    <row r="18280" spans="1:33">
      <c r="A18280" s="9"/>
      <c r="B18280" s="9"/>
      <c r="C18280" s="9"/>
      <c r="D18280" s="9"/>
      <c r="E18280" s="9"/>
      <c r="F18280" s="9"/>
      <c r="G18280" s="9"/>
      <c r="H18280" s="9"/>
      <c r="I18280" s="9"/>
      <c r="J18280" s="9"/>
      <c r="K18280" s="9"/>
      <c r="L18280" s="9"/>
      <c r="M18280" s="9"/>
      <c r="N18280" s="9"/>
      <c r="O18280" s="9"/>
      <c r="P18280" s="9"/>
      <c r="Q18280" s="9"/>
      <c r="R18280" s="9"/>
      <c r="S18280" s="9"/>
      <c r="T18280" s="9"/>
      <c r="U18280" s="9"/>
      <c r="V18280" s="9"/>
      <c r="W18280" s="9"/>
      <c r="X18280" s="9"/>
      <c r="Y18280" s="9"/>
      <c r="Z18280" s="9"/>
      <c r="AA18280" s="9"/>
      <c r="AB18280" s="9"/>
      <c r="AC18280" s="9"/>
      <c r="AD18280" s="9"/>
      <c r="AE18280" s="9"/>
      <c r="AF18280" s="9"/>
      <c r="AG18280" s="10"/>
    </row>
    <row r="18281" spans="1:33">
      <c r="A18281" s="9"/>
      <c r="B18281" s="9"/>
      <c r="C18281" s="9"/>
      <c r="D18281" s="9"/>
      <c r="E18281" s="9"/>
      <c r="F18281" s="9"/>
      <c r="G18281" s="9"/>
      <c r="H18281" s="9"/>
      <c r="I18281" s="9"/>
      <c r="J18281" s="9"/>
      <c r="K18281" s="9"/>
      <c r="L18281" s="9"/>
      <c r="M18281" s="9"/>
      <c r="N18281" s="9"/>
      <c r="O18281" s="9"/>
      <c r="P18281" s="9"/>
      <c r="Q18281" s="9"/>
      <c r="R18281" s="9"/>
      <c r="S18281" s="9"/>
      <c r="T18281" s="9"/>
      <c r="U18281" s="9"/>
      <c r="V18281" s="9"/>
      <c r="W18281" s="9"/>
      <c r="X18281" s="9"/>
      <c r="Y18281" s="9"/>
      <c r="Z18281" s="9"/>
      <c r="AA18281" s="9"/>
      <c r="AB18281" s="9"/>
      <c r="AC18281" s="9"/>
      <c r="AD18281" s="9"/>
      <c r="AE18281" s="9"/>
      <c r="AF18281" s="9"/>
      <c r="AG18281" s="10"/>
    </row>
    <row r="18282" spans="1:33">
      <c r="A18282" s="9"/>
      <c r="B18282" s="9"/>
      <c r="C18282" s="9"/>
      <c r="D18282" s="9"/>
      <c r="E18282" s="9"/>
      <c r="F18282" s="9"/>
      <c r="G18282" s="9"/>
      <c r="H18282" s="9"/>
      <c r="I18282" s="9"/>
      <c r="J18282" s="9"/>
      <c r="K18282" s="9"/>
      <c r="L18282" s="9"/>
      <c r="M18282" s="9"/>
      <c r="N18282" s="9"/>
      <c r="O18282" s="9"/>
      <c r="P18282" s="9"/>
      <c r="Q18282" s="9"/>
      <c r="R18282" s="9"/>
      <c r="S18282" s="9"/>
      <c r="T18282" s="9"/>
      <c r="U18282" s="9"/>
      <c r="V18282" s="9"/>
      <c r="W18282" s="9"/>
      <c r="X18282" s="9"/>
      <c r="Y18282" s="9"/>
      <c r="Z18282" s="9"/>
      <c r="AA18282" s="9"/>
      <c r="AB18282" s="9"/>
      <c r="AC18282" s="9"/>
      <c r="AD18282" s="9"/>
      <c r="AE18282" s="9"/>
      <c r="AF18282" s="9"/>
      <c r="AG18282" s="10"/>
    </row>
    <row r="18283" spans="1:33">
      <c r="A18283" s="9"/>
      <c r="B18283" s="9"/>
      <c r="C18283" s="9"/>
      <c r="D18283" s="9"/>
      <c r="E18283" s="9"/>
      <c r="F18283" s="9"/>
      <c r="G18283" s="9"/>
      <c r="H18283" s="9"/>
      <c r="I18283" s="9"/>
      <c r="J18283" s="9"/>
      <c r="K18283" s="9"/>
      <c r="L18283" s="9"/>
      <c r="M18283" s="9"/>
      <c r="N18283" s="9"/>
      <c r="O18283" s="9"/>
      <c r="P18283" s="9"/>
      <c r="Q18283" s="9"/>
      <c r="R18283" s="9"/>
      <c r="S18283" s="9"/>
      <c r="T18283" s="9"/>
      <c r="U18283" s="9"/>
      <c r="V18283" s="9"/>
      <c r="W18283" s="9"/>
      <c r="X18283" s="9"/>
      <c r="Y18283" s="9"/>
      <c r="Z18283" s="9"/>
      <c r="AA18283" s="9"/>
      <c r="AB18283" s="9"/>
      <c r="AC18283" s="9"/>
      <c r="AD18283" s="9"/>
      <c r="AE18283" s="9"/>
      <c r="AF18283" s="9"/>
      <c r="AG18283" s="10"/>
    </row>
    <row r="18284" spans="1:33">
      <c r="A18284" s="9"/>
      <c r="B18284" s="9"/>
      <c r="C18284" s="9"/>
      <c r="D18284" s="9"/>
      <c r="E18284" s="9"/>
      <c r="F18284" s="9"/>
      <c r="G18284" s="9"/>
      <c r="H18284" s="9"/>
      <c r="I18284" s="9"/>
      <c r="J18284" s="9"/>
      <c r="K18284" s="9"/>
      <c r="L18284" s="9"/>
      <c r="M18284" s="9"/>
      <c r="N18284" s="9"/>
      <c r="O18284" s="9"/>
      <c r="P18284" s="9"/>
      <c r="Q18284" s="9"/>
      <c r="R18284" s="9"/>
      <c r="S18284" s="9"/>
      <c r="T18284" s="9"/>
      <c r="U18284" s="9"/>
      <c r="V18284" s="9"/>
      <c r="W18284" s="9"/>
      <c r="X18284" s="9"/>
      <c r="Y18284" s="9"/>
      <c r="Z18284" s="9"/>
      <c r="AA18284" s="9"/>
      <c r="AB18284" s="9"/>
      <c r="AC18284" s="9"/>
      <c r="AD18284" s="9"/>
      <c r="AE18284" s="9"/>
      <c r="AF18284" s="9"/>
      <c r="AG18284" s="10"/>
    </row>
    <row r="18285" spans="1:33">
      <c r="A18285" s="9"/>
      <c r="B18285" s="9"/>
      <c r="C18285" s="9"/>
      <c r="D18285" s="9"/>
      <c r="E18285" s="9"/>
      <c r="F18285" s="9"/>
      <c r="G18285" s="9"/>
      <c r="H18285" s="9"/>
      <c r="I18285" s="9"/>
      <c r="J18285" s="9"/>
      <c r="K18285" s="9"/>
      <c r="L18285" s="9"/>
      <c r="M18285" s="9"/>
      <c r="N18285" s="9"/>
      <c r="O18285" s="9"/>
      <c r="P18285" s="9"/>
      <c r="Q18285" s="9"/>
      <c r="R18285" s="9"/>
      <c r="S18285" s="9"/>
      <c r="T18285" s="9"/>
      <c r="U18285" s="9"/>
      <c r="V18285" s="9"/>
      <c r="W18285" s="9"/>
      <c r="X18285" s="9"/>
      <c r="Y18285" s="9"/>
      <c r="Z18285" s="9"/>
      <c r="AA18285" s="9"/>
      <c r="AB18285" s="9"/>
      <c r="AC18285" s="9"/>
      <c r="AD18285" s="9"/>
      <c r="AE18285" s="9"/>
      <c r="AF18285" s="9"/>
      <c r="AG18285" s="10"/>
    </row>
    <row r="18286" spans="1:33">
      <c r="A18286" s="9"/>
      <c r="B18286" s="9"/>
      <c r="C18286" s="9"/>
      <c r="D18286" s="9"/>
      <c r="E18286" s="9"/>
      <c r="F18286" s="9"/>
      <c r="G18286" s="9"/>
      <c r="H18286" s="9"/>
      <c r="I18286" s="9"/>
      <c r="J18286" s="9"/>
      <c r="K18286" s="9"/>
      <c r="L18286" s="9"/>
      <c r="M18286" s="9"/>
      <c r="N18286" s="9"/>
      <c r="O18286" s="9"/>
      <c r="P18286" s="9"/>
      <c r="Q18286" s="9"/>
      <c r="R18286" s="9"/>
      <c r="S18286" s="9"/>
      <c r="T18286" s="9"/>
      <c r="U18286" s="9"/>
      <c r="V18286" s="9"/>
      <c r="W18286" s="9"/>
      <c r="X18286" s="9"/>
      <c r="Y18286" s="9"/>
      <c r="Z18286" s="9"/>
      <c r="AA18286" s="9"/>
      <c r="AB18286" s="9"/>
      <c r="AC18286" s="9"/>
      <c r="AD18286" s="9"/>
      <c r="AE18286" s="9"/>
      <c r="AF18286" s="9"/>
      <c r="AG18286" s="10"/>
    </row>
    <row r="18287" spans="1:33">
      <c r="A18287" s="9"/>
      <c r="B18287" s="9"/>
      <c r="C18287" s="9"/>
      <c r="D18287" s="9"/>
      <c r="E18287" s="9"/>
      <c r="F18287" s="9"/>
      <c r="G18287" s="9"/>
      <c r="H18287" s="9"/>
      <c r="I18287" s="9"/>
      <c r="J18287" s="9"/>
      <c r="K18287" s="9"/>
      <c r="L18287" s="9"/>
      <c r="M18287" s="9"/>
      <c r="N18287" s="9"/>
      <c r="O18287" s="9"/>
      <c r="P18287" s="9"/>
      <c r="Q18287" s="9"/>
      <c r="R18287" s="9"/>
      <c r="S18287" s="9"/>
      <c r="T18287" s="9"/>
      <c r="U18287" s="9"/>
      <c r="V18287" s="9"/>
      <c r="W18287" s="9"/>
      <c r="X18287" s="9"/>
      <c r="Y18287" s="9"/>
      <c r="Z18287" s="9"/>
      <c r="AA18287" s="9"/>
      <c r="AB18287" s="9"/>
      <c r="AC18287" s="9"/>
      <c r="AD18287" s="9"/>
      <c r="AE18287" s="9"/>
      <c r="AF18287" s="9"/>
      <c r="AG18287" s="10"/>
    </row>
    <row r="18288" spans="1:33">
      <c r="A18288" s="9"/>
      <c r="B18288" s="9"/>
      <c r="C18288" s="9"/>
      <c r="D18288" s="9"/>
      <c r="E18288" s="9"/>
      <c r="F18288" s="9"/>
      <c r="G18288" s="9"/>
      <c r="H18288" s="9"/>
      <c r="I18288" s="9"/>
      <c r="J18288" s="9"/>
      <c r="K18288" s="9"/>
      <c r="L18288" s="9"/>
      <c r="M18288" s="9"/>
      <c r="N18288" s="9"/>
      <c r="O18288" s="9"/>
      <c r="P18288" s="9"/>
      <c r="Q18288" s="9"/>
      <c r="R18288" s="9"/>
      <c r="S18288" s="9"/>
      <c r="T18288" s="9"/>
      <c r="U18288" s="9"/>
      <c r="V18288" s="9"/>
      <c r="W18288" s="9"/>
      <c r="X18288" s="9"/>
      <c r="Y18288" s="9"/>
      <c r="Z18288" s="9"/>
      <c r="AA18288" s="9"/>
      <c r="AB18288" s="9"/>
      <c r="AC18288" s="9"/>
      <c r="AD18288" s="9"/>
      <c r="AE18288" s="9"/>
      <c r="AF18288" s="9"/>
      <c r="AG18288" s="10"/>
    </row>
    <row r="18289" spans="1:33">
      <c r="A18289" s="9"/>
      <c r="B18289" s="9"/>
      <c r="C18289" s="9"/>
      <c r="D18289" s="9"/>
      <c r="E18289" s="9"/>
      <c r="F18289" s="9"/>
      <c r="G18289" s="9"/>
      <c r="H18289" s="9"/>
      <c r="I18289" s="9"/>
      <c r="J18289" s="9"/>
      <c r="K18289" s="9"/>
      <c r="L18289" s="9"/>
      <c r="M18289" s="9"/>
      <c r="N18289" s="9"/>
      <c r="O18289" s="9"/>
      <c r="P18289" s="9"/>
      <c r="Q18289" s="9"/>
      <c r="R18289" s="9"/>
      <c r="S18289" s="9"/>
      <c r="T18289" s="9"/>
      <c r="U18289" s="9"/>
      <c r="V18289" s="9"/>
      <c r="W18289" s="9"/>
      <c r="X18289" s="9"/>
      <c r="Y18289" s="9"/>
      <c r="Z18289" s="9"/>
      <c r="AA18289" s="9"/>
      <c r="AB18289" s="9"/>
      <c r="AC18289" s="9"/>
      <c r="AD18289" s="9"/>
      <c r="AE18289" s="9"/>
      <c r="AF18289" s="9"/>
      <c r="AG18289" s="10"/>
    </row>
    <row r="18290" spans="1:33">
      <c r="A18290" s="9"/>
      <c r="B18290" s="9"/>
      <c r="C18290" s="9"/>
      <c r="D18290" s="9"/>
      <c r="E18290" s="9"/>
      <c r="F18290" s="9"/>
      <c r="G18290" s="9"/>
      <c r="H18290" s="9"/>
      <c r="I18290" s="9"/>
      <c r="J18290" s="9"/>
      <c r="K18290" s="9"/>
      <c r="L18290" s="9"/>
      <c r="M18290" s="9"/>
      <c r="N18290" s="9"/>
      <c r="O18290" s="9"/>
      <c r="P18290" s="9"/>
      <c r="Q18290" s="9"/>
      <c r="R18290" s="9"/>
      <c r="S18290" s="9"/>
      <c r="T18290" s="9"/>
      <c r="U18290" s="9"/>
      <c r="V18290" s="9"/>
      <c r="W18290" s="9"/>
      <c r="X18290" s="9"/>
      <c r="Y18290" s="9"/>
      <c r="Z18290" s="9"/>
      <c r="AA18290" s="9"/>
      <c r="AB18290" s="9"/>
      <c r="AC18290" s="9"/>
      <c r="AD18290" s="9"/>
      <c r="AE18290" s="9"/>
      <c r="AF18290" s="9"/>
      <c r="AG18290" s="10"/>
    </row>
    <row r="18291" spans="1:33">
      <c r="A18291" s="9"/>
      <c r="B18291" s="9"/>
      <c r="C18291" s="9"/>
      <c r="D18291" s="9"/>
      <c r="E18291" s="9"/>
      <c r="F18291" s="9"/>
      <c r="G18291" s="9"/>
      <c r="H18291" s="9"/>
      <c r="I18291" s="9"/>
      <c r="J18291" s="9"/>
      <c r="K18291" s="9"/>
      <c r="L18291" s="9"/>
      <c r="M18291" s="9"/>
      <c r="N18291" s="9"/>
      <c r="O18291" s="9"/>
      <c r="P18291" s="9"/>
      <c r="Q18291" s="9"/>
      <c r="R18291" s="9"/>
      <c r="S18291" s="9"/>
      <c r="T18291" s="9"/>
      <c r="U18291" s="9"/>
      <c r="V18291" s="9"/>
      <c r="W18291" s="9"/>
      <c r="X18291" s="9"/>
      <c r="Y18291" s="9"/>
      <c r="Z18291" s="9"/>
      <c r="AA18291" s="9"/>
      <c r="AB18291" s="9"/>
      <c r="AC18291" s="9"/>
      <c r="AD18291" s="9"/>
      <c r="AE18291" s="9"/>
      <c r="AF18291" s="9"/>
      <c r="AG18291" s="10"/>
    </row>
    <row r="18292" spans="1:33">
      <c r="A18292" s="9"/>
      <c r="B18292" s="9"/>
      <c r="C18292" s="9"/>
      <c r="D18292" s="9"/>
      <c r="E18292" s="9"/>
      <c r="F18292" s="9"/>
      <c r="G18292" s="9"/>
      <c r="H18292" s="9"/>
      <c r="I18292" s="9"/>
      <c r="J18292" s="9"/>
      <c r="K18292" s="9"/>
      <c r="L18292" s="9"/>
      <c r="M18292" s="9"/>
      <c r="N18292" s="9"/>
      <c r="O18292" s="9"/>
      <c r="P18292" s="9"/>
      <c r="Q18292" s="9"/>
      <c r="R18292" s="9"/>
      <c r="S18292" s="9"/>
      <c r="T18292" s="9"/>
      <c r="U18292" s="9"/>
      <c r="V18292" s="9"/>
      <c r="W18292" s="9"/>
      <c r="X18292" s="9"/>
      <c r="Y18292" s="9"/>
      <c r="Z18292" s="9"/>
      <c r="AA18292" s="9"/>
      <c r="AB18292" s="9"/>
      <c r="AC18292" s="9"/>
      <c r="AD18292" s="9"/>
      <c r="AE18292" s="9"/>
      <c r="AF18292" s="9"/>
      <c r="AG18292" s="10"/>
    </row>
    <row r="18293" spans="1:33">
      <c r="A18293" s="9"/>
      <c r="B18293" s="9"/>
      <c r="C18293" s="9"/>
      <c r="D18293" s="9"/>
      <c r="E18293" s="9"/>
      <c r="F18293" s="9"/>
      <c r="G18293" s="9"/>
      <c r="H18293" s="9"/>
      <c r="I18293" s="9"/>
      <c r="J18293" s="9"/>
      <c r="K18293" s="9"/>
      <c r="L18293" s="9"/>
      <c r="M18293" s="9"/>
      <c r="N18293" s="9"/>
      <c r="O18293" s="9"/>
      <c r="P18293" s="9"/>
      <c r="Q18293" s="9"/>
      <c r="R18293" s="9"/>
      <c r="S18293" s="9"/>
      <c r="T18293" s="9"/>
      <c r="U18293" s="9"/>
      <c r="V18293" s="9"/>
      <c r="W18293" s="9"/>
      <c r="X18293" s="9"/>
      <c r="Y18293" s="9"/>
      <c r="Z18293" s="9"/>
      <c r="AA18293" s="9"/>
      <c r="AB18293" s="9"/>
      <c r="AC18293" s="9"/>
      <c r="AD18293" s="9"/>
      <c r="AE18293" s="9"/>
      <c r="AF18293" s="9"/>
      <c r="AG18293" s="10"/>
    </row>
    <row r="18294" spans="1:33">
      <c r="A18294" s="9"/>
      <c r="B18294" s="9"/>
      <c r="C18294" s="9"/>
      <c r="D18294" s="9"/>
      <c r="E18294" s="9"/>
      <c r="F18294" s="9"/>
      <c r="G18294" s="9"/>
      <c r="H18294" s="9"/>
      <c r="I18294" s="9"/>
      <c r="J18294" s="9"/>
      <c r="K18294" s="9"/>
      <c r="L18294" s="9"/>
      <c r="M18294" s="9"/>
      <c r="N18294" s="9"/>
      <c r="O18294" s="9"/>
      <c r="P18294" s="9"/>
      <c r="Q18294" s="9"/>
      <c r="R18294" s="9"/>
      <c r="S18294" s="9"/>
      <c r="T18294" s="9"/>
      <c r="U18294" s="9"/>
      <c r="V18294" s="9"/>
      <c r="W18294" s="9"/>
      <c r="X18294" s="9"/>
      <c r="Y18294" s="9"/>
      <c r="Z18294" s="9"/>
      <c r="AA18294" s="9"/>
      <c r="AB18294" s="9"/>
      <c r="AC18294" s="9"/>
      <c r="AD18294" s="9"/>
      <c r="AE18294" s="9"/>
      <c r="AF18294" s="9"/>
      <c r="AG18294" s="10"/>
    </row>
    <row r="18295" spans="1:33">
      <c r="A18295" s="9"/>
      <c r="B18295" s="9"/>
      <c r="C18295" s="9"/>
      <c r="D18295" s="9"/>
      <c r="E18295" s="9"/>
      <c r="F18295" s="9"/>
      <c r="G18295" s="9"/>
      <c r="H18295" s="9"/>
      <c r="I18295" s="9"/>
      <c r="J18295" s="9"/>
      <c r="K18295" s="9"/>
      <c r="L18295" s="9"/>
      <c r="M18295" s="9"/>
      <c r="N18295" s="9"/>
      <c r="O18295" s="9"/>
      <c r="P18295" s="9"/>
      <c r="Q18295" s="9"/>
      <c r="R18295" s="9"/>
      <c r="S18295" s="9"/>
      <c r="T18295" s="9"/>
      <c r="U18295" s="9"/>
      <c r="V18295" s="9"/>
      <c r="W18295" s="9"/>
      <c r="X18295" s="9"/>
      <c r="Y18295" s="9"/>
      <c r="Z18295" s="9"/>
      <c r="AA18295" s="9"/>
      <c r="AB18295" s="9"/>
      <c r="AC18295" s="9"/>
      <c r="AD18295" s="9"/>
      <c r="AE18295" s="9"/>
      <c r="AF18295" s="9"/>
      <c r="AG18295" s="10"/>
    </row>
    <row r="18296" spans="1:33">
      <c r="A18296" s="9"/>
      <c r="B18296" s="9"/>
      <c r="C18296" s="9"/>
      <c r="D18296" s="9"/>
      <c r="E18296" s="9"/>
      <c r="F18296" s="9"/>
      <c r="G18296" s="9"/>
      <c r="H18296" s="9"/>
      <c r="I18296" s="9"/>
      <c r="J18296" s="9"/>
      <c r="K18296" s="9"/>
      <c r="L18296" s="9"/>
      <c r="M18296" s="9"/>
      <c r="N18296" s="9"/>
      <c r="O18296" s="9"/>
      <c r="P18296" s="9"/>
      <c r="Q18296" s="9"/>
      <c r="R18296" s="9"/>
      <c r="S18296" s="9"/>
      <c r="T18296" s="9"/>
      <c r="U18296" s="9"/>
      <c r="V18296" s="9"/>
      <c r="W18296" s="9"/>
      <c r="X18296" s="9"/>
      <c r="Y18296" s="9"/>
      <c r="Z18296" s="9"/>
      <c r="AA18296" s="9"/>
      <c r="AB18296" s="9"/>
      <c r="AC18296" s="9"/>
      <c r="AD18296" s="9"/>
      <c r="AE18296" s="9"/>
      <c r="AF18296" s="9"/>
      <c r="AG18296" s="10"/>
    </row>
    <row r="18297" spans="1:33">
      <c r="A18297" s="9"/>
      <c r="B18297" s="9"/>
      <c r="C18297" s="9"/>
      <c r="D18297" s="9"/>
      <c r="E18297" s="9"/>
      <c r="F18297" s="9"/>
      <c r="G18297" s="9"/>
      <c r="H18297" s="9"/>
      <c r="I18297" s="9"/>
      <c r="J18297" s="9"/>
      <c r="K18297" s="9"/>
      <c r="L18297" s="9"/>
      <c r="M18297" s="9"/>
      <c r="N18297" s="9"/>
      <c r="O18297" s="9"/>
      <c r="P18297" s="9"/>
      <c r="Q18297" s="9"/>
      <c r="R18297" s="9"/>
      <c r="S18297" s="9"/>
      <c r="T18297" s="9"/>
      <c r="U18297" s="9"/>
      <c r="V18297" s="9"/>
      <c r="W18297" s="9"/>
      <c r="X18297" s="9"/>
      <c r="Y18297" s="9"/>
      <c r="Z18297" s="9"/>
      <c r="AA18297" s="9"/>
      <c r="AB18297" s="9"/>
      <c r="AC18297" s="9"/>
      <c r="AD18297" s="9"/>
      <c r="AE18297" s="9"/>
      <c r="AF18297" s="9"/>
      <c r="AG18297" s="10"/>
    </row>
    <row r="18298" spans="1:33">
      <c r="A18298" s="9"/>
      <c r="B18298" s="9"/>
      <c r="C18298" s="9"/>
      <c r="D18298" s="9"/>
      <c r="E18298" s="9"/>
      <c r="F18298" s="9"/>
      <c r="G18298" s="9"/>
      <c r="H18298" s="9"/>
      <c r="I18298" s="9"/>
      <c r="J18298" s="9"/>
      <c r="K18298" s="9"/>
      <c r="L18298" s="9"/>
      <c r="M18298" s="9"/>
      <c r="N18298" s="9"/>
      <c r="O18298" s="9"/>
      <c r="P18298" s="9"/>
      <c r="Q18298" s="9"/>
      <c r="R18298" s="9"/>
      <c r="S18298" s="9"/>
      <c r="T18298" s="9"/>
      <c r="U18298" s="9"/>
      <c r="V18298" s="9"/>
      <c r="W18298" s="9"/>
      <c r="X18298" s="9"/>
      <c r="Y18298" s="9"/>
      <c r="Z18298" s="9"/>
      <c r="AA18298" s="9"/>
      <c r="AB18298" s="9"/>
      <c r="AC18298" s="9"/>
      <c r="AD18298" s="9"/>
      <c r="AE18298" s="9"/>
      <c r="AF18298" s="9"/>
      <c r="AG18298" s="10"/>
    </row>
    <row r="18299" spans="1:33">
      <c r="A18299" s="9"/>
      <c r="B18299" s="9"/>
      <c r="C18299" s="9"/>
      <c r="D18299" s="9"/>
      <c r="E18299" s="9"/>
      <c r="F18299" s="9"/>
      <c r="G18299" s="9"/>
      <c r="H18299" s="9"/>
      <c r="I18299" s="9"/>
      <c r="J18299" s="9"/>
      <c r="K18299" s="9"/>
      <c r="L18299" s="9"/>
      <c r="M18299" s="9"/>
      <c r="N18299" s="9"/>
      <c r="O18299" s="9"/>
      <c r="P18299" s="9"/>
      <c r="Q18299" s="9"/>
      <c r="R18299" s="9"/>
      <c r="S18299" s="9"/>
      <c r="T18299" s="9"/>
      <c r="U18299" s="9"/>
      <c r="V18299" s="9"/>
      <c r="W18299" s="9"/>
      <c r="X18299" s="9"/>
      <c r="Y18299" s="9"/>
      <c r="Z18299" s="9"/>
      <c r="AA18299" s="9"/>
      <c r="AB18299" s="9"/>
      <c r="AC18299" s="9"/>
      <c r="AD18299" s="9"/>
      <c r="AE18299" s="9"/>
      <c r="AF18299" s="9"/>
      <c r="AG18299" s="10"/>
    </row>
    <row r="18300" spans="1:33">
      <c r="A18300" s="9"/>
      <c r="B18300" s="9"/>
      <c r="C18300" s="9"/>
      <c r="D18300" s="9"/>
      <c r="E18300" s="9"/>
      <c r="F18300" s="9"/>
      <c r="G18300" s="9"/>
      <c r="H18300" s="9"/>
      <c r="I18300" s="9"/>
      <c r="J18300" s="9"/>
      <c r="K18300" s="9"/>
      <c r="L18300" s="9"/>
      <c r="M18300" s="9"/>
      <c r="N18300" s="9"/>
      <c r="O18300" s="9"/>
      <c r="P18300" s="9"/>
      <c r="Q18300" s="9"/>
      <c r="R18300" s="9"/>
      <c r="S18300" s="9"/>
      <c r="T18300" s="9"/>
      <c r="U18300" s="9"/>
      <c r="V18300" s="9"/>
      <c r="W18300" s="9"/>
      <c r="X18300" s="9"/>
      <c r="Y18300" s="9"/>
      <c r="Z18300" s="9"/>
      <c r="AA18300" s="9"/>
      <c r="AB18300" s="9"/>
      <c r="AC18300" s="9"/>
      <c r="AD18300" s="9"/>
      <c r="AE18300" s="9"/>
      <c r="AF18300" s="9"/>
      <c r="AG18300" s="10"/>
    </row>
    <row r="18301" spans="1:33">
      <c r="A18301" s="9"/>
      <c r="B18301" s="9"/>
      <c r="C18301" s="9"/>
      <c r="D18301" s="9"/>
      <c r="E18301" s="9"/>
      <c r="F18301" s="9"/>
      <c r="G18301" s="9"/>
      <c r="H18301" s="9"/>
      <c r="I18301" s="9"/>
      <c r="J18301" s="9"/>
      <c r="K18301" s="9"/>
      <c r="L18301" s="9"/>
      <c r="M18301" s="9"/>
      <c r="N18301" s="9"/>
      <c r="O18301" s="9"/>
      <c r="P18301" s="9"/>
      <c r="Q18301" s="9"/>
      <c r="R18301" s="9"/>
      <c r="S18301" s="9"/>
      <c r="T18301" s="9"/>
      <c r="U18301" s="9"/>
      <c r="V18301" s="9"/>
      <c r="W18301" s="9"/>
      <c r="X18301" s="9"/>
      <c r="Y18301" s="9"/>
      <c r="Z18301" s="9"/>
      <c r="AA18301" s="9"/>
      <c r="AB18301" s="9"/>
      <c r="AC18301" s="9"/>
      <c r="AD18301" s="9"/>
      <c r="AE18301" s="9"/>
      <c r="AF18301" s="9"/>
      <c r="AG18301" s="10"/>
    </row>
    <row r="18302" spans="1:33">
      <c r="A18302" s="9"/>
      <c r="B18302" s="9"/>
      <c r="C18302" s="9"/>
      <c r="D18302" s="9"/>
      <c r="E18302" s="9"/>
      <c r="F18302" s="9"/>
      <c r="G18302" s="9"/>
      <c r="H18302" s="9"/>
      <c r="I18302" s="9"/>
      <c r="J18302" s="9"/>
      <c r="K18302" s="9"/>
      <c r="L18302" s="9"/>
      <c r="M18302" s="9"/>
      <c r="N18302" s="9"/>
      <c r="O18302" s="9"/>
      <c r="P18302" s="9"/>
      <c r="Q18302" s="9"/>
      <c r="R18302" s="9"/>
      <c r="S18302" s="9"/>
      <c r="T18302" s="9"/>
      <c r="U18302" s="9"/>
      <c r="V18302" s="9"/>
      <c r="W18302" s="9"/>
      <c r="X18302" s="9"/>
      <c r="Y18302" s="9"/>
      <c r="Z18302" s="9"/>
      <c r="AA18302" s="9"/>
      <c r="AB18302" s="9"/>
      <c r="AC18302" s="9"/>
      <c r="AD18302" s="9"/>
      <c r="AE18302" s="9"/>
      <c r="AF18302" s="9"/>
      <c r="AG18302" s="10"/>
    </row>
    <row r="18303" spans="1:33">
      <c r="A18303" s="9"/>
      <c r="B18303" s="9"/>
      <c r="C18303" s="9"/>
      <c r="D18303" s="9"/>
      <c r="E18303" s="9"/>
      <c r="F18303" s="9"/>
      <c r="G18303" s="9"/>
      <c r="H18303" s="9"/>
      <c r="I18303" s="9"/>
      <c r="J18303" s="9"/>
      <c r="K18303" s="9"/>
      <c r="L18303" s="9"/>
      <c r="M18303" s="9"/>
      <c r="N18303" s="9"/>
      <c r="O18303" s="9"/>
      <c r="P18303" s="9"/>
      <c r="Q18303" s="9"/>
      <c r="R18303" s="9"/>
      <c r="S18303" s="9"/>
      <c r="T18303" s="9"/>
      <c r="U18303" s="9"/>
      <c r="V18303" s="9"/>
      <c r="W18303" s="9"/>
      <c r="X18303" s="9"/>
      <c r="Y18303" s="9"/>
      <c r="Z18303" s="9"/>
      <c r="AA18303" s="9"/>
      <c r="AB18303" s="9"/>
      <c r="AC18303" s="9"/>
      <c r="AD18303" s="9"/>
      <c r="AE18303" s="9"/>
      <c r="AF18303" s="9"/>
      <c r="AG18303" s="10"/>
    </row>
    <row r="18304" spans="1:33">
      <c r="A18304" s="9"/>
      <c r="B18304" s="9"/>
      <c r="C18304" s="9"/>
      <c r="D18304" s="9"/>
      <c r="E18304" s="9"/>
      <c r="F18304" s="9"/>
      <c r="G18304" s="9"/>
      <c r="H18304" s="9"/>
      <c r="I18304" s="9"/>
      <c r="J18304" s="9"/>
      <c r="K18304" s="9"/>
      <c r="L18304" s="9"/>
      <c r="M18304" s="9"/>
      <c r="N18304" s="9"/>
      <c r="O18304" s="9"/>
      <c r="P18304" s="9"/>
      <c r="Q18304" s="9"/>
      <c r="R18304" s="9"/>
      <c r="S18304" s="9"/>
      <c r="T18304" s="9"/>
      <c r="U18304" s="9"/>
      <c r="V18304" s="9"/>
      <c r="W18304" s="9"/>
      <c r="X18304" s="9"/>
      <c r="Y18304" s="9"/>
      <c r="Z18304" s="9"/>
      <c r="AA18304" s="9"/>
      <c r="AB18304" s="9"/>
      <c r="AC18304" s="9"/>
      <c r="AD18304" s="9"/>
      <c r="AE18304" s="9"/>
      <c r="AF18304" s="9"/>
      <c r="AG18304" s="10"/>
    </row>
    <row r="18305" spans="1:33">
      <c r="A18305" s="9"/>
      <c r="B18305" s="9"/>
      <c r="C18305" s="9"/>
      <c r="D18305" s="9"/>
      <c r="E18305" s="9"/>
      <c r="F18305" s="9"/>
      <c r="G18305" s="9"/>
      <c r="H18305" s="9"/>
      <c r="I18305" s="9"/>
      <c r="J18305" s="9"/>
      <c r="K18305" s="9"/>
      <c r="L18305" s="9"/>
      <c r="M18305" s="9"/>
      <c r="N18305" s="9"/>
      <c r="O18305" s="9"/>
      <c r="P18305" s="9"/>
      <c r="Q18305" s="9"/>
      <c r="R18305" s="9"/>
      <c r="S18305" s="9"/>
      <c r="T18305" s="9"/>
      <c r="U18305" s="9"/>
      <c r="V18305" s="9"/>
      <c r="W18305" s="9"/>
      <c r="X18305" s="9"/>
      <c r="Y18305" s="9"/>
      <c r="Z18305" s="9"/>
      <c r="AA18305" s="9"/>
      <c r="AB18305" s="9"/>
      <c r="AC18305" s="9"/>
      <c r="AD18305" s="9"/>
      <c r="AE18305" s="9"/>
      <c r="AF18305" s="9"/>
      <c r="AG18305" s="10"/>
    </row>
    <row r="18306" spans="1:33">
      <c r="A18306" s="9"/>
      <c r="B18306" s="9"/>
      <c r="C18306" s="9"/>
      <c r="D18306" s="9"/>
      <c r="E18306" s="9"/>
      <c r="F18306" s="9"/>
      <c r="G18306" s="9"/>
      <c r="H18306" s="9"/>
      <c r="I18306" s="9"/>
      <c r="J18306" s="9"/>
      <c r="K18306" s="9"/>
      <c r="L18306" s="9"/>
      <c r="M18306" s="9"/>
      <c r="N18306" s="9"/>
      <c r="O18306" s="9"/>
      <c r="P18306" s="9"/>
      <c r="Q18306" s="9"/>
      <c r="R18306" s="9"/>
      <c r="S18306" s="9"/>
      <c r="T18306" s="9"/>
      <c r="U18306" s="9"/>
      <c r="V18306" s="9"/>
      <c r="W18306" s="9"/>
      <c r="X18306" s="9"/>
      <c r="Y18306" s="9"/>
      <c r="Z18306" s="9"/>
      <c r="AA18306" s="9"/>
      <c r="AB18306" s="9"/>
      <c r="AC18306" s="9"/>
      <c r="AD18306" s="9"/>
      <c r="AE18306" s="9"/>
      <c r="AF18306" s="9"/>
      <c r="AG18306" s="10"/>
    </row>
    <row r="18307" spans="1:33">
      <c r="A18307" s="9"/>
      <c r="B18307" s="9"/>
      <c r="C18307" s="9"/>
      <c r="D18307" s="9"/>
      <c r="E18307" s="9"/>
      <c r="F18307" s="9"/>
      <c r="G18307" s="9"/>
      <c r="H18307" s="9"/>
      <c r="I18307" s="9"/>
      <c r="J18307" s="9"/>
      <c r="K18307" s="9"/>
      <c r="L18307" s="9"/>
      <c r="M18307" s="9"/>
      <c r="N18307" s="9"/>
      <c r="O18307" s="9"/>
      <c r="P18307" s="9"/>
      <c r="Q18307" s="9"/>
      <c r="R18307" s="9"/>
      <c r="S18307" s="9"/>
      <c r="T18307" s="9"/>
      <c r="U18307" s="9"/>
      <c r="V18307" s="9"/>
      <c r="W18307" s="9"/>
      <c r="X18307" s="9"/>
      <c r="Y18307" s="9"/>
      <c r="Z18307" s="9"/>
      <c r="AA18307" s="9"/>
      <c r="AB18307" s="9"/>
      <c r="AC18307" s="9"/>
      <c r="AD18307" s="9"/>
      <c r="AE18307" s="9"/>
      <c r="AF18307" s="9"/>
      <c r="AG18307" s="10"/>
    </row>
    <row r="18308" spans="1:33">
      <c r="A18308" s="9"/>
      <c r="B18308" s="9"/>
      <c r="C18308" s="9"/>
      <c r="D18308" s="9"/>
      <c r="E18308" s="9"/>
      <c r="F18308" s="9"/>
      <c r="G18308" s="9"/>
      <c r="H18308" s="9"/>
      <c r="I18308" s="9"/>
      <c r="J18308" s="9"/>
      <c r="K18308" s="9"/>
      <c r="L18308" s="9"/>
      <c r="M18308" s="9"/>
      <c r="N18308" s="9"/>
      <c r="O18308" s="9"/>
      <c r="P18308" s="9"/>
      <c r="Q18308" s="9"/>
      <c r="R18308" s="9"/>
      <c r="S18308" s="9"/>
      <c r="T18308" s="9"/>
      <c r="U18308" s="9"/>
      <c r="V18308" s="9"/>
      <c r="W18308" s="9"/>
      <c r="X18308" s="9"/>
      <c r="Y18308" s="9"/>
      <c r="Z18308" s="9"/>
      <c r="AA18308" s="9"/>
      <c r="AB18308" s="9"/>
      <c r="AC18308" s="9"/>
      <c r="AD18308" s="9"/>
      <c r="AE18308" s="9"/>
      <c r="AF18308" s="9"/>
      <c r="AG18308" s="10"/>
    </row>
    <row r="18309" spans="1:33">
      <c r="A18309" s="9"/>
      <c r="B18309" s="9"/>
      <c r="C18309" s="9"/>
      <c r="D18309" s="9"/>
      <c r="E18309" s="9"/>
      <c r="F18309" s="9"/>
      <c r="G18309" s="9"/>
      <c r="H18309" s="9"/>
      <c r="I18309" s="9"/>
      <c r="J18309" s="9"/>
      <c r="K18309" s="9"/>
      <c r="L18309" s="9"/>
      <c r="M18309" s="9"/>
      <c r="N18309" s="9"/>
      <c r="O18309" s="9"/>
      <c r="P18309" s="9"/>
      <c r="Q18309" s="9"/>
      <c r="R18309" s="9"/>
      <c r="S18309" s="9"/>
      <c r="T18309" s="9"/>
      <c r="U18309" s="9"/>
      <c r="V18309" s="9"/>
      <c r="W18309" s="9"/>
      <c r="X18309" s="9"/>
      <c r="Y18309" s="9"/>
      <c r="Z18309" s="9"/>
      <c r="AA18309" s="9"/>
      <c r="AB18309" s="9"/>
      <c r="AC18309" s="9"/>
      <c r="AD18309" s="9"/>
      <c r="AE18309" s="9"/>
      <c r="AF18309" s="9"/>
      <c r="AG18309" s="10"/>
    </row>
    <row r="18310" spans="1:33">
      <c r="A18310" s="9"/>
      <c r="B18310" s="9"/>
      <c r="C18310" s="9"/>
      <c r="D18310" s="9"/>
      <c r="E18310" s="9"/>
      <c r="F18310" s="9"/>
      <c r="G18310" s="9"/>
      <c r="H18310" s="9"/>
      <c r="I18310" s="9"/>
      <c r="J18310" s="9"/>
      <c r="K18310" s="9"/>
      <c r="L18310" s="9"/>
      <c r="M18310" s="9"/>
      <c r="N18310" s="9"/>
      <c r="O18310" s="9"/>
      <c r="P18310" s="9"/>
      <c r="Q18310" s="9"/>
      <c r="R18310" s="9"/>
      <c r="S18310" s="9"/>
      <c r="T18310" s="9"/>
      <c r="U18310" s="9"/>
      <c r="V18310" s="9"/>
      <c r="W18310" s="9"/>
      <c r="X18310" s="9"/>
      <c r="Y18310" s="9"/>
      <c r="Z18310" s="9"/>
      <c r="AA18310" s="9"/>
      <c r="AB18310" s="9"/>
      <c r="AC18310" s="9"/>
      <c r="AD18310" s="9"/>
      <c r="AE18310" s="9"/>
      <c r="AF18310" s="9"/>
      <c r="AG18310" s="10"/>
    </row>
    <row r="18311" spans="1:33">
      <c r="A18311" s="9"/>
      <c r="B18311" s="9"/>
      <c r="C18311" s="9"/>
      <c r="D18311" s="9"/>
      <c r="E18311" s="9"/>
      <c r="F18311" s="9"/>
      <c r="G18311" s="9"/>
      <c r="H18311" s="9"/>
      <c r="I18311" s="9"/>
      <c r="J18311" s="9"/>
      <c r="K18311" s="9"/>
      <c r="L18311" s="9"/>
      <c r="M18311" s="9"/>
      <c r="N18311" s="9"/>
      <c r="O18311" s="9"/>
      <c r="P18311" s="9"/>
      <c r="Q18311" s="9"/>
      <c r="R18311" s="9"/>
      <c r="S18311" s="9"/>
      <c r="T18311" s="9"/>
      <c r="U18311" s="9"/>
      <c r="V18311" s="9"/>
      <c r="W18311" s="9"/>
      <c r="X18311" s="9"/>
      <c r="Y18311" s="9"/>
      <c r="Z18311" s="9"/>
      <c r="AA18311" s="9"/>
      <c r="AB18311" s="9"/>
      <c r="AC18311" s="9"/>
      <c r="AD18311" s="9"/>
      <c r="AE18311" s="9"/>
      <c r="AF18311" s="9"/>
      <c r="AG18311" s="10"/>
    </row>
    <row r="18312" spans="1:33">
      <c r="A18312" s="9"/>
      <c r="B18312" s="9"/>
      <c r="C18312" s="9"/>
      <c r="D18312" s="9"/>
      <c r="E18312" s="9"/>
      <c r="F18312" s="9"/>
      <c r="G18312" s="9"/>
      <c r="H18312" s="9"/>
      <c r="I18312" s="9"/>
      <c r="J18312" s="9"/>
      <c r="K18312" s="9"/>
      <c r="L18312" s="9"/>
      <c r="M18312" s="9"/>
      <c r="N18312" s="9"/>
      <c r="O18312" s="9"/>
      <c r="P18312" s="9"/>
      <c r="Q18312" s="9"/>
      <c r="R18312" s="9"/>
      <c r="S18312" s="9"/>
      <c r="T18312" s="9"/>
      <c r="U18312" s="9"/>
      <c r="V18312" s="9"/>
      <c r="W18312" s="9"/>
      <c r="X18312" s="9"/>
      <c r="Y18312" s="9"/>
      <c r="Z18312" s="9"/>
      <c r="AA18312" s="9"/>
      <c r="AB18312" s="9"/>
      <c r="AC18312" s="9"/>
      <c r="AD18312" s="9"/>
      <c r="AE18312" s="9"/>
      <c r="AF18312" s="9"/>
      <c r="AG18312" s="10"/>
    </row>
    <row r="18313" spans="1:33">
      <c r="A18313" s="9"/>
      <c r="B18313" s="9"/>
      <c r="C18313" s="9"/>
      <c r="D18313" s="9"/>
      <c r="E18313" s="9"/>
      <c r="F18313" s="9"/>
      <c r="G18313" s="9"/>
      <c r="H18313" s="9"/>
      <c r="I18313" s="9"/>
      <c r="J18313" s="9"/>
      <c r="K18313" s="9"/>
      <c r="L18313" s="9"/>
      <c r="M18313" s="9"/>
      <c r="N18313" s="9"/>
      <c r="O18313" s="9"/>
      <c r="P18313" s="9"/>
      <c r="Q18313" s="9"/>
      <c r="R18313" s="9"/>
      <c r="S18313" s="9"/>
      <c r="T18313" s="9"/>
      <c r="U18313" s="9"/>
      <c r="V18313" s="9"/>
      <c r="W18313" s="9"/>
      <c r="X18313" s="9"/>
      <c r="Y18313" s="9"/>
      <c r="Z18313" s="9"/>
      <c r="AA18313" s="9"/>
      <c r="AB18313" s="9"/>
      <c r="AC18313" s="9"/>
      <c r="AD18313" s="9"/>
      <c r="AE18313" s="9"/>
      <c r="AF18313" s="9"/>
      <c r="AG18313" s="10"/>
    </row>
    <row r="18314" spans="1:33">
      <c r="A18314" s="9"/>
      <c r="B18314" s="9"/>
      <c r="C18314" s="9"/>
      <c r="D18314" s="9"/>
      <c r="E18314" s="9"/>
      <c r="F18314" s="9"/>
      <c r="G18314" s="9"/>
      <c r="H18314" s="9"/>
      <c r="I18314" s="9"/>
      <c r="J18314" s="9"/>
      <c r="K18314" s="9"/>
      <c r="L18314" s="9"/>
      <c r="M18314" s="9"/>
      <c r="N18314" s="9"/>
      <c r="O18314" s="9"/>
      <c r="P18314" s="9"/>
      <c r="Q18314" s="9"/>
      <c r="R18314" s="9"/>
      <c r="S18314" s="9"/>
      <c r="T18314" s="9"/>
      <c r="U18314" s="9"/>
      <c r="V18314" s="9"/>
      <c r="W18314" s="9"/>
      <c r="X18314" s="9"/>
      <c r="Y18314" s="9"/>
      <c r="Z18314" s="9"/>
      <c r="AA18314" s="9"/>
      <c r="AB18314" s="9"/>
      <c r="AC18314" s="9"/>
      <c r="AD18314" s="9"/>
      <c r="AE18314" s="9"/>
      <c r="AF18314" s="9"/>
      <c r="AG18314" s="10"/>
    </row>
    <row r="18315" spans="1:33">
      <c r="A18315" s="9"/>
      <c r="B18315" s="9"/>
      <c r="C18315" s="9"/>
      <c r="D18315" s="9"/>
      <c r="E18315" s="9"/>
      <c r="F18315" s="9"/>
      <c r="G18315" s="9"/>
      <c r="H18315" s="9"/>
      <c r="I18315" s="9"/>
      <c r="J18315" s="9"/>
      <c r="K18315" s="9"/>
      <c r="L18315" s="9"/>
      <c r="M18315" s="9"/>
      <c r="N18315" s="9"/>
      <c r="O18315" s="9"/>
      <c r="P18315" s="9"/>
      <c r="Q18315" s="9"/>
      <c r="R18315" s="9"/>
      <c r="S18315" s="9"/>
      <c r="T18315" s="9"/>
      <c r="U18315" s="9"/>
      <c r="V18315" s="9"/>
      <c r="W18315" s="9"/>
      <c r="X18315" s="9"/>
      <c r="Y18315" s="9"/>
      <c r="Z18315" s="9"/>
      <c r="AA18315" s="9"/>
      <c r="AB18315" s="9"/>
      <c r="AC18315" s="9"/>
      <c r="AD18315" s="9"/>
      <c r="AE18315" s="9"/>
      <c r="AF18315" s="9"/>
      <c r="AG18315" s="10"/>
    </row>
    <row r="18316" spans="1:33">
      <c r="A18316" s="9"/>
      <c r="B18316" s="9"/>
      <c r="C18316" s="9"/>
      <c r="D18316" s="9"/>
      <c r="E18316" s="9"/>
      <c r="F18316" s="9"/>
      <c r="G18316" s="9"/>
      <c r="H18316" s="9"/>
      <c r="I18316" s="9"/>
      <c r="J18316" s="9"/>
      <c r="K18316" s="9"/>
      <c r="L18316" s="9"/>
      <c r="M18316" s="9"/>
      <c r="N18316" s="9"/>
      <c r="O18316" s="9"/>
      <c r="P18316" s="9"/>
      <c r="Q18316" s="9"/>
      <c r="R18316" s="9"/>
      <c r="S18316" s="9"/>
      <c r="T18316" s="9"/>
      <c r="U18316" s="9"/>
      <c r="V18316" s="9"/>
      <c r="W18316" s="9"/>
      <c r="X18316" s="9"/>
      <c r="Y18316" s="9"/>
      <c r="Z18316" s="9"/>
      <c r="AA18316" s="9"/>
      <c r="AB18316" s="9"/>
      <c r="AC18316" s="9"/>
      <c r="AD18316" s="9"/>
      <c r="AE18316" s="9"/>
      <c r="AF18316" s="9"/>
      <c r="AG18316" s="10"/>
    </row>
    <row r="18317" spans="1:33">
      <c r="A18317" s="9"/>
      <c r="B18317" s="9"/>
      <c r="C18317" s="9"/>
      <c r="D18317" s="9"/>
      <c r="E18317" s="9"/>
      <c r="F18317" s="9"/>
      <c r="G18317" s="9"/>
      <c r="H18317" s="9"/>
      <c r="I18317" s="9"/>
      <c r="J18317" s="9"/>
      <c r="K18317" s="9"/>
      <c r="L18317" s="9"/>
      <c r="M18317" s="9"/>
      <c r="N18317" s="9"/>
      <c r="O18317" s="9"/>
      <c r="P18317" s="9"/>
      <c r="Q18317" s="9"/>
      <c r="R18317" s="9"/>
      <c r="S18317" s="9"/>
      <c r="T18317" s="9"/>
      <c r="U18317" s="9"/>
      <c r="V18317" s="9"/>
      <c r="W18317" s="9"/>
      <c r="X18317" s="9"/>
      <c r="Y18317" s="9"/>
      <c r="Z18317" s="9"/>
      <c r="AA18317" s="9"/>
      <c r="AB18317" s="9"/>
      <c r="AC18317" s="9"/>
      <c r="AD18317" s="9"/>
      <c r="AE18317" s="9"/>
      <c r="AF18317" s="9"/>
      <c r="AG18317" s="10"/>
    </row>
    <row r="18318" spans="1:33">
      <c r="A18318" s="9"/>
      <c r="B18318" s="9"/>
      <c r="C18318" s="9"/>
      <c r="D18318" s="9"/>
      <c r="E18318" s="9"/>
      <c r="F18318" s="9"/>
      <c r="G18318" s="9"/>
      <c r="H18318" s="9"/>
      <c r="I18318" s="9"/>
      <c r="J18318" s="9"/>
      <c r="K18318" s="9"/>
      <c r="L18318" s="9"/>
      <c r="M18318" s="9"/>
      <c r="N18318" s="9"/>
      <c r="O18318" s="9"/>
      <c r="P18318" s="9"/>
      <c r="Q18318" s="9"/>
      <c r="R18318" s="9"/>
      <c r="S18318" s="9"/>
      <c r="T18318" s="9"/>
      <c r="U18318" s="9"/>
      <c r="V18318" s="9"/>
      <c r="W18318" s="9"/>
      <c r="X18318" s="9"/>
      <c r="Y18318" s="9"/>
      <c r="Z18318" s="9"/>
      <c r="AA18318" s="9"/>
      <c r="AB18318" s="9"/>
      <c r="AC18318" s="9"/>
      <c r="AD18318" s="9"/>
      <c r="AE18318" s="9"/>
      <c r="AF18318" s="9"/>
      <c r="AG18318" s="10"/>
    </row>
    <row r="18319" spans="1:33">
      <c r="A18319" s="9"/>
      <c r="B18319" s="9"/>
      <c r="C18319" s="9"/>
      <c r="D18319" s="9"/>
      <c r="E18319" s="9"/>
      <c r="F18319" s="9"/>
      <c r="G18319" s="9"/>
      <c r="H18319" s="9"/>
      <c r="I18319" s="9"/>
      <c r="J18319" s="9"/>
      <c r="K18319" s="9"/>
      <c r="L18319" s="9"/>
      <c r="M18319" s="9"/>
      <c r="N18319" s="9"/>
      <c r="O18319" s="9"/>
      <c r="P18319" s="9"/>
      <c r="Q18319" s="9"/>
      <c r="R18319" s="9"/>
      <c r="S18319" s="9"/>
      <c r="T18319" s="9"/>
      <c r="U18319" s="9"/>
      <c r="V18319" s="9"/>
      <c r="W18319" s="9"/>
      <c r="X18319" s="9"/>
      <c r="Y18319" s="9"/>
      <c r="Z18319" s="9"/>
      <c r="AA18319" s="9"/>
      <c r="AB18319" s="9"/>
      <c r="AC18319" s="9"/>
      <c r="AD18319" s="9"/>
      <c r="AE18319" s="9"/>
      <c r="AF18319" s="9"/>
      <c r="AG18319" s="10"/>
    </row>
    <row r="18320" spans="1:33">
      <c r="A18320" s="9"/>
      <c r="B18320" s="9"/>
      <c r="C18320" s="9"/>
      <c r="D18320" s="9"/>
      <c r="E18320" s="9"/>
      <c r="F18320" s="9"/>
      <c r="G18320" s="9"/>
      <c r="H18320" s="9"/>
      <c r="I18320" s="9"/>
      <c r="J18320" s="9"/>
      <c r="K18320" s="9"/>
      <c r="L18320" s="9"/>
      <c r="M18320" s="9"/>
      <c r="N18320" s="9"/>
      <c r="O18320" s="9"/>
      <c r="P18320" s="9"/>
      <c r="Q18320" s="9"/>
      <c r="R18320" s="9"/>
      <c r="S18320" s="9"/>
      <c r="T18320" s="9"/>
      <c r="U18320" s="9"/>
      <c r="V18320" s="9"/>
      <c r="W18320" s="9"/>
      <c r="X18320" s="9"/>
      <c r="Y18320" s="9"/>
      <c r="Z18320" s="9"/>
      <c r="AA18320" s="9"/>
      <c r="AB18320" s="9"/>
      <c r="AC18320" s="9"/>
      <c r="AD18320" s="9"/>
      <c r="AE18320" s="9"/>
      <c r="AF18320" s="9"/>
      <c r="AG18320" s="10"/>
    </row>
    <row r="18321" spans="1:33">
      <c r="A18321" s="9"/>
      <c r="B18321" s="9"/>
      <c r="C18321" s="9"/>
      <c r="D18321" s="9"/>
      <c r="E18321" s="9"/>
      <c r="F18321" s="9"/>
      <c r="G18321" s="9"/>
      <c r="H18321" s="9"/>
      <c r="I18321" s="9"/>
      <c r="J18321" s="9"/>
      <c r="K18321" s="9"/>
      <c r="L18321" s="9"/>
      <c r="M18321" s="9"/>
      <c r="N18321" s="9"/>
      <c r="O18321" s="9"/>
      <c r="P18321" s="9"/>
      <c r="Q18321" s="9"/>
      <c r="R18321" s="9"/>
      <c r="S18321" s="9"/>
      <c r="T18321" s="9"/>
      <c r="U18321" s="9"/>
      <c r="V18321" s="9"/>
      <c r="W18321" s="9"/>
      <c r="X18321" s="9"/>
      <c r="Y18321" s="9"/>
      <c r="Z18321" s="9"/>
      <c r="AA18321" s="9"/>
      <c r="AB18321" s="9"/>
      <c r="AC18321" s="9"/>
      <c r="AD18321" s="9"/>
      <c r="AE18321" s="9"/>
      <c r="AF18321" s="9"/>
      <c r="AG18321" s="10"/>
    </row>
    <row r="18322" spans="1:33">
      <c r="A18322" s="9"/>
      <c r="B18322" s="9"/>
      <c r="C18322" s="9"/>
      <c r="D18322" s="9"/>
      <c r="E18322" s="9"/>
      <c r="F18322" s="9"/>
      <c r="G18322" s="9"/>
      <c r="H18322" s="9"/>
      <c r="I18322" s="9"/>
      <c r="J18322" s="9"/>
      <c r="K18322" s="9"/>
      <c r="L18322" s="9"/>
      <c r="M18322" s="9"/>
      <c r="N18322" s="9"/>
      <c r="O18322" s="9"/>
      <c r="P18322" s="9"/>
      <c r="Q18322" s="9"/>
      <c r="R18322" s="9"/>
      <c r="S18322" s="9"/>
      <c r="T18322" s="9"/>
      <c r="U18322" s="9"/>
      <c r="V18322" s="9"/>
      <c r="W18322" s="9"/>
      <c r="X18322" s="9"/>
      <c r="Y18322" s="9"/>
      <c r="Z18322" s="9"/>
      <c r="AA18322" s="9"/>
      <c r="AB18322" s="9"/>
      <c r="AC18322" s="9"/>
      <c r="AD18322" s="9"/>
      <c r="AE18322" s="9"/>
      <c r="AF18322" s="9"/>
      <c r="AG18322" s="10"/>
    </row>
    <row r="18323" spans="1:33">
      <c r="A18323" s="9"/>
      <c r="B18323" s="9"/>
      <c r="C18323" s="9"/>
      <c r="D18323" s="9"/>
      <c r="E18323" s="9"/>
      <c r="F18323" s="9"/>
      <c r="G18323" s="9"/>
      <c r="H18323" s="9"/>
      <c r="I18323" s="9"/>
      <c r="J18323" s="9"/>
      <c r="K18323" s="9"/>
      <c r="L18323" s="9"/>
      <c r="M18323" s="9"/>
      <c r="N18323" s="9"/>
      <c r="O18323" s="9"/>
      <c r="P18323" s="9"/>
      <c r="Q18323" s="9"/>
      <c r="R18323" s="9"/>
      <c r="S18323" s="9"/>
      <c r="T18323" s="9"/>
      <c r="U18323" s="9"/>
      <c r="V18323" s="9"/>
      <c r="W18323" s="9"/>
      <c r="X18323" s="9"/>
      <c r="Y18323" s="9"/>
      <c r="Z18323" s="9"/>
      <c r="AA18323" s="9"/>
      <c r="AB18323" s="9"/>
      <c r="AC18323" s="9"/>
      <c r="AD18323" s="9"/>
      <c r="AE18323" s="9"/>
      <c r="AF18323" s="9"/>
      <c r="AG18323" s="10"/>
    </row>
    <row r="18324" spans="1:33">
      <c r="A18324" s="9"/>
      <c r="B18324" s="9"/>
      <c r="C18324" s="9"/>
      <c r="D18324" s="9"/>
      <c r="E18324" s="9"/>
      <c r="F18324" s="9"/>
      <c r="G18324" s="9"/>
      <c r="H18324" s="9"/>
      <c r="I18324" s="9"/>
      <c r="J18324" s="9"/>
      <c r="K18324" s="9"/>
      <c r="L18324" s="9"/>
      <c r="M18324" s="9"/>
      <c r="N18324" s="9"/>
      <c r="O18324" s="9"/>
      <c r="P18324" s="9"/>
      <c r="Q18324" s="9"/>
      <c r="R18324" s="9"/>
      <c r="S18324" s="9"/>
      <c r="T18324" s="9"/>
      <c r="U18324" s="9"/>
      <c r="V18324" s="9"/>
      <c r="W18324" s="9"/>
      <c r="X18324" s="9"/>
      <c r="Y18324" s="9"/>
      <c r="Z18324" s="9"/>
      <c r="AA18324" s="9"/>
      <c r="AB18324" s="9"/>
      <c r="AC18324" s="9"/>
      <c r="AD18324" s="9"/>
      <c r="AE18324" s="9"/>
      <c r="AF18324" s="9"/>
      <c r="AG18324" s="10"/>
    </row>
    <row r="18325" spans="1:33">
      <c r="A18325" s="9"/>
      <c r="B18325" s="9"/>
      <c r="C18325" s="9"/>
      <c r="D18325" s="9"/>
      <c r="E18325" s="9"/>
      <c r="F18325" s="9"/>
      <c r="G18325" s="9"/>
      <c r="H18325" s="9"/>
      <c r="I18325" s="9"/>
      <c r="J18325" s="9"/>
      <c r="K18325" s="9"/>
      <c r="L18325" s="9"/>
      <c r="M18325" s="9"/>
      <c r="N18325" s="9"/>
      <c r="O18325" s="9"/>
      <c r="P18325" s="9"/>
      <c r="Q18325" s="9"/>
      <c r="R18325" s="9"/>
      <c r="S18325" s="9"/>
      <c r="T18325" s="9"/>
      <c r="U18325" s="9"/>
      <c r="V18325" s="9"/>
      <c r="W18325" s="9"/>
      <c r="X18325" s="9"/>
      <c r="Y18325" s="9"/>
      <c r="Z18325" s="9"/>
      <c r="AA18325" s="9"/>
      <c r="AB18325" s="9"/>
      <c r="AC18325" s="9"/>
      <c r="AD18325" s="9"/>
      <c r="AE18325" s="9"/>
      <c r="AF18325" s="9"/>
      <c r="AG18325" s="10"/>
    </row>
    <row r="18326" spans="1:33">
      <c r="A18326" s="9"/>
      <c r="B18326" s="9"/>
      <c r="C18326" s="9"/>
      <c r="D18326" s="9"/>
      <c r="E18326" s="9"/>
      <c r="F18326" s="9"/>
      <c r="G18326" s="9"/>
      <c r="H18326" s="9"/>
      <c r="I18326" s="9"/>
      <c r="J18326" s="9"/>
      <c r="K18326" s="9"/>
      <c r="L18326" s="9"/>
      <c r="M18326" s="9"/>
      <c r="N18326" s="9"/>
      <c r="O18326" s="9"/>
      <c r="P18326" s="9"/>
      <c r="Q18326" s="9"/>
      <c r="R18326" s="9"/>
      <c r="S18326" s="9"/>
      <c r="T18326" s="9"/>
      <c r="U18326" s="9"/>
      <c r="V18326" s="9"/>
      <c r="W18326" s="9"/>
      <c r="X18326" s="9"/>
      <c r="Y18326" s="9"/>
      <c r="Z18326" s="9"/>
      <c r="AA18326" s="9"/>
      <c r="AB18326" s="9"/>
      <c r="AC18326" s="9"/>
      <c r="AD18326" s="9"/>
      <c r="AE18326" s="9"/>
      <c r="AF18326" s="9"/>
      <c r="AG18326" s="10"/>
    </row>
    <row r="18327" spans="1:33">
      <c r="A18327" s="9"/>
      <c r="B18327" s="9"/>
      <c r="C18327" s="9"/>
      <c r="D18327" s="9"/>
      <c r="E18327" s="9"/>
      <c r="F18327" s="9"/>
      <c r="G18327" s="9"/>
      <c r="H18327" s="9"/>
      <c r="I18327" s="9"/>
      <c r="J18327" s="9"/>
      <c r="K18327" s="9"/>
      <c r="L18327" s="9"/>
      <c r="M18327" s="9"/>
      <c r="N18327" s="9"/>
      <c r="O18327" s="9"/>
      <c r="P18327" s="9"/>
      <c r="Q18327" s="9"/>
      <c r="R18327" s="9"/>
      <c r="S18327" s="9"/>
      <c r="T18327" s="9"/>
      <c r="U18327" s="9"/>
      <c r="V18327" s="9"/>
      <c r="W18327" s="9"/>
      <c r="X18327" s="9"/>
      <c r="Y18327" s="9"/>
      <c r="Z18327" s="9"/>
      <c r="AA18327" s="9"/>
      <c r="AB18327" s="9"/>
      <c r="AC18327" s="9"/>
      <c r="AD18327" s="9"/>
      <c r="AE18327" s="9"/>
      <c r="AF18327" s="9"/>
      <c r="AG18327" s="10"/>
    </row>
    <row r="18328" spans="1:33">
      <c r="A18328" s="9"/>
      <c r="B18328" s="9"/>
      <c r="C18328" s="9"/>
      <c r="D18328" s="9"/>
      <c r="E18328" s="9"/>
      <c r="F18328" s="9"/>
      <c r="G18328" s="9"/>
      <c r="H18328" s="9"/>
      <c r="I18328" s="9"/>
      <c r="J18328" s="9"/>
      <c r="K18328" s="9"/>
      <c r="L18328" s="9"/>
      <c r="M18328" s="9"/>
      <c r="N18328" s="9"/>
      <c r="O18328" s="9"/>
      <c r="P18328" s="9"/>
      <c r="Q18328" s="9"/>
      <c r="R18328" s="9"/>
      <c r="S18328" s="9"/>
      <c r="T18328" s="9"/>
      <c r="U18328" s="9"/>
      <c r="V18328" s="9"/>
      <c r="W18328" s="9"/>
      <c r="X18328" s="9"/>
      <c r="Y18328" s="9"/>
      <c r="Z18328" s="9"/>
      <c r="AA18328" s="9"/>
      <c r="AB18328" s="9"/>
      <c r="AC18328" s="9"/>
      <c r="AD18328" s="9"/>
      <c r="AE18328" s="9"/>
      <c r="AF18328" s="9"/>
      <c r="AG18328" s="10"/>
    </row>
    <row r="18329" spans="1:33">
      <c r="A18329" s="9"/>
      <c r="B18329" s="9"/>
      <c r="C18329" s="9"/>
      <c r="D18329" s="9"/>
      <c r="E18329" s="9"/>
      <c r="F18329" s="9"/>
      <c r="G18329" s="9"/>
      <c r="H18329" s="9"/>
      <c r="I18329" s="9"/>
      <c r="J18329" s="9"/>
      <c r="K18329" s="9"/>
      <c r="L18329" s="9"/>
      <c r="M18329" s="9"/>
      <c r="N18329" s="9"/>
      <c r="O18329" s="9"/>
      <c r="P18329" s="9"/>
      <c r="Q18329" s="9"/>
      <c r="R18329" s="9"/>
      <c r="S18329" s="9"/>
      <c r="T18329" s="9"/>
      <c r="U18329" s="9"/>
      <c r="V18329" s="9"/>
      <c r="W18329" s="9"/>
      <c r="X18329" s="9"/>
      <c r="Y18329" s="9"/>
      <c r="Z18329" s="9"/>
      <c r="AA18329" s="9"/>
      <c r="AB18329" s="9"/>
      <c r="AC18329" s="9"/>
      <c r="AD18329" s="9"/>
      <c r="AE18329" s="9"/>
      <c r="AF18329" s="9"/>
      <c r="AG18329" s="10"/>
    </row>
    <row r="18330" spans="1:33">
      <c r="A18330" s="9"/>
      <c r="B18330" s="9"/>
      <c r="C18330" s="9"/>
      <c r="D18330" s="9"/>
      <c r="E18330" s="9"/>
      <c r="F18330" s="9"/>
      <c r="G18330" s="9"/>
      <c r="H18330" s="9"/>
      <c r="I18330" s="9"/>
      <c r="J18330" s="9"/>
      <c r="K18330" s="9"/>
      <c r="L18330" s="9"/>
      <c r="M18330" s="9"/>
      <c r="N18330" s="9"/>
      <c r="O18330" s="9"/>
      <c r="P18330" s="9"/>
      <c r="Q18330" s="9"/>
      <c r="R18330" s="9"/>
      <c r="S18330" s="9"/>
      <c r="T18330" s="9"/>
      <c r="U18330" s="9"/>
      <c r="V18330" s="9"/>
      <c r="W18330" s="9"/>
      <c r="X18330" s="9"/>
      <c r="Y18330" s="9"/>
      <c r="Z18330" s="9"/>
      <c r="AA18330" s="9"/>
      <c r="AB18330" s="9"/>
      <c r="AC18330" s="9"/>
      <c r="AD18330" s="9"/>
      <c r="AE18330" s="9"/>
      <c r="AF18330" s="9"/>
      <c r="AG18330" s="10"/>
    </row>
    <row r="18331" spans="1:33">
      <c r="A18331" s="9"/>
      <c r="B18331" s="9"/>
      <c r="C18331" s="9"/>
      <c r="D18331" s="9"/>
      <c r="E18331" s="9"/>
      <c r="F18331" s="9"/>
      <c r="G18331" s="9"/>
      <c r="H18331" s="9"/>
      <c r="I18331" s="9"/>
      <c r="J18331" s="9"/>
      <c r="K18331" s="9"/>
      <c r="L18331" s="9"/>
      <c r="M18331" s="9"/>
      <c r="N18331" s="9"/>
      <c r="O18331" s="9"/>
      <c r="P18331" s="9"/>
      <c r="Q18331" s="9"/>
      <c r="R18331" s="9"/>
      <c r="S18331" s="9"/>
      <c r="T18331" s="9"/>
      <c r="U18331" s="9"/>
      <c r="V18331" s="9"/>
      <c r="W18331" s="9"/>
      <c r="X18331" s="9"/>
      <c r="Y18331" s="9"/>
      <c r="Z18331" s="9"/>
      <c r="AA18331" s="9"/>
      <c r="AB18331" s="9"/>
      <c r="AC18331" s="9"/>
      <c r="AD18331" s="9"/>
      <c r="AE18331" s="9"/>
      <c r="AF18331" s="9"/>
      <c r="AG18331" s="10"/>
    </row>
    <row r="18332" spans="1:33">
      <c r="A18332" s="9"/>
      <c r="B18332" s="9"/>
      <c r="C18332" s="9"/>
      <c r="D18332" s="9"/>
      <c r="E18332" s="9"/>
      <c r="F18332" s="9"/>
      <c r="G18332" s="9"/>
      <c r="H18332" s="9"/>
      <c r="I18332" s="9"/>
      <c r="J18332" s="9"/>
      <c r="K18332" s="9"/>
      <c r="L18332" s="9"/>
      <c r="M18332" s="9"/>
      <c r="N18332" s="9"/>
      <c r="O18332" s="9"/>
      <c r="P18332" s="9"/>
      <c r="Q18332" s="9"/>
      <c r="R18332" s="9"/>
      <c r="S18332" s="9"/>
      <c r="T18332" s="9"/>
      <c r="U18332" s="9"/>
      <c r="V18332" s="9"/>
      <c r="W18332" s="9"/>
      <c r="X18332" s="9"/>
      <c r="Y18332" s="9"/>
      <c r="Z18332" s="9"/>
      <c r="AA18332" s="9"/>
      <c r="AB18332" s="9"/>
      <c r="AC18332" s="9"/>
      <c r="AD18332" s="9"/>
      <c r="AE18332" s="9"/>
      <c r="AF18332" s="9"/>
      <c r="AG18332" s="10"/>
    </row>
    <row r="18333" spans="1:33">
      <c r="A18333" s="9"/>
      <c r="B18333" s="9"/>
      <c r="C18333" s="9"/>
      <c r="D18333" s="9"/>
      <c r="E18333" s="9"/>
      <c r="F18333" s="9"/>
      <c r="G18333" s="9"/>
      <c r="H18333" s="9"/>
      <c r="I18333" s="9"/>
      <c r="J18333" s="9"/>
      <c r="K18333" s="9"/>
      <c r="L18333" s="9"/>
      <c r="M18333" s="9"/>
      <c r="N18333" s="9"/>
      <c r="O18333" s="9"/>
      <c r="P18333" s="9"/>
      <c r="Q18333" s="9"/>
      <c r="R18333" s="9"/>
      <c r="S18333" s="9"/>
      <c r="T18333" s="9"/>
      <c r="U18333" s="9"/>
      <c r="V18333" s="9"/>
      <c r="W18333" s="9"/>
      <c r="X18333" s="9"/>
      <c r="Y18333" s="9"/>
      <c r="Z18333" s="9"/>
      <c r="AA18333" s="9"/>
      <c r="AB18333" s="9"/>
      <c r="AC18333" s="9"/>
      <c r="AD18333" s="9"/>
      <c r="AE18333" s="9"/>
      <c r="AF18333" s="9"/>
      <c r="AG18333" s="10"/>
    </row>
    <row r="18334" spans="1:33">
      <c r="A18334" s="9"/>
      <c r="B18334" s="9"/>
      <c r="C18334" s="9"/>
      <c r="D18334" s="9"/>
      <c r="E18334" s="9"/>
      <c r="F18334" s="9"/>
      <c r="G18334" s="9"/>
      <c r="H18334" s="9"/>
      <c r="I18334" s="9"/>
      <c r="J18334" s="9"/>
      <c r="K18334" s="9"/>
      <c r="L18334" s="9"/>
      <c r="M18334" s="9"/>
      <c r="N18334" s="9"/>
      <c r="O18334" s="9"/>
      <c r="P18334" s="9"/>
      <c r="Q18334" s="9"/>
      <c r="R18334" s="9"/>
      <c r="S18334" s="9"/>
      <c r="T18334" s="9"/>
      <c r="U18334" s="9"/>
      <c r="V18334" s="9"/>
      <c r="W18334" s="9"/>
      <c r="X18334" s="9"/>
      <c r="Y18334" s="9"/>
      <c r="Z18334" s="9"/>
      <c r="AA18334" s="9"/>
      <c r="AB18334" s="9"/>
      <c r="AC18334" s="9"/>
      <c r="AD18334" s="9"/>
      <c r="AE18334" s="9"/>
      <c r="AF18334" s="9"/>
      <c r="AG18334" s="10"/>
    </row>
    <row r="18335" spans="1:33">
      <c r="A18335" s="9"/>
      <c r="B18335" s="9"/>
      <c r="C18335" s="9"/>
      <c r="D18335" s="9"/>
      <c r="E18335" s="9"/>
      <c r="F18335" s="9"/>
      <c r="G18335" s="9"/>
      <c r="H18335" s="9"/>
      <c r="I18335" s="9"/>
      <c r="J18335" s="9"/>
      <c r="K18335" s="9"/>
      <c r="L18335" s="9"/>
      <c r="M18335" s="9"/>
      <c r="N18335" s="9"/>
      <c r="O18335" s="9"/>
      <c r="P18335" s="9"/>
      <c r="Q18335" s="9"/>
      <c r="R18335" s="9"/>
      <c r="S18335" s="9"/>
      <c r="T18335" s="9"/>
      <c r="U18335" s="9"/>
      <c r="V18335" s="9"/>
      <c r="W18335" s="9"/>
      <c r="X18335" s="9"/>
      <c r="Y18335" s="9"/>
      <c r="Z18335" s="9"/>
      <c r="AA18335" s="9"/>
      <c r="AB18335" s="9"/>
      <c r="AC18335" s="9"/>
      <c r="AD18335" s="9"/>
      <c r="AE18335" s="9"/>
      <c r="AF18335" s="9"/>
      <c r="AG18335" s="10"/>
    </row>
    <row r="18336" spans="1:33">
      <c r="A18336" s="9"/>
      <c r="B18336" s="9"/>
      <c r="C18336" s="9"/>
      <c r="D18336" s="9"/>
      <c r="E18336" s="9"/>
      <c r="F18336" s="9"/>
      <c r="G18336" s="9"/>
      <c r="H18336" s="9"/>
      <c r="I18336" s="9"/>
      <c r="J18336" s="9"/>
      <c r="K18336" s="9"/>
      <c r="L18336" s="9"/>
      <c r="M18336" s="9"/>
      <c r="N18336" s="9"/>
      <c r="O18336" s="9"/>
      <c r="P18336" s="9"/>
      <c r="Q18336" s="9"/>
      <c r="R18336" s="9"/>
      <c r="S18336" s="9"/>
      <c r="T18336" s="9"/>
      <c r="U18336" s="9"/>
      <c r="V18336" s="9"/>
      <c r="W18336" s="9"/>
      <c r="X18336" s="9"/>
      <c r="Y18336" s="9"/>
      <c r="Z18336" s="9"/>
      <c r="AA18336" s="9"/>
      <c r="AB18336" s="9"/>
      <c r="AC18336" s="9"/>
      <c r="AD18336" s="9"/>
      <c r="AE18336" s="9"/>
      <c r="AF18336" s="9"/>
      <c r="AG18336" s="10"/>
    </row>
    <row r="18337" spans="1:33">
      <c r="A18337" s="9"/>
      <c r="B18337" s="9"/>
      <c r="C18337" s="9"/>
      <c r="D18337" s="9"/>
      <c r="E18337" s="9"/>
      <c r="F18337" s="9"/>
      <c r="G18337" s="9"/>
      <c r="H18337" s="9"/>
      <c r="I18337" s="9"/>
      <c r="J18337" s="9"/>
      <c r="K18337" s="9"/>
      <c r="L18337" s="9"/>
      <c r="M18337" s="9"/>
      <c r="N18337" s="9"/>
      <c r="O18337" s="9"/>
      <c r="P18337" s="9"/>
      <c r="Q18337" s="9"/>
      <c r="R18337" s="9"/>
      <c r="S18337" s="9"/>
      <c r="T18337" s="9"/>
      <c r="U18337" s="9"/>
      <c r="V18337" s="9"/>
      <c r="W18337" s="9"/>
      <c r="X18337" s="9"/>
      <c r="Y18337" s="9"/>
      <c r="Z18337" s="9"/>
      <c r="AA18337" s="9"/>
      <c r="AB18337" s="9"/>
      <c r="AC18337" s="9"/>
      <c r="AD18337" s="9"/>
      <c r="AE18337" s="9"/>
      <c r="AF18337" s="9"/>
      <c r="AG18337" s="10"/>
    </row>
    <row r="18338" spans="1:33">
      <c r="A18338" s="9"/>
      <c r="B18338" s="9"/>
      <c r="C18338" s="9"/>
      <c r="D18338" s="9"/>
      <c r="E18338" s="9"/>
      <c r="F18338" s="9"/>
      <c r="G18338" s="9"/>
      <c r="H18338" s="9"/>
      <c r="I18338" s="9"/>
      <c r="J18338" s="9"/>
      <c r="K18338" s="9"/>
      <c r="L18338" s="9"/>
      <c r="M18338" s="9"/>
      <c r="N18338" s="9"/>
      <c r="O18338" s="9"/>
      <c r="P18338" s="9"/>
      <c r="Q18338" s="9"/>
      <c r="R18338" s="9"/>
      <c r="S18338" s="9"/>
      <c r="T18338" s="9"/>
      <c r="U18338" s="9"/>
      <c r="V18338" s="9"/>
      <c r="W18338" s="9"/>
      <c r="X18338" s="9"/>
      <c r="Y18338" s="9"/>
      <c r="Z18338" s="9"/>
      <c r="AA18338" s="9"/>
      <c r="AB18338" s="9"/>
      <c r="AC18338" s="9"/>
      <c r="AD18338" s="9"/>
      <c r="AE18338" s="9"/>
      <c r="AF18338" s="9"/>
      <c r="AG18338" s="10"/>
    </row>
    <row r="18339" spans="1:33">
      <c r="A18339" s="9"/>
      <c r="B18339" s="9"/>
      <c r="C18339" s="9"/>
      <c r="D18339" s="9"/>
      <c r="E18339" s="9"/>
      <c r="F18339" s="9"/>
      <c r="G18339" s="9"/>
      <c r="H18339" s="9"/>
      <c r="I18339" s="9"/>
      <c r="J18339" s="9"/>
      <c r="K18339" s="9"/>
      <c r="L18339" s="9"/>
      <c r="M18339" s="9"/>
      <c r="N18339" s="9"/>
      <c r="O18339" s="9"/>
      <c r="P18339" s="9"/>
      <c r="Q18339" s="9"/>
      <c r="R18339" s="9"/>
      <c r="S18339" s="9"/>
      <c r="T18339" s="9"/>
      <c r="U18339" s="9"/>
      <c r="V18339" s="9"/>
      <c r="W18339" s="9"/>
      <c r="X18339" s="9"/>
      <c r="Y18339" s="9"/>
      <c r="Z18339" s="9"/>
      <c r="AA18339" s="9"/>
      <c r="AB18339" s="9"/>
      <c r="AC18339" s="9"/>
      <c r="AD18339" s="9"/>
      <c r="AE18339" s="9"/>
      <c r="AF18339" s="9"/>
      <c r="AG18339" s="10"/>
    </row>
    <row r="18340" spans="1:33">
      <c r="A18340" s="9"/>
      <c r="B18340" s="9"/>
      <c r="C18340" s="9"/>
      <c r="D18340" s="9"/>
      <c r="E18340" s="9"/>
      <c r="F18340" s="9"/>
      <c r="G18340" s="9"/>
      <c r="H18340" s="9"/>
      <c r="I18340" s="9"/>
      <c r="J18340" s="9"/>
      <c r="K18340" s="9"/>
      <c r="L18340" s="9"/>
      <c r="M18340" s="9"/>
      <c r="N18340" s="9"/>
      <c r="O18340" s="9"/>
      <c r="P18340" s="9"/>
      <c r="Q18340" s="9"/>
      <c r="R18340" s="9"/>
      <c r="S18340" s="9"/>
      <c r="T18340" s="9"/>
      <c r="U18340" s="9"/>
      <c r="V18340" s="9"/>
      <c r="W18340" s="9"/>
      <c r="X18340" s="9"/>
      <c r="Y18340" s="9"/>
      <c r="Z18340" s="9"/>
      <c r="AA18340" s="9"/>
      <c r="AB18340" s="9"/>
      <c r="AC18340" s="9"/>
      <c r="AD18340" s="9"/>
      <c r="AE18340" s="9"/>
      <c r="AF18340" s="9"/>
      <c r="AG18340" s="10"/>
    </row>
    <row r="18341" spans="1:33">
      <c r="A18341" s="9"/>
      <c r="B18341" s="9"/>
      <c r="C18341" s="9"/>
      <c r="D18341" s="9"/>
      <c r="E18341" s="9"/>
      <c r="F18341" s="9"/>
      <c r="G18341" s="9"/>
      <c r="H18341" s="9"/>
      <c r="I18341" s="9"/>
      <c r="J18341" s="9"/>
      <c r="K18341" s="9"/>
      <c r="L18341" s="9"/>
      <c r="M18341" s="9"/>
      <c r="N18341" s="9"/>
      <c r="O18341" s="9"/>
      <c r="P18341" s="9"/>
      <c r="Q18341" s="9"/>
      <c r="R18341" s="9"/>
      <c r="S18341" s="9"/>
      <c r="T18341" s="9"/>
      <c r="U18341" s="9"/>
      <c r="V18341" s="9"/>
      <c r="W18341" s="9"/>
      <c r="X18341" s="9"/>
      <c r="Y18341" s="9"/>
      <c r="Z18341" s="9"/>
      <c r="AA18341" s="9"/>
      <c r="AB18341" s="9"/>
      <c r="AC18341" s="9"/>
      <c r="AD18341" s="9"/>
      <c r="AE18341" s="9"/>
      <c r="AF18341" s="9"/>
      <c r="AG18341" s="10"/>
    </row>
    <row r="18342" spans="1:33">
      <c r="A18342" s="9"/>
      <c r="B18342" s="9"/>
      <c r="C18342" s="9"/>
      <c r="D18342" s="9"/>
      <c r="E18342" s="9"/>
      <c r="F18342" s="9"/>
      <c r="G18342" s="9"/>
      <c r="H18342" s="9"/>
      <c r="I18342" s="9"/>
      <c r="J18342" s="9"/>
      <c r="K18342" s="9"/>
      <c r="L18342" s="9"/>
      <c r="M18342" s="9"/>
      <c r="N18342" s="9"/>
      <c r="O18342" s="9"/>
      <c r="P18342" s="9"/>
      <c r="Q18342" s="9"/>
      <c r="R18342" s="9"/>
      <c r="S18342" s="9"/>
      <c r="T18342" s="9"/>
      <c r="U18342" s="9"/>
      <c r="V18342" s="9"/>
      <c r="W18342" s="9"/>
      <c r="X18342" s="9"/>
      <c r="Y18342" s="9"/>
      <c r="Z18342" s="9"/>
      <c r="AA18342" s="9"/>
      <c r="AB18342" s="9"/>
      <c r="AC18342" s="9"/>
      <c r="AD18342" s="9"/>
      <c r="AE18342" s="9"/>
      <c r="AF18342" s="9"/>
      <c r="AG18342" s="10"/>
    </row>
    <row r="18343" spans="1:33">
      <c r="A18343" s="9"/>
      <c r="B18343" s="9"/>
      <c r="C18343" s="9"/>
      <c r="D18343" s="9"/>
      <c r="E18343" s="9"/>
      <c r="F18343" s="9"/>
      <c r="G18343" s="9"/>
      <c r="H18343" s="9"/>
      <c r="I18343" s="9"/>
      <c r="J18343" s="9"/>
      <c r="K18343" s="9"/>
      <c r="L18343" s="9"/>
      <c r="M18343" s="9"/>
      <c r="N18343" s="9"/>
      <c r="O18343" s="9"/>
      <c r="P18343" s="9"/>
      <c r="Q18343" s="9"/>
      <c r="R18343" s="9"/>
      <c r="S18343" s="9"/>
      <c r="T18343" s="9"/>
      <c r="U18343" s="9"/>
      <c r="V18343" s="9"/>
      <c r="W18343" s="9"/>
      <c r="X18343" s="9"/>
      <c r="Y18343" s="9"/>
      <c r="Z18343" s="9"/>
      <c r="AA18343" s="9"/>
      <c r="AB18343" s="9"/>
      <c r="AC18343" s="9"/>
      <c r="AD18343" s="9"/>
      <c r="AE18343" s="9"/>
      <c r="AF18343" s="9"/>
      <c r="AG18343" s="10"/>
    </row>
    <row r="18344" spans="1:33">
      <c r="A18344" s="9"/>
      <c r="B18344" s="9"/>
      <c r="C18344" s="9"/>
      <c r="D18344" s="9"/>
      <c r="E18344" s="9"/>
      <c r="F18344" s="9"/>
      <c r="G18344" s="9"/>
      <c r="H18344" s="9"/>
      <c r="I18344" s="9"/>
      <c r="J18344" s="9"/>
      <c r="K18344" s="9"/>
      <c r="L18344" s="9"/>
      <c r="M18344" s="9"/>
      <c r="N18344" s="9"/>
      <c r="O18344" s="9"/>
      <c r="P18344" s="9"/>
      <c r="Q18344" s="9"/>
      <c r="R18344" s="9"/>
      <c r="S18344" s="9"/>
      <c r="T18344" s="9"/>
      <c r="U18344" s="9"/>
      <c r="V18344" s="9"/>
      <c r="W18344" s="9"/>
      <c r="X18344" s="9"/>
      <c r="Y18344" s="9"/>
      <c r="Z18344" s="9"/>
      <c r="AA18344" s="9"/>
      <c r="AB18344" s="9"/>
      <c r="AC18344" s="9"/>
      <c r="AD18344" s="9"/>
      <c r="AE18344" s="9"/>
      <c r="AF18344" s="9"/>
      <c r="AG18344" s="10"/>
    </row>
    <row r="18345" spans="1:33">
      <c r="A18345" s="9"/>
      <c r="B18345" s="9"/>
      <c r="C18345" s="9"/>
      <c r="D18345" s="9"/>
      <c r="E18345" s="9"/>
      <c r="F18345" s="9"/>
      <c r="G18345" s="9"/>
      <c r="H18345" s="9"/>
      <c r="I18345" s="9"/>
      <c r="J18345" s="9"/>
      <c r="K18345" s="9"/>
      <c r="L18345" s="9"/>
      <c r="M18345" s="9"/>
      <c r="N18345" s="9"/>
      <c r="O18345" s="9"/>
      <c r="P18345" s="9"/>
      <c r="Q18345" s="9"/>
      <c r="R18345" s="9"/>
      <c r="S18345" s="9"/>
      <c r="T18345" s="9"/>
      <c r="U18345" s="9"/>
      <c r="V18345" s="9"/>
      <c r="W18345" s="9"/>
      <c r="X18345" s="9"/>
      <c r="Y18345" s="9"/>
      <c r="Z18345" s="9"/>
      <c r="AA18345" s="9"/>
      <c r="AB18345" s="9"/>
      <c r="AC18345" s="9"/>
      <c r="AD18345" s="9"/>
      <c r="AE18345" s="9"/>
      <c r="AF18345" s="9"/>
      <c r="AG18345" s="10"/>
    </row>
    <row r="18346" spans="1:33">
      <c r="A18346" s="9"/>
      <c r="B18346" s="9"/>
      <c r="C18346" s="9"/>
      <c r="D18346" s="9"/>
      <c r="E18346" s="9"/>
      <c r="F18346" s="9"/>
      <c r="G18346" s="9"/>
      <c r="H18346" s="9"/>
      <c r="I18346" s="9"/>
      <c r="J18346" s="9"/>
      <c r="K18346" s="9"/>
      <c r="L18346" s="9"/>
      <c r="M18346" s="9"/>
      <c r="N18346" s="9"/>
      <c r="O18346" s="9"/>
      <c r="P18346" s="9"/>
      <c r="Q18346" s="9"/>
      <c r="R18346" s="9"/>
      <c r="S18346" s="9"/>
      <c r="T18346" s="9"/>
      <c r="U18346" s="9"/>
      <c r="V18346" s="9"/>
      <c r="W18346" s="9"/>
      <c r="X18346" s="9"/>
      <c r="Y18346" s="9"/>
      <c r="Z18346" s="9"/>
      <c r="AA18346" s="9"/>
      <c r="AB18346" s="9"/>
      <c r="AC18346" s="9"/>
      <c r="AD18346" s="9"/>
      <c r="AE18346" s="9"/>
      <c r="AF18346" s="9"/>
      <c r="AG18346" s="10"/>
    </row>
    <row r="18347" spans="1:33">
      <c r="A18347" s="9"/>
      <c r="B18347" s="9"/>
      <c r="C18347" s="9"/>
      <c r="D18347" s="9"/>
      <c r="E18347" s="9"/>
      <c r="F18347" s="9"/>
      <c r="G18347" s="9"/>
      <c r="H18347" s="9"/>
      <c r="I18347" s="9"/>
      <c r="J18347" s="9"/>
      <c r="K18347" s="9"/>
      <c r="L18347" s="9"/>
      <c r="M18347" s="9"/>
      <c r="N18347" s="9"/>
      <c r="O18347" s="9"/>
      <c r="P18347" s="9"/>
      <c r="Q18347" s="9"/>
      <c r="R18347" s="9"/>
      <c r="S18347" s="9"/>
      <c r="T18347" s="9"/>
      <c r="U18347" s="9"/>
      <c r="V18347" s="9"/>
      <c r="W18347" s="9"/>
      <c r="X18347" s="9"/>
      <c r="Y18347" s="9"/>
      <c r="Z18347" s="9"/>
      <c r="AA18347" s="9"/>
      <c r="AB18347" s="9"/>
      <c r="AC18347" s="9"/>
      <c r="AD18347" s="9"/>
      <c r="AE18347" s="9"/>
      <c r="AF18347" s="9"/>
      <c r="AG18347" s="10"/>
    </row>
    <row r="18348" spans="1:33">
      <c r="A18348" s="9"/>
      <c r="B18348" s="9"/>
      <c r="C18348" s="9"/>
      <c r="D18348" s="9"/>
      <c r="E18348" s="9"/>
      <c r="F18348" s="9"/>
      <c r="G18348" s="9"/>
      <c r="H18348" s="9"/>
      <c r="I18348" s="9"/>
      <c r="J18348" s="9"/>
      <c r="K18348" s="9"/>
      <c r="L18348" s="9"/>
      <c r="M18348" s="9"/>
      <c r="N18348" s="9"/>
      <c r="O18348" s="9"/>
      <c r="P18348" s="9"/>
      <c r="Q18348" s="9"/>
      <c r="R18348" s="9"/>
      <c r="S18348" s="9"/>
      <c r="T18348" s="9"/>
      <c r="U18348" s="9"/>
      <c r="V18348" s="9"/>
      <c r="W18348" s="9"/>
      <c r="X18348" s="9"/>
      <c r="Y18348" s="9"/>
      <c r="Z18348" s="9"/>
      <c r="AA18348" s="9"/>
      <c r="AB18348" s="9"/>
      <c r="AC18348" s="9"/>
      <c r="AD18348" s="9"/>
      <c r="AE18348" s="9"/>
      <c r="AF18348" s="9"/>
      <c r="AG18348" s="10"/>
    </row>
    <row r="18349" spans="1:33">
      <c r="A18349" s="9"/>
      <c r="B18349" s="9"/>
      <c r="C18349" s="9"/>
      <c r="D18349" s="9"/>
      <c r="E18349" s="9"/>
      <c r="F18349" s="9"/>
      <c r="G18349" s="9"/>
      <c r="H18349" s="9"/>
      <c r="I18349" s="9"/>
      <c r="J18349" s="9"/>
      <c r="K18349" s="9"/>
      <c r="L18349" s="9"/>
      <c r="M18349" s="9"/>
      <c r="N18349" s="9"/>
      <c r="O18349" s="9"/>
      <c r="P18349" s="9"/>
      <c r="Q18349" s="9"/>
      <c r="R18349" s="9"/>
      <c r="S18349" s="9"/>
      <c r="T18349" s="9"/>
      <c r="U18349" s="9"/>
      <c r="V18349" s="9"/>
      <c r="W18349" s="9"/>
      <c r="X18349" s="9"/>
      <c r="Y18349" s="9"/>
      <c r="Z18349" s="9"/>
      <c r="AA18349" s="9"/>
      <c r="AB18349" s="9"/>
      <c r="AC18349" s="9"/>
      <c r="AD18349" s="9"/>
      <c r="AE18349" s="9"/>
      <c r="AF18349" s="9"/>
      <c r="AG18349" s="10"/>
    </row>
    <row r="18350" spans="1:33">
      <c r="A18350" s="9"/>
      <c r="B18350" s="9"/>
      <c r="C18350" s="9"/>
      <c r="D18350" s="9"/>
      <c r="E18350" s="9"/>
      <c r="F18350" s="9"/>
      <c r="G18350" s="9"/>
      <c r="H18350" s="9"/>
      <c r="I18350" s="9"/>
      <c r="J18350" s="9"/>
      <c r="K18350" s="9"/>
      <c r="L18350" s="9"/>
      <c r="M18350" s="9"/>
      <c r="N18350" s="9"/>
      <c r="O18350" s="9"/>
      <c r="P18350" s="9"/>
      <c r="Q18350" s="9"/>
      <c r="R18350" s="9"/>
      <c r="S18350" s="9"/>
      <c r="T18350" s="9"/>
      <c r="U18350" s="9"/>
      <c r="V18350" s="9"/>
      <c r="W18350" s="9"/>
      <c r="X18350" s="9"/>
      <c r="Y18350" s="9"/>
      <c r="Z18350" s="9"/>
      <c r="AA18350" s="9"/>
      <c r="AB18350" s="9"/>
      <c r="AC18350" s="9"/>
      <c r="AD18350" s="9"/>
      <c r="AE18350" s="9"/>
      <c r="AF18350" s="9"/>
      <c r="AG18350" s="10"/>
    </row>
    <row r="18351" spans="1:33">
      <c r="A18351" s="9"/>
      <c r="B18351" s="9"/>
      <c r="C18351" s="9"/>
      <c r="D18351" s="9"/>
      <c r="E18351" s="9"/>
      <c r="F18351" s="9"/>
      <c r="G18351" s="9"/>
      <c r="H18351" s="9"/>
      <c r="I18351" s="9"/>
      <c r="J18351" s="9"/>
      <c r="K18351" s="9"/>
      <c r="L18351" s="9"/>
      <c r="M18351" s="9"/>
      <c r="N18351" s="9"/>
      <c r="O18351" s="9"/>
      <c r="P18351" s="9"/>
      <c r="Q18351" s="9"/>
      <c r="R18351" s="9"/>
      <c r="S18351" s="9"/>
      <c r="T18351" s="9"/>
      <c r="U18351" s="9"/>
      <c r="V18351" s="9"/>
      <c r="W18351" s="9"/>
      <c r="X18351" s="9"/>
      <c r="Y18351" s="9"/>
      <c r="Z18351" s="9"/>
      <c r="AA18351" s="9"/>
      <c r="AB18351" s="9"/>
      <c r="AC18351" s="9"/>
      <c r="AD18351" s="9"/>
      <c r="AE18351" s="9"/>
      <c r="AF18351" s="9"/>
      <c r="AG18351" s="10"/>
    </row>
    <row r="18352" spans="1:33">
      <c r="A18352" s="9"/>
      <c r="B18352" s="9"/>
      <c r="C18352" s="9"/>
      <c r="D18352" s="9"/>
      <c r="E18352" s="9"/>
      <c r="F18352" s="9"/>
      <c r="G18352" s="9"/>
      <c r="H18352" s="9"/>
      <c r="I18352" s="9"/>
      <c r="J18352" s="9"/>
      <c r="K18352" s="9"/>
      <c r="L18352" s="9"/>
      <c r="M18352" s="9"/>
      <c r="N18352" s="9"/>
      <c r="O18352" s="9"/>
      <c r="P18352" s="9"/>
      <c r="Q18352" s="9"/>
      <c r="R18352" s="9"/>
      <c r="S18352" s="9"/>
      <c r="T18352" s="9"/>
      <c r="U18352" s="9"/>
      <c r="V18352" s="9"/>
      <c r="W18352" s="9"/>
      <c r="X18352" s="9"/>
      <c r="Y18352" s="9"/>
      <c r="Z18352" s="9"/>
      <c r="AA18352" s="9"/>
      <c r="AB18352" s="9"/>
      <c r="AC18352" s="9"/>
      <c r="AD18352" s="9"/>
      <c r="AE18352" s="9"/>
      <c r="AF18352" s="9"/>
      <c r="AG18352" s="10"/>
    </row>
    <row r="18353" spans="1:33">
      <c r="A18353" s="9"/>
      <c r="B18353" s="9"/>
      <c r="C18353" s="9"/>
      <c r="D18353" s="9"/>
      <c r="E18353" s="9"/>
      <c r="F18353" s="9"/>
      <c r="G18353" s="9"/>
      <c r="H18353" s="9"/>
      <c r="I18353" s="9"/>
      <c r="J18353" s="9"/>
      <c r="K18353" s="9"/>
      <c r="L18353" s="9"/>
      <c r="M18353" s="9"/>
      <c r="N18353" s="9"/>
      <c r="O18353" s="9"/>
      <c r="P18353" s="9"/>
      <c r="Q18353" s="9"/>
      <c r="R18353" s="9"/>
      <c r="S18353" s="9"/>
      <c r="T18353" s="9"/>
      <c r="U18353" s="9"/>
      <c r="V18353" s="9"/>
      <c r="W18353" s="9"/>
      <c r="X18353" s="9"/>
      <c r="Y18353" s="9"/>
      <c r="Z18353" s="9"/>
      <c r="AA18353" s="9"/>
      <c r="AB18353" s="9"/>
      <c r="AC18353" s="9"/>
      <c r="AD18353" s="9"/>
      <c r="AE18353" s="9"/>
      <c r="AF18353" s="9"/>
      <c r="AG18353" s="10"/>
    </row>
    <row r="18354" spans="1:33">
      <c r="A18354" s="9"/>
      <c r="B18354" s="9"/>
      <c r="C18354" s="9"/>
      <c r="D18354" s="9"/>
      <c r="E18354" s="9"/>
      <c r="F18354" s="9"/>
      <c r="G18354" s="9"/>
      <c r="H18354" s="9"/>
      <c r="I18354" s="9"/>
      <c r="J18354" s="9"/>
      <c r="K18354" s="9"/>
      <c r="L18354" s="9"/>
      <c r="M18354" s="9"/>
      <c r="N18354" s="9"/>
      <c r="O18354" s="9"/>
      <c r="P18354" s="9"/>
      <c r="Q18354" s="9"/>
      <c r="R18354" s="9"/>
      <c r="S18354" s="9"/>
      <c r="T18354" s="9"/>
      <c r="U18354" s="9"/>
      <c r="V18354" s="9"/>
      <c r="W18354" s="9"/>
      <c r="X18354" s="9"/>
      <c r="Y18354" s="9"/>
      <c r="Z18354" s="9"/>
      <c r="AA18354" s="9"/>
      <c r="AB18354" s="9"/>
      <c r="AC18354" s="9"/>
      <c r="AD18354" s="9"/>
      <c r="AE18354" s="9"/>
      <c r="AF18354" s="9"/>
      <c r="AG18354" s="10"/>
    </row>
    <row r="18355" spans="1:33">
      <c r="A18355" s="9"/>
      <c r="B18355" s="9"/>
      <c r="C18355" s="9"/>
      <c r="D18355" s="9"/>
      <c r="E18355" s="9"/>
      <c r="F18355" s="9"/>
      <c r="G18355" s="9"/>
      <c r="H18355" s="9"/>
      <c r="I18355" s="9"/>
      <c r="J18355" s="9"/>
      <c r="K18355" s="9"/>
      <c r="L18355" s="9"/>
      <c r="M18355" s="9"/>
      <c r="N18355" s="9"/>
      <c r="O18355" s="9"/>
      <c r="P18355" s="9"/>
      <c r="Q18355" s="9"/>
      <c r="R18355" s="9"/>
      <c r="S18355" s="9"/>
      <c r="T18355" s="9"/>
      <c r="U18355" s="9"/>
      <c r="V18355" s="9"/>
      <c r="W18355" s="9"/>
      <c r="X18355" s="9"/>
      <c r="Y18355" s="9"/>
      <c r="Z18355" s="9"/>
      <c r="AA18355" s="9"/>
      <c r="AB18355" s="9"/>
      <c r="AC18355" s="9"/>
      <c r="AD18355" s="9"/>
      <c r="AE18355" s="9"/>
      <c r="AF18355" s="9"/>
      <c r="AG18355" s="10"/>
    </row>
    <row r="18356" spans="1:33">
      <c r="A18356" s="9"/>
      <c r="B18356" s="9"/>
      <c r="C18356" s="9"/>
      <c r="D18356" s="9"/>
      <c r="E18356" s="9"/>
      <c r="F18356" s="9"/>
      <c r="G18356" s="9"/>
      <c r="H18356" s="9"/>
      <c r="I18356" s="9"/>
      <c r="J18356" s="9"/>
      <c r="K18356" s="9"/>
      <c r="L18356" s="9"/>
      <c r="M18356" s="9"/>
      <c r="N18356" s="9"/>
      <c r="O18356" s="9"/>
      <c r="P18356" s="9"/>
      <c r="Q18356" s="9"/>
      <c r="R18356" s="9"/>
      <c r="S18356" s="9"/>
      <c r="T18356" s="9"/>
      <c r="U18356" s="9"/>
      <c r="V18356" s="9"/>
      <c r="W18356" s="9"/>
      <c r="X18356" s="9"/>
      <c r="Y18356" s="9"/>
      <c r="Z18356" s="9"/>
      <c r="AA18356" s="9"/>
      <c r="AB18356" s="9"/>
      <c r="AC18356" s="9"/>
      <c r="AD18356" s="9"/>
      <c r="AE18356" s="9"/>
      <c r="AF18356" s="9"/>
      <c r="AG18356" s="10"/>
    </row>
    <row r="18357" spans="1:33">
      <c r="A18357" s="9"/>
      <c r="B18357" s="9"/>
      <c r="C18357" s="9"/>
      <c r="D18357" s="9"/>
      <c r="E18357" s="9"/>
      <c r="F18357" s="9"/>
      <c r="G18357" s="9"/>
      <c r="H18357" s="9"/>
      <c r="I18357" s="9"/>
      <c r="J18357" s="9"/>
      <c r="K18357" s="9"/>
      <c r="L18357" s="9"/>
      <c r="M18357" s="9"/>
      <c r="N18357" s="9"/>
      <c r="O18357" s="9"/>
      <c r="P18357" s="9"/>
      <c r="Q18357" s="9"/>
      <c r="R18357" s="9"/>
      <c r="S18357" s="9"/>
      <c r="T18357" s="9"/>
      <c r="U18357" s="9"/>
      <c r="V18357" s="9"/>
      <c r="W18357" s="9"/>
      <c r="X18357" s="9"/>
      <c r="Y18357" s="9"/>
      <c r="Z18357" s="9"/>
      <c r="AA18357" s="9"/>
      <c r="AB18357" s="9"/>
      <c r="AC18357" s="9"/>
      <c r="AD18357" s="9"/>
      <c r="AE18357" s="9"/>
      <c r="AF18357" s="9"/>
      <c r="AG18357" s="10"/>
    </row>
    <row r="18358" spans="1:33">
      <c r="A18358" s="9"/>
      <c r="B18358" s="9"/>
      <c r="C18358" s="9"/>
      <c r="D18358" s="9"/>
      <c r="E18358" s="9"/>
      <c r="F18358" s="9"/>
      <c r="G18358" s="9"/>
      <c r="H18358" s="9"/>
      <c r="I18358" s="9"/>
      <c r="J18358" s="9"/>
      <c r="K18358" s="9"/>
      <c r="L18358" s="9"/>
      <c r="M18358" s="9"/>
      <c r="N18358" s="9"/>
      <c r="O18358" s="9"/>
      <c r="P18358" s="9"/>
      <c r="Q18358" s="9"/>
      <c r="R18358" s="9"/>
      <c r="S18358" s="9"/>
      <c r="T18358" s="9"/>
      <c r="U18358" s="9"/>
      <c r="V18358" s="9"/>
      <c r="W18358" s="9"/>
      <c r="X18358" s="9"/>
      <c r="Y18358" s="9"/>
      <c r="Z18358" s="9"/>
      <c r="AA18358" s="9"/>
      <c r="AB18358" s="9"/>
      <c r="AC18358" s="9"/>
      <c r="AD18358" s="9"/>
      <c r="AE18358" s="9"/>
      <c r="AF18358" s="9"/>
      <c r="AG18358" s="10"/>
    </row>
    <row r="18359" spans="1:33">
      <c r="A18359" s="9"/>
      <c r="B18359" s="9"/>
      <c r="C18359" s="9"/>
      <c r="D18359" s="9"/>
      <c r="E18359" s="9"/>
      <c r="F18359" s="9"/>
      <c r="G18359" s="9"/>
      <c r="H18359" s="9"/>
      <c r="I18359" s="9"/>
      <c r="J18359" s="9"/>
      <c r="K18359" s="9"/>
      <c r="L18359" s="9"/>
      <c r="M18359" s="9"/>
      <c r="N18359" s="9"/>
      <c r="O18359" s="9"/>
      <c r="P18359" s="9"/>
      <c r="Q18359" s="9"/>
      <c r="R18359" s="9"/>
      <c r="S18359" s="9"/>
      <c r="T18359" s="9"/>
      <c r="U18359" s="9"/>
      <c r="V18359" s="9"/>
      <c r="W18359" s="9"/>
      <c r="X18359" s="9"/>
      <c r="Y18359" s="9"/>
      <c r="Z18359" s="9"/>
      <c r="AA18359" s="9"/>
      <c r="AB18359" s="9"/>
      <c r="AC18359" s="9"/>
      <c r="AD18359" s="9"/>
      <c r="AE18359" s="9"/>
      <c r="AF18359" s="9"/>
      <c r="AG18359" s="10"/>
    </row>
    <row r="18360" spans="1:33">
      <c r="A18360" s="9"/>
      <c r="B18360" s="9"/>
      <c r="C18360" s="9"/>
      <c r="D18360" s="9"/>
      <c r="E18360" s="9"/>
      <c r="F18360" s="9"/>
      <c r="G18360" s="9"/>
      <c r="H18360" s="9"/>
      <c r="I18360" s="9"/>
      <c r="J18360" s="9"/>
      <c r="K18360" s="9"/>
      <c r="L18360" s="9"/>
      <c r="M18360" s="9"/>
      <c r="N18360" s="9"/>
      <c r="O18360" s="9"/>
      <c r="P18360" s="9"/>
      <c r="Q18360" s="9"/>
      <c r="R18360" s="9"/>
      <c r="S18360" s="9"/>
      <c r="T18360" s="9"/>
      <c r="U18360" s="9"/>
      <c r="V18360" s="9"/>
      <c r="W18360" s="9"/>
      <c r="X18360" s="9"/>
      <c r="Y18360" s="9"/>
      <c r="Z18360" s="9"/>
      <c r="AA18360" s="9"/>
      <c r="AB18360" s="9"/>
      <c r="AC18360" s="9"/>
      <c r="AD18360" s="9"/>
      <c r="AE18360" s="9"/>
      <c r="AF18360" s="9"/>
      <c r="AG18360" s="10"/>
    </row>
    <row r="18361" spans="1:33">
      <c r="A18361" s="9"/>
      <c r="B18361" s="9"/>
      <c r="C18361" s="9"/>
      <c r="D18361" s="9"/>
      <c r="E18361" s="9"/>
      <c r="F18361" s="9"/>
      <c r="G18361" s="9"/>
      <c r="H18361" s="9"/>
      <c r="I18361" s="9"/>
      <c r="J18361" s="9"/>
      <c r="K18361" s="9"/>
      <c r="L18361" s="9"/>
      <c r="M18361" s="9"/>
      <c r="N18361" s="9"/>
      <c r="O18361" s="9"/>
      <c r="P18361" s="9"/>
      <c r="Q18361" s="9"/>
      <c r="R18361" s="9"/>
      <c r="S18361" s="9"/>
      <c r="T18361" s="9"/>
      <c r="U18361" s="9"/>
      <c r="V18361" s="9"/>
      <c r="W18361" s="9"/>
      <c r="X18361" s="9"/>
      <c r="Y18361" s="9"/>
      <c r="Z18361" s="9"/>
      <c r="AA18361" s="9"/>
      <c r="AB18361" s="9"/>
      <c r="AC18361" s="9"/>
      <c r="AD18361" s="9"/>
      <c r="AE18361" s="9"/>
      <c r="AF18361" s="9"/>
      <c r="AG18361" s="10"/>
    </row>
    <row r="18362" spans="1:33">
      <c r="A18362" s="9"/>
      <c r="B18362" s="9"/>
      <c r="C18362" s="9"/>
      <c r="D18362" s="9"/>
      <c r="E18362" s="9"/>
      <c r="F18362" s="9"/>
      <c r="G18362" s="9"/>
      <c r="H18362" s="9"/>
      <c r="I18362" s="9"/>
      <c r="J18362" s="9"/>
      <c r="K18362" s="9"/>
      <c r="L18362" s="9"/>
      <c r="M18362" s="9"/>
      <c r="N18362" s="9"/>
      <c r="O18362" s="9"/>
      <c r="P18362" s="9"/>
      <c r="Q18362" s="9"/>
      <c r="R18362" s="9"/>
      <c r="S18362" s="9"/>
      <c r="T18362" s="9"/>
      <c r="U18362" s="9"/>
      <c r="V18362" s="9"/>
      <c r="W18362" s="9"/>
      <c r="X18362" s="9"/>
      <c r="Y18362" s="9"/>
      <c r="Z18362" s="9"/>
      <c r="AA18362" s="9"/>
      <c r="AB18362" s="9"/>
      <c r="AC18362" s="9"/>
      <c r="AD18362" s="9"/>
      <c r="AE18362" s="9"/>
      <c r="AF18362" s="9"/>
      <c r="AG18362" s="10"/>
    </row>
    <row r="18363" spans="1:33">
      <c r="A18363" s="9"/>
      <c r="B18363" s="9"/>
      <c r="C18363" s="9"/>
      <c r="D18363" s="9"/>
      <c r="E18363" s="9"/>
      <c r="F18363" s="9"/>
      <c r="G18363" s="9"/>
      <c r="H18363" s="9"/>
      <c r="I18363" s="9"/>
      <c r="J18363" s="9"/>
      <c r="K18363" s="9"/>
      <c r="L18363" s="9"/>
      <c r="M18363" s="9"/>
      <c r="N18363" s="9"/>
      <c r="O18363" s="9"/>
      <c r="P18363" s="9"/>
      <c r="Q18363" s="9"/>
      <c r="R18363" s="9"/>
      <c r="S18363" s="9"/>
      <c r="T18363" s="9"/>
      <c r="U18363" s="9"/>
      <c r="V18363" s="9"/>
      <c r="W18363" s="9"/>
      <c r="X18363" s="9"/>
      <c r="Y18363" s="9"/>
      <c r="Z18363" s="9"/>
      <c r="AA18363" s="9"/>
      <c r="AB18363" s="9"/>
      <c r="AC18363" s="9"/>
      <c r="AD18363" s="9"/>
      <c r="AE18363" s="9"/>
      <c r="AF18363" s="9"/>
      <c r="AG18363" s="10"/>
    </row>
    <row r="18364" spans="1:33">
      <c r="A18364" s="9"/>
      <c r="B18364" s="9"/>
      <c r="C18364" s="9"/>
      <c r="D18364" s="9"/>
      <c r="E18364" s="9"/>
      <c r="F18364" s="9"/>
      <c r="G18364" s="9"/>
      <c r="H18364" s="9"/>
      <c r="I18364" s="9"/>
      <c r="J18364" s="9"/>
      <c r="K18364" s="9"/>
      <c r="L18364" s="9"/>
      <c r="M18364" s="9"/>
      <c r="N18364" s="9"/>
      <c r="O18364" s="9"/>
      <c r="P18364" s="9"/>
      <c r="Q18364" s="9"/>
      <c r="R18364" s="9"/>
      <c r="S18364" s="9"/>
      <c r="T18364" s="9"/>
      <c r="U18364" s="9"/>
      <c r="V18364" s="9"/>
      <c r="W18364" s="9"/>
      <c r="X18364" s="9"/>
      <c r="Y18364" s="9"/>
      <c r="Z18364" s="9"/>
      <c r="AA18364" s="9"/>
      <c r="AB18364" s="9"/>
      <c r="AC18364" s="9"/>
      <c r="AD18364" s="9"/>
      <c r="AE18364" s="9"/>
      <c r="AF18364" s="9"/>
      <c r="AG18364" s="10"/>
    </row>
    <row r="18365" spans="1:33">
      <c r="A18365" s="9"/>
      <c r="B18365" s="9"/>
      <c r="C18365" s="9"/>
      <c r="D18365" s="9"/>
      <c r="E18365" s="9"/>
      <c r="F18365" s="9"/>
      <c r="G18365" s="9"/>
      <c r="H18365" s="9"/>
      <c r="I18365" s="9"/>
      <c r="J18365" s="9"/>
      <c r="K18365" s="9"/>
      <c r="L18365" s="9"/>
      <c r="M18365" s="9"/>
      <c r="N18365" s="9"/>
      <c r="O18365" s="9"/>
      <c r="P18365" s="9"/>
      <c r="Q18365" s="9"/>
      <c r="R18365" s="9"/>
      <c r="S18365" s="9"/>
      <c r="T18365" s="9"/>
      <c r="U18365" s="9"/>
      <c r="V18365" s="9"/>
      <c r="W18365" s="9"/>
      <c r="X18365" s="9"/>
      <c r="Y18365" s="9"/>
      <c r="Z18365" s="9"/>
      <c r="AA18365" s="9"/>
      <c r="AB18365" s="9"/>
      <c r="AC18365" s="9"/>
      <c r="AD18365" s="9"/>
      <c r="AE18365" s="9"/>
      <c r="AF18365" s="9"/>
      <c r="AG18365" s="10"/>
    </row>
    <row r="18366" spans="1:33">
      <c r="A18366" s="9"/>
      <c r="B18366" s="9"/>
      <c r="C18366" s="9"/>
      <c r="D18366" s="9"/>
      <c r="E18366" s="9"/>
      <c r="F18366" s="9"/>
      <c r="G18366" s="9"/>
      <c r="H18366" s="9"/>
      <c r="I18366" s="9"/>
      <c r="J18366" s="9"/>
      <c r="K18366" s="9"/>
      <c r="L18366" s="9"/>
      <c r="M18366" s="9"/>
      <c r="N18366" s="9"/>
      <c r="O18366" s="9"/>
      <c r="P18366" s="9"/>
      <c r="Q18366" s="9"/>
      <c r="R18366" s="9"/>
      <c r="S18366" s="9"/>
      <c r="T18366" s="9"/>
      <c r="U18366" s="9"/>
      <c r="V18366" s="9"/>
      <c r="W18366" s="9"/>
      <c r="X18366" s="9"/>
      <c r="Y18366" s="9"/>
      <c r="Z18366" s="9"/>
      <c r="AA18366" s="9"/>
      <c r="AB18366" s="9"/>
      <c r="AC18366" s="9"/>
      <c r="AD18366" s="9"/>
      <c r="AE18366" s="9"/>
      <c r="AF18366" s="9"/>
      <c r="AG18366" s="10"/>
    </row>
    <row r="18367" spans="1:33">
      <c r="A18367" s="9"/>
      <c r="B18367" s="9"/>
      <c r="C18367" s="9"/>
      <c r="D18367" s="9"/>
      <c r="E18367" s="9"/>
      <c r="F18367" s="9"/>
      <c r="G18367" s="9"/>
      <c r="H18367" s="9"/>
      <c r="I18367" s="9"/>
      <c r="J18367" s="9"/>
      <c r="K18367" s="9"/>
      <c r="L18367" s="9"/>
      <c r="M18367" s="9"/>
      <c r="N18367" s="9"/>
      <c r="O18367" s="9"/>
      <c r="P18367" s="9"/>
      <c r="Q18367" s="9"/>
      <c r="R18367" s="9"/>
      <c r="S18367" s="9"/>
      <c r="T18367" s="9"/>
      <c r="U18367" s="9"/>
      <c r="V18367" s="9"/>
      <c r="W18367" s="9"/>
      <c r="X18367" s="9"/>
      <c r="Y18367" s="9"/>
      <c r="Z18367" s="9"/>
      <c r="AA18367" s="9"/>
      <c r="AB18367" s="9"/>
      <c r="AC18367" s="9"/>
      <c r="AD18367" s="9"/>
      <c r="AE18367" s="9"/>
      <c r="AF18367" s="9"/>
      <c r="AG18367" s="10"/>
    </row>
    <row r="18368" spans="1:33">
      <c r="A18368" s="9"/>
      <c r="B18368" s="9"/>
      <c r="C18368" s="9"/>
      <c r="D18368" s="9"/>
      <c r="E18368" s="9"/>
      <c r="F18368" s="9"/>
      <c r="G18368" s="9"/>
      <c r="H18368" s="9"/>
      <c r="I18368" s="9"/>
      <c r="J18368" s="9"/>
      <c r="K18368" s="9"/>
      <c r="L18368" s="9"/>
      <c r="M18368" s="9"/>
      <c r="N18368" s="9"/>
      <c r="O18368" s="9"/>
      <c r="P18368" s="9"/>
      <c r="Q18368" s="9"/>
      <c r="R18368" s="9"/>
      <c r="S18368" s="9"/>
      <c r="T18368" s="9"/>
      <c r="U18368" s="9"/>
      <c r="V18368" s="9"/>
      <c r="W18368" s="9"/>
      <c r="X18368" s="9"/>
      <c r="Y18368" s="9"/>
      <c r="Z18368" s="9"/>
      <c r="AA18368" s="9"/>
      <c r="AB18368" s="9"/>
      <c r="AC18368" s="9"/>
      <c r="AD18368" s="9"/>
      <c r="AE18368" s="9"/>
      <c r="AF18368" s="9"/>
      <c r="AG18368" s="10"/>
    </row>
    <row r="18369" spans="1:33">
      <c r="A18369" s="9"/>
      <c r="B18369" s="9"/>
      <c r="C18369" s="9"/>
      <c r="D18369" s="9"/>
      <c r="E18369" s="9"/>
      <c r="F18369" s="9"/>
      <c r="G18369" s="9"/>
      <c r="H18369" s="9"/>
      <c r="I18369" s="9"/>
      <c r="J18369" s="9"/>
      <c r="K18369" s="9"/>
      <c r="L18369" s="9"/>
      <c r="M18369" s="9"/>
      <c r="N18369" s="9"/>
      <c r="O18369" s="9"/>
      <c r="P18369" s="9"/>
      <c r="Q18369" s="9"/>
      <c r="R18369" s="9"/>
      <c r="S18369" s="9"/>
      <c r="T18369" s="9"/>
      <c r="U18369" s="9"/>
      <c r="V18369" s="9"/>
      <c r="W18369" s="9"/>
      <c r="X18369" s="9"/>
      <c r="Y18369" s="9"/>
      <c r="Z18369" s="9"/>
      <c r="AA18369" s="9"/>
      <c r="AB18369" s="9"/>
      <c r="AC18369" s="9"/>
      <c r="AD18369" s="9"/>
      <c r="AE18369" s="9"/>
      <c r="AF18369" s="9"/>
      <c r="AG18369" s="10"/>
    </row>
    <row r="18370" spans="1:33">
      <c r="A18370" s="9"/>
      <c r="B18370" s="9"/>
      <c r="C18370" s="9"/>
      <c r="D18370" s="9"/>
      <c r="E18370" s="9"/>
      <c r="F18370" s="9"/>
      <c r="G18370" s="9"/>
      <c r="H18370" s="9"/>
      <c r="I18370" s="9"/>
      <c r="J18370" s="9"/>
      <c r="K18370" s="9"/>
      <c r="L18370" s="9"/>
      <c r="M18370" s="9"/>
      <c r="N18370" s="9"/>
      <c r="O18370" s="9"/>
      <c r="P18370" s="9"/>
      <c r="Q18370" s="9"/>
      <c r="R18370" s="9"/>
      <c r="S18370" s="9"/>
      <c r="T18370" s="9"/>
      <c r="U18370" s="9"/>
      <c r="V18370" s="9"/>
      <c r="W18370" s="9"/>
      <c r="X18370" s="9"/>
      <c r="Y18370" s="9"/>
      <c r="Z18370" s="9"/>
      <c r="AA18370" s="9"/>
      <c r="AB18370" s="9"/>
      <c r="AC18370" s="9"/>
      <c r="AD18370" s="9"/>
      <c r="AE18370" s="9"/>
      <c r="AF18370" s="9"/>
      <c r="AG18370" s="10"/>
    </row>
    <row r="18371" spans="1:33">
      <c r="A18371" s="9"/>
      <c r="B18371" s="9"/>
      <c r="C18371" s="9"/>
      <c r="D18371" s="9"/>
      <c r="E18371" s="9"/>
      <c r="F18371" s="9"/>
      <c r="G18371" s="9"/>
      <c r="H18371" s="9"/>
      <c r="I18371" s="9"/>
      <c r="J18371" s="9"/>
      <c r="K18371" s="9"/>
      <c r="L18371" s="9"/>
      <c r="M18371" s="9"/>
      <c r="N18371" s="9"/>
      <c r="O18371" s="9"/>
      <c r="P18371" s="9"/>
      <c r="Q18371" s="9"/>
      <c r="R18371" s="9"/>
      <c r="S18371" s="9"/>
      <c r="T18371" s="9"/>
      <c r="U18371" s="9"/>
      <c r="V18371" s="9"/>
      <c r="W18371" s="9"/>
      <c r="X18371" s="9"/>
      <c r="Y18371" s="9"/>
      <c r="Z18371" s="9"/>
      <c r="AA18371" s="9"/>
      <c r="AB18371" s="9"/>
      <c r="AC18371" s="9"/>
      <c r="AD18371" s="9"/>
      <c r="AE18371" s="9"/>
      <c r="AF18371" s="9"/>
      <c r="AG18371" s="10"/>
    </row>
    <row r="18372" spans="1:33">
      <c r="A18372" s="9"/>
      <c r="B18372" s="9"/>
      <c r="C18372" s="9"/>
      <c r="D18372" s="9"/>
      <c r="E18372" s="9"/>
      <c r="F18372" s="9"/>
      <c r="G18372" s="9"/>
      <c r="H18372" s="9"/>
      <c r="I18372" s="9"/>
      <c r="J18372" s="9"/>
      <c r="K18372" s="9"/>
      <c r="L18372" s="9"/>
      <c r="M18372" s="9"/>
      <c r="N18372" s="9"/>
      <c r="O18372" s="9"/>
      <c r="P18372" s="9"/>
      <c r="Q18372" s="9"/>
      <c r="R18372" s="9"/>
      <c r="S18372" s="9"/>
      <c r="T18372" s="9"/>
      <c r="U18372" s="9"/>
      <c r="V18372" s="9"/>
      <c r="W18372" s="9"/>
      <c r="X18372" s="9"/>
      <c r="Y18372" s="9"/>
      <c r="Z18372" s="9"/>
      <c r="AA18372" s="9"/>
      <c r="AB18372" s="9"/>
      <c r="AC18372" s="9"/>
      <c r="AD18372" s="9"/>
      <c r="AE18372" s="9"/>
      <c r="AF18372" s="9"/>
      <c r="AG18372" s="10"/>
    </row>
    <row r="18373" spans="1:33">
      <c r="A18373" s="9"/>
      <c r="B18373" s="9"/>
      <c r="C18373" s="9"/>
      <c r="D18373" s="9"/>
      <c r="E18373" s="9"/>
      <c r="F18373" s="9"/>
      <c r="G18373" s="9"/>
      <c r="H18373" s="9"/>
      <c r="I18373" s="9"/>
      <c r="J18373" s="9"/>
      <c r="K18373" s="9"/>
      <c r="L18373" s="9"/>
      <c r="M18373" s="9"/>
      <c r="N18373" s="9"/>
      <c r="O18373" s="9"/>
      <c r="P18373" s="9"/>
      <c r="Q18373" s="9"/>
      <c r="R18373" s="9"/>
      <c r="S18373" s="9"/>
      <c r="T18373" s="9"/>
      <c r="U18373" s="9"/>
      <c r="V18373" s="9"/>
      <c r="W18373" s="9"/>
      <c r="X18373" s="9"/>
      <c r="Y18373" s="9"/>
      <c r="Z18373" s="9"/>
      <c r="AA18373" s="9"/>
      <c r="AB18373" s="9"/>
      <c r="AC18373" s="9"/>
      <c r="AD18373" s="9"/>
      <c r="AE18373" s="9"/>
      <c r="AF18373" s="9"/>
      <c r="AG18373" s="10"/>
    </row>
    <row r="18374" spans="1:33">
      <c r="A18374" s="9"/>
      <c r="B18374" s="9"/>
      <c r="C18374" s="9"/>
      <c r="D18374" s="9"/>
      <c r="E18374" s="9"/>
      <c r="F18374" s="9"/>
      <c r="G18374" s="9"/>
      <c r="H18374" s="9"/>
      <c r="I18374" s="9"/>
      <c r="J18374" s="9"/>
      <c r="K18374" s="9"/>
      <c r="L18374" s="9"/>
      <c r="M18374" s="9"/>
      <c r="N18374" s="9"/>
      <c r="O18374" s="9"/>
      <c r="P18374" s="9"/>
      <c r="Q18374" s="9"/>
      <c r="R18374" s="9"/>
      <c r="S18374" s="9"/>
      <c r="T18374" s="9"/>
      <c r="U18374" s="9"/>
      <c r="V18374" s="9"/>
      <c r="W18374" s="9"/>
      <c r="X18374" s="9"/>
      <c r="Y18374" s="9"/>
      <c r="Z18374" s="9"/>
      <c r="AA18374" s="9"/>
      <c r="AB18374" s="9"/>
      <c r="AC18374" s="9"/>
      <c r="AD18374" s="9"/>
      <c r="AE18374" s="9"/>
      <c r="AF18374" s="9"/>
      <c r="AG18374" s="10"/>
    </row>
    <row r="18375" spans="1:33">
      <c r="A18375" s="9"/>
      <c r="B18375" s="9"/>
      <c r="C18375" s="9"/>
      <c r="D18375" s="9"/>
      <c r="E18375" s="9"/>
      <c r="F18375" s="9"/>
      <c r="G18375" s="9"/>
      <c r="H18375" s="9"/>
      <c r="I18375" s="9"/>
      <c r="J18375" s="9"/>
      <c r="K18375" s="9"/>
      <c r="L18375" s="9"/>
      <c r="M18375" s="9"/>
      <c r="N18375" s="9"/>
      <c r="O18375" s="9"/>
      <c r="P18375" s="9"/>
      <c r="Q18375" s="9"/>
      <c r="R18375" s="9"/>
      <c r="S18375" s="9"/>
      <c r="T18375" s="9"/>
      <c r="U18375" s="9"/>
      <c r="V18375" s="9"/>
      <c r="W18375" s="9"/>
      <c r="X18375" s="9"/>
      <c r="Y18375" s="9"/>
      <c r="Z18375" s="9"/>
      <c r="AA18375" s="9"/>
      <c r="AB18375" s="9"/>
      <c r="AC18375" s="9"/>
      <c r="AD18375" s="9"/>
      <c r="AE18375" s="9"/>
      <c r="AF18375" s="9"/>
      <c r="AG18375" s="10"/>
    </row>
    <row r="18376" spans="1:33">
      <c r="A18376" s="9"/>
      <c r="B18376" s="9"/>
      <c r="C18376" s="9"/>
      <c r="D18376" s="9"/>
      <c r="E18376" s="9"/>
      <c r="F18376" s="9"/>
      <c r="G18376" s="9"/>
      <c r="H18376" s="9"/>
      <c r="I18376" s="9"/>
      <c r="J18376" s="9"/>
      <c r="K18376" s="9"/>
      <c r="L18376" s="9"/>
      <c r="M18376" s="9"/>
      <c r="N18376" s="9"/>
      <c r="O18376" s="9"/>
      <c r="P18376" s="9"/>
      <c r="Q18376" s="9"/>
      <c r="R18376" s="9"/>
      <c r="S18376" s="9"/>
      <c r="T18376" s="9"/>
      <c r="U18376" s="9"/>
      <c r="V18376" s="9"/>
      <c r="W18376" s="9"/>
      <c r="X18376" s="9"/>
      <c r="Y18376" s="9"/>
      <c r="Z18376" s="9"/>
      <c r="AA18376" s="9"/>
      <c r="AB18376" s="9"/>
      <c r="AC18376" s="9"/>
      <c r="AD18376" s="9"/>
      <c r="AE18376" s="9"/>
      <c r="AF18376" s="9"/>
      <c r="AG18376" s="10"/>
    </row>
    <row r="18377" spans="1:33">
      <c r="A18377" s="9"/>
      <c r="B18377" s="9"/>
      <c r="C18377" s="9"/>
      <c r="D18377" s="9"/>
      <c r="E18377" s="9"/>
      <c r="F18377" s="9"/>
      <c r="G18377" s="9"/>
      <c r="H18377" s="9"/>
      <c r="I18377" s="9"/>
      <c r="J18377" s="9"/>
      <c r="K18377" s="9"/>
      <c r="L18377" s="9"/>
      <c r="M18377" s="9"/>
      <c r="N18377" s="9"/>
      <c r="O18377" s="9"/>
      <c r="P18377" s="9"/>
      <c r="Q18377" s="9"/>
      <c r="R18377" s="9"/>
      <c r="S18377" s="9"/>
      <c r="T18377" s="9"/>
      <c r="U18377" s="9"/>
      <c r="V18377" s="9"/>
      <c r="W18377" s="9"/>
      <c r="X18377" s="9"/>
      <c r="Y18377" s="9"/>
      <c r="Z18377" s="9"/>
      <c r="AA18377" s="9"/>
      <c r="AB18377" s="9"/>
      <c r="AC18377" s="9"/>
      <c r="AD18377" s="9"/>
      <c r="AE18377" s="9"/>
      <c r="AF18377" s="9"/>
      <c r="AG18377" s="10"/>
    </row>
    <row r="18378" spans="1:33">
      <c r="A18378" s="9"/>
      <c r="B18378" s="9"/>
      <c r="C18378" s="9"/>
      <c r="D18378" s="9"/>
      <c r="E18378" s="9"/>
      <c r="F18378" s="9"/>
      <c r="G18378" s="9"/>
      <c r="H18378" s="9"/>
      <c r="I18378" s="9"/>
      <c r="J18378" s="9"/>
      <c r="K18378" s="9"/>
      <c r="L18378" s="9"/>
      <c r="M18378" s="9"/>
      <c r="N18378" s="9"/>
      <c r="O18378" s="9"/>
      <c r="P18378" s="9"/>
      <c r="Q18378" s="9"/>
      <c r="R18378" s="9"/>
      <c r="S18378" s="9"/>
      <c r="T18378" s="9"/>
      <c r="U18378" s="9"/>
      <c r="V18378" s="9"/>
      <c r="W18378" s="9"/>
      <c r="X18378" s="9"/>
      <c r="Y18378" s="9"/>
      <c r="Z18378" s="9"/>
      <c r="AA18378" s="9"/>
      <c r="AB18378" s="9"/>
      <c r="AC18378" s="9"/>
      <c r="AD18378" s="9"/>
      <c r="AE18378" s="9"/>
      <c r="AF18378" s="9"/>
      <c r="AG18378" s="10"/>
    </row>
    <row r="18379" spans="1:33">
      <c r="A18379" s="9"/>
      <c r="B18379" s="9"/>
      <c r="C18379" s="9"/>
      <c r="D18379" s="9"/>
      <c r="E18379" s="9"/>
      <c r="F18379" s="9"/>
      <c r="G18379" s="9"/>
      <c r="H18379" s="9"/>
      <c r="I18379" s="9"/>
      <c r="J18379" s="9"/>
      <c r="K18379" s="9"/>
      <c r="L18379" s="9"/>
      <c r="M18379" s="9"/>
      <c r="N18379" s="9"/>
      <c r="O18379" s="9"/>
      <c r="P18379" s="9"/>
      <c r="Q18379" s="9"/>
      <c r="R18379" s="9"/>
      <c r="S18379" s="9"/>
      <c r="T18379" s="9"/>
      <c r="U18379" s="9"/>
      <c r="V18379" s="9"/>
      <c r="W18379" s="9"/>
      <c r="X18379" s="9"/>
      <c r="Y18379" s="9"/>
      <c r="Z18379" s="9"/>
      <c r="AA18379" s="9"/>
      <c r="AB18379" s="9"/>
      <c r="AC18379" s="9"/>
      <c r="AD18379" s="9"/>
      <c r="AE18379" s="9"/>
      <c r="AF18379" s="9"/>
      <c r="AG18379" s="10"/>
    </row>
    <row r="18380" spans="1:33">
      <c r="A18380" s="9"/>
      <c r="B18380" s="9"/>
      <c r="C18380" s="9"/>
      <c r="D18380" s="9"/>
      <c r="E18380" s="9"/>
      <c r="F18380" s="9"/>
      <c r="G18380" s="9"/>
      <c r="H18380" s="9"/>
      <c r="I18380" s="9"/>
      <c r="J18380" s="9"/>
      <c r="K18380" s="9"/>
      <c r="L18380" s="9"/>
      <c r="M18380" s="9"/>
      <c r="N18380" s="9"/>
      <c r="O18380" s="9"/>
      <c r="P18380" s="9"/>
      <c r="Q18380" s="9"/>
      <c r="R18380" s="9"/>
      <c r="S18380" s="9"/>
      <c r="T18380" s="9"/>
      <c r="U18380" s="9"/>
      <c r="V18380" s="9"/>
      <c r="W18380" s="9"/>
      <c r="X18380" s="9"/>
      <c r="Y18380" s="9"/>
      <c r="Z18380" s="9"/>
      <c r="AA18380" s="9"/>
      <c r="AB18380" s="9"/>
      <c r="AC18380" s="9"/>
      <c r="AD18380" s="9"/>
      <c r="AE18380" s="9"/>
      <c r="AF18380" s="9"/>
      <c r="AG18380" s="10"/>
    </row>
    <row r="18381" spans="1:33">
      <c r="A18381" s="9"/>
      <c r="B18381" s="9"/>
      <c r="C18381" s="9"/>
      <c r="D18381" s="9"/>
      <c r="E18381" s="9"/>
      <c r="F18381" s="9"/>
      <c r="G18381" s="9"/>
      <c r="H18381" s="9"/>
      <c r="I18381" s="9"/>
      <c r="J18381" s="9"/>
      <c r="K18381" s="9"/>
      <c r="L18381" s="9"/>
      <c r="M18381" s="9"/>
      <c r="N18381" s="9"/>
      <c r="O18381" s="9"/>
      <c r="P18381" s="9"/>
      <c r="Q18381" s="9"/>
      <c r="R18381" s="9"/>
      <c r="S18381" s="9"/>
      <c r="T18381" s="9"/>
      <c r="U18381" s="9"/>
      <c r="V18381" s="9"/>
      <c r="W18381" s="9"/>
      <c r="X18381" s="9"/>
      <c r="Y18381" s="9"/>
      <c r="Z18381" s="9"/>
      <c r="AA18381" s="9"/>
      <c r="AB18381" s="9"/>
      <c r="AC18381" s="9"/>
      <c r="AD18381" s="9"/>
      <c r="AE18381" s="9"/>
      <c r="AF18381" s="9"/>
      <c r="AG18381" s="10"/>
    </row>
    <row r="18382" spans="1:33">
      <c r="A18382" s="9"/>
      <c r="B18382" s="9"/>
      <c r="C18382" s="9"/>
      <c r="D18382" s="9"/>
      <c r="E18382" s="9"/>
      <c r="F18382" s="9"/>
      <c r="G18382" s="9"/>
      <c r="H18382" s="9"/>
      <c r="I18382" s="9"/>
      <c r="J18382" s="9"/>
      <c r="K18382" s="9"/>
      <c r="L18382" s="9"/>
      <c r="M18382" s="9"/>
      <c r="N18382" s="9"/>
      <c r="O18382" s="9"/>
      <c r="P18382" s="9"/>
      <c r="Q18382" s="9"/>
      <c r="R18382" s="9"/>
      <c r="S18382" s="9"/>
      <c r="T18382" s="9"/>
      <c r="U18382" s="9"/>
      <c r="V18382" s="9"/>
      <c r="W18382" s="9"/>
      <c r="X18382" s="9"/>
      <c r="Y18382" s="9"/>
      <c r="Z18382" s="9"/>
      <c r="AA18382" s="9"/>
      <c r="AB18382" s="9"/>
      <c r="AC18382" s="9"/>
      <c r="AD18382" s="9"/>
      <c r="AE18382" s="9"/>
      <c r="AF18382" s="9"/>
      <c r="AG18382" s="10"/>
    </row>
    <row r="18383" spans="1:33">
      <c r="A18383" s="9"/>
      <c r="B18383" s="9"/>
      <c r="C18383" s="9"/>
      <c r="D18383" s="9"/>
      <c r="E18383" s="9"/>
      <c r="F18383" s="9"/>
      <c r="G18383" s="9"/>
      <c r="H18383" s="9"/>
      <c r="I18383" s="9"/>
      <c r="J18383" s="9"/>
      <c r="K18383" s="9"/>
      <c r="L18383" s="9"/>
      <c r="M18383" s="9"/>
      <c r="N18383" s="9"/>
      <c r="O18383" s="9"/>
      <c r="P18383" s="9"/>
      <c r="Q18383" s="9"/>
      <c r="R18383" s="9"/>
      <c r="S18383" s="9"/>
      <c r="T18383" s="9"/>
      <c r="U18383" s="9"/>
      <c r="V18383" s="9"/>
      <c r="W18383" s="9"/>
      <c r="X18383" s="9"/>
      <c r="Y18383" s="9"/>
      <c r="Z18383" s="9"/>
      <c r="AA18383" s="9"/>
      <c r="AB18383" s="9"/>
      <c r="AC18383" s="9"/>
      <c r="AD18383" s="9"/>
      <c r="AE18383" s="9"/>
      <c r="AF18383" s="9"/>
      <c r="AG18383" s="10"/>
    </row>
    <row r="18384" spans="1:33">
      <c r="A18384" s="9"/>
      <c r="B18384" s="9"/>
      <c r="C18384" s="9"/>
      <c r="D18384" s="9"/>
      <c r="E18384" s="9"/>
      <c r="F18384" s="9"/>
      <c r="G18384" s="9"/>
      <c r="H18384" s="9"/>
      <c r="I18384" s="9"/>
      <c r="J18384" s="9"/>
      <c r="K18384" s="9"/>
      <c r="L18384" s="9"/>
      <c r="M18384" s="9"/>
      <c r="N18384" s="9"/>
      <c r="O18384" s="9"/>
      <c r="P18384" s="9"/>
      <c r="Q18384" s="9"/>
      <c r="R18384" s="9"/>
      <c r="S18384" s="9"/>
      <c r="T18384" s="9"/>
      <c r="U18384" s="9"/>
      <c r="V18384" s="9"/>
      <c r="W18384" s="9"/>
      <c r="X18384" s="9"/>
      <c r="Y18384" s="9"/>
      <c r="Z18384" s="9"/>
      <c r="AA18384" s="9"/>
      <c r="AB18384" s="9"/>
      <c r="AC18384" s="9"/>
      <c r="AD18384" s="9"/>
      <c r="AE18384" s="9"/>
      <c r="AF18384" s="9"/>
      <c r="AG18384" s="10"/>
    </row>
    <row r="18385" spans="1:33">
      <c r="A18385" s="9"/>
      <c r="B18385" s="9"/>
      <c r="C18385" s="9"/>
      <c r="D18385" s="9"/>
      <c r="E18385" s="9"/>
      <c r="F18385" s="9"/>
      <c r="G18385" s="9"/>
      <c r="H18385" s="9"/>
      <c r="I18385" s="9"/>
      <c r="J18385" s="9"/>
      <c r="K18385" s="9"/>
      <c r="L18385" s="9"/>
      <c r="M18385" s="9"/>
      <c r="N18385" s="9"/>
      <c r="O18385" s="9"/>
      <c r="P18385" s="9"/>
      <c r="Q18385" s="9"/>
      <c r="R18385" s="9"/>
      <c r="S18385" s="9"/>
      <c r="T18385" s="9"/>
      <c r="U18385" s="9"/>
      <c r="V18385" s="9"/>
      <c r="W18385" s="9"/>
      <c r="X18385" s="9"/>
      <c r="Y18385" s="9"/>
      <c r="Z18385" s="9"/>
      <c r="AA18385" s="9"/>
      <c r="AB18385" s="9"/>
      <c r="AC18385" s="9"/>
      <c r="AD18385" s="9"/>
      <c r="AE18385" s="9"/>
      <c r="AF18385" s="9"/>
      <c r="AG18385" s="10"/>
    </row>
    <row r="18386" spans="1:33">
      <c r="A18386" s="9"/>
      <c r="B18386" s="9"/>
      <c r="C18386" s="9"/>
      <c r="D18386" s="9"/>
      <c r="E18386" s="9"/>
      <c r="F18386" s="9"/>
      <c r="G18386" s="9"/>
      <c r="H18386" s="9"/>
      <c r="I18386" s="9"/>
      <c r="J18386" s="9"/>
      <c r="K18386" s="9"/>
      <c r="L18386" s="9"/>
      <c r="M18386" s="9"/>
      <c r="N18386" s="9"/>
      <c r="O18386" s="9"/>
      <c r="P18386" s="9"/>
      <c r="Q18386" s="9"/>
      <c r="R18386" s="9"/>
      <c r="S18386" s="9"/>
      <c r="T18386" s="9"/>
      <c r="U18386" s="9"/>
      <c r="V18386" s="9"/>
      <c r="W18386" s="9"/>
      <c r="X18386" s="9"/>
      <c r="Y18386" s="9"/>
      <c r="Z18386" s="9"/>
      <c r="AA18386" s="9"/>
      <c r="AB18386" s="9"/>
      <c r="AC18386" s="9"/>
      <c r="AD18386" s="9"/>
      <c r="AE18386" s="9"/>
      <c r="AF18386" s="9"/>
      <c r="AG18386" s="10"/>
    </row>
    <row r="18387" spans="1:33">
      <c r="A18387" s="9"/>
      <c r="B18387" s="9"/>
      <c r="C18387" s="9"/>
      <c r="D18387" s="9"/>
      <c r="E18387" s="9"/>
      <c r="F18387" s="9"/>
      <c r="G18387" s="9"/>
      <c r="H18387" s="9"/>
      <c r="I18387" s="9"/>
      <c r="J18387" s="9"/>
      <c r="K18387" s="9"/>
      <c r="L18387" s="9"/>
      <c r="M18387" s="9"/>
      <c r="N18387" s="9"/>
      <c r="O18387" s="9"/>
      <c r="P18387" s="9"/>
      <c r="Q18387" s="9"/>
      <c r="R18387" s="9"/>
      <c r="S18387" s="9"/>
      <c r="T18387" s="9"/>
      <c r="U18387" s="9"/>
      <c r="V18387" s="9"/>
      <c r="W18387" s="9"/>
      <c r="X18387" s="9"/>
      <c r="Y18387" s="9"/>
      <c r="Z18387" s="9"/>
      <c r="AA18387" s="9"/>
      <c r="AB18387" s="9"/>
      <c r="AC18387" s="9"/>
      <c r="AD18387" s="9"/>
      <c r="AE18387" s="9"/>
      <c r="AF18387" s="9"/>
      <c r="AG18387" s="10"/>
    </row>
    <row r="18388" spans="1:33">
      <c r="A18388" s="9"/>
      <c r="B18388" s="9"/>
      <c r="C18388" s="9"/>
      <c r="D18388" s="9"/>
      <c r="E18388" s="9"/>
      <c r="F18388" s="9"/>
      <c r="G18388" s="9"/>
      <c r="H18388" s="9"/>
      <c r="I18388" s="9"/>
      <c r="J18388" s="9"/>
      <c r="K18388" s="9"/>
      <c r="L18388" s="9"/>
      <c r="M18388" s="9"/>
      <c r="N18388" s="9"/>
      <c r="O18388" s="9"/>
      <c r="P18388" s="9"/>
      <c r="Q18388" s="9"/>
      <c r="R18388" s="9"/>
      <c r="S18388" s="9"/>
      <c r="T18388" s="9"/>
      <c r="U18388" s="9"/>
      <c r="V18388" s="9"/>
      <c r="W18388" s="9"/>
      <c r="X18388" s="9"/>
      <c r="Y18388" s="9"/>
      <c r="Z18388" s="9"/>
      <c r="AA18388" s="9"/>
      <c r="AB18388" s="9"/>
      <c r="AC18388" s="9"/>
      <c r="AD18388" s="9"/>
      <c r="AE18388" s="9"/>
      <c r="AF18388" s="9"/>
      <c r="AG18388" s="10"/>
    </row>
    <row r="18389" spans="1:33">
      <c r="A18389" s="9"/>
      <c r="B18389" s="9"/>
      <c r="C18389" s="9"/>
      <c r="D18389" s="9"/>
      <c r="E18389" s="9"/>
      <c r="F18389" s="9"/>
      <c r="G18389" s="9"/>
      <c r="H18389" s="9"/>
      <c r="I18389" s="9"/>
      <c r="J18389" s="9"/>
      <c r="K18389" s="9"/>
      <c r="L18389" s="9"/>
      <c r="M18389" s="9"/>
      <c r="N18389" s="9"/>
      <c r="O18389" s="9"/>
      <c r="P18389" s="9"/>
      <c r="Q18389" s="9"/>
      <c r="R18389" s="9"/>
      <c r="S18389" s="9"/>
      <c r="T18389" s="9"/>
      <c r="U18389" s="9"/>
      <c r="V18389" s="9"/>
      <c r="W18389" s="9"/>
      <c r="X18389" s="9"/>
      <c r="Y18389" s="9"/>
      <c r="Z18389" s="9"/>
      <c r="AA18389" s="9"/>
      <c r="AB18389" s="9"/>
      <c r="AC18389" s="9"/>
      <c r="AD18389" s="9"/>
      <c r="AE18389" s="9"/>
      <c r="AF18389" s="9"/>
      <c r="AG18389" s="10"/>
    </row>
    <row r="18390" spans="1:33">
      <c r="A18390" s="9"/>
      <c r="B18390" s="9"/>
      <c r="C18390" s="9"/>
      <c r="D18390" s="9"/>
      <c r="E18390" s="9"/>
      <c r="F18390" s="9"/>
      <c r="G18390" s="9"/>
      <c r="H18390" s="9"/>
      <c r="I18390" s="9"/>
      <c r="J18390" s="9"/>
      <c r="K18390" s="9"/>
      <c r="L18390" s="9"/>
      <c r="M18390" s="9"/>
      <c r="N18390" s="9"/>
      <c r="O18390" s="9"/>
      <c r="P18390" s="9"/>
      <c r="Q18390" s="9"/>
      <c r="R18390" s="9"/>
      <c r="S18390" s="9"/>
      <c r="T18390" s="9"/>
      <c r="U18390" s="9"/>
      <c r="V18390" s="9"/>
      <c r="W18390" s="9"/>
      <c r="X18390" s="9"/>
      <c r="Y18390" s="9"/>
      <c r="Z18390" s="9"/>
      <c r="AA18390" s="9"/>
      <c r="AB18390" s="9"/>
      <c r="AC18390" s="9"/>
      <c r="AD18390" s="9"/>
      <c r="AE18390" s="9"/>
      <c r="AF18390" s="9"/>
      <c r="AG18390" s="10"/>
    </row>
    <row r="18391" spans="1:33">
      <c r="A18391" s="9"/>
      <c r="B18391" s="9"/>
      <c r="C18391" s="9"/>
      <c r="D18391" s="9"/>
      <c r="E18391" s="9"/>
      <c r="F18391" s="9"/>
      <c r="G18391" s="9"/>
      <c r="H18391" s="9"/>
      <c r="I18391" s="9"/>
      <c r="J18391" s="9"/>
      <c r="K18391" s="9"/>
      <c r="L18391" s="9"/>
      <c r="M18391" s="9"/>
      <c r="N18391" s="9"/>
      <c r="O18391" s="9"/>
      <c r="P18391" s="9"/>
      <c r="Q18391" s="9"/>
      <c r="R18391" s="9"/>
      <c r="S18391" s="9"/>
      <c r="T18391" s="9"/>
      <c r="U18391" s="9"/>
      <c r="V18391" s="9"/>
      <c r="W18391" s="9"/>
      <c r="X18391" s="9"/>
      <c r="Y18391" s="9"/>
      <c r="Z18391" s="9"/>
      <c r="AA18391" s="9"/>
      <c r="AB18391" s="9"/>
      <c r="AC18391" s="9"/>
      <c r="AD18391" s="9"/>
      <c r="AE18391" s="9"/>
      <c r="AF18391" s="9"/>
      <c r="AG18391" s="10"/>
    </row>
    <row r="18392" spans="1:33">
      <c r="A18392" s="9"/>
      <c r="B18392" s="9"/>
      <c r="C18392" s="9"/>
      <c r="D18392" s="9"/>
      <c r="E18392" s="9"/>
      <c r="F18392" s="9"/>
      <c r="G18392" s="9"/>
      <c r="H18392" s="9"/>
      <c r="I18392" s="9"/>
      <c r="J18392" s="9"/>
      <c r="K18392" s="9"/>
      <c r="L18392" s="9"/>
      <c r="M18392" s="9"/>
      <c r="N18392" s="9"/>
      <c r="O18392" s="9"/>
      <c r="P18392" s="9"/>
      <c r="Q18392" s="9"/>
      <c r="R18392" s="9"/>
      <c r="S18392" s="9"/>
      <c r="T18392" s="9"/>
      <c r="U18392" s="9"/>
      <c r="V18392" s="9"/>
      <c r="W18392" s="9"/>
      <c r="X18392" s="9"/>
      <c r="Y18392" s="9"/>
      <c r="Z18392" s="9"/>
      <c r="AA18392" s="9"/>
      <c r="AB18392" s="9"/>
      <c r="AC18392" s="9"/>
      <c r="AD18392" s="9"/>
      <c r="AE18392" s="9"/>
      <c r="AF18392" s="9"/>
      <c r="AG18392" s="10"/>
    </row>
    <row r="18393" spans="1:33">
      <c r="A18393" s="9"/>
      <c r="B18393" s="9"/>
      <c r="C18393" s="9"/>
      <c r="D18393" s="9"/>
      <c r="E18393" s="9"/>
      <c r="F18393" s="9"/>
      <c r="G18393" s="9"/>
      <c r="H18393" s="9"/>
      <c r="I18393" s="9"/>
      <c r="J18393" s="9"/>
      <c r="K18393" s="9"/>
      <c r="L18393" s="9"/>
      <c r="M18393" s="9"/>
      <c r="N18393" s="9"/>
      <c r="O18393" s="9"/>
      <c r="P18393" s="9"/>
      <c r="Q18393" s="9"/>
      <c r="R18393" s="9"/>
      <c r="S18393" s="9"/>
      <c r="T18393" s="9"/>
      <c r="U18393" s="9"/>
      <c r="V18393" s="9"/>
      <c r="W18393" s="9"/>
      <c r="X18393" s="9"/>
      <c r="Y18393" s="9"/>
      <c r="Z18393" s="9"/>
      <c r="AA18393" s="9"/>
      <c r="AB18393" s="9"/>
      <c r="AC18393" s="9"/>
      <c r="AD18393" s="9"/>
      <c r="AE18393" s="9"/>
      <c r="AF18393" s="9"/>
      <c r="AG18393" s="10"/>
    </row>
    <row r="18394" spans="1:33">
      <c r="A18394" s="9"/>
      <c r="B18394" s="9"/>
      <c r="C18394" s="9"/>
      <c r="D18394" s="9"/>
      <c r="E18394" s="9"/>
      <c r="F18394" s="9"/>
      <c r="G18394" s="9"/>
      <c r="H18394" s="9"/>
      <c r="I18394" s="9"/>
      <c r="J18394" s="9"/>
      <c r="K18394" s="9"/>
      <c r="L18394" s="9"/>
      <c r="M18394" s="9"/>
      <c r="N18394" s="9"/>
      <c r="O18394" s="9"/>
      <c r="P18394" s="9"/>
      <c r="Q18394" s="9"/>
      <c r="R18394" s="9"/>
      <c r="S18394" s="9"/>
      <c r="T18394" s="9"/>
      <c r="U18394" s="9"/>
      <c r="V18394" s="9"/>
      <c r="W18394" s="9"/>
      <c r="X18394" s="9"/>
      <c r="Y18394" s="9"/>
      <c r="Z18394" s="9"/>
      <c r="AA18394" s="9"/>
      <c r="AB18394" s="9"/>
      <c r="AC18394" s="9"/>
      <c r="AD18394" s="9"/>
      <c r="AE18394" s="9"/>
      <c r="AF18394" s="9"/>
      <c r="AG18394" s="10"/>
    </row>
    <row r="18395" spans="1:33">
      <c r="A18395" s="9"/>
      <c r="B18395" s="9"/>
      <c r="C18395" s="9"/>
      <c r="D18395" s="9"/>
      <c r="E18395" s="9"/>
      <c r="F18395" s="9"/>
      <c r="G18395" s="9"/>
      <c r="H18395" s="9"/>
      <c r="I18395" s="9"/>
      <c r="J18395" s="9"/>
      <c r="K18395" s="9"/>
      <c r="L18395" s="9"/>
      <c r="M18395" s="9"/>
      <c r="N18395" s="9"/>
      <c r="O18395" s="9"/>
      <c r="P18395" s="9"/>
      <c r="Q18395" s="9"/>
      <c r="R18395" s="9"/>
      <c r="S18395" s="9"/>
      <c r="T18395" s="9"/>
      <c r="U18395" s="9"/>
      <c r="V18395" s="9"/>
      <c r="W18395" s="9"/>
      <c r="X18395" s="9"/>
      <c r="Y18395" s="9"/>
      <c r="Z18395" s="9"/>
      <c r="AA18395" s="9"/>
      <c r="AB18395" s="9"/>
      <c r="AC18395" s="9"/>
      <c r="AD18395" s="9"/>
      <c r="AE18395" s="9"/>
      <c r="AF18395" s="9"/>
      <c r="AG18395" s="10"/>
    </row>
    <row r="18396" spans="1:33">
      <c r="A18396" s="9"/>
      <c r="B18396" s="9"/>
      <c r="C18396" s="9"/>
      <c r="D18396" s="9"/>
      <c r="E18396" s="9"/>
      <c r="F18396" s="9"/>
      <c r="G18396" s="9"/>
      <c r="H18396" s="9"/>
      <c r="I18396" s="9"/>
      <c r="J18396" s="9"/>
      <c r="K18396" s="9"/>
      <c r="L18396" s="9"/>
      <c r="M18396" s="9"/>
      <c r="N18396" s="9"/>
      <c r="O18396" s="9"/>
      <c r="P18396" s="9"/>
      <c r="Q18396" s="9"/>
      <c r="R18396" s="9"/>
      <c r="S18396" s="9"/>
      <c r="T18396" s="9"/>
      <c r="U18396" s="9"/>
      <c r="V18396" s="9"/>
      <c r="W18396" s="9"/>
      <c r="X18396" s="9"/>
      <c r="Y18396" s="9"/>
      <c r="Z18396" s="9"/>
      <c r="AA18396" s="9"/>
      <c r="AB18396" s="9"/>
      <c r="AC18396" s="9"/>
      <c r="AD18396" s="9"/>
      <c r="AE18396" s="9"/>
      <c r="AF18396" s="9"/>
      <c r="AG18396" s="10"/>
    </row>
    <row r="18397" spans="1:33">
      <c r="A18397" s="9"/>
      <c r="B18397" s="9"/>
      <c r="C18397" s="9"/>
      <c r="D18397" s="9"/>
      <c r="E18397" s="9"/>
      <c r="F18397" s="9"/>
      <c r="G18397" s="9"/>
      <c r="H18397" s="9"/>
      <c r="I18397" s="9"/>
      <c r="J18397" s="9"/>
      <c r="K18397" s="9"/>
      <c r="L18397" s="9"/>
      <c r="M18397" s="9"/>
      <c r="N18397" s="9"/>
      <c r="O18397" s="9"/>
      <c r="P18397" s="9"/>
      <c r="Q18397" s="9"/>
      <c r="R18397" s="9"/>
      <c r="S18397" s="9"/>
      <c r="T18397" s="9"/>
      <c r="U18397" s="9"/>
      <c r="V18397" s="9"/>
      <c r="W18397" s="9"/>
      <c r="X18397" s="9"/>
      <c r="Y18397" s="9"/>
      <c r="Z18397" s="9"/>
      <c r="AA18397" s="9"/>
      <c r="AB18397" s="9"/>
      <c r="AC18397" s="9"/>
      <c r="AD18397" s="9"/>
      <c r="AE18397" s="9"/>
      <c r="AF18397" s="9"/>
      <c r="AG18397" s="10"/>
    </row>
    <row r="18398" spans="1:33">
      <c r="A18398" s="9"/>
      <c r="B18398" s="9"/>
      <c r="C18398" s="9"/>
      <c r="D18398" s="9"/>
      <c r="E18398" s="9"/>
      <c r="F18398" s="9"/>
      <c r="G18398" s="9"/>
      <c r="H18398" s="9"/>
      <c r="I18398" s="9"/>
      <c r="J18398" s="9"/>
      <c r="K18398" s="9"/>
      <c r="L18398" s="9"/>
      <c r="M18398" s="9"/>
      <c r="N18398" s="9"/>
      <c r="O18398" s="9"/>
      <c r="P18398" s="9"/>
      <c r="Q18398" s="9"/>
      <c r="R18398" s="9"/>
      <c r="S18398" s="9"/>
      <c r="T18398" s="9"/>
      <c r="U18398" s="9"/>
      <c r="V18398" s="9"/>
      <c r="W18398" s="9"/>
      <c r="X18398" s="9"/>
      <c r="Y18398" s="9"/>
      <c r="Z18398" s="9"/>
      <c r="AA18398" s="9"/>
      <c r="AB18398" s="9"/>
      <c r="AC18398" s="9"/>
      <c r="AD18398" s="9"/>
      <c r="AE18398" s="9"/>
      <c r="AF18398" s="9"/>
      <c r="AG18398" s="10"/>
    </row>
    <row r="18399" spans="1:33">
      <c r="A18399" s="9"/>
      <c r="B18399" s="9"/>
      <c r="C18399" s="9"/>
      <c r="D18399" s="9"/>
      <c r="E18399" s="9"/>
      <c r="F18399" s="9"/>
      <c r="G18399" s="9"/>
      <c r="H18399" s="9"/>
      <c r="I18399" s="9"/>
      <c r="J18399" s="9"/>
      <c r="K18399" s="9"/>
      <c r="L18399" s="9"/>
      <c r="M18399" s="9"/>
      <c r="N18399" s="9"/>
      <c r="O18399" s="9"/>
      <c r="P18399" s="9"/>
      <c r="Q18399" s="9"/>
      <c r="R18399" s="9"/>
      <c r="S18399" s="9"/>
      <c r="T18399" s="9"/>
      <c r="U18399" s="9"/>
      <c r="V18399" s="9"/>
      <c r="W18399" s="9"/>
      <c r="X18399" s="9"/>
      <c r="Y18399" s="9"/>
      <c r="Z18399" s="9"/>
      <c r="AA18399" s="9"/>
      <c r="AB18399" s="9"/>
      <c r="AC18399" s="9"/>
      <c r="AD18399" s="9"/>
      <c r="AE18399" s="9"/>
      <c r="AF18399" s="9"/>
      <c r="AG18399" s="10"/>
    </row>
    <row r="18400" spans="1:33">
      <c r="A18400" s="9"/>
      <c r="B18400" s="9"/>
      <c r="C18400" s="9"/>
      <c r="D18400" s="9"/>
      <c r="E18400" s="9"/>
      <c r="F18400" s="9"/>
      <c r="G18400" s="9"/>
      <c r="H18400" s="9"/>
      <c r="I18400" s="9"/>
      <c r="J18400" s="9"/>
      <c r="K18400" s="9"/>
      <c r="L18400" s="9"/>
      <c r="M18400" s="9"/>
      <c r="N18400" s="9"/>
      <c r="O18400" s="9"/>
      <c r="P18400" s="9"/>
      <c r="Q18400" s="9"/>
      <c r="R18400" s="9"/>
      <c r="S18400" s="9"/>
      <c r="T18400" s="9"/>
      <c r="U18400" s="9"/>
      <c r="V18400" s="9"/>
      <c r="W18400" s="9"/>
      <c r="X18400" s="9"/>
      <c r="Y18400" s="9"/>
      <c r="Z18400" s="9"/>
      <c r="AA18400" s="9"/>
      <c r="AB18400" s="9"/>
      <c r="AC18400" s="9"/>
      <c r="AD18400" s="9"/>
      <c r="AE18400" s="9"/>
      <c r="AF18400" s="9"/>
      <c r="AG18400" s="10"/>
    </row>
    <row r="18401" spans="1:33">
      <c r="A18401" s="9"/>
      <c r="B18401" s="9"/>
      <c r="C18401" s="9"/>
      <c r="D18401" s="9"/>
      <c r="E18401" s="9"/>
      <c r="F18401" s="9"/>
      <c r="G18401" s="9"/>
      <c r="H18401" s="9"/>
      <c r="I18401" s="9"/>
      <c r="J18401" s="9"/>
      <c r="K18401" s="9"/>
      <c r="L18401" s="9"/>
      <c r="M18401" s="9"/>
      <c r="N18401" s="9"/>
      <c r="O18401" s="9"/>
      <c r="P18401" s="9"/>
      <c r="Q18401" s="9"/>
      <c r="R18401" s="9"/>
      <c r="S18401" s="9"/>
      <c r="T18401" s="9"/>
      <c r="U18401" s="9"/>
      <c r="V18401" s="9"/>
      <c r="W18401" s="9"/>
      <c r="X18401" s="9"/>
      <c r="Y18401" s="9"/>
      <c r="Z18401" s="9"/>
      <c r="AA18401" s="9"/>
      <c r="AB18401" s="9"/>
      <c r="AC18401" s="9"/>
      <c r="AD18401" s="9"/>
      <c r="AE18401" s="9"/>
      <c r="AF18401" s="9"/>
      <c r="AG18401" s="10"/>
    </row>
    <row r="18402" spans="1:33">
      <c r="A18402" s="9"/>
      <c r="B18402" s="9"/>
      <c r="C18402" s="9"/>
      <c r="D18402" s="9"/>
      <c r="E18402" s="9"/>
      <c r="F18402" s="9"/>
      <c r="G18402" s="9"/>
      <c r="H18402" s="9"/>
      <c r="I18402" s="9"/>
      <c r="J18402" s="9"/>
      <c r="K18402" s="9"/>
      <c r="L18402" s="9"/>
      <c r="M18402" s="9"/>
      <c r="N18402" s="9"/>
      <c r="O18402" s="9"/>
      <c r="P18402" s="9"/>
      <c r="Q18402" s="9"/>
      <c r="R18402" s="9"/>
      <c r="S18402" s="9"/>
      <c r="T18402" s="9"/>
      <c r="U18402" s="9"/>
      <c r="V18402" s="9"/>
      <c r="W18402" s="9"/>
      <c r="X18402" s="9"/>
      <c r="Y18402" s="9"/>
      <c r="Z18402" s="9"/>
      <c r="AA18402" s="9"/>
      <c r="AB18402" s="9"/>
      <c r="AC18402" s="9"/>
      <c r="AD18402" s="9"/>
      <c r="AE18402" s="9"/>
      <c r="AF18402" s="9"/>
      <c r="AG18402" s="10"/>
    </row>
    <row r="18403" spans="1:33">
      <c r="A18403" s="9"/>
      <c r="B18403" s="9"/>
      <c r="C18403" s="9"/>
      <c r="D18403" s="9"/>
      <c r="E18403" s="9"/>
      <c r="F18403" s="9"/>
      <c r="G18403" s="9"/>
      <c r="H18403" s="9"/>
      <c r="I18403" s="9"/>
      <c r="J18403" s="9"/>
      <c r="K18403" s="9"/>
      <c r="L18403" s="9"/>
      <c r="M18403" s="9"/>
      <c r="N18403" s="9"/>
      <c r="O18403" s="9"/>
      <c r="P18403" s="9"/>
      <c r="Q18403" s="9"/>
      <c r="R18403" s="9"/>
      <c r="S18403" s="9"/>
      <c r="T18403" s="9"/>
      <c r="U18403" s="9"/>
      <c r="V18403" s="9"/>
      <c r="W18403" s="9"/>
      <c r="X18403" s="9"/>
      <c r="Y18403" s="9"/>
      <c r="Z18403" s="9"/>
      <c r="AA18403" s="9"/>
      <c r="AB18403" s="9"/>
      <c r="AC18403" s="9"/>
      <c r="AD18403" s="9"/>
      <c r="AE18403" s="9"/>
      <c r="AF18403" s="9"/>
      <c r="AG18403" s="10"/>
    </row>
    <row r="18404" spans="1:33">
      <c r="A18404" s="9"/>
      <c r="B18404" s="9"/>
      <c r="C18404" s="9"/>
      <c r="D18404" s="9"/>
      <c r="E18404" s="9"/>
      <c r="F18404" s="9"/>
      <c r="G18404" s="9"/>
      <c r="H18404" s="9"/>
      <c r="I18404" s="9"/>
      <c r="J18404" s="9"/>
      <c r="K18404" s="9"/>
      <c r="L18404" s="9"/>
      <c r="M18404" s="9"/>
      <c r="N18404" s="9"/>
      <c r="O18404" s="9"/>
      <c r="P18404" s="9"/>
      <c r="Q18404" s="9"/>
      <c r="R18404" s="9"/>
      <c r="S18404" s="9"/>
      <c r="T18404" s="9"/>
      <c r="U18404" s="9"/>
      <c r="V18404" s="9"/>
      <c r="W18404" s="9"/>
      <c r="X18404" s="9"/>
      <c r="Y18404" s="9"/>
      <c r="Z18404" s="9"/>
      <c r="AA18404" s="9"/>
      <c r="AB18404" s="9"/>
      <c r="AC18404" s="9"/>
      <c r="AD18404" s="9"/>
      <c r="AE18404" s="9"/>
      <c r="AF18404" s="9"/>
      <c r="AG18404" s="10"/>
    </row>
    <row r="18405" spans="1:33">
      <c r="A18405" s="9"/>
      <c r="B18405" s="9"/>
      <c r="C18405" s="9"/>
      <c r="D18405" s="9"/>
      <c r="E18405" s="9"/>
      <c r="F18405" s="9"/>
      <c r="G18405" s="9"/>
      <c r="H18405" s="9"/>
      <c r="I18405" s="9"/>
      <c r="J18405" s="9"/>
      <c r="K18405" s="9"/>
      <c r="L18405" s="9"/>
      <c r="M18405" s="9"/>
      <c r="N18405" s="9"/>
      <c r="O18405" s="9"/>
      <c r="P18405" s="9"/>
      <c r="Q18405" s="9"/>
      <c r="R18405" s="9"/>
      <c r="S18405" s="9"/>
      <c r="T18405" s="9"/>
      <c r="U18405" s="9"/>
      <c r="V18405" s="9"/>
      <c r="W18405" s="9"/>
      <c r="X18405" s="9"/>
      <c r="Y18405" s="9"/>
      <c r="Z18405" s="9"/>
      <c r="AA18405" s="9"/>
      <c r="AB18405" s="9"/>
      <c r="AC18405" s="9"/>
      <c r="AD18405" s="9"/>
      <c r="AE18405" s="9"/>
      <c r="AF18405" s="9"/>
      <c r="AG18405" s="10"/>
    </row>
    <row r="18406" spans="1:33">
      <c r="A18406" s="9"/>
      <c r="B18406" s="9"/>
      <c r="C18406" s="9"/>
      <c r="D18406" s="9"/>
      <c r="E18406" s="9"/>
      <c r="F18406" s="9"/>
      <c r="G18406" s="9"/>
      <c r="H18406" s="9"/>
      <c r="I18406" s="9"/>
      <c r="J18406" s="9"/>
      <c r="K18406" s="9"/>
      <c r="L18406" s="9"/>
      <c r="M18406" s="9"/>
      <c r="N18406" s="9"/>
      <c r="O18406" s="9"/>
      <c r="P18406" s="9"/>
      <c r="Q18406" s="9"/>
      <c r="R18406" s="9"/>
      <c r="S18406" s="9"/>
      <c r="T18406" s="9"/>
      <c r="U18406" s="9"/>
      <c r="V18406" s="9"/>
      <c r="W18406" s="9"/>
      <c r="X18406" s="9"/>
      <c r="Y18406" s="9"/>
      <c r="Z18406" s="9"/>
      <c r="AA18406" s="9"/>
      <c r="AB18406" s="9"/>
      <c r="AC18406" s="9"/>
      <c r="AD18406" s="9"/>
      <c r="AE18406" s="9"/>
      <c r="AF18406" s="9"/>
      <c r="AG18406" s="10"/>
    </row>
    <row r="18407" spans="1:33">
      <c r="A18407" s="9"/>
      <c r="B18407" s="9"/>
      <c r="C18407" s="9"/>
      <c r="D18407" s="9"/>
      <c r="E18407" s="9"/>
      <c r="F18407" s="9"/>
      <c r="G18407" s="9"/>
      <c r="H18407" s="9"/>
      <c r="I18407" s="9"/>
      <c r="J18407" s="9"/>
      <c r="K18407" s="9"/>
      <c r="L18407" s="9"/>
      <c r="M18407" s="9"/>
      <c r="N18407" s="9"/>
      <c r="O18407" s="9"/>
      <c r="P18407" s="9"/>
      <c r="Q18407" s="9"/>
      <c r="R18407" s="9"/>
      <c r="S18407" s="9"/>
      <c r="T18407" s="9"/>
      <c r="U18407" s="9"/>
      <c r="V18407" s="9"/>
      <c r="W18407" s="9"/>
      <c r="X18407" s="9"/>
      <c r="Y18407" s="9"/>
      <c r="Z18407" s="9"/>
      <c r="AA18407" s="9"/>
      <c r="AB18407" s="9"/>
      <c r="AC18407" s="9"/>
      <c r="AD18407" s="9"/>
      <c r="AE18407" s="9"/>
      <c r="AF18407" s="9"/>
      <c r="AG18407" s="10"/>
    </row>
    <row r="18408" spans="1:33">
      <c r="A18408" s="9"/>
      <c r="B18408" s="9"/>
      <c r="C18408" s="9"/>
      <c r="D18408" s="9"/>
      <c r="E18408" s="9"/>
      <c r="F18408" s="9"/>
      <c r="G18408" s="9"/>
      <c r="H18408" s="9"/>
      <c r="I18408" s="9"/>
      <c r="J18408" s="9"/>
      <c r="K18408" s="9"/>
      <c r="L18408" s="9"/>
      <c r="M18408" s="9"/>
      <c r="N18408" s="9"/>
      <c r="O18408" s="9"/>
      <c r="P18408" s="9"/>
      <c r="Q18408" s="9"/>
      <c r="R18408" s="9"/>
      <c r="S18408" s="9"/>
      <c r="T18408" s="9"/>
      <c r="U18408" s="9"/>
      <c r="V18408" s="9"/>
      <c r="W18408" s="9"/>
      <c r="X18408" s="9"/>
      <c r="Y18408" s="9"/>
      <c r="Z18408" s="9"/>
      <c r="AA18408" s="9"/>
      <c r="AB18408" s="9"/>
      <c r="AC18408" s="9"/>
      <c r="AD18408" s="9"/>
      <c r="AE18408" s="9"/>
      <c r="AF18408" s="9"/>
      <c r="AG18408" s="10"/>
    </row>
    <row r="18409" spans="1:33">
      <c r="A18409" s="9"/>
      <c r="B18409" s="9"/>
      <c r="C18409" s="9"/>
      <c r="D18409" s="9"/>
      <c r="E18409" s="9"/>
      <c r="F18409" s="9"/>
      <c r="G18409" s="9"/>
      <c r="H18409" s="9"/>
      <c r="I18409" s="9"/>
      <c r="J18409" s="9"/>
      <c r="K18409" s="9"/>
      <c r="L18409" s="9"/>
      <c r="M18409" s="9"/>
      <c r="N18409" s="9"/>
      <c r="O18409" s="9"/>
      <c r="P18409" s="9"/>
      <c r="Q18409" s="9"/>
      <c r="R18409" s="9"/>
      <c r="S18409" s="9"/>
      <c r="T18409" s="9"/>
      <c r="U18409" s="9"/>
      <c r="V18409" s="9"/>
      <c r="W18409" s="9"/>
      <c r="X18409" s="9"/>
      <c r="Y18409" s="9"/>
      <c r="Z18409" s="9"/>
      <c r="AA18409" s="9"/>
      <c r="AB18409" s="9"/>
      <c r="AC18409" s="9"/>
      <c r="AD18409" s="9"/>
      <c r="AE18409" s="9"/>
      <c r="AF18409" s="9"/>
      <c r="AG18409" s="10"/>
    </row>
    <row r="18410" spans="1:33">
      <c r="A18410" s="9"/>
      <c r="B18410" s="9"/>
      <c r="C18410" s="9"/>
      <c r="D18410" s="9"/>
      <c r="E18410" s="9"/>
      <c r="F18410" s="9"/>
      <c r="G18410" s="9"/>
      <c r="H18410" s="9"/>
      <c r="I18410" s="9"/>
      <c r="J18410" s="9"/>
      <c r="K18410" s="9"/>
      <c r="L18410" s="9"/>
      <c r="M18410" s="9"/>
      <c r="N18410" s="9"/>
      <c r="O18410" s="9"/>
      <c r="P18410" s="9"/>
      <c r="Q18410" s="9"/>
      <c r="R18410" s="9"/>
      <c r="S18410" s="9"/>
      <c r="T18410" s="9"/>
      <c r="U18410" s="9"/>
      <c r="V18410" s="9"/>
      <c r="W18410" s="9"/>
      <c r="X18410" s="9"/>
      <c r="Y18410" s="9"/>
      <c r="Z18410" s="9"/>
      <c r="AA18410" s="9"/>
      <c r="AB18410" s="9"/>
      <c r="AC18410" s="9"/>
      <c r="AD18410" s="9"/>
      <c r="AE18410" s="9"/>
      <c r="AF18410" s="9"/>
      <c r="AG18410" s="10"/>
    </row>
    <row r="18411" spans="1:33">
      <c r="A18411" s="9"/>
      <c r="B18411" s="9"/>
      <c r="C18411" s="9"/>
      <c r="D18411" s="9"/>
      <c r="E18411" s="9"/>
      <c r="F18411" s="9"/>
      <c r="G18411" s="9"/>
      <c r="H18411" s="9"/>
      <c r="I18411" s="9"/>
      <c r="J18411" s="9"/>
      <c r="K18411" s="9"/>
      <c r="L18411" s="9"/>
      <c r="M18411" s="9"/>
      <c r="N18411" s="9"/>
      <c r="O18411" s="9"/>
      <c r="P18411" s="9"/>
      <c r="Q18411" s="9"/>
      <c r="R18411" s="9"/>
      <c r="S18411" s="9"/>
      <c r="T18411" s="9"/>
      <c r="U18411" s="9"/>
      <c r="V18411" s="9"/>
      <c r="W18411" s="9"/>
      <c r="X18411" s="9"/>
      <c r="Y18411" s="9"/>
      <c r="Z18411" s="9"/>
      <c r="AA18411" s="9"/>
      <c r="AB18411" s="9"/>
      <c r="AC18411" s="9"/>
      <c r="AD18411" s="9"/>
      <c r="AE18411" s="9"/>
      <c r="AF18411" s="9"/>
      <c r="AG18411" s="10"/>
    </row>
    <row r="18412" spans="1:33">
      <c r="A18412" s="9"/>
      <c r="B18412" s="9"/>
      <c r="C18412" s="9"/>
      <c r="D18412" s="9"/>
      <c r="E18412" s="9"/>
      <c r="F18412" s="9"/>
      <c r="G18412" s="9"/>
      <c r="H18412" s="9"/>
      <c r="I18412" s="9"/>
      <c r="J18412" s="9"/>
      <c r="K18412" s="9"/>
      <c r="L18412" s="9"/>
      <c r="M18412" s="9"/>
      <c r="N18412" s="9"/>
      <c r="O18412" s="9"/>
      <c r="P18412" s="9"/>
      <c r="Q18412" s="9"/>
      <c r="R18412" s="9"/>
      <c r="S18412" s="9"/>
      <c r="T18412" s="9"/>
      <c r="U18412" s="9"/>
      <c r="V18412" s="9"/>
      <c r="W18412" s="9"/>
      <c r="X18412" s="9"/>
      <c r="Y18412" s="9"/>
      <c r="Z18412" s="9"/>
      <c r="AA18412" s="9"/>
      <c r="AB18412" s="9"/>
      <c r="AC18412" s="9"/>
      <c r="AD18412" s="9"/>
      <c r="AE18412" s="9"/>
      <c r="AF18412" s="9"/>
      <c r="AG18412" s="10"/>
    </row>
    <row r="18413" spans="1:33">
      <c r="A18413" s="9"/>
      <c r="B18413" s="9"/>
      <c r="C18413" s="9"/>
      <c r="D18413" s="9"/>
      <c r="E18413" s="9"/>
      <c r="F18413" s="9"/>
      <c r="G18413" s="9"/>
      <c r="H18413" s="9"/>
      <c r="I18413" s="9"/>
      <c r="J18413" s="9"/>
      <c r="K18413" s="9"/>
      <c r="L18413" s="9"/>
      <c r="M18413" s="9"/>
      <c r="N18413" s="9"/>
      <c r="O18413" s="9"/>
      <c r="P18413" s="9"/>
      <c r="Q18413" s="9"/>
      <c r="R18413" s="9"/>
      <c r="S18413" s="9"/>
      <c r="T18413" s="9"/>
      <c r="U18413" s="9"/>
      <c r="V18413" s="9"/>
      <c r="W18413" s="9"/>
      <c r="X18413" s="9"/>
      <c r="Y18413" s="9"/>
      <c r="Z18413" s="9"/>
      <c r="AA18413" s="9"/>
      <c r="AB18413" s="9"/>
      <c r="AC18413" s="9"/>
      <c r="AD18413" s="9"/>
      <c r="AE18413" s="9"/>
      <c r="AF18413" s="9"/>
      <c r="AG18413" s="10"/>
    </row>
    <row r="18414" spans="1:33">
      <c r="A18414" s="9"/>
      <c r="B18414" s="9"/>
      <c r="C18414" s="9"/>
      <c r="D18414" s="9"/>
      <c r="E18414" s="9"/>
      <c r="F18414" s="9"/>
      <c r="G18414" s="9"/>
      <c r="H18414" s="9"/>
      <c r="I18414" s="9"/>
      <c r="J18414" s="9"/>
      <c r="K18414" s="9"/>
      <c r="L18414" s="9"/>
      <c r="M18414" s="9"/>
      <c r="N18414" s="9"/>
      <c r="O18414" s="9"/>
      <c r="P18414" s="9"/>
      <c r="Q18414" s="9"/>
      <c r="R18414" s="9"/>
      <c r="S18414" s="9"/>
      <c r="T18414" s="9"/>
      <c r="U18414" s="9"/>
      <c r="V18414" s="9"/>
      <c r="W18414" s="9"/>
      <c r="X18414" s="9"/>
      <c r="Y18414" s="9"/>
      <c r="Z18414" s="9"/>
      <c r="AA18414" s="9"/>
      <c r="AB18414" s="9"/>
      <c r="AC18414" s="9"/>
      <c r="AD18414" s="9"/>
      <c r="AE18414" s="9"/>
      <c r="AF18414" s="9"/>
      <c r="AG18414" s="10"/>
    </row>
    <row r="18415" spans="1:33">
      <c r="A18415" s="9"/>
      <c r="B18415" s="9"/>
      <c r="C18415" s="9"/>
      <c r="D18415" s="9"/>
      <c r="E18415" s="9"/>
      <c r="F18415" s="9"/>
      <c r="G18415" s="9"/>
      <c r="H18415" s="9"/>
      <c r="I18415" s="9"/>
      <c r="J18415" s="9"/>
      <c r="K18415" s="9"/>
      <c r="L18415" s="9"/>
      <c r="M18415" s="9"/>
      <c r="N18415" s="9"/>
      <c r="O18415" s="9"/>
      <c r="P18415" s="9"/>
      <c r="Q18415" s="9"/>
      <c r="R18415" s="9"/>
      <c r="S18415" s="9"/>
      <c r="T18415" s="9"/>
      <c r="U18415" s="9"/>
      <c r="V18415" s="9"/>
      <c r="W18415" s="9"/>
      <c r="X18415" s="9"/>
      <c r="Y18415" s="9"/>
      <c r="Z18415" s="9"/>
      <c r="AA18415" s="9"/>
      <c r="AB18415" s="9"/>
      <c r="AC18415" s="9"/>
      <c r="AD18415" s="9"/>
      <c r="AE18415" s="9"/>
      <c r="AF18415" s="9"/>
      <c r="AG18415" s="10"/>
    </row>
    <row r="18416" spans="1:33">
      <c r="A18416" s="9"/>
      <c r="B18416" s="9"/>
      <c r="C18416" s="9"/>
      <c r="D18416" s="9"/>
      <c r="E18416" s="9"/>
      <c r="F18416" s="9"/>
      <c r="G18416" s="9"/>
      <c r="H18416" s="9"/>
      <c r="I18416" s="9"/>
      <c r="J18416" s="9"/>
      <c r="K18416" s="9"/>
      <c r="L18416" s="9"/>
      <c r="M18416" s="9"/>
      <c r="N18416" s="9"/>
      <c r="O18416" s="9"/>
      <c r="P18416" s="9"/>
      <c r="Q18416" s="9"/>
      <c r="R18416" s="9"/>
      <c r="S18416" s="9"/>
      <c r="T18416" s="9"/>
      <c r="U18416" s="9"/>
      <c r="V18416" s="9"/>
      <c r="W18416" s="9"/>
      <c r="X18416" s="9"/>
      <c r="Y18416" s="9"/>
      <c r="Z18416" s="9"/>
      <c r="AA18416" s="9"/>
      <c r="AB18416" s="9"/>
      <c r="AC18416" s="9"/>
      <c r="AD18416" s="9"/>
      <c r="AE18416" s="9"/>
      <c r="AF18416" s="9"/>
      <c r="AG18416" s="10"/>
    </row>
    <row r="18417" spans="1:33">
      <c r="A18417" s="9"/>
      <c r="B18417" s="9"/>
      <c r="C18417" s="9"/>
      <c r="D18417" s="9"/>
      <c r="E18417" s="9"/>
      <c r="F18417" s="9"/>
      <c r="G18417" s="9"/>
      <c r="H18417" s="9"/>
      <c r="I18417" s="9"/>
      <c r="J18417" s="9"/>
      <c r="K18417" s="9"/>
      <c r="L18417" s="9"/>
      <c r="M18417" s="9"/>
      <c r="N18417" s="9"/>
      <c r="O18417" s="9"/>
      <c r="P18417" s="9"/>
      <c r="Q18417" s="9"/>
      <c r="R18417" s="9"/>
      <c r="S18417" s="9"/>
      <c r="T18417" s="9"/>
      <c r="U18417" s="9"/>
      <c r="V18417" s="9"/>
      <c r="W18417" s="9"/>
      <c r="X18417" s="9"/>
      <c r="Y18417" s="9"/>
      <c r="Z18417" s="9"/>
      <c r="AA18417" s="9"/>
      <c r="AB18417" s="9"/>
      <c r="AC18417" s="9"/>
      <c r="AD18417" s="9"/>
      <c r="AE18417" s="9"/>
      <c r="AF18417" s="9"/>
      <c r="AG18417" s="10"/>
    </row>
    <row r="18418" spans="1:33">
      <c r="A18418" s="9"/>
      <c r="B18418" s="9"/>
      <c r="C18418" s="9"/>
      <c r="D18418" s="9"/>
      <c r="E18418" s="9"/>
      <c r="F18418" s="9"/>
      <c r="G18418" s="9"/>
      <c r="H18418" s="9"/>
      <c r="I18418" s="9"/>
      <c r="J18418" s="9"/>
      <c r="K18418" s="9"/>
      <c r="L18418" s="9"/>
      <c r="M18418" s="9"/>
      <c r="N18418" s="9"/>
      <c r="O18418" s="9"/>
      <c r="P18418" s="9"/>
      <c r="Q18418" s="9"/>
      <c r="R18418" s="9"/>
      <c r="S18418" s="9"/>
      <c r="T18418" s="9"/>
      <c r="U18418" s="9"/>
      <c r="V18418" s="9"/>
      <c r="W18418" s="9"/>
      <c r="X18418" s="9"/>
      <c r="Y18418" s="9"/>
      <c r="Z18418" s="9"/>
      <c r="AA18418" s="9"/>
      <c r="AB18418" s="9"/>
      <c r="AC18418" s="9"/>
      <c r="AD18418" s="9"/>
      <c r="AE18418" s="9"/>
      <c r="AF18418" s="9"/>
      <c r="AG18418" s="10"/>
    </row>
    <row r="18419" spans="1:33">
      <c r="A18419" s="9"/>
      <c r="B18419" s="9"/>
      <c r="C18419" s="9"/>
      <c r="D18419" s="9"/>
      <c r="E18419" s="9"/>
      <c r="F18419" s="9"/>
      <c r="G18419" s="9"/>
      <c r="H18419" s="9"/>
      <c r="I18419" s="9"/>
      <c r="J18419" s="9"/>
      <c r="K18419" s="9"/>
      <c r="L18419" s="9"/>
      <c r="M18419" s="9"/>
      <c r="N18419" s="9"/>
      <c r="O18419" s="9"/>
      <c r="P18419" s="9"/>
      <c r="Q18419" s="9"/>
      <c r="R18419" s="9"/>
      <c r="S18419" s="9"/>
      <c r="T18419" s="9"/>
      <c r="U18419" s="9"/>
      <c r="V18419" s="9"/>
      <c r="W18419" s="9"/>
      <c r="X18419" s="9"/>
      <c r="Y18419" s="9"/>
      <c r="Z18419" s="9"/>
      <c r="AA18419" s="9"/>
      <c r="AB18419" s="9"/>
      <c r="AC18419" s="9"/>
      <c r="AD18419" s="9"/>
      <c r="AE18419" s="9"/>
      <c r="AF18419" s="9"/>
      <c r="AG18419" s="10"/>
    </row>
    <row r="18420" spans="1:33">
      <c r="A18420" s="9"/>
      <c r="B18420" s="9"/>
      <c r="C18420" s="9"/>
      <c r="D18420" s="9"/>
      <c r="E18420" s="9"/>
      <c r="F18420" s="9"/>
      <c r="G18420" s="9"/>
      <c r="H18420" s="9"/>
      <c r="I18420" s="9"/>
      <c r="J18420" s="9"/>
      <c r="K18420" s="9"/>
      <c r="L18420" s="9"/>
      <c r="M18420" s="9"/>
      <c r="N18420" s="9"/>
      <c r="O18420" s="9"/>
      <c r="P18420" s="9"/>
      <c r="Q18420" s="9"/>
      <c r="R18420" s="9"/>
      <c r="S18420" s="9"/>
      <c r="T18420" s="9"/>
      <c r="U18420" s="9"/>
      <c r="V18420" s="9"/>
      <c r="W18420" s="9"/>
      <c r="X18420" s="9"/>
      <c r="Y18420" s="9"/>
      <c r="Z18420" s="9"/>
      <c r="AA18420" s="9"/>
      <c r="AB18420" s="9"/>
      <c r="AC18420" s="9"/>
      <c r="AD18420" s="9"/>
      <c r="AE18420" s="9"/>
      <c r="AF18420" s="9"/>
      <c r="AG18420" s="10"/>
    </row>
    <row r="18421" spans="1:33">
      <c r="A18421" s="9"/>
      <c r="B18421" s="9"/>
      <c r="C18421" s="9"/>
      <c r="D18421" s="9"/>
      <c r="E18421" s="9"/>
      <c r="F18421" s="9"/>
      <c r="G18421" s="9"/>
      <c r="H18421" s="9"/>
      <c r="I18421" s="9"/>
      <c r="J18421" s="9"/>
      <c r="K18421" s="9"/>
      <c r="L18421" s="9"/>
      <c r="M18421" s="9"/>
      <c r="N18421" s="9"/>
      <c r="O18421" s="9"/>
      <c r="P18421" s="9"/>
      <c r="Q18421" s="9"/>
      <c r="R18421" s="9"/>
      <c r="S18421" s="9"/>
      <c r="T18421" s="9"/>
      <c r="U18421" s="9"/>
      <c r="V18421" s="9"/>
      <c r="W18421" s="9"/>
      <c r="X18421" s="9"/>
      <c r="Y18421" s="9"/>
      <c r="Z18421" s="9"/>
      <c r="AA18421" s="9"/>
      <c r="AB18421" s="9"/>
      <c r="AC18421" s="9"/>
      <c r="AD18421" s="9"/>
      <c r="AE18421" s="9"/>
      <c r="AF18421" s="9"/>
      <c r="AG18421" s="10"/>
    </row>
    <row r="18422" spans="1:33">
      <c r="A18422" s="9"/>
      <c r="B18422" s="9"/>
      <c r="C18422" s="9"/>
      <c r="D18422" s="9"/>
      <c r="E18422" s="9"/>
      <c r="F18422" s="9"/>
      <c r="G18422" s="9"/>
      <c r="H18422" s="9"/>
      <c r="I18422" s="9"/>
      <c r="J18422" s="9"/>
      <c r="K18422" s="9"/>
      <c r="L18422" s="9"/>
      <c r="M18422" s="9"/>
      <c r="N18422" s="9"/>
      <c r="O18422" s="9"/>
      <c r="P18422" s="9"/>
      <c r="Q18422" s="9"/>
      <c r="R18422" s="9"/>
      <c r="S18422" s="9"/>
      <c r="T18422" s="9"/>
      <c r="U18422" s="9"/>
      <c r="V18422" s="9"/>
      <c r="W18422" s="9"/>
      <c r="X18422" s="9"/>
      <c r="Y18422" s="9"/>
      <c r="Z18422" s="9"/>
      <c r="AA18422" s="9"/>
      <c r="AB18422" s="9"/>
      <c r="AC18422" s="9"/>
      <c r="AD18422" s="9"/>
      <c r="AE18422" s="9"/>
      <c r="AF18422" s="9"/>
      <c r="AG18422" s="10"/>
    </row>
    <row r="18423" spans="1:33">
      <c r="A18423" s="9"/>
      <c r="B18423" s="9"/>
      <c r="C18423" s="9"/>
      <c r="D18423" s="9"/>
      <c r="E18423" s="9"/>
      <c r="F18423" s="9"/>
      <c r="G18423" s="9"/>
      <c r="H18423" s="9"/>
      <c r="I18423" s="9"/>
      <c r="J18423" s="9"/>
      <c r="K18423" s="9"/>
      <c r="L18423" s="9"/>
      <c r="M18423" s="9"/>
      <c r="N18423" s="9"/>
      <c r="O18423" s="9"/>
      <c r="P18423" s="9"/>
      <c r="Q18423" s="9"/>
      <c r="R18423" s="9"/>
      <c r="S18423" s="9"/>
      <c r="T18423" s="9"/>
      <c r="U18423" s="9"/>
      <c r="V18423" s="9"/>
      <c r="W18423" s="9"/>
      <c r="X18423" s="9"/>
      <c r="Y18423" s="9"/>
      <c r="Z18423" s="9"/>
      <c r="AA18423" s="9"/>
      <c r="AB18423" s="9"/>
      <c r="AC18423" s="9"/>
      <c r="AD18423" s="9"/>
      <c r="AE18423" s="9"/>
      <c r="AF18423" s="9"/>
      <c r="AG18423" s="10"/>
    </row>
    <row r="18424" spans="1:33">
      <c r="A18424" s="9"/>
      <c r="B18424" s="9"/>
      <c r="C18424" s="9"/>
      <c r="D18424" s="9"/>
      <c r="E18424" s="9"/>
      <c r="F18424" s="9"/>
      <c r="G18424" s="9"/>
      <c r="H18424" s="9"/>
      <c r="I18424" s="9"/>
      <c r="J18424" s="9"/>
      <c r="K18424" s="9"/>
      <c r="L18424" s="9"/>
      <c r="M18424" s="9"/>
      <c r="N18424" s="9"/>
      <c r="O18424" s="9"/>
      <c r="P18424" s="9"/>
      <c r="Q18424" s="9"/>
      <c r="R18424" s="9"/>
      <c r="S18424" s="9"/>
      <c r="T18424" s="9"/>
      <c r="U18424" s="9"/>
      <c r="V18424" s="9"/>
      <c r="W18424" s="9"/>
      <c r="X18424" s="9"/>
      <c r="Y18424" s="9"/>
      <c r="Z18424" s="9"/>
      <c r="AA18424" s="9"/>
      <c r="AB18424" s="9"/>
      <c r="AC18424" s="9"/>
      <c r="AD18424" s="9"/>
      <c r="AE18424" s="9"/>
      <c r="AF18424" s="9"/>
      <c r="AG18424" s="10"/>
    </row>
    <row r="18425" spans="1:33">
      <c r="A18425" s="9"/>
      <c r="B18425" s="9"/>
      <c r="C18425" s="9"/>
      <c r="D18425" s="9"/>
      <c r="E18425" s="9"/>
      <c r="F18425" s="9"/>
      <c r="G18425" s="9"/>
      <c r="H18425" s="9"/>
      <c r="I18425" s="9"/>
      <c r="J18425" s="9"/>
      <c r="K18425" s="9"/>
      <c r="L18425" s="9"/>
      <c r="M18425" s="9"/>
      <c r="N18425" s="9"/>
      <c r="O18425" s="9"/>
      <c r="P18425" s="9"/>
      <c r="Q18425" s="9"/>
      <c r="R18425" s="9"/>
      <c r="S18425" s="9"/>
      <c r="T18425" s="9"/>
      <c r="U18425" s="9"/>
      <c r="V18425" s="9"/>
      <c r="W18425" s="9"/>
      <c r="X18425" s="9"/>
      <c r="Y18425" s="9"/>
      <c r="Z18425" s="9"/>
      <c r="AA18425" s="9"/>
      <c r="AB18425" s="9"/>
      <c r="AC18425" s="9"/>
      <c r="AD18425" s="9"/>
      <c r="AE18425" s="9"/>
      <c r="AF18425" s="9"/>
      <c r="AG18425" s="10"/>
    </row>
    <row r="18426" spans="1:33">
      <c r="A18426" s="9"/>
      <c r="B18426" s="9"/>
      <c r="C18426" s="9"/>
      <c r="D18426" s="9"/>
      <c r="E18426" s="9"/>
      <c r="F18426" s="9"/>
      <c r="G18426" s="9"/>
      <c r="H18426" s="9"/>
      <c r="I18426" s="9"/>
      <c r="J18426" s="9"/>
      <c r="K18426" s="9"/>
      <c r="L18426" s="9"/>
      <c r="M18426" s="9"/>
      <c r="N18426" s="9"/>
      <c r="O18426" s="9"/>
      <c r="P18426" s="9"/>
      <c r="Q18426" s="9"/>
      <c r="R18426" s="9"/>
      <c r="S18426" s="9"/>
      <c r="T18426" s="9"/>
      <c r="U18426" s="9"/>
      <c r="V18426" s="9"/>
      <c r="W18426" s="9"/>
      <c r="X18426" s="9"/>
      <c r="Y18426" s="9"/>
      <c r="Z18426" s="9"/>
      <c r="AA18426" s="9"/>
      <c r="AB18426" s="9"/>
      <c r="AC18426" s="9"/>
      <c r="AD18426" s="9"/>
      <c r="AE18426" s="9"/>
      <c r="AF18426" s="9"/>
      <c r="AG18426" s="10"/>
    </row>
    <row r="18427" spans="1:33">
      <c r="A18427" s="9"/>
      <c r="B18427" s="9"/>
      <c r="C18427" s="9"/>
      <c r="D18427" s="9"/>
      <c r="E18427" s="9"/>
      <c r="F18427" s="9"/>
      <c r="G18427" s="9"/>
      <c r="H18427" s="9"/>
      <c r="I18427" s="9"/>
      <c r="J18427" s="9"/>
      <c r="K18427" s="9"/>
      <c r="L18427" s="9"/>
      <c r="M18427" s="9"/>
      <c r="N18427" s="9"/>
      <c r="O18427" s="9"/>
      <c r="P18427" s="9"/>
      <c r="Q18427" s="9"/>
      <c r="R18427" s="9"/>
      <c r="S18427" s="9"/>
      <c r="T18427" s="9"/>
      <c r="U18427" s="9"/>
      <c r="V18427" s="9"/>
      <c r="W18427" s="9"/>
      <c r="X18427" s="9"/>
      <c r="Y18427" s="9"/>
      <c r="Z18427" s="9"/>
      <c r="AA18427" s="9"/>
      <c r="AB18427" s="9"/>
      <c r="AC18427" s="9"/>
      <c r="AD18427" s="9"/>
      <c r="AE18427" s="9"/>
      <c r="AF18427" s="9"/>
      <c r="AG18427" s="10"/>
    </row>
    <row r="18428" spans="1:33">
      <c r="A18428" s="9"/>
      <c r="B18428" s="9"/>
      <c r="C18428" s="9"/>
      <c r="D18428" s="9"/>
      <c r="E18428" s="9"/>
      <c r="F18428" s="9"/>
      <c r="G18428" s="9"/>
      <c r="H18428" s="9"/>
      <c r="I18428" s="9"/>
      <c r="J18428" s="9"/>
      <c r="K18428" s="9"/>
      <c r="L18428" s="9"/>
      <c r="M18428" s="9"/>
      <c r="N18428" s="9"/>
      <c r="O18428" s="9"/>
      <c r="P18428" s="9"/>
      <c r="Q18428" s="9"/>
      <c r="R18428" s="9"/>
      <c r="S18428" s="9"/>
      <c r="T18428" s="9"/>
      <c r="U18428" s="9"/>
      <c r="V18428" s="9"/>
      <c r="W18428" s="9"/>
      <c r="X18428" s="9"/>
      <c r="Y18428" s="9"/>
      <c r="Z18428" s="9"/>
      <c r="AA18428" s="9"/>
      <c r="AB18428" s="9"/>
      <c r="AC18428" s="9"/>
      <c r="AD18428" s="9"/>
      <c r="AE18428" s="9"/>
      <c r="AF18428" s="9"/>
      <c r="AG18428" s="10"/>
    </row>
    <row r="18429" spans="1:33">
      <c r="A18429" s="9"/>
      <c r="B18429" s="9"/>
      <c r="C18429" s="9"/>
      <c r="D18429" s="9"/>
      <c r="E18429" s="9"/>
      <c r="F18429" s="9"/>
      <c r="G18429" s="9"/>
      <c r="H18429" s="9"/>
      <c r="I18429" s="9"/>
      <c r="J18429" s="9"/>
      <c r="K18429" s="9"/>
      <c r="L18429" s="9"/>
      <c r="M18429" s="9"/>
      <c r="N18429" s="9"/>
      <c r="O18429" s="9"/>
      <c r="P18429" s="9"/>
      <c r="Q18429" s="9"/>
      <c r="R18429" s="9"/>
      <c r="S18429" s="9"/>
      <c r="T18429" s="9"/>
      <c r="U18429" s="9"/>
      <c r="V18429" s="9"/>
      <c r="W18429" s="9"/>
      <c r="X18429" s="9"/>
      <c r="Y18429" s="9"/>
      <c r="Z18429" s="9"/>
      <c r="AA18429" s="9"/>
      <c r="AB18429" s="9"/>
      <c r="AC18429" s="9"/>
      <c r="AD18429" s="9"/>
      <c r="AE18429" s="9"/>
      <c r="AF18429" s="9"/>
      <c r="AG18429" s="10"/>
    </row>
    <row r="18430" spans="1:33">
      <c r="A18430" s="9"/>
      <c r="B18430" s="9"/>
      <c r="C18430" s="9"/>
      <c r="D18430" s="9"/>
      <c r="E18430" s="9"/>
      <c r="F18430" s="9"/>
      <c r="G18430" s="9"/>
      <c r="H18430" s="9"/>
      <c r="I18430" s="9"/>
      <c r="J18430" s="9"/>
      <c r="K18430" s="9"/>
      <c r="L18430" s="9"/>
      <c r="M18430" s="9"/>
      <c r="N18430" s="9"/>
      <c r="O18430" s="9"/>
      <c r="P18430" s="9"/>
      <c r="Q18430" s="9"/>
      <c r="R18430" s="9"/>
      <c r="S18430" s="9"/>
      <c r="T18430" s="9"/>
      <c r="U18430" s="9"/>
      <c r="V18430" s="9"/>
      <c r="W18430" s="9"/>
      <c r="X18430" s="9"/>
      <c r="Y18430" s="9"/>
      <c r="Z18430" s="9"/>
      <c r="AA18430" s="9"/>
      <c r="AB18430" s="9"/>
      <c r="AC18430" s="9"/>
      <c r="AD18430" s="9"/>
      <c r="AE18430" s="9"/>
      <c r="AF18430" s="9"/>
      <c r="AG18430" s="10"/>
    </row>
    <row r="18431" spans="1:33">
      <c r="A18431" s="9"/>
      <c r="B18431" s="9"/>
      <c r="C18431" s="9"/>
      <c r="D18431" s="9"/>
      <c r="E18431" s="9"/>
      <c r="F18431" s="9"/>
      <c r="G18431" s="9"/>
      <c r="H18431" s="9"/>
      <c r="I18431" s="9"/>
      <c r="J18431" s="9"/>
      <c r="K18431" s="9"/>
      <c r="L18431" s="9"/>
      <c r="M18431" s="9"/>
      <c r="N18431" s="9"/>
      <c r="O18431" s="9"/>
      <c r="P18431" s="9"/>
      <c r="Q18431" s="9"/>
      <c r="R18431" s="9"/>
      <c r="S18431" s="9"/>
      <c r="T18431" s="9"/>
      <c r="U18431" s="9"/>
      <c r="V18431" s="9"/>
      <c r="W18431" s="9"/>
      <c r="X18431" s="9"/>
      <c r="Y18431" s="9"/>
      <c r="Z18431" s="9"/>
      <c r="AA18431" s="9"/>
      <c r="AB18431" s="9"/>
      <c r="AC18431" s="9"/>
      <c r="AD18431" s="9"/>
      <c r="AE18431" s="9"/>
      <c r="AF18431" s="9"/>
      <c r="AG18431" s="10"/>
    </row>
    <row r="18432" spans="1:33">
      <c r="A18432" s="9"/>
      <c r="B18432" s="9"/>
      <c r="C18432" s="9"/>
      <c r="D18432" s="9"/>
      <c r="E18432" s="9"/>
      <c r="F18432" s="9"/>
      <c r="G18432" s="9"/>
      <c r="H18432" s="9"/>
      <c r="I18432" s="9"/>
      <c r="J18432" s="9"/>
      <c r="K18432" s="9"/>
      <c r="L18432" s="9"/>
      <c r="M18432" s="9"/>
      <c r="N18432" s="9"/>
      <c r="O18432" s="9"/>
      <c r="P18432" s="9"/>
      <c r="Q18432" s="9"/>
      <c r="R18432" s="9"/>
      <c r="S18432" s="9"/>
      <c r="T18432" s="9"/>
      <c r="U18432" s="9"/>
      <c r="V18432" s="9"/>
      <c r="W18432" s="9"/>
      <c r="X18432" s="9"/>
      <c r="Y18432" s="9"/>
      <c r="Z18432" s="9"/>
      <c r="AA18432" s="9"/>
      <c r="AB18432" s="9"/>
      <c r="AC18432" s="9"/>
      <c r="AD18432" s="9"/>
      <c r="AE18432" s="9"/>
      <c r="AF18432" s="9"/>
      <c r="AG18432" s="10"/>
    </row>
    <row r="18433" spans="1:33">
      <c r="A18433" s="9"/>
      <c r="B18433" s="9"/>
      <c r="C18433" s="9"/>
      <c r="D18433" s="9"/>
      <c r="E18433" s="9"/>
      <c r="F18433" s="9"/>
      <c r="G18433" s="9"/>
      <c r="H18433" s="9"/>
      <c r="I18433" s="9"/>
      <c r="J18433" s="9"/>
      <c r="K18433" s="9"/>
      <c r="L18433" s="9"/>
      <c r="M18433" s="9"/>
      <c r="N18433" s="9"/>
      <c r="O18433" s="9"/>
      <c r="P18433" s="9"/>
      <c r="Q18433" s="9"/>
      <c r="R18433" s="9"/>
      <c r="S18433" s="9"/>
      <c r="T18433" s="9"/>
      <c r="U18433" s="9"/>
      <c r="V18433" s="9"/>
      <c r="W18433" s="9"/>
      <c r="X18433" s="9"/>
      <c r="Y18433" s="9"/>
      <c r="Z18433" s="9"/>
      <c r="AA18433" s="9"/>
      <c r="AB18433" s="9"/>
      <c r="AC18433" s="9"/>
      <c r="AD18433" s="9"/>
      <c r="AE18433" s="9"/>
      <c r="AF18433" s="9"/>
      <c r="AG18433" s="10"/>
    </row>
    <row r="18434" spans="1:33">
      <c r="A18434" s="9"/>
      <c r="B18434" s="9"/>
      <c r="C18434" s="9"/>
      <c r="D18434" s="9"/>
      <c r="E18434" s="9"/>
      <c r="F18434" s="9"/>
      <c r="G18434" s="9"/>
      <c r="H18434" s="9"/>
      <c r="I18434" s="9"/>
      <c r="J18434" s="9"/>
      <c r="K18434" s="9"/>
      <c r="L18434" s="9"/>
      <c r="M18434" s="9"/>
      <c r="N18434" s="9"/>
      <c r="O18434" s="9"/>
      <c r="P18434" s="9"/>
      <c r="Q18434" s="9"/>
      <c r="R18434" s="9"/>
      <c r="S18434" s="9"/>
      <c r="T18434" s="9"/>
      <c r="U18434" s="9"/>
      <c r="V18434" s="9"/>
      <c r="W18434" s="9"/>
      <c r="X18434" s="9"/>
      <c r="Y18434" s="9"/>
      <c r="Z18434" s="9"/>
      <c r="AA18434" s="9"/>
      <c r="AB18434" s="9"/>
      <c r="AC18434" s="9"/>
      <c r="AD18434" s="9"/>
      <c r="AE18434" s="9"/>
      <c r="AF18434" s="9"/>
      <c r="AG18434" s="10"/>
    </row>
    <row r="18435" spans="1:33">
      <c r="A18435" s="9"/>
      <c r="B18435" s="9"/>
      <c r="C18435" s="9"/>
      <c r="D18435" s="9"/>
      <c r="E18435" s="9"/>
      <c r="F18435" s="9"/>
      <c r="G18435" s="9"/>
      <c r="H18435" s="9"/>
      <c r="I18435" s="9"/>
      <c r="J18435" s="9"/>
      <c r="K18435" s="9"/>
      <c r="L18435" s="9"/>
      <c r="M18435" s="9"/>
      <c r="N18435" s="9"/>
      <c r="O18435" s="9"/>
      <c r="P18435" s="9"/>
      <c r="Q18435" s="9"/>
      <c r="R18435" s="9"/>
      <c r="S18435" s="9"/>
      <c r="T18435" s="9"/>
      <c r="U18435" s="9"/>
      <c r="V18435" s="9"/>
      <c r="W18435" s="9"/>
      <c r="X18435" s="9"/>
      <c r="Y18435" s="9"/>
      <c r="Z18435" s="9"/>
      <c r="AA18435" s="9"/>
      <c r="AB18435" s="9"/>
      <c r="AC18435" s="9"/>
      <c r="AD18435" s="9"/>
      <c r="AE18435" s="9"/>
      <c r="AF18435" s="9"/>
      <c r="AG18435" s="10"/>
    </row>
    <row r="18436" spans="1:33">
      <c r="A18436" s="9"/>
      <c r="B18436" s="9"/>
      <c r="C18436" s="9"/>
      <c r="D18436" s="9"/>
      <c r="E18436" s="9"/>
      <c r="F18436" s="9"/>
      <c r="G18436" s="9"/>
      <c r="H18436" s="9"/>
      <c r="I18436" s="9"/>
      <c r="J18436" s="9"/>
      <c r="K18436" s="9"/>
      <c r="L18436" s="9"/>
      <c r="M18436" s="9"/>
      <c r="N18436" s="9"/>
      <c r="O18436" s="9"/>
      <c r="P18436" s="9"/>
      <c r="Q18436" s="9"/>
      <c r="R18436" s="9"/>
      <c r="S18436" s="9"/>
      <c r="T18436" s="9"/>
      <c r="U18436" s="9"/>
      <c r="V18436" s="9"/>
      <c r="W18436" s="9"/>
      <c r="X18436" s="9"/>
      <c r="Y18436" s="9"/>
      <c r="Z18436" s="9"/>
      <c r="AA18436" s="9"/>
      <c r="AB18436" s="9"/>
      <c r="AC18436" s="9"/>
      <c r="AD18436" s="9"/>
      <c r="AE18436" s="9"/>
      <c r="AF18436" s="9"/>
      <c r="AG18436" s="10"/>
    </row>
    <row r="18437" spans="1:33">
      <c r="A18437" s="9"/>
      <c r="B18437" s="9"/>
      <c r="C18437" s="9"/>
      <c r="D18437" s="9"/>
      <c r="E18437" s="9"/>
      <c r="F18437" s="9"/>
      <c r="G18437" s="9"/>
      <c r="H18437" s="9"/>
      <c r="I18437" s="9"/>
      <c r="J18437" s="9"/>
      <c r="K18437" s="9"/>
      <c r="L18437" s="9"/>
      <c r="M18437" s="9"/>
      <c r="N18437" s="9"/>
      <c r="O18437" s="9"/>
      <c r="P18437" s="9"/>
      <c r="Q18437" s="9"/>
      <c r="R18437" s="9"/>
      <c r="S18437" s="9"/>
      <c r="T18437" s="9"/>
      <c r="U18437" s="9"/>
      <c r="V18437" s="9"/>
      <c r="W18437" s="9"/>
      <c r="X18437" s="9"/>
      <c r="Y18437" s="9"/>
      <c r="Z18437" s="9"/>
      <c r="AA18437" s="9"/>
      <c r="AB18437" s="9"/>
      <c r="AC18437" s="9"/>
      <c r="AD18437" s="9"/>
      <c r="AE18437" s="9"/>
      <c r="AF18437" s="9"/>
      <c r="AG18437" s="10"/>
    </row>
    <row r="18438" spans="1:33">
      <c r="A18438" s="9"/>
      <c r="B18438" s="9"/>
      <c r="C18438" s="9"/>
      <c r="D18438" s="9"/>
      <c r="E18438" s="9"/>
      <c r="F18438" s="9"/>
      <c r="G18438" s="9"/>
      <c r="H18438" s="9"/>
      <c r="I18438" s="9"/>
      <c r="J18438" s="9"/>
      <c r="K18438" s="9"/>
      <c r="L18438" s="9"/>
      <c r="M18438" s="9"/>
      <c r="N18438" s="9"/>
      <c r="O18438" s="9"/>
      <c r="P18438" s="9"/>
      <c r="Q18438" s="9"/>
      <c r="R18438" s="9"/>
      <c r="S18438" s="9"/>
      <c r="T18438" s="9"/>
      <c r="U18438" s="9"/>
      <c r="V18438" s="9"/>
      <c r="W18438" s="9"/>
      <c r="X18438" s="9"/>
      <c r="Y18438" s="9"/>
      <c r="Z18438" s="9"/>
      <c r="AA18438" s="9"/>
      <c r="AB18438" s="9"/>
      <c r="AC18438" s="9"/>
      <c r="AD18438" s="9"/>
      <c r="AE18438" s="9"/>
      <c r="AF18438" s="9"/>
      <c r="AG18438" s="10"/>
    </row>
    <row r="18439" spans="1:33">
      <c r="A18439" s="9"/>
      <c r="B18439" s="9"/>
      <c r="C18439" s="9"/>
      <c r="D18439" s="9"/>
      <c r="E18439" s="9"/>
      <c r="F18439" s="9"/>
      <c r="G18439" s="9"/>
      <c r="H18439" s="9"/>
      <c r="I18439" s="9"/>
      <c r="J18439" s="9"/>
      <c r="K18439" s="9"/>
      <c r="L18439" s="9"/>
      <c r="M18439" s="9"/>
      <c r="N18439" s="9"/>
      <c r="O18439" s="9"/>
      <c r="P18439" s="9"/>
      <c r="Q18439" s="9"/>
      <c r="R18439" s="9"/>
      <c r="S18439" s="9"/>
      <c r="T18439" s="9"/>
      <c r="U18439" s="9"/>
      <c r="V18439" s="9"/>
      <c r="W18439" s="9"/>
      <c r="X18439" s="9"/>
      <c r="Y18439" s="9"/>
      <c r="Z18439" s="9"/>
      <c r="AA18439" s="9"/>
      <c r="AB18439" s="9"/>
      <c r="AC18439" s="9"/>
      <c r="AD18439" s="9"/>
      <c r="AE18439" s="9"/>
      <c r="AF18439" s="9"/>
      <c r="AG18439" s="10"/>
    </row>
    <row r="18440" spans="1:33">
      <c r="A18440" s="9"/>
      <c r="B18440" s="9"/>
      <c r="C18440" s="9"/>
      <c r="D18440" s="9"/>
      <c r="E18440" s="9"/>
      <c r="F18440" s="9"/>
      <c r="G18440" s="9"/>
      <c r="H18440" s="9"/>
      <c r="I18440" s="9"/>
      <c r="J18440" s="9"/>
      <c r="K18440" s="9"/>
      <c r="L18440" s="9"/>
      <c r="M18440" s="9"/>
      <c r="N18440" s="9"/>
      <c r="O18440" s="9"/>
      <c r="P18440" s="9"/>
      <c r="Q18440" s="9"/>
      <c r="R18440" s="9"/>
      <c r="S18440" s="9"/>
      <c r="T18440" s="9"/>
      <c r="U18440" s="9"/>
      <c r="V18440" s="9"/>
      <c r="W18440" s="9"/>
      <c r="X18440" s="9"/>
      <c r="Y18440" s="9"/>
      <c r="Z18440" s="9"/>
      <c r="AA18440" s="9"/>
      <c r="AB18440" s="9"/>
      <c r="AC18440" s="9"/>
      <c r="AD18440" s="9"/>
      <c r="AE18440" s="9"/>
      <c r="AF18440" s="9"/>
      <c r="AG18440" s="10"/>
    </row>
    <row r="18441" spans="1:33">
      <c r="A18441" s="9"/>
      <c r="B18441" s="9"/>
      <c r="C18441" s="9"/>
      <c r="D18441" s="9"/>
      <c r="E18441" s="9"/>
      <c r="F18441" s="9"/>
      <c r="G18441" s="9"/>
      <c r="H18441" s="9"/>
      <c r="I18441" s="9"/>
      <c r="J18441" s="9"/>
      <c r="K18441" s="9"/>
      <c r="L18441" s="9"/>
      <c r="M18441" s="9"/>
      <c r="N18441" s="9"/>
      <c r="O18441" s="9"/>
      <c r="P18441" s="9"/>
      <c r="Q18441" s="9"/>
      <c r="R18441" s="9"/>
      <c r="S18441" s="9"/>
      <c r="T18441" s="9"/>
      <c r="U18441" s="9"/>
      <c r="V18441" s="9"/>
      <c r="W18441" s="9"/>
      <c r="X18441" s="9"/>
      <c r="Y18441" s="9"/>
      <c r="Z18441" s="9"/>
      <c r="AA18441" s="9"/>
      <c r="AB18441" s="9"/>
      <c r="AC18441" s="9"/>
      <c r="AD18441" s="9"/>
      <c r="AE18441" s="9"/>
      <c r="AF18441" s="9"/>
      <c r="AG18441" s="10"/>
    </row>
    <row r="18442" spans="1:33">
      <c r="A18442" s="9"/>
      <c r="B18442" s="9"/>
      <c r="C18442" s="9"/>
      <c r="D18442" s="9"/>
      <c r="E18442" s="9"/>
      <c r="F18442" s="9"/>
      <c r="G18442" s="9"/>
      <c r="H18442" s="9"/>
      <c r="I18442" s="9"/>
      <c r="J18442" s="9"/>
      <c r="K18442" s="9"/>
      <c r="L18442" s="9"/>
      <c r="M18442" s="9"/>
      <c r="N18442" s="9"/>
      <c r="O18442" s="9"/>
      <c r="P18442" s="9"/>
      <c r="Q18442" s="9"/>
      <c r="R18442" s="9"/>
      <c r="S18442" s="9"/>
      <c r="T18442" s="9"/>
      <c r="U18442" s="9"/>
      <c r="V18442" s="9"/>
      <c r="W18442" s="9"/>
      <c r="X18442" s="9"/>
      <c r="Y18442" s="9"/>
      <c r="Z18442" s="9"/>
      <c r="AA18442" s="9"/>
      <c r="AB18442" s="9"/>
      <c r="AC18442" s="9"/>
      <c r="AD18442" s="9"/>
      <c r="AE18442" s="9"/>
      <c r="AF18442" s="9"/>
      <c r="AG18442" s="10"/>
    </row>
    <row r="18443" spans="1:33">
      <c r="A18443" s="9"/>
      <c r="B18443" s="9"/>
      <c r="C18443" s="9"/>
      <c r="D18443" s="9"/>
      <c r="E18443" s="9"/>
      <c r="F18443" s="9"/>
      <c r="G18443" s="9"/>
      <c r="H18443" s="9"/>
      <c r="I18443" s="9"/>
      <c r="J18443" s="9"/>
      <c r="K18443" s="9"/>
      <c r="L18443" s="9"/>
      <c r="M18443" s="9"/>
      <c r="N18443" s="9"/>
      <c r="O18443" s="9"/>
      <c r="P18443" s="9"/>
      <c r="Q18443" s="9"/>
      <c r="R18443" s="9"/>
      <c r="S18443" s="9"/>
      <c r="T18443" s="9"/>
      <c r="U18443" s="9"/>
      <c r="V18443" s="9"/>
      <c r="W18443" s="9"/>
      <c r="X18443" s="9"/>
      <c r="Y18443" s="9"/>
      <c r="Z18443" s="9"/>
      <c r="AA18443" s="9"/>
      <c r="AB18443" s="9"/>
      <c r="AC18443" s="9"/>
      <c r="AD18443" s="9"/>
      <c r="AE18443" s="9"/>
      <c r="AF18443" s="9"/>
      <c r="AG18443" s="10"/>
    </row>
    <row r="18444" spans="1:33">
      <c r="A18444" s="9"/>
      <c r="B18444" s="9"/>
      <c r="C18444" s="9"/>
      <c r="D18444" s="9"/>
      <c r="E18444" s="9"/>
      <c r="F18444" s="9"/>
      <c r="G18444" s="9"/>
      <c r="H18444" s="9"/>
      <c r="I18444" s="9"/>
      <c r="J18444" s="9"/>
      <c r="K18444" s="9"/>
      <c r="L18444" s="9"/>
      <c r="M18444" s="9"/>
      <c r="N18444" s="9"/>
      <c r="O18444" s="9"/>
      <c r="P18444" s="9"/>
      <c r="Q18444" s="9"/>
      <c r="R18444" s="9"/>
      <c r="S18444" s="9"/>
      <c r="T18444" s="9"/>
      <c r="U18444" s="9"/>
      <c r="V18444" s="9"/>
      <c r="W18444" s="9"/>
      <c r="X18444" s="9"/>
      <c r="Y18444" s="9"/>
      <c r="Z18444" s="9"/>
      <c r="AA18444" s="9"/>
      <c r="AB18444" s="9"/>
      <c r="AC18444" s="9"/>
      <c r="AD18444" s="9"/>
      <c r="AE18444" s="9"/>
      <c r="AF18444" s="9"/>
      <c r="AG18444" s="10"/>
    </row>
    <row r="18445" spans="1:33">
      <c r="A18445" s="9"/>
      <c r="B18445" s="9"/>
      <c r="C18445" s="9"/>
      <c r="D18445" s="9"/>
      <c r="E18445" s="9"/>
      <c r="F18445" s="9"/>
      <c r="G18445" s="9"/>
      <c r="H18445" s="9"/>
      <c r="I18445" s="9"/>
      <c r="J18445" s="9"/>
      <c r="K18445" s="9"/>
      <c r="L18445" s="9"/>
      <c r="M18445" s="9"/>
      <c r="N18445" s="9"/>
      <c r="O18445" s="9"/>
      <c r="P18445" s="9"/>
      <c r="Q18445" s="9"/>
      <c r="R18445" s="9"/>
      <c r="S18445" s="9"/>
      <c r="T18445" s="9"/>
      <c r="U18445" s="9"/>
      <c r="V18445" s="9"/>
      <c r="W18445" s="9"/>
      <c r="X18445" s="9"/>
      <c r="Y18445" s="9"/>
      <c r="Z18445" s="9"/>
      <c r="AA18445" s="9"/>
      <c r="AB18445" s="9"/>
      <c r="AC18445" s="9"/>
      <c r="AD18445" s="9"/>
      <c r="AE18445" s="9"/>
      <c r="AF18445" s="9"/>
      <c r="AG18445" s="10"/>
    </row>
    <row r="18446" spans="1:33">
      <c r="A18446" s="9"/>
      <c r="B18446" s="9"/>
      <c r="C18446" s="9"/>
      <c r="D18446" s="9"/>
      <c r="E18446" s="9"/>
      <c r="F18446" s="9"/>
      <c r="G18446" s="9"/>
      <c r="H18446" s="9"/>
      <c r="I18446" s="9"/>
      <c r="J18446" s="9"/>
      <c r="K18446" s="9"/>
      <c r="L18446" s="9"/>
      <c r="M18446" s="9"/>
      <c r="N18446" s="9"/>
      <c r="O18446" s="9"/>
      <c r="P18446" s="9"/>
      <c r="Q18446" s="9"/>
      <c r="R18446" s="9"/>
      <c r="S18446" s="9"/>
      <c r="T18446" s="9"/>
      <c r="U18446" s="9"/>
      <c r="V18446" s="9"/>
      <c r="W18446" s="9"/>
      <c r="X18446" s="9"/>
      <c r="Y18446" s="9"/>
      <c r="Z18446" s="9"/>
      <c r="AA18446" s="9"/>
      <c r="AB18446" s="9"/>
      <c r="AC18446" s="9"/>
      <c r="AD18446" s="9"/>
      <c r="AE18446" s="9"/>
      <c r="AF18446" s="9"/>
      <c r="AG18446" s="10"/>
    </row>
    <row r="18447" spans="1:33">
      <c r="A18447" s="9"/>
      <c r="B18447" s="9"/>
      <c r="C18447" s="9"/>
      <c r="D18447" s="9"/>
      <c r="E18447" s="9"/>
      <c r="F18447" s="9"/>
      <c r="G18447" s="9"/>
      <c r="H18447" s="9"/>
      <c r="I18447" s="9"/>
      <c r="J18447" s="9"/>
      <c r="K18447" s="9"/>
      <c r="L18447" s="9"/>
      <c r="M18447" s="9"/>
      <c r="N18447" s="9"/>
      <c r="O18447" s="9"/>
      <c r="P18447" s="9"/>
      <c r="Q18447" s="9"/>
      <c r="R18447" s="9"/>
      <c r="S18447" s="9"/>
      <c r="T18447" s="9"/>
      <c r="U18447" s="9"/>
      <c r="V18447" s="9"/>
      <c r="W18447" s="9"/>
      <c r="X18447" s="9"/>
      <c r="Y18447" s="9"/>
      <c r="Z18447" s="9"/>
      <c r="AA18447" s="9"/>
      <c r="AB18447" s="9"/>
      <c r="AC18447" s="9"/>
      <c r="AD18447" s="9"/>
      <c r="AE18447" s="9"/>
      <c r="AF18447" s="9"/>
      <c r="AG18447" s="10"/>
    </row>
    <row r="18448" spans="1:33">
      <c r="A18448" s="9"/>
      <c r="B18448" s="9"/>
      <c r="C18448" s="9"/>
      <c r="D18448" s="9"/>
      <c r="E18448" s="9"/>
      <c r="F18448" s="9"/>
      <c r="G18448" s="9"/>
      <c r="H18448" s="9"/>
      <c r="I18448" s="9"/>
      <c r="J18448" s="9"/>
      <c r="K18448" s="9"/>
      <c r="L18448" s="9"/>
      <c r="M18448" s="9"/>
      <c r="N18448" s="9"/>
      <c r="O18448" s="9"/>
      <c r="P18448" s="9"/>
      <c r="Q18448" s="9"/>
      <c r="R18448" s="9"/>
      <c r="S18448" s="9"/>
      <c r="T18448" s="9"/>
      <c r="U18448" s="9"/>
      <c r="V18448" s="9"/>
      <c r="W18448" s="9"/>
      <c r="X18448" s="9"/>
      <c r="Y18448" s="9"/>
      <c r="Z18448" s="9"/>
      <c r="AA18448" s="9"/>
      <c r="AB18448" s="9"/>
      <c r="AC18448" s="9"/>
      <c r="AD18448" s="9"/>
      <c r="AE18448" s="9"/>
      <c r="AF18448" s="9"/>
      <c r="AG18448" s="10"/>
    </row>
    <row r="18449" spans="1:33">
      <c r="A18449" s="9"/>
      <c r="B18449" s="9"/>
      <c r="C18449" s="9"/>
      <c r="D18449" s="9"/>
      <c r="E18449" s="9"/>
      <c r="F18449" s="9"/>
      <c r="G18449" s="9"/>
      <c r="H18449" s="9"/>
      <c r="I18449" s="9"/>
      <c r="J18449" s="9"/>
      <c r="K18449" s="9"/>
      <c r="L18449" s="9"/>
      <c r="M18449" s="9"/>
      <c r="N18449" s="9"/>
      <c r="O18449" s="9"/>
      <c r="P18449" s="9"/>
      <c r="Q18449" s="9"/>
      <c r="R18449" s="9"/>
      <c r="S18449" s="9"/>
      <c r="T18449" s="9"/>
      <c r="U18449" s="9"/>
      <c r="V18449" s="9"/>
      <c r="W18449" s="9"/>
      <c r="X18449" s="9"/>
      <c r="Y18449" s="9"/>
      <c r="Z18449" s="9"/>
      <c r="AA18449" s="9"/>
      <c r="AB18449" s="9"/>
      <c r="AC18449" s="9"/>
      <c r="AD18449" s="9"/>
      <c r="AE18449" s="9"/>
      <c r="AF18449" s="9"/>
      <c r="AG18449" s="10"/>
    </row>
    <row r="18450" spans="1:33">
      <c r="A18450" s="9"/>
      <c r="B18450" s="9"/>
      <c r="C18450" s="9"/>
      <c r="D18450" s="9"/>
      <c r="E18450" s="9"/>
      <c r="F18450" s="9"/>
      <c r="G18450" s="9"/>
      <c r="H18450" s="9"/>
      <c r="I18450" s="9"/>
      <c r="J18450" s="9"/>
      <c r="K18450" s="9"/>
      <c r="L18450" s="9"/>
      <c r="M18450" s="9"/>
      <c r="N18450" s="9"/>
      <c r="O18450" s="9"/>
      <c r="P18450" s="9"/>
      <c r="Q18450" s="9"/>
      <c r="R18450" s="9"/>
      <c r="S18450" s="9"/>
      <c r="T18450" s="9"/>
      <c r="U18450" s="9"/>
      <c r="V18450" s="9"/>
      <c r="W18450" s="9"/>
      <c r="X18450" s="9"/>
      <c r="Y18450" s="9"/>
      <c r="Z18450" s="9"/>
      <c r="AA18450" s="9"/>
      <c r="AB18450" s="9"/>
      <c r="AC18450" s="9"/>
      <c r="AD18450" s="9"/>
      <c r="AE18450" s="9"/>
      <c r="AF18450" s="9"/>
      <c r="AG18450" s="10"/>
    </row>
    <row r="18451" spans="1:33">
      <c r="A18451" s="9"/>
      <c r="B18451" s="9"/>
      <c r="C18451" s="9"/>
      <c r="D18451" s="9"/>
      <c r="E18451" s="9"/>
      <c r="F18451" s="9"/>
      <c r="G18451" s="9"/>
      <c r="H18451" s="9"/>
      <c r="I18451" s="9"/>
      <c r="J18451" s="9"/>
      <c r="K18451" s="9"/>
      <c r="L18451" s="9"/>
      <c r="M18451" s="9"/>
      <c r="N18451" s="9"/>
      <c r="O18451" s="9"/>
      <c r="P18451" s="9"/>
      <c r="Q18451" s="9"/>
      <c r="R18451" s="9"/>
      <c r="S18451" s="9"/>
      <c r="T18451" s="9"/>
      <c r="U18451" s="9"/>
      <c r="V18451" s="9"/>
      <c r="W18451" s="9"/>
      <c r="X18451" s="9"/>
      <c r="Y18451" s="9"/>
      <c r="Z18451" s="9"/>
      <c r="AA18451" s="9"/>
      <c r="AB18451" s="9"/>
      <c r="AC18451" s="9"/>
      <c r="AD18451" s="9"/>
      <c r="AE18451" s="9"/>
      <c r="AF18451" s="9"/>
      <c r="AG18451" s="10"/>
    </row>
    <row r="18452" spans="1:33">
      <c r="A18452" s="9"/>
      <c r="B18452" s="9"/>
      <c r="C18452" s="9"/>
      <c r="D18452" s="9"/>
      <c r="E18452" s="9"/>
      <c r="F18452" s="9"/>
      <c r="G18452" s="9"/>
      <c r="H18452" s="9"/>
      <c r="I18452" s="9"/>
      <c r="J18452" s="9"/>
      <c r="K18452" s="9"/>
      <c r="L18452" s="9"/>
      <c r="M18452" s="9"/>
      <c r="N18452" s="9"/>
      <c r="O18452" s="9"/>
      <c r="P18452" s="9"/>
      <c r="Q18452" s="9"/>
      <c r="R18452" s="9"/>
      <c r="S18452" s="9"/>
      <c r="T18452" s="9"/>
      <c r="U18452" s="9"/>
      <c r="V18452" s="9"/>
      <c r="W18452" s="9"/>
      <c r="X18452" s="9"/>
      <c r="Y18452" s="9"/>
      <c r="Z18452" s="9"/>
      <c r="AA18452" s="9"/>
      <c r="AB18452" s="9"/>
      <c r="AC18452" s="9"/>
      <c r="AD18452" s="9"/>
      <c r="AE18452" s="9"/>
      <c r="AF18452" s="9"/>
      <c r="AG18452" s="10"/>
    </row>
    <row r="18453" spans="1:33">
      <c r="A18453" s="9"/>
      <c r="B18453" s="9"/>
      <c r="C18453" s="9"/>
      <c r="D18453" s="9"/>
      <c r="E18453" s="9"/>
      <c r="F18453" s="9"/>
      <c r="G18453" s="9"/>
      <c r="H18453" s="9"/>
      <c r="I18453" s="9"/>
      <c r="J18453" s="9"/>
      <c r="K18453" s="9"/>
      <c r="L18453" s="9"/>
      <c r="M18453" s="9"/>
      <c r="N18453" s="9"/>
      <c r="O18453" s="9"/>
      <c r="P18453" s="9"/>
      <c r="Q18453" s="9"/>
      <c r="R18453" s="9"/>
      <c r="S18453" s="9"/>
      <c r="T18453" s="9"/>
      <c r="U18453" s="9"/>
      <c r="V18453" s="9"/>
      <c r="W18453" s="9"/>
      <c r="X18453" s="9"/>
      <c r="Y18453" s="9"/>
      <c r="Z18453" s="9"/>
      <c r="AA18453" s="9"/>
      <c r="AB18453" s="9"/>
      <c r="AC18453" s="9"/>
      <c r="AD18453" s="9"/>
      <c r="AE18453" s="9"/>
      <c r="AF18453" s="9"/>
      <c r="AG18453" s="10"/>
    </row>
    <row r="18454" spans="1:33">
      <c r="A18454" s="9"/>
      <c r="B18454" s="9"/>
      <c r="C18454" s="9"/>
      <c r="D18454" s="9"/>
      <c r="E18454" s="9"/>
      <c r="F18454" s="9"/>
      <c r="G18454" s="9"/>
      <c r="H18454" s="9"/>
      <c r="I18454" s="9"/>
      <c r="J18454" s="9"/>
      <c r="K18454" s="9"/>
      <c r="L18454" s="9"/>
      <c r="M18454" s="9"/>
      <c r="N18454" s="9"/>
      <c r="O18454" s="9"/>
      <c r="P18454" s="9"/>
      <c r="Q18454" s="9"/>
      <c r="R18454" s="9"/>
      <c r="S18454" s="9"/>
      <c r="T18454" s="9"/>
      <c r="U18454" s="9"/>
      <c r="V18454" s="9"/>
      <c r="W18454" s="9"/>
      <c r="X18454" s="9"/>
      <c r="Y18454" s="9"/>
      <c r="Z18454" s="9"/>
      <c r="AA18454" s="9"/>
      <c r="AB18454" s="9"/>
      <c r="AC18454" s="9"/>
      <c r="AD18454" s="9"/>
      <c r="AE18454" s="9"/>
      <c r="AF18454" s="9"/>
      <c r="AG18454" s="10"/>
    </row>
    <row r="18455" spans="1:33">
      <c r="A18455" s="9"/>
      <c r="B18455" s="9"/>
      <c r="C18455" s="9"/>
      <c r="D18455" s="9"/>
      <c r="E18455" s="9"/>
      <c r="F18455" s="9"/>
      <c r="G18455" s="9"/>
      <c r="H18455" s="9"/>
      <c r="I18455" s="9"/>
      <c r="J18455" s="9"/>
      <c r="K18455" s="9"/>
      <c r="L18455" s="9"/>
      <c r="M18455" s="9"/>
      <c r="N18455" s="9"/>
      <c r="O18455" s="9"/>
      <c r="P18455" s="9"/>
      <c r="Q18455" s="9"/>
      <c r="R18455" s="9"/>
      <c r="S18455" s="9"/>
      <c r="T18455" s="9"/>
      <c r="U18455" s="9"/>
      <c r="V18455" s="9"/>
      <c r="W18455" s="9"/>
      <c r="X18455" s="9"/>
      <c r="Y18455" s="9"/>
      <c r="Z18455" s="9"/>
      <c r="AA18455" s="9"/>
      <c r="AB18455" s="9"/>
      <c r="AC18455" s="9"/>
      <c r="AD18455" s="9"/>
      <c r="AE18455" s="9"/>
      <c r="AF18455" s="9"/>
      <c r="AG18455" s="10"/>
    </row>
    <row r="18456" spans="1:33">
      <c r="A18456" s="9"/>
      <c r="B18456" s="9"/>
      <c r="C18456" s="9"/>
      <c r="D18456" s="9"/>
      <c r="E18456" s="9"/>
      <c r="F18456" s="9"/>
      <c r="G18456" s="9"/>
      <c r="H18456" s="9"/>
      <c r="I18456" s="9"/>
      <c r="J18456" s="9"/>
      <c r="K18456" s="9"/>
      <c r="L18456" s="9"/>
      <c r="M18456" s="9"/>
      <c r="N18456" s="9"/>
      <c r="O18456" s="9"/>
      <c r="P18456" s="9"/>
      <c r="Q18456" s="9"/>
      <c r="R18456" s="9"/>
      <c r="S18456" s="9"/>
      <c r="T18456" s="9"/>
      <c r="U18456" s="9"/>
      <c r="V18456" s="9"/>
      <c r="W18456" s="9"/>
      <c r="X18456" s="9"/>
      <c r="Y18456" s="9"/>
      <c r="Z18456" s="9"/>
      <c r="AA18456" s="9"/>
      <c r="AB18456" s="9"/>
      <c r="AC18456" s="9"/>
      <c r="AD18456" s="9"/>
      <c r="AE18456" s="9"/>
      <c r="AF18456" s="9"/>
      <c r="AG18456" s="10"/>
    </row>
    <row r="18457" spans="1:33">
      <c r="A18457" s="9"/>
      <c r="B18457" s="9"/>
      <c r="C18457" s="9"/>
      <c r="D18457" s="9"/>
      <c r="E18457" s="9"/>
      <c r="F18457" s="9"/>
      <c r="G18457" s="9"/>
      <c r="H18457" s="9"/>
      <c r="I18457" s="9"/>
      <c r="J18457" s="9"/>
      <c r="K18457" s="9"/>
      <c r="L18457" s="9"/>
      <c r="M18457" s="9"/>
      <c r="N18457" s="9"/>
      <c r="O18457" s="9"/>
      <c r="P18457" s="9"/>
      <c r="Q18457" s="9"/>
      <c r="R18457" s="9"/>
      <c r="S18457" s="9"/>
      <c r="T18457" s="9"/>
      <c r="U18457" s="9"/>
      <c r="V18457" s="9"/>
      <c r="W18457" s="9"/>
      <c r="X18457" s="9"/>
      <c r="Y18457" s="9"/>
      <c r="Z18457" s="9"/>
      <c r="AA18457" s="9"/>
      <c r="AB18457" s="9"/>
      <c r="AC18457" s="9"/>
      <c r="AD18457" s="9"/>
      <c r="AE18457" s="9"/>
      <c r="AF18457" s="9"/>
      <c r="AG18457" s="10"/>
    </row>
    <row r="18458" spans="1:33">
      <c r="A18458" s="9"/>
      <c r="B18458" s="9"/>
      <c r="C18458" s="9"/>
      <c r="D18458" s="9"/>
      <c r="E18458" s="9"/>
      <c r="F18458" s="9"/>
      <c r="G18458" s="9"/>
      <c r="H18458" s="9"/>
      <c r="I18458" s="9"/>
      <c r="J18458" s="9"/>
      <c r="K18458" s="9"/>
      <c r="L18458" s="9"/>
      <c r="M18458" s="9"/>
      <c r="N18458" s="9"/>
      <c r="O18458" s="9"/>
      <c r="P18458" s="9"/>
      <c r="Q18458" s="9"/>
      <c r="R18458" s="9"/>
      <c r="S18458" s="9"/>
      <c r="T18458" s="9"/>
      <c r="U18458" s="9"/>
      <c r="V18458" s="9"/>
      <c r="W18458" s="9"/>
      <c r="X18458" s="9"/>
      <c r="Y18458" s="9"/>
      <c r="Z18458" s="9"/>
      <c r="AA18458" s="9"/>
      <c r="AB18458" s="9"/>
      <c r="AC18458" s="9"/>
      <c r="AD18458" s="9"/>
      <c r="AE18458" s="9"/>
      <c r="AF18458" s="9"/>
      <c r="AG18458" s="10"/>
    </row>
    <row r="18459" spans="1:33">
      <c r="A18459" s="9"/>
      <c r="B18459" s="9"/>
      <c r="C18459" s="9"/>
      <c r="D18459" s="9"/>
      <c r="E18459" s="9"/>
      <c r="F18459" s="9"/>
      <c r="G18459" s="9"/>
      <c r="H18459" s="9"/>
      <c r="I18459" s="9"/>
      <c r="J18459" s="9"/>
      <c r="K18459" s="9"/>
      <c r="L18459" s="9"/>
      <c r="M18459" s="9"/>
      <c r="N18459" s="9"/>
      <c r="O18459" s="9"/>
      <c r="P18459" s="9"/>
      <c r="Q18459" s="9"/>
      <c r="R18459" s="9"/>
      <c r="S18459" s="9"/>
      <c r="T18459" s="9"/>
      <c r="U18459" s="9"/>
      <c r="V18459" s="9"/>
      <c r="W18459" s="9"/>
      <c r="X18459" s="9"/>
      <c r="Y18459" s="9"/>
      <c r="Z18459" s="9"/>
      <c r="AA18459" s="9"/>
      <c r="AB18459" s="9"/>
      <c r="AC18459" s="9"/>
      <c r="AD18459" s="9"/>
      <c r="AE18459" s="9"/>
      <c r="AF18459" s="9"/>
      <c r="AG18459" s="10"/>
    </row>
    <row r="18460" spans="1:33">
      <c r="A18460" s="9"/>
      <c r="B18460" s="9"/>
      <c r="C18460" s="9"/>
      <c r="D18460" s="9"/>
      <c r="E18460" s="9"/>
      <c r="F18460" s="9"/>
      <c r="G18460" s="9"/>
      <c r="H18460" s="9"/>
      <c r="I18460" s="9"/>
      <c r="J18460" s="9"/>
      <c r="K18460" s="9"/>
      <c r="L18460" s="9"/>
      <c r="M18460" s="9"/>
      <c r="N18460" s="9"/>
      <c r="O18460" s="9"/>
      <c r="P18460" s="9"/>
      <c r="Q18460" s="9"/>
      <c r="R18460" s="9"/>
      <c r="S18460" s="9"/>
      <c r="T18460" s="9"/>
      <c r="U18460" s="9"/>
      <c r="V18460" s="9"/>
      <c r="W18460" s="9"/>
      <c r="X18460" s="9"/>
      <c r="Y18460" s="9"/>
      <c r="Z18460" s="9"/>
      <c r="AA18460" s="9"/>
      <c r="AB18460" s="9"/>
      <c r="AC18460" s="9"/>
      <c r="AD18460" s="9"/>
      <c r="AE18460" s="9"/>
      <c r="AF18460" s="9"/>
      <c r="AG18460" s="10"/>
    </row>
    <row r="18461" spans="1:33">
      <c r="A18461" s="9"/>
      <c r="B18461" s="9"/>
      <c r="C18461" s="9"/>
      <c r="D18461" s="9"/>
      <c r="E18461" s="9"/>
      <c r="F18461" s="9"/>
      <c r="G18461" s="9"/>
      <c r="H18461" s="9"/>
      <c r="I18461" s="9"/>
      <c r="J18461" s="9"/>
      <c r="K18461" s="9"/>
      <c r="L18461" s="9"/>
      <c r="M18461" s="9"/>
      <c r="N18461" s="9"/>
      <c r="O18461" s="9"/>
      <c r="P18461" s="9"/>
      <c r="Q18461" s="9"/>
      <c r="R18461" s="9"/>
      <c r="S18461" s="9"/>
      <c r="T18461" s="9"/>
      <c r="U18461" s="9"/>
      <c r="V18461" s="9"/>
      <c r="W18461" s="9"/>
      <c r="X18461" s="9"/>
      <c r="Y18461" s="9"/>
      <c r="Z18461" s="9"/>
      <c r="AA18461" s="9"/>
      <c r="AB18461" s="9"/>
      <c r="AC18461" s="9"/>
      <c r="AD18461" s="9"/>
      <c r="AE18461" s="9"/>
      <c r="AF18461" s="9"/>
      <c r="AG18461" s="10"/>
    </row>
    <row r="18462" spans="1:33">
      <c r="A18462" s="9"/>
      <c r="B18462" s="9"/>
      <c r="C18462" s="9"/>
      <c r="D18462" s="9"/>
      <c r="E18462" s="9"/>
      <c r="F18462" s="9"/>
      <c r="G18462" s="9"/>
      <c r="H18462" s="9"/>
      <c r="I18462" s="9"/>
      <c r="J18462" s="9"/>
      <c r="K18462" s="9"/>
      <c r="L18462" s="9"/>
      <c r="M18462" s="9"/>
      <c r="N18462" s="9"/>
      <c r="O18462" s="9"/>
      <c r="P18462" s="9"/>
      <c r="Q18462" s="9"/>
      <c r="R18462" s="9"/>
      <c r="S18462" s="9"/>
      <c r="T18462" s="9"/>
      <c r="U18462" s="9"/>
      <c r="V18462" s="9"/>
      <c r="W18462" s="9"/>
      <c r="X18462" s="9"/>
      <c r="Y18462" s="9"/>
      <c r="Z18462" s="9"/>
      <c r="AA18462" s="9"/>
      <c r="AB18462" s="9"/>
      <c r="AC18462" s="9"/>
      <c r="AD18462" s="9"/>
      <c r="AE18462" s="9"/>
      <c r="AF18462" s="9"/>
      <c r="AG18462" s="10"/>
    </row>
    <row r="18463" spans="1:33">
      <c r="A18463" s="9"/>
      <c r="B18463" s="9"/>
      <c r="C18463" s="9"/>
      <c r="D18463" s="9"/>
      <c r="E18463" s="9"/>
      <c r="F18463" s="9"/>
      <c r="G18463" s="9"/>
      <c r="H18463" s="9"/>
      <c r="I18463" s="9"/>
      <c r="J18463" s="9"/>
      <c r="K18463" s="9"/>
      <c r="L18463" s="9"/>
      <c r="M18463" s="9"/>
      <c r="N18463" s="9"/>
      <c r="O18463" s="9"/>
      <c r="P18463" s="9"/>
      <c r="Q18463" s="9"/>
      <c r="R18463" s="9"/>
      <c r="S18463" s="9"/>
      <c r="T18463" s="9"/>
      <c r="U18463" s="9"/>
      <c r="V18463" s="9"/>
      <c r="W18463" s="9"/>
      <c r="X18463" s="9"/>
      <c r="Y18463" s="9"/>
      <c r="Z18463" s="9"/>
      <c r="AA18463" s="9"/>
      <c r="AB18463" s="9"/>
      <c r="AC18463" s="9"/>
      <c r="AD18463" s="9"/>
      <c r="AE18463" s="9"/>
      <c r="AF18463" s="9"/>
      <c r="AG18463" s="10"/>
    </row>
    <row r="18464" spans="1:33">
      <c r="A18464" s="9"/>
      <c r="B18464" s="9"/>
      <c r="C18464" s="9"/>
      <c r="D18464" s="9"/>
      <c r="E18464" s="9"/>
      <c r="F18464" s="9"/>
      <c r="G18464" s="9"/>
      <c r="H18464" s="9"/>
      <c r="I18464" s="9"/>
      <c r="J18464" s="9"/>
      <c r="K18464" s="9"/>
      <c r="L18464" s="9"/>
      <c r="M18464" s="9"/>
      <c r="N18464" s="9"/>
      <c r="O18464" s="9"/>
      <c r="P18464" s="9"/>
      <c r="Q18464" s="9"/>
      <c r="R18464" s="9"/>
      <c r="S18464" s="9"/>
      <c r="T18464" s="9"/>
      <c r="U18464" s="9"/>
      <c r="V18464" s="9"/>
      <c r="W18464" s="9"/>
      <c r="X18464" s="9"/>
      <c r="Y18464" s="9"/>
      <c r="Z18464" s="9"/>
      <c r="AA18464" s="9"/>
      <c r="AB18464" s="9"/>
      <c r="AC18464" s="9"/>
      <c r="AD18464" s="9"/>
      <c r="AE18464" s="9"/>
      <c r="AF18464" s="9"/>
      <c r="AG18464" s="10"/>
    </row>
    <row r="18465" spans="1:33">
      <c r="A18465" s="9"/>
      <c r="B18465" s="9"/>
      <c r="C18465" s="9"/>
      <c r="D18465" s="9"/>
      <c r="E18465" s="9"/>
      <c r="F18465" s="9"/>
      <c r="G18465" s="9"/>
      <c r="H18465" s="9"/>
      <c r="I18465" s="9"/>
      <c r="J18465" s="9"/>
      <c r="K18465" s="9"/>
      <c r="L18465" s="9"/>
      <c r="M18465" s="9"/>
      <c r="N18465" s="9"/>
      <c r="O18465" s="9"/>
      <c r="P18465" s="9"/>
      <c r="Q18465" s="9"/>
      <c r="R18465" s="9"/>
      <c r="S18465" s="9"/>
      <c r="T18465" s="9"/>
      <c r="U18465" s="9"/>
      <c r="V18465" s="9"/>
      <c r="W18465" s="9"/>
      <c r="X18465" s="9"/>
      <c r="Y18465" s="9"/>
      <c r="Z18465" s="9"/>
      <c r="AA18465" s="9"/>
      <c r="AB18465" s="9"/>
      <c r="AC18465" s="9"/>
      <c r="AD18465" s="9"/>
      <c r="AE18465" s="9"/>
      <c r="AF18465" s="9"/>
      <c r="AG18465" s="10"/>
    </row>
    <row r="18466" spans="1:33">
      <c r="A18466" s="9"/>
      <c r="B18466" s="9"/>
      <c r="C18466" s="9"/>
      <c r="D18466" s="9"/>
      <c r="E18466" s="9"/>
      <c r="F18466" s="9"/>
      <c r="G18466" s="9"/>
      <c r="H18466" s="9"/>
      <c r="I18466" s="9"/>
      <c r="J18466" s="9"/>
      <c r="K18466" s="9"/>
      <c r="L18466" s="9"/>
      <c r="M18466" s="9"/>
      <c r="N18466" s="9"/>
      <c r="O18466" s="9"/>
      <c r="P18466" s="9"/>
      <c r="Q18466" s="9"/>
      <c r="R18466" s="9"/>
      <c r="S18466" s="9"/>
      <c r="T18466" s="9"/>
      <c r="U18466" s="9"/>
      <c r="V18466" s="9"/>
      <c r="W18466" s="9"/>
      <c r="X18466" s="9"/>
      <c r="Y18466" s="9"/>
      <c r="Z18466" s="9"/>
      <c r="AA18466" s="9"/>
      <c r="AB18466" s="9"/>
      <c r="AC18466" s="9"/>
      <c r="AD18466" s="9"/>
      <c r="AE18466" s="9"/>
      <c r="AF18466" s="9"/>
      <c r="AG18466" s="10"/>
    </row>
    <row r="18467" spans="1:33">
      <c r="A18467" s="9"/>
      <c r="B18467" s="9"/>
      <c r="C18467" s="9"/>
      <c r="D18467" s="9"/>
      <c r="E18467" s="9"/>
      <c r="F18467" s="9"/>
      <c r="G18467" s="9"/>
      <c r="H18467" s="9"/>
      <c r="I18467" s="9"/>
      <c r="J18467" s="9"/>
      <c r="K18467" s="9"/>
      <c r="L18467" s="9"/>
      <c r="M18467" s="9"/>
      <c r="N18467" s="9"/>
      <c r="O18467" s="9"/>
      <c r="P18467" s="9"/>
      <c r="Q18467" s="9"/>
      <c r="R18467" s="9"/>
      <c r="S18467" s="9"/>
      <c r="T18467" s="9"/>
      <c r="U18467" s="9"/>
      <c r="V18467" s="9"/>
      <c r="W18467" s="9"/>
      <c r="X18467" s="9"/>
      <c r="Y18467" s="9"/>
      <c r="Z18467" s="9"/>
      <c r="AA18467" s="9"/>
      <c r="AB18467" s="9"/>
      <c r="AC18467" s="9"/>
      <c r="AD18467" s="9"/>
      <c r="AE18467" s="9"/>
      <c r="AF18467" s="9"/>
      <c r="AG18467" s="10"/>
    </row>
    <row r="18468" spans="1:33">
      <c r="A18468" s="9"/>
      <c r="B18468" s="9"/>
      <c r="C18468" s="9"/>
      <c r="D18468" s="9"/>
      <c r="E18468" s="9"/>
      <c r="F18468" s="9"/>
      <c r="G18468" s="9"/>
      <c r="H18468" s="9"/>
      <c r="I18468" s="9"/>
      <c r="J18468" s="9"/>
      <c r="K18468" s="9"/>
      <c r="L18468" s="9"/>
      <c r="M18468" s="9"/>
      <c r="N18468" s="9"/>
      <c r="O18468" s="9"/>
      <c r="P18468" s="9"/>
      <c r="Q18468" s="9"/>
      <c r="R18468" s="9"/>
      <c r="S18468" s="9"/>
      <c r="T18468" s="9"/>
      <c r="U18468" s="9"/>
      <c r="V18468" s="9"/>
      <c r="W18468" s="9"/>
      <c r="X18468" s="9"/>
      <c r="Y18468" s="9"/>
      <c r="Z18468" s="9"/>
      <c r="AA18468" s="9"/>
      <c r="AB18468" s="9"/>
      <c r="AC18468" s="9"/>
      <c r="AD18468" s="9"/>
      <c r="AE18468" s="9"/>
      <c r="AF18468" s="9"/>
      <c r="AG18468" s="10"/>
    </row>
    <row r="18469" spans="1:33">
      <c r="A18469" s="9"/>
      <c r="B18469" s="9"/>
      <c r="C18469" s="9"/>
      <c r="D18469" s="9"/>
      <c r="E18469" s="9"/>
      <c r="F18469" s="9"/>
      <c r="G18469" s="9"/>
      <c r="H18469" s="9"/>
      <c r="I18469" s="9"/>
      <c r="J18469" s="9"/>
      <c r="K18469" s="9"/>
      <c r="L18469" s="9"/>
      <c r="M18469" s="9"/>
      <c r="N18469" s="9"/>
      <c r="O18469" s="9"/>
      <c r="P18469" s="9"/>
      <c r="Q18469" s="9"/>
      <c r="R18469" s="9"/>
      <c r="S18469" s="9"/>
      <c r="T18469" s="9"/>
      <c r="U18469" s="9"/>
      <c r="V18469" s="9"/>
      <c r="W18469" s="9"/>
      <c r="X18469" s="9"/>
      <c r="Y18469" s="9"/>
      <c r="Z18469" s="9"/>
      <c r="AA18469" s="9"/>
      <c r="AB18469" s="9"/>
      <c r="AC18469" s="9"/>
      <c r="AD18469" s="9"/>
      <c r="AE18469" s="9"/>
      <c r="AF18469" s="9"/>
      <c r="AG18469" s="10"/>
    </row>
    <row r="18470" spans="1:33">
      <c r="A18470" s="9"/>
      <c r="B18470" s="9"/>
      <c r="C18470" s="9"/>
      <c r="D18470" s="9"/>
      <c r="E18470" s="9"/>
      <c r="F18470" s="9"/>
      <c r="G18470" s="9"/>
      <c r="H18470" s="9"/>
      <c r="I18470" s="9"/>
      <c r="J18470" s="9"/>
      <c r="K18470" s="9"/>
      <c r="L18470" s="9"/>
      <c r="M18470" s="9"/>
      <c r="N18470" s="9"/>
      <c r="O18470" s="9"/>
      <c r="P18470" s="9"/>
      <c r="Q18470" s="9"/>
      <c r="R18470" s="9"/>
      <c r="S18470" s="9"/>
      <c r="T18470" s="9"/>
      <c r="U18470" s="9"/>
      <c r="V18470" s="9"/>
      <c r="W18470" s="9"/>
      <c r="X18470" s="9"/>
      <c r="Y18470" s="9"/>
      <c r="Z18470" s="9"/>
      <c r="AA18470" s="9"/>
      <c r="AB18470" s="9"/>
      <c r="AC18470" s="9"/>
      <c r="AD18470" s="9"/>
      <c r="AE18470" s="9"/>
      <c r="AF18470" s="9"/>
      <c r="AG18470" s="10"/>
    </row>
    <row r="18471" spans="1:33">
      <c r="A18471" s="9"/>
      <c r="B18471" s="9"/>
      <c r="C18471" s="9"/>
      <c r="D18471" s="9"/>
      <c r="E18471" s="9"/>
      <c r="F18471" s="9"/>
      <c r="G18471" s="9"/>
      <c r="H18471" s="9"/>
      <c r="I18471" s="9"/>
      <c r="J18471" s="9"/>
      <c r="K18471" s="9"/>
      <c r="L18471" s="9"/>
      <c r="M18471" s="9"/>
      <c r="N18471" s="9"/>
      <c r="O18471" s="9"/>
      <c r="P18471" s="9"/>
      <c r="Q18471" s="9"/>
      <c r="R18471" s="9"/>
      <c r="S18471" s="9"/>
      <c r="T18471" s="9"/>
      <c r="U18471" s="9"/>
      <c r="V18471" s="9"/>
      <c r="W18471" s="9"/>
      <c r="X18471" s="9"/>
      <c r="Y18471" s="9"/>
      <c r="Z18471" s="9"/>
      <c r="AA18471" s="9"/>
      <c r="AB18471" s="9"/>
      <c r="AC18471" s="9"/>
      <c r="AD18471" s="9"/>
      <c r="AE18471" s="9"/>
      <c r="AF18471" s="9"/>
      <c r="AG18471" s="10"/>
    </row>
    <row r="18472" spans="1:33">
      <c r="A18472" s="9"/>
      <c r="B18472" s="9"/>
      <c r="C18472" s="9"/>
      <c r="D18472" s="9"/>
      <c r="E18472" s="9"/>
      <c r="F18472" s="9"/>
      <c r="G18472" s="9"/>
      <c r="H18472" s="9"/>
      <c r="I18472" s="9"/>
      <c r="J18472" s="9"/>
      <c r="K18472" s="9"/>
      <c r="L18472" s="9"/>
      <c r="M18472" s="9"/>
      <c r="N18472" s="9"/>
      <c r="O18472" s="9"/>
      <c r="P18472" s="9"/>
      <c r="Q18472" s="9"/>
      <c r="R18472" s="9"/>
      <c r="S18472" s="9"/>
      <c r="T18472" s="9"/>
      <c r="U18472" s="9"/>
      <c r="V18472" s="9"/>
      <c r="W18472" s="9"/>
      <c r="X18472" s="9"/>
      <c r="Y18472" s="9"/>
      <c r="Z18472" s="9"/>
      <c r="AA18472" s="9"/>
      <c r="AB18472" s="9"/>
      <c r="AC18472" s="9"/>
      <c r="AD18472" s="9"/>
      <c r="AE18472" s="9"/>
      <c r="AF18472" s="9"/>
      <c r="AG18472" s="10"/>
    </row>
    <row r="18473" spans="1:33">
      <c r="A18473" s="9"/>
      <c r="B18473" s="9"/>
      <c r="C18473" s="9"/>
      <c r="D18473" s="9"/>
      <c r="E18473" s="9"/>
      <c r="F18473" s="9"/>
      <c r="G18473" s="9"/>
      <c r="H18473" s="9"/>
      <c r="I18473" s="9"/>
      <c r="J18473" s="9"/>
      <c r="K18473" s="9"/>
      <c r="L18473" s="9"/>
      <c r="M18473" s="9"/>
      <c r="N18473" s="9"/>
      <c r="O18473" s="9"/>
      <c r="P18473" s="9"/>
      <c r="Q18473" s="9"/>
      <c r="R18473" s="9"/>
      <c r="S18473" s="9"/>
      <c r="T18473" s="9"/>
      <c r="U18473" s="9"/>
      <c r="V18473" s="9"/>
      <c r="W18473" s="9"/>
      <c r="X18473" s="9"/>
      <c r="Y18473" s="9"/>
      <c r="Z18473" s="9"/>
      <c r="AA18473" s="9"/>
      <c r="AB18473" s="9"/>
      <c r="AC18473" s="9"/>
      <c r="AD18473" s="9"/>
      <c r="AE18473" s="9"/>
      <c r="AF18473" s="9"/>
      <c r="AG18473" s="10"/>
    </row>
    <row r="18474" spans="1:33">
      <c r="A18474" s="9"/>
      <c r="B18474" s="9"/>
      <c r="C18474" s="9"/>
      <c r="D18474" s="9"/>
      <c r="E18474" s="9"/>
      <c r="F18474" s="9"/>
      <c r="G18474" s="9"/>
      <c r="H18474" s="9"/>
      <c r="I18474" s="9"/>
      <c r="J18474" s="9"/>
      <c r="K18474" s="9"/>
      <c r="L18474" s="9"/>
      <c r="M18474" s="9"/>
      <c r="N18474" s="9"/>
      <c r="O18474" s="9"/>
      <c r="P18474" s="9"/>
      <c r="Q18474" s="9"/>
      <c r="R18474" s="9"/>
      <c r="S18474" s="9"/>
      <c r="T18474" s="9"/>
      <c r="U18474" s="9"/>
      <c r="V18474" s="9"/>
      <c r="W18474" s="9"/>
      <c r="X18474" s="9"/>
      <c r="Y18474" s="9"/>
      <c r="Z18474" s="9"/>
      <c r="AA18474" s="9"/>
      <c r="AB18474" s="9"/>
      <c r="AC18474" s="9"/>
      <c r="AD18474" s="9"/>
      <c r="AE18474" s="9"/>
      <c r="AF18474" s="9"/>
      <c r="AG18474" s="10"/>
    </row>
    <row r="18475" spans="1:33">
      <c r="A18475" s="9"/>
      <c r="B18475" s="9"/>
      <c r="C18475" s="9"/>
      <c r="D18475" s="9"/>
      <c r="E18475" s="9"/>
      <c r="F18475" s="9"/>
      <c r="G18475" s="9"/>
      <c r="H18475" s="9"/>
      <c r="I18475" s="9"/>
      <c r="J18475" s="9"/>
      <c r="K18475" s="9"/>
      <c r="L18475" s="9"/>
      <c r="M18475" s="9"/>
      <c r="N18475" s="9"/>
      <c r="O18475" s="9"/>
      <c r="P18475" s="9"/>
      <c r="Q18475" s="9"/>
      <c r="R18475" s="9"/>
      <c r="S18475" s="9"/>
      <c r="T18475" s="9"/>
      <c r="U18475" s="9"/>
      <c r="V18475" s="9"/>
      <c r="W18475" s="9"/>
      <c r="X18475" s="9"/>
      <c r="Y18475" s="9"/>
      <c r="Z18475" s="9"/>
      <c r="AA18475" s="9"/>
      <c r="AB18475" s="9"/>
      <c r="AC18475" s="9"/>
      <c r="AD18475" s="9"/>
      <c r="AE18475" s="9"/>
      <c r="AF18475" s="9"/>
      <c r="AG18475" s="10"/>
    </row>
    <row r="18476" spans="1:33">
      <c r="A18476" s="9"/>
      <c r="B18476" s="9"/>
      <c r="C18476" s="9"/>
      <c r="D18476" s="9"/>
      <c r="E18476" s="9"/>
      <c r="F18476" s="9"/>
      <c r="G18476" s="9"/>
      <c r="H18476" s="9"/>
      <c r="I18476" s="9"/>
      <c r="J18476" s="9"/>
      <c r="K18476" s="9"/>
      <c r="L18476" s="9"/>
      <c r="M18476" s="9"/>
      <c r="N18476" s="9"/>
      <c r="O18476" s="9"/>
      <c r="P18476" s="9"/>
      <c r="Q18476" s="9"/>
      <c r="R18476" s="9"/>
      <c r="S18476" s="9"/>
      <c r="T18476" s="9"/>
      <c r="U18476" s="9"/>
      <c r="V18476" s="9"/>
      <c r="W18476" s="9"/>
      <c r="X18476" s="9"/>
      <c r="Y18476" s="9"/>
      <c r="Z18476" s="9"/>
      <c r="AA18476" s="9"/>
      <c r="AB18476" s="9"/>
      <c r="AC18476" s="9"/>
      <c r="AD18476" s="9"/>
      <c r="AE18476" s="9"/>
      <c r="AF18476" s="9"/>
      <c r="AG18476" s="10"/>
    </row>
    <row r="18477" spans="1:33">
      <c r="A18477" s="9"/>
      <c r="B18477" s="9"/>
      <c r="C18477" s="9"/>
      <c r="D18477" s="9"/>
      <c r="E18477" s="9"/>
      <c r="F18477" s="9"/>
      <c r="G18477" s="9"/>
      <c r="H18477" s="9"/>
      <c r="I18477" s="9"/>
      <c r="J18477" s="9"/>
      <c r="K18477" s="9"/>
      <c r="L18477" s="9"/>
      <c r="M18477" s="9"/>
      <c r="N18477" s="9"/>
      <c r="O18477" s="9"/>
      <c r="P18477" s="9"/>
      <c r="Q18477" s="9"/>
      <c r="R18477" s="9"/>
      <c r="S18477" s="9"/>
      <c r="T18477" s="9"/>
      <c r="U18477" s="9"/>
      <c r="V18477" s="9"/>
      <c r="W18477" s="9"/>
      <c r="X18477" s="9"/>
      <c r="Y18477" s="9"/>
      <c r="Z18477" s="9"/>
      <c r="AA18477" s="9"/>
      <c r="AB18477" s="9"/>
      <c r="AC18477" s="9"/>
      <c r="AD18477" s="9"/>
      <c r="AE18477" s="9"/>
      <c r="AF18477" s="9"/>
      <c r="AG18477" s="10"/>
    </row>
    <row r="18478" spans="1:33">
      <c r="A18478" s="9"/>
      <c r="B18478" s="9"/>
      <c r="C18478" s="9"/>
      <c r="D18478" s="9"/>
      <c r="E18478" s="9"/>
      <c r="F18478" s="9"/>
      <c r="G18478" s="9"/>
      <c r="H18478" s="9"/>
      <c r="I18478" s="9"/>
      <c r="J18478" s="9"/>
      <c r="K18478" s="9"/>
      <c r="L18478" s="9"/>
      <c r="M18478" s="9"/>
      <c r="N18478" s="9"/>
      <c r="O18478" s="9"/>
      <c r="P18478" s="9"/>
      <c r="Q18478" s="9"/>
      <c r="R18478" s="9"/>
      <c r="S18478" s="9"/>
      <c r="T18478" s="9"/>
      <c r="U18478" s="9"/>
      <c r="V18478" s="9"/>
      <c r="W18478" s="9"/>
      <c r="X18478" s="9"/>
      <c r="Y18478" s="9"/>
      <c r="Z18478" s="9"/>
      <c r="AA18478" s="9"/>
      <c r="AB18478" s="9"/>
      <c r="AC18478" s="9"/>
      <c r="AD18478" s="9"/>
      <c r="AE18478" s="9"/>
      <c r="AF18478" s="9"/>
      <c r="AG18478" s="10"/>
    </row>
    <row r="18479" spans="1:33">
      <c r="A18479" s="9"/>
      <c r="B18479" s="9"/>
      <c r="C18479" s="9"/>
      <c r="D18479" s="9"/>
      <c r="E18479" s="9"/>
      <c r="F18479" s="9"/>
      <c r="G18479" s="9"/>
      <c r="H18479" s="9"/>
      <c r="I18479" s="9"/>
      <c r="J18479" s="9"/>
      <c r="K18479" s="9"/>
      <c r="L18479" s="9"/>
      <c r="M18479" s="9"/>
      <c r="N18479" s="9"/>
      <c r="O18479" s="9"/>
      <c r="P18479" s="9"/>
      <c r="Q18479" s="9"/>
      <c r="R18479" s="9"/>
      <c r="S18479" s="9"/>
      <c r="T18479" s="9"/>
      <c r="U18479" s="9"/>
      <c r="V18479" s="9"/>
      <c r="W18479" s="9"/>
      <c r="X18479" s="9"/>
      <c r="Y18479" s="9"/>
      <c r="Z18479" s="9"/>
      <c r="AA18479" s="9"/>
      <c r="AB18479" s="9"/>
      <c r="AC18479" s="9"/>
      <c r="AD18479" s="9"/>
      <c r="AE18479" s="9"/>
      <c r="AF18479" s="9"/>
      <c r="AG18479" s="10"/>
    </row>
    <row r="18480" spans="1:33">
      <c r="A18480" s="9"/>
      <c r="B18480" s="9"/>
      <c r="C18480" s="9"/>
      <c r="D18480" s="9"/>
      <c r="E18480" s="9"/>
      <c r="F18480" s="9"/>
      <c r="G18480" s="9"/>
      <c r="H18480" s="9"/>
      <c r="I18480" s="9"/>
      <c r="J18480" s="9"/>
      <c r="K18480" s="9"/>
      <c r="L18480" s="9"/>
      <c r="M18480" s="9"/>
      <c r="N18480" s="9"/>
      <c r="O18480" s="9"/>
      <c r="P18480" s="9"/>
      <c r="Q18480" s="9"/>
      <c r="R18480" s="9"/>
      <c r="S18480" s="9"/>
      <c r="T18480" s="9"/>
      <c r="U18480" s="9"/>
      <c r="V18480" s="9"/>
      <c r="W18480" s="9"/>
      <c r="X18480" s="9"/>
      <c r="Y18480" s="9"/>
      <c r="Z18480" s="9"/>
      <c r="AA18480" s="9"/>
      <c r="AB18480" s="9"/>
      <c r="AC18480" s="9"/>
      <c r="AD18480" s="9"/>
      <c r="AE18480" s="9"/>
      <c r="AF18480" s="9"/>
      <c r="AG18480" s="10"/>
    </row>
    <row r="18481" spans="1:33">
      <c r="A18481" s="9"/>
      <c r="B18481" s="9"/>
      <c r="C18481" s="9"/>
      <c r="D18481" s="9"/>
      <c r="E18481" s="9"/>
      <c r="F18481" s="9"/>
      <c r="G18481" s="9"/>
      <c r="H18481" s="9"/>
      <c r="I18481" s="9"/>
      <c r="J18481" s="9"/>
      <c r="K18481" s="9"/>
      <c r="L18481" s="9"/>
      <c r="M18481" s="9"/>
      <c r="N18481" s="9"/>
      <c r="O18481" s="9"/>
      <c r="P18481" s="9"/>
      <c r="Q18481" s="9"/>
      <c r="R18481" s="9"/>
      <c r="S18481" s="9"/>
      <c r="T18481" s="9"/>
      <c r="U18481" s="9"/>
      <c r="V18481" s="9"/>
      <c r="W18481" s="9"/>
      <c r="X18481" s="9"/>
      <c r="Y18481" s="9"/>
      <c r="Z18481" s="9"/>
      <c r="AA18481" s="9"/>
      <c r="AB18481" s="9"/>
      <c r="AC18481" s="9"/>
      <c r="AD18481" s="9"/>
      <c r="AE18481" s="9"/>
      <c r="AF18481" s="9"/>
      <c r="AG18481" s="10"/>
    </row>
    <row r="18482" spans="1:33">
      <c r="A18482" s="9"/>
      <c r="B18482" s="9"/>
      <c r="C18482" s="9"/>
      <c r="D18482" s="9"/>
      <c r="E18482" s="9"/>
      <c r="F18482" s="9"/>
      <c r="G18482" s="9"/>
      <c r="H18482" s="9"/>
      <c r="I18482" s="9"/>
      <c r="J18482" s="9"/>
      <c r="K18482" s="9"/>
      <c r="L18482" s="9"/>
      <c r="M18482" s="9"/>
      <c r="N18482" s="9"/>
      <c r="O18482" s="9"/>
      <c r="P18482" s="9"/>
      <c r="Q18482" s="9"/>
      <c r="R18482" s="9"/>
      <c r="S18482" s="9"/>
      <c r="T18482" s="9"/>
      <c r="U18482" s="9"/>
      <c r="V18482" s="9"/>
      <c r="W18482" s="9"/>
      <c r="X18482" s="9"/>
      <c r="Y18482" s="9"/>
      <c r="Z18482" s="9"/>
      <c r="AA18482" s="9"/>
      <c r="AB18482" s="9"/>
      <c r="AC18482" s="9"/>
      <c r="AD18482" s="9"/>
      <c r="AE18482" s="9"/>
      <c r="AF18482" s="9"/>
      <c r="AG18482" s="10"/>
    </row>
    <row r="18483" spans="1:33">
      <c r="A18483" s="9"/>
      <c r="B18483" s="9"/>
      <c r="C18483" s="9"/>
      <c r="D18483" s="9"/>
      <c r="E18483" s="9"/>
      <c r="F18483" s="9"/>
      <c r="G18483" s="9"/>
      <c r="H18483" s="9"/>
      <c r="I18483" s="9"/>
      <c r="J18483" s="9"/>
      <c r="K18483" s="9"/>
      <c r="L18483" s="9"/>
      <c r="M18483" s="9"/>
      <c r="N18483" s="9"/>
      <c r="O18483" s="9"/>
      <c r="P18483" s="9"/>
      <c r="Q18483" s="9"/>
      <c r="R18483" s="9"/>
      <c r="S18483" s="9"/>
      <c r="T18483" s="9"/>
      <c r="U18483" s="9"/>
      <c r="V18483" s="9"/>
      <c r="W18483" s="9"/>
      <c r="X18483" s="9"/>
      <c r="Y18483" s="9"/>
      <c r="Z18483" s="9"/>
      <c r="AA18483" s="9"/>
      <c r="AB18483" s="9"/>
      <c r="AC18483" s="9"/>
      <c r="AD18483" s="9"/>
      <c r="AE18483" s="9"/>
      <c r="AF18483" s="9"/>
      <c r="AG18483" s="10"/>
    </row>
    <row r="18484" spans="1:33">
      <c r="A18484" s="9"/>
      <c r="B18484" s="9"/>
      <c r="C18484" s="9"/>
      <c r="D18484" s="9"/>
      <c r="E18484" s="9"/>
      <c r="F18484" s="9"/>
      <c r="G18484" s="9"/>
      <c r="H18484" s="9"/>
      <c r="I18484" s="9"/>
      <c r="J18484" s="9"/>
      <c r="K18484" s="9"/>
      <c r="L18484" s="9"/>
      <c r="M18484" s="9"/>
      <c r="N18484" s="9"/>
      <c r="O18484" s="9"/>
      <c r="P18484" s="9"/>
      <c r="Q18484" s="9"/>
      <c r="R18484" s="9"/>
      <c r="S18484" s="9"/>
      <c r="T18484" s="9"/>
      <c r="U18484" s="9"/>
      <c r="V18484" s="9"/>
      <c r="W18484" s="9"/>
      <c r="X18484" s="9"/>
      <c r="Y18484" s="9"/>
      <c r="Z18484" s="9"/>
      <c r="AA18484" s="9"/>
      <c r="AB18484" s="9"/>
      <c r="AC18484" s="9"/>
      <c r="AD18484" s="9"/>
      <c r="AE18484" s="9"/>
      <c r="AF18484" s="9"/>
      <c r="AG18484" s="10"/>
    </row>
    <row r="18485" spans="1:33">
      <c r="A18485" s="9"/>
      <c r="B18485" s="9"/>
      <c r="C18485" s="9"/>
      <c r="D18485" s="9"/>
      <c r="E18485" s="9"/>
      <c r="F18485" s="9"/>
      <c r="G18485" s="9"/>
      <c r="H18485" s="9"/>
      <c r="I18485" s="9"/>
      <c r="J18485" s="9"/>
      <c r="K18485" s="9"/>
      <c r="L18485" s="9"/>
      <c r="M18485" s="9"/>
      <c r="N18485" s="9"/>
      <c r="O18485" s="9"/>
      <c r="P18485" s="9"/>
      <c r="Q18485" s="9"/>
      <c r="R18485" s="9"/>
      <c r="S18485" s="9"/>
      <c r="T18485" s="9"/>
      <c r="U18485" s="9"/>
      <c r="V18485" s="9"/>
      <c r="W18485" s="9"/>
      <c r="X18485" s="9"/>
      <c r="Y18485" s="9"/>
      <c r="Z18485" s="9"/>
      <c r="AA18485" s="9"/>
      <c r="AB18485" s="9"/>
      <c r="AC18485" s="9"/>
      <c r="AD18485" s="9"/>
      <c r="AE18485" s="9"/>
      <c r="AF18485" s="9"/>
      <c r="AG18485" s="10"/>
    </row>
    <row r="18486" spans="1:33">
      <c r="A18486" s="9"/>
      <c r="B18486" s="9"/>
      <c r="C18486" s="9"/>
      <c r="D18486" s="9"/>
      <c r="E18486" s="9"/>
      <c r="F18486" s="9"/>
      <c r="G18486" s="9"/>
      <c r="H18486" s="9"/>
      <c r="I18486" s="9"/>
      <c r="J18486" s="9"/>
      <c r="K18486" s="9"/>
      <c r="L18486" s="9"/>
      <c r="M18486" s="9"/>
      <c r="N18486" s="9"/>
      <c r="O18486" s="9"/>
      <c r="P18486" s="9"/>
      <c r="Q18486" s="9"/>
      <c r="R18486" s="9"/>
      <c r="S18486" s="9"/>
      <c r="T18486" s="9"/>
      <c r="U18486" s="9"/>
      <c r="V18486" s="9"/>
      <c r="W18486" s="9"/>
      <c r="X18486" s="9"/>
      <c r="Y18486" s="9"/>
      <c r="Z18486" s="9"/>
      <c r="AA18486" s="9"/>
      <c r="AB18486" s="9"/>
      <c r="AC18486" s="9"/>
      <c r="AD18486" s="9"/>
      <c r="AE18486" s="9"/>
      <c r="AF18486" s="9"/>
      <c r="AG18486" s="10"/>
    </row>
    <row r="18487" spans="1:33">
      <c r="A18487" s="9"/>
      <c r="B18487" s="9"/>
      <c r="C18487" s="9"/>
      <c r="D18487" s="9"/>
      <c r="E18487" s="9"/>
      <c r="F18487" s="9"/>
      <c r="G18487" s="9"/>
      <c r="H18487" s="9"/>
      <c r="I18487" s="9"/>
      <c r="J18487" s="9"/>
      <c r="K18487" s="9"/>
      <c r="L18487" s="9"/>
      <c r="M18487" s="9"/>
      <c r="N18487" s="9"/>
      <c r="O18487" s="9"/>
      <c r="P18487" s="9"/>
      <c r="Q18487" s="9"/>
      <c r="R18487" s="9"/>
      <c r="S18487" s="9"/>
      <c r="T18487" s="9"/>
      <c r="U18487" s="9"/>
      <c r="V18487" s="9"/>
      <c r="W18487" s="9"/>
      <c r="X18487" s="9"/>
      <c r="Y18487" s="9"/>
      <c r="Z18487" s="9"/>
      <c r="AA18487" s="9"/>
      <c r="AB18487" s="9"/>
      <c r="AC18487" s="9"/>
      <c r="AD18487" s="9"/>
      <c r="AE18487" s="9"/>
      <c r="AF18487" s="9"/>
      <c r="AG18487" s="10"/>
    </row>
    <row r="18488" spans="1:33">
      <c r="A18488" s="9"/>
      <c r="B18488" s="9"/>
      <c r="C18488" s="9"/>
      <c r="D18488" s="9"/>
      <c r="E18488" s="9"/>
      <c r="F18488" s="9"/>
      <c r="G18488" s="9"/>
      <c r="H18488" s="9"/>
      <c r="I18488" s="9"/>
      <c r="J18488" s="9"/>
      <c r="K18488" s="9"/>
      <c r="L18488" s="9"/>
      <c r="M18488" s="9"/>
      <c r="N18488" s="9"/>
      <c r="O18488" s="9"/>
      <c r="P18488" s="9"/>
      <c r="Q18488" s="9"/>
      <c r="R18488" s="9"/>
      <c r="S18488" s="9"/>
      <c r="T18488" s="9"/>
      <c r="U18488" s="9"/>
      <c r="V18488" s="9"/>
      <c r="W18488" s="9"/>
      <c r="X18488" s="9"/>
      <c r="Y18488" s="9"/>
      <c r="Z18488" s="9"/>
      <c r="AA18488" s="9"/>
      <c r="AB18488" s="9"/>
      <c r="AC18488" s="9"/>
      <c r="AD18488" s="9"/>
      <c r="AE18488" s="9"/>
      <c r="AF18488" s="9"/>
      <c r="AG18488" s="10"/>
    </row>
    <row r="18489" spans="1:33">
      <c r="A18489" s="9"/>
      <c r="B18489" s="9"/>
      <c r="C18489" s="9"/>
      <c r="D18489" s="9"/>
      <c r="E18489" s="9"/>
      <c r="F18489" s="9"/>
      <c r="G18489" s="9"/>
      <c r="H18489" s="9"/>
      <c r="I18489" s="9"/>
      <c r="J18489" s="9"/>
      <c r="K18489" s="9"/>
      <c r="L18489" s="9"/>
      <c r="M18489" s="9"/>
      <c r="N18489" s="9"/>
      <c r="O18489" s="9"/>
      <c r="P18489" s="9"/>
      <c r="Q18489" s="9"/>
      <c r="R18489" s="9"/>
      <c r="S18489" s="9"/>
      <c r="T18489" s="9"/>
      <c r="U18489" s="9"/>
      <c r="V18489" s="9"/>
      <c r="W18489" s="9"/>
      <c r="X18489" s="9"/>
      <c r="Y18489" s="9"/>
      <c r="Z18489" s="9"/>
      <c r="AA18489" s="9"/>
      <c r="AB18489" s="9"/>
      <c r="AC18489" s="9"/>
      <c r="AD18489" s="9"/>
      <c r="AE18489" s="9"/>
      <c r="AF18489" s="9"/>
      <c r="AG18489" s="10"/>
    </row>
    <row r="18490" spans="1:33">
      <c r="A18490" s="9"/>
      <c r="B18490" s="9"/>
      <c r="C18490" s="9"/>
      <c r="D18490" s="9"/>
      <c r="E18490" s="9"/>
      <c r="F18490" s="9"/>
      <c r="G18490" s="9"/>
      <c r="H18490" s="9"/>
      <c r="I18490" s="9"/>
      <c r="J18490" s="9"/>
      <c r="K18490" s="9"/>
      <c r="L18490" s="9"/>
      <c r="M18490" s="9"/>
      <c r="N18490" s="9"/>
      <c r="O18490" s="9"/>
      <c r="P18490" s="9"/>
      <c r="Q18490" s="9"/>
      <c r="R18490" s="9"/>
      <c r="S18490" s="9"/>
      <c r="T18490" s="9"/>
      <c r="U18490" s="9"/>
      <c r="V18490" s="9"/>
      <c r="W18490" s="9"/>
      <c r="X18490" s="9"/>
      <c r="Y18490" s="9"/>
      <c r="Z18490" s="9"/>
      <c r="AA18490" s="9"/>
      <c r="AB18490" s="9"/>
      <c r="AC18490" s="9"/>
      <c r="AD18490" s="9"/>
      <c r="AE18490" s="9"/>
      <c r="AF18490" s="9"/>
      <c r="AG18490" s="10"/>
    </row>
    <row r="18491" spans="1:33">
      <c r="A18491" s="9"/>
      <c r="B18491" s="9"/>
      <c r="C18491" s="9"/>
      <c r="D18491" s="9"/>
      <c r="E18491" s="9"/>
      <c r="F18491" s="9"/>
      <c r="G18491" s="9"/>
      <c r="H18491" s="9"/>
      <c r="I18491" s="9"/>
      <c r="J18491" s="9"/>
      <c r="K18491" s="9"/>
      <c r="L18491" s="9"/>
      <c r="M18491" s="9"/>
      <c r="N18491" s="9"/>
      <c r="O18491" s="9"/>
      <c r="P18491" s="9"/>
      <c r="Q18491" s="9"/>
      <c r="R18491" s="9"/>
      <c r="S18491" s="9"/>
      <c r="T18491" s="9"/>
      <c r="U18491" s="9"/>
      <c r="V18491" s="9"/>
      <c r="W18491" s="9"/>
      <c r="X18491" s="9"/>
      <c r="Y18491" s="9"/>
      <c r="Z18491" s="9"/>
      <c r="AA18491" s="9"/>
      <c r="AB18491" s="9"/>
      <c r="AC18491" s="9"/>
      <c r="AD18491" s="9"/>
      <c r="AE18491" s="9"/>
      <c r="AF18491" s="9"/>
      <c r="AG18491" s="10"/>
    </row>
    <row r="18492" spans="1:33">
      <c r="A18492" s="9"/>
      <c r="B18492" s="9"/>
      <c r="C18492" s="9"/>
      <c r="D18492" s="9"/>
      <c r="E18492" s="9"/>
      <c r="F18492" s="9"/>
      <c r="G18492" s="9"/>
      <c r="H18492" s="9"/>
      <c r="I18492" s="9"/>
      <c r="J18492" s="9"/>
      <c r="K18492" s="9"/>
      <c r="L18492" s="9"/>
      <c r="M18492" s="9"/>
      <c r="N18492" s="9"/>
      <c r="O18492" s="9"/>
      <c r="P18492" s="9"/>
      <c r="Q18492" s="9"/>
      <c r="R18492" s="9"/>
      <c r="S18492" s="9"/>
      <c r="T18492" s="9"/>
      <c r="U18492" s="9"/>
      <c r="V18492" s="9"/>
      <c r="W18492" s="9"/>
      <c r="X18492" s="9"/>
      <c r="Y18492" s="9"/>
      <c r="Z18492" s="9"/>
      <c r="AA18492" s="9"/>
      <c r="AB18492" s="9"/>
      <c r="AC18492" s="9"/>
      <c r="AD18492" s="9"/>
      <c r="AE18492" s="9"/>
      <c r="AF18492" s="9"/>
      <c r="AG18492" s="10"/>
    </row>
    <row r="18493" spans="1:33">
      <c r="A18493" s="9"/>
      <c r="B18493" s="9"/>
      <c r="C18493" s="9"/>
      <c r="D18493" s="9"/>
      <c r="E18493" s="9"/>
      <c r="F18493" s="9"/>
      <c r="G18493" s="9"/>
      <c r="H18493" s="9"/>
      <c r="I18493" s="9"/>
      <c r="J18493" s="9"/>
      <c r="K18493" s="9"/>
      <c r="L18493" s="9"/>
      <c r="M18493" s="9"/>
      <c r="N18493" s="9"/>
      <c r="O18493" s="9"/>
      <c r="P18493" s="9"/>
      <c r="Q18493" s="9"/>
      <c r="R18493" s="9"/>
      <c r="S18493" s="9"/>
      <c r="T18493" s="9"/>
      <c r="U18493" s="9"/>
      <c r="V18493" s="9"/>
      <c r="W18493" s="9"/>
      <c r="X18493" s="9"/>
      <c r="Y18493" s="9"/>
      <c r="Z18493" s="9"/>
      <c r="AA18493" s="9"/>
      <c r="AB18493" s="9"/>
      <c r="AC18493" s="9"/>
      <c r="AD18493" s="9"/>
      <c r="AE18493" s="9"/>
      <c r="AF18493" s="9"/>
      <c r="AG18493" s="10"/>
    </row>
    <row r="18494" spans="1:33">
      <c r="A18494" s="9"/>
      <c r="B18494" s="9"/>
      <c r="C18494" s="9"/>
      <c r="D18494" s="9"/>
      <c r="E18494" s="9"/>
      <c r="F18494" s="9"/>
      <c r="G18494" s="9"/>
      <c r="H18494" s="9"/>
      <c r="I18494" s="9"/>
      <c r="J18494" s="9"/>
      <c r="K18494" s="9"/>
      <c r="L18494" s="9"/>
      <c r="M18494" s="9"/>
      <c r="N18494" s="9"/>
      <c r="O18494" s="9"/>
      <c r="P18494" s="9"/>
      <c r="Q18494" s="9"/>
      <c r="R18494" s="9"/>
      <c r="S18494" s="9"/>
      <c r="T18494" s="9"/>
      <c r="U18494" s="9"/>
      <c r="V18494" s="9"/>
      <c r="W18494" s="9"/>
      <c r="X18494" s="9"/>
      <c r="Y18494" s="9"/>
      <c r="Z18494" s="9"/>
      <c r="AA18494" s="9"/>
      <c r="AB18494" s="9"/>
      <c r="AC18494" s="9"/>
      <c r="AD18494" s="9"/>
      <c r="AE18494" s="9"/>
      <c r="AF18494" s="9"/>
      <c r="AG18494" s="10"/>
    </row>
    <row r="18495" spans="1:33">
      <c r="A18495" s="9"/>
      <c r="B18495" s="9"/>
      <c r="C18495" s="9"/>
      <c r="D18495" s="9"/>
      <c r="E18495" s="9"/>
      <c r="F18495" s="9"/>
      <c r="G18495" s="9"/>
      <c r="H18495" s="9"/>
      <c r="I18495" s="9"/>
      <c r="J18495" s="9"/>
      <c r="K18495" s="9"/>
      <c r="L18495" s="9"/>
      <c r="M18495" s="9"/>
      <c r="N18495" s="9"/>
      <c r="O18495" s="9"/>
      <c r="P18495" s="9"/>
      <c r="Q18495" s="9"/>
      <c r="R18495" s="9"/>
      <c r="S18495" s="9"/>
      <c r="T18495" s="9"/>
      <c r="U18495" s="9"/>
      <c r="V18495" s="9"/>
      <c r="W18495" s="9"/>
      <c r="X18495" s="9"/>
      <c r="Y18495" s="9"/>
      <c r="Z18495" s="9"/>
      <c r="AA18495" s="9"/>
      <c r="AB18495" s="9"/>
      <c r="AC18495" s="9"/>
      <c r="AD18495" s="9"/>
      <c r="AE18495" s="9"/>
      <c r="AF18495" s="9"/>
      <c r="AG18495" s="10"/>
    </row>
    <row r="18496" spans="1:33">
      <c r="A18496" s="9"/>
      <c r="B18496" s="9"/>
      <c r="C18496" s="9"/>
      <c r="D18496" s="9"/>
      <c r="E18496" s="9"/>
      <c r="F18496" s="9"/>
      <c r="G18496" s="9"/>
      <c r="H18496" s="9"/>
      <c r="I18496" s="9"/>
      <c r="J18496" s="9"/>
      <c r="K18496" s="9"/>
      <c r="L18496" s="9"/>
      <c r="M18496" s="9"/>
      <c r="N18496" s="9"/>
      <c r="O18496" s="9"/>
      <c r="P18496" s="9"/>
      <c r="Q18496" s="9"/>
      <c r="R18496" s="9"/>
      <c r="S18496" s="9"/>
      <c r="T18496" s="9"/>
      <c r="U18496" s="9"/>
      <c r="V18496" s="9"/>
      <c r="W18496" s="9"/>
      <c r="X18496" s="9"/>
      <c r="Y18496" s="9"/>
      <c r="Z18496" s="9"/>
      <c r="AA18496" s="9"/>
      <c r="AB18496" s="9"/>
      <c r="AC18496" s="9"/>
      <c r="AD18496" s="9"/>
      <c r="AE18496" s="9"/>
      <c r="AF18496" s="9"/>
      <c r="AG18496" s="10"/>
    </row>
    <row r="18497" spans="1:33">
      <c r="A18497" s="9"/>
      <c r="B18497" s="9"/>
      <c r="C18497" s="9"/>
      <c r="D18497" s="9"/>
      <c r="E18497" s="9"/>
      <c r="F18497" s="9"/>
      <c r="G18497" s="9"/>
      <c r="H18497" s="9"/>
      <c r="I18497" s="9"/>
      <c r="J18497" s="9"/>
      <c r="K18497" s="9"/>
      <c r="L18497" s="9"/>
      <c r="M18497" s="9"/>
      <c r="N18497" s="9"/>
      <c r="O18497" s="9"/>
      <c r="P18497" s="9"/>
      <c r="Q18497" s="9"/>
      <c r="R18497" s="9"/>
      <c r="S18497" s="9"/>
      <c r="T18497" s="9"/>
      <c r="U18497" s="9"/>
      <c r="V18497" s="9"/>
      <c r="W18497" s="9"/>
      <c r="X18497" s="9"/>
      <c r="Y18497" s="9"/>
      <c r="Z18497" s="9"/>
      <c r="AA18497" s="9"/>
      <c r="AB18497" s="9"/>
      <c r="AC18497" s="9"/>
      <c r="AD18497" s="9"/>
      <c r="AE18497" s="9"/>
      <c r="AF18497" s="9"/>
      <c r="AG18497" s="10"/>
    </row>
    <row r="18498" spans="1:33">
      <c r="A18498" s="9"/>
      <c r="B18498" s="9"/>
      <c r="C18498" s="9"/>
      <c r="D18498" s="9"/>
      <c r="E18498" s="9"/>
      <c r="F18498" s="9"/>
      <c r="G18498" s="9"/>
      <c r="H18498" s="9"/>
      <c r="I18498" s="9"/>
      <c r="J18498" s="9"/>
      <c r="K18498" s="9"/>
      <c r="L18498" s="9"/>
      <c r="M18498" s="9"/>
      <c r="N18498" s="9"/>
      <c r="O18498" s="9"/>
      <c r="P18498" s="9"/>
      <c r="Q18498" s="9"/>
      <c r="R18498" s="9"/>
      <c r="S18498" s="9"/>
      <c r="T18498" s="9"/>
      <c r="U18498" s="9"/>
      <c r="V18498" s="9"/>
      <c r="W18498" s="9"/>
      <c r="X18498" s="9"/>
      <c r="Y18498" s="9"/>
      <c r="Z18498" s="9"/>
      <c r="AA18498" s="9"/>
      <c r="AB18498" s="9"/>
      <c r="AC18498" s="9"/>
      <c r="AD18498" s="9"/>
      <c r="AE18498" s="9"/>
      <c r="AF18498" s="9"/>
      <c r="AG18498" s="10"/>
    </row>
    <row r="18499" spans="1:33">
      <c r="A18499" s="9"/>
      <c r="B18499" s="9"/>
      <c r="C18499" s="9"/>
      <c r="D18499" s="9"/>
      <c r="E18499" s="9"/>
      <c r="F18499" s="9"/>
      <c r="G18499" s="9"/>
      <c r="H18499" s="9"/>
      <c r="I18499" s="9"/>
      <c r="J18499" s="9"/>
      <c r="K18499" s="9"/>
      <c r="L18499" s="9"/>
      <c r="M18499" s="9"/>
      <c r="N18499" s="9"/>
      <c r="O18499" s="9"/>
      <c r="P18499" s="9"/>
      <c r="Q18499" s="9"/>
      <c r="R18499" s="9"/>
      <c r="S18499" s="9"/>
      <c r="T18499" s="9"/>
      <c r="U18499" s="9"/>
      <c r="V18499" s="9"/>
      <c r="W18499" s="9"/>
      <c r="X18499" s="9"/>
      <c r="Y18499" s="9"/>
      <c r="Z18499" s="9"/>
      <c r="AA18499" s="9"/>
      <c r="AB18499" s="9"/>
      <c r="AC18499" s="9"/>
      <c r="AD18499" s="9"/>
      <c r="AE18499" s="9"/>
      <c r="AF18499" s="9"/>
      <c r="AG18499" s="10"/>
    </row>
    <row r="18500" spans="1:33">
      <c r="A18500" s="9"/>
      <c r="B18500" s="9"/>
      <c r="C18500" s="9"/>
      <c r="D18500" s="9"/>
      <c r="E18500" s="9"/>
      <c r="F18500" s="9"/>
      <c r="G18500" s="9"/>
      <c r="H18500" s="9"/>
      <c r="I18500" s="9"/>
      <c r="J18500" s="9"/>
      <c r="K18500" s="9"/>
      <c r="L18500" s="9"/>
      <c r="M18500" s="9"/>
      <c r="N18500" s="9"/>
      <c r="O18500" s="9"/>
      <c r="P18500" s="9"/>
      <c r="Q18500" s="9"/>
      <c r="R18500" s="9"/>
      <c r="S18500" s="9"/>
      <c r="T18500" s="9"/>
      <c r="U18500" s="9"/>
      <c r="V18500" s="9"/>
      <c r="W18500" s="9"/>
      <c r="X18500" s="9"/>
      <c r="Y18500" s="9"/>
      <c r="Z18500" s="9"/>
      <c r="AA18500" s="9"/>
      <c r="AB18500" s="9"/>
      <c r="AC18500" s="9"/>
      <c r="AD18500" s="9"/>
      <c r="AE18500" s="9"/>
      <c r="AF18500" s="9"/>
      <c r="AG18500" s="10"/>
    </row>
    <row r="18501" spans="1:33">
      <c r="A18501" s="9"/>
      <c r="B18501" s="9"/>
      <c r="C18501" s="9"/>
      <c r="D18501" s="9"/>
      <c r="E18501" s="9"/>
      <c r="F18501" s="9"/>
      <c r="G18501" s="9"/>
      <c r="H18501" s="9"/>
      <c r="I18501" s="9"/>
      <c r="J18501" s="9"/>
      <c r="K18501" s="9"/>
      <c r="L18501" s="9"/>
      <c r="M18501" s="9"/>
      <c r="N18501" s="9"/>
      <c r="O18501" s="9"/>
      <c r="P18501" s="9"/>
      <c r="Q18501" s="9"/>
      <c r="R18501" s="9"/>
      <c r="S18501" s="9"/>
      <c r="T18501" s="9"/>
      <c r="U18501" s="9"/>
      <c r="V18501" s="9"/>
      <c r="W18501" s="9"/>
      <c r="X18501" s="9"/>
      <c r="Y18501" s="9"/>
      <c r="Z18501" s="9"/>
      <c r="AA18501" s="9"/>
      <c r="AB18501" s="9"/>
      <c r="AC18501" s="9"/>
      <c r="AD18501" s="9"/>
      <c r="AE18501" s="9"/>
      <c r="AF18501" s="9"/>
      <c r="AG18501" s="10"/>
    </row>
    <row r="18502" spans="1:33">
      <c r="A18502" s="9"/>
      <c r="B18502" s="9"/>
      <c r="C18502" s="9"/>
      <c r="D18502" s="9"/>
      <c r="E18502" s="9"/>
      <c r="F18502" s="9"/>
      <c r="G18502" s="9"/>
      <c r="H18502" s="9"/>
      <c r="I18502" s="9"/>
      <c r="J18502" s="9"/>
      <c r="K18502" s="9"/>
      <c r="L18502" s="9"/>
      <c r="M18502" s="9"/>
      <c r="N18502" s="9"/>
      <c r="O18502" s="9"/>
      <c r="P18502" s="9"/>
      <c r="Q18502" s="9"/>
      <c r="R18502" s="9"/>
      <c r="S18502" s="9"/>
      <c r="T18502" s="9"/>
      <c r="U18502" s="9"/>
      <c r="V18502" s="9"/>
      <c r="W18502" s="9"/>
      <c r="X18502" s="9"/>
      <c r="Y18502" s="9"/>
      <c r="Z18502" s="9"/>
      <c r="AA18502" s="9"/>
      <c r="AB18502" s="9"/>
      <c r="AC18502" s="9"/>
      <c r="AD18502" s="9"/>
      <c r="AE18502" s="9"/>
      <c r="AF18502" s="9"/>
      <c r="AG18502" s="10"/>
    </row>
    <row r="18503" spans="1:33">
      <c r="A18503" s="9"/>
      <c r="B18503" s="9"/>
      <c r="C18503" s="9"/>
      <c r="D18503" s="9"/>
      <c r="E18503" s="9"/>
      <c r="F18503" s="9"/>
      <c r="G18503" s="9"/>
      <c r="H18503" s="9"/>
      <c r="I18503" s="9"/>
      <c r="J18503" s="9"/>
      <c r="K18503" s="9"/>
      <c r="L18503" s="9"/>
      <c r="M18503" s="9"/>
      <c r="N18503" s="9"/>
      <c r="O18503" s="9"/>
      <c r="P18503" s="9"/>
      <c r="Q18503" s="9"/>
      <c r="R18503" s="9"/>
      <c r="S18503" s="9"/>
      <c r="T18503" s="9"/>
      <c r="U18503" s="9"/>
      <c r="V18503" s="9"/>
      <c r="W18503" s="9"/>
      <c r="X18503" s="9"/>
      <c r="Y18503" s="9"/>
      <c r="Z18503" s="9"/>
      <c r="AA18503" s="9"/>
      <c r="AB18503" s="9"/>
      <c r="AC18503" s="9"/>
      <c r="AD18503" s="9"/>
      <c r="AE18503" s="9"/>
      <c r="AF18503" s="9"/>
      <c r="AG18503" s="10"/>
    </row>
    <row r="18504" spans="1:33">
      <c r="A18504" s="9"/>
      <c r="B18504" s="9"/>
      <c r="C18504" s="9"/>
      <c r="D18504" s="9"/>
      <c r="E18504" s="9"/>
      <c r="F18504" s="9"/>
      <c r="G18504" s="9"/>
      <c r="H18504" s="9"/>
      <c r="I18504" s="9"/>
      <c r="J18504" s="9"/>
      <c r="K18504" s="9"/>
      <c r="L18504" s="9"/>
      <c r="M18504" s="9"/>
      <c r="N18504" s="9"/>
      <c r="O18504" s="9"/>
      <c r="P18504" s="9"/>
      <c r="Q18504" s="9"/>
      <c r="R18504" s="9"/>
      <c r="S18504" s="9"/>
      <c r="T18504" s="9"/>
      <c r="U18504" s="9"/>
      <c r="V18504" s="9"/>
      <c r="W18504" s="9"/>
      <c r="X18504" s="9"/>
      <c r="Y18504" s="9"/>
      <c r="Z18504" s="9"/>
      <c r="AA18504" s="9"/>
      <c r="AB18504" s="9"/>
      <c r="AC18504" s="9"/>
      <c r="AD18504" s="9"/>
      <c r="AE18504" s="9"/>
      <c r="AF18504" s="9"/>
      <c r="AG18504" s="10"/>
    </row>
    <row r="18505" spans="1:33">
      <c r="A18505" s="9"/>
      <c r="B18505" s="9"/>
      <c r="C18505" s="9"/>
      <c r="D18505" s="9"/>
      <c r="E18505" s="9"/>
      <c r="F18505" s="9"/>
      <c r="G18505" s="9"/>
      <c r="H18505" s="9"/>
      <c r="I18505" s="9"/>
      <c r="J18505" s="9"/>
      <c r="K18505" s="9"/>
      <c r="L18505" s="9"/>
      <c r="M18505" s="9"/>
      <c r="N18505" s="9"/>
      <c r="O18505" s="9"/>
      <c r="P18505" s="9"/>
      <c r="Q18505" s="9"/>
      <c r="R18505" s="9"/>
      <c r="S18505" s="9"/>
      <c r="T18505" s="9"/>
      <c r="U18505" s="9"/>
      <c r="V18505" s="9"/>
      <c r="W18505" s="9"/>
      <c r="X18505" s="9"/>
      <c r="Y18505" s="9"/>
      <c r="Z18505" s="9"/>
      <c r="AA18505" s="9"/>
      <c r="AB18505" s="9"/>
      <c r="AC18505" s="9"/>
      <c r="AD18505" s="9"/>
      <c r="AE18505" s="9"/>
      <c r="AF18505" s="9"/>
      <c r="AG18505" s="10"/>
    </row>
    <row r="18506" spans="1:33">
      <c r="A18506" s="9"/>
      <c r="B18506" s="9"/>
      <c r="C18506" s="9"/>
      <c r="D18506" s="9"/>
      <c r="E18506" s="9"/>
      <c r="F18506" s="9"/>
      <c r="G18506" s="9"/>
      <c r="H18506" s="9"/>
      <c r="I18506" s="9"/>
      <c r="J18506" s="9"/>
      <c r="K18506" s="9"/>
      <c r="L18506" s="9"/>
      <c r="M18506" s="9"/>
      <c r="N18506" s="9"/>
      <c r="O18506" s="9"/>
      <c r="P18506" s="9"/>
      <c r="Q18506" s="9"/>
      <c r="R18506" s="9"/>
      <c r="S18506" s="9"/>
      <c r="T18506" s="9"/>
      <c r="U18506" s="9"/>
      <c r="V18506" s="9"/>
      <c r="W18506" s="9"/>
      <c r="X18506" s="9"/>
      <c r="Y18506" s="9"/>
      <c r="Z18506" s="9"/>
      <c r="AA18506" s="9"/>
      <c r="AB18506" s="9"/>
      <c r="AC18506" s="9"/>
      <c r="AD18506" s="9"/>
      <c r="AE18506" s="9"/>
      <c r="AF18506" s="9"/>
      <c r="AG18506" s="10"/>
    </row>
    <row r="18507" spans="1:33">
      <c r="A18507" s="9"/>
      <c r="B18507" s="9"/>
      <c r="C18507" s="9"/>
      <c r="D18507" s="9"/>
      <c r="E18507" s="9"/>
      <c r="F18507" s="9"/>
      <c r="G18507" s="9"/>
      <c r="H18507" s="9"/>
      <c r="I18507" s="9"/>
      <c r="J18507" s="9"/>
      <c r="K18507" s="9"/>
      <c r="L18507" s="9"/>
      <c r="M18507" s="9"/>
      <c r="N18507" s="9"/>
      <c r="O18507" s="9"/>
      <c r="P18507" s="9"/>
      <c r="Q18507" s="9"/>
      <c r="R18507" s="9"/>
      <c r="S18507" s="9"/>
      <c r="T18507" s="9"/>
      <c r="U18507" s="9"/>
      <c r="V18507" s="9"/>
      <c r="W18507" s="9"/>
      <c r="X18507" s="9"/>
      <c r="Y18507" s="9"/>
      <c r="Z18507" s="9"/>
      <c r="AA18507" s="9"/>
      <c r="AB18507" s="9"/>
      <c r="AC18507" s="9"/>
      <c r="AD18507" s="9"/>
      <c r="AE18507" s="9"/>
      <c r="AF18507" s="9"/>
      <c r="AG18507" s="10"/>
    </row>
    <row r="18508" spans="1:33">
      <c r="A18508" s="9"/>
      <c r="B18508" s="9"/>
      <c r="C18508" s="9"/>
      <c r="D18508" s="9"/>
      <c r="E18508" s="9"/>
      <c r="F18508" s="9"/>
      <c r="G18508" s="9"/>
      <c r="H18508" s="9"/>
      <c r="I18508" s="9"/>
      <c r="J18508" s="9"/>
      <c r="K18508" s="9"/>
      <c r="L18508" s="9"/>
      <c r="M18508" s="9"/>
      <c r="N18508" s="9"/>
      <c r="O18508" s="9"/>
      <c r="P18508" s="9"/>
      <c r="Q18508" s="9"/>
      <c r="R18508" s="9"/>
      <c r="S18508" s="9"/>
      <c r="T18508" s="9"/>
      <c r="U18508" s="9"/>
      <c r="V18508" s="9"/>
      <c r="W18508" s="9"/>
      <c r="X18508" s="9"/>
      <c r="Y18508" s="9"/>
      <c r="Z18508" s="9"/>
      <c r="AA18508" s="9"/>
      <c r="AB18508" s="9"/>
      <c r="AC18508" s="9"/>
      <c r="AD18508" s="9"/>
      <c r="AE18508" s="9"/>
      <c r="AF18508" s="9"/>
      <c r="AG18508" s="10"/>
    </row>
    <row r="18509" spans="1:33">
      <c r="A18509" s="9"/>
      <c r="B18509" s="9"/>
      <c r="C18509" s="9"/>
      <c r="D18509" s="9"/>
      <c r="E18509" s="9"/>
      <c r="F18509" s="9"/>
      <c r="G18509" s="9"/>
      <c r="H18509" s="9"/>
      <c r="I18509" s="9"/>
      <c r="J18509" s="9"/>
      <c r="K18509" s="9"/>
      <c r="L18509" s="9"/>
      <c r="M18509" s="9"/>
      <c r="N18509" s="9"/>
      <c r="O18509" s="9"/>
      <c r="P18509" s="9"/>
      <c r="Q18509" s="9"/>
      <c r="R18509" s="9"/>
      <c r="S18509" s="9"/>
      <c r="T18509" s="9"/>
      <c r="U18509" s="9"/>
      <c r="V18509" s="9"/>
      <c r="W18509" s="9"/>
      <c r="X18509" s="9"/>
      <c r="Y18509" s="9"/>
      <c r="Z18509" s="9"/>
      <c r="AA18509" s="9"/>
      <c r="AB18509" s="9"/>
      <c r="AC18509" s="9"/>
      <c r="AD18509" s="9"/>
      <c r="AE18509" s="9"/>
      <c r="AF18509" s="9"/>
      <c r="AG18509" s="10"/>
    </row>
    <row r="18510" spans="1:33">
      <c r="A18510" s="9"/>
      <c r="B18510" s="9"/>
      <c r="C18510" s="9"/>
      <c r="D18510" s="9"/>
      <c r="E18510" s="9"/>
      <c r="F18510" s="9"/>
      <c r="G18510" s="9"/>
      <c r="H18510" s="9"/>
      <c r="I18510" s="9"/>
      <c r="J18510" s="9"/>
      <c r="K18510" s="9"/>
      <c r="L18510" s="9"/>
      <c r="M18510" s="9"/>
      <c r="N18510" s="9"/>
      <c r="O18510" s="9"/>
      <c r="P18510" s="9"/>
      <c r="Q18510" s="9"/>
      <c r="R18510" s="9"/>
      <c r="S18510" s="9"/>
      <c r="T18510" s="9"/>
      <c r="U18510" s="9"/>
      <c r="V18510" s="9"/>
      <c r="W18510" s="9"/>
      <c r="X18510" s="9"/>
      <c r="Y18510" s="9"/>
      <c r="Z18510" s="9"/>
      <c r="AA18510" s="9"/>
      <c r="AB18510" s="9"/>
      <c r="AC18510" s="9"/>
      <c r="AD18510" s="9"/>
      <c r="AE18510" s="9"/>
      <c r="AF18510" s="9"/>
      <c r="AG18510" s="10"/>
    </row>
    <row r="18511" spans="1:33">
      <c r="A18511" s="9"/>
      <c r="B18511" s="9"/>
      <c r="C18511" s="9"/>
      <c r="D18511" s="9"/>
      <c r="E18511" s="9"/>
      <c r="F18511" s="9"/>
      <c r="G18511" s="9"/>
      <c r="H18511" s="9"/>
      <c r="I18511" s="9"/>
      <c r="J18511" s="9"/>
      <c r="K18511" s="9"/>
      <c r="L18511" s="9"/>
      <c r="M18511" s="9"/>
      <c r="N18511" s="9"/>
      <c r="O18511" s="9"/>
      <c r="P18511" s="9"/>
      <c r="Q18511" s="9"/>
      <c r="R18511" s="9"/>
      <c r="S18511" s="9"/>
      <c r="T18511" s="9"/>
      <c r="U18511" s="9"/>
      <c r="V18511" s="9"/>
      <c r="W18511" s="9"/>
      <c r="X18511" s="9"/>
      <c r="Y18511" s="9"/>
      <c r="Z18511" s="9"/>
      <c r="AA18511" s="9"/>
      <c r="AB18511" s="9"/>
      <c r="AC18511" s="9"/>
      <c r="AD18511" s="9"/>
      <c r="AE18511" s="9"/>
      <c r="AF18511" s="9"/>
      <c r="AG18511" s="10"/>
    </row>
    <row r="18512" spans="1:33">
      <c r="A18512" s="9"/>
      <c r="B18512" s="9"/>
      <c r="C18512" s="9"/>
      <c r="D18512" s="9"/>
      <c r="E18512" s="9"/>
      <c r="F18512" s="9"/>
      <c r="G18512" s="9"/>
      <c r="H18512" s="9"/>
      <c r="I18512" s="9"/>
      <c r="J18512" s="9"/>
      <c r="K18512" s="9"/>
      <c r="L18512" s="9"/>
      <c r="M18512" s="9"/>
      <c r="N18512" s="9"/>
      <c r="O18512" s="9"/>
      <c r="P18512" s="9"/>
      <c r="Q18512" s="9"/>
      <c r="R18512" s="9"/>
      <c r="S18512" s="9"/>
      <c r="T18512" s="9"/>
      <c r="U18512" s="9"/>
      <c r="V18512" s="9"/>
      <c r="W18512" s="9"/>
      <c r="X18512" s="9"/>
      <c r="Y18512" s="9"/>
      <c r="Z18512" s="9"/>
      <c r="AA18512" s="9"/>
      <c r="AB18512" s="9"/>
      <c r="AC18512" s="9"/>
      <c r="AD18512" s="9"/>
      <c r="AE18512" s="9"/>
      <c r="AF18512" s="9"/>
      <c r="AG18512" s="10"/>
    </row>
    <row r="18513" spans="1:33">
      <c r="A18513" s="9"/>
      <c r="B18513" s="9"/>
      <c r="C18513" s="9"/>
      <c r="D18513" s="9"/>
      <c r="E18513" s="9"/>
      <c r="F18513" s="9"/>
      <c r="G18513" s="9"/>
      <c r="H18513" s="9"/>
      <c r="I18513" s="9"/>
      <c r="J18513" s="9"/>
      <c r="K18513" s="9"/>
      <c r="L18513" s="9"/>
      <c r="M18513" s="9"/>
      <c r="N18513" s="9"/>
      <c r="O18513" s="9"/>
      <c r="P18513" s="9"/>
      <c r="Q18513" s="9"/>
      <c r="R18513" s="9"/>
      <c r="S18513" s="9"/>
      <c r="T18513" s="9"/>
      <c r="U18513" s="9"/>
      <c r="V18513" s="9"/>
      <c r="W18513" s="9"/>
      <c r="X18513" s="9"/>
      <c r="Y18513" s="9"/>
      <c r="Z18513" s="9"/>
      <c r="AA18513" s="9"/>
      <c r="AB18513" s="9"/>
      <c r="AC18513" s="9"/>
      <c r="AD18513" s="9"/>
      <c r="AE18513" s="9"/>
      <c r="AF18513" s="9"/>
      <c r="AG18513" s="10"/>
    </row>
    <row r="18514" spans="1:33">
      <c r="A18514" s="9"/>
      <c r="B18514" s="9"/>
      <c r="C18514" s="9"/>
      <c r="D18514" s="9"/>
      <c r="E18514" s="9"/>
      <c r="F18514" s="9"/>
      <c r="G18514" s="9"/>
      <c r="H18514" s="9"/>
      <c r="I18514" s="9"/>
      <c r="J18514" s="9"/>
      <c r="K18514" s="9"/>
      <c r="L18514" s="9"/>
      <c r="M18514" s="9"/>
      <c r="N18514" s="9"/>
      <c r="O18514" s="9"/>
      <c r="P18514" s="9"/>
      <c r="Q18514" s="9"/>
      <c r="R18514" s="9"/>
      <c r="S18514" s="9"/>
      <c r="T18514" s="9"/>
      <c r="U18514" s="9"/>
      <c r="V18514" s="9"/>
      <c r="W18514" s="9"/>
      <c r="X18514" s="9"/>
      <c r="Y18514" s="9"/>
      <c r="Z18514" s="9"/>
      <c r="AA18514" s="9"/>
      <c r="AB18514" s="9"/>
      <c r="AC18514" s="9"/>
      <c r="AD18514" s="9"/>
      <c r="AE18514" s="9"/>
      <c r="AF18514" s="9"/>
      <c r="AG18514" s="10"/>
    </row>
    <row r="18515" spans="1:33">
      <c r="A18515" s="9"/>
      <c r="B18515" s="9"/>
      <c r="C18515" s="9"/>
      <c r="D18515" s="9"/>
      <c r="E18515" s="9"/>
      <c r="F18515" s="9"/>
      <c r="G18515" s="9"/>
      <c r="H18515" s="9"/>
      <c r="I18515" s="9"/>
      <c r="J18515" s="9"/>
      <c r="K18515" s="9"/>
      <c r="L18515" s="9"/>
      <c r="M18515" s="9"/>
      <c r="N18515" s="9"/>
      <c r="O18515" s="9"/>
      <c r="P18515" s="9"/>
      <c r="Q18515" s="9"/>
      <c r="R18515" s="9"/>
      <c r="S18515" s="9"/>
      <c r="T18515" s="9"/>
      <c r="U18515" s="9"/>
      <c r="V18515" s="9"/>
      <c r="W18515" s="9"/>
      <c r="X18515" s="9"/>
      <c r="Y18515" s="9"/>
      <c r="Z18515" s="9"/>
      <c r="AA18515" s="9"/>
      <c r="AB18515" s="9"/>
      <c r="AC18515" s="9"/>
      <c r="AD18515" s="9"/>
      <c r="AE18515" s="9"/>
      <c r="AF18515" s="9"/>
      <c r="AG18515" s="10"/>
    </row>
    <row r="18516" spans="1:33">
      <c r="A18516" s="9"/>
      <c r="B18516" s="9"/>
      <c r="C18516" s="9"/>
      <c r="D18516" s="9"/>
      <c r="E18516" s="9"/>
      <c r="F18516" s="9"/>
      <c r="G18516" s="9"/>
      <c r="H18516" s="9"/>
      <c r="I18516" s="9"/>
      <c r="J18516" s="9"/>
      <c r="K18516" s="9"/>
      <c r="L18516" s="9"/>
      <c r="M18516" s="9"/>
      <c r="N18516" s="9"/>
      <c r="O18516" s="9"/>
      <c r="P18516" s="9"/>
      <c r="Q18516" s="9"/>
      <c r="R18516" s="9"/>
      <c r="S18516" s="9"/>
      <c r="T18516" s="9"/>
      <c r="U18516" s="9"/>
      <c r="V18516" s="9"/>
      <c r="W18516" s="9"/>
      <c r="X18516" s="9"/>
      <c r="Y18516" s="9"/>
      <c r="Z18516" s="9"/>
      <c r="AA18516" s="9"/>
      <c r="AB18516" s="9"/>
      <c r="AC18516" s="9"/>
      <c r="AD18516" s="9"/>
      <c r="AE18516" s="9"/>
      <c r="AF18516" s="9"/>
      <c r="AG18516" s="10"/>
    </row>
    <row r="18517" spans="1:33">
      <c r="A18517" s="9"/>
      <c r="B18517" s="9"/>
      <c r="C18517" s="9"/>
      <c r="D18517" s="9"/>
      <c r="E18517" s="9"/>
      <c r="F18517" s="9"/>
      <c r="G18517" s="9"/>
      <c r="H18517" s="9"/>
      <c r="I18517" s="9"/>
      <c r="J18517" s="9"/>
      <c r="K18517" s="9"/>
      <c r="L18517" s="9"/>
      <c r="M18517" s="9"/>
      <c r="N18517" s="9"/>
      <c r="O18517" s="9"/>
      <c r="P18517" s="9"/>
      <c r="Q18517" s="9"/>
      <c r="R18517" s="9"/>
      <c r="S18517" s="9"/>
      <c r="T18517" s="9"/>
      <c r="U18517" s="9"/>
      <c r="V18517" s="9"/>
      <c r="W18517" s="9"/>
      <c r="X18517" s="9"/>
      <c r="Y18517" s="9"/>
      <c r="Z18517" s="9"/>
      <c r="AA18517" s="9"/>
      <c r="AB18517" s="9"/>
      <c r="AC18517" s="9"/>
      <c r="AD18517" s="9"/>
      <c r="AE18517" s="9"/>
      <c r="AF18517" s="9"/>
      <c r="AG18517" s="10"/>
    </row>
    <row r="18518" spans="1:33">
      <c r="A18518" s="9"/>
      <c r="B18518" s="9"/>
      <c r="C18518" s="9"/>
      <c r="D18518" s="9"/>
      <c r="E18518" s="9"/>
      <c r="F18518" s="9"/>
      <c r="G18518" s="9"/>
      <c r="H18518" s="9"/>
      <c r="I18518" s="9"/>
      <c r="J18518" s="9"/>
      <c r="K18518" s="9"/>
      <c r="L18518" s="9"/>
      <c r="M18518" s="9"/>
      <c r="N18518" s="9"/>
      <c r="O18518" s="9"/>
      <c r="P18518" s="9"/>
      <c r="Q18518" s="9"/>
      <c r="R18518" s="9"/>
      <c r="S18518" s="9"/>
      <c r="T18518" s="9"/>
      <c r="U18518" s="9"/>
      <c r="V18518" s="9"/>
      <c r="W18518" s="9"/>
      <c r="X18518" s="9"/>
      <c r="Y18518" s="9"/>
      <c r="Z18518" s="9"/>
      <c r="AA18518" s="9"/>
      <c r="AB18518" s="9"/>
      <c r="AC18518" s="9"/>
      <c r="AD18518" s="9"/>
      <c r="AE18518" s="9"/>
      <c r="AF18518" s="9"/>
      <c r="AG18518" s="10"/>
    </row>
    <row r="18519" spans="1:33">
      <c r="A18519" s="9"/>
      <c r="B18519" s="9"/>
      <c r="C18519" s="9"/>
      <c r="D18519" s="9"/>
      <c r="E18519" s="9"/>
      <c r="F18519" s="9"/>
      <c r="G18519" s="9"/>
      <c r="H18519" s="9"/>
      <c r="I18519" s="9"/>
      <c r="J18519" s="9"/>
      <c r="K18519" s="9"/>
      <c r="L18519" s="9"/>
      <c r="M18519" s="9"/>
      <c r="N18519" s="9"/>
      <c r="O18519" s="9"/>
      <c r="P18519" s="9"/>
      <c r="Q18519" s="9"/>
      <c r="R18519" s="9"/>
      <c r="S18519" s="9"/>
      <c r="T18519" s="9"/>
      <c r="U18519" s="9"/>
      <c r="V18519" s="9"/>
      <c r="W18519" s="9"/>
      <c r="X18519" s="9"/>
      <c r="Y18519" s="9"/>
      <c r="Z18519" s="9"/>
      <c r="AA18519" s="9"/>
      <c r="AB18519" s="9"/>
      <c r="AC18519" s="9"/>
      <c r="AD18519" s="9"/>
      <c r="AE18519" s="9"/>
      <c r="AF18519" s="9"/>
      <c r="AG18519" s="10"/>
    </row>
    <row r="18520" spans="1:33">
      <c r="A18520" s="9"/>
      <c r="B18520" s="9"/>
      <c r="C18520" s="9"/>
      <c r="D18520" s="9"/>
      <c r="E18520" s="9"/>
      <c r="F18520" s="9"/>
      <c r="G18520" s="9"/>
      <c r="H18520" s="9"/>
      <c r="I18520" s="9"/>
      <c r="J18520" s="9"/>
      <c r="K18520" s="9"/>
      <c r="L18520" s="9"/>
      <c r="M18520" s="9"/>
      <c r="N18520" s="9"/>
      <c r="O18520" s="9"/>
      <c r="P18520" s="9"/>
      <c r="Q18520" s="9"/>
      <c r="R18520" s="9"/>
      <c r="S18520" s="9"/>
      <c r="T18520" s="9"/>
      <c r="U18520" s="9"/>
      <c r="V18520" s="9"/>
      <c r="W18520" s="9"/>
      <c r="X18520" s="9"/>
      <c r="Y18520" s="9"/>
      <c r="Z18520" s="9"/>
      <c r="AA18520" s="9"/>
      <c r="AB18520" s="9"/>
      <c r="AC18520" s="9"/>
      <c r="AD18520" s="9"/>
      <c r="AE18520" s="9"/>
      <c r="AF18520" s="9"/>
      <c r="AG18520" s="10"/>
    </row>
    <row r="18521" spans="1:33">
      <c r="A18521" s="9"/>
      <c r="B18521" s="9"/>
      <c r="C18521" s="9"/>
      <c r="D18521" s="9"/>
      <c r="E18521" s="9"/>
      <c r="F18521" s="9"/>
      <c r="G18521" s="9"/>
      <c r="H18521" s="9"/>
      <c r="I18521" s="9"/>
      <c r="J18521" s="9"/>
      <c r="K18521" s="9"/>
      <c r="L18521" s="9"/>
      <c r="M18521" s="9"/>
      <c r="N18521" s="9"/>
      <c r="O18521" s="9"/>
      <c r="P18521" s="9"/>
      <c r="Q18521" s="9"/>
      <c r="R18521" s="9"/>
      <c r="S18521" s="9"/>
      <c r="T18521" s="9"/>
      <c r="U18521" s="9"/>
      <c r="V18521" s="9"/>
      <c r="W18521" s="9"/>
      <c r="X18521" s="9"/>
      <c r="Y18521" s="9"/>
      <c r="Z18521" s="9"/>
      <c r="AA18521" s="9"/>
      <c r="AB18521" s="9"/>
      <c r="AC18521" s="9"/>
      <c r="AD18521" s="9"/>
      <c r="AE18521" s="9"/>
      <c r="AF18521" s="9"/>
      <c r="AG18521" s="10"/>
    </row>
    <row r="18522" spans="1:33">
      <c r="A18522" s="9"/>
      <c r="B18522" s="9"/>
      <c r="C18522" s="9"/>
      <c r="D18522" s="9"/>
      <c r="E18522" s="9"/>
      <c r="F18522" s="9"/>
      <c r="G18522" s="9"/>
      <c r="H18522" s="9"/>
      <c r="I18522" s="9"/>
      <c r="J18522" s="9"/>
      <c r="K18522" s="9"/>
      <c r="L18522" s="9"/>
      <c r="M18522" s="9"/>
      <c r="N18522" s="9"/>
      <c r="O18522" s="9"/>
      <c r="P18522" s="9"/>
      <c r="Q18522" s="9"/>
      <c r="R18522" s="9"/>
      <c r="S18522" s="9"/>
      <c r="T18522" s="9"/>
      <c r="U18522" s="9"/>
      <c r="V18522" s="9"/>
      <c r="W18522" s="9"/>
      <c r="X18522" s="9"/>
      <c r="Y18522" s="9"/>
      <c r="Z18522" s="9"/>
      <c r="AA18522" s="9"/>
      <c r="AB18522" s="9"/>
      <c r="AC18522" s="9"/>
      <c r="AD18522" s="9"/>
      <c r="AE18522" s="9"/>
      <c r="AF18522" s="9"/>
      <c r="AG18522" s="10"/>
    </row>
    <row r="18523" spans="1:33">
      <c r="A18523" s="9"/>
      <c r="B18523" s="9"/>
      <c r="C18523" s="9"/>
      <c r="D18523" s="9"/>
      <c r="E18523" s="9"/>
      <c r="F18523" s="9"/>
      <c r="G18523" s="9"/>
      <c r="H18523" s="9"/>
      <c r="I18523" s="9"/>
      <c r="J18523" s="9"/>
      <c r="K18523" s="9"/>
      <c r="L18523" s="9"/>
      <c r="M18523" s="9"/>
      <c r="N18523" s="9"/>
      <c r="O18523" s="9"/>
      <c r="P18523" s="9"/>
      <c r="Q18523" s="9"/>
      <c r="R18523" s="9"/>
      <c r="S18523" s="9"/>
      <c r="T18523" s="9"/>
      <c r="U18523" s="9"/>
      <c r="V18523" s="9"/>
      <c r="W18523" s="9"/>
      <c r="X18523" s="9"/>
      <c r="Y18523" s="9"/>
      <c r="Z18523" s="9"/>
      <c r="AA18523" s="9"/>
      <c r="AB18523" s="9"/>
      <c r="AC18523" s="9"/>
      <c r="AD18523" s="9"/>
      <c r="AE18523" s="9"/>
      <c r="AF18523" s="9"/>
      <c r="AG18523" s="10"/>
    </row>
    <row r="18524" spans="1:33">
      <c r="A18524" s="9"/>
      <c r="B18524" s="9"/>
      <c r="C18524" s="9"/>
      <c r="D18524" s="9"/>
      <c r="E18524" s="9"/>
      <c r="F18524" s="9"/>
      <c r="G18524" s="9"/>
      <c r="H18524" s="9"/>
      <c r="I18524" s="9"/>
      <c r="J18524" s="9"/>
      <c r="K18524" s="9"/>
      <c r="L18524" s="9"/>
      <c r="M18524" s="9"/>
      <c r="N18524" s="9"/>
      <c r="O18524" s="9"/>
      <c r="P18524" s="9"/>
      <c r="Q18524" s="9"/>
      <c r="R18524" s="9"/>
      <c r="S18524" s="9"/>
      <c r="T18524" s="9"/>
      <c r="U18524" s="9"/>
      <c r="V18524" s="9"/>
      <c r="W18524" s="9"/>
      <c r="X18524" s="9"/>
      <c r="Y18524" s="9"/>
      <c r="Z18524" s="9"/>
      <c r="AA18524" s="9"/>
      <c r="AB18524" s="9"/>
      <c r="AC18524" s="9"/>
      <c r="AD18524" s="9"/>
      <c r="AE18524" s="9"/>
      <c r="AF18524" s="9"/>
      <c r="AG18524" s="10"/>
    </row>
    <row r="18525" spans="1:33">
      <c r="A18525" s="9"/>
      <c r="B18525" s="9"/>
      <c r="C18525" s="9"/>
      <c r="D18525" s="9"/>
      <c r="E18525" s="9"/>
      <c r="F18525" s="9"/>
      <c r="G18525" s="9"/>
      <c r="H18525" s="9"/>
      <c r="I18525" s="9"/>
      <c r="J18525" s="9"/>
      <c r="K18525" s="9"/>
      <c r="L18525" s="9"/>
      <c r="M18525" s="9"/>
      <c r="N18525" s="9"/>
      <c r="O18525" s="9"/>
      <c r="P18525" s="9"/>
      <c r="Q18525" s="9"/>
      <c r="R18525" s="9"/>
      <c r="S18525" s="9"/>
      <c r="T18525" s="9"/>
      <c r="U18525" s="9"/>
      <c r="V18525" s="9"/>
      <c r="W18525" s="9"/>
      <c r="X18525" s="9"/>
      <c r="Y18525" s="9"/>
      <c r="Z18525" s="9"/>
      <c r="AA18525" s="9"/>
      <c r="AB18525" s="9"/>
      <c r="AC18525" s="9"/>
      <c r="AD18525" s="9"/>
      <c r="AE18525" s="9"/>
      <c r="AF18525" s="9"/>
      <c r="AG18525" s="10"/>
    </row>
    <row r="18526" spans="1:33">
      <c r="A18526" s="9"/>
      <c r="B18526" s="9"/>
      <c r="C18526" s="9"/>
      <c r="D18526" s="9"/>
      <c r="E18526" s="9"/>
      <c r="F18526" s="9"/>
      <c r="G18526" s="9"/>
      <c r="H18526" s="9"/>
      <c r="I18526" s="9"/>
      <c r="J18526" s="9"/>
      <c r="K18526" s="9"/>
      <c r="L18526" s="9"/>
      <c r="M18526" s="9"/>
      <c r="N18526" s="9"/>
      <c r="O18526" s="9"/>
      <c r="P18526" s="9"/>
      <c r="Q18526" s="9"/>
      <c r="R18526" s="9"/>
      <c r="S18526" s="9"/>
      <c r="T18526" s="9"/>
      <c r="U18526" s="9"/>
      <c r="V18526" s="9"/>
      <c r="W18526" s="9"/>
      <c r="X18526" s="9"/>
      <c r="Y18526" s="9"/>
      <c r="Z18526" s="9"/>
      <c r="AA18526" s="9"/>
      <c r="AB18526" s="9"/>
      <c r="AC18526" s="9"/>
      <c r="AD18526" s="9"/>
      <c r="AE18526" s="9"/>
      <c r="AF18526" s="9"/>
      <c r="AG18526" s="10"/>
    </row>
    <row r="18527" spans="1:33">
      <c r="A18527" s="9"/>
      <c r="B18527" s="9"/>
      <c r="C18527" s="9"/>
      <c r="D18527" s="9"/>
      <c r="E18527" s="9"/>
      <c r="F18527" s="9"/>
      <c r="G18527" s="9"/>
      <c r="H18527" s="9"/>
      <c r="I18527" s="9"/>
      <c r="J18527" s="9"/>
      <c r="K18527" s="9"/>
      <c r="L18527" s="9"/>
      <c r="M18527" s="9"/>
      <c r="N18527" s="9"/>
      <c r="O18527" s="9"/>
      <c r="P18527" s="9"/>
      <c r="Q18527" s="9"/>
      <c r="R18527" s="9"/>
      <c r="S18527" s="9"/>
      <c r="T18527" s="9"/>
      <c r="U18527" s="9"/>
      <c r="V18527" s="9"/>
      <c r="W18527" s="9"/>
      <c r="X18527" s="9"/>
      <c r="Y18527" s="9"/>
      <c r="Z18527" s="9"/>
      <c r="AA18527" s="9"/>
      <c r="AB18527" s="9"/>
      <c r="AC18527" s="9"/>
      <c r="AD18527" s="9"/>
      <c r="AE18527" s="9"/>
      <c r="AF18527" s="9"/>
      <c r="AG18527" s="10"/>
    </row>
    <row r="18528" spans="1:33">
      <c r="A18528" s="9"/>
      <c r="B18528" s="9"/>
      <c r="C18528" s="9"/>
      <c r="D18528" s="9"/>
      <c r="E18528" s="9"/>
      <c r="F18528" s="9"/>
      <c r="G18528" s="9"/>
      <c r="H18528" s="9"/>
      <c r="I18528" s="9"/>
      <c r="J18528" s="9"/>
      <c r="K18528" s="9"/>
      <c r="L18528" s="9"/>
      <c r="M18528" s="9"/>
      <c r="N18528" s="9"/>
      <c r="O18528" s="9"/>
      <c r="P18528" s="9"/>
      <c r="Q18528" s="9"/>
      <c r="R18528" s="9"/>
      <c r="S18528" s="9"/>
      <c r="T18528" s="9"/>
      <c r="U18528" s="9"/>
      <c r="V18528" s="9"/>
      <c r="W18528" s="9"/>
      <c r="X18528" s="9"/>
      <c r="Y18528" s="9"/>
      <c r="Z18528" s="9"/>
      <c r="AA18528" s="9"/>
      <c r="AB18528" s="9"/>
      <c r="AC18528" s="9"/>
      <c r="AD18528" s="9"/>
      <c r="AE18528" s="9"/>
      <c r="AF18528" s="9"/>
      <c r="AG18528" s="10"/>
    </row>
    <row r="18529" spans="1:33">
      <c r="A18529" s="9"/>
      <c r="B18529" s="9"/>
      <c r="C18529" s="9"/>
      <c r="D18529" s="9"/>
      <c r="E18529" s="9"/>
      <c r="F18529" s="9"/>
      <c r="G18529" s="9"/>
      <c r="H18529" s="9"/>
      <c r="I18529" s="9"/>
      <c r="J18529" s="9"/>
      <c r="K18529" s="9"/>
      <c r="L18529" s="9"/>
      <c r="M18529" s="9"/>
      <c r="N18529" s="9"/>
      <c r="O18529" s="9"/>
      <c r="P18529" s="9"/>
      <c r="Q18529" s="9"/>
      <c r="R18529" s="9"/>
      <c r="S18529" s="9"/>
      <c r="T18529" s="9"/>
      <c r="U18529" s="9"/>
      <c r="V18529" s="9"/>
      <c r="W18529" s="9"/>
      <c r="X18529" s="9"/>
      <c r="Y18529" s="9"/>
      <c r="Z18529" s="9"/>
      <c r="AA18529" s="9"/>
      <c r="AB18529" s="9"/>
      <c r="AC18529" s="9"/>
      <c r="AD18529" s="9"/>
      <c r="AE18529" s="9"/>
      <c r="AF18529" s="9"/>
      <c r="AG18529" s="10"/>
    </row>
    <row r="18530" spans="1:33">
      <c r="A18530" s="9"/>
      <c r="B18530" s="9"/>
      <c r="C18530" s="9"/>
      <c r="D18530" s="9"/>
      <c r="E18530" s="9"/>
      <c r="F18530" s="9"/>
      <c r="G18530" s="9"/>
      <c r="H18530" s="9"/>
      <c r="I18530" s="9"/>
      <c r="J18530" s="9"/>
      <c r="K18530" s="9"/>
      <c r="L18530" s="9"/>
      <c r="M18530" s="9"/>
      <c r="N18530" s="9"/>
      <c r="O18530" s="9"/>
      <c r="P18530" s="9"/>
      <c r="Q18530" s="9"/>
      <c r="R18530" s="9"/>
      <c r="S18530" s="9"/>
      <c r="T18530" s="9"/>
      <c r="U18530" s="9"/>
      <c r="V18530" s="9"/>
      <c r="W18530" s="9"/>
      <c r="X18530" s="9"/>
      <c r="Y18530" s="9"/>
      <c r="Z18530" s="9"/>
      <c r="AA18530" s="9"/>
      <c r="AB18530" s="9"/>
      <c r="AC18530" s="9"/>
      <c r="AD18530" s="9"/>
      <c r="AE18530" s="9"/>
      <c r="AF18530" s="9"/>
      <c r="AG18530" s="10"/>
    </row>
    <row r="18531" spans="1:33">
      <c r="A18531" s="9"/>
      <c r="B18531" s="9"/>
      <c r="C18531" s="9"/>
      <c r="D18531" s="9"/>
      <c r="E18531" s="9"/>
      <c r="F18531" s="9"/>
      <c r="G18531" s="9"/>
      <c r="H18531" s="9"/>
      <c r="I18531" s="9"/>
      <c r="J18531" s="9"/>
      <c r="K18531" s="9"/>
      <c r="L18531" s="9"/>
      <c r="M18531" s="9"/>
      <c r="N18531" s="9"/>
      <c r="O18531" s="9"/>
      <c r="P18531" s="9"/>
      <c r="Q18531" s="9"/>
      <c r="R18531" s="9"/>
      <c r="S18531" s="9"/>
      <c r="T18531" s="9"/>
      <c r="U18531" s="9"/>
      <c r="V18531" s="9"/>
      <c r="W18531" s="9"/>
      <c r="X18531" s="9"/>
      <c r="Y18531" s="9"/>
      <c r="Z18531" s="9"/>
      <c r="AA18531" s="9"/>
      <c r="AB18531" s="9"/>
      <c r="AC18531" s="9"/>
      <c r="AD18531" s="9"/>
      <c r="AE18531" s="9"/>
      <c r="AF18531" s="9"/>
      <c r="AG18531" s="10"/>
    </row>
    <row r="18532" spans="1:33">
      <c r="A18532" s="9"/>
      <c r="B18532" s="9"/>
      <c r="C18532" s="9"/>
      <c r="D18532" s="9"/>
      <c r="E18532" s="9"/>
      <c r="F18532" s="9"/>
      <c r="G18532" s="9"/>
      <c r="H18532" s="9"/>
      <c r="I18532" s="9"/>
      <c r="J18532" s="9"/>
      <c r="K18532" s="9"/>
      <c r="L18532" s="9"/>
      <c r="M18532" s="9"/>
      <c r="N18532" s="9"/>
      <c r="O18532" s="9"/>
      <c r="P18532" s="9"/>
      <c r="Q18532" s="9"/>
      <c r="R18532" s="9"/>
      <c r="S18532" s="9"/>
      <c r="T18532" s="9"/>
      <c r="U18532" s="9"/>
      <c r="V18532" s="9"/>
      <c r="W18532" s="9"/>
      <c r="X18532" s="9"/>
      <c r="Y18532" s="9"/>
      <c r="Z18532" s="9"/>
      <c r="AA18532" s="9"/>
      <c r="AB18532" s="9"/>
      <c r="AC18532" s="9"/>
      <c r="AD18532" s="9"/>
      <c r="AE18532" s="9"/>
      <c r="AF18532" s="9"/>
      <c r="AG18532" s="10"/>
    </row>
    <row r="18533" spans="1:33">
      <c r="A18533" s="9"/>
      <c r="B18533" s="9"/>
      <c r="C18533" s="9"/>
      <c r="D18533" s="9"/>
      <c r="E18533" s="9"/>
      <c r="F18533" s="9"/>
      <c r="G18533" s="9"/>
      <c r="H18533" s="9"/>
      <c r="I18533" s="9"/>
      <c r="J18533" s="9"/>
      <c r="K18533" s="9"/>
      <c r="L18533" s="9"/>
      <c r="M18533" s="9"/>
      <c r="N18533" s="9"/>
      <c r="O18533" s="9"/>
      <c r="P18533" s="9"/>
      <c r="Q18533" s="9"/>
      <c r="R18533" s="9"/>
      <c r="S18533" s="9"/>
      <c r="T18533" s="9"/>
      <c r="U18533" s="9"/>
      <c r="V18533" s="9"/>
      <c r="W18533" s="9"/>
      <c r="X18533" s="9"/>
      <c r="Y18533" s="9"/>
      <c r="Z18533" s="9"/>
      <c r="AA18533" s="9"/>
      <c r="AB18533" s="9"/>
      <c r="AC18533" s="9"/>
      <c r="AD18533" s="9"/>
      <c r="AE18533" s="9"/>
      <c r="AF18533" s="9"/>
      <c r="AG18533" s="10"/>
    </row>
    <row r="18534" spans="1:33">
      <c r="A18534" s="9"/>
      <c r="B18534" s="9"/>
      <c r="C18534" s="9"/>
      <c r="D18534" s="9"/>
      <c r="E18534" s="9"/>
      <c r="F18534" s="9"/>
      <c r="G18534" s="9"/>
      <c r="H18534" s="9"/>
      <c r="I18534" s="9"/>
      <c r="J18534" s="9"/>
      <c r="K18534" s="9"/>
      <c r="L18534" s="9"/>
      <c r="M18534" s="9"/>
      <c r="N18534" s="9"/>
      <c r="O18534" s="9"/>
      <c r="P18534" s="9"/>
      <c r="Q18534" s="9"/>
      <c r="R18534" s="9"/>
      <c r="S18534" s="9"/>
      <c r="T18534" s="9"/>
      <c r="U18534" s="9"/>
      <c r="V18534" s="9"/>
      <c r="W18534" s="9"/>
      <c r="X18534" s="9"/>
      <c r="Y18534" s="9"/>
      <c r="Z18534" s="9"/>
      <c r="AA18534" s="9"/>
      <c r="AB18534" s="9"/>
      <c r="AC18534" s="9"/>
      <c r="AD18534" s="9"/>
      <c r="AE18534" s="9"/>
      <c r="AF18534" s="9"/>
      <c r="AG18534" s="10"/>
    </row>
    <row r="18535" spans="1:33">
      <c r="A18535" s="9"/>
      <c r="B18535" s="9"/>
      <c r="C18535" s="9"/>
      <c r="D18535" s="9"/>
      <c r="E18535" s="9"/>
      <c r="F18535" s="9"/>
      <c r="G18535" s="9"/>
      <c r="H18535" s="9"/>
      <c r="I18535" s="9"/>
      <c r="J18535" s="9"/>
      <c r="K18535" s="9"/>
      <c r="L18535" s="9"/>
      <c r="M18535" s="9"/>
      <c r="N18535" s="9"/>
      <c r="O18535" s="9"/>
      <c r="P18535" s="9"/>
      <c r="Q18535" s="9"/>
      <c r="R18535" s="9"/>
      <c r="S18535" s="9"/>
      <c r="T18535" s="9"/>
      <c r="U18535" s="9"/>
      <c r="V18535" s="9"/>
      <c r="W18535" s="9"/>
      <c r="X18535" s="9"/>
      <c r="Y18535" s="9"/>
      <c r="Z18535" s="9"/>
      <c r="AA18535" s="9"/>
      <c r="AB18535" s="9"/>
      <c r="AC18535" s="9"/>
      <c r="AD18535" s="9"/>
      <c r="AE18535" s="9"/>
      <c r="AF18535" s="9"/>
      <c r="AG18535" s="10"/>
    </row>
    <row r="18536" spans="1:33">
      <c r="A18536" s="9"/>
      <c r="B18536" s="9"/>
      <c r="C18536" s="9"/>
      <c r="D18536" s="9"/>
      <c r="E18536" s="9"/>
      <c r="F18536" s="9"/>
      <c r="G18536" s="9"/>
      <c r="H18536" s="9"/>
      <c r="I18536" s="9"/>
      <c r="J18536" s="9"/>
      <c r="K18536" s="9"/>
      <c r="L18536" s="9"/>
      <c r="M18536" s="9"/>
      <c r="N18536" s="9"/>
      <c r="O18536" s="9"/>
      <c r="P18536" s="9"/>
      <c r="Q18536" s="9"/>
      <c r="R18536" s="9"/>
      <c r="S18536" s="9"/>
      <c r="T18536" s="9"/>
      <c r="U18536" s="9"/>
      <c r="V18536" s="9"/>
      <c r="W18536" s="9"/>
      <c r="X18536" s="9"/>
      <c r="Y18536" s="9"/>
      <c r="Z18536" s="9"/>
      <c r="AA18536" s="9"/>
      <c r="AB18536" s="9"/>
      <c r="AC18536" s="9"/>
      <c r="AD18536" s="9"/>
      <c r="AE18536" s="9"/>
      <c r="AF18536" s="9"/>
      <c r="AG18536" s="10"/>
    </row>
    <row r="18537" spans="1:33">
      <c r="A18537" s="9"/>
      <c r="B18537" s="9"/>
      <c r="C18537" s="9"/>
      <c r="D18537" s="9"/>
      <c r="E18537" s="9"/>
      <c r="F18537" s="9"/>
      <c r="G18537" s="9"/>
      <c r="H18537" s="9"/>
      <c r="I18537" s="9"/>
      <c r="J18537" s="9"/>
      <c r="K18537" s="9"/>
      <c r="L18537" s="9"/>
      <c r="M18537" s="9"/>
      <c r="N18537" s="9"/>
      <c r="O18537" s="9"/>
      <c r="P18537" s="9"/>
      <c r="Q18537" s="9"/>
      <c r="R18537" s="9"/>
      <c r="S18537" s="9"/>
      <c r="T18537" s="9"/>
      <c r="U18537" s="9"/>
      <c r="V18537" s="9"/>
      <c r="W18537" s="9"/>
      <c r="X18537" s="9"/>
      <c r="Y18537" s="9"/>
      <c r="Z18537" s="9"/>
      <c r="AA18537" s="9"/>
      <c r="AB18537" s="9"/>
      <c r="AC18537" s="9"/>
      <c r="AD18537" s="9"/>
      <c r="AE18537" s="9"/>
      <c r="AF18537" s="9"/>
      <c r="AG18537" s="10"/>
    </row>
    <row r="18538" spans="1:33">
      <c r="A18538" s="9"/>
      <c r="B18538" s="9"/>
      <c r="C18538" s="9"/>
      <c r="D18538" s="9"/>
      <c r="E18538" s="9"/>
      <c r="F18538" s="9"/>
      <c r="G18538" s="9"/>
      <c r="H18538" s="9"/>
      <c r="I18538" s="9"/>
      <c r="J18538" s="9"/>
      <c r="K18538" s="9"/>
      <c r="L18538" s="9"/>
      <c r="M18538" s="9"/>
      <c r="N18538" s="9"/>
      <c r="O18538" s="9"/>
      <c r="P18538" s="9"/>
      <c r="Q18538" s="9"/>
      <c r="R18538" s="9"/>
      <c r="S18538" s="9"/>
      <c r="T18538" s="9"/>
      <c r="U18538" s="9"/>
      <c r="V18538" s="9"/>
      <c r="W18538" s="9"/>
      <c r="X18538" s="9"/>
      <c r="Y18538" s="9"/>
      <c r="Z18538" s="9"/>
      <c r="AA18538" s="9"/>
      <c r="AB18538" s="9"/>
      <c r="AC18538" s="9"/>
      <c r="AD18538" s="9"/>
      <c r="AE18538" s="9"/>
      <c r="AF18538" s="9"/>
      <c r="AG18538" s="10"/>
    </row>
    <row r="18539" spans="1:33">
      <c r="A18539" s="9"/>
      <c r="B18539" s="9"/>
      <c r="C18539" s="9"/>
      <c r="D18539" s="9"/>
      <c r="E18539" s="9"/>
      <c r="F18539" s="9"/>
      <c r="G18539" s="9"/>
      <c r="H18539" s="9"/>
      <c r="I18539" s="9"/>
      <c r="J18539" s="9"/>
      <c r="K18539" s="9"/>
      <c r="L18539" s="9"/>
      <c r="M18539" s="9"/>
      <c r="N18539" s="9"/>
      <c r="O18539" s="9"/>
      <c r="P18539" s="9"/>
      <c r="Q18539" s="9"/>
      <c r="R18539" s="9"/>
      <c r="S18539" s="9"/>
      <c r="T18539" s="9"/>
      <c r="U18539" s="9"/>
      <c r="V18539" s="9"/>
      <c r="W18539" s="9"/>
      <c r="X18539" s="9"/>
      <c r="Y18539" s="9"/>
      <c r="Z18539" s="9"/>
      <c r="AA18539" s="9"/>
      <c r="AB18539" s="9"/>
      <c r="AC18539" s="9"/>
      <c r="AD18539" s="9"/>
      <c r="AE18539" s="9"/>
      <c r="AF18539" s="9"/>
      <c r="AG18539" s="10"/>
    </row>
    <row r="18540" spans="1:33">
      <c r="A18540" s="9"/>
      <c r="B18540" s="9"/>
      <c r="C18540" s="9"/>
      <c r="D18540" s="9"/>
      <c r="E18540" s="9"/>
      <c r="F18540" s="9"/>
      <c r="G18540" s="9"/>
      <c r="H18540" s="9"/>
      <c r="I18540" s="9"/>
      <c r="J18540" s="9"/>
      <c r="K18540" s="9"/>
      <c r="L18540" s="9"/>
      <c r="M18540" s="9"/>
      <c r="N18540" s="9"/>
      <c r="O18540" s="9"/>
      <c r="P18540" s="9"/>
      <c r="Q18540" s="9"/>
      <c r="R18540" s="9"/>
      <c r="S18540" s="9"/>
      <c r="T18540" s="9"/>
      <c r="U18540" s="9"/>
      <c r="V18540" s="9"/>
      <c r="W18540" s="9"/>
      <c r="X18540" s="9"/>
      <c r="Y18540" s="9"/>
      <c r="Z18540" s="9"/>
      <c r="AA18540" s="9"/>
      <c r="AB18540" s="9"/>
      <c r="AC18540" s="9"/>
      <c r="AD18540" s="9"/>
      <c r="AE18540" s="9"/>
      <c r="AF18540" s="9"/>
      <c r="AG18540" s="10"/>
    </row>
    <row r="18541" spans="1:33">
      <c r="A18541" s="9"/>
      <c r="B18541" s="9"/>
      <c r="C18541" s="9"/>
      <c r="D18541" s="9"/>
      <c r="E18541" s="9"/>
      <c r="F18541" s="9"/>
      <c r="G18541" s="9"/>
      <c r="H18541" s="9"/>
      <c r="I18541" s="9"/>
      <c r="J18541" s="9"/>
      <c r="K18541" s="9"/>
      <c r="L18541" s="9"/>
      <c r="M18541" s="9"/>
      <c r="N18541" s="9"/>
      <c r="O18541" s="9"/>
      <c r="P18541" s="9"/>
      <c r="Q18541" s="9"/>
      <c r="R18541" s="9"/>
      <c r="S18541" s="9"/>
      <c r="T18541" s="9"/>
      <c r="U18541" s="9"/>
      <c r="V18541" s="9"/>
      <c r="W18541" s="9"/>
      <c r="X18541" s="9"/>
      <c r="Y18541" s="9"/>
      <c r="Z18541" s="9"/>
      <c r="AA18541" s="9"/>
      <c r="AB18541" s="9"/>
      <c r="AC18541" s="9"/>
      <c r="AD18541" s="9"/>
      <c r="AE18541" s="9"/>
      <c r="AF18541" s="9"/>
      <c r="AG18541" s="10"/>
    </row>
    <row r="18542" spans="1:33">
      <c r="A18542" s="9"/>
      <c r="B18542" s="9"/>
      <c r="C18542" s="9"/>
      <c r="D18542" s="9"/>
      <c r="E18542" s="9"/>
      <c r="F18542" s="9"/>
      <c r="G18542" s="9"/>
      <c r="H18542" s="9"/>
      <c r="I18542" s="9"/>
      <c r="J18542" s="9"/>
      <c r="K18542" s="9"/>
      <c r="L18542" s="9"/>
      <c r="M18542" s="9"/>
      <c r="N18542" s="9"/>
      <c r="O18542" s="9"/>
      <c r="P18542" s="9"/>
      <c r="Q18542" s="9"/>
      <c r="R18542" s="9"/>
      <c r="S18542" s="9"/>
      <c r="T18542" s="9"/>
      <c r="U18542" s="9"/>
      <c r="V18542" s="9"/>
      <c r="W18542" s="9"/>
      <c r="X18542" s="9"/>
      <c r="Y18542" s="9"/>
      <c r="Z18542" s="9"/>
      <c r="AA18542" s="9"/>
      <c r="AB18542" s="9"/>
      <c r="AC18542" s="9"/>
      <c r="AD18542" s="9"/>
      <c r="AE18542" s="9"/>
      <c r="AF18542" s="9"/>
      <c r="AG18542" s="10"/>
    </row>
    <row r="18543" spans="1:33">
      <c r="A18543" s="9"/>
      <c r="B18543" s="9"/>
      <c r="C18543" s="9"/>
      <c r="D18543" s="9"/>
      <c r="E18543" s="9"/>
      <c r="F18543" s="9"/>
      <c r="G18543" s="9"/>
      <c r="H18543" s="9"/>
      <c r="I18543" s="9"/>
      <c r="J18543" s="9"/>
      <c r="K18543" s="9"/>
      <c r="L18543" s="9"/>
      <c r="M18543" s="9"/>
      <c r="N18543" s="9"/>
      <c r="O18543" s="9"/>
      <c r="P18543" s="9"/>
      <c r="Q18543" s="9"/>
      <c r="R18543" s="9"/>
      <c r="S18543" s="9"/>
      <c r="T18543" s="9"/>
      <c r="U18543" s="9"/>
      <c r="V18543" s="9"/>
      <c r="W18543" s="9"/>
      <c r="X18543" s="9"/>
      <c r="Y18543" s="9"/>
      <c r="Z18543" s="9"/>
      <c r="AA18543" s="9"/>
      <c r="AB18543" s="9"/>
      <c r="AC18543" s="9"/>
      <c r="AD18543" s="9"/>
      <c r="AE18543" s="9"/>
      <c r="AF18543" s="9"/>
      <c r="AG18543" s="10"/>
    </row>
    <row r="18544" spans="1:33">
      <c r="A18544" s="9"/>
      <c r="B18544" s="9"/>
      <c r="C18544" s="9"/>
      <c r="D18544" s="9"/>
      <c r="E18544" s="9"/>
      <c r="F18544" s="9"/>
      <c r="G18544" s="9"/>
      <c r="H18544" s="9"/>
      <c r="I18544" s="9"/>
      <c r="J18544" s="9"/>
      <c r="K18544" s="9"/>
      <c r="L18544" s="9"/>
      <c r="M18544" s="9"/>
      <c r="N18544" s="9"/>
      <c r="O18544" s="9"/>
      <c r="P18544" s="9"/>
      <c r="Q18544" s="9"/>
      <c r="R18544" s="9"/>
      <c r="S18544" s="9"/>
      <c r="T18544" s="9"/>
      <c r="U18544" s="9"/>
      <c r="V18544" s="9"/>
      <c r="W18544" s="9"/>
      <c r="X18544" s="9"/>
      <c r="Y18544" s="9"/>
      <c r="Z18544" s="9"/>
      <c r="AA18544" s="9"/>
      <c r="AB18544" s="9"/>
      <c r="AC18544" s="9"/>
      <c r="AD18544" s="9"/>
      <c r="AE18544" s="9"/>
      <c r="AF18544" s="9"/>
      <c r="AG18544" s="10"/>
    </row>
    <row r="18545" spans="1:33">
      <c r="A18545" s="9"/>
      <c r="B18545" s="9"/>
      <c r="C18545" s="9"/>
      <c r="D18545" s="9"/>
      <c r="E18545" s="9"/>
      <c r="F18545" s="9"/>
      <c r="G18545" s="9"/>
      <c r="H18545" s="9"/>
      <c r="I18545" s="9"/>
      <c r="J18545" s="9"/>
      <c r="K18545" s="9"/>
      <c r="L18545" s="9"/>
      <c r="M18545" s="9"/>
      <c r="N18545" s="9"/>
      <c r="O18545" s="9"/>
      <c r="P18545" s="9"/>
      <c r="Q18545" s="9"/>
      <c r="R18545" s="9"/>
      <c r="S18545" s="9"/>
      <c r="T18545" s="9"/>
      <c r="U18545" s="9"/>
      <c r="V18545" s="9"/>
      <c r="W18545" s="9"/>
      <c r="X18545" s="9"/>
      <c r="Y18545" s="9"/>
      <c r="Z18545" s="9"/>
      <c r="AA18545" s="9"/>
      <c r="AB18545" s="9"/>
      <c r="AC18545" s="9"/>
      <c r="AD18545" s="9"/>
      <c r="AE18545" s="9"/>
      <c r="AF18545" s="9"/>
      <c r="AG18545" s="10"/>
    </row>
    <row r="18546" spans="1:33">
      <c r="A18546" s="9"/>
      <c r="B18546" s="9"/>
      <c r="C18546" s="9"/>
      <c r="D18546" s="9"/>
      <c r="E18546" s="9"/>
      <c r="F18546" s="9"/>
      <c r="G18546" s="9"/>
      <c r="H18546" s="9"/>
      <c r="I18546" s="9"/>
      <c r="J18546" s="9"/>
      <c r="K18546" s="9"/>
      <c r="L18546" s="9"/>
      <c r="M18546" s="9"/>
      <c r="N18546" s="9"/>
      <c r="O18546" s="9"/>
      <c r="P18546" s="9"/>
      <c r="Q18546" s="9"/>
      <c r="R18546" s="9"/>
      <c r="S18546" s="9"/>
      <c r="T18546" s="9"/>
      <c r="U18546" s="9"/>
      <c r="V18546" s="9"/>
      <c r="W18546" s="9"/>
      <c r="X18546" s="9"/>
      <c r="Y18546" s="9"/>
      <c r="Z18546" s="9"/>
      <c r="AA18546" s="9"/>
      <c r="AB18546" s="9"/>
      <c r="AC18546" s="9"/>
      <c r="AD18546" s="9"/>
      <c r="AE18546" s="9"/>
      <c r="AF18546" s="9"/>
      <c r="AG18546" s="10"/>
    </row>
    <row r="18547" spans="1:33">
      <c r="A18547" s="9"/>
      <c r="B18547" s="9"/>
      <c r="C18547" s="9"/>
      <c r="D18547" s="9"/>
      <c r="E18547" s="9"/>
      <c r="F18547" s="9"/>
      <c r="G18547" s="9"/>
      <c r="H18547" s="9"/>
      <c r="I18547" s="9"/>
      <c r="J18547" s="9"/>
      <c r="K18547" s="9"/>
      <c r="L18547" s="9"/>
      <c r="M18547" s="9"/>
      <c r="N18547" s="9"/>
      <c r="O18547" s="9"/>
      <c r="P18547" s="9"/>
      <c r="Q18547" s="9"/>
      <c r="R18547" s="9"/>
      <c r="S18547" s="9"/>
      <c r="T18547" s="9"/>
      <c r="U18547" s="9"/>
      <c r="V18547" s="9"/>
      <c r="W18547" s="9"/>
      <c r="X18547" s="9"/>
      <c r="Y18547" s="9"/>
      <c r="Z18547" s="9"/>
      <c r="AA18547" s="9"/>
      <c r="AB18547" s="9"/>
      <c r="AC18547" s="9"/>
      <c r="AD18547" s="9"/>
      <c r="AE18547" s="9"/>
      <c r="AF18547" s="9"/>
      <c r="AG18547" s="10"/>
    </row>
    <row r="18548" spans="1:33">
      <c r="A18548" s="9"/>
      <c r="B18548" s="9"/>
      <c r="C18548" s="9"/>
      <c r="D18548" s="9"/>
      <c r="E18548" s="9"/>
      <c r="F18548" s="9"/>
      <c r="G18548" s="9"/>
      <c r="H18548" s="9"/>
      <c r="I18548" s="9"/>
      <c r="J18548" s="9"/>
      <c r="K18548" s="9"/>
      <c r="L18548" s="9"/>
      <c r="M18548" s="9"/>
      <c r="N18548" s="9"/>
      <c r="O18548" s="9"/>
      <c r="P18548" s="9"/>
      <c r="Q18548" s="9"/>
      <c r="R18548" s="9"/>
      <c r="S18548" s="9"/>
      <c r="T18548" s="9"/>
      <c r="U18548" s="9"/>
      <c r="V18548" s="9"/>
      <c r="W18548" s="9"/>
      <c r="X18548" s="9"/>
      <c r="Y18548" s="9"/>
      <c r="Z18548" s="9"/>
      <c r="AA18548" s="9"/>
      <c r="AB18548" s="9"/>
      <c r="AC18548" s="9"/>
      <c r="AD18548" s="9"/>
      <c r="AE18548" s="9"/>
      <c r="AF18548" s="9"/>
      <c r="AG18548" s="10"/>
    </row>
    <row r="18549" spans="1:33">
      <c r="A18549" s="9"/>
      <c r="B18549" s="9"/>
      <c r="C18549" s="9"/>
      <c r="D18549" s="9"/>
      <c r="E18549" s="9"/>
      <c r="F18549" s="9"/>
      <c r="G18549" s="9"/>
      <c r="H18549" s="9"/>
      <c r="I18549" s="9"/>
      <c r="J18549" s="9"/>
      <c r="K18549" s="9"/>
      <c r="L18549" s="9"/>
      <c r="M18549" s="9"/>
      <c r="N18549" s="9"/>
      <c r="O18549" s="9"/>
      <c r="P18549" s="9"/>
      <c r="Q18549" s="9"/>
      <c r="R18549" s="9"/>
      <c r="S18549" s="9"/>
      <c r="T18549" s="9"/>
      <c r="U18549" s="9"/>
      <c r="V18549" s="9"/>
      <c r="W18549" s="9"/>
      <c r="X18549" s="9"/>
      <c r="Y18549" s="9"/>
      <c r="Z18549" s="9"/>
      <c r="AA18549" s="9"/>
      <c r="AB18549" s="9"/>
      <c r="AC18549" s="9"/>
      <c r="AD18549" s="9"/>
      <c r="AE18549" s="9"/>
      <c r="AF18549" s="9"/>
      <c r="AG18549" s="10"/>
    </row>
    <row r="18550" spans="1:33">
      <c r="A18550" s="9"/>
      <c r="B18550" s="9"/>
      <c r="C18550" s="9"/>
      <c r="D18550" s="9"/>
      <c r="E18550" s="9"/>
      <c r="F18550" s="9"/>
      <c r="G18550" s="9"/>
      <c r="H18550" s="9"/>
      <c r="I18550" s="9"/>
      <c r="J18550" s="9"/>
      <c r="K18550" s="9"/>
      <c r="L18550" s="9"/>
      <c r="M18550" s="9"/>
      <c r="N18550" s="9"/>
      <c r="O18550" s="9"/>
      <c r="P18550" s="9"/>
      <c r="Q18550" s="9"/>
      <c r="R18550" s="9"/>
      <c r="S18550" s="9"/>
      <c r="T18550" s="9"/>
      <c r="U18550" s="9"/>
      <c r="V18550" s="9"/>
      <c r="W18550" s="9"/>
      <c r="X18550" s="9"/>
      <c r="Y18550" s="9"/>
      <c r="Z18550" s="9"/>
      <c r="AA18550" s="9"/>
      <c r="AB18550" s="9"/>
      <c r="AC18550" s="9"/>
      <c r="AD18550" s="9"/>
      <c r="AE18550" s="9"/>
      <c r="AF18550" s="9"/>
      <c r="AG18550" s="10"/>
    </row>
    <row r="18551" spans="1:33">
      <c r="A18551" s="9"/>
      <c r="B18551" s="9"/>
      <c r="C18551" s="9"/>
      <c r="D18551" s="9"/>
      <c r="E18551" s="9"/>
      <c r="F18551" s="9"/>
      <c r="G18551" s="9"/>
      <c r="H18551" s="9"/>
      <c r="I18551" s="9"/>
      <c r="J18551" s="9"/>
      <c r="K18551" s="9"/>
      <c r="L18551" s="9"/>
      <c r="M18551" s="9"/>
      <c r="N18551" s="9"/>
      <c r="O18551" s="9"/>
      <c r="P18551" s="9"/>
      <c r="Q18551" s="9"/>
      <c r="R18551" s="9"/>
      <c r="S18551" s="9"/>
      <c r="T18551" s="9"/>
      <c r="U18551" s="9"/>
      <c r="V18551" s="9"/>
      <c r="W18551" s="9"/>
      <c r="X18551" s="9"/>
      <c r="Y18551" s="9"/>
      <c r="Z18551" s="9"/>
      <c r="AA18551" s="9"/>
      <c r="AB18551" s="9"/>
      <c r="AC18551" s="9"/>
      <c r="AD18551" s="9"/>
      <c r="AE18551" s="9"/>
      <c r="AF18551" s="9"/>
      <c r="AG18551" s="10"/>
    </row>
    <row r="18552" spans="1:33">
      <c r="A18552" s="9"/>
      <c r="B18552" s="9"/>
      <c r="C18552" s="9"/>
      <c r="D18552" s="9"/>
      <c r="E18552" s="9"/>
      <c r="F18552" s="9"/>
      <c r="G18552" s="9"/>
      <c r="H18552" s="9"/>
      <c r="I18552" s="9"/>
      <c r="J18552" s="9"/>
      <c r="K18552" s="9"/>
      <c r="L18552" s="9"/>
      <c r="M18552" s="9"/>
      <c r="N18552" s="9"/>
      <c r="O18552" s="9"/>
      <c r="P18552" s="9"/>
      <c r="Q18552" s="9"/>
      <c r="R18552" s="9"/>
      <c r="S18552" s="9"/>
      <c r="T18552" s="9"/>
      <c r="U18552" s="9"/>
      <c r="V18552" s="9"/>
      <c r="W18552" s="9"/>
      <c r="X18552" s="9"/>
      <c r="Y18552" s="9"/>
      <c r="Z18552" s="9"/>
      <c r="AA18552" s="9"/>
      <c r="AB18552" s="9"/>
      <c r="AC18552" s="9"/>
      <c r="AD18552" s="9"/>
      <c r="AE18552" s="9"/>
      <c r="AF18552" s="9"/>
      <c r="AG18552" s="10"/>
    </row>
    <row r="18553" spans="1:33">
      <c r="A18553" s="9"/>
      <c r="B18553" s="9"/>
      <c r="C18553" s="9"/>
      <c r="D18553" s="9"/>
      <c r="E18553" s="9"/>
      <c r="F18553" s="9"/>
      <c r="G18553" s="9"/>
      <c r="H18553" s="9"/>
      <c r="I18553" s="9"/>
      <c r="J18553" s="9"/>
      <c r="K18553" s="9"/>
      <c r="L18553" s="9"/>
      <c r="M18553" s="9"/>
      <c r="N18553" s="9"/>
      <c r="O18553" s="9"/>
      <c r="P18553" s="9"/>
      <c r="Q18553" s="9"/>
      <c r="R18553" s="9"/>
      <c r="S18553" s="9"/>
      <c r="T18553" s="9"/>
      <c r="U18553" s="9"/>
      <c r="V18553" s="9"/>
      <c r="W18553" s="9"/>
      <c r="X18553" s="9"/>
      <c r="Y18553" s="9"/>
      <c r="Z18553" s="9"/>
      <c r="AA18553" s="9"/>
      <c r="AB18553" s="9"/>
      <c r="AC18553" s="9"/>
      <c r="AD18553" s="9"/>
      <c r="AE18553" s="9"/>
      <c r="AF18553" s="9"/>
      <c r="AG18553" s="10"/>
    </row>
    <row r="18554" spans="1:33">
      <c r="A18554" s="9"/>
      <c r="B18554" s="9"/>
      <c r="C18554" s="9"/>
      <c r="D18554" s="9"/>
      <c r="E18554" s="9"/>
      <c r="F18554" s="9"/>
      <c r="G18554" s="9"/>
      <c r="H18554" s="9"/>
      <c r="I18554" s="9"/>
      <c r="J18554" s="9"/>
      <c r="K18554" s="9"/>
      <c r="L18554" s="9"/>
      <c r="M18554" s="9"/>
      <c r="N18554" s="9"/>
      <c r="O18554" s="9"/>
      <c r="P18554" s="9"/>
      <c r="Q18554" s="9"/>
      <c r="R18554" s="9"/>
      <c r="S18554" s="9"/>
      <c r="T18554" s="9"/>
      <c r="U18554" s="9"/>
      <c r="V18554" s="9"/>
      <c r="W18554" s="9"/>
      <c r="X18554" s="9"/>
      <c r="Y18554" s="9"/>
      <c r="Z18554" s="9"/>
      <c r="AA18554" s="9"/>
      <c r="AB18554" s="9"/>
      <c r="AC18554" s="9"/>
      <c r="AD18554" s="9"/>
      <c r="AE18554" s="9"/>
      <c r="AF18554" s="9"/>
      <c r="AG18554" s="10"/>
    </row>
    <row r="18555" spans="1:33">
      <c r="A18555" s="9"/>
      <c r="B18555" s="9"/>
      <c r="C18555" s="9"/>
      <c r="D18555" s="9"/>
      <c r="E18555" s="9"/>
      <c r="F18555" s="9"/>
      <c r="G18555" s="9"/>
      <c r="H18555" s="9"/>
      <c r="I18555" s="9"/>
      <c r="J18555" s="9"/>
      <c r="K18555" s="9"/>
      <c r="L18555" s="9"/>
      <c r="M18555" s="9"/>
      <c r="N18555" s="9"/>
      <c r="O18555" s="9"/>
      <c r="P18555" s="9"/>
      <c r="Q18555" s="9"/>
      <c r="R18555" s="9"/>
      <c r="S18555" s="9"/>
      <c r="T18555" s="9"/>
      <c r="U18555" s="9"/>
      <c r="V18555" s="9"/>
      <c r="W18555" s="9"/>
      <c r="X18555" s="9"/>
      <c r="Y18555" s="9"/>
      <c r="Z18555" s="9"/>
      <c r="AA18555" s="9"/>
      <c r="AB18555" s="9"/>
      <c r="AC18555" s="9"/>
      <c r="AD18555" s="9"/>
      <c r="AE18555" s="9"/>
      <c r="AF18555" s="9"/>
      <c r="AG18555" s="10"/>
    </row>
    <row r="18556" spans="1:33">
      <c r="A18556" s="9"/>
      <c r="B18556" s="9"/>
      <c r="C18556" s="9"/>
      <c r="D18556" s="9"/>
      <c r="E18556" s="9"/>
      <c r="F18556" s="9"/>
      <c r="G18556" s="9"/>
      <c r="H18556" s="9"/>
      <c r="I18556" s="9"/>
      <c r="J18556" s="9"/>
      <c r="K18556" s="9"/>
      <c r="L18556" s="9"/>
      <c r="M18556" s="9"/>
      <c r="N18556" s="9"/>
      <c r="O18556" s="9"/>
      <c r="P18556" s="9"/>
      <c r="Q18556" s="9"/>
      <c r="R18556" s="9"/>
      <c r="S18556" s="9"/>
      <c r="T18556" s="9"/>
      <c r="U18556" s="9"/>
      <c r="V18556" s="9"/>
      <c r="W18556" s="9"/>
      <c r="X18556" s="9"/>
      <c r="Y18556" s="9"/>
      <c r="Z18556" s="9"/>
      <c r="AA18556" s="9"/>
      <c r="AB18556" s="9"/>
      <c r="AC18556" s="9"/>
      <c r="AD18556" s="9"/>
      <c r="AE18556" s="9"/>
      <c r="AF18556" s="9"/>
      <c r="AG18556" s="10"/>
    </row>
    <row r="18557" spans="1:33">
      <c r="A18557" s="9"/>
      <c r="B18557" s="9"/>
      <c r="C18557" s="9"/>
      <c r="D18557" s="9"/>
      <c r="E18557" s="9"/>
      <c r="F18557" s="9"/>
      <c r="G18557" s="9"/>
      <c r="H18557" s="9"/>
      <c r="I18557" s="9"/>
      <c r="J18557" s="9"/>
      <c r="K18557" s="9"/>
      <c r="L18557" s="9"/>
      <c r="M18557" s="9"/>
      <c r="N18557" s="9"/>
      <c r="O18557" s="9"/>
      <c r="P18557" s="9"/>
      <c r="Q18557" s="9"/>
      <c r="R18557" s="9"/>
      <c r="S18557" s="9"/>
      <c r="T18557" s="9"/>
      <c r="U18557" s="9"/>
      <c r="V18557" s="9"/>
      <c r="W18557" s="9"/>
      <c r="X18557" s="9"/>
      <c r="Y18557" s="9"/>
      <c r="Z18557" s="9"/>
      <c r="AA18557" s="9"/>
      <c r="AB18557" s="9"/>
      <c r="AC18557" s="9"/>
      <c r="AD18557" s="9"/>
      <c r="AE18557" s="9"/>
      <c r="AF18557" s="9"/>
      <c r="AG18557" s="10"/>
    </row>
    <row r="18558" spans="1:33">
      <c r="A18558" s="9"/>
      <c r="B18558" s="9"/>
      <c r="C18558" s="9"/>
      <c r="D18558" s="9"/>
      <c r="E18558" s="9"/>
      <c r="F18558" s="9"/>
      <c r="G18558" s="9"/>
      <c r="H18558" s="9"/>
      <c r="I18558" s="9"/>
      <c r="J18558" s="9"/>
      <c r="K18558" s="9"/>
      <c r="L18558" s="9"/>
      <c r="M18558" s="9"/>
      <c r="N18558" s="9"/>
      <c r="O18558" s="9"/>
      <c r="P18558" s="9"/>
      <c r="Q18558" s="9"/>
      <c r="R18558" s="9"/>
      <c r="S18558" s="9"/>
      <c r="T18558" s="9"/>
      <c r="U18558" s="9"/>
      <c r="V18558" s="9"/>
      <c r="W18558" s="9"/>
      <c r="X18558" s="9"/>
      <c r="Y18558" s="9"/>
      <c r="Z18558" s="9"/>
      <c r="AA18558" s="9"/>
      <c r="AB18558" s="9"/>
      <c r="AC18558" s="9"/>
      <c r="AD18558" s="9"/>
      <c r="AE18558" s="9"/>
      <c r="AF18558" s="9"/>
      <c r="AG18558" s="10"/>
    </row>
    <row r="18559" spans="1:33">
      <c r="A18559" s="9"/>
      <c r="B18559" s="9"/>
      <c r="C18559" s="9"/>
      <c r="D18559" s="9"/>
      <c r="E18559" s="9"/>
      <c r="F18559" s="9"/>
      <c r="G18559" s="9"/>
      <c r="H18559" s="9"/>
      <c r="I18559" s="9"/>
      <c r="J18559" s="9"/>
      <c r="K18559" s="9"/>
      <c r="L18559" s="9"/>
      <c r="M18559" s="9"/>
      <c r="N18559" s="9"/>
      <c r="O18559" s="9"/>
      <c r="P18559" s="9"/>
      <c r="Q18559" s="9"/>
      <c r="R18559" s="9"/>
      <c r="S18559" s="9"/>
      <c r="T18559" s="9"/>
      <c r="U18559" s="9"/>
      <c r="V18559" s="9"/>
      <c r="W18559" s="9"/>
      <c r="X18559" s="9"/>
      <c r="Y18559" s="9"/>
      <c r="Z18559" s="9"/>
      <c r="AA18559" s="9"/>
      <c r="AB18559" s="9"/>
      <c r="AC18559" s="9"/>
      <c r="AD18559" s="9"/>
      <c r="AE18559" s="9"/>
      <c r="AF18559" s="9"/>
      <c r="AG18559" s="10"/>
    </row>
    <row r="18560" spans="1:33">
      <c r="A18560" s="9"/>
      <c r="B18560" s="9"/>
      <c r="C18560" s="9"/>
      <c r="D18560" s="9"/>
      <c r="E18560" s="9"/>
      <c r="F18560" s="9"/>
      <c r="G18560" s="9"/>
      <c r="H18560" s="9"/>
      <c r="I18560" s="9"/>
      <c r="J18560" s="9"/>
      <c r="K18560" s="9"/>
      <c r="L18560" s="9"/>
      <c r="M18560" s="9"/>
      <c r="N18560" s="9"/>
      <c r="O18560" s="9"/>
      <c r="P18560" s="9"/>
      <c r="Q18560" s="9"/>
      <c r="R18560" s="9"/>
      <c r="S18560" s="9"/>
      <c r="T18560" s="9"/>
      <c r="U18560" s="9"/>
      <c r="V18560" s="9"/>
      <c r="W18560" s="9"/>
      <c r="X18560" s="9"/>
      <c r="Y18560" s="9"/>
      <c r="Z18560" s="9"/>
      <c r="AA18560" s="9"/>
      <c r="AB18560" s="9"/>
      <c r="AC18560" s="9"/>
      <c r="AD18560" s="9"/>
      <c r="AE18560" s="9"/>
      <c r="AF18560" s="9"/>
      <c r="AG18560" s="10"/>
    </row>
    <row r="18561" spans="1:33">
      <c r="A18561" s="9"/>
      <c r="B18561" s="9"/>
      <c r="C18561" s="9"/>
      <c r="D18561" s="9"/>
      <c r="E18561" s="9"/>
      <c r="F18561" s="9"/>
      <c r="G18561" s="9"/>
      <c r="H18561" s="9"/>
      <c r="I18561" s="9"/>
      <c r="J18561" s="9"/>
      <c r="K18561" s="9"/>
      <c r="L18561" s="9"/>
      <c r="M18561" s="9"/>
      <c r="N18561" s="9"/>
      <c r="O18561" s="9"/>
      <c r="P18561" s="9"/>
      <c r="Q18561" s="9"/>
      <c r="R18561" s="9"/>
      <c r="S18561" s="9"/>
      <c r="T18561" s="9"/>
      <c r="U18561" s="9"/>
      <c r="V18561" s="9"/>
      <c r="W18561" s="9"/>
      <c r="X18561" s="9"/>
      <c r="Y18561" s="9"/>
      <c r="Z18561" s="9"/>
      <c r="AA18561" s="9"/>
      <c r="AB18561" s="9"/>
      <c r="AC18561" s="9"/>
      <c r="AD18561" s="9"/>
      <c r="AE18561" s="9"/>
      <c r="AF18561" s="9"/>
      <c r="AG18561" s="10"/>
    </row>
    <row r="18562" spans="1:33">
      <c r="A18562" s="9"/>
      <c r="B18562" s="9"/>
      <c r="C18562" s="9"/>
      <c r="D18562" s="9"/>
      <c r="E18562" s="9"/>
      <c r="F18562" s="9"/>
      <c r="G18562" s="9"/>
      <c r="H18562" s="9"/>
      <c r="I18562" s="9"/>
      <c r="J18562" s="9"/>
      <c r="K18562" s="9"/>
      <c r="L18562" s="9"/>
      <c r="M18562" s="9"/>
      <c r="N18562" s="9"/>
      <c r="O18562" s="9"/>
      <c r="P18562" s="9"/>
      <c r="Q18562" s="9"/>
      <c r="R18562" s="9"/>
      <c r="S18562" s="9"/>
      <c r="T18562" s="9"/>
      <c r="U18562" s="9"/>
      <c r="V18562" s="9"/>
      <c r="W18562" s="9"/>
      <c r="X18562" s="9"/>
      <c r="Y18562" s="9"/>
      <c r="Z18562" s="9"/>
      <c r="AA18562" s="9"/>
      <c r="AB18562" s="9"/>
      <c r="AC18562" s="9"/>
      <c r="AD18562" s="9"/>
      <c r="AE18562" s="9"/>
      <c r="AF18562" s="9"/>
      <c r="AG18562" s="10"/>
    </row>
    <row r="18563" spans="1:33">
      <c r="A18563" s="9"/>
      <c r="B18563" s="9"/>
      <c r="C18563" s="9"/>
      <c r="D18563" s="9"/>
      <c r="E18563" s="9"/>
      <c r="F18563" s="9"/>
      <c r="G18563" s="9"/>
      <c r="H18563" s="9"/>
      <c r="I18563" s="9"/>
      <c r="J18563" s="9"/>
      <c r="K18563" s="9"/>
      <c r="L18563" s="9"/>
      <c r="M18563" s="9"/>
      <c r="N18563" s="9"/>
      <c r="O18563" s="9"/>
      <c r="P18563" s="9"/>
      <c r="Q18563" s="9"/>
      <c r="R18563" s="9"/>
      <c r="S18563" s="9"/>
      <c r="T18563" s="9"/>
      <c r="U18563" s="9"/>
      <c r="V18563" s="9"/>
      <c r="W18563" s="9"/>
      <c r="X18563" s="9"/>
      <c r="Y18563" s="9"/>
      <c r="Z18563" s="9"/>
      <c r="AA18563" s="9"/>
      <c r="AB18563" s="9"/>
      <c r="AC18563" s="9"/>
      <c r="AD18563" s="9"/>
      <c r="AE18563" s="9"/>
      <c r="AF18563" s="9"/>
      <c r="AG18563" s="10"/>
    </row>
    <row r="18564" spans="1:33">
      <c r="A18564" s="9"/>
      <c r="B18564" s="9"/>
      <c r="C18564" s="9"/>
      <c r="D18564" s="9"/>
      <c r="E18564" s="9"/>
      <c r="F18564" s="9"/>
      <c r="G18564" s="9"/>
      <c r="H18564" s="9"/>
      <c r="I18564" s="9"/>
      <c r="J18564" s="9"/>
      <c r="K18564" s="9"/>
      <c r="L18564" s="9"/>
      <c r="M18564" s="9"/>
      <c r="N18564" s="9"/>
      <c r="O18564" s="9"/>
      <c r="P18564" s="9"/>
      <c r="Q18564" s="9"/>
      <c r="R18564" s="9"/>
      <c r="S18564" s="9"/>
      <c r="T18564" s="9"/>
      <c r="U18564" s="9"/>
      <c r="V18564" s="9"/>
      <c r="W18564" s="9"/>
      <c r="X18564" s="9"/>
      <c r="Y18564" s="9"/>
      <c r="Z18564" s="9"/>
      <c r="AA18564" s="9"/>
      <c r="AB18564" s="9"/>
      <c r="AC18564" s="9"/>
      <c r="AD18564" s="9"/>
      <c r="AE18564" s="9"/>
      <c r="AF18564" s="9"/>
      <c r="AG18564" s="10"/>
    </row>
    <row r="18565" spans="1:33">
      <c r="A18565" s="9"/>
      <c r="B18565" s="9"/>
      <c r="C18565" s="9"/>
      <c r="D18565" s="9"/>
      <c r="E18565" s="9"/>
      <c r="F18565" s="9"/>
      <c r="G18565" s="9"/>
      <c r="H18565" s="9"/>
      <c r="I18565" s="9"/>
      <c r="J18565" s="9"/>
      <c r="K18565" s="9"/>
      <c r="L18565" s="9"/>
      <c r="M18565" s="9"/>
      <c r="N18565" s="9"/>
      <c r="O18565" s="9"/>
      <c r="P18565" s="9"/>
      <c r="Q18565" s="9"/>
      <c r="R18565" s="9"/>
      <c r="S18565" s="9"/>
      <c r="T18565" s="9"/>
      <c r="U18565" s="9"/>
      <c r="V18565" s="9"/>
      <c r="W18565" s="9"/>
      <c r="X18565" s="9"/>
      <c r="Y18565" s="9"/>
      <c r="Z18565" s="9"/>
      <c r="AA18565" s="9"/>
      <c r="AB18565" s="9"/>
      <c r="AC18565" s="9"/>
      <c r="AD18565" s="9"/>
      <c r="AE18565" s="9"/>
      <c r="AF18565" s="9"/>
      <c r="AG18565" s="10"/>
    </row>
    <row r="18566" spans="1:33">
      <c r="A18566" s="9"/>
      <c r="B18566" s="9"/>
      <c r="C18566" s="9"/>
      <c r="D18566" s="9"/>
      <c r="E18566" s="9"/>
      <c r="F18566" s="9"/>
      <c r="G18566" s="9"/>
      <c r="H18566" s="9"/>
      <c r="I18566" s="9"/>
      <c r="J18566" s="9"/>
      <c r="K18566" s="9"/>
      <c r="L18566" s="9"/>
      <c r="M18566" s="9"/>
      <c r="N18566" s="9"/>
      <c r="O18566" s="9"/>
      <c r="P18566" s="9"/>
      <c r="Q18566" s="9"/>
      <c r="R18566" s="9"/>
      <c r="S18566" s="9"/>
      <c r="T18566" s="9"/>
      <c r="U18566" s="9"/>
      <c r="V18566" s="9"/>
      <c r="W18566" s="9"/>
      <c r="X18566" s="9"/>
      <c r="Y18566" s="9"/>
      <c r="Z18566" s="9"/>
      <c r="AA18566" s="9"/>
      <c r="AB18566" s="9"/>
      <c r="AC18566" s="9"/>
      <c r="AD18566" s="9"/>
      <c r="AE18566" s="9"/>
      <c r="AF18566" s="9"/>
      <c r="AG18566" s="10"/>
    </row>
    <row r="18567" spans="1:33">
      <c r="A18567" s="9"/>
      <c r="B18567" s="9"/>
      <c r="C18567" s="9"/>
      <c r="D18567" s="9"/>
      <c r="E18567" s="9"/>
      <c r="F18567" s="9"/>
      <c r="G18567" s="9"/>
      <c r="H18567" s="9"/>
      <c r="I18567" s="9"/>
      <c r="J18567" s="9"/>
      <c r="K18567" s="9"/>
      <c r="L18567" s="9"/>
      <c r="M18567" s="9"/>
      <c r="N18567" s="9"/>
      <c r="O18567" s="9"/>
      <c r="P18567" s="9"/>
      <c r="Q18567" s="9"/>
      <c r="R18567" s="9"/>
      <c r="S18567" s="9"/>
      <c r="T18567" s="9"/>
      <c r="U18567" s="9"/>
      <c r="V18567" s="9"/>
      <c r="W18567" s="9"/>
      <c r="X18567" s="9"/>
      <c r="Y18567" s="9"/>
      <c r="Z18567" s="9"/>
      <c r="AA18567" s="9"/>
      <c r="AB18567" s="9"/>
      <c r="AC18567" s="9"/>
      <c r="AD18567" s="9"/>
      <c r="AE18567" s="9"/>
      <c r="AF18567" s="9"/>
      <c r="AG18567" s="10"/>
    </row>
    <row r="18568" spans="1:33">
      <c r="A18568" s="9"/>
      <c r="B18568" s="9"/>
      <c r="C18568" s="9"/>
      <c r="D18568" s="9"/>
      <c r="E18568" s="9"/>
      <c r="F18568" s="9"/>
      <c r="G18568" s="9"/>
      <c r="H18568" s="9"/>
      <c r="I18568" s="9"/>
      <c r="J18568" s="9"/>
      <c r="K18568" s="9"/>
      <c r="L18568" s="9"/>
      <c r="M18568" s="9"/>
      <c r="N18568" s="9"/>
      <c r="O18568" s="9"/>
      <c r="P18568" s="9"/>
      <c r="Q18568" s="9"/>
      <c r="R18568" s="9"/>
      <c r="S18568" s="9"/>
      <c r="T18568" s="9"/>
      <c r="U18568" s="9"/>
      <c r="V18568" s="9"/>
      <c r="W18568" s="9"/>
      <c r="X18568" s="9"/>
      <c r="Y18568" s="9"/>
      <c r="Z18568" s="9"/>
      <c r="AA18568" s="9"/>
      <c r="AB18568" s="9"/>
      <c r="AC18568" s="9"/>
      <c r="AD18568" s="9"/>
      <c r="AE18568" s="9"/>
      <c r="AF18568" s="9"/>
      <c r="AG18568" s="10"/>
    </row>
    <row r="18569" spans="1:33">
      <c r="A18569" s="9"/>
      <c r="B18569" s="9"/>
      <c r="C18569" s="9"/>
      <c r="D18569" s="9"/>
      <c r="E18569" s="9"/>
      <c r="F18569" s="9"/>
      <c r="G18569" s="9"/>
      <c r="H18569" s="9"/>
      <c r="I18569" s="9"/>
      <c r="J18569" s="9"/>
      <c r="K18569" s="9"/>
      <c r="L18569" s="9"/>
      <c r="M18569" s="9"/>
      <c r="N18569" s="9"/>
      <c r="O18569" s="9"/>
      <c r="P18569" s="9"/>
      <c r="Q18569" s="9"/>
      <c r="R18569" s="9"/>
      <c r="S18569" s="9"/>
      <c r="T18569" s="9"/>
      <c r="U18569" s="9"/>
      <c r="V18569" s="9"/>
      <c r="W18569" s="9"/>
      <c r="X18569" s="9"/>
      <c r="Y18569" s="9"/>
      <c r="Z18569" s="9"/>
      <c r="AA18569" s="9"/>
      <c r="AB18569" s="9"/>
      <c r="AC18569" s="9"/>
      <c r="AD18569" s="9"/>
      <c r="AE18569" s="9"/>
      <c r="AF18569" s="9"/>
      <c r="AG18569" s="10"/>
    </row>
    <row r="18570" spans="1:33">
      <c r="A18570" s="9"/>
      <c r="B18570" s="9"/>
      <c r="C18570" s="9"/>
      <c r="D18570" s="9"/>
      <c r="E18570" s="9"/>
      <c r="F18570" s="9"/>
      <c r="G18570" s="9"/>
      <c r="H18570" s="9"/>
      <c r="I18570" s="9"/>
      <c r="J18570" s="9"/>
      <c r="K18570" s="9"/>
      <c r="L18570" s="9"/>
      <c r="M18570" s="9"/>
      <c r="N18570" s="9"/>
      <c r="O18570" s="9"/>
      <c r="P18570" s="9"/>
      <c r="Q18570" s="9"/>
      <c r="R18570" s="9"/>
      <c r="S18570" s="9"/>
      <c r="T18570" s="9"/>
      <c r="U18570" s="9"/>
      <c r="V18570" s="9"/>
      <c r="W18570" s="9"/>
      <c r="X18570" s="9"/>
      <c r="Y18570" s="9"/>
      <c r="Z18570" s="9"/>
      <c r="AA18570" s="9"/>
      <c r="AB18570" s="9"/>
      <c r="AC18570" s="9"/>
      <c r="AD18570" s="9"/>
      <c r="AE18570" s="9"/>
      <c r="AF18570" s="9"/>
      <c r="AG18570" s="10"/>
    </row>
    <row r="18571" spans="1:33">
      <c r="A18571" s="9"/>
      <c r="B18571" s="9"/>
      <c r="C18571" s="9"/>
      <c r="D18571" s="9"/>
      <c r="E18571" s="9"/>
      <c r="F18571" s="9"/>
      <c r="G18571" s="9"/>
      <c r="H18571" s="9"/>
      <c r="I18571" s="9"/>
      <c r="J18571" s="9"/>
      <c r="K18571" s="9"/>
      <c r="L18571" s="9"/>
      <c r="M18571" s="9"/>
      <c r="N18571" s="9"/>
      <c r="O18571" s="9"/>
      <c r="P18571" s="9"/>
      <c r="Q18571" s="9"/>
      <c r="R18571" s="9"/>
      <c r="S18571" s="9"/>
      <c r="T18571" s="9"/>
      <c r="U18571" s="9"/>
      <c r="V18571" s="9"/>
      <c r="W18571" s="9"/>
      <c r="X18571" s="9"/>
      <c r="Y18571" s="9"/>
      <c r="Z18571" s="9"/>
      <c r="AA18571" s="9"/>
      <c r="AB18571" s="9"/>
      <c r="AC18571" s="9"/>
      <c r="AD18571" s="9"/>
      <c r="AE18571" s="9"/>
      <c r="AF18571" s="9"/>
      <c r="AG18571" s="10"/>
    </row>
    <row r="18572" spans="1:33">
      <c r="A18572" s="9"/>
      <c r="B18572" s="9"/>
      <c r="C18572" s="9"/>
      <c r="D18572" s="9"/>
      <c r="E18572" s="9"/>
      <c r="F18572" s="9"/>
      <c r="G18572" s="9"/>
      <c r="H18572" s="9"/>
      <c r="I18572" s="9"/>
      <c r="J18572" s="9"/>
      <c r="K18572" s="9"/>
      <c r="L18572" s="9"/>
      <c r="M18572" s="9"/>
      <c r="N18572" s="9"/>
      <c r="O18572" s="9"/>
      <c r="P18572" s="9"/>
      <c r="Q18572" s="9"/>
      <c r="R18572" s="9"/>
      <c r="S18572" s="9"/>
      <c r="T18572" s="9"/>
      <c r="U18572" s="9"/>
      <c r="V18572" s="9"/>
      <c r="W18572" s="9"/>
      <c r="X18572" s="9"/>
      <c r="Y18572" s="9"/>
      <c r="Z18572" s="9"/>
      <c r="AA18572" s="9"/>
      <c r="AB18572" s="9"/>
      <c r="AC18572" s="9"/>
      <c r="AD18572" s="9"/>
      <c r="AE18572" s="9"/>
      <c r="AF18572" s="9"/>
      <c r="AG18572" s="10"/>
    </row>
    <row r="18573" spans="1:33">
      <c r="A18573" s="9"/>
      <c r="B18573" s="9"/>
      <c r="C18573" s="9"/>
      <c r="D18573" s="9"/>
      <c r="E18573" s="9"/>
      <c r="F18573" s="9"/>
      <c r="G18573" s="9"/>
      <c r="H18573" s="9"/>
      <c r="I18573" s="9"/>
      <c r="J18573" s="9"/>
      <c r="K18573" s="9"/>
      <c r="L18573" s="9"/>
      <c r="M18573" s="9"/>
      <c r="N18573" s="9"/>
      <c r="O18573" s="9"/>
      <c r="P18573" s="9"/>
      <c r="Q18573" s="9"/>
      <c r="R18573" s="9"/>
      <c r="S18573" s="9"/>
      <c r="T18573" s="9"/>
      <c r="U18573" s="9"/>
      <c r="V18573" s="9"/>
      <c r="W18573" s="9"/>
      <c r="X18573" s="9"/>
      <c r="Y18573" s="9"/>
      <c r="Z18573" s="9"/>
      <c r="AA18573" s="9"/>
      <c r="AB18573" s="9"/>
      <c r="AC18573" s="9"/>
      <c r="AD18573" s="9"/>
      <c r="AE18573" s="9"/>
      <c r="AF18573" s="9"/>
      <c r="AG18573" s="10"/>
    </row>
    <row r="18574" spans="1:33">
      <c r="A18574" s="9"/>
      <c r="B18574" s="9"/>
      <c r="C18574" s="9"/>
      <c r="D18574" s="9"/>
      <c r="E18574" s="9"/>
      <c r="F18574" s="9"/>
      <c r="G18574" s="9"/>
      <c r="H18574" s="9"/>
      <c r="I18574" s="9"/>
      <c r="J18574" s="9"/>
      <c r="K18574" s="9"/>
      <c r="L18574" s="9"/>
      <c r="M18574" s="9"/>
      <c r="N18574" s="9"/>
      <c r="O18574" s="9"/>
      <c r="P18574" s="9"/>
      <c r="Q18574" s="9"/>
      <c r="R18574" s="9"/>
      <c r="S18574" s="9"/>
      <c r="T18574" s="9"/>
      <c r="U18574" s="9"/>
      <c r="V18574" s="9"/>
      <c r="W18574" s="9"/>
      <c r="X18574" s="9"/>
      <c r="Y18574" s="9"/>
      <c r="Z18574" s="9"/>
      <c r="AA18574" s="9"/>
      <c r="AB18574" s="9"/>
      <c r="AC18574" s="9"/>
      <c r="AD18574" s="9"/>
      <c r="AE18574" s="9"/>
      <c r="AF18574" s="9"/>
      <c r="AG18574" s="10"/>
    </row>
    <row r="18575" spans="1:33">
      <c r="A18575" s="9"/>
      <c r="B18575" s="9"/>
      <c r="C18575" s="9"/>
      <c r="D18575" s="9"/>
      <c r="E18575" s="9"/>
      <c r="F18575" s="9"/>
      <c r="G18575" s="9"/>
      <c r="H18575" s="9"/>
      <c r="I18575" s="9"/>
      <c r="J18575" s="9"/>
      <c r="K18575" s="9"/>
      <c r="L18575" s="9"/>
      <c r="M18575" s="9"/>
      <c r="N18575" s="9"/>
      <c r="O18575" s="9"/>
      <c r="P18575" s="9"/>
      <c r="Q18575" s="9"/>
      <c r="R18575" s="9"/>
      <c r="S18575" s="9"/>
      <c r="T18575" s="9"/>
      <c r="U18575" s="9"/>
      <c r="V18575" s="9"/>
      <c r="W18575" s="9"/>
      <c r="X18575" s="9"/>
      <c r="Y18575" s="9"/>
      <c r="Z18575" s="9"/>
      <c r="AA18575" s="9"/>
      <c r="AB18575" s="9"/>
      <c r="AC18575" s="9"/>
      <c r="AD18575" s="9"/>
      <c r="AE18575" s="9"/>
      <c r="AF18575" s="9"/>
      <c r="AG18575" s="10"/>
    </row>
    <row r="18576" spans="1:33">
      <c r="A18576" s="9"/>
      <c r="B18576" s="9"/>
      <c r="C18576" s="9"/>
      <c r="D18576" s="9"/>
      <c r="E18576" s="9"/>
      <c r="F18576" s="9"/>
      <c r="G18576" s="9"/>
      <c r="H18576" s="9"/>
      <c r="I18576" s="9"/>
      <c r="J18576" s="9"/>
      <c r="K18576" s="9"/>
      <c r="L18576" s="9"/>
      <c r="M18576" s="9"/>
      <c r="N18576" s="9"/>
      <c r="O18576" s="9"/>
      <c r="P18576" s="9"/>
      <c r="Q18576" s="9"/>
      <c r="R18576" s="9"/>
      <c r="S18576" s="9"/>
      <c r="T18576" s="9"/>
      <c r="U18576" s="9"/>
      <c r="V18576" s="9"/>
      <c r="W18576" s="9"/>
      <c r="X18576" s="9"/>
      <c r="Y18576" s="9"/>
      <c r="Z18576" s="9"/>
      <c r="AA18576" s="9"/>
      <c r="AB18576" s="9"/>
      <c r="AC18576" s="9"/>
      <c r="AD18576" s="9"/>
      <c r="AE18576" s="9"/>
      <c r="AF18576" s="9"/>
      <c r="AG18576" s="10"/>
    </row>
    <row r="18577" spans="1:33">
      <c r="A18577" s="9"/>
      <c r="B18577" s="9"/>
      <c r="C18577" s="9"/>
      <c r="D18577" s="9"/>
      <c r="E18577" s="9"/>
      <c r="F18577" s="9"/>
      <c r="G18577" s="9"/>
      <c r="H18577" s="9"/>
      <c r="I18577" s="9"/>
      <c r="J18577" s="9"/>
      <c r="K18577" s="9"/>
      <c r="L18577" s="9"/>
      <c r="M18577" s="9"/>
      <c r="N18577" s="9"/>
      <c r="O18577" s="9"/>
      <c r="P18577" s="9"/>
      <c r="Q18577" s="9"/>
      <c r="R18577" s="9"/>
      <c r="S18577" s="9"/>
      <c r="T18577" s="9"/>
      <c r="U18577" s="9"/>
      <c r="V18577" s="9"/>
      <c r="W18577" s="9"/>
      <c r="X18577" s="9"/>
      <c r="Y18577" s="9"/>
      <c r="Z18577" s="9"/>
      <c r="AA18577" s="9"/>
      <c r="AB18577" s="9"/>
      <c r="AC18577" s="9"/>
      <c r="AD18577" s="9"/>
      <c r="AE18577" s="9"/>
      <c r="AF18577" s="9"/>
      <c r="AG18577" s="10"/>
    </row>
    <row r="18578" spans="1:33">
      <c r="A18578" s="9"/>
      <c r="B18578" s="9"/>
      <c r="C18578" s="9"/>
      <c r="D18578" s="9"/>
      <c r="E18578" s="9"/>
      <c r="F18578" s="9"/>
      <c r="G18578" s="9"/>
      <c r="H18578" s="9"/>
      <c r="I18578" s="9"/>
      <c r="J18578" s="9"/>
      <c r="K18578" s="9"/>
      <c r="L18578" s="9"/>
      <c r="M18578" s="9"/>
      <c r="N18578" s="9"/>
      <c r="O18578" s="9"/>
      <c r="P18578" s="9"/>
      <c r="Q18578" s="9"/>
      <c r="R18578" s="9"/>
      <c r="S18578" s="9"/>
      <c r="T18578" s="9"/>
      <c r="U18578" s="9"/>
      <c r="V18578" s="9"/>
      <c r="W18578" s="9"/>
      <c r="X18578" s="9"/>
      <c r="Y18578" s="9"/>
      <c r="Z18578" s="9"/>
      <c r="AA18578" s="9"/>
      <c r="AB18578" s="9"/>
      <c r="AC18578" s="9"/>
      <c r="AD18578" s="9"/>
      <c r="AE18578" s="9"/>
      <c r="AF18578" s="9"/>
      <c r="AG18578" s="10"/>
    </row>
    <row r="18579" spans="1:33">
      <c r="A18579" s="9"/>
      <c r="B18579" s="9"/>
      <c r="C18579" s="9"/>
      <c r="D18579" s="9"/>
      <c r="E18579" s="9"/>
      <c r="F18579" s="9"/>
      <c r="G18579" s="9"/>
      <c r="H18579" s="9"/>
      <c r="I18579" s="9"/>
      <c r="J18579" s="9"/>
      <c r="K18579" s="9"/>
      <c r="L18579" s="9"/>
      <c r="M18579" s="9"/>
      <c r="N18579" s="9"/>
      <c r="O18579" s="9"/>
      <c r="P18579" s="9"/>
      <c r="Q18579" s="9"/>
      <c r="R18579" s="9"/>
      <c r="S18579" s="9"/>
      <c r="T18579" s="9"/>
      <c r="U18579" s="9"/>
      <c r="V18579" s="9"/>
      <c r="W18579" s="9"/>
      <c r="X18579" s="9"/>
      <c r="Y18579" s="9"/>
      <c r="Z18579" s="9"/>
      <c r="AA18579" s="9"/>
      <c r="AB18579" s="9"/>
      <c r="AC18579" s="9"/>
      <c r="AD18579" s="9"/>
      <c r="AE18579" s="9"/>
      <c r="AF18579" s="9"/>
      <c r="AG18579" s="10"/>
    </row>
    <row r="18580" spans="1:33">
      <c r="A18580" s="9"/>
      <c r="B18580" s="9"/>
      <c r="C18580" s="9"/>
      <c r="D18580" s="9"/>
      <c r="E18580" s="9"/>
      <c r="F18580" s="9"/>
      <c r="G18580" s="9"/>
      <c r="H18580" s="9"/>
      <c r="I18580" s="9"/>
      <c r="J18580" s="9"/>
      <c r="K18580" s="9"/>
      <c r="L18580" s="9"/>
      <c r="M18580" s="9"/>
      <c r="N18580" s="9"/>
      <c r="O18580" s="9"/>
      <c r="P18580" s="9"/>
      <c r="Q18580" s="9"/>
      <c r="R18580" s="9"/>
      <c r="S18580" s="9"/>
      <c r="T18580" s="9"/>
      <c r="U18580" s="9"/>
      <c r="V18580" s="9"/>
      <c r="W18580" s="9"/>
      <c r="X18580" s="9"/>
      <c r="Y18580" s="9"/>
      <c r="Z18580" s="9"/>
      <c r="AA18580" s="9"/>
      <c r="AB18580" s="9"/>
      <c r="AC18580" s="9"/>
      <c r="AD18580" s="9"/>
      <c r="AE18580" s="9"/>
      <c r="AF18580" s="9"/>
      <c r="AG18580" s="10"/>
    </row>
    <row r="18581" spans="1:33">
      <c r="A18581" s="9"/>
      <c r="B18581" s="9"/>
      <c r="C18581" s="9"/>
      <c r="D18581" s="9"/>
      <c r="E18581" s="9"/>
      <c r="F18581" s="9"/>
      <c r="G18581" s="9"/>
      <c r="H18581" s="9"/>
      <c r="I18581" s="9"/>
      <c r="J18581" s="9"/>
      <c r="K18581" s="9"/>
      <c r="L18581" s="9"/>
      <c r="M18581" s="9"/>
      <c r="N18581" s="9"/>
      <c r="O18581" s="9"/>
      <c r="P18581" s="9"/>
      <c r="Q18581" s="9"/>
      <c r="R18581" s="9"/>
      <c r="S18581" s="9"/>
      <c r="T18581" s="9"/>
      <c r="U18581" s="9"/>
      <c r="V18581" s="9"/>
      <c r="W18581" s="9"/>
      <c r="X18581" s="9"/>
      <c r="Y18581" s="9"/>
      <c r="Z18581" s="9"/>
      <c r="AA18581" s="9"/>
      <c r="AB18581" s="9"/>
      <c r="AC18581" s="9"/>
      <c r="AD18581" s="9"/>
      <c r="AE18581" s="9"/>
      <c r="AF18581" s="9"/>
      <c r="AG18581" s="10"/>
    </row>
    <row r="18582" spans="1:33">
      <c r="A18582" s="9"/>
      <c r="B18582" s="9"/>
      <c r="C18582" s="9"/>
      <c r="D18582" s="9"/>
      <c r="E18582" s="9"/>
      <c r="F18582" s="9"/>
      <c r="G18582" s="9"/>
      <c r="H18582" s="9"/>
      <c r="I18582" s="9"/>
      <c r="J18582" s="9"/>
      <c r="K18582" s="9"/>
      <c r="L18582" s="9"/>
      <c r="M18582" s="9"/>
      <c r="N18582" s="9"/>
      <c r="O18582" s="9"/>
      <c r="P18582" s="9"/>
      <c r="Q18582" s="9"/>
      <c r="R18582" s="9"/>
      <c r="S18582" s="9"/>
      <c r="T18582" s="9"/>
      <c r="U18582" s="9"/>
      <c r="V18582" s="9"/>
      <c r="W18582" s="9"/>
      <c r="X18582" s="9"/>
      <c r="Y18582" s="9"/>
      <c r="Z18582" s="9"/>
      <c r="AA18582" s="9"/>
      <c r="AB18582" s="9"/>
      <c r="AC18582" s="9"/>
      <c r="AD18582" s="9"/>
      <c r="AE18582" s="9"/>
      <c r="AF18582" s="9"/>
      <c r="AG18582" s="10"/>
    </row>
    <row r="18583" spans="1:33">
      <c r="A18583" s="9"/>
      <c r="B18583" s="9"/>
      <c r="C18583" s="9"/>
      <c r="D18583" s="9"/>
      <c r="E18583" s="9"/>
      <c r="F18583" s="9"/>
      <c r="G18583" s="9"/>
      <c r="H18583" s="9"/>
      <c r="I18583" s="9"/>
      <c r="J18583" s="9"/>
      <c r="K18583" s="9"/>
      <c r="L18583" s="9"/>
      <c r="M18583" s="9"/>
      <c r="N18583" s="9"/>
      <c r="O18583" s="9"/>
      <c r="P18583" s="9"/>
      <c r="Q18583" s="9"/>
      <c r="R18583" s="9"/>
      <c r="S18583" s="9"/>
      <c r="T18583" s="9"/>
      <c r="U18583" s="9"/>
      <c r="V18583" s="9"/>
      <c r="W18583" s="9"/>
      <c r="X18583" s="9"/>
      <c r="Y18583" s="9"/>
      <c r="Z18583" s="9"/>
      <c r="AA18583" s="9"/>
      <c r="AB18583" s="9"/>
      <c r="AC18583" s="9"/>
      <c r="AD18583" s="9"/>
      <c r="AE18583" s="9"/>
      <c r="AF18583" s="9"/>
      <c r="AG18583" s="10"/>
    </row>
    <row r="18584" spans="1:33">
      <c r="A18584" s="9"/>
      <c r="B18584" s="9"/>
      <c r="C18584" s="9"/>
      <c r="D18584" s="9"/>
      <c r="E18584" s="9"/>
      <c r="F18584" s="9"/>
      <c r="G18584" s="9"/>
      <c r="H18584" s="9"/>
      <c r="I18584" s="9"/>
      <c r="J18584" s="9"/>
      <c r="K18584" s="9"/>
      <c r="L18584" s="9"/>
      <c r="M18584" s="9"/>
      <c r="N18584" s="9"/>
      <c r="O18584" s="9"/>
      <c r="P18584" s="9"/>
      <c r="Q18584" s="9"/>
      <c r="R18584" s="9"/>
      <c r="S18584" s="9"/>
      <c r="T18584" s="9"/>
      <c r="U18584" s="9"/>
      <c r="V18584" s="9"/>
      <c r="W18584" s="9"/>
      <c r="X18584" s="9"/>
      <c r="Y18584" s="9"/>
      <c r="Z18584" s="9"/>
      <c r="AA18584" s="9"/>
      <c r="AB18584" s="9"/>
      <c r="AC18584" s="9"/>
      <c r="AD18584" s="9"/>
      <c r="AE18584" s="9"/>
      <c r="AF18584" s="9"/>
      <c r="AG18584" s="10"/>
    </row>
    <row r="18585" spans="1:33">
      <c r="A18585" s="9"/>
      <c r="B18585" s="9"/>
      <c r="C18585" s="9"/>
      <c r="D18585" s="9"/>
      <c r="E18585" s="9"/>
      <c r="F18585" s="9"/>
      <c r="G18585" s="9"/>
      <c r="H18585" s="9"/>
      <c r="I18585" s="9"/>
      <c r="J18585" s="9"/>
      <c r="K18585" s="9"/>
      <c r="L18585" s="9"/>
      <c r="M18585" s="9"/>
      <c r="N18585" s="9"/>
      <c r="O18585" s="9"/>
      <c r="P18585" s="9"/>
      <c r="Q18585" s="9"/>
      <c r="R18585" s="9"/>
      <c r="S18585" s="9"/>
      <c r="T18585" s="9"/>
      <c r="U18585" s="9"/>
      <c r="V18585" s="9"/>
      <c r="W18585" s="9"/>
      <c r="X18585" s="9"/>
      <c r="Y18585" s="9"/>
      <c r="Z18585" s="9"/>
      <c r="AA18585" s="9"/>
      <c r="AB18585" s="9"/>
      <c r="AC18585" s="9"/>
      <c r="AD18585" s="9"/>
      <c r="AE18585" s="9"/>
      <c r="AF18585" s="9"/>
      <c r="AG18585" s="10"/>
    </row>
    <row r="18586" spans="1:33">
      <c r="A18586" s="9"/>
      <c r="B18586" s="9"/>
      <c r="C18586" s="9"/>
      <c r="D18586" s="9"/>
      <c r="E18586" s="9"/>
      <c r="F18586" s="9"/>
      <c r="G18586" s="9"/>
      <c r="H18586" s="9"/>
      <c r="I18586" s="9"/>
      <c r="J18586" s="9"/>
      <c r="K18586" s="9"/>
      <c r="L18586" s="9"/>
      <c r="M18586" s="9"/>
      <c r="N18586" s="9"/>
      <c r="O18586" s="9"/>
      <c r="P18586" s="9"/>
      <c r="Q18586" s="9"/>
      <c r="R18586" s="9"/>
      <c r="S18586" s="9"/>
      <c r="T18586" s="9"/>
      <c r="U18586" s="9"/>
      <c r="V18586" s="9"/>
      <c r="W18586" s="9"/>
      <c r="X18586" s="9"/>
      <c r="Y18586" s="9"/>
      <c r="Z18586" s="9"/>
      <c r="AA18586" s="9"/>
      <c r="AB18586" s="9"/>
      <c r="AC18586" s="9"/>
      <c r="AD18586" s="9"/>
      <c r="AE18586" s="9"/>
      <c r="AF18586" s="9"/>
      <c r="AG18586" s="10"/>
    </row>
    <row r="18587" spans="1:33">
      <c r="A18587" s="9"/>
      <c r="B18587" s="9"/>
      <c r="C18587" s="9"/>
      <c r="D18587" s="9"/>
      <c r="E18587" s="9"/>
      <c r="F18587" s="9"/>
      <c r="G18587" s="9"/>
      <c r="H18587" s="9"/>
      <c r="I18587" s="9"/>
      <c r="J18587" s="9"/>
      <c r="K18587" s="9"/>
      <c r="L18587" s="9"/>
      <c r="M18587" s="9"/>
      <c r="N18587" s="9"/>
      <c r="O18587" s="9"/>
      <c r="P18587" s="9"/>
      <c r="Q18587" s="9"/>
      <c r="R18587" s="9"/>
      <c r="S18587" s="9"/>
      <c r="T18587" s="9"/>
      <c r="U18587" s="9"/>
      <c r="V18587" s="9"/>
      <c r="W18587" s="9"/>
      <c r="X18587" s="9"/>
      <c r="Y18587" s="9"/>
      <c r="Z18587" s="9"/>
      <c r="AA18587" s="9"/>
      <c r="AB18587" s="9"/>
      <c r="AC18587" s="9"/>
      <c r="AD18587" s="9"/>
      <c r="AE18587" s="9"/>
      <c r="AF18587" s="9"/>
      <c r="AG18587" s="10"/>
    </row>
    <row r="18588" spans="1:33">
      <c r="A18588" s="9"/>
      <c r="B18588" s="9"/>
      <c r="C18588" s="9"/>
      <c r="D18588" s="9"/>
      <c r="E18588" s="9"/>
      <c r="F18588" s="9"/>
      <c r="G18588" s="9"/>
      <c r="H18588" s="9"/>
      <c r="I18588" s="9"/>
      <c r="J18588" s="9"/>
      <c r="K18588" s="9"/>
      <c r="L18588" s="9"/>
      <c r="M18588" s="9"/>
      <c r="N18588" s="9"/>
      <c r="O18588" s="9"/>
      <c r="P18588" s="9"/>
      <c r="Q18588" s="9"/>
      <c r="R18588" s="9"/>
      <c r="S18588" s="9"/>
      <c r="T18588" s="9"/>
      <c r="U18588" s="9"/>
      <c r="V18588" s="9"/>
      <c r="W18588" s="9"/>
      <c r="X18588" s="9"/>
      <c r="Y18588" s="9"/>
      <c r="Z18588" s="9"/>
      <c r="AA18588" s="9"/>
      <c r="AB18588" s="9"/>
      <c r="AC18588" s="9"/>
      <c r="AD18588" s="9"/>
      <c r="AE18588" s="9"/>
      <c r="AF18588" s="9"/>
      <c r="AG18588" s="10"/>
    </row>
    <row r="18589" spans="1:33">
      <c r="A18589" s="9"/>
      <c r="B18589" s="9"/>
      <c r="C18589" s="9"/>
      <c r="D18589" s="9"/>
      <c r="E18589" s="9"/>
      <c r="F18589" s="9"/>
      <c r="G18589" s="9"/>
      <c r="H18589" s="9"/>
      <c r="I18589" s="9"/>
      <c r="J18589" s="9"/>
      <c r="K18589" s="9"/>
      <c r="L18589" s="9"/>
      <c r="M18589" s="9"/>
      <c r="N18589" s="9"/>
      <c r="O18589" s="9"/>
      <c r="P18589" s="9"/>
      <c r="Q18589" s="9"/>
      <c r="R18589" s="9"/>
      <c r="S18589" s="9"/>
      <c r="T18589" s="9"/>
      <c r="U18589" s="9"/>
      <c r="V18589" s="9"/>
      <c r="W18589" s="9"/>
      <c r="X18589" s="9"/>
      <c r="Y18589" s="9"/>
      <c r="Z18589" s="9"/>
      <c r="AA18589" s="9"/>
      <c r="AB18589" s="9"/>
      <c r="AC18589" s="9"/>
      <c r="AD18589" s="9"/>
      <c r="AE18589" s="9"/>
      <c r="AF18589" s="9"/>
      <c r="AG18589" s="10"/>
    </row>
    <row r="18590" spans="1:33">
      <c r="A18590" s="9"/>
      <c r="B18590" s="9"/>
      <c r="C18590" s="9"/>
      <c r="D18590" s="9"/>
      <c r="E18590" s="9"/>
      <c r="F18590" s="9"/>
      <c r="G18590" s="9"/>
      <c r="H18590" s="9"/>
      <c r="I18590" s="9"/>
      <c r="J18590" s="9"/>
      <c r="K18590" s="9"/>
      <c r="L18590" s="9"/>
      <c r="M18590" s="9"/>
      <c r="N18590" s="9"/>
      <c r="O18590" s="9"/>
      <c r="P18590" s="9"/>
      <c r="Q18590" s="9"/>
      <c r="R18590" s="9"/>
      <c r="S18590" s="9"/>
      <c r="T18590" s="9"/>
      <c r="U18590" s="9"/>
      <c r="V18590" s="9"/>
      <c r="W18590" s="9"/>
      <c r="X18590" s="9"/>
      <c r="Y18590" s="9"/>
      <c r="Z18590" s="9"/>
      <c r="AA18590" s="9"/>
      <c r="AB18590" s="9"/>
      <c r="AC18590" s="9"/>
      <c r="AD18590" s="9"/>
      <c r="AE18590" s="9"/>
      <c r="AF18590" s="9"/>
      <c r="AG18590" s="10"/>
    </row>
    <row r="18591" spans="1:33">
      <c r="A18591" s="9"/>
      <c r="B18591" s="9"/>
      <c r="C18591" s="9"/>
      <c r="D18591" s="9"/>
      <c r="E18591" s="9"/>
      <c r="F18591" s="9"/>
      <c r="G18591" s="9"/>
      <c r="H18591" s="9"/>
      <c r="I18591" s="9"/>
      <c r="J18591" s="9"/>
      <c r="K18591" s="9"/>
      <c r="L18591" s="9"/>
      <c r="M18591" s="9"/>
      <c r="N18591" s="9"/>
      <c r="O18591" s="9"/>
      <c r="P18591" s="9"/>
      <c r="Q18591" s="9"/>
      <c r="R18591" s="9"/>
      <c r="S18591" s="9"/>
      <c r="T18591" s="9"/>
      <c r="U18591" s="9"/>
      <c r="V18591" s="9"/>
      <c r="W18591" s="9"/>
      <c r="X18591" s="9"/>
      <c r="Y18591" s="9"/>
      <c r="Z18591" s="9"/>
      <c r="AA18591" s="9"/>
      <c r="AB18591" s="9"/>
      <c r="AC18591" s="9"/>
      <c r="AD18591" s="9"/>
      <c r="AE18591" s="9"/>
      <c r="AF18591" s="9"/>
      <c r="AG18591" s="10"/>
    </row>
    <row r="18592" spans="1:33">
      <c r="A18592" s="9"/>
      <c r="B18592" s="9"/>
      <c r="C18592" s="9"/>
      <c r="D18592" s="9"/>
      <c r="E18592" s="9"/>
      <c r="F18592" s="9"/>
      <c r="G18592" s="9"/>
      <c r="H18592" s="9"/>
      <c r="I18592" s="9"/>
      <c r="J18592" s="9"/>
      <c r="K18592" s="9"/>
      <c r="L18592" s="9"/>
      <c r="M18592" s="9"/>
      <c r="N18592" s="9"/>
      <c r="O18592" s="9"/>
      <c r="P18592" s="9"/>
      <c r="Q18592" s="9"/>
      <c r="R18592" s="9"/>
      <c r="S18592" s="9"/>
      <c r="T18592" s="9"/>
      <c r="U18592" s="9"/>
      <c r="V18592" s="9"/>
      <c r="W18592" s="9"/>
      <c r="X18592" s="9"/>
      <c r="Y18592" s="9"/>
      <c r="Z18592" s="9"/>
      <c r="AA18592" s="9"/>
      <c r="AB18592" s="9"/>
      <c r="AC18592" s="9"/>
      <c r="AD18592" s="9"/>
      <c r="AE18592" s="9"/>
      <c r="AF18592" s="9"/>
      <c r="AG18592" s="10"/>
    </row>
    <row r="18593" spans="1:33">
      <c r="A18593" s="9"/>
      <c r="B18593" s="9"/>
      <c r="C18593" s="9"/>
      <c r="D18593" s="9"/>
      <c r="E18593" s="9"/>
      <c r="F18593" s="9"/>
      <c r="G18593" s="9"/>
      <c r="H18593" s="9"/>
      <c r="I18593" s="9"/>
      <c r="J18593" s="9"/>
      <c r="K18593" s="9"/>
      <c r="L18593" s="9"/>
      <c r="M18593" s="9"/>
      <c r="N18593" s="9"/>
      <c r="O18593" s="9"/>
      <c r="P18593" s="9"/>
      <c r="Q18593" s="9"/>
      <c r="R18593" s="9"/>
      <c r="S18593" s="9"/>
      <c r="T18593" s="9"/>
      <c r="U18593" s="9"/>
      <c r="V18593" s="9"/>
      <c r="W18593" s="9"/>
      <c r="X18593" s="9"/>
      <c r="Y18593" s="9"/>
      <c r="Z18593" s="9"/>
      <c r="AA18593" s="9"/>
      <c r="AB18593" s="9"/>
      <c r="AC18593" s="9"/>
      <c r="AD18593" s="9"/>
      <c r="AE18593" s="9"/>
      <c r="AF18593" s="9"/>
      <c r="AG18593" s="10"/>
    </row>
    <row r="18594" spans="1:33">
      <c r="A18594" s="9"/>
      <c r="B18594" s="9"/>
      <c r="C18594" s="9"/>
      <c r="D18594" s="9"/>
      <c r="E18594" s="9"/>
      <c r="F18594" s="9"/>
      <c r="G18594" s="9"/>
      <c r="H18594" s="9"/>
      <c r="I18594" s="9"/>
      <c r="J18594" s="9"/>
      <c r="K18594" s="9"/>
      <c r="L18594" s="9"/>
      <c r="M18594" s="9"/>
      <c r="N18594" s="9"/>
      <c r="O18594" s="9"/>
      <c r="P18594" s="9"/>
      <c r="Q18594" s="9"/>
      <c r="R18594" s="9"/>
      <c r="S18594" s="9"/>
      <c r="T18594" s="9"/>
      <c r="U18594" s="9"/>
      <c r="V18594" s="9"/>
      <c r="W18594" s="9"/>
      <c r="X18594" s="9"/>
      <c r="Y18594" s="9"/>
      <c r="Z18594" s="9"/>
      <c r="AA18594" s="9"/>
      <c r="AB18594" s="9"/>
      <c r="AC18594" s="9"/>
      <c r="AD18594" s="9"/>
      <c r="AE18594" s="9"/>
      <c r="AF18594" s="9"/>
      <c r="AG18594" s="10"/>
    </row>
    <row r="18595" spans="1:33">
      <c r="A18595" s="9"/>
      <c r="B18595" s="9"/>
      <c r="C18595" s="9"/>
      <c r="D18595" s="9"/>
      <c r="E18595" s="9"/>
      <c r="F18595" s="9"/>
      <c r="G18595" s="9"/>
      <c r="H18595" s="9"/>
      <c r="I18595" s="9"/>
      <c r="J18595" s="9"/>
      <c r="K18595" s="9"/>
      <c r="L18595" s="9"/>
      <c r="M18595" s="9"/>
      <c r="N18595" s="9"/>
      <c r="O18595" s="9"/>
      <c r="P18595" s="9"/>
      <c r="Q18595" s="9"/>
      <c r="R18595" s="9"/>
      <c r="S18595" s="9"/>
      <c r="T18595" s="9"/>
      <c r="U18595" s="9"/>
      <c r="V18595" s="9"/>
      <c r="W18595" s="9"/>
      <c r="X18595" s="9"/>
      <c r="Y18595" s="9"/>
      <c r="Z18595" s="9"/>
      <c r="AA18595" s="9"/>
      <c r="AB18595" s="9"/>
      <c r="AC18595" s="9"/>
      <c r="AD18595" s="9"/>
      <c r="AE18595" s="9"/>
      <c r="AF18595" s="9"/>
      <c r="AG18595" s="10"/>
    </row>
    <row r="18596" spans="1:33">
      <c r="A18596" s="9"/>
      <c r="B18596" s="9"/>
      <c r="C18596" s="9"/>
      <c r="D18596" s="9"/>
      <c r="E18596" s="9"/>
      <c r="F18596" s="9"/>
      <c r="G18596" s="9"/>
      <c r="H18596" s="9"/>
      <c r="I18596" s="9"/>
      <c r="J18596" s="9"/>
      <c r="K18596" s="9"/>
      <c r="L18596" s="9"/>
      <c r="M18596" s="9"/>
      <c r="N18596" s="9"/>
      <c r="O18596" s="9"/>
      <c r="P18596" s="9"/>
      <c r="Q18596" s="9"/>
      <c r="R18596" s="9"/>
      <c r="S18596" s="9"/>
      <c r="T18596" s="9"/>
      <c r="U18596" s="9"/>
      <c r="V18596" s="9"/>
      <c r="W18596" s="9"/>
      <c r="X18596" s="9"/>
      <c r="Y18596" s="9"/>
      <c r="Z18596" s="9"/>
      <c r="AA18596" s="9"/>
      <c r="AB18596" s="9"/>
      <c r="AC18596" s="9"/>
      <c r="AD18596" s="9"/>
      <c r="AE18596" s="9"/>
      <c r="AF18596" s="9"/>
      <c r="AG18596" s="10"/>
    </row>
    <row r="18597" spans="1:33">
      <c r="A18597" s="9"/>
      <c r="B18597" s="9"/>
      <c r="C18597" s="9"/>
      <c r="D18597" s="9"/>
      <c r="E18597" s="9"/>
      <c r="F18597" s="9"/>
      <c r="G18597" s="9"/>
      <c r="H18597" s="9"/>
      <c r="I18597" s="9"/>
      <c r="J18597" s="9"/>
      <c r="K18597" s="9"/>
      <c r="L18597" s="9"/>
      <c r="M18597" s="9"/>
      <c r="N18597" s="9"/>
      <c r="O18597" s="9"/>
      <c r="P18597" s="9"/>
      <c r="Q18597" s="9"/>
      <c r="R18597" s="9"/>
      <c r="S18597" s="9"/>
      <c r="T18597" s="9"/>
      <c r="U18597" s="9"/>
      <c r="V18597" s="9"/>
      <c r="W18597" s="9"/>
      <c r="X18597" s="9"/>
      <c r="Y18597" s="9"/>
      <c r="Z18597" s="9"/>
      <c r="AA18597" s="9"/>
      <c r="AB18597" s="9"/>
      <c r="AC18597" s="9"/>
      <c r="AD18597" s="9"/>
      <c r="AE18597" s="9"/>
      <c r="AF18597" s="9"/>
      <c r="AG18597" s="10"/>
    </row>
    <row r="18598" spans="1:33">
      <c r="A18598" s="9"/>
      <c r="B18598" s="9"/>
      <c r="C18598" s="9"/>
      <c r="D18598" s="9"/>
      <c r="E18598" s="9"/>
      <c r="F18598" s="9"/>
      <c r="G18598" s="9"/>
      <c r="H18598" s="9"/>
      <c r="I18598" s="9"/>
      <c r="J18598" s="9"/>
      <c r="K18598" s="9"/>
      <c r="L18598" s="9"/>
      <c r="M18598" s="9"/>
      <c r="N18598" s="9"/>
      <c r="O18598" s="9"/>
      <c r="P18598" s="9"/>
      <c r="Q18598" s="9"/>
      <c r="R18598" s="9"/>
      <c r="S18598" s="9"/>
      <c r="T18598" s="9"/>
      <c r="U18598" s="9"/>
      <c r="V18598" s="9"/>
      <c r="W18598" s="9"/>
      <c r="X18598" s="9"/>
      <c r="Y18598" s="9"/>
      <c r="Z18598" s="9"/>
      <c r="AA18598" s="9"/>
      <c r="AB18598" s="9"/>
      <c r="AC18598" s="9"/>
      <c r="AD18598" s="9"/>
      <c r="AE18598" s="9"/>
      <c r="AF18598" s="9"/>
      <c r="AG18598" s="10"/>
    </row>
    <row r="18599" spans="1:33">
      <c r="A18599" s="9"/>
      <c r="B18599" s="9"/>
      <c r="C18599" s="9"/>
      <c r="D18599" s="9"/>
      <c r="E18599" s="9"/>
      <c r="F18599" s="9"/>
      <c r="G18599" s="9"/>
      <c r="H18599" s="9"/>
      <c r="I18599" s="9"/>
      <c r="J18599" s="9"/>
      <c r="K18599" s="9"/>
      <c r="L18599" s="9"/>
      <c r="M18599" s="9"/>
      <c r="N18599" s="9"/>
      <c r="O18599" s="9"/>
      <c r="P18599" s="9"/>
      <c r="Q18599" s="9"/>
      <c r="R18599" s="9"/>
      <c r="S18599" s="9"/>
      <c r="T18599" s="9"/>
      <c r="U18599" s="9"/>
      <c r="V18599" s="9"/>
      <c r="W18599" s="9"/>
      <c r="X18599" s="9"/>
      <c r="Y18599" s="9"/>
      <c r="Z18599" s="9"/>
      <c r="AA18599" s="9"/>
      <c r="AB18599" s="9"/>
      <c r="AC18599" s="9"/>
      <c r="AD18599" s="9"/>
      <c r="AE18599" s="9"/>
      <c r="AF18599" s="9"/>
      <c r="AG18599" s="10"/>
    </row>
    <row r="18600" spans="1:33">
      <c r="A18600" s="9"/>
      <c r="B18600" s="9"/>
      <c r="C18600" s="9"/>
      <c r="D18600" s="9"/>
      <c r="E18600" s="9"/>
      <c r="F18600" s="9"/>
      <c r="G18600" s="9"/>
      <c r="H18600" s="9"/>
      <c r="I18600" s="9"/>
      <c r="J18600" s="9"/>
      <c r="K18600" s="9"/>
      <c r="L18600" s="9"/>
      <c r="M18600" s="9"/>
      <c r="N18600" s="9"/>
      <c r="O18600" s="9"/>
      <c r="P18600" s="9"/>
      <c r="Q18600" s="9"/>
      <c r="R18600" s="9"/>
      <c r="S18600" s="9"/>
      <c r="T18600" s="9"/>
      <c r="U18600" s="9"/>
      <c r="V18600" s="9"/>
      <c r="W18600" s="9"/>
      <c r="X18600" s="9"/>
      <c r="Y18600" s="9"/>
      <c r="Z18600" s="9"/>
      <c r="AA18600" s="9"/>
      <c r="AB18600" s="9"/>
      <c r="AC18600" s="9"/>
      <c r="AD18600" s="9"/>
      <c r="AE18600" s="9"/>
      <c r="AF18600" s="9"/>
      <c r="AG18600" s="10"/>
    </row>
    <row r="18601" spans="1:33">
      <c r="A18601" s="9"/>
      <c r="B18601" s="9"/>
      <c r="C18601" s="9"/>
      <c r="D18601" s="9"/>
      <c r="E18601" s="9"/>
      <c r="F18601" s="9"/>
      <c r="G18601" s="9"/>
      <c r="H18601" s="9"/>
      <c r="I18601" s="9"/>
      <c r="J18601" s="9"/>
      <c r="K18601" s="9"/>
      <c r="L18601" s="9"/>
      <c r="M18601" s="9"/>
      <c r="N18601" s="9"/>
      <c r="O18601" s="9"/>
      <c r="P18601" s="9"/>
      <c r="Q18601" s="9"/>
      <c r="R18601" s="9"/>
      <c r="S18601" s="9"/>
      <c r="T18601" s="9"/>
      <c r="U18601" s="9"/>
      <c r="V18601" s="9"/>
      <c r="W18601" s="9"/>
      <c r="X18601" s="9"/>
      <c r="Y18601" s="9"/>
      <c r="Z18601" s="9"/>
      <c r="AA18601" s="9"/>
      <c r="AB18601" s="9"/>
      <c r="AC18601" s="9"/>
      <c r="AD18601" s="9"/>
      <c r="AE18601" s="9"/>
      <c r="AF18601" s="9"/>
      <c r="AG18601" s="10"/>
    </row>
    <row r="18602" spans="1:33">
      <c r="A18602" s="9"/>
      <c r="B18602" s="9"/>
      <c r="C18602" s="9"/>
      <c r="D18602" s="9"/>
      <c r="E18602" s="9"/>
      <c r="F18602" s="9"/>
      <c r="G18602" s="9"/>
      <c r="H18602" s="9"/>
      <c r="I18602" s="9"/>
      <c r="J18602" s="9"/>
      <c r="K18602" s="9"/>
      <c r="L18602" s="9"/>
      <c r="M18602" s="9"/>
      <c r="N18602" s="9"/>
      <c r="O18602" s="9"/>
      <c r="P18602" s="9"/>
      <c r="Q18602" s="9"/>
      <c r="R18602" s="9"/>
      <c r="S18602" s="9"/>
      <c r="T18602" s="9"/>
      <c r="U18602" s="9"/>
      <c r="V18602" s="9"/>
      <c r="W18602" s="9"/>
      <c r="X18602" s="9"/>
      <c r="Y18602" s="9"/>
      <c r="Z18602" s="9"/>
      <c r="AA18602" s="9"/>
      <c r="AB18602" s="9"/>
      <c r="AC18602" s="9"/>
      <c r="AD18602" s="9"/>
      <c r="AE18602" s="9"/>
      <c r="AF18602" s="9"/>
      <c r="AG18602" s="10"/>
    </row>
    <row r="18603" spans="1:33">
      <c r="A18603" s="9"/>
      <c r="B18603" s="9"/>
      <c r="C18603" s="9"/>
      <c r="D18603" s="9"/>
      <c r="E18603" s="9"/>
      <c r="F18603" s="9"/>
      <c r="G18603" s="9"/>
      <c r="H18603" s="9"/>
      <c r="I18603" s="9"/>
      <c r="J18603" s="9"/>
      <c r="K18603" s="9"/>
      <c r="L18603" s="9"/>
      <c r="M18603" s="9"/>
      <c r="N18603" s="9"/>
      <c r="O18603" s="9"/>
      <c r="P18603" s="9"/>
      <c r="Q18603" s="9"/>
      <c r="R18603" s="9"/>
      <c r="S18603" s="9"/>
      <c r="T18603" s="9"/>
      <c r="U18603" s="9"/>
      <c r="V18603" s="9"/>
      <c r="W18603" s="9"/>
      <c r="X18603" s="9"/>
      <c r="Y18603" s="9"/>
      <c r="Z18603" s="9"/>
      <c r="AA18603" s="9"/>
      <c r="AB18603" s="9"/>
      <c r="AC18603" s="9"/>
      <c r="AD18603" s="9"/>
      <c r="AE18603" s="9"/>
      <c r="AF18603" s="9"/>
      <c r="AG18603" s="10"/>
    </row>
    <row r="18604" spans="1:33">
      <c r="A18604" s="9"/>
      <c r="B18604" s="9"/>
      <c r="C18604" s="9"/>
      <c r="D18604" s="9"/>
      <c r="E18604" s="9"/>
      <c r="F18604" s="9"/>
      <c r="G18604" s="9"/>
      <c r="H18604" s="9"/>
      <c r="I18604" s="9"/>
      <c r="J18604" s="9"/>
      <c r="K18604" s="9"/>
      <c r="L18604" s="9"/>
      <c r="M18604" s="9"/>
      <c r="N18604" s="9"/>
      <c r="O18604" s="9"/>
      <c r="P18604" s="9"/>
      <c r="Q18604" s="9"/>
      <c r="R18604" s="9"/>
      <c r="S18604" s="9"/>
      <c r="T18604" s="9"/>
      <c r="U18604" s="9"/>
      <c r="V18604" s="9"/>
      <c r="W18604" s="9"/>
      <c r="X18604" s="9"/>
      <c r="Y18604" s="9"/>
      <c r="Z18604" s="9"/>
      <c r="AA18604" s="9"/>
      <c r="AB18604" s="9"/>
      <c r="AC18604" s="9"/>
      <c r="AD18604" s="9"/>
      <c r="AE18604" s="9"/>
      <c r="AF18604" s="9"/>
      <c r="AG18604" s="10"/>
    </row>
    <row r="18605" spans="1:33">
      <c r="A18605" s="9"/>
      <c r="B18605" s="9"/>
      <c r="C18605" s="9"/>
      <c r="D18605" s="9"/>
      <c r="E18605" s="9"/>
      <c r="F18605" s="9"/>
      <c r="G18605" s="9"/>
      <c r="H18605" s="9"/>
      <c r="I18605" s="9"/>
      <c r="J18605" s="9"/>
      <c r="K18605" s="9"/>
      <c r="L18605" s="9"/>
      <c r="M18605" s="9"/>
      <c r="N18605" s="9"/>
      <c r="O18605" s="9"/>
      <c r="P18605" s="9"/>
      <c r="Q18605" s="9"/>
      <c r="R18605" s="9"/>
      <c r="S18605" s="9"/>
      <c r="T18605" s="9"/>
      <c r="U18605" s="9"/>
      <c r="V18605" s="9"/>
      <c r="W18605" s="9"/>
      <c r="X18605" s="9"/>
      <c r="Y18605" s="9"/>
      <c r="Z18605" s="9"/>
      <c r="AA18605" s="9"/>
      <c r="AB18605" s="9"/>
      <c r="AC18605" s="9"/>
      <c r="AD18605" s="9"/>
      <c r="AE18605" s="9"/>
      <c r="AF18605" s="9"/>
      <c r="AG18605" s="10"/>
    </row>
    <row r="18606" spans="1:33">
      <c r="A18606" s="9"/>
      <c r="B18606" s="9"/>
      <c r="C18606" s="9"/>
      <c r="D18606" s="9"/>
      <c r="E18606" s="9"/>
      <c r="F18606" s="9"/>
      <c r="G18606" s="9"/>
      <c r="H18606" s="9"/>
      <c r="I18606" s="9"/>
      <c r="J18606" s="9"/>
      <c r="K18606" s="9"/>
      <c r="L18606" s="9"/>
      <c r="M18606" s="9"/>
      <c r="N18606" s="9"/>
      <c r="O18606" s="9"/>
      <c r="P18606" s="9"/>
      <c r="Q18606" s="9"/>
      <c r="R18606" s="9"/>
      <c r="S18606" s="9"/>
      <c r="T18606" s="9"/>
      <c r="U18606" s="9"/>
      <c r="V18606" s="9"/>
      <c r="W18606" s="9"/>
      <c r="X18606" s="9"/>
      <c r="Y18606" s="9"/>
      <c r="Z18606" s="9"/>
      <c r="AA18606" s="9"/>
      <c r="AB18606" s="9"/>
      <c r="AC18606" s="9"/>
      <c r="AD18606" s="9"/>
      <c r="AE18606" s="9"/>
      <c r="AF18606" s="9"/>
      <c r="AG18606" s="10"/>
    </row>
    <row r="18607" spans="1:33">
      <c r="A18607" s="9"/>
      <c r="B18607" s="9"/>
      <c r="C18607" s="9"/>
      <c r="D18607" s="9"/>
      <c r="E18607" s="9"/>
      <c r="F18607" s="9"/>
      <c r="G18607" s="9"/>
      <c r="H18607" s="9"/>
      <c r="I18607" s="9"/>
      <c r="J18607" s="9"/>
      <c r="K18607" s="9"/>
      <c r="L18607" s="9"/>
      <c r="M18607" s="9"/>
      <c r="N18607" s="9"/>
      <c r="O18607" s="9"/>
      <c r="P18607" s="9"/>
      <c r="Q18607" s="9"/>
      <c r="R18607" s="9"/>
      <c r="S18607" s="9"/>
      <c r="T18607" s="9"/>
      <c r="U18607" s="9"/>
      <c r="V18607" s="9"/>
      <c r="W18607" s="9"/>
      <c r="X18607" s="9"/>
      <c r="Y18607" s="9"/>
      <c r="Z18607" s="9"/>
      <c r="AA18607" s="9"/>
      <c r="AB18607" s="9"/>
      <c r="AC18607" s="9"/>
      <c r="AD18607" s="9"/>
      <c r="AE18607" s="9"/>
      <c r="AF18607" s="9"/>
      <c r="AG18607" s="10"/>
    </row>
    <row r="18608" spans="1:33">
      <c r="A18608" s="9"/>
      <c r="B18608" s="9"/>
      <c r="C18608" s="9"/>
      <c r="D18608" s="9"/>
      <c r="E18608" s="9"/>
      <c r="F18608" s="9"/>
      <c r="G18608" s="9"/>
      <c r="H18608" s="9"/>
      <c r="I18608" s="9"/>
      <c r="J18608" s="9"/>
      <c r="K18608" s="9"/>
      <c r="L18608" s="9"/>
      <c r="M18608" s="9"/>
      <c r="N18608" s="9"/>
      <c r="O18608" s="9"/>
      <c r="P18608" s="9"/>
      <c r="Q18608" s="9"/>
      <c r="R18608" s="9"/>
      <c r="S18608" s="9"/>
      <c r="T18608" s="9"/>
      <c r="U18608" s="9"/>
      <c r="V18608" s="9"/>
      <c r="W18608" s="9"/>
      <c r="X18608" s="9"/>
      <c r="Y18608" s="9"/>
      <c r="Z18608" s="9"/>
      <c r="AA18608" s="9"/>
      <c r="AB18608" s="9"/>
      <c r="AC18608" s="9"/>
      <c r="AD18608" s="9"/>
      <c r="AE18608" s="9"/>
      <c r="AF18608" s="9"/>
      <c r="AG18608" s="10"/>
    </row>
    <row r="18609" spans="1:33">
      <c r="A18609" s="9"/>
      <c r="B18609" s="9"/>
      <c r="C18609" s="9"/>
      <c r="D18609" s="9"/>
      <c r="E18609" s="9"/>
      <c r="F18609" s="9"/>
      <c r="G18609" s="9"/>
      <c r="H18609" s="9"/>
      <c r="I18609" s="9"/>
      <c r="J18609" s="9"/>
      <c r="K18609" s="9"/>
      <c r="L18609" s="9"/>
      <c r="M18609" s="9"/>
      <c r="N18609" s="9"/>
      <c r="O18609" s="9"/>
      <c r="P18609" s="9"/>
      <c r="Q18609" s="9"/>
      <c r="R18609" s="9"/>
      <c r="S18609" s="9"/>
      <c r="T18609" s="9"/>
      <c r="U18609" s="9"/>
      <c r="V18609" s="9"/>
      <c r="W18609" s="9"/>
      <c r="X18609" s="9"/>
      <c r="Y18609" s="9"/>
      <c r="Z18609" s="9"/>
      <c r="AA18609" s="9"/>
      <c r="AB18609" s="9"/>
      <c r="AC18609" s="9"/>
      <c r="AD18609" s="9"/>
      <c r="AE18609" s="9"/>
      <c r="AF18609" s="9"/>
      <c r="AG18609" s="10"/>
    </row>
    <row r="18610" spans="1:33">
      <c r="A18610" s="9"/>
      <c r="B18610" s="9"/>
      <c r="C18610" s="9"/>
      <c r="D18610" s="9"/>
      <c r="E18610" s="9"/>
      <c r="F18610" s="9"/>
      <c r="G18610" s="9"/>
      <c r="H18610" s="9"/>
      <c r="I18610" s="9"/>
      <c r="J18610" s="9"/>
      <c r="K18610" s="9"/>
      <c r="L18610" s="9"/>
      <c r="M18610" s="9"/>
      <c r="N18610" s="9"/>
      <c r="O18610" s="9"/>
      <c r="P18610" s="9"/>
      <c r="Q18610" s="9"/>
      <c r="R18610" s="9"/>
      <c r="S18610" s="9"/>
      <c r="T18610" s="9"/>
      <c r="U18610" s="9"/>
      <c r="V18610" s="9"/>
      <c r="W18610" s="9"/>
      <c r="X18610" s="9"/>
      <c r="Y18610" s="9"/>
      <c r="Z18610" s="9"/>
      <c r="AA18610" s="9"/>
      <c r="AB18610" s="9"/>
      <c r="AC18610" s="9"/>
      <c r="AD18610" s="9"/>
      <c r="AE18610" s="9"/>
      <c r="AF18610" s="9"/>
      <c r="AG18610" s="10"/>
    </row>
    <row r="18611" spans="1:33">
      <c r="A18611" s="9"/>
      <c r="B18611" s="9"/>
      <c r="C18611" s="9"/>
      <c r="D18611" s="9"/>
      <c r="E18611" s="9"/>
      <c r="F18611" s="9"/>
      <c r="G18611" s="9"/>
      <c r="H18611" s="9"/>
      <c r="I18611" s="9"/>
      <c r="J18611" s="9"/>
      <c r="K18611" s="9"/>
      <c r="L18611" s="9"/>
      <c r="M18611" s="9"/>
      <c r="N18611" s="9"/>
      <c r="O18611" s="9"/>
      <c r="P18611" s="9"/>
      <c r="Q18611" s="9"/>
      <c r="R18611" s="9"/>
      <c r="S18611" s="9"/>
      <c r="T18611" s="9"/>
      <c r="U18611" s="9"/>
      <c r="V18611" s="9"/>
      <c r="W18611" s="9"/>
      <c r="X18611" s="9"/>
      <c r="Y18611" s="9"/>
      <c r="Z18611" s="9"/>
      <c r="AA18611" s="9"/>
      <c r="AB18611" s="9"/>
      <c r="AC18611" s="9"/>
      <c r="AD18611" s="9"/>
      <c r="AE18611" s="9"/>
      <c r="AF18611" s="9"/>
      <c r="AG18611" s="10"/>
    </row>
    <row r="18612" spans="1:33">
      <c r="A18612" s="9"/>
      <c r="B18612" s="9"/>
      <c r="C18612" s="9"/>
      <c r="D18612" s="9"/>
      <c r="E18612" s="9"/>
      <c r="F18612" s="9"/>
      <c r="G18612" s="9"/>
      <c r="H18612" s="9"/>
      <c r="I18612" s="9"/>
      <c r="J18612" s="9"/>
      <c r="K18612" s="9"/>
      <c r="L18612" s="9"/>
      <c r="M18612" s="9"/>
      <c r="N18612" s="9"/>
      <c r="O18612" s="9"/>
      <c r="P18612" s="9"/>
      <c r="Q18612" s="9"/>
      <c r="R18612" s="9"/>
      <c r="S18612" s="9"/>
      <c r="T18612" s="9"/>
      <c r="U18612" s="9"/>
      <c r="V18612" s="9"/>
      <c r="W18612" s="9"/>
      <c r="X18612" s="9"/>
      <c r="Y18612" s="9"/>
      <c r="Z18612" s="9"/>
      <c r="AA18612" s="9"/>
      <c r="AB18612" s="9"/>
      <c r="AC18612" s="9"/>
      <c r="AD18612" s="9"/>
      <c r="AE18612" s="9"/>
      <c r="AF18612" s="9"/>
      <c r="AG18612" s="10"/>
    </row>
    <row r="18613" spans="1:33">
      <c r="A18613" s="9"/>
      <c r="B18613" s="9"/>
      <c r="C18613" s="9"/>
      <c r="D18613" s="9"/>
      <c r="E18613" s="9"/>
      <c r="F18613" s="9"/>
      <c r="G18613" s="9"/>
      <c r="H18613" s="9"/>
      <c r="I18613" s="9"/>
      <c r="J18613" s="9"/>
      <c r="K18613" s="9"/>
      <c r="L18613" s="9"/>
      <c r="M18613" s="9"/>
      <c r="N18613" s="9"/>
      <c r="O18613" s="9"/>
      <c r="P18613" s="9"/>
      <c r="Q18613" s="9"/>
      <c r="R18613" s="9"/>
      <c r="S18613" s="9"/>
      <c r="T18613" s="9"/>
      <c r="U18613" s="9"/>
      <c r="V18613" s="9"/>
      <c r="W18613" s="9"/>
      <c r="X18613" s="9"/>
      <c r="Y18613" s="9"/>
      <c r="Z18613" s="9"/>
      <c r="AA18613" s="9"/>
      <c r="AB18613" s="9"/>
      <c r="AC18613" s="9"/>
      <c r="AD18613" s="9"/>
      <c r="AE18613" s="9"/>
      <c r="AF18613" s="9"/>
      <c r="AG18613" s="10"/>
    </row>
    <row r="18614" spans="1:33">
      <c r="A18614" s="9"/>
      <c r="B18614" s="9"/>
      <c r="C18614" s="9"/>
      <c r="D18614" s="9"/>
      <c r="E18614" s="9"/>
      <c r="F18614" s="9"/>
      <c r="G18614" s="9"/>
      <c r="H18614" s="9"/>
      <c r="I18614" s="9"/>
      <c r="J18614" s="9"/>
      <c r="K18614" s="9"/>
      <c r="L18614" s="9"/>
      <c r="M18614" s="9"/>
      <c r="N18614" s="9"/>
      <c r="O18614" s="9"/>
      <c r="P18614" s="9"/>
      <c r="Q18614" s="9"/>
      <c r="R18614" s="9"/>
      <c r="S18614" s="9"/>
      <c r="T18614" s="9"/>
      <c r="U18614" s="9"/>
      <c r="V18614" s="9"/>
      <c r="W18614" s="9"/>
      <c r="X18614" s="9"/>
      <c r="Y18614" s="9"/>
      <c r="Z18614" s="9"/>
      <c r="AA18614" s="9"/>
      <c r="AB18614" s="9"/>
      <c r="AC18614" s="9"/>
      <c r="AD18614" s="9"/>
      <c r="AE18614" s="9"/>
      <c r="AF18614" s="9"/>
      <c r="AG18614" s="10"/>
    </row>
    <row r="18615" spans="1:33">
      <c r="A18615" s="9"/>
      <c r="B18615" s="9"/>
      <c r="C18615" s="9"/>
      <c r="D18615" s="9"/>
      <c r="E18615" s="9"/>
      <c r="F18615" s="9"/>
      <c r="G18615" s="9"/>
      <c r="H18615" s="9"/>
      <c r="I18615" s="9"/>
      <c r="J18615" s="9"/>
      <c r="K18615" s="9"/>
      <c r="L18615" s="9"/>
      <c r="M18615" s="9"/>
      <c r="N18615" s="9"/>
      <c r="O18615" s="9"/>
      <c r="P18615" s="9"/>
      <c r="Q18615" s="9"/>
      <c r="R18615" s="9"/>
      <c r="S18615" s="9"/>
      <c r="T18615" s="9"/>
      <c r="U18615" s="9"/>
      <c r="V18615" s="9"/>
      <c r="W18615" s="9"/>
      <c r="X18615" s="9"/>
      <c r="Y18615" s="9"/>
      <c r="Z18615" s="9"/>
      <c r="AA18615" s="9"/>
      <c r="AB18615" s="9"/>
      <c r="AC18615" s="9"/>
      <c r="AD18615" s="9"/>
      <c r="AE18615" s="9"/>
      <c r="AF18615" s="9"/>
      <c r="AG18615" s="10"/>
    </row>
    <row r="18616" spans="1:33">
      <c r="A18616" s="9"/>
      <c r="B18616" s="9"/>
      <c r="C18616" s="9"/>
      <c r="D18616" s="9"/>
      <c r="E18616" s="9"/>
      <c r="F18616" s="9"/>
      <c r="G18616" s="9"/>
      <c r="H18616" s="9"/>
      <c r="I18616" s="9"/>
      <c r="J18616" s="9"/>
      <c r="K18616" s="9"/>
      <c r="L18616" s="9"/>
      <c r="M18616" s="9"/>
      <c r="N18616" s="9"/>
      <c r="O18616" s="9"/>
      <c r="P18616" s="9"/>
      <c r="Q18616" s="9"/>
      <c r="R18616" s="9"/>
      <c r="S18616" s="9"/>
      <c r="T18616" s="9"/>
      <c r="U18616" s="9"/>
      <c r="V18616" s="9"/>
      <c r="W18616" s="9"/>
      <c r="X18616" s="9"/>
      <c r="Y18616" s="9"/>
      <c r="Z18616" s="9"/>
      <c r="AA18616" s="9"/>
      <c r="AB18616" s="9"/>
      <c r="AC18616" s="9"/>
      <c r="AD18616" s="9"/>
      <c r="AE18616" s="9"/>
      <c r="AF18616" s="9"/>
      <c r="AG18616" s="10"/>
    </row>
    <row r="18617" spans="1:33">
      <c r="A18617" s="9"/>
      <c r="B18617" s="9"/>
      <c r="C18617" s="9"/>
      <c r="D18617" s="9"/>
      <c r="E18617" s="9"/>
      <c r="F18617" s="9"/>
      <c r="G18617" s="9"/>
      <c r="H18617" s="9"/>
      <c r="I18617" s="9"/>
      <c r="J18617" s="9"/>
      <c r="K18617" s="9"/>
      <c r="L18617" s="9"/>
      <c r="M18617" s="9"/>
      <c r="N18617" s="9"/>
      <c r="O18617" s="9"/>
      <c r="P18617" s="9"/>
      <c r="Q18617" s="9"/>
      <c r="R18617" s="9"/>
      <c r="S18617" s="9"/>
      <c r="T18617" s="9"/>
      <c r="U18617" s="9"/>
      <c r="V18617" s="9"/>
      <c r="W18617" s="9"/>
      <c r="X18617" s="9"/>
      <c r="Y18617" s="9"/>
      <c r="Z18617" s="9"/>
      <c r="AA18617" s="9"/>
      <c r="AB18617" s="9"/>
      <c r="AC18617" s="9"/>
      <c r="AD18617" s="9"/>
      <c r="AE18617" s="9"/>
      <c r="AF18617" s="9"/>
      <c r="AG18617" s="10"/>
    </row>
    <row r="18618" spans="1:33">
      <c r="A18618" s="9"/>
      <c r="B18618" s="9"/>
      <c r="C18618" s="9"/>
      <c r="D18618" s="9"/>
      <c r="E18618" s="9"/>
      <c r="F18618" s="9"/>
      <c r="G18618" s="9"/>
      <c r="H18618" s="9"/>
      <c r="I18618" s="9"/>
      <c r="J18618" s="9"/>
      <c r="K18618" s="9"/>
      <c r="L18618" s="9"/>
      <c r="M18618" s="9"/>
      <c r="N18618" s="9"/>
      <c r="O18618" s="9"/>
      <c r="P18618" s="9"/>
      <c r="Q18618" s="9"/>
      <c r="R18618" s="9"/>
      <c r="S18618" s="9"/>
      <c r="T18618" s="9"/>
      <c r="U18618" s="9"/>
      <c r="V18618" s="9"/>
      <c r="W18618" s="9"/>
      <c r="X18618" s="9"/>
      <c r="Y18618" s="9"/>
      <c r="Z18618" s="9"/>
      <c r="AA18618" s="9"/>
      <c r="AB18618" s="9"/>
      <c r="AC18618" s="9"/>
      <c r="AD18618" s="9"/>
      <c r="AE18618" s="9"/>
      <c r="AF18618" s="9"/>
      <c r="AG18618" s="10"/>
    </row>
    <row r="18619" spans="1:33">
      <c r="A18619" s="9"/>
      <c r="B18619" s="9"/>
      <c r="C18619" s="9"/>
      <c r="D18619" s="9"/>
      <c r="E18619" s="9"/>
      <c r="F18619" s="9"/>
      <c r="G18619" s="9"/>
      <c r="H18619" s="9"/>
      <c r="I18619" s="9"/>
      <c r="J18619" s="9"/>
      <c r="K18619" s="9"/>
      <c r="L18619" s="9"/>
      <c r="M18619" s="9"/>
      <c r="N18619" s="9"/>
      <c r="O18619" s="9"/>
      <c r="P18619" s="9"/>
      <c r="Q18619" s="9"/>
      <c r="R18619" s="9"/>
      <c r="S18619" s="9"/>
      <c r="T18619" s="9"/>
      <c r="U18619" s="9"/>
      <c r="V18619" s="9"/>
      <c r="W18619" s="9"/>
      <c r="X18619" s="9"/>
      <c r="Y18619" s="9"/>
      <c r="Z18619" s="9"/>
      <c r="AA18619" s="9"/>
      <c r="AB18619" s="9"/>
      <c r="AC18619" s="9"/>
      <c r="AD18619" s="9"/>
      <c r="AE18619" s="9"/>
      <c r="AF18619" s="9"/>
      <c r="AG18619" s="10"/>
    </row>
    <row r="18620" spans="1:33">
      <c r="A18620" s="9"/>
      <c r="B18620" s="9"/>
      <c r="C18620" s="9"/>
      <c r="D18620" s="9"/>
      <c r="E18620" s="9"/>
      <c r="F18620" s="9"/>
      <c r="G18620" s="9"/>
      <c r="H18620" s="9"/>
      <c r="I18620" s="9"/>
      <c r="J18620" s="9"/>
      <c r="K18620" s="9"/>
      <c r="L18620" s="9"/>
      <c r="M18620" s="9"/>
      <c r="N18620" s="9"/>
      <c r="O18620" s="9"/>
      <c r="P18620" s="9"/>
      <c r="Q18620" s="9"/>
      <c r="R18620" s="9"/>
      <c r="S18620" s="9"/>
      <c r="T18620" s="9"/>
      <c r="U18620" s="9"/>
      <c r="V18620" s="9"/>
      <c r="W18620" s="9"/>
      <c r="X18620" s="9"/>
      <c r="Y18620" s="9"/>
      <c r="Z18620" s="9"/>
      <c r="AA18620" s="9"/>
      <c r="AB18620" s="9"/>
      <c r="AC18620" s="9"/>
      <c r="AD18620" s="9"/>
      <c r="AE18620" s="9"/>
      <c r="AF18620" s="9"/>
      <c r="AG18620" s="10"/>
    </row>
    <row r="18621" spans="1:33">
      <c r="A18621" s="9"/>
      <c r="B18621" s="9"/>
      <c r="C18621" s="9"/>
      <c r="D18621" s="9"/>
      <c r="E18621" s="9"/>
      <c r="F18621" s="9"/>
      <c r="G18621" s="9"/>
      <c r="H18621" s="9"/>
      <c r="I18621" s="9"/>
      <c r="J18621" s="9"/>
      <c r="K18621" s="9"/>
      <c r="L18621" s="9"/>
      <c r="M18621" s="9"/>
      <c r="N18621" s="9"/>
      <c r="O18621" s="9"/>
      <c r="P18621" s="9"/>
      <c r="Q18621" s="9"/>
      <c r="R18621" s="9"/>
      <c r="S18621" s="9"/>
      <c r="T18621" s="9"/>
      <c r="U18621" s="9"/>
      <c r="V18621" s="9"/>
      <c r="W18621" s="9"/>
      <c r="X18621" s="9"/>
      <c r="Y18621" s="9"/>
      <c r="Z18621" s="9"/>
      <c r="AA18621" s="9"/>
      <c r="AB18621" s="9"/>
      <c r="AC18621" s="9"/>
      <c r="AD18621" s="9"/>
      <c r="AE18621" s="9"/>
      <c r="AF18621" s="9"/>
      <c r="AG18621" s="10"/>
    </row>
    <row r="18622" spans="1:33">
      <c r="A18622" s="9"/>
      <c r="B18622" s="9"/>
      <c r="C18622" s="9"/>
      <c r="D18622" s="9"/>
      <c r="E18622" s="9"/>
      <c r="F18622" s="9"/>
      <c r="G18622" s="9"/>
      <c r="H18622" s="9"/>
      <c r="I18622" s="9"/>
      <c r="J18622" s="9"/>
      <c r="K18622" s="9"/>
      <c r="L18622" s="9"/>
      <c r="M18622" s="9"/>
      <c r="N18622" s="9"/>
      <c r="O18622" s="9"/>
      <c r="P18622" s="9"/>
      <c r="Q18622" s="9"/>
      <c r="R18622" s="9"/>
      <c r="S18622" s="9"/>
      <c r="T18622" s="9"/>
      <c r="U18622" s="9"/>
      <c r="V18622" s="9"/>
      <c r="W18622" s="9"/>
      <c r="X18622" s="9"/>
      <c r="Y18622" s="9"/>
      <c r="Z18622" s="9"/>
      <c r="AA18622" s="9"/>
      <c r="AB18622" s="9"/>
      <c r="AC18622" s="9"/>
      <c r="AD18622" s="9"/>
      <c r="AE18622" s="9"/>
      <c r="AF18622" s="9"/>
      <c r="AG18622" s="10"/>
    </row>
    <row r="18623" spans="1:33">
      <c r="A18623" s="9"/>
      <c r="B18623" s="9"/>
      <c r="C18623" s="9"/>
      <c r="D18623" s="9"/>
      <c r="E18623" s="9"/>
      <c r="F18623" s="9"/>
      <c r="G18623" s="9"/>
      <c r="H18623" s="9"/>
      <c r="I18623" s="9"/>
      <c r="J18623" s="9"/>
      <c r="K18623" s="9"/>
      <c r="L18623" s="9"/>
      <c r="M18623" s="9"/>
      <c r="N18623" s="9"/>
      <c r="O18623" s="9"/>
      <c r="P18623" s="9"/>
      <c r="Q18623" s="9"/>
      <c r="R18623" s="9"/>
      <c r="S18623" s="9"/>
      <c r="T18623" s="9"/>
      <c r="U18623" s="9"/>
      <c r="V18623" s="9"/>
      <c r="W18623" s="9"/>
      <c r="X18623" s="9"/>
      <c r="Y18623" s="9"/>
      <c r="Z18623" s="9"/>
      <c r="AA18623" s="9"/>
      <c r="AB18623" s="9"/>
      <c r="AC18623" s="9"/>
      <c r="AD18623" s="9"/>
      <c r="AE18623" s="9"/>
      <c r="AF18623" s="9"/>
      <c r="AG18623" s="10"/>
    </row>
    <row r="18624" spans="1:33">
      <c r="A18624" s="9"/>
      <c r="B18624" s="9"/>
      <c r="C18624" s="9"/>
      <c r="D18624" s="9"/>
      <c r="E18624" s="9"/>
      <c r="F18624" s="9"/>
      <c r="G18624" s="9"/>
      <c r="H18624" s="9"/>
      <c r="I18624" s="9"/>
      <c r="J18624" s="9"/>
      <c r="K18624" s="9"/>
      <c r="L18624" s="9"/>
      <c r="M18624" s="9"/>
      <c r="N18624" s="9"/>
      <c r="O18624" s="9"/>
      <c r="P18624" s="9"/>
      <c r="Q18624" s="9"/>
      <c r="R18624" s="9"/>
      <c r="S18624" s="9"/>
      <c r="T18624" s="9"/>
      <c r="U18624" s="9"/>
      <c r="V18624" s="9"/>
      <c r="W18624" s="9"/>
      <c r="X18624" s="9"/>
      <c r="Y18624" s="9"/>
      <c r="Z18624" s="9"/>
      <c r="AA18624" s="9"/>
      <c r="AB18624" s="9"/>
      <c r="AC18624" s="9"/>
      <c r="AD18624" s="9"/>
      <c r="AE18624" s="9"/>
      <c r="AF18624" s="9"/>
      <c r="AG18624" s="10"/>
    </row>
    <row r="18625" spans="1:33">
      <c r="A18625" s="9"/>
      <c r="B18625" s="9"/>
      <c r="C18625" s="9"/>
      <c r="D18625" s="9"/>
      <c r="E18625" s="9"/>
      <c r="F18625" s="9"/>
      <c r="G18625" s="9"/>
      <c r="H18625" s="9"/>
      <c r="I18625" s="9"/>
      <c r="J18625" s="9"/>
      <c r="K18625" s="9"/>
      <c r="L18625" s="9"/>
      <c r="M18625" s="9"/>
      <c r="N18625" s="9"/>
      <c r="O18625" s="9"/>
      <c r="P18625" s="9"/>
      <c r="Q18625" s="9"/>
      <c r="R18625" s="9"/>
      <c r="S18625" s="9"/>
      <c r="T18625" s="9"/>
      <c r="U18625" s="9"/>
      <c r="V18625" s="9"/>
      <c r="W18625" s="9"/>
      <c r="X18625" s="9"/>
      <c r="Y18625" s="9"/>
      <c r="Z18625" s="9"/>
      <c r="AA18625" s="9"/>
      <c r="AB18625" s="9"/>
      <c r="AC18625" s="9"/>
      <c r="AD18625" s="9"/>
      <c r="AE18625" s="9"/>
      <c r="AF18625" s="9"/>
      <c r="AG18625" s="10"/>
    </row>
    <row r="18626" spans="1:33">
      <c r="A18626" s="9"/>
      <c r="B18626" s="9"/>
      <c r="C18626" s="9"/>
      <c r="D18626" s="9"/>
      <c r="E18626" s="9"/>
      <c r="F18626" s="9"/>
      <c r="G18626" s="9"/>
      <c r="H18626" s="9"/>
      <c r="I18626" s="9"/>
      <c r="J18626" s="9"/>
      <c r="K18626" s="9"/>
      <c r="L18626" s="9"/>
      <c r="M18626" s="9"/>
      <c r="N18626" s="9"/>
      <c r="O18626" s="9"/>
      <c r="P18626" s="9"/>
      <c r="Q18626" s="9"/>
      <c r="R18626" s="9"/>
      <c r="S18626" s="9"/>
      <c r="T18626" s="9"/>
      <c r="U18626" s="9"/>
      <c r="V18626" s="9"/>
      <c r="W18626" s="9"/>
      <c r="X18626" s="9"/>
      <c r="Y18626" s="9"/>
      <c r="Z18626" s="9"/>
      <c r="AA18626" s="9"/>
      <c r="AB18626" s="9"/>
      <c r="AC18626" s="9"/>
      <c r="AD18626" s="9"/>
      <c r="AE18626" s="9"/>
      <c r="AF18626" s="9"/>
      <c r="AG18626" s="10"/>
    </row>
    <row r="18627" spans="1:33">
      <c r="A18627" s="9"/>
      <c r="B18627" s="9"/>
      <c r="C18627" s="9"/>
      <c r="D18627" s="9"/>
      <c r="E18627" s="9"/>
      <c r="F18627" s="9"/>
      <c r="G18627" s="9"/>
      <c r="H18627" s="9"/>
      <c r="I18627" s="9"/>
      <c r="J18627" s="9"/>
      <c r="K18627" s="9"/>
      <c r="L18627" s="9"/>
      <c r="M18627" s="9"/>
      <c r="N18627" s="9"/>
      <c r="O18627" s="9"/>
      <c r="P18627" s="9"/>
      <c r="Q18627" s="9"/>
      <c r="R18627" s="9"/>
      <c r="S18627" s="9"/>
      <c r="T18627" s="9"/>
      <c r="U18627" s="9"/>
      <c r="V18627" s="9"/>
      <c r="W18627" s="9"/>
      <c r="X18627" s="9"/>
      <c r="Y18627" s="9"/>
      <c r="Z18627" s="9"/>
      <c r="AA18627" s="9"/>
      <c r="AB18627" s="9"/>
      <c r="AC18627" s="9"/>
      <c r="AD18627" s="9"/>
      <c r="AE18627" s="9"/>
      <c r="AF18627" s="9"/>
      <c r="AG18627" s="10"/>
    </row>
    <row r="18628" spans="1:33">
      <c r="A18628" s="9"/>
      <c r="B18628" s="9"/>
      <c r="C18628" s="9"/>
      <c r="D18628" s="9"/>
      <c r="E18628" s="9"/>
      <c r="F18628" s="9"/>
      <c r="G18628" s="9"/>
      <c r="H18628" s="9"/>
      <c r="I18628" s="9"/>
      <c r="J18628" s="9"/>
      <c r="K18628" s="9"/>
      <c r="L18628" s="9"/>
      <c r="M18628" s="9"/>
      <c r="N18628" s="9"/>
      <c r="O18628" s="9"/>
      <c r="P18628" s="9"/>
      <c r="Q18628" s="9"/>
      <c r="R18628" s="9"/>
      <c r="S18628" s="9"/>
      <c r="T18628" s="9"/>
      <c r="U18628" s="9"/>
      <c r="V18628" s="9"/>
      <c r="W18628" s="9"/>
      <c r="X18628" s="9"/>
      <c r="Y18628" s="9"/>
      <c r="Z18628" s="9"/>
      <c r="AA18628" s="9"/>
      <c r="AB18628" s="9"/>
      <c r="AC18628" s="9"/>
      <c r="AD18628" s="9"/>
      <c r="AE18628" s="9"/>
      <c r="AF18628" s="9"/>
      <c r="AG18628" s="10"/>
    </row>
    <row r="18629" spans="1:33">
      <c r="A18629" s="9"/>
      <c r="B18629" s="9"/>
      <c r="C18629" s="9"/>
      <c r="D18629" s="9"/>
      <c r="E18629" s="9"/>
      <c r="F18629" s="9"/>
      <c r="G18629" s="9"/>
      <c r="H18629" s="9"/>
      <c r="I18629" s="9"/>
      <c r="J18629" s="9"/>
      <c r="K18629" s="9"/>
      <c r="L18629" s="9"/>
      <c r="M18629" s="9"/>
      <c r="N18629" s="9"/>
      <c r="O18629" s="9"/>
      <c r="P18629" s="9"/>
      <c r="Q18629" s="9"/>
      <c r="R18629" s="9"/>
      <c r="S18629" s="9"/>
      <c r="T18629" s="9"/>
      <c r="U18629" s="9"/>
      <c r="V18629" s="9"/>
      <c r="W18629" s="9"/>
      <c r="X18629" s="9"/>
      <c r="Y18629" s="9"/>
      <c r="Z18629" s="9"/>
      <c r="AA18629" s="9"/>
      <c r="AB18629" s="9"/>
      <c r="AC18629" s="9"/>
      <c r="AD18629" s="9"/>
      <c r="AE18629" s="9"/>
      <c r="AF18629" s="9"/>
      <c r="AG18629" s="10"/>
    </row>
    <row r="18630" spans="1:33">
      <c r="A18630" s="9"/>
      <c r="B18630" s="9"/>
      <c r="C18630" s="9"/>
      <c r="D18630" s="9"/>
      <c r="E18630" s="9"/>
      <c r="F18630" s="9"/>
      <c r="G18630" s="9"/>
      <c r="H18630" s="9"/>
      <c r="I18630" s="9"/>
      <c r="J18630" s="9"/>
      <c r="K18630" s="9"/>
      <c r="L18630" s="9"/>
      <c r="M18630" s="9"/>
      <c r="N18630" s="9"/>
      <c r="O18630" s="9"/>
      <c r="P18630" s="9"/>
      <c r="Q18630" s="9"/>
      <c r="R18630" s="9"/>
      <c r="S18630" s="9"/>
      <c r="T18630" s="9"/>
      <c r="U18630" s="9"/>
      <c r="V18630" s="9"/>
      <c r="W18630" s="9"/>
      <c r="X18630" s="9"/>
      <c r="Y18630" s="9"/>
      <c r="Z18630" s="9"/>
      <c r="AA18630" s="9"/>
      <c r="AB18630" s="9"/>
      <c r="AC18630" s="9"/>
      <c r="AD18630" s="9"/>
      <c r="AE18630" s="9"/>
      <c r="AF18630" s="9"/>
      <c r="AG18630" s="10"/>
    </row>
    <row r="18631" spans="1:33">
      <c r="A18631" s="9"/>
      <c r="B18631" s="9"/>
      <c r="C18631" s="9"/>
      <c r="D18631" s="9"/>
      <c r="E18631" s="9"/>
      <c r="F18631" s="9"/>
      <c r="G18631" s="9"/>
      <c r="H18631" s="9"/>
      <c r="I18631" s="9"/>
      <c r="J18631" s="9"/>
      <c r="K18631" s="9"/>
      <c r="L18631" s="9"/>
      <c r="M18631" s="9"/>
      <c r="N18631" s="9"/>
      <c r="O18631" s="9"/>
      <c r="P18631" s="9"/>
      <c r="Q18631" s="9"/>
      <c r="R18631" s="9"/>
      <c r="S18631" s="9"/>
      <c r="T18631" s="9"/>
      <c r="U18631" s="9"/>
      <c r="V18631" s="9"/>
      <c r="W18631" s="9"/>
      <c r="X18631" s="9"/>
      <c r="Y18631" s="9"/>
      <c r="Z18631" s="9"/>
      <c r="AA18631" s="9"/>
      <c r="AB18631" s="9"/>
      <c r="AC18631" s="9"/>
      <c r="AD18631" s="9"/>
      <c r="AE18631" s="9"/>
      <c r="AF18631" s="9"/>
      <c r="AG18631" s="10"/>
    </row>
    <row r="18632" spans="1:33">
      <c r="A18632" s="9"/>
      <c r="B18632" s="9"/>
      <c r="C18632" s="9"/>
      <c r="D18632" s="9"/>
      <c r="E18632" s="9"/>
      <c r="F18632" s="9"/>
      <c r="G18632" s="9"/>
      <c r="H18632" s="9"/>
      <c r="I18632" s="9"/>
      <c r="J18632" s="9"/>
      <c r="K18632" s="9"/>
      <c r="L18632" s="9"/>
      <c r="M18632" s="9"/>
      <c r="N18632" s="9"/>
      <c r="O18632" s="9"/>
      <c r="P18632" s="9"/>
      <c r="Q18632" s="9"/>
      <c r="R18632" s="9"/>
      <c r="S18632" s="9"/>
      <c r="T18632" s="9"/>
      <c r="U18632" s="9"/>
      <c r="V18632" s="9"/>
      <c r="W18632" s="9"/>
      <c r="X18632" s="9"/>
      <c r="Y18632" s="9"/>
      <c r="Z18632" s="9"/>
      <c r="AA18632" s="9"/>
      <c r="AB18632" s="9"/>
      <c r="AC18632" s="9"/>
      <c r="AD18632" s="9"/>
      <c r="AE18632" s="9"/>
      <c r="AF18632" s="9"/>
      <c r="AG18632" s="10"/>
    </row>
    <row r="18633" spans="1:33">
      <c r="A18633" s="9"/>
      <c r="B18633" s="9"/>
      <c r="C18633" s="9"/>
      <c r="D18633" s="9"/>
      <c r="E18633" s="9"/>
      <c r="F18633" s="9"/>
      <c r="G18633" s="9"/>
      <c r="H18633" s="9"/>
      <c r="I18633" s="9"/>
      <c r="J18633" s="9"/>
      <c r="K18633" s="9"/>
      <c r="L18633" s="9"/>
      <c r="M18633" s="9"/>
      <c r="N18633" s="9"/>
      <c r="O18633" s="9"/>
      <c r="P18633" s="9"/>
      <c r="Q18633" s="9"/>
      <c r="R18633" s="9"/>
      <c r="S18633" s="9"/>
      <c r="T18633" s="9"/>
      <c r="U18633" s="9"/>
      <c r="V18633" s="9"/>
      <c r="W18633" s="9"/>
      <c r="X18633" s="9"/>
      <c r="Y18633" s="9"/>
      <c r="Z18633" s="9"/>
      <c r="AA18633" s="9"/>
      <c r="AB18633" s="9"/>
      <c r="AC18633" s="9"/>
      <c r="AD18633" s="9"/>
      <c r="AE18633" s="9"/>
      <c r="AF18633" s="9"/>
      <c r="AG18633" s="10"/>
    </row>
    <row r="18634" spans="1:33">
      <c r="A18634" s="9"/>
      <c r="B18634" s="9"/>
      <c r="C18634" s="9"/>
      <c r="D18634" s="9"/>
      <c r="E18634" s="9"/>
      <c r="F18634" s="9"/>
      <c r="G18634" s="9"/>
      <c r="H18634" s="9"/>
      <c r="I18634" s="9"/>
      <c r="J18634" s="9"/>
      <c r="K18634" s="9"/>
      <c r="L18634" s="9"/>
      <c r="M18634" s="9"/>
      <c r="N18634" s="9"/>
      <c r="O18634" s="9"/>
      <c r="P18634" s="9"/>
      <c r="Q18634" s="9"/>
      <c r="R18634" s="9"/>
      <c r="S18634" s="9"/>
      <c r="T18634" s="9"/>
      <c r="U18634" s="9"/>
      <c r="V18634" s="9"/>
      <c r="W18634" s="9"/>
      <c r="X18634" s="9"/>
      <c r="Y18634" s="9"/>
      <c r="Z18634" s="9"/>
      <c r="AA18634" s="9"/>
      <c r="AB18634" s="9"/>
      <c r="AC18634" s="9"/>
      <c r="AD18634" s="9"/>
      <c r="AE18634" s="9"/>
      <c r="AF18634" s="9"/>
      <c r="AG18634" s="10"/>
    </row>
    <row r="18635" spans="1:33">
      <c r="A18635" s="9"/>
      <c r="B18635" s="9"/>
      <c r="C18635" s="9"/>
      <c r="D18635" s="9"/>
      <c r="E18635" s="9"/>
      <c r="F18635" s="9"/>
      <c r="G18635" s="9"/>
      <c r="H18635" s="9"/>
      <c r="I18635" s="9"/>
      <c r="J18635" s="9"/>
      <c r="K18635" s="9"/>
      <c r="L18635" s="9"/>
      <c r="M18635" s="9"/>
      <c r="N18635" s="9"/>
      <c r="O18635" s="9"/>
      <c r="P18635" s="9"/>
      <c r="Q18635" s="9"/>
      <c r="R18635" s="9"/>
      <c r="S18635" s="9"/>
      <c r="T18635" s="9"/>
      <c r="U18635" s="9"/>
      <c r="V18635" s="9"/>
      <c r="W18635" s="9"/>
      <c r="X18635" s="9"/>
      <c r="Y18635" s="9"/>
      <c r="Z18635" s="9"/>
      <c r="AA18635" s="9"/>
      <c r="AB18635" s="9"/>
      <c r="AC18635" s="9"/>
      <c r="AD18635" s="9"/>
      <c r="AE18635" s="9"/>
      <c r="AF18635" s="9"/>
      <c r="AG18635" s="10"/>
    </row>
    <row r="18636" spans="1:33">
      <c r="A18636" s="9"/>
      <c r="B18636" s="9"/>
      <c r="C18636" s="9"/>
      <c r="D18636" s="9"/>
      <c r="E18636" s="9"/>
      <c r="F18636" s="9"/>
      <c r="G18636" s="9"/>
      <c r="H18636" s="9"/>
      <c r="I18636" s="9"/>
      <c r="J18636" s="9"/>
      <c r="K18636" s="9"/>
      <c r="L18636" s="9"/>
      <c r="M18636" s="9"/>
      <c r="N18636" s="9"/>
      <c r="O18636" s="9"/>
      <c r="P18636" s="9"/>
      <c r="Q18636" s="9"/>
      <c r="R18636" s="9"/>
      <c r="S18636" s="9"/>
      <c r="T18636" s="9"/>
      <c r="U18636" s="9"/>
      <c r="V18636" s="9"/>
      <c r="W18636" s="9"/>
      <c r="X18636" s="9"/>
      <c r="Y18636" s="9"/>
      <c r="Z18636" s="9"/>
      <c r="AA18636" s="9"/>
      <c r="AB18636" s="9"/>
      <c r="AC18636" s="9"/>
      <c r="AD18636" s="9"/>
      <c r="AE18636" s="9"/>
      <c r="AF18636" s="9"/>
      <c r="AG18636" s="10"/>
    </row>
    <row r="18637" spans="1:33">
      <c r="A18637" s="9"/>
      <c r="B18637" s="9"/>
      <c r="C18637" s="9"/>
      <c r="D18637" s="9"/>
      <c r="E18637" s="9"/>
      <c r="F18637" s="9"/>
      <c r="G18637" s="9"/>
      <c r="H18637" s="9"/>
      <c r="I18637" s="9"/>
      <c r="J18637" s="9"/>
      <c r="K18637" s="9"/>
      <c r="L18637" s="9"/>
      <c r="M18637" s="9"/>
      <c r="N18637" s="9"/>
      <c r="O18637" s="9"/>
      <c r="P18637" s="9"/>
      <c r="Q18637" s="9"/>
      <c r="R18637" s="9"/>
      <c r="S18637" s="9"/>
      <c r="T18637" s="9"/>
      <c r="U18637" s="9"/>
      <c r="V18637" s="9"/>
      <c r="W18637" s="9"/>
      <c r="X18637" s="9"/>
      <c r="Y18637" s="9"/>
      <c r="Z18637" s="9"/>
      <c r="AA18637" s="9"/>
      <c r="AB18637" s="9"/>
      <c r="AC18637" s="9"/>
      <c r="AD18637" s="9"/>
      <c r="AE18637" s="9"/>
      <c r="AF18637" s="9"/>
      <c r="AG18637" s="10"/>
    </row>
    <row r="18638" spans="1:33">
      <c r="A18638" s="9"/>
      <c r="B18638" s="9"/>
      <c r="C18638" s="9"/>
      <c r="D18638" s="9"/>
      <c r="E18638" s="9"/>
      <c r="F18638" s="9"/>
      <c r="G18638" s="9"/>
      <c r="H18638" s="9"/>
      <c r="I18638" s="9"/>
      <c r="J18638" s="9"/>
      <c r="K18638" s="9"/>
      <c r="L18638" s="9"/>
      <c r="M18638" s="9"/>
      <c r="N18638" s="9"/>
      <c r="O18638" s="9"/>
      <c r="P18638" s="9"/>
      <c r="Q18638" s="9"/>
      <c r="R18638" s="9"/>
      <c r="S18638" s="9"/>
      <c r="T18638" s="9"/>
      <c r="U18638" s="9"/>
      <c r="V18638" s="9"/>
      <c r="W18638" s="9"/>
      <c r="X18638" s="9"/>
      <c r="Y18638" s="9"/>
      <c r="Z18638" s="9"/>
      <c r="AA18638" s="9"/>
      <c r="AB18638" s="9"/>
      <c r="AC18638" s="9"/>
      <c r="AD18638" s="9"/>
      <c r="AE18638" s="9"/>
      <c r="AF18638" s="9"/>
      <c r="AG18638" s="10"/>
    </row>
    <row r="18639" spans="1:33">
      <c r="A18639" s="9"/>
      <c r="B18639" s="9"/>
      <c r="C18639" s="9"/>
      <c r="D18639" s="9"/>
      <c r="E18639" s="9"/>
      <c r="F18639" s="9"/>
      <c r="G18639" s="9"/>
      <c r="H18639" s="9"/>
      <c r="I18639" s="9"/>
      <c r="J18639" s="9"/>
      <c r="K18639" s="9"/>
      <c r="L18639" s="9"/>
      <c r="M18639" s="9"/>
      <c r="N18639" s="9"/>
      <c r="O18639" s="9"/>
      <c r="P18639" s="9"/>
      <c r="Q18639" s="9"/>
      <c r="R18639" s="9"/>
      <c r="S18639" s="9"/>
      <c r="T18639" s="9"/>
      <c r="U18639" s="9"/>
      <c r="V18639" s="9"/>
      <c r="W18639" s="9"/>
      <c r="X18639" s="9"/>
      <c r="Y18639" s="9"/>
      <c r="Z18639" s="9"/>
      <c r="AA18639" s="9"/>
      <c r="AB18639" s="9"/>
      <c r="AC18639" s="9"/>
      <c r="AD18639" s="9"/>
      <c r="AE18639" s="9"/>
      <c r="AF18639" s="9"/>
      <c r="AG18639" s="10"/>
    </row>
    <row r="18640" spans="1:33">
      <c r="A18640" s="9"/>
      <c r="B18640" s="9"/>
      <c r="C18640" s="9"/>
      <c r="D18640" s="9"/>
      <c r="E18640" s="9"/>
      <c r="F18640" s="9"/>
      <c r="G18640" s="9"/>
      <c r="H18640" s="9"/>
      <c r="I18640" s="9"/>
      <c r="J18640" s="9"/>
      <c r="K18640" s="9"/>
      <c r="L18640" s="9"/>
      <c r="M18640" s="9"/>
      <c r="N18640" s="9"/>
      <c r="O18640" s="9"/>
      <c r="P18640" s="9"/>
      <c r="Q18640" s="9"/>
      <c r="R18640" s="9"/>
      <c r="S18640" s="9"/>
      <c r="T18640" s="9"/>
      <c r="U18640" s="9"/>
      <c r="V18640" s="9"/>
      <c r="W18640" s="9"/>
      <c r="X18640" s="9"/>
      <c r="Y18640" s="9"/>
      <c r="Z18640" s="9"/>
      <c r="AA18640" s="9"/>
      <c r="AB18640" s="9"/>
      <c r="AC18640" s="9"/>
      <c r="AD18640" s="9"/>
      <c r="AE18640" s="9"/>
      <c r="AF18640" s="9"/>
      <c r="AG18640" s="10"/>
    </row>
    <row r="18641" spans="1:33">
      <c r="A18641" s="9"/>
      <c r="B18641" s="9"/>
      <c r="C18641" s="9"/>
      <c r="D18641" s="9"/>
      <c r="E18641" s="9"/>
      <c r="F18641" s="9"/>
      <c r="G18641" s="9"/>
      <c r="H18641" s="9"/>
      <c r="I18641" s="9"/>
      <c r="J18641" s="9"/>
      <c r="K18641" s="9"/>
      <c r="L18641" s="9"/>
      <c r="M18641" s="9"/>
      <c r="N18641" s="9"/>
      <c r="O18641" s="9"/>
      <c r="P18641" s="9"/>
      <c r="Q18641" s="9"/>
      <c r="R18641" s="9"/>
      <c r="S18641" s="9"/>
      <c r="T18641" s="9"/>
      <c r="U18641" s="9"/>
      <c r="V18641" s="9"/>
      <c r="W18641" s="9"/>
      <c r="X18641" s="9"/>
      <c r="Y18641" s="9"/>
      <c r="Z18641" s="9"/>
      <c r="AA18641" s="9"/>
      <c r="AB18641" s="9"/>
      <c r="AC18641" s="9"/>
      <c r="AD18641" s="9"/>
      <c r="AE18641" s="9"/>
      <c r="AF18641" s="9"/>
      <c r="AG18641" s="10"/>
    </row>
    <row r="18642" spans="1:33">
      <c r="A18642" s="9"/>
      <c r="B18642" s="9"/>
      <c r="C18642" s="9"/>
      <c r="D18642" s="9"/>
      <c r="E18642" s="9"/>
      <c r="F18642" s="9"/>
      <c r="G18642" s="9"/>
      <c r="H18642" s="9"/>
      <c r="I18642" s="9"/>
      <c r="J18642" s="9"/>
      <c r="K18642" s="9"/>
      <c r="L18642" s="9"/>
      <c r="M18642" s="9"/>
      <c r="N18642" s="9"/>
      <c r="O18642" s="9"/>
      <c r="P18642" s="9"/>
      <c r="Q18642" s="9"/>
      <c r="R18642" s="9"/>
      <c r="S18642" s="9"/>
      <c r="T18642" s="9"/>
      <c r="U18642" s="9"/>
      <c r="V18642" s="9"/>
      <c r="W18642" s="9"/>
      <c r="X18642" s="9"/>
      <c r="Y18642" s="9"/>
      <c r="Z18642" s="9"/>
      <c r="AA18642" s="9"/>
      <c r="AB18642" s="9"/>
      <c r="AC18642" s="9"/>
      <c r="AD18642" s="9"/>
      <c r="AE18642" s="9"/>
      <c r="AF18642" s="9"/>
      <c r="AG18642" s="10"/>
    </row>
    <row r="18643" spans="1:33">
      <c r="A18643" s="9"/>
      <c r="B18643" s="9"/>
      <c r="C18643" s="9"/>
      <c r="D18643" s="9"/>
      <c r="E18643" s="9"/>
      <c r="F18643" s="9"/>
      <c r="G18643" s="9"/>
      <c r="H18643" s="9"/>
      <c r="I18643" s="9"/>
      <c r="J18643" s="9"/>
      <c r="K18643" s="9"/>
      <c r="L18643" s="9"/>
      <c r="M18643" s="9"/>
      <c r="N18643" s="9"/>
      <c r="O18643" s="9"/>
      <c r="P18643" s="9"/>
      <c r="Q18643" s="9"/>
      <c r="R18643" s="9"/>
      <c r="S18643" s="9"/>
      <c r="T18643" s="9"/>
      <c r="U18643" s="9"/>
      <c r="V18643" s="9"/>
      <c r="W18643" s="9"/>
      <c r="X18643" s="9"/>
      <c r="Y18643" s="9"/>
      <c r="Z18643" s="9"/>
      <c r="AA18643" s="9"/>
      <c r="AB18643" s="9"/>
      <c r="AC18643" s="9"/>
      <c r="AD18643" s="9"/>
      <c r="AE18643" s="9"/>
      <c r="AF18643" s="9"/>
      <c r="AG18643" s="10"/>
    </row>
    <row r="18644" spans="1:33">
      <c r="A18644" s="9"/>
      <c r="B18644" s="9"/>
      <c r="C18644" s="9"/>
      <c r="D18644" s="9"/>
      <c r="E18644" s="9"/>
      <c r="F18644" s="9"/>
      <c r="G18644" s="9"/>
      <c r="H18644" s="9"/>
      <c r="I18644" s="9"/>
      <c r="J18644" s="9"/>
      <c r="K18644" s="9"/>
      <c r="L18644" s="9"/>
      <c r="M18644" s="9"/>
      <c r="N18644" s="9"/>
      <c r="O18644" s="9"/>
      <c r="P18644" s="9"/>
      <c r="Q18644" s="9"/>
      <c r="R18644" s="9"/>
      <c r="S18644" s="9"/>
      <c r="T18644" s="9"/>
      <c r="U18644" s="9"/>
      <c r="V18644" s="9"/>
      <c r="W18644" s="9"/>
      <c r="X18644" s="9"/>
      <c r="Y18644" s="9"/>
      <c r="Z18644" s="9"/>
      <c r="AA18644" s="9"/>
      <c r="AB18644" s="9"/>
      <c r="AC18644" s="9"/>
      <c r="AD18644" s="9"/>
      <c r="AE18644" s="9"/>
      <c r="AF18644" s="9"/>
      <c r="AG18644" s="10"/>
    </row>
    <row r="18645" spans="1:33">
      <c r="A18645" s="9"/>
      <c r="B18645" s="9"/>
      <c r="C18645" s="9"/>
      <c r="D18645" s="9"/>
      <c r="E18645" s="9"/>
      <c r="F18645" s="9"/>
      <c r="G18645" s="9"/>
      <c r="H18645" s="9"/>
      <c r="I18645" s="9"/>
      <c r="J18645" s="9"/>
      <c r="K18645" s="9"/>
      <c r="L18645" s="9"/>
      <c r="M18645" s="9"/>
      <c r="N18645" s="9"/>
      <c r="O18645" s="9"/>
      <c r="P18645" s="9"/>
      <c r="Q18645" s="9"/>
      <c r="R18645" s="9"/>
      <c r="S18645" s="9"/>
      <c r="T18645" s="9"/>
      <c r="U18645" s="9"/>
      <c r="V18645" s="9"/>
      <c r="W18645" s="9"/>
      <c r="X18645" s="9"/>
      <c r="Y18645" s="9"/>
      <c r="Z18645" s="9"/>
      <c r="AA18645" s="9"/>
      <c r="AB18645" s="9"/>
      <c r="AC18645" s="9"/>
      <c r="AD18645" s="9"/>
      <c r="AE18645" s="9"/>
      <c r="AF18645" s="9"/>
      <c r="AG18645" s="10"/>
    </row>
    <row r="18646" spans="1:33">
      <c r="A18646" s="9"/>
      <c r="B18646" s="9"/>
      <c r="C18646" s="9"/>
      <c r="D18646" s="9"/>
      <c r="E18646" s="9"/>
      <c r="F18646" s="9"/>
      <c r="G18646" s="9"/>
      <c r="H18646" s="9"/>
      <c r="I18646" s="9"/>
      <c r="J18646" s="9"/>
      <c r="K18646" s="9"/>
      <c r="L18646" s="9"/>
      <c r="M18646" s="9"/>
      <c r="N18646" s="9"/>
      <c r="O18646" s="9"/>
      <c r="P18646" s="9"/>
      <c r="Q18646" s="9"/>
      <c r="R18646" s="9"/>
      <c r="S18646" s="9"/>
      <c r="T18646" s="9"/>
      <c r="U18646" s="9"/>
      <c r="V18646" s="9"/>
      <c r="W18646" s="9"/>
      <c r="X18646" s="9"/>
      <c r="Y18646" s="9"/>
      <c r="Z18646" s="9"/>
      <c r="AA18646" s="9"/>
      <c r="AB18646" s="9"/>
      <c r="AC18646" s="9"/>
      <c r="AD18646" s="9"/>
      <c r="AE18646" s="9"/>
      <c r="AF18646" s="9"/>
      <c r="AG18646" s="10"/>
    </row>
    <row r="18647" spans="1:33">
      <c r="A18647" s="9"/>
      <c r="B18647" s="9"/>
      <c r="C18647" s="9"/>
      <c r="D18647" s="9"/>
      <c r="E18647" s="9"/>
      <c r="F18647" s="9"/>
      <c r="G18647" s="9"/>
      <c r="H18647" s="9"/>
      <c r="I18647" s="9"/>
      <c r="J18647" s="9"/>
      <c r="K18647" s="9"/>
      <c r="L18647" s="9"/>
      <c r="M18647" s="9"/>
      <c r="N18647" s="9"/>
      <c r="O18647" s="9"/>
      <c r="P18647" s="9"/>
      <c r="Q18647" s="9"/>
      <c r="R18647" s="9"/>
      <c r="S18647" s="9"/>
      <c r="T18647" s="9"/>
      <c r="U18647" s="9"/>
      <c r="V18647" s="9"/>
      <c r="W18647" s="9"/>
      <c r="X18647" s="9"/>
      <c r="Y18647" s="9"/>
      <c r="Z18647" s="9"/>
      <c r="AA18647" s="9"/>
      <c r="AB18647" s="9"/>
      <c r="AC18647" s="9"/>
      <c r="AD18647" s="9"/>
      <c r="AE18647" s="9"/>
      <c r="AF18647" s="9"/>
      <c r="AG18647" s="10"/>
    </row>
    <row r="18648" spans="1:33">
      <c r="A18648" s="9"/>
      <c r="B18648" s="9"/>
      <c r="C18648" s="9"/>
      <c r="D18648" s="9"/>
      <c r="E18648" s="9"/>
      <c r="F18648" s="9"/>
      <c r="G18648" s="9"/>
      <c r="H18648" s="9"/>
      <c r="I18648" s="9"/>
      <c r="J18648" s="9"/>
      <c r="K18648" s="9"/>
      <c r="L18648" s="9"/>
      <c r="M18648" s="9"/>
      <c r="N18648" s="9"/>
      <c r="O18648" s="9"/>
      <c r="P18648" s="9"/>
      <c r="Q18648" s="9"/>
      <c r="R18648" s="9"/>
      <c r="S18648" s="9"/>
      <c r="T18648" s="9"/>
      <c r="U18648" s="9"/>
      <c r="V18648" s="9"/>
      <c r="W18648" s="9"/>
      <c r="X18648" s="9"/>
      <c r="Y18648" s="9"/>
      <c r="Z18648" s="9"/>
      <c r="AA18648" s="9"/>
      <c r="AB18648" s="9"/>
      <c r="AC18648" s="9"/>
      <c r="AD18648" s="9"/>
      <c r="AE18648" s="9"/>
      <c r="AF18648" s="9"/>
      <c r="AG18648" s="10"/>
    </row>
    <row r="18649" spans="1:33">
      <c r="A18649" s="9"/>
      <c r="B18649" s="9"/>
      <c r="C18649" s="9"/>
      <c r="D18649" s="9"/>
      <c r="E18649" s="9"/>
      <c r="F18649" s="9"/>
      <c r="G18649" s="9"/>
      <c r="H18649" s="9"/>
      <c r="I18649" s="9"/>
      <c r="J18649" s="9"/>
      <c r="K18649" s="9"/>
      <c r="L18649" s="9"/>
      <c r="M18649" s="9"/>
      <c r="N18649" s="9"/>
      <c r="O18649" s="9"/>
      <c r="P18649" s="9"/>
      <c r="Q18649" s="9"/>
      <c r="R18649" s="9"/>
      <c r="S18649" s="9"/>
      <c r="T18649" s="9"/>
      <c r="U18649" s="9"/>
      <c r="V18649" s="9"/>
      <c r="W18649" s="9"/>
      <c r="X18649" s="9"/>
      <c r="Y18649" s="9"/>
      <c r="Z18649" s="9"/>
      <c r="AA18649" s="9"/>
      <c r="AB18649" s="9"/>
      <c r="AC18649" s="9"/>
      <c r="AD18649" s="9"/>
      <c r="AE18649" s="9"/>
      <c r="AF18649" s="9"/>
      <c r="AG18649" s="10"/>
    </row>
    <row r="18650" spans="1:33">
      <c r="A18650" s="9"/>
      <c r="B18650" s="9"/>
      <c r="C18650" s="9"/>
      <c r="D18650" s="9"/>
      <c r="E18650" s="9"/>
      <c r="F18650" s="9"/>
      <c r="G18650" s="9"/>
      <c r="H18650" s="9"/>
      <c r="I18650" s="9"/>
      <c r="J18650" s="9"/>
      <c r="K18650" s="9"/>
      <c r="L18650" s="9"/>
      <c r="M18650" s="9"/>
      <c r="N18650" s="9"/>
      <c r="O18650" s="9"/>
      <c r="P18650" s="9"/>
      <c r="Q18650" s="9"/>
      <c r="R18650" s="9"/>
      <c r="S18650" s="9"/>
      <c r="T18650" s="9"/>
      <c r="U18650" s="9"/>
      <c r="V18650" s="9"/>
      <c r="W18650" s="9"/>
      <c r="X18650" s="9"/>
      <c r="Y18650" s="9"/>
      <c r="Z18650" s="9"/>
      <c r="AA18650" s="9"/>
      <c r="AB18650" s="9"/>
      <c r="AC18650" s="9"/>
      <c r="AD18650" s="9"/>
      <c r="AE18650" s="9"/>
      <c r="AF18650" s="9"/>
      <c r="AG18650" s="10"/>
    </row>
    <row r="18651" spans="1:33">
      <c r="A18651" s="9"/>
      <c r="B18651" s="9"/>
      <c r="C18651" s="9"/>
      <c r="D18651" s="9"/>
      <c r="E18651" s="9"/>
      <c r="F18651" s="9"/>
      <c r="G18651" s="9"/>
      <c r="H18651" s="9"/>
      <c r="I18651" s="9"/>
      <c r="J18651" s="9"/>
      <c r="K18651" s="9"/>
      <c r="L18651" s="9"/>
      <c r="M18651" s="9"/>
      <c r="N18651" s="9"/>
      <c r="O18651" s="9"/>
      <c r="P18651" s="9"/>
      <c r="Q18651" s="9"/>
      <c r="R18651" s="9"/>
      <c r="S18651" s="9"/>
      <c r="T18651" s="9"/>
      <c r="U18651" s="9"/>
      <c r="V18651" s="9"/>
      <c r="W18651" s="9"/>
      <c r="X18651" s="9"/>
      <c r="Y18651" s="9"/>
      <c r="Z18651" s="9"/>
      <c r="AA18651" s="9"/>
      <c r="AB18651" s="9"/>
      <c r="AC18651" s="9"/>
      <c r="AD18651" s="9"/>
      <c r="AE18651" s="9"/>
      <c r="AF18651" s="9"/>
      <c r="AG18651" s="10"/>
    </row>
    <row r="18652" spans="1:33">
      <c r="A18652" s="9"/>
      <c r="B18652" s="9"/>
      <c r="C18652" s="9"/>
      <c r="D18652" s="9"/>
      <c r="E18652" s="9"/>
      <c r="F18652" s="9"/>
      <c r="G18652" s="9"/>
      <c r="H18652" s="9"/>
      <c r="I18652" s="9"/>
      <c r="J18652" s="9"/>
      <c r="K18652" s="9"/>
      <c r="L18652" s="9"/>
      <c r="M18652" s="9"/>
      <c r="N18652" s="9"/>
      <c r="O18652" s="9"/>
      <c r="P18652" s="9"/>
      <c r="Q18652" s="9"/>
      <c r="R18652" s="9"/>
      <c r="S18652" s="9"/>
      <c r="T18652" s="9"/>
      <c r="U18652" s="9"/>
      <c r="V18652" s="9"/>
      <c r="W18652" s="9"/>
      <c r="X18652" s="9"/>
      <c r="Y18652" s="9"/>
      <c r="Z18652" s="9"/>
      <c r="AA18652" s="9"/>
      <c r="AB18652" s="9"/>
      <c r="AC18652" s="9"/>
      <c r="AD18652" s="9"/>
      <c r="AE18652" s="9"/>
      <c r="AF18652" s="9"/>
      <c r="AG18652" s="10"/>
    </row>
    <row r="18653" spans="1:33">
      <c r="A18653" s="9"/>
      <c r="B18653" s="9"/>
      <c r="C18653" s="9"/>
      <c r="D18653" s="9"/>
      <c r="E18653" s="9"/>
      <c r="F18653" s="9"/>
      <c r="G18653" s="9"/>
      <c r="H18653" s="9"/>
      <c r="I18653" s="9"/>
      <c r="J18653" s="9"/>
      <c r="K18653" s="9"/>
      <c r="L18653" s="9"/>
      <c r="M18653" s="9"/>
      <c r="N18653" s="9"/>
      <c r="O18653" s="9"/>
      <c r="P18653" s="9"/>
      <c r="Q18653" s="9"/>
      <c r="R18653" s="9"/>
      <c r="S18653" s="9"/>
      <c r="T18653" s="9"/>
      <c r="U18653" s="9"/>
      <c r="V18653" s="9"/>
      <c r="W18653" s="9"/>
      <c r="X18653" s="9"/>
      <c r="Y18653" s="9"/>
      <c r="Z18653" s="9"/>
      <c r="AA18653" s="9"/>
      <c r="AB18653" s="9"/>
      <c r="AC18653" s="9"/>
      <c r="AD18653" s="9"/>
      <c r="AE18653" s="9"/>
      <c r="AF18653" s="9"/>
      <c r="AG18653" s="10"/>
    </row>
    <row r="18654" spans="1:33">
      <c r="A18654" s="9"/>
      <c r="B18654" s="9"/>
      <c r="C18654" s="9"/>
      <c r="D18654" s="9"/>
      <c r="E18654" s="9"/>
      <c r="F18654" s="9"/>
      <c r="G18654" s="9"/>
      <c r="H18654" s="9"/>
      <c r="I18654" s="9"/>
      <c r="J18654" s="9"/>
      <c r="K18654" s="9"/>
      <c r="L18654" s="9"/>
      <c r="M18654" s="9"/>
      <c r="N18654" s="9"/>
      <c r="O18654" s="9"/>
      <c r="P18654" s="9"/>
      <c r="Q18654" s="9"/>
      <c r="R18654" s="9"/>
      <c r="S18654" s="9"/>
      <c r="T18654" s="9"/>
      <c r="U18654" s="9"/>
      <c r="V18654" s="9"/>
      <c r="W18654" s="9"/>
      <c r="X18654" s="9"/>
      <c r="Y18654" s="9"/>
      <c r="Z18654" s="9"/>
      <c r="AA18654" s="9"/>
      <c r="AB18654" s="9"/>
      <c r="AC18654" s="9"/>
      <c r="AD18654" s="9"/>
      <c r="AE18654" s="9"/>
      <c r="AF18654" s="9"/>
      <c r="AG18654" s="10"/>
    </row>
    <row r="18655" spans="1:33">
      <c r="A18655" s="9"/>
      <c r="B18655" s="9"/>
      <c r="C18655" s="9"/>
      <c r="D18655" s="9"/>
      <c r="E18655" s="9"/>
      <c r="F18655" s="9"/>
      <c r="G18655" s="9"/>
      <c r="H18655" s="9"/>
      <c r="I18655" s="9"/>
      <c r="J18655" s="9"/>
      <c r="K18655" s="9"/>
      <c r="L18655" s="9"/>
      <c r="M18655" s="9"/>
      <c r="N18655" s="9"/>
      <c r="O18655" s="9"/>
      <c r="P18655" s="9"/>
      <c r="Q18655" s="9"/>
      <c r="R18655" s="9"/>
      <c r="S18655" s="9"/>
      <c r="T18655" s="9"/>
      <c r="U18655" s="9"/>
      <c r="V18655" s="9"/>
      <c r="W18655" s="9"/>
      <c r="X18655" s="9"/>
      <c r="Y18655" s="9"/>
      <c r="Z18655" s="9"/>
      <c r="AA18655" s="9"/>
      <c r="AB18655" s="9"/>
      <c r="AC18655" s="9"/>
      <c r="AD18655" s="9"/>
      <c r="AE18655" s="9"/>
      <c r="AF18655" s="9"/>
      <c r="AG18655" s="10"/>
    </row>
    <row r="18656" spans="1:33">
      <c r="A18656" s="9"/>
      <c r="B18656" s="9"/>
      <c r="C18656" s="9"/>
      <c r="D18656" s="9"/>
      <c r="E18656" s="9"/>
      <c r="F18656" s="9"/>
      <c r="G18656" s="9"/>
      <c r="H18656" s="9"/>
      <c r="I18656" s="9"/>
      <c r="J18656" s="9"/>
      <c r="K18656" s="9"/>
      <c r="L18656" s="9"/>
      <c r="M18656" s="9"/>
      <c r="N18656" s="9"/>
      <c r="O18656" s="9"/>
      <c r="P18656" s="9"/>
      <c r="Q18656" s="9"/>
      <c r="R18656" s="9"/>
      <c r="S18656" s="9"/>
      <c r="T18656" s="9"/>
      <c r="U18656" s="9"/>
      <c r="V18656" s="9"/>
      <c r="W18656" s="9"/>
      <c r="X18656" s="9"/>
      <c r="Y18656" s="9"/>
      <c r="Z18656" s="9"/>
      <c r="AA18656" s="9"/>
      <c r="AB18656" s="9"/>
      <c r="AC18656" s="9"/>
      <c r="AD18656" s="9"/>
      <c r="AE18656" s="9"/>
      <c r="AF18656" s="9"/>
      <c r="AG18656" s="10"/>
    </row>
    <row r="18657" spans="1:33">
      <c r="A18657" s="9"/>
      <c r="B18657" s="9"/>
      <c r="C18657" s="9"/>
      <c r="D18657" s="9"/>
      <c r="E18657" s="9"/>
      <c r="F18657" s="9"/>
      <c r="G18657" s="9"/>
      <c r="H18657" s="9"/>
      <c r="I18657" s="9"/>
      <c r="J18657" s="9"/>
      <c r="K18657" s="9"/>
      <c r="L18657" s="9"/>
      <c r="M18657" s="9"/>
      <c r="N18657" s="9"/>
      <c r="O18657" s="9"/>
      <c r="P18657" s="9"/>
      <c r="Q18657" s="9"/>
      <c r="R18657" s="9"/>
      <c r="S18657" s="9"/>
      <c r="T18657" s="9"/>
      <c r="U18657" s="9"/>
      <c r="V18657" s="9"/>
      <c r="W18657" s="9"/>
      <c r="X18657" s="9"/>
      <c r="Y18657" s="9"/>
      <c r="Z18657" s="9"/>
      <c r="AA18657" s="9"/>
      <c r="AB18657" s="9"/>
      <c r="AC18657" s="9"/>
      <c r="AD18657" s="9"/>
      <c r="AE18657" s="9"/>
      <c r="AF18657" s="9"/>
      <c r="AG18657" s="10"/>
    </row>
    <row r="18658" spans="1:33">
      <c r="A18658" s="9"/>
      <c r="B18658" s="9"/>
      <c r="C18658" s="9"/>
      <c r="D18658" s="9"/>
      <c r="E18658" s="9"/>
      <c r="F18658" s="9"/>
      <c r="G18658" s="9"/>
      <c r="H18658" s="9"/>
      <c r="I18658" s="9"/>
      <c r="J18658" s="9"/>
      <c r="K18658" s="9"/>
      <c r="L18658" s="9"/>
      <c r="M18658" s="9"/>
      <c r="N18658" s="9"/>
      <c r="O18658" s="9"/>
      <c r="P18658" s="9"/>
      <c r="Q18658" s="9"/>
      <c r="R18658" s="9"/>
      <c r="S18658" s="9"/>
      <c r="T18658" s="9"/>
      <c r="U18658" s="9"/>
      <c r="V18658" s="9"/>
      <c r="W18658" s="9"/>
      <c r="X18658" s="9"/>
      <c r="Y18658" s="9"/>
      <c r="Z18658" s="9"/>
      <c r="AA18658" s="9"/>
      <c r="AB18658" s="9"/>
      <c r="AC18658" s="9"/>
      <c r="AD18658" s="9"/>
      <c r="AE18658" s="9"/>
      <c r="AF18658" s="9"/>
      <c r="AG18658" s="10"/>
    </row>
    <row r="18659" spans="1:33">
      <c r="A18659" s="9"/>
      <c r="B18659" s="9"/>
      <c r="C18659" s="9"/>
      <c r="D18659" s="9"/>
      <c r="E18659" s="9"/>
      <c r="F18659" s="9"/>
      <c r="G18659" s="9"/>
      <c r="H18659" s="9"/>
      <c r="I18659" s="9"/>
      <c r="J18659" s="9"/>
      <c r="K18659" s="9"/>
      <c r="L18659" s="9"/>
      <c r="M18659" s="9"/>
      <c r="N18659" s="9"/>
      <c r="O18659" s="9"/>
      <c r="P18659" s="9"/>
      <c r="Q18659" s="9"/>
      <c r="R18659" s="9"/>
      <c r="S18659" s="9"/>
      <c r="T18659" s="9"/>
      <c r="U18659" s="9"/>
      <c r="V18659" s="9"/>
      <c r="W18659" s="9"/>
      <c r="X18659" s="9"/>
      <c r="Y18659" s="9"/>
      <c r="Z18659" s="9"/>
      <c r="AA18659" s="9"/>
      <c r="AB18659" s="9"/>
      <c r="AC18659" s="9"/>
      <c r="AD18659" s="9"/>
      <c r="AE18659" s="9"/>
      <c r="AF18659" s="9"/>
      <c r="AG18659" s="10"/>
    </row>
    <row r="18660" spans="1:33">
      <c r="A18660" s="9"/>
      <c r="B18660" s="9"/>
      <c r="C18660" s="9"/>
      <c r="D18660" s="9"/>
      <c r="E18660" s="9"/>
      <c r="F18660" s="9"/>
      <c r="G18660" s="9"/>
      <c r="H18660" s="9"/>
      <c r="I18660" s="9"/>
      <c r="J18660" s="9"/>
      <c r="K18660" s="9"/>
      <c r="L18660" s="9"/>
      <c r="M18660" s="9"/>
      <c r="N18660" s="9"/>
      <c r="O18660" s="9"/>
      <c r="P18660" s="9"/>
      <c r="Q18660" s="9"/>
      <c r="R18660" s="9"/>
      <c r="S18660" s="9"/>
      <c r="T18660" s="9"/>
      <c r="U18660" s="9"/>
      <c r="V18660" s="9"/>
      <c r="W18660" s="9"/>
      <c r="X18660" s="9"/>
      <c r="Y18660" s="9"/>
      <c r="Z18660" s="9"/>
      <c r="AA18660" s="9"/>
      <c r="AB18660" s="9"/>
      <c r="AC18660" s="9"/>
      <c r="AD18660" s="9"/>
      <c r="AE18660" s="9"/>
      <c r="AF18660" s="9"/>
      <c r="AG18660" s="10"/>
    </row>
    <row r="18661" spans="1:33">
      <c r="A18661" s="9"/>
      <c r="B18661" s="9"/>
      <c r="C18661" s="9"/>
      <c r="D18661" s="9"/>
      <c r="E18661" s="9"/>
      <c r="F18661" s="9"/>
      <c r="G18661" s="9"/>
      <c r="H18661" s="9"/>
      <c r="I18661" s="9"/>
      <c r="J18661" s="9"/>
      <c r="K18661" s="9"/>
      <c r="L18661" s="9"/>
      <c r="M18661" s="9"/>
      <c r="N18661" s="9"/>
      <c r="O18661" s="9"/>
      <c r="P18661" s="9"/>
      <c r="Q18661" s="9"/>
      <c r="R18661" s="9"/>
      <c r="S18661" s="9"/>
      <c r="T18661" s="9"/>
      <c r="U18661" s="9"/>
      <c r="V18661" s="9"/>
      <c r="W18661" s="9"/>
      <c r="X18661" s="9"/>
      <c r="Y18661" s="9"/>
      <c r="Z18661" s="9"/>
      <c r="AA18661" s="9"/>
      <c r="AB18661" s="9"/>
      <c r="AC18661" s="9"/>
      <c r="AD18661" s="9"/>
      <c r="AE18661" s="9"/>
      <c r="AF18661" s="9"/>
      <c r="AG18661" s="10"/>
    </row>
    <row r="18662" spans="1:33">
      <c r="A18662" s="9"/>
      <c r="B18662" s="9"/>
      <c r="C18662" s="9"/>
      <c r="D18662" s="9"/>
      <c r="E18662" s="9"/>
      <c r="F18662" s="9"/>
      <c r="G18662" s="9"/>
      <c r="H18662" s="9"/>
      <c r="I18662" s="9"/>
      <c r="J18662" s="9"/>
      <c r="K18662" s="9"/>
      <c r="L18662" s="9"/>
      <c r="M18662" s="9"/>
      <c r="N18662" s="9"/>
      <c r="O18662" s="9"/>
      <c r="P18662" s="9"/>
      <c r="Q18662" s="9"/>
      <c r="R18662" s="9"/>
      <c r="S18662" s="9"/>
      <c r="T18662" s="9"/>
      <c r="U18662" s="9"/>
      <c r="V18662" s="9"/>
      <c r="W18662" s="9"/>
      <c r="X18662" s="9"/>
      <c r="Y18662" s="9"/>
      <c r="Z18662" s="9"/>
      <c r="AA18662" s="9"/>
      <c r="AB18662" s="9"/>
      <c r="AC18662" s="9"/>
      <c r="AD18662" s="9"/>
      <c r="AE18662" s="9"/>
      <c r="AF18662" s="9"/>
      <c r="AG18662" s="10"/>
    </row>
    <row r="18663" spans="1:33">
      <c r="A18663" s="9"/>
      <c r="B18663" s="9"/>
      <c r="C18663" s="9"/>
      <c r="D18663" s="9"/>
      <c r="E18663" s="9"/>
      <c r="F18663" s="9"/>
      <c r="G18663" s="9"/>
      <c r="H18663" s="9"/>
      <c r="I18663" s="9"/>
      <c r="J18663" s="9"/>
      <c r="K18663" s="9"/>
      <c r="L18663" s="9"/>
      <c r="M18663" s="9"/>
      <c r="N18663" s="9"/>
      <c r="O18663" s="9"/>
      <c r="P18663" s="9"/>
      <c r="Q18663" s="9"/>
      <c r="R18663" s="9"/>
      <c r="S18663" s="9"/>
      <c r="T18663" s="9"/>
      <c r="U18663" s="9"/>
      <c r="V18663" s="9"/>
      <c r="W18663" s="9"/>
      <c r="X18663" s="9"/>
      <c r="Y18663" s="9"/>
      <c r="Z18663" s="9"/>
      <c r="AA18663" s="9"/>
      <c r="AB18663" s="9"/>
      <c r="AC18663" s="9"/>
      <c r="AD18663" s="9"/>
      <c r="AE18663" s="9"/>
      <c r="AF18663" s="9"/>
      <c r="AG18663" s="10"/>
    </row>
    <row r="18664" spans="1:33">
      <c r="A18664" s="9"/>
      <c r="B18664" s="9"/>
      <c r="C18664" s="9"/>
      <c r="D18664" s="9"/>
      <c r="E18664" s="9"/>
      <c r="F18664" s="9"/>
      <c r="G18664" s="9"/>
      <c r="H18664" s="9"/>
      <c r="I18664" s="9"/>
      <c r="J18664" s="9"/>
      <c r="K18664" s="9"/>
      <c r="L18664" s="9"/>
      <c r="M18664" s="9"/>
      <c r="N18664" s="9"/>
      <c r="O18664" s="9"/>
      <c r="P18664" s="9"/>
      <c r="Q18664" s="9"/>
      <c r="R18664" s="9"/>
      <c r="S18664" s="9"/>
      <c r="T18664" s="9"/>
      <c r="U18664" s="9"/>
      <c r="V18664" s="9"/>
      <c r="W18664" s="9"/>
      <c r="X18664" s="9"/>
      <c r="Y18664" s="9"/>
      <c r="Z18664" s="9"/>
      <c r="AA18664" s="9"/>
      <c r="AB18664" s="9"/>
      <c r="AC18664" s="9"/>
      <c r="AD18664" s="9"/>
      <c r="AE18664" s="9"/>
      <c r="AF18664" s="9"/>
      <c r="AG18664" s="10"/>
    </row>
    <row r="18665" spans="1:33">
      <c r="A18665" s="9"/>
      <c r="B18665" s="9"/>
      <c r="C18665" s="9"/>
      <c r="D18665" s="9"/>
      <c r="E18665" s="9"/>
      <c r="F18665" s="9"/>
      <c r="G18665" s="9"/>
      <c r="H18665" s="9"/>
      <c r="I18665" s="9"/>
      <c r="J18665" s="9"/>
      <c r="K18665" s="9"/>
      <c r="L18665" s="9"/>
      <c r="M18665" s="9"/>
      <c r="N18665" s="9"/>
      <c r="O18665" s="9"/>
      <c r="P18665" s="9"/>
      <c r="Q18665" s="9"/>
      <c r="R18665" s="9"/>
      <c r="S18665" s="9"/>
      <c r="T18665" s="9"/>
      <c r="U18665" s="9"/>
      <c r="V18665" s="9"/>
      <c r="W18665" s="9"/>
      <c r="X18665" s="9"/>
      <c r="Y18665" s="9"/>
      <c r="Z18665" s="9"/>
      <c r="AA18665" s="9"/>
      <c r="AB18665" s="9"/>
      <c r="AC18665" s="9"/>
      <c r="AD18665" s="9"/>
      <c r="AE18665" s="9"/>
      <c r="AF18665" s="9"/>
      <c r="AG18665" s="10"/>
    </row>
    <row r="18666" spans="1:33">
      <c r="A18666" s="9"/>
      <c r="B18666" s="9"/>
      <c r="C18666" s="9"/>
      <c r="D18666" s="9"/>
      <c r="E18666" s="9"/>
      <c r="F18666" s="9"/>
      <c r="G18666" s="9"/>
      <c r="H18666" s="9"/>
      <c r="I18666" s="9"/>
      <c r="J18666" s="9"/>
      <c r="K18666" s="9"/>
      <c r="L18666" s="9"/>
      <c r="M18666" s="9"/>
      <c r="N18666" s="9"/>
      <c r="O18666" s="9"/>
      <c r="P18666" s="9"/>
      <c r="Q18666" s="9"/>
      <c r="R18666" s="9"/>
      <c r="S18666" s="9"/>
      <c r="T18666" s="9"/>
      <c r="U18666" s="9"/>
      <c r="V18666" s="9"/>
      <c r="W18666" s="9"/>
      <c r="X18666" s="9"/>
      <c r="Y18666" s="9"/>
      <c r="Z18666" s="9"/>
      <c r="AA18666" s="9"/>
      <c r="AB18666" s="9"/>
      <c r="AC18666" s="9"/>
      <c r="AD18666" s="9"/>
      <c r="AE18666" s="9"/>
      <c r="AF18666" s="9"/>
      <c r="AG18666" s="10"/>
    </row>
    <row r="18667" spans="1:33">
      <c r="A18667" s="9"/>
      <c r="B18667" s="9"/>
      <c r="C18667" s="9"/>
      <c r="D18667" s="9"/>
      <c r="E18667" s="9"/>
      <c r="F18667" s="9"/>
      <c r="G18667" s="9"/>
      <c r="H18667" s="9"/>
      <c r="I18667" s="9"/>
      <c r="J18667" s="9"/>
      <c r="K18667" s="9"/>
      <c r="L18667" s="9"/>
      <c r="M18667" s="9"/>
      <c r="N18667" s="9"/>
      <c r="O18667" s="9"/>
      <c r="P18667" s="9"/>
      <c r="Q18667" s="9"/>
      <c r="R18667" s="9"/>
      <c r="S18667" s="9"/>
      <c r="T18667" s="9"/>
      <c r="U18667" s="9"/>
      <c r="V18667" s="9"/>
      <c r="W18667" s="9"/>
      <c r="X18667" s="9"/>
      <c r="Y18667" s="9"/>
      <c r="Z18667" s="9"/>
      <c r="AA18667" s="9"/>
      <c r="AB18667" s="9"/>
      <c r="AC18667" s="9"/>
      <c r="AD18667" s="9"/>
      <c r="AE18667" s="9"/>
      <c r="AF18667" s="9"/>
      <c r="AG18667" s="10"/>
    </row>
    <row r="18668" spans="1:33">
      <c r="A18668" s="9"/>
      <c r="B18668" s="9"/>
      <c r="C18668" s="9"/>
      <c r="D18668" s="9"/>
      <c r="E18668" s="9"/>
      <c r="F18668" s="9"/>
      <c r="G18668" s="9"/>
      <c r="H18668" s="9"/>
      <c r="I18668" s="9"/>
      <c r="J18668" s="9"/>
      <c r="K18668" s="9"/>
      <c r="L18668" s="9"/>
      <c r="M18668" s="9"/>
      <c r="N18668" s="9"/>
      <c r="O18668" s="9"/>
      <c r="P18668" s="9"/>
      <c r="Q18668" s="9"/>
      <c r="R18668" s="9"/>
      <c r="S18668" s="9"/>
      <c r="T18668" s="9"/>
      <c r="U18668" s="9"/>
      <c r="V18668" s="9"/>
      <c r="W18668" s="9"/>
      <c r="X18668" s="9"/>
      <c r="Y18668" s="9"/>
      <c r="Z18668" s="9"/>
      <c r="AA18668" s="9"/>
      <c r="AB18668" s="9"/>
      <c r="AC18668" s="9"/>
      <c r="AD18668" s="9"/>
      <c r="AE18668" s="9"/>
      <c r="AF18668" s="9"/>
      <c r="AG18668" s="10"/>
    </row>
    <row r="18669" spans="1:33">
      <c r="A18669" s="9"/>
      <c r="B18669" s="9"/>
      <c r="C18669" s="9"/>
      <c r="D18669" s="9"/>
      <c r="E18669" s="9"/>
      <c r="F18669" s="9"/>
      <c r="G18669" s="9"/>
      <c r="H18669" s="9"/>
      <c r="I18669" s="9"/>
      <c r="J18669" s="9"/>
      <c r="K18669" s="9"/>
      <c r="L18669" s="9"/>
      <c r="M18669" s="9"/>
      <c r="N18669" s="9"/>
      <c r="O18669" s="9"/>
      <c r="P18669" s="9"/>
      <c r="Q18669" s="9"/>
      <c r="R18669" s="9"/>
      <c r="S18669" s="9"/>
      <c r="T18669" s="9"/>
      <c r="U18669" s="9"/>
      <c r="V18669" s="9"/>
      <c r="W18669" s="9"/>
      <c r="X18669" s="9"/>
      <c r="Y18669" s="9"/>
      <c r="Z18669" s="9"/>
      <c r="AA18669" s="9"/>
      <c r="AB18669" s="9"/>
      <c r="AC18669" s="9"/>
      <c r="AD18669" s="9"/>
      <c r="AE18669" s="9"/>
      <c r="AF18669" s="9"/>
      <c r="AG18669" s="10"/>
    </row>
    <row r="18670" spans="1:33">
      <c r="A18670" s="9"/>
      <c r="B18670" s="9"/>
      <c r="C18670" s="9"/>
      <c r="D18670" s="9"/>
      <c r="E18670" s="9"/>
      <c r="F18670" s="9"/>
      <c r="G18670" s="9"/>
      <c r="H18670" s="9"/>
      <c r="I18670" s="9"/>
      <c r="J18670" s="9"/>
      <c r="K18670" s="9"/>
      <c r="L18670" s="9"/>
      <c r="M18670" s="9"/>
      <c r="N18670" s="9"/>
      <c r="O18670" s="9"/>
      <c r="P18670" s="9"/>
      <c r="Q18670" s="9"/>
      <c r="R18670" s="9"/>
      <c r="S18670" s="9"/>
      <c r="T18670" s="9"/>
      <c r="U18670" s="9"/>
      <c r="V18670" s="9"/>
      <c r="W18670" s="9"/>
      <c r="X18670" s="9"/>
      <c r="Y18670" s="9"/>
      <c r="Z18670" s="9"/>
      <c r="AA18670" s="9"/>
      <c r="AB18670" s="9"/>
      <c r="AC18670" s="9"/>
      <c r="AD18670" s="9"/>
      <c r="AE18670" s="9"/>
      <c r="AF18670" s="9"/>
      <c r="AG18670" s="10"/>
    </row>
    <row r="18671" spans="1:33">
      <c r="A18671" s="9"/>
      <c r="B18671" s="9"/>
      <c r="C18671" s="9"/>
      <c r="D18671" s="9"/>
      <c r="E18671" s="9"/>
      <c r="F18671" s="9"/>
      <c r="G18671" s="9"/>
      <c r="H18671" s="9"/>
      <c r="I18671" s="9"/>
      <c r="J18671" s="9"/>
      <c r="K18671" s="9"/>
      <c r="L18671" s="9"/>
      <c r="M18671" s="9"/>
      <c r="N18671" s="9"/>
      <c r="O18671" s="9"/>
      <c r="P18671" s="9"/>
      <c r="Q18671" s="9"/>
      <c r="R18671" s="9"/>
      <c r="S18671" s="9"/>
      <c r="T18671" s="9"/>
      <c r="U18671" s="9"/>
      <c r="V18671" s="9"/>
      <c r="W18671" s="9"/>
      <c r="X18671" s="9"/>
      <c r="Y18671" s="9"/>
      <c r="Z18671" s="9"/>
      <c r="AA18671" s="9"/>
      <c r="AB18671" s="9"/>
      <c r="AC18671" s="9"/>
      <c r="AD18671" s="9"/>
      <c r="AE18671" s="9"/>
      <c r="AF18671" s="9"/>
      <c r="AG18671" s="10"/>
    </row>
    <row r="18672" spans="1:33">
      <c r="A18672" s="9"/>
      <c r="B18672" s="9"/>
      <c r="C18672" s="9"/>
      <c r="D18672" s="9"/>
      <c r="E18672" s="9"/>
      <c r="F18672" s="9"/>
      <c r="G18672" s="9"/>
      <c r="H18672" s="9"/>
      <c r="I18672" s="9"/>
      <c r="J18672" s="9"/>
      <c r="K18672" s="9"/>
      <c r="L18672" s="9"/>
      <c r="M18672" s="9"/>
      <c r="N18672" s="9"/>
      <c r="O18672" s="9"/>
      <c r="P18672" s="9"/>
      <c r="Q18672" s="9"/>
      <c r="R18672" s="9"/>
      <c r="S18672" s="9"/>
      <c r="T18672" s="9"/>
      <c r="U18672" s="9"/>
      <c r="V18672" s="9"/>
      <c r="W18672" s="9"/>
      <c r="X18672" s="9"/>
      <c r="Y18672" s="9"/>
      <c r="Z18672" s="9"/>
      <c r="AA18672" s="9"/>
      <c r="AB18672" s="9"/>
      <c r="AC18672" s="9"/>
      <c r="AD18672" s="9"/>
      <c r="AE18672" s="9"/>
      <c r="AF18672" s="9"/>
      <c r="AG18672" s="10"/>
    </row>
    <row r="18673" spans="1:33">
      <c r="A18673" s="9"/>
      <c r="B18673" s="9"/>
      <c r="C18673" s="9"/>
      <c r="D18673" s="9"/>
      <c r="E18673" s="9"/>
      <c r="F18673" s="9"/>
      <c r="G18673" s="9"/>
      <c r="H18673" s="9"/>
      <c r="I18673" s="9"/>
      <c r="J18673" s="9"/>
      <c r="K18673" s="9"/>
      <c r="L18673" s="9"/>
      <c r="M18673" s="9"/>
      <c r="N18673" s="9"/>
      <c r="O18673" s="9"/>
      <c r="P18673" s="9"/>
      <c r="Q18673" s="9"/>
      <c r="R18673" s="9"/>
      <c r="S18673" s="9"/>
      <c r="T18673" s="9"/>
      <c r="U18673" s="9"/>
      <c r="V18673" s="9"/>
      <c r="W18673" s="9"/>
      <c r="X18673" s="9"/>
      <c r="Y18673" s="9"/>
      <c r="Z18673" s="9"/>
      <c r="AA18673" s="9"/>
      <c r="AB18673" s="9"/>
      <c r="AC18673" s="9"/>
      <c r="AD18673" s="9"/>
      <c r="AE18673" s="9"/>
      <c r="AF18673" s="9"/>
      <c r="AG18673" s="10"/>
    </row>
    <row r="18674" spans="1:33">
      <c r="A18674" s="9"/>
      <c r="B18674" s="9"/>
      <c r="C18674" s="9"/>
      <c r="D18674" s="9"/>
      <c r="E18674" s="9"/>
      <c r="F18674" s="9"/>
      <c r="G18674" s="9"/>
      <c r="H18674" s="9"/>
      <c r="I18674" s="9"/>
      <c r="J18674" s="9"/>
      <c r="K18674" s="9"/>
      <c r="L18674" s="9"/>
      <c r="M18674" s="9"/>
      <c r="N18674" s="9"/>
      <c r="O18674" s="9"/>
      <c r="P18674" s="9"/>
      <c r="Q18674" s="9"/>
      <c r="R18674" s="9"/>
      <c r="S18674" s="9"/>
      <c r="T18674" s="9"/>
      <c r="U18674" s="9"/>
      <c r="V18674" s="9"/>
      <c r="W18674" s="9"/>
      <c r="X18674" s="9"/>
      <c r="Y18674" s="9"/>
      <c r="Z18674" s="9"/>
      <c r="AA18674" s="9"/>
      <c r="AB18674" s="9"/>
      <c r="AC18674" s="9"/>
      <c r="AD18674" s="9"/>
      <c r="AE18674" s="9"/>
      <c r="AF18674" s="9"/>
      <c r="AG18674" s="10"/>
    </row>
    <row r="18675" spans="1:33">
      <c r="A18675" s="9"/>
      <c r="B18675" s="9"/>
      <c r="C18675" s="9"/>
      <c r="D18675" s="9"/>
      <c r="E18675" s="9"/>
      <c r="F18675" s="9"/>
      <c r="G18675" s="9"/>
      <c r="H18675" s="9"/>
      <c r="I18675" s="9"/>
      <c r="J18675" s="9"/>
      <c r="K18675" s="9"/>
      <c r="L18675" s="9"/>
      <c r="M18675" s="9"/>
      <c r="N18675" s="9"/>
      <c r="O18675" s="9"/>
      <c r="P18675" s="9"/>
      <c r="Q18675" s="9"/>
      <c r="R18675" s="9"/>
      <c r="S18675" s="9"/>
      <c r="T18675" s="9"/>
      <c r="U18675" s="9"/>
      <c r="V18675" s="9"/>
      <c r="W18675" s="9"/>
      <c r="X18675" s="9"/>
      <c r="Y18675" s="9"/>
      <c r="Z18675" s="9"/>
      <c r="AA18675" s="9"/>
      <c r="AB18675" s="9"/>
      <c r="AC18675" s="9"/>
      <c r="AD18675" s="9"/>
      <c r="AE18675" s="9"/>
      <c r="AF18675" s="9"/>
      <c r="AG18675" s="10"/>
    </row>
    <row r="18676" spans="1:33">
      <c r="A18676" s="9"/>
      <c r="B18676" s="9"/>
      <c r="C18676" s="9"/>
      <c r="D18676" s="9"/>
      <c r="E18676" s="9"/>
      <c r="F18676" s="9"/>
      <c r="G18676" s="9"/>
      <c r="H18676" s="9"/>
      <c r="I18676" s="9"/>
      <c r="J18676" s="9"/>
      <c r="K18676" s="9"/>
      <c r="L18676" s="9"/>
      <c r="M18676" s="9"/>
      <c r="N18676" s="9"/>
      <c r="O18676" s="9"/>
      <c r="P18676" s="9"/>
      <c r="Q18676" s="9"/>
      <c r="R18676" s="9"/>
      <c r="S18676" s="9"/>
      <c r="T18676" s="9"/>
      <c r="U18676" s="9"/>
      <c r="V18676" s="9"/>
      <c r="W18676" s="9"/>
      <c r="X18676" s="9"/>
      <c r="Y18676" s="9"/>
      <c r="Z18676" s="9"/>
      <c r="AA18676" s="9"/>
      <c r="AB18676" s="9"/>
      <c r="AC18676" s="9"/>
      <c r="AD18676" s="9"/>
      <c r="AE18676" s="9"/>
      <c r="AF18676" s="9"/>
      <c r="AG18676" s="10"/>
    </row>
    <row r="18677" spans="1:33">
      <c r="A18677" s="9"/>
      <c r="B18677" s="9"/>
      <c r="C18677" s="9"/>
      <c r="D18677" s="9"/>
      <c r="E18677" s="9"/>
      <c r="F18677" s="9"/>
      <c r="G18677" s="9"/>
      <c r="H18677" s="9"/>
      <c r="I18677" s="9"/>
      <c r="J18677" s="9"/>
      <c r="K18677" s="9"/>
      <c r="L18677" s="9"/>
      <c r="M18677" s="9"/>
      <c r="N18677" s="9"/>
      <c r="O18677" s="9"/>
      <c r="P18677" s="9"/>
      <c r="Q18677" s="9"/>
      <c r="R18677" s="9"/>
      <c r="S18677" s="9"/>
      <c r="T18677" s="9"/>
      <c r="U18677" s="9"/>
      <c r="V18677" s="9"/>
      <c r="W18677" s="9"/>
      <c r="X18677" s="9"/>
      <c r="Y18677" s="9"/>
      <c r="Z18677" s="9"/>
      <c r="AA18677" s="9"/>
      <c r="AB18677" s="9"/>
      <c r="AC18677" s="9"/>
      <c r="AD18677" s="9"/>
      <c r="AE18677" s="9"/>
      <c r="AF18677" s="9"/>
      <c r="AG18677" s="10"/>
    </row>
    <row r="18678" spans="1:33">
      <c r="A18678" s="9"/>
      <c r="B18678" s="9"/>
      <c r="C18678" s="9"/>
      <c r="D18678" s="9"/>
      <c r="E18678" s="9"/>
      <c r="F18678" s="9"/>
      <c r="G18678" s="9"/>
      <c r="H18678" s="9"/>
      <c r="I18678" s="9"/>
      <c r="J18678" s="9"/>
      <c r="K18678" s="9"/>
      <c r="L18678" s="9"/>
      <c r="M18678" s="9"/>
      <c r="N18678" s="9"/>
      <c r="O18678" s="9"/>
      <c r="P18678" s="9"/>
      <c r="Q18678" s="9"/>
      <c r="R18678" s="9"/>
      <c r="S18678" s="9"/>
      <c r="T18678" s="9"/>
      <c r="U18678" s="9"/>
      <c r="V18678" s="9"/>
      <c r="W18678" s="9"/>
      <c r="X18678" s="9"/>
      <c r="Y18678" s="9"/>
      <c r="Z18678" s="9"/>
      <c r="AA18678" s="9"/>
      <c r="AB18678" s="9"/>
      <c r="AC18678" s="9"/>
      <c r="AD18678" s="9"/>
      <c r="AE18678" s="9"/>
      <c r="AF18678" s="9"/>
      <c r="AG18678" s="10"/>
    </row>
    <row r="18679" spans="1:33">
      <c r="A18679" s="9"/>
      <c r="B18679" s="9"/>
      <c r="C18679" s="9"/>
      <c r="D18679" s="9"/>
      <c r="E18679" s="9"/>
      <c r="F18679" s="9"/>
      <c r="G18679" s="9"/>
      <c r="H18679" s="9"/>
      <c r="I18679" s="9"/>
      <c r="J18679" s="9"/>
      <c r="K18679" s="9"/>
      <c r="L18679" s="9"/>
      <c r="M18679" s="9"/>
      <c r="N18679" s="9"/>
      <c r="O18679" s="9"/>
      <c r="P18679" s="9"/>
      <c r="Q18679" s="9"/>
      <c r="R18679" s="9"/>
      <c r="S18679" s="9"/>
      <c r="T18679" s="9"/>
      <c r="U18679" s="9"/>
      <c r="V18679" s="9"/>
      <c r="W18679" s="9"/>
      <c r="X18679" s="9"/>
      <c r="Y18679" s="9"/>
      <c r="Z18679" s="9"/>
      <c r="AA18679" s="9"/>
      <c r="AB18679" s="9"/>
      <c r="AC18679" s="9"/>
      <c r="AD18679" s="9"/>
      <c r="AE18679" s="9"/>
      <c r="AF18679" s="9"/>
      <c r="AG18679" s="10"/>
    </row>
    <row r="18680" spans="1:33">
      <c r="A18680" s="9"/>
      <c r="B18680" s="9"/>
      <c r="C18680" s="9"/>
      <c r="D18680" s="9"/>
      <c r="E18680" s="9"/>
      <c r="F18680" s="9"/>
      <c r="G18680" s="9"/>
      <c r="H18680" s="9"/>
      <c r="I18680" s="9"/>
      <c r="J18680" s="9"/>
      <c r="K18680" s="9"/>
      <c r="L18680" s="9"/>
      <c r="M18680" s="9"/>
      <c r="N18680" s="9"/>
      <c r="O18680" s="9"/>
      <c r="P18680" s="9"/>
      <c r="Q18680" s="9"/>
      <c r="R18680" s="9"/>
      <c r="S18680" s="9"/>
      <c r="T18680" s="9"/>
      <c r="U18680" s="9"/>
      <c r="V18680" s="9"/>
      <c r="W18680" s="9"/>
      <c r="X18680" s="9"/>
      <c r="Y18680" s="9"/>
      <c r="Z18680" s="9"/>
      <c r="AA18680" s="9"/>
      <c r="AB18680" s="9"/>
      <c r="AC18680" s="9"/>
      <c r="AD18680" s="9"/>
      <c r="AE18680" s="9"/>
      <c r="AF18680" s="9"/>
      <c r="AG18680" s="10"/>
    </row>
    <row r="18681" spans="1:33">
      <c r="A18681" s="9"/>
      <c r="B18681" s="9"/>
      <c r="C18681" s="9"/>
      <c r="D18681" s="9"/>
      <c r="E18681" s="9"/>
      <c r="F18681" s="9"/>
      <c r="G18681" s="9"/>
      <c r="H18681" s="9"/>
      <c r="I18681" s="9"/>
      <c r="J18681" s="9"/>
      <c r="K18681" s="9"/>
      <c r="L18681" s="9"/>
      <c r="M18681" s="9"/>
      <c r="N18681" s="9"/>
      <c r="O18681" s="9"/>
      <c r="P18681" s="9"/>
      <c r="Q18681" s="9"/>
      <c r="R18681" s="9"/>
      <c r="S18681" s="9"/>
      <c r="T18681" s="9"/>
      <c r="U18681" s="9"/>
      <c r="V18681" s="9"/>
      <c r="W18681" s="9"/>
      <c r="X18681" s="9"/>
      <c r="Y18681" s="9"/>
      <c r="Z18681" s="9"/>
      <c r="AA18681" s="9"/>
      <c r="AB18681" s="9"/>
      <c r="AC18681" s="9"/>
      <c r="AD18681" s="9"/>
      <c r="AE18681" s="9"/>
      <c r="AF18681" s="9"/>
      <c r="AG18681" s="10"/>
    </row>
    <row r="18682" spans="1:33">
      <c r="A18682" s="9"/>
      <c r="B18682" s="9"/>
      <c r="C18682" s="9"/>
      <c r="D18682" s="9"/>
      <c r="E18682" s="9"/>
      <c r="F18682" s="9"/>
      <c r="G18682" s="9"/>
      <c r="H18682" s="9"/>
      <c r="I18682" s="9"/>
      <c r="J18682" s="9"/>
      <c r="K18682" s="9"/>
      <c r="L18682" s="9"/>
      <c r="M18682" s="9"/>
      <c r="N18682" s="9"/>
      <c r="O18682" s="9"/>
      <c r="P18682" s="9"/>
      <c r="Q18682" s="9"/>
      <c r="R18682" s="9"/>
      <c r="S18682" s="9"/>
      <c r="T18682" s="9"/>
      <c r="U18682" s="9"/>
      <c r="V18682" s="9"/>
      <c r="W18682" s="9"/>
      <c r="X18682" s="9"/>
      <c r="Y18682" s="9"/>
      <c r="Z18682" s="9"/>
      <c r="AA18682" s="9"/>
      <c r="AB18682" s="9"/>
      <c r="AC18682" s="9"/>
      <c r="AD18682" s="9"/>
      <c r="AE18682" s="9"/>
      <c r="AF18682" s="9"/>
      <c r="AG18682" s="10"/>
    </row>
    <row r="18683" spans="1:33">
      <c r="A18683" s="9"/>
      <c r="B18683" s="9"/>
      <c r="C18683" s="9"/>
      <c r="D18683" s="9"/>
      <c r="E18683" s="9"/>
      <c r="F18683" s="9"/>
      <c r="G18683" s="9"/>
      <c r="H18683" s="9"/>
      <c r="I18683" s="9"/>
      <c r="J18683" s="9"/>
      <c r="K18683" s="9"/>
      <c r="L18683" s="9"/>
      <c r="M18683" s="9"/>
      <c r="N18683" s="9"/>
      <c r="O18683" s="9"/>
      <c r="P18683" s="9"/>
      <c r="Q18683" s="9"/>
      <c r="R18683" s="9"/>
      <c r="S18683" s="9"/>
      <c r="T18683" s="9"/>
      <c r="U18683" s="9"/>
      <c r="V18683" s="9"/>
      <c r="W18683" s="9"/>
      <c r="X18683" s="9"/>
      <c r="Y18683" s="9"/>
      <c r="Z18683" s="9"/>
      <c r="AA18683" s="9"/>
      <c r="AB18683" s="9"/>
      <c r="AC18683" s="9"/>
      <c r="AD18683" s="9"/>
      <c r="AE18683" s="9"/>
      <c r="AF18683" s="9"/>
      <c r="AG18683" s="10"/>
    </row>
    <row r="18684" spans="1:33">
      <c r="A18684" s="9"/>
      <c r="B18684" s="9"/>
      <c r="C18684" s="9"/>
      <c r="D18684" s="9"/>
      <c r="E18684" s="9"/>
      <c r="F18684" s="9"/>
      <c r="G18684" s="9"/>
      <c r="H18684" s="9"/>
      <c r="I18684" s="9"/>
      <c r="J18684" s="9"/>
      <c r="K18684" s="9"/>
      <c r="L18684" s="9"/>
      <c r="M18684" s="9"/>
      <c r="N18684" s="9"/>
      <c r="O18684" s="9"/>
      <c r="P18684" s="9"/>
      <c r="Q18684" s="9"/>
      <c r="R18684" s="9"/>
      <c r="S18684" s="9"/>
      <c r="T18684" s="9"/>
      <c r="U18684" s="9"/>
      <c r="V18684" s="9"/>
      <c r="W18684" s="9"/>
      <c r="X18684" s="9"/>
      <c r="Y18684" s="9"/>
      <c r="Z18684" s="9"/>
      <c r="AA18684" s="9"/>
      <c r="AB18684" s="9"/>
      <c r="AC18684" s="9"/>
      <c r="AD18684" s="9"/>
      <c r="AE18684" s="9"/>
      <c r="AF18684" s="9"/>
      <c r="AG18684" s="10"/>
    </row>
    <row r="18685" spans="1:33">
      <c r="A18685" s="9"/>
      <c r="B18685" s="9"/>
      <c r="C18685" s="9"/>
      <c r="D18685" s="9"/>
      <c r="E18685" s="9"/>
      <c r="F18685" s="9"/>
      <c r="G18685" s="9"/>
      <c r="H18685" s="9"/>
      <c r="I18685" s="9"/>
      <c r="J18685" s="9"/>
      <c r="K18685" s="9"/>
      <c r="L18685" s="9"/>
      <c r="M18685" s="9"/>
      <c r="N18685" s="9"/>
      <c r="O18685" s="9"/>
      <c r="P18685" s="9"/>
      <c r="Q18685" s="9"/>
      <c r="R18685" s="9"/>
      <c r="S18685" s="9"/>
      <c r="T18685" s="9"/>
      <c r="U18685" s="9"/>
      <c r="V18685" s="9"/>
      <c r="W18685" s="9"/>
      <c r="X18685" s="9"/>
      <c r="Y18685" s="9"/>
      <c r="Z18685" s="9"/>
      <c r="AA18685" s="9"/>
      <c r="AB18685" s="9"/>
      <c r="AC18685" s="9"/>
      <c r="AD18685" s="9"/>
      <c r="AE18685" s="9"/>
      <c r="AF18685" s="9"/>
      <c r="AG18685" s="10"/>
    </row>
    <row r="18686" spans="1:33">
      <c r="A18686" s="9"/>
      <c r="B18686" s="9"/>
      <c r="C18686" s="9"/>
      <c r="D18686" s="9"/>
      <c r="E18686" s="9"/>
      <c r="F18686" s="9"/>
      <c r="G18686" s="9"/>
      <c r="H18686" s="9"/>
      <c r="I18686" s="9"/>
      <c r="J18686" s="9"/>
      <c r="K18686" s="9"/>
      <c r="L18686" s="9"/>
      <c r="M18686" s="9"/>
      <c r="N18686" s="9"/>
      <c r="O18686" s="9"/>
      <c r="P18686" s="9"/>
      <c r="Q18686" s="9"/>
      <c r="R18686" s="9"/>
      <c r="S18686" s="9"/>
      <c r="T18686" s="9"/>
      <c r="U18686" s="9"/>
      <c r="V18686" s="9"/>
      <c r="W18686" s="9"/>
      <c r="X18686" s="9"/>
      <c r="Y18686" s="9"/>
      <c r="Z18686" s="9"/>
      <c r="AA18686" s="9"/>
      <c r="AB18686" s="9"/>
      <c r="AC18686" s="9"/>
      <c r="AD18686" s="9"/>
      <c r="AE18686" s="9"/>
      <c r="AF18686" s="9"/>
      <c r="AG18686" s="10"/>
    </row>
    <row r="18687" spans="1:33">
      <c r="A18687" s="9"/>
      <c r="B18687" s="9"/>
      <c r="C18687" s="9"/>
      <c r="D18687" s="9"/>
      <c r="E18687" s="9"/>
      <c r="F18687" s="9"/>
      <c r="G18687" s="9"/>
      <c r="H18687" s="9"/>
      <c r="I18687" s="9"/>
      <c r="J18687" s="9"/>
      <c r="K18687" s="9"/>
      <c r="L18687" s="9"/>
      <c r="M18687" s="9"/>
      <c r="N18687" s="9"/>
      <c r="O18687" s="9"/>
      <c r="P18687" s="9"/>
      <c r="Q18687" s="9"/>
      <c r="R18687" s="9"/>
      <c r="S18687" s="9"/>
      <c r="T18687" s="9"/>
      <c r="U18687" s="9"/>
      <c r="V18687" s="9"/>
      <c r="W18687" s="9"/>
      <c r="X18687" s="9"/>
      <c r="Y18687" s="9"/>
      <c r="Z18687" s="9"/>
      <c r="AA18687" s="9"/>
      <c r="AB18687" s="9"/>
      <c r="AC18687" s="9"/>
      <c r="AD18687" s="9"/>
      <c r="AE18687" s="9"/>
      <c r="AF18687" s="9"/>
      <c r="AG18687" s="10"/>
    </row>
    <row r="18688" spans="1:33">
      <c r="A18688" s="9"/>
      <c r="B18688" s="9"/>
      <c r="C18688" s="9"/>
      <c r="D18688" s="9"/>
      <c r="E18688" s="9"/>
      <c r="F18688" s="9"/>
      <c r="G18688" s="9"/>
      <c r="H18688" s="9"/>
      <c r="I18688" s="9"/>
      <c r="J18688" s="9"/>
      <c r="K18688" s="9"/>
      <c r="L18688" s="9"/>
      <c r="M18688" s="9"/>
      <c r="N18688" s="9"/>
      <c r="O18688" s="9"/>
      <c r="P18688" s="9"/>
      <c r="Q18688" s="9"/>
      <c r="R18688" s="9"/>
      <c r="S18688" s="9"/>
      <c r="T18688" s="9"/>
      <c r="U18688" s="9"/>
      <c r="V18688" s="9"/>
      <c r="W18688" s="9"/>
      <c r="X18688" s="9"/>
      <c r="Y18688" s="9"/>
      <c r="Z18688" s="9"/>
      <c r="AA18688" s="9"/>
      <c r="AB18688" s="9"/>
      <c r="AC18688" s="9"/>
      <c r="AD18688" s="9"/>
      <c r="AE18688" s="9"/>
      <c r="AF18688" s="9"/>
      <c r="AG18688" s="10"/>
    </row>
    <row r="18689" spans="1:33">
      <c r="A18689" s="9"/>
      <c r="B18689" s="9"/>
      <c r="C18689" s="9"/>
      <c r="D18689" s="9"/>
      <c r="E18689" s="9"/>
      <c r="F18689" s="9"/>
      <c r="G18689" s="9"/>
      <c r="H18689" s="9"/>
      <c r="I18689" s="9"/>
      <c r="J18689" s="9"/>
      <c r="K18689" s="9"/>
      <c r="L18689" s="9"/>
      <c r="M18689" s="9"/>
      <c r="N18689" s="9"/>
      <c r="O18689" s="9"/>
      <c r="P18689" s="9"/>
      <c r="Q18689" s="9"/>
      <c r="R18689" s="9"/>
      <c r="S18689" s="9"/>
      <c r="T18689" s="9"/>
      <c r="U18689" s="9"/>
      <c r="V18689" s="9"/>
      <c r="W18689" s="9"/>
      <c r="X18689" s="9"/>
      <c r="Y18689" s="9"/>
      <c r="Z18689" s="9"/>
      <c r="AA18689" s="9"/>
      <c r="AB18689" s="9"/>
      <c r="AC18689" s="9"/>
      <c r="AD18689" s="9"/>
      <c r="AE18689" s="9"/>
      <c r="AF18689" s="9"/>
      <c r="AG18689" s="10"/>
    </row>
    <row r="18690" spans="1:33">
      <c r="A18690" s="9"/>
      <c r="B18690" s="9"/>
      <c r="C18690" s="9"/>
      <c r="D18690" s="9"/>
      <c r="E18690" s="9"/>
      <c r="F18690" s="9"/>
      <c r="G18690" s="9"/>
      <c r="H18690" s="9"/>
      <c r="I18690" s="9"/>
      <c r="J18690" s="9"/>
      <c r="K18690" s="9"/>
      <c r="L18690" s="9"/>
      <c r="M18690" s="9"/>
      <c r="N18690" s="9"/>
      <c r="O18690" s="9"/>
      <c r="P18690" s="9"/>
      <c r="Q18690" s="9"/>
      <c r="R18690" s="9"/>
      <c r="S18690" s="9"/>
      <c r="T18690" s="9"/>
      <c r="U18690" s="9"/>
      <c r="V18690" s="9"/>
      <c r="W18690" s="9"/>
      <c r="X18690" s="9"/>
      <c r="Y18690" s="9"/>
      <c r="Z18690" s="9"/>
      <c r="AA18690" s="9"/>
      <c r="AB18690" s="9"/>
      <c r="AC18690" s="9"/>
      <c r="AD18690" s="9"/>
      <c r="AE18690" s="9"/>
      <c r="AF18690" s="9"/>
      <c r="AG18690" s="10"/>
    </row>
    <row r="18691" spans="1:33">
      <c r="A18691" s="9"/>
      <c r="B18691" s="9"/>
      <c r="C18691" s="9"/>
      <c r="D18691" s="9"/>
      <c r="E18691" s="9"/>
      <c r="F18691" s="9"/>
      <c r="G18691" s="9"/>
      <c r="H18691" s="9"/>
      <c r="I18691" s="9"/>
      <c r="J18691" s="9"/>
      <c r="K18691" s="9"/>
      <c r="L18691" s="9"/>
      <c r="M18691" s="9"/>
      <c r="N18691" s="9"/>
      <c r="O18691" s="9"/>
      <c r="P18691" s="9"/>
      <c r="Q18691" s="9"/>
      <c r="R18691" s="9"/>
      <c r="S18691" s="9"/>
      <c r="T18691" s="9"/>
      <c r="U18691" s="9"/>
      <c r="V18691" s="9"/>
      <c r="W18691" s="9"/>
      <c r="X18691" s="9"/>
      <c r="Y18691" s="9"/>
      <c r="Z18691" s="9"/>
      <c r="AA18691" s="9"/>
      <c r="AB18691" s="9"/>
      <c r="AC18691" s="9"/>
      <c r="AD18691" s="9"/>
      <c r="AE18691" s="9"/>
      <c r="AF18691" s="9"/>
      <c r="AG18691" s="10"/>
    </row>
    <row r="18692" spans="1:33">
      <c r="A18692" s="9"/>
      <c r="B18692" s="9"/>
      <c r="C18692" s="9"/>
      <c r="D18692" s="9"/>
      <c r="E18692" s="9"/>
      <c r="F18692" s="9"/>
      <c r="G18692" s="9"/>
      <c r="H18692" s="9"/>
      <c r="I18692" s="9"/>
      <c r="J18692" s="9"/>
      <c r="K18692" s="9"/>
      <c r="L18692" s="9"/>
      <c r="M18692" s="9"/>
      <c r="N18692" s="9"/>
      <c r="O18692" s="9"/>
      <c r="P18692" s="9"/>
      <c r="Q18692" s="9"/>
      <c r="R18692" s="9"/>
      <c r="S18692" s="9"/>
      <c r="T18692" s="9"/>
      <c r="U18692" s="9"/>
      <c r="V18692" s="9"/>
      <c r="W18692" s="9"/>
      <c r="X18692" s="9"/>
      <c r="Y18692" s="9"/>
      <c r="Z18692" s="9"/>
      <c r="AA18692" s="9"/>
      <c r="AB18692" s="9"/>
      <c r="AC18692" s="9"/>
      <c r="AD18692" s="9"/>
      <c r="AE18692" s="9"/>
      <c r="AF18692" s="9"/>
      <c r="AG18692" s="10"/>
    </row>
    <row r="18693" spans="1:33">
      <c r="A18693" s="9"/>
      <c r="B18693" s="9"/>
      <c r="C18693" s="9"/>
      <c r="D18693" s="9"/>
      <c r="E18693" s="9"/>
      <c r="F18693" s="9"/>
      <c r="G18693" s="9"/>
      <c r="H18693" s="9"/>
      <c r="I18693" s="9"/>
      <c r="J18693" s="9"/>
      <c r="K18693" s="9"/>
      <c r="L18693" s="9"/>
      <c r="M18693" s="9"/>
      <c r="N18693" s="9"/>
      <c r="O18693" s="9"/>
      <c r="P18693" s="9"/>
      <c r="Q18693" s="9"/>
      <c r="R18693" s="9"/>
      <c r="S18693" s="9"/>
      <c r="T18693" s="9"/>
      <c r="U18693" s="9"/>
      <c r="V18693" s="9"/>
      <c r="W18693" s="9"/>
      <c r="X18693" s="9"/>
      <c r="Y18693" s="9"/>
      <c r="Z18693" s="9"/>
      <c r="AA18693" s="9"/>
      <c r="AB18693" s="9"/>
      <c r="AC18693" s="9"/>
      <c r="AD18693" s="9"/>
      <c r="AE18693" s="9"/>
      <c r="AF18693" s="9"/>
      <c r="AG18693" s="10"/>
    </row>
    <row r="18694" spans="1:33">
      <c r="A18694" s="9"/>
      <c r="B18694" s="9"/>
      <c r="C18694" s="9"/>
      <c r="D18694" s="9"/>
      <c r="E18694" s="9"/>
      <c r="F18694" s="9"/>
      <c r="G18694" s="9"/>
      <c r="H18694" s="9"/>
      <c r="I18694" s="9"/>
      <c r="J18694" s="9"/>
      <c r="K18694" s="9"/>
      <c r="L18694" s="9"/>
      <c r="M18694" s="9"/>
      <c r="N18694" s="9"/>
      <c r="O18694" s="9"/>
      <c r="P18694" s="9"/>
      <c r="Q18694" s="9"/>
      <c r="R18694" s="9"/>
      <c r="S18694" s="9"/>
      <c r="T18694" s="9"/>
      <c r="U18694" s="9"/>
      <c r="V18694" s="9"/>
      <c r="W18694" s="9"/>
      <c r="X18694" s="9"/>
      <c r="Y18694" s="9"/>
      <c r="Z18694" s="9"/>
      <c r="AA18694" s="9"/>
      <c r="AB18694" s="9"/>
      <c r="AC18694" s="9"/>
      <c r="AD18694" s="9"/>
      <c r="AE18694" s="9"/>
      <c r="AF18694" s="9"/>
      <c r="AG18694" s="10"/>
    </row>
    <row r="18695" spans="1:33">
      <c r="A18695" s="9"/>
      <c r="B18695" s="9"/>
      <c r="C18695" s="9"/>
      <c r="D18695" s="9"/>
      <c r="E18695" s="9"/>
      <c r="F18695" s="9"/>
      <c r="G18695" s="9"/>
      <c r="H18695" s="9"/>
      <c r="I18695" s="9"/>
      <c r="J18695" s="9"/>
      <c r="K18695" s="9"/>
      <c r="L18695" s="9"/>
      <c r="M18695" s="9"/>
      <c r="N18695" s="9"/>
      <c r="O18695" s="9"/>
      <c r="P18695" s="9"/>
      <c r="Q18695" s="9"/>
      <c r="R18695" s="9"/>
      <c r="S18695" s="9"/>
      <c r="T18695" s="9"/>
      <c r="U18695" s="9"/>
      <c r="V18695" s="9"/>
      <c r="W18695" s="9"/>
      <c r="X18695" s="9"/>
      <c r="Y18695" s="9"/>
      <c r="Z18695" s="9"/>
      <c r="AA18695" s="9"/>
      <c r="AB18695" s="9"/>
      <c r="AC18695" s="9"/>
      <c r="AD18695" s="9"/>
      <c r="AE18695" s="9"/>
      <c r="AF18695" s="9"/>
      <c r="AG18695" s="10"/>
    </row>
    <row r="18696" spans="1:33">
      <c r="A18696" s="9"/>
      <c r="B18696" s="9"/>
      <c r="C18696" s="9"/>
      <c r="D18696" s="9"/>
      <c r="E18696" s="9"/>
      <c r="F18696" s="9"/>
      <c r="G18696" s="9"/>
      <c r="H18696" s="9"/>
      <c r="I18696" s="9"/>
      <c r="J18696" s="9"/>
      <c r="K18696" s="9"/>
      <c r="L18696" s="9"/>
      <c r="M18696" s="9"/>
      <c r="N18696" s="9"/>
      <c r="O18696" s="9"/>
      <c r="P18696" s="9"/>
      <c r="Q18696" s="9"/>
      <c r="R18696" s="9"/>
      <c r="S18696" s="9"/>
      <c r="T18696" s="9"/>
      <c r="U18696" s="9"/>
      <c r="V18696" s="9"/>
      <c r="W18696" s="9"/>
      <c r="X18696" s="9"/>
      <c r="Y18696" s="9"/>
      <c r="Z18696" s="9"/>
      <c r="AA18696" s="9"/>
      <c r="AB18696" s="9"/>
      <c r="AC18696" s="9"/>
      <c r="AD18696" s="9"/>
      <c r="AE18696" s="9"/>
      <c r="AF18696" s="9"/>
      <c r="AG18696" s="10"/>
    </row>
    <row r="18697" spans="1:33">
      <c r="A18697" s="9"/>
      <c r="B18697" s="9"/>
      <c r="C18697" s="9"/>
      <c r="D18697" s="9"/>
      <c r="E18697" s="9"/>
      <c r="F18697" s="9"/>
      <c r="G18697" s="9"/>
      <c r="H18697" s="9"/>
      <c r="I18697" s="9"/>
      <c r="J18697" s="9"/>
      <c r="K18697" s="9"/>
      <c r="L18697" s="9"/>
      <c r="M18697" s="9"/>
      <c r="N18697" s="9"/>
      <c r="O18697" s="9"/>
      <c r="P18697" s="9"/>
      <c r="Q18697" s="9"/>
      <c r="R18697" s="9"/>
      <c r="S18697" s="9"/>
      <c r="T18697" s="9"/>
      <c r="U18697" s="9"/>
      <c r="V18697" s="9"/>
      <c r="W18697" s="9"/>
      <c r="X18697" s="9"/>
      <c r="Y18697" s="9"/>
      <c r="Z18697" s="9"/>
      <c r="AA18697" s="9"/>
      <c r="AB18697" s="9"/>
      <c r="AC18697" s="9"/>
      <c r="AD18697" s="9"/>
      <c r="AE18697" s="9"/>
      <c r="AF18697" s="9"/>
      <c r="AG18697" s="10"/>
    </row>
    <row r="18698" spans="1:33">
      <c r="A18698" s="9"/>
      <c r="B18698" s="9"/>
      <c r="C18698" s="9"/>
      <c r="D18698" s="9"/>
      <c r="E18698" s="9"/>
      <c r="F18698" s="9"/>
      <c r="G18698" s="9"/>
      <c r="H18698" s="9"/>
      <c r="I18698" s="9"/>
      <c r="J18698" s="9"/>
      <c r="K18698" s="9"/>
      <c r="L18698" s="9"/>
      <c r="M18698" s="9"/>
      <c r="N18698" s="9"/>
      <c r="O18698" s="9"/>
      <c r="P18698" s="9"/>
      <c r="Q18698" s="9"/>
      <c r="R18698" s="9"/>
      <c r="S18698" s="9"/>
      <c r="T18698" s="9"/>
      <c r="U18698" s="9"/>
      <c r="V18698" s="9"/>
      <c r="W18698" s="9"/>
      <c r="X18698" s="9"/>
      <c r="Y18698" s="9"/>
      <c r="Z18698" s="9"/>
      <c r="AA18698" s="9"/>
      <c r="AB18698" s="9"/>
      <c r="AC18698" s="9"/>
      <c r="AD18698" s="9"/>
      <c r="AE18698" s="9"/>
      <c r="AF18698" s="9"/>
      <c r="AG18698" s="10"/>
    </row>
    <row r="18699" spans="1:33">
      <c r="A18699" s="9"/>
      <c r="B18699" s="9"/>
      <c r="C18699" s="9"/>
      <c r="D18699" s="9"/>
      <c r="E18699" s="9"/>
      <c r="F18699" s="9"/>
      <c r="G18699" s="9"/>
      <c r="H18699" s="9"/>
      <c r="I18699" s="9"/>
      <c r="J18699" s="9"/>
      <c r="K18699" s="9"/>
      <c r="L18699" s="9"/>
      <c r="M18699" s="9"/>
      <c r="N18699" s="9"/>
      <c r="O18699" s="9"/>
      <c r="P18699" s="9"/>
      <c r="Q18699" s="9"/>
      <c r="R18699" s="9"/>
      <c r="S18699" s="9"/>
      <c r="T18699" s="9"/>
      <c r="U18699" s="9"/>
      <c r="V18699" s="9"/>
      <c r="W18699" s="9"/>
      <c r="X18699" s="9"/>
      <c r="Y18699" s="9"/>
      <c r="Z18699" s="9"/>
      <c r="AA18699" s="9"/>
      <c r="AB18699" s="9"/>
      <c r="AC18699" s="9"/>
      <c r="AD18699" s="9"/>
      <c r="AE18699" s="9"/>
      <c r="AF18699" s="9"/>
      <c r="AG18699" s="10"/>
    </row>
    <row r="18700" spans="1:33">
      <c r="A18700" s="9"/>
      <c r="B18700" s="9"/>
      <c r="C18700" s="9"/>
      <c r="D18700" s="9"/>
      <c r="E18700" s="9"/>
      <c r="F18700" s="9"/>
      <c r="G18700" s="9"/>
      <c r="H18700" s="9"/>
      <c r="I18700" s="9"/>
      <c r="J18700" s="9"/>
      <c r="K18700" s="9"/>
      <c r="L18700" s="9"/>
      <c r="M18700" s="9"/>
      <c r="N18700" s="9"/>
      <c r="O18700" s="9"/>
      <c r="P18700" s="9"/>
      <c r="Q18700" s="9"/>
      <c r="R18700" s="9"/>
      <c r="S18700" s="9"/>
      <c r="T18700" s="9"/>
      <c r="U18700" s="9"/>
      <c r="V18700" s="9"/>
      <c r="W18700" s="9"/>
      <c r="X18700" s="9"/>
      <c r="Y18700" s="9"/>
      <c r="Z18700" s="9"/>
      <c r="AA18700" s="9"/>
      <c r="AB18700" s="9"/>
      <c r="AC18700" s="9"/>
      <c r="AD18700" s="9"/>
      <c r="AE18700" s="9"/>
      <c r="AF18700" s="9"/>
      <c r="AG18700" s="10"/>
    </row>
    <row r="18701" spans="1:33">
      <c r="A18701" s="9"/>
      <c r="B18701" s="9"/>
      <c r="C18701" s="9"/>
      <c r="D18701" s="9"/>
      <c r="E18701" s="9"/>
      <c r="F18701" s="9"/>
      <c r="G18701" s="9"/>
      <c r="H18701" s="9"/>
      <c r="I18701" s="9"/>
      <c r="J18701" s="9"/>
      <c r="K18701" s="9"/>
      <c r="L18701" s="9"/>
      <c r="M18701" s="9"/>
      <c r="N18701" s="9"/>
      <c r="O18701" s="9"/>
      <c r="P18701" s="9"/>
      <c r="Q18701" s="9"/>
      <c r="R18701" s="9"/>
      <c r="S18701" s="9"/>
      <c r="T18701" s="9"/>
      <c r="U18701" s="9"/>
      <c r="V18701" s="9"/>
      <c r="W18701" s="9"/>
      <c r="X18701" s="9"/>
      <c r="Y18701" s="9"/>
      <c r="Z18701" s="9"/>
      <c r="AA18701" s="9"/>
      <c r="AB18701" s="9"/>
      <c r="AC18701" s="9"/>
      <c r="AD18701" s="9"/>
      <c r="AE18701" s="9"/>
      <c r="AF18701" s="9"/>
      <c r="AG18701" s="10"/>
    </row>
    <row r="18702" spans="1:33">
      <c r="A18702" s="9"/>
      <c r="B18702" s="9"/>
      <c r="C18702" s="9"/>
      <c r="D18702" s="9"/>
      <c r="E18702" s="9"/>
      <c r="F18702" s="9"/>
      <c r="G18702" s="9"/>
      <c r="H18702" s="9"/>
      <c r="I18702" s="9"/>
      <c r="J18702" s="9"/>
      <c r="K18702" s="9"/>
      <c r="L18702" s="9"/>
      <c r="M18702" s="9"/>
      <c r="N18702" s="9"/>
      <c r="O18702" s="9"/>
      <c r="P18702" s="9"/>
      <c r="Q18702" s="9"/>
      <c r="R18702" s="9"/>
      <c r="S18702" s="9"/>
      <c r="T18702" s="9"/>
      <c r="U18702" s="9"/>
      <c r="V18702" s="9"/>
      <c r="W18702" s="9"/>
      <c r="X18702" s="9"/>
      <c r="Y18702" s="9"/>
      <c r="Z18702" s="9"/>
      <c r="AA18702" s="9"/>
      <c r="AB18702" s="9"/>
      <c r="AC18702" s="9"/>
      <c r="AD18702" s="9"/>
      <c r="AE18702" s="9"/>
      <c r="AF18702" s="9"/>
      <c r="AG18702" s="10"/>
    </row>
    <row r="18703" spans="1:33">
      <c r="A18703" s="9"/>
      <c r="B18703" s="9"/>
      <c r="C18703" s="9"/>
      <c r="D18703" s="9"/>
      <c r="E18703" s="9"/>
      <c r="F18703" s="9"/>
      <c r="G18703" s="9"/>
      <c r="H18703" s="9"/>
      <c r="I18703" s="9"/>
      <c r="J18703" s="9"/>
      <c r="K18703" s="9"/>
      <c r="L18703" s="9"/>
      <c r="M18703" s="9"/>
      <c r="N18703" s="9"/>
      <c r="O18703" s="9"/>
      <c r="P18703" s="9"/>
      <c r="Q18703" s="9"/>
      <c r="R18703" s="9"/>
      <c r="S18703" s="9"/>
      <c r="T18703" s="9"/>
      <c r="U18703" s="9"/>
      <c r="V18703" s="9"/>
      <c r="W18703" s="9"/>
      <c r="X18703" s="9"/>
      <c r="Y18703" s="9"/>
      <c r="Z18703" s="9"/>
      <c r="AA18703" s="9"/>
      <c r="AB18703" s="9"/>
      <c r="AC18703" s="9"/>
      <c r="AD18703" s="9"/>
      <c r="AE18703" s="9"/>
      <c r="AF18703" s="9"/>
      <c r="AG18703" s="10"/>
    </row>
    <row r="18704" spans="1:33">
      <c r="A18704" s="9"/>
      <c r="B18704" s="9"/>
      <c r="C18704" s="9"/>
      <c r="D18704" s="9"/>
      <c r="E18704" s="9"/>
      <c r="F18704" s="9"/>
      <c r="G18704" s="9"/>
      <c r="H18704" s="9"/>
      <c r="I18704" s="9"/>
      <c r="J18704" s="9"/>
      <c r="K18704" s="9"/>
      <c r="L18704" s="9"/>
      <c r="M18704" s="9"/>
      <c r="N18704" s="9"/>
      <c r="O18704" s="9"/>
      <c r="P18704" s="9"/>
      <c r="Q18704" s="9"/>
      <c r="R18704" s="9"/>
      <c r="S18704" s="9"/>
      <c r="T18704" s="9"/>
      <c r="U18704" s="9"/>
      <c r="V18704" s="9"/>
      <c r="W18704" s="9"/>
      <c r="X18704" s="9"/>
      <c r="Y18704" s="9"/>
      <c r="Z18704" s="9"/>
      <c r="AA18704" s="9"/>
      <c r="AB18704" s="9"/>
      <c r="AC18704" s="9"/>
      <c r="AD18704" s="9"/>
      <c r="AE18704" s="9"/>
      <c r="AF18704" s="9"/>
      <c r="AG18704" s="10"/>
    </row>
    <row r="18705" spans="1:33">
      <c r="A18705" s="9"/>
      <c r="B18705" s="9"/>
      <c r="C18705" s="9"/>
      <c r="D18705" s="9"/>
      <c r="E18705" s="9"/>
      <c r="F18705" s="9"/>
      <c r="G18705" s="9"/>
      <c r="H18705" s="9"/>
      <c r="I18705" s="9"/>
      <c r="J18705" s="9"/>
      <c r="K18705" s="9"/>
      <c r="L18705" s="9"/>
      <c r="M18705" s="9"/>
      <c r="N18705" s="9"/>
      <c r="O18705" s="9"/>
      <c r="P18705" s="9"/>
      <c r="Q18705" s="9"/>
      <c r="R18705" s="9"/>
      <c r="S18705" s="9"/>
      <c r="T18705" s="9"/>
      <c r="U18705" s="9"/>
      <c r="V18705" s="9"/>
      <c r="W18705" s="9"/>
      <c r="X18705" s="9"/>
      <c r="Y18705" s="9"/>
      <c r="Z18705" s="9"/>
      <c r="AA18705" s="9"/>
      <c r="AB18705" s="9"/>
      <c r="AC18705" s="9"/>
      <c r="AD18705" s="9"/>
      <c r="AE18705" s="9"/>
      <c r="AF18705" s="9"/>
      <c r="AG18705" s="10"/>
    </row>
    <row r="18706" spans="1:33">
      <c r="A18706" s="9"/>
      <c r="B18706" s="9"/>
      <c r="C18706" s="9"/>
      <c r="D18706" s="9"/>
      <c r="E18706" s="9"/>
      <c r="F18706" s="9"/>
      <c r="G18706" s="9"/>
      <c r="H18706" s="9"/>
      <c r="I18706" s="9"/>
      <c r="J18706" s="9"/>
      <c r="K18706" s="9"/>
      <c r="L18706" s="9"/>
      <c r="M18706" s="9"/>
      <c r="N18706" s="9"/>
      <c r="O18706" s="9"/>
      <c r="P18706" s="9"/>
      <c r="Q18706" s="9"/>
      <c r="R18706" s="9"/>
      <c r="S18706" s="9"/>
      <c r="T18706" s="9"/>
      <c r="U18706" s="9"/>
      <c r="V18706" s="9"/>
      <c r="W18706" s="9"/>
      <c r="X18706" s="9"/>
      <c r="Y18706" s="9"/>
      <c r="Z18706" s="9"/>
      <c r="AA18706" s="9"/>
      <c r="AB18706" s="9"/>
      <c r="AC18706" s="9"/>
      <c r="AD18706" s="9"/>
      <c r="AE18706" s="9"/>
      <c r="AF18706" s="9"/>
      <c r="AG18706" s="10"/>
    </row>
    <row r="18707" spans="1:33">
      <c r="A18707" s="9"/>
      <c r="B18707" s="9"/>
      <c r="C18707" s="9"/>
      <c r="D18707" s="9"/>
      <c r="E18707" s="9"/>
      <c r="F18707" s="9"/>
      <c r="G18707" s="9"/>
      <c r="H18707" s="9"/>
      <c r="I18707" s="9"/>
      <c r="J18707" s="9"/>
      <c r="K18707" s="9"/>
      <c r="L18707" s="9"/>
      <c r="M18707" s="9"/>
      <c r="N18707" s="9"/>
      <c r="O18707" s="9"/>
      <c r="P18707" s="9"/>
      <c r="Q18707" s="9"/>
      <c r="R18707" s="9"/>
      <c r="S18707" s="9"/>
      <c r="T18707" s="9"/>
      <c r="U18707" s="9"/>
      <c r="V18707" s="9"/>
      <c r="W18707" s="9"/>
      <c r="X18707" s="9"/>
      <c r="Y18707" s="9"/>
      <c r="Z18707" s="9"/>
      <c r="AA18707" s="9"/>
      <c r="AB18707" s="9"/>
      <c r="AC18707" s="9"/>
      <c r="AD18707" s="9"/>
      <c r="AE18707" s="9"/>
      <c r="AF18707" s="9"/>
      <c r="AG18707" s="10"/>
    </row>
    <row r="18708" spans="1:33">
      <c r="A18708" s="9"/>
      <c r="B18708" s="9"/>
      <c r="C18708" s="9"/>
      <c r="D18708" s="9"/>
      <c r="E18708" s="9"/>
      <c r="F18708" s="9"/>
      <c r="G18708" s="9"/>
      <c r="H18708" s="9"/>
      <c r="I18708" s="9"/>
      <c r="J18708" s="9"/>
      <c r="K18708" s="9"/>
      <c r="L18708" s="9"/>
      <c r="M18708" s="9"/>
      <c r="N18708" s="9"/>
      <c r="O18708" s="9"/>
      <c r="P18708" s="9"/>
      <c r="Q18708" s="9"/>
      <c r="R18708" s="9"/>
      <c r="S18708" s="9"/>
      <c r="T18708" s="9"/>
      <c r="U18708" s="9"/>
      <c r="V18708" s="9"/>
      <c r="W18708" s="9"/>
      <c r="X18708" s="9"/>
      <c r="Y18708" s="9"/>
      <c r="Z18708" s="9"/>
      <c r="AA18708" s="9"/>
      <c r="AB18708" s="9"/>
      <c r="AC18708" s="9"/>
      <c r="AD18708" s="9"/>
      <c r="AE18708" s="9"/>
      <c r="AF18708" s="9"/>
      <c r="AG18708" s="10"/>
    </row>
    <row r="18709" spans="1:33">
      <c r="A18709" s="9"/>
      <c r="B18709" s="9"/>
      <c r="C18709" s="9"/>
      <c r="D18709" s="9"/>
      <c r="E18709" s="9"/>
      <c r="F18709" s="9"/>
      <c r="G18709" s="9"/>
      <c r="H18709" s="9"/>
      <c r="I18709" s="9"/>
      <c r="J18709" s="9"/>
      <c r="K18709" s="9"/>
      <c r="L18709" s="9"/>
      <c r="M18709" s="9"/>
      <c r="N18709" s="9"/>
      <c r="O18709" s="9"/>
      <c r="P18709" s="9"/>
      <c r="Q18709" s="9"/>
      <c r="R18709" s="9"/>
      <c r="S18709" s="9"/>
      <c r="T18709" s="9"/>
      <c r="U18709" s="9"/>
      <c r="V18709" s="9"/>
      <c r="W18709" s="9"/>
      <c r="X18709" s="9"/>
      <c r="Y18709" s="9"/>
      <c r="Z18709" s="9"/>
      <c r="AA18709" s="9"/>
      <c r="AB18709" s="9"/>
      <c r="AC18709" s="9"/>
      <c r="AD18709" s="9"/>
      <c r="AE18709" s="9"/>
      <c r="AF18709" s="9"/>
      <c r="AG18709" s="10"/>
    </row>
    <row r="18710" spans="1:33">
      <c r="A18710" s="9"/>
      <c r="B18710" s="9"/>
      <c r="C18710" s="9"/>
      <c r="D18710" s="9"/>
      <c r="E18710" s="9"/>
      <c r="F18710" s="9"/>
      <c r="G18710" s="9"/>
      <c r="H18710" s="9"/>
      <c r="I18710" s="9"/>
      <c r="J18710" s="9"/>
      <c r="K18710" s="9"/>
      <c r="L18710" s="9"/>
      <c r="M18710" s="9"/>
      <c r="N18710" s="9"/>
      <c r="O18710" s="9"/>
      <c r="P18710" s="9"/>
      <c r="Q18710" s="9"/>
      <c r="R18710" s="9"/>
      <c r="S18710" s="9"/>
      <c r="T18710" s="9"/>
      <c r="U18710" s="9"/>
      <c r="V18710" s="9"/>
      <c r="W18710" s="9"/>
      <c r="X18710" s="9"/>
      <c r="Y18710" s="9"/>
      <c r="Z18710" s="9"/>
      <c r="AA18710" s="9"/>
      <c r="AB18710" s="9"/>
      <c r="AC18710" s="9"/>
      <c r="AD18710" s="9"/>
      <c r="AE18710" s="9"/>
      <c r="AF18710" s="9"/>
      <c r="AG18710" s="10"/>
    </row>
    <row r="18711" spans="1:33">
      <c r="A18711" s="9"/>
      <c r="B18711" s="9"/>
      <c r="C18711" s="9"/>
      <c r="D18711" s="9"/>
      <c r="E18711" s="9"/>
      <c r="F18711" s="9"/>
      <c r="G18711" s="9"/>
      <c r="H18711" s="9"/>
      <c r="I18711" s="9"/>
      <c r="J18711" s="9"/>
      <c r="K18711" s="9"/>
      <c r="L18711" s="9"/>
      <c r="M18711" s="9"/>
      <c r="N18711" s="9"/>
      <c r="O18711" s="9"/>
      <c r="P18711" s="9"/>
      <c r="Q18711" s="9"/>
      <c r="R18711" s="9"/>
      <c r="S18711" s="9"/>
      <c r="T18711" s="9"/>
      <c r="U18711" s="9"/>
      <c r="V18711" s="9"/>
      <c r="W18711" s="9"/>
      <c r="X18711" s="9"/>
      <c r="Y18711" s="9"/>
      <c r="Z18711" s="9"/>
      <c r="AA18711" s="9"/>
      <c r="AB18711" s="9"/>
      <c r="AC18711" s="9"/>
      <c r="AD18711" s="9"/>
      <c r="AE18711" s="9"/>
      <c r="AF18711" s="9"/>
      <c r="AG18711" s="10"/>
    </row>
    <row r="18712" spans="1:33">
      <c r="A18712" s="9"/>
      <c r="B18712" s="9"/>
      <c r="C18712" s="9"/>
      <c r="D18712" s="9"/>
      <c r="E18712" s="9"/>
      <c r="F18712" s="9"/>
      <c r="G18712" s="9"/>
      <c r="H18712" s="9"/>
      <c r="I18712" s="9"/>
      <c r="J18712" s="9"/>
      <c r="K18712" s="9"/>
      <c r="L18712" s="9"/>
      <c r="M18712" s="9"/>
      <c r="N18712" s="9"/>
      <c r="O18712" s="9"/>
      <c r="P18712" s="9"/>
      <c r="Q18712" s="9"/>
      <c r="R18712" s="9"/>
      <c r="S18712" s="9"/>
      <c r="T18712" s="9"/>
      <c r="U18712" s="9"/>
      <c r="V18712" s="9"/>
      <c r="W18712" s="9"/>
      <c r="X18712" s="9"/>
      <c r="Y18712" s="9"/>
      <c r="Z18712" s="9"/>
      <c r="AA18712" s="9"/>
      <c r="AB18712" s="9"/>
      <c r="AC18712" s="9"/>
      <c r="AD18712" s="9"/>
      <c r="AE18712" s="9"/>
      <c r="AF18712" s="9"/>
      <c r="AG18712" s="10"/>
    </row>
    <row r="18713" spans="1:33">
      <c r="A18713" s="9"/>
      <c r="B18713" s="9"/>
      <c r="C18713" s="9"/>
      <c r="D18713" s="9"/>
      <c r="E18713" s="9"/>
      <c r="F18713" s="9"/>
      <c r="G18713" s="9"/>
      <c r="H18713" s="9"/>
      <c r="I18713" s="9"/>
      <c r="J18713" s="9"/>
      <c r="K18713" s="9"/>
      <c r="L18713" s="9"/>
      <c r="M18713" s="9"/>
      <c r="N18713" s="9"/>
      <c r="O18713" s="9"/>
      <c r="P18713" s="9"/>
      <c r="Q18713" s="9"/>
      <c r="R18713" s="9"/>
      <c r="S18713" s="9"/>
      <c r="T18713" s="9"/>
      <c r="U18713" s="9"/>
      <c r="V18713" s="9"/>
      <c r="W18713" s="9"/>
      <c r="X18713" s="9"/>
      <c r="Y18713" s="9"/>
      <c r="Z18713" s="9"/>
      <c r="AA18713" s="9"/>
      <c r="AB18713" s="9"/>
      <c r="AC18713" s="9"/>
      <c r="AD18713" s="9"/>
      <c r="AE18713" s="9"/>
      <c r="AF18713" s="9"/>
      <c r="AG18713" s="10"/>
    </row>
    <row r="18714" spans="1:33">
      <c r="A18714" s="9"/>
      <c r="B18714" s="9"/>
      <c r="C18714" s="9"/>
      <c r="D18714" s="9"/>
      <c r="E18714" s="9"/>
      <c r="F18714" s="9"/>
      <c r="G18714" s="9"/>
      <c r="H18714" s="9"/>
      <c r="I18714" s="9"/>
      <c r="J18714" s="9"/>
      <c r="K18714" s="9"/>
      <c r="L18714" s="9"/>
      <c r="M18714" s="9"/>
      <c r="N18714" s="9"/>
      <c r="O18714" s="9"/>
      <c r="P18714" s="9"/>
      <c r="Q18714" s="9"/>
      <c r="R18714" s="9"/>
      <c r="S18714" s="9"/>
      <c r="T18714" s="9"/>
      <c r="U18714" s="9"/>
      <c r="V18714" s="9"/>
      <c r="W18714" s="9"/>
      <c r="X18714" s="9"/>
      <c r="Y18714" s="9"/>
      <c r="Z18714" s="9"/>
      <c r="AA18714" s="9"/>
      <c r="AB18714" s="9"/>
      <c r="AC18714" s="9"/>
      <c r="AD18714" s="9"/>
      <c r="AE18714" s="9"/>
      <c r="AF18714" s="9"/>
      <c r="AG18714" s="10"/>
    </row>
    <row r="18715" spans="1:33">
      <c r="A18715" s="9"/>
      <c r="B18715" s="9"/>
      <c r="C18715" s="9"/>
      <c r="D18715" s="9"/>
      <c r="E18715" s="9"/>
      <c r="F18715" s="9"/>
      <c r="G18715" s="9"/>
      <c r="H18715" s="9"/>
      <c r="I18715" s="9"/>
      <c r="J18715" s="9"/>
      <c r="K18715" s="9"/>
      <c r="L18715" s="9"/>
      <c r="M18715" s="9"/>
      <c r="N18715" s="9"/>
      <c r="O18715" s="9"/>
      <c r="P18715" s="9"/>
      <c r="Q18715" s="9"/>
      <c r="R18715" s="9"/>
      <c r="S18715" s="9"/>
      <c r="T18715" s="9"/>
      <c r="U18715" s="9"/>
      <c r="V18715" s="9"/>
      <c r="W18715" s="9"/>
      <c r="X18715" s="9"/>
      <c r="Y18715" s="9"/>
      <c r="Z18715" s="9"/>
      <c r="AA18715" s="9"/>
      <c r="AB18715" s="9"/>
      <c r="AC18715" s="9"/>
      <c r="AD18715" s="9"/>
      <c r="AE18715" s="9"/>
      <c r="AF18715" s="9"/>
      <c r="AG18715" s="10"/>
    </row>
    <row r="18716" spans="1:33">
      <c r="A18716" s="9"/>
      <c r="B18716" s="9"/>
      <c r="C18716" s="9"/>
      <c r="D18716" s="9"/>
      <c r="E18716" s="9"/>
      <c r="F18716" s="9"/>
      <c r="G18716" s="9"/>
      <c r="H18716" s="9"/>
      <c r="I18716" s="9"/>
      <c r="J18716" s="9"/>
      <c r="K18716" s="9"/>
      <c r="L18716" s="9"/>
      <c r="M18716" s="9"/>
      <c r="N18716" s="9"/>
      <c r="O18716" s="9"/>
      <c r="P18716" s="9"/>
      <c r="Q18716" s="9"/>
      <c r="R18716" s="9"/>
      <c r="S18716" s="9"/>
      <c r="T18716" s="9"/>
      <c r="U18716" s="9"/>
      <c r="V18716" s="9"/>
      <c r="W18716" s="9"/>
      <c r="X18716" s="9"/>
      <c r="Y18716" s="9"/>
      <c r="Z18716" s="9"/>
      <c r="AA18716" s="9"/>
      <c r="AB18716" s="9"/>
      <c r="AC18716" s="9"/>
      <c r="AD18716" s="9"/>
      <c r="AE18716" s="9"/>
      <c r="AF18716" s="9"/>
      <c r="AG18716" s="10"/>
    </row>
    <row r="18717" spans="1:33">
      <c r="A18717" s="9"/>
      <c r="B18717" s="9"/>
      <c r="C18717" s="9"/>
      <c r="D18717" s="9"/>
      <c r="E18717" s="9"/>
      <c r="F18717" s="9"/>
      <c r="G18717" s="9"/>
      <c r="H18717" s="9"/>
      <c r="I18717" s="9"/>
      <c r="J18717" s="9"/>
      <c r="K18717" s="9"/>
      <c r="L18717" s="9"/>
      <c r="M18717" s="9"/>
      <c r="N18717" s="9"/>
      <c r="O18717" s="9"/>
      <c r="P18717" s="9"/>
      <c r="Q18717" s="9"/>
      <c r="R18717" s="9"/>
      <c r="S18717" s="9"/>
      <c r="T18717" s="9"/>
      <c r="U18717" s="9"/>
      <c r="V18717" s="9"/>
      <c r="W18717" s="9"/>
      <c r="X18717" s="9"/>
      <c r="Y18717" s="9"/>
      <c r="Z18717" s="9"/>
      <c r="AA18717" s="9"/>
      <c r="AB18717" s="9"/>
      <c r="AC18717" s="9"/>
      <c r="AD18717" s="9"/>
      <c r="AE18717" s="9"/>
      <c r="AF18717" s="9"/>
      <c r="AG18717" s="10"/>
    </row>
    <row r="18718" spans="1:33">
      <c r="A18718" s="9"/>
      <c r="B18718" s="9"/>
      <c r="C18718" s="9"/>
      <c r="D18718" s="9"/>
      <c r="E18718" s="9"/>
      <c r="F18718" s="9"/>
      <c r="G18718" s="9"/>
      <c r="H18718" s="9"/>
      <c r="I18718" s="9"/>
      <c r="J18718" s="9"/>
      <c r="K18718" s="9"/>
      <c r="L18718" s="9"/>
      <c r="M18718" s="9"/>
      <c r="N18718" s="9"/>
      <c r="O18718" s="9"/>
      <c r="P18718" s="9"/>
      <c r="Q18718" s="9"/>
      <c r="R18718" s="9"/>
      <c r="S18718" s="9"/>
      <c r="T18718" s="9"/>
      <c r="U18718" s="9"/>
      <c r="V18718" s="9"/>
      <c r="W18718" s="9"/>
      <c r="X18718" s="9"/>
      <c r="Y18718" s="9"/>
      <c r="Z18718" s="9"/>
      <c r="AA18718" s="9"/>
      <c r="AB18718" s="9"/>
      <c r="AC18718" s="9"/>
      <c r="AD18718" s="9"/>
      <c r="AE18718" s="9"/>
      <c r="AF18718" s="9"/>
      <c r="AG18718" s="10"/>
    </row>
    <row r="18719" spans="1:33">
      <c r="A18719" s="9"/>
      <c r="B18719" s="9"/>
      <c r="C18719" s="9"/>
      <c r="D18719" s="9"/>
      <c r="E18719" s="9"/>
      <c r="F18719" s="9"/>
      <c r="G18719" s="9"/>
      <c r="H18719" s="9"/>
      <c r="I18719" s="9"/>
      <c r="J18719" s="9"/>
      <c r="K18719" s="9"/>
      <c r="L18719" s="9"/>
      <c r="M18719" s="9"/>
      <c r="N18719" s="9"/>
      <c r="O18719" s="9"/>
      <c r="P18719" s="9"/>
      <c r="Q18719" s="9"/>
      <c r="R18719" s="9"/>
      <c r="S18719" s="9"/>
      <c r="T18719" s="9"/>
      <c r="U18719" s="9"/>
      <c r="V18719" s="9"/>
      <c r="W18719" s="9"/>
      <c r="X18719" s="9"/>
      <c r="Y18719" s="9"/>
      <c r="Z18719" s="9"/>
      <c r="AA18719" s="9"/>
      <c r="AB18719" s="9"/>
      <c r="AC18719" s="9"/>
      <c r="AD18719" s="9"/>
      <c r="AE18719" s="9"/>
      <c r="AF18719" s="9"/>
      <c r="AG18719" s="10"/>
    </row>
    <row r="18720" spans="1:33">
      <c r="A18720" s="9"/>
      <c r="B18720" s="9"/>
      <c r="C18720" s="9"/>
      <c r="D18720" s="9"/>
      <c r="E18720" s="9"/>
      <c r="F18720" s="9"/>
      <c r="G18720" s="9"/>
      <c r="H18720" s="9"/>
      <c r="I18720" s="9"/>
      <c r="J18720" s="9"/>
      <c r="K18720" s="9"/>
      <c r="L18720" s="9"/>
      <c r="M18720" s="9"/>
      <c r="N18720" s="9"/>
      <c r="O18720" s="9"/>
      <c r="P18720" s="9"/>
      <c r="Q18720" s="9"/>
      <c r="R18720" s="9"/>
      <c r="S18720" s="9"/>
      <c r="T18720" s="9"/>
      <c r="U18720" s="9"/>
      <c r="V18720" s="9"/>
      <c r="W18720" s="9"/>
      <c r="X18720" s="9"/>
      <c r="Y18720" s="9"/>
      <c r="Z18720" s="9"/>
      <c r="AA18720" s="9"/>
      <c r="AB18720" s="9"/>
      <c r="AC18720" s="9"/>
      <c r="AD18720" s="9"/>
      <c r="AE18720" s="9"/>
      <c r="AF18720" s="9"/>
      <c r="AG18720" s="10"/>
    </row>
    <row r="18721" spans="1:33">
      <c r="A18721" s="9"/>
      <c r="B18721" s="9"/>
      <c r="C18721" s="9"/>
      <c r="D18721" s="9"/>
      <c r="E18721" s="9"/>
      <c r="F18721" s="9"/>
      <c r="G18721" s="9"/>
      <c r="H18721" s="9"/>
      <c r="I18721" s="9"/>
      <c r="J18721" s="9"/>
      <c r="K18721" s="9"/>
      <c r="L18721" s="9"/>
      <c r="M18721" s="9"/>
      <c r="N18721" s="9"/>
      <c r="O18721" s="9"/>
      <c r="P18721" s="9"/>
      <c r="Q18721" s="9"/>
      <c r="R18721" s="9"/>
      <c r="S18721" s="9"/>
      <c r="T18721" s="9"/>
      <c r="U18721" s="9"/>
      <c r="V18721" s="9"/>
      <c r="W18721" s="9"/>
      <c r="X18721" s="9"/>
      <c r="Y18721" s="9"/>
      <c r="Z18721" s="9"/>
      <c r="AA18721" s="9"/>
      <c r="AB18721" s="9"/>
      <c r="AC18721" s="9"/>
      <c r="AD18721" s="9"/>
      <c r="AE18721" s="9"/>
      <c r="AF18721" s="9"/>
      <c r="AG18721" s="10"/>
    </row>
    <row r="18722" spans="1:33">
      <c r="A18722" s="9"/>
      <c r="B18722" s="9"/>
      <c r="C18722" s="9"/>
      <c r="D18722" s="9"/>
      <c r="E18722" s="9"/>
      <c r="F18722" s="9"/>
      <c r="G18722" s="9"/>
      <c r="H18722" s="9"/>
      <c r="I18722" s="9"/>
      <c r="J18722" s="9"/>
      <c r="K18722" s="9"/>
      <c r="L18722" s="9"/>
      <c r="M18722" s="9"/>
      <c r="N18722" s="9"/>
      <c r="O18722" s="9"/>
      <c r="P18722" s="9"/>
      <c r="Q18722" s="9"/>
      <c r="R18722" s="9"/>
      <c r="S18722" s="9"/>
      <c r="T18722" s="9"/>
      <c r="U18722" s="9"/>
      <c r="V18722" s="9"/>
      <c r="W18722" s="9"/>
      <c r="X18722" s="9"/>
      <c r="Y18722" s="9"/>
      <c r="Z18722" s="9"/>
      <c r="AA18722" s="9"/>
      <c r="AB18722" s="9"/>
      <c r="AC18722" s="9"/>
      <c r="AD18722" s="9"/>
      <c r="AE18722" s="9"/>
      <c r="AF18722" s="9"/>
      <c r="AG18722" s="10"/>
    </row>
    <row r="18723" spans="1:33">
      <c r="A18723" s="9"/>
      <c r="B18723" s="9"/>
      <c r="C18723" s="9"/>
      <c r="D18723" s="9"/>
      <c r="E18723" s="9"/>
      <c r="F18723" s="9"/>
      <c r="G18723" s="9"/>
      <c r="H18723" s="9"/>
      <c r="I18723" s="9"/>
      <c r="J18723" s="9"/>
      <c r="K18723" s="9"/>
      <c r="L18723" s="9"/>
      <c r="M18723" s="9"/>
      <c r="N18723" s="9"/>
      <c r="O18723" s="9"/>
      <c r="P18723" s="9"/>
      <c r="Q18723" s="9"/>
      <c r="R18723" s="9"/>
      <c r="S18723" s="9"/>
      <c r="T18723" s="9"/>
      <c r="U18723" s="9"/>
      <c r="V18723" s="9"/>
      <c r="W18723" s="9"/>
      <c r="X18723" s="9"/>
      <c r="Y18723" s="9"/>
      <c r="Z18723" s="9"/>
      <c r="AA18723" s="9"/>
      <c r="AB18723" s="9"/>
      <c r="AC18723" s="9"/>
      <c r="AD18723" s="9"/>
      <c r="AE18723" s="9"/>
      <c r="AF18723" s="9"/>
      <c r="AG18723" s="10"/>
    </row>
    <row r="18724" spans="1:33">
      <c r="A18724" s="9"/>
      <c r="B18724" s="9"/>
      <c r="C18724" s="9"/>
      <c r="D18724" s="9"/>
      <c r="E18724" s="9"/>
      <c r="F18724" s="9"/>
      <c r="G18724" s="9"/>
      <c r="H18724" s="9"/>
      <c r="I18724" s="9"/>
      <c r="J18724" s="9"/>
      <c r="K18724" s="9"/>
      <c r="L18724" s="9"/>
      <c r="M18724" s="9"/>
      <c r="N18724" s="9"/>
      <c r="O18724" s="9"/>
      <c r="P18724" s="9"/>
      <c r="Q18724" s="9"/>
      <c r="R18724" s="9"/>
      <c r="S18724" s="9"/>
      <c r="T18724" s="9"/>
      <c r="U18724" s="9"/>
      <c r="V18724" s="9"/>
      <c r="W18724" s="9"/>
      <c r="X18724" s="9"/>
      <c r="Y18724" s="9"/>
      <c r="Z18724" s="9"/>
      <c r="AA18724" s="9"/>
      <c r="AB18724" s="9"/>
      <c r="AC18724" s="9"/>
      <c r="AD18724" s="9"/>
      <c r="AE18724" s="9"/>
      <c r="AF18724" s="9"/>
      <c r="AG18724" s="10"/>
    </row>
    <row r="18725" spans="1:33">
      <c r="A18725" s="9"/>
      <c r="B18725" s="9"/>
      <c r="C18725" s="9"/>
      <c r="D18725" s="9"/>
      <c r="E18725" s="9"/>
      <c r="F18725" s="9"/>
      <c r="G18725" s="9"/>
      <c r="H18725" s="9"/>
      <c r="I18725" s="9"/>
      <c r="J18725" s="9"/>
      <c r="K18725" s="9"/>
      <c r="L18725" s="9"/>
      <c r="M18725" s="9"/>
      <c r="N18725" s="9"/>
      <c r="O18725" s="9"/>
      <c r="P18725" s="9"/>
      <c r="Q18725" s="9"/>
      <c r="R18725" s="9"/>
      <c r="S18725" s="9"/>
      <c r="T18725" s="9"/>
      <c r="U18725" s="9"/>
      <c r="V18725" s="9"/>
      <c r="W18725" s="9"/>
      <c r="X18725" s="9"/>
      <c r="Y18725" s="9"/>
      <c r="Z18725" s="9"/>
      <c r="AA18725" s="9"/>
      <c r="AB18725" s="9"/>
      <c r="AC18725" s="9"/>
      <c r="AD18725" s="9"/>
      <c r="AE18725" s="9"/>
      <c r="AF18725" s="9"/>
      <c r="AG18725" s="10"/>
    </row>
    <row r="18726" spans="1:33">
      <c r="A18726" s="9"/>
      <c r="B18726" s="9"/>
      <c r="C18726" s="9"/>
      <c r="D18726" s="9"/>
      <c r="E18726" s="9"/>
      <c r="F18726" s="9"/>
      <c r="G18726" s="9"/>
      <c r="H18726" s="9"/>
      <c r="I18726" s="9"/>
      <c r="J18726" s="9"/>
      <c r="K18726" s="9"/>
      <c r="L18726" s="9"/>
      <c r="M18726" s="9"/>
      <c r="N18726" s="9"/>
      <c r="O18726" s="9"/>
      <c r="P18726" s="9"/>
      <c r="Q18726" s="9"/>
      <c r="R18726" s="9"/>
      <c r="S18726" s="9"/>
      <c r="T18726" s="9"/>
      <c r="U18726" s="9"/>
      <c r="V18726" s="9"/>
      <c r="W18726" s="9"/>
      <c r="X18726" s="9"/>
      <c r="Y18726" s="9"/>
      <c r="Z18726" s="9"/>
      <c r="AA18726" s="9"/>
      <c r="AB18726" s="9"/>
      <c r="AC18726" s="9"/>
      <c r="AD18726" s="9"/>
      <c r="AE18726" s="9"/>
      <c r="AF18726" s="9"/>
      <c r="AG18726" s="10"/>
    </row>
    <row r="18727" spans="1:33">
      <c r="A18727" s="9"/>
      <c r="B18727" s="9"/>
      <c r="C18727" s="9"/>
      <c r="D18727" s="9"/>
      <c r="E18727" s="9"/>
      <c r="F18727" s="9"/>
      <c r="G18727" s="9"/>
      <c r="H18727" s="9"/>
      <c r="I18727" s="9"/>
      <c r="J18727" s="9"/>
      <c r="K18727" s="9"/>
      <c r="L18727" s="9"/>
      <c r="M18727" s="9"/>
      <c r="N18727" s="9"/>
      <c r="O18727" s="9"/>
      <c r="P18727" s="9"/>
      <c r="Q18727" s="9"/>
      <c r="R18727" s="9"/>
      <c r="S18727" s="9"/>
      <c r="T18727" s="9"/>
      <c r="U18727" s="9"/>
      <c r="V18727" s="9"/>
      <c r="W18727" s="9"/>
      <c r="X18727" s="9"/>
      <c r="Y18727" s="9"/>
      <c r="Z18727" s="9"/>
      <c r="AA18727" s="9"/>
      <c r="AB18727" s="9"/>
      <c r="AC18727" s="9"/>
      <c r="AD18727" s="9"/>
      <c r="AE18727" s="9"/>
      <c r="AF18727" s="9"/>
      <c r="AG18727" s="10"/>
    </row>
    <row r="18728" spans="1:33">
      <c r="A18728" s="9"/>
      <c r="B18728" s="9"/>
      <c r="C18728" s="9"/>
      <c r="D18728" s="9"/>
      <c r="E18728" s="9"/>
      <c r="F18728" s="9"/>
      <c r="G18728" s="9"/>
      <c r="H18728" s="9"/>
      <c r="I18728" s="9"/>
      <c r="J18728" s="9"/>
      <c r="K18728" s="9"/>
      <c r="L18728" s="9"/>
      <c r="M18728" s="9"/>
      <c r="N18728" s="9"/>
      <c r="O18728" s="9"/>
      <c r="P18728" s="9"/>
      <c r="Q18728" s="9"/>
      <c r="R18728" s="9"/>
      <c r="S18728" s="9"/>
      <c r="T18728" s="9"/>
      <c r="U18728" s="9"/>
      <c r="V18728" s="9"/>
      <c r="W18728" s="9"/>
      <c r="X18728" s="9"/>
      <c r="Y18728" s="9"/>
      <c r="Z18728" s="9"/>
      <c r="AA18728" s="9"/>
      <c r="AB18728" s="9"/>
      <c r="AC18728" s="9"/>
      <c r="AD18728" s="9"/>
      <c r="AE18728" s="9"/>
      <c r="AF18728" s="9"/>
      <c r="AG18728" s="10"/>
    </row>
    <row r="18729" spans="1:33">
      <c r="A18729" s="9"/>
      <c r="B18729" s="9"/>
      <c r="C18729" s="9"/>
      <c r="D18729" s="9"/>
      <c r="E18729" s="9"/>
      <c r="F18729" s="9"/>
      <c r="G18729" s="9"/>
      <c r="H18729" s="9"/>
      <c r="I18729" s="9"/>
      <c r="J18729" s="9"/>
      <c r="K18729" s="9"/>
      <c r="L18729" s="9"/>
      <c r="M18729" s="9"/>
      <c r="N18729" s="9"/>
      <c r="O18729" s="9"/>
      <c r="P18729" s="9"/>
      <c r="Q18729" s="9"/>
      <c r="R18729" s="9"/>
      <c r="S18729" s="9"/>
      <c r="T18729" s="9"/>
      <c r="U18729" s="9"/>
      <c r="V18729" s="9"/>
      <c r="W18729" s="9"/>
      <c r="X18729" s="9"/>
      <c r="Y18729" s="9"/>
      <c r="Z18729" s="9"/>
      <c r="AA18729" s="9"/>
      <c r="AB18729" s="9"/>
      <c r="AC18729" s="9"/>
      <c r="AD18729" s="9"/>
      <c r="AE18729" s="9"/>
      <c r="AF18729" s="9"/>
      <c r="AG18729" s="10"/>
    </row>
    <row r="18730" spans="1:33">
      <c r="A18730" s="9"/>
      <c r="B18730" s="9"/>
      <c r="C18730" s="9"/>
      <c r="D18730" s="9"/>
      <c r="E18730" s="9"/>
      <c r="F18730" s="9"/>
      <c r="G18730" s="9"/>
      <c r="H18730" s="9"/>
      <c r="I18730" s="9"/>
      <c r="J18730" s="9"/>
      <c r="K18730" s="9"/>
      <c r="L18730" s="9"/>
      <c r="M18730" s="9"/>
      <c r="N18730" s="9"/>
      <c r="O18730" s="9"/>
      <c r="P18730" s="9"/>
      <c r="Q18730" s="9"/>
      <c r="R18730" s="9"/>
      <c r="S18730" s="9"/>
      <c r="T18730" s="9"/>
      <c r="U18730" s="9"/>
      <c r="V18730" s="9"/>
      <c r="W18730" s="9"/>
      <c r="X18730" s="9"/>
      <c r="Y18730" s="9"/>
      <c r="Z18730" s="9"/>
      <c r="AA18730" s="9"/>
      <c r="AB18730" s="9"/>
      <c r="AC18730" s="9"/>
      <c r="AD18730" s="9"/>
      <c r="AE18730" s="9"/>
      <c r="AF18730" s="9"/>
      <c r="AG18730" s="10"/>
    </row>
    <row r="18731" spans="1:33">
      <c r="A18731" s="9"/>
      <c r="B18731" s="9"/>
      <c r="C18731" s="9"/>
      <c r="D18731" s="9"/>
      <c r="E18731" s="9"/>
      <c r="F18731" s="9"/>
      <c r="G18731" s="9"/>
      <c r="H18731" s="9"/>
      <c r="I18731" s="9"/>
      <c r="J18731" s="9"/>
      <c r="K18731" s="9"/>
      <c r="L18731" s="9"/>
      <c r="M18731" s="9"/>
      <c r="N18731" s="9"/>
      <c r="O18731" s="9"/>
      <c r="P18731" s="9"/>
      <c r="Q18731" s="9"/>
      <c r="R18731" s="9"/>
      <c r="S18731" s="9"/>
      <c r="T18731" s="9"/>
      <c r="U18731" s="9"/>
      <c r="V18731" s="9"/>
      <c r="W18731" s="9"/>
      <c r="X18731" s="9"/>
      <c r="Y18731" s="9"/>
      <c r="Z18731" s="9"/>
      <c r="AA18731" s="9"/>
      <c r="AB18731" s="9"/>
      <c r="AC18731" s="9"/>
      <c r="AD18731" s="9"/>
      <c r="AE18731" s="9"/>
      <c r="AF18731" s="9"/>
      <c r="AG18731" s="10"/>
    </row>
    <row r="18732" spans="1:33">
      <c r="A18732" s="9"/>
      <c r="B18732" s="9"/>
      <c r="C18732" s="9"/>
      <c r="D18732" s="9"/>
      <c r="E18732" s="9"/>
      <c r="F18732" s="9"/>
      <c r="G18732" s="9"/>
      <c r="H18732" s="9"/>
      <c r="I18732" s="9"/>
      <c r="J18732" s="9"/>
      <c r="K18732" s="9"/>
      <c r="L18732" s="9"/>
      <c r="M18732" s="9"/>
      <c r="N18732" s="9"/>
      <c r="O18732" s="9"/>
      <c r="P18732" s="9"/>
      <c r="Q18732" s="9"/>
      <c r="R18732" s="9"/>
      <c r="S18732" s="9"/>
      <c r="T18732" s="9"/>
      <c r="U18732" s="9"/>
      <c r="V18732" s="9"/>
      <c r="W18732" s="9"/>
      <c r="X18732" s="9"/>
      <c r="Y18732" s="9"/>
      <c r="Z18732" s="9"/>
      <c r="AA18732" s="9"/>
      <c r="AB18732" s="9"/>
      <c r="AC18732" s="9"/>
      <c r="AD18732" s="9"/>
      <c r="AE18732" s="9"/>
      <c r="AF18732" s="9"/>
      <c r="AG18732" s="10"/>
    </row>
    <row r="18733" spans="1:33">
      <c r="A18733" s="9"/>
      <c r="B18733" s="9"/>
      <c r="C18733" s="9"/>
      <c r="D18733" s="9"/>
      <c r="E18733" s="9"/>
      <c r="F18733" s="9"/>
      <c r="G18733" s="9"/>
      <c r="H18733" s="9"/>
      <c r="I18733" s="9"/>
      <c r="J18733" s="9"/>
      <c r="K18733" s="9"/>
      <c r="L18733" s="9"/>
      <c r="M18733" s="9"/>
      <c r="N18733" s="9"/>
      <c r="O18733" s="9"/>
      <c r="P18733" s="9"/>
      <c r="Q18733" s="9"/>
      <c r="R18733" s="9"/>
      <c r="S18733" s="9"/>
      <c r="T18733" s="9"/>
      <c r="U18733" s="9"/>
      <c r="V18733" s="9"/>
      <c r="W18733" s="9"/>
      <c r="X18733" s="9"/>
      <c r="Y18733" s="9"/>
      <c r="Z18733" s="9"/>
      <c r="AA18733" s="9"/>
      <c r="AB18733" s="9"/>
      <c r="AC18733" s="9"/>
      <c r="AD18733" s="9"/>
      <c r="AE18733" s="9"/>
      <c r="AF18733" s="9"/>
      <c r="AG18733" s="10"/>
    </row>
    <row r="18734" spans="1:33">
      <c r="A18734" s="9"/>
      <c r="B18734" s="9"/>
      <c r="C18734" s="9"/>
      <c r="D18734" s="9"/>
      <c r="E18734" s="9"/>
      <c r="F18734" s="9"/>
      <c r="G18734" s="9"/>
      <c r="H18734" s="9"/>
      <c r="I18734" s="9"/>
      <c r="J18734" s="9"/>
      <c r="K18734" s="9"/>
      <c r="L18734" s="9"/>
      <c r="M18734" s="9"/>
      <c r="N18734" s="9"/>
      <c r="O18734" s="9"/>
      <c r="P18734" s="9"/>
      <c r="Q18734" s="9"/>
      <c r="R18734" s="9"/>
      <c r="S18734" s="9"/>
      <c r="T18734" s="9"/>
      <c r="U18734" s="9"/>
      <c r="V18734" s="9"/>
      <c r="W18734" s="9"/>
      <c r="X18734" s="9"/>
      <c r="Y18734" s="9"/>
      <c r="Z18734" s="9"/>
      <c r="AA18734" s="9"/>
      <c r="AB18734" s="9"/>
      <c r="AC18734" s="9"/>
      <c r="AD18734" s="9"/>
      <c r="AE18734" s="9"/>
      <c r="AF18734" s="9"/>
      <c r="AG18734" s="10"/>
    </row>
    <row r="18735" spans="1:33">
      <c r="A18735" s="9"/>
      <c r="B18735" s="9"/>
      <c r="C18735" s="9"/>
      <c r="D18735" s="9"/>
      <c r="E18735" s="9"/>
      <c r="F18735" s="9"/>
      <c r="G18735" s="9"/>
      <c r="H18735" s="9"/>
      <c r="I18735" s="9"/>
      <c r="J18735" s="9"/>
      <c r="K18735" s="9"/>
      <c r="L18735" s="9"/>
      <c r="M18735" s="9"/>
      <c r="N18735" s="9"/>
      <c r="O18735" s="9"/>
      <c r="P18735" s="9"/>
      <c r="Q18735" s="9"/>
      <c r="R18735" s="9"/>
      <c r="S18735" s="9"/>
      <c r="T18735" s="9"/>
      <c r="U18735" s="9"/>
      <c r="V18735" s="9"/>
      <c r="W18735" s="9"/>
      <c r="X18735" s="9"/>
      <c r="Y18735" s="9"/>
      <c r="Z18735" s="9"/>
      <c r="AA18735" s="9"/>
      <c r="AB18735" s="9"/>
      <c r="AC18735" s="9"/>
      <c r="AD18735" s="9"/>
      <c r="AE18735" s="9"/>
      <c r="AF18735" s="9"/>
      <c r="AG18735" s="10"/>
    </row>
    <row r="18736" spans="1:33">
      <c r="A18736" s="9"/>
      <c r="B18736" s="9"/>
      <c r="C18736" s="9"/>
      <c r="D18736" s="9"/>
      <c r="E18736" s="9"/>
      <c r="F18736" s="9"/>
      <c r="G18736" s="9"/>
      <c r="H18736" s="9"/>
      <c r="I18736" s="9"/>
      <c r="J18736" s="9"/>
      <c r="K18736" s="9"/>
      <c r="L18736" s="9"/>
      <c r="M18736" s="9"/>
      <c r="N18736" s="9"/>
      <c r="O18736" s="9"/>
      <c r="P18736" s="9"/>
      <c r="Q18736" s="9"/>
      <c r="R18736" s="9"/>
      <c r="S18736" s="9"/>
      <c r="T18736" s="9"/>
      <c r="U18736" s="9"/>
      <c r="V18736" s="9"/>
      <c r="W18736" s="9"/>
      <c r="X18736" s="9"/>
      <c r="Y18736" s="9"/>
      <c r="Z18736" s="9"/>
      <c r="AA18736" s="9"/>
      <c r="AB18736" s="9"/>
      <c r="AC18736" s="9"/>
      <c r="AD18736" s="9"/>
      <c r="AE18736" s="9"/>
      <c r="AF18736" s="9"/>
      <c r="AG18736" s="10"/>
    </row>
    <row r="18737" spans="1:33">
      <c r="A18737" s="9"/>
      <c r="B18737" s="9"/>
      <c r="C18737" s="9"/>
      <c r="D18737" s="9"/>
      <c r="E18737" s="9"/>
      <c r="F18737" s="9"/>
      <c r="G18737" s="9"/>
      <c r="H18737" s="9"/>
      <c r="I18737" s="9"/>
      <c r="J18737" s="9"/>
      <c r="K18737" s="9"/>
      <c r="L18737" s="9"/>
      <c r="M18737" s="9"/>
      <c r="N18737" s="9"/>
      <c r="O18737" s="9"/>
      <c r="P18737" s="9"/>
      <c r="Q18737" s="9"/>
      <c r="R18737" s="9"/>
      <c r="S18737" s="9"/>
      <c r="T18737" s="9"/>
      <c r="U18737" s="9"/>
      <c r="V18737" s="9"/>
      <c r="W18737" s="9"/>
      <c r="X18737" s="9"/>
      <c r="Y18737" s="9"/>
      <c r="Z18737" s="9"/>
      <c r="AA18737" s="9"/>
      <c r="AB18737" s="9"/>
      <c r="AC18737" s="9"/>
      <c r="AD18737" s="9"/>
      <c r="AE18737" s="9"/>
      <c r="AF18737" s="9"/>
      <c r="AG18737" s="10"/>
    </row>
    <row r="18738" spans="1:33">
      <c r="A18738" s="9"/>
      <c r="B18738" s="9"/>
      <c r="C18738" s="9"/>
      <c r="D18738" s="9"/>
      <c r="E18738" s="9"/>
      <c r="F18738" s="9"/>
      <c r="G18738" s="9"/>
      <c r="H18738" s="9"/>
      <c r="I18738" s="9"/>
      <c r="J18738" s="9"/>
      <c r="K18738" s="9"/>
      <c r="L18738" s="9"/>
      <c r="M18738" s="9"/>
      <c r="N18738" s="9"/>
      <c r="O18738" s="9"/>
      <c r="P18738" s="9"/>
      <c r="Q18738" s="9"/>
      <c r="R18738" s="9"/>
      <c r="S18738" s="9"/>
      <c r="T18738" s="9"/>
      <c r="U18738" s="9"/>
      <c r="V18738" s="9"/>
      <c r="W18738" s="9"/>
      <c r="X18738" s="9"/>
      <c r="Y18738" s="9"/>
      <c r="Z18738" s="9"/>
      <c r="AA18738" s="9"/>
      <c r="AB18738" s="9"/>
      <c r="AC18738" s="9"/>
      <c r="AD18738" s="9"/>
      <c r="AE18738" s="9"/>
      <c r="AF18738" s="9"/>
      <c r="AG18738" s="10"/>
    </row>
    <row r="18739" spans="1:33">
      <c r="A18739" s="9"/>
      <c r="B18739" s="9"/>
      <c r="C18739" s="9"/>
      <c r="D18739" s="9"/>
      <c r="E18739" s="9"/>
      <c r="F18739" s="9"/>
      <c r="G18739" s="9"/>
      <c r="H18739" s="9"/>
      <c r="I18739" s="9"/>
      <c r="J18739" s="9"/>
      <c r="K18739" s="9"/>
      <c r="L18739" s="9"/>
      <c r="M18739" s="9"/>
      <c r="N18739" s="9"/>
      <c r="O18739" s="9"/>
      <c r="P18739" s="9"/>
      <c r="Q18739" s="9"/>
      <c r="R18739" s="9"/>
      <c r="S18739" s="9"/>
      <c r="T18739" s="9"/>
      <c r="U18739" s="9"/>
      <c r="V18739" s="9"/>
      <c r="W18739" s="9"/>
      <c r="X18739" s="9"/>
      <c r="Y18739" s="9"/>
      <c r="Z18739" s="9"/>
      <c r="AA18739" s="9"/>
      <c r="AB18739" s="9"/>
      <c r="AC18739" s="9"/>
      <c r="AD18739" s="9"/>
      <c r="AE18739" s="9"/>
      <c r="AF18739" s="9"/>
      <c r="AG18739" s="10"/>
    </row>
    <row r="18740" spans="1:33">
      <c r="A18740" s="9"/>
      <c r="B18740" s="9"/>
      <c r="C18740" s="9"/>
      <c r="D18740" s="9"/>
      <c r="E18740" s="9"/>
      <c r="F18740" s="9"/>
      <c r="G18740" s="9"/>
      <c r="H18740" s="9"/>
      <c r="I18740" s="9"/>
      <c r="J18740" s="9"/>
      <c r="K18740" s="9"/>
      <c r="L18740" s="9"/>
      <c r="M18740" s="9"/>
      <c r="N18740" s="9"/>
      <c r="O18740" s="9"/>
      <c r="P18740" s="9"/>
      <c r="Q18740" s="9"/>
      <c r="R18740" s="9"/>
      <c r="S18740" s="9"/>
      <c r="T18740" s="9"/>
      <c r="U18740" s="9"/>
      <c r="V18740" s="9"/>
      <c r="W18740" s="9"/>
      <c r="X18740" s="9"/>
      <c r="Y18740" s="9"/>
      <c r="Z18740" s="9"/>
      <c r="AA18740" s="9"/>
      <c r="AB18740" s="9"/>
      <c r="AC18740" s="9"/>
      <c r="AD18740" s="9"/>
      <c r="AE18740" s="9"/>
      <c r="AF18740" s="9"/>
      <c r="AG18740" s="10"/>
    </row>
    <row r="18741" spans="1:33">
      <c r="A18741" s="9"/>
      <c r="B18741" s="9"/>
      <c r="C18741" s="9"/>
      <c r="D18741" s="9"/>
      <c r="E18741" s="9"/>
      <c r="F18741" s="9"/>
      <c r="G18741" s="9"/>
      <c r="H18741" s="9"/>
      <c r="I18741" s="9"/>
      <c r="J18741" s="9"/>
      <c r="K18741" s="9"/>
      <c r="L18741" s="9"/>
      <c r="M18741" s="9"/>
      <c r="N18741" s="9"/>
      <c r="O18741" s="9"/>
      <c r="P18741" s="9"/>
      <c r="Q18741" s="9"/>
      <c r="R18741" s="9"/>
      <c r="S18741" s="9"/>
      <c r="T18741" s="9"/>
      <c r="U18741" s="9"/>
      <c r="V18741" s="9"/>
      <c r="W18741" s="9"/>
      <c r="X18741" s="9"/>
      <c r="Y18741" s="9"/>
      <c r="Z18741" s="9"/>
      <c r="AA18741" s="9"/>
      <c r="AB18741" s="9"/>
      <c r="AC18741" s="9"/>
      <c r="AD18741" s="9"/>
      <c r="AE18741" s="9"/>
      <c r="AF18741" s="9"/>
      <c r="AG18741" s="10"/>
    </row>
    <row r="18742" spans="1:33">
      <c r="A18742" s="9"/>
      <c r="B18742" s="9"/>
      <c r="C18742" s="9"/>
      <c r="D18742" s="9"/>
      <c r="E18742" s="9"/>
      <c r="F18742" s="9"/>
      <c r="G18742" s="9"/>
      <c r="H18742" s="9"/>
      <c r="I18742" s="9"/>
      <c r="J18742" s="9"/>
      <c r="K18742" s="9"/>
      <c r="L18742" s="9"/>
      <c r="M18742" s="9"/>
      <c r="N18742" s="9"/>
      <c r="O18742" s="9"/>
      <c r="P18742" s="9"/>
      <c r="Q18742" s="9"/>
      <c r="R18742" s="9"/>
      <c r="S18742" s="9"/>
      <c r="T18742" s="9"/>
      <c r="U18742" s="9"/>
      <c r="V18742" s="9"/>
      <c r="W18742" s="9"/>
      <c r="X18742" s="9"/>
      <c r="Y18742" s="9"/>
      <c r="Z18742" s="9"/>
      <c r="AA18742" s="9"/>
      <c r="AB18742" s="9"/>
      <c r="AC18742" s="9"/>
      <c r="AD18742" s="9"/>
      <c r="AE18742" s="9"/>
      <c r="AF18742" s="9"/>
      <c r="AG18742" s="10"/>
    </row>
    <row r="18743" spans="1:33">
      <c r="A18743" s="9"/>
      <c r="B18743" s="9"/>
      <c r="C18743" s="9"/>
      <c r="D18743" s="9"/>
      <c r="E18743" s="9"/>
      <c r="F18743" s="9"/>
      <c r="G18743" s="9"/>
      <c r="H18743" s="9"/>
      <c r="I18743" s="9"/>
      <c r="J18743" s="9"/>
      <c r="K18743" s="9"/>
      <c r="L18743" s="9"/>
      <c r="M18743" s="9"/>
      <c r="N18743" s="9"/>
      <c r="O18743" s="9"/>
      <c r="P18743" s="9"/>
      <c r="Q18743" s="9"/>
      <c r="R18743" s="9"/>
      <c r="S18743" s="9"/>
      <c r="T18743" s="9"/>
      <c r="U18743" s="9"/>
      <c r="V18743" s="9"/>
      <c r="W18743" s="9"/>
      <c r="X18743" s="9"/>
      <c r="Y18743" s="9"/>
      <c r="Z18743" s="9"/>
      <c r="AA18743" s="9"/>
      <c r="AB18743" s="9"/>
      <c r="AC18743" s="9"/>
      <c r="AD18743" s="9"/>
      <c r="AE18743" s="9"/>
      <c r="AF18743" s="9"/>
      <c r="AG18743" s="10"/>
    </row>
    <row r="18744" spans="1:33">
      <c r="A18744" s="9"/>
      <c r="B18744" s="9"/>
      <c r="C18744" s="9"/>
      <c r="D18744" s="9"/>
      <c r="E18744" s="9"/>
      <c r="F18744" s="9"/>
      <c r="G18744" s="9"/>
      <c r="H18744" s="9"/>
      <c r="I18744" s="9"/>
      <c r="J18744" s="9"/>
      <c r="K18744" s="9"/>
      <c r="L18744" s="9"/>
      <c r="M18744" s="9"/>
      <c r="N18744" s="9"/>
      <c r="O18744" s="9"/>
      <c r="P18744" s="9"/>
      <c r="Q18744" s="9"/>
      <c r="R18744" s="9"/>
      <c r="S18744" s="9"/>
      <c r="T18744" s="9"/>
      <c r="U18744" s="9"/>
      <c r="V18744" s="9"/>
      <c r="W18744" s="9"/>
      <c r="X18744" s="9"/>
      <c r="Y18744" s="9"/>
      <c r="Z18744" s="9"/>
      <c r="AA18744" s="9"/>
      <c r="AB18744" s="9"/>
      <c r="AC18744" s="9"/>
      <c r="AD18744" s="9"/>
      <c r="AE18744" s="9"/>
      <c r="AF18744" s="9"/>
      <c r="AG18744" s="10"/>
    </row>
    <row r="18745" spans="1:33">
      <c r="A18745" s="9"/>
      <c r="B18745" s="9"/>
      <c r="C18745" s="9"/>
      <c r="D18745" s="9"/>
      <c r="E18745" s="9"/>
      <c r="F18745" s="9"/>
      <c r="G18745" s="9"/>
      <c r="H18745" s="9"/>
      <c r="I18745" s="9"/>
      <c r="J18745" s="9"/>
      <c r="K18745" s="9"/>
      <c r="L18745" s="9"/>
      <c r="M18745" s="9"/>
      <c r="N18745" s="9"/>
      <c r="O18745" s="9"/>
      <c r="P18745" s="9"/>
      <c r="Q18745" s="9"/>
      <c r="R18745" s="9"/>
      <c r="S18745" s="9"/>
      <c r="T18745" s="9"/>
      <c r="U18745" s="9"/>
      <c r="V18745" s="9"/>
      <c r="W18745" s="9"/>
      <c r="X18745" s="9"/>
      <c r="Y18745" s="9"/>
      <c r="Z18745" s="9"/>
      <c r="AA18745" s="9"/>
      <c r="AB18745" s="9"/>
      <c r="AC18745" s="9"/>
      <c r="AD18745" s="9"/>
      <c r="AE18745" s="9"/>
      <c r="AF18745" s="9"/>
      <c r="AG18745" s="10"/>
    </row>
    <row r="18746" spans="1:33">
      <c r="A18746" s="9"/>
      <c r="B18746" s="9"/>
      <c r="C18746" s="9"/>
      <c r="D18746" s="9"/>
      <c r="E18746" s="9"/>
      <c r="F18746" s="9"/>
      <c r="G18746" s="9"/>
      <c r="H18746" s="9"/>
      <c r="I18746" s="9"/>
      <c r="J18746" s="9"/>
      <c r="K18746" s="9"/>
      <c r="L18746" s="9"/>
      <c r="M18746" s="9"/>
      <c r="N18746" s="9"/>
      <c r="O18746" s="9"/>
      <c r="P18746" s="9"/>
      <c r="Q18746" s="9"/>
      <c r="R18746" s="9"/>
      <c r="S18746" s="9"/>
      <c r="T18746" s="9"/>
      <c r="U18746" s="9"/>
      <c r="V18746" s="9"/>
      <c r="W18746" s="9"/>
      <c r="X18746" s="9"/>
      <c r="Y18746" s="9"/>
      <c r="Z18746" s="9"/>
      <c r="AA18746" s="9"/>
      <c r="AB18746" s="9"/>
      <c r="AC18746" s="9"/>
      <c r="AD18746" s="9"/>
      <c r="AE18746" s="9"/>
      <c r="AF18746" s="9"/>
      <c r="AG18746" s="10"/>
    </row>
    <row r="18747" spans="1:33">
      <c r="A18747" s="9"/>
      <c r="B18747" s="9"/>
      <c r="C18747" s="9"/>
      <c r="D18747" s="9"/>
      <c r="E18747" s="9"/>
      <c r="F18747" s="9"/>
      <c r="G18747" s="9"/>
      <c r="H18747" s="9"/>
      <c r="I18747" s="9"/>
      <c r="J18747" s="9"/>
      <c r="K18747" s="9"/>
      <c r="L18747" s="9"/>
      <c r="M18747" s="9"/>
      <c r="N18747" s="9"/>
      <c r="O18747" s="9"/>
      <c r="P18747" s="9"/>
      <c r="Q18747" s="9"/>
      <c r="R18747" s="9"/>
      <c r="S18747" s="9"/>
      <c r="T18747" s="9"/>
      <c r="U18747" s="9"/>
      <c r="V18747" s="9"/>
      <c r="W18747" s="9"/>
      <c r="X18747" s="9"/>
      <c r="Y18747" s="9"/>
      <c r="Z18747" s="9"/>
      <c r="AA18747" s="9"/>
      <c r="AB18747" s="9"/>
      <c r="AC18747" s="9"/>
      <c r="AD18747" s="9"/>
      <c r="AE18747" s="9"/>
      <c r="AF18747" s="9"/>
      <c r="AG18747" s="10"/>
    </row>
    <row r="18748" spans="1:33">
      <c r="A18748" s="9"/>
      <c r="B18748" s="9"/>
      <c r="C18748" s="9"/>
      <c r="D18748" s="9"/>
      <c r="E18748" s="9"/>
      <c r="F18748" s="9"/>
      <c r="G18748" s="9"/>
      <c r="H18748" s="9"/>
      <c r="I18748" s="9"/>
      <c r="J18748" s="9"/>
      <c r="K18748" s="9"/>
      <c r="L18748" s="9"/>
      <c r="M18748" s="9"/>
      <c r="N18748" s="9"/>
      <c r="O18748" s="9"/>
      <c r="P18748" s="9"/>
      <c r="Q18748" s="9"/>
      <c r="R18748" s="9"/>
      <c r="S18748" s="9"/>
      <c r="T18748" s="9"/>
      <c r="U18748" s="9"/>
      <c r="V18748" s="9"/>
      <c r="W18748" s="9"/>
      <c r="X18748" s="9"/>
      <c r="Y18748" s="9"/>
      <c r="Z18748" s="9"/>
      <c r="AA18748" s="9"/>
      <c r="AB18748" s="9"/>
      <c r="AC18748" s="9"/>
      <c r="AD18748" s="9"/>
      <c r="AE18748" s="9"/>
      <c r="AF18748" s="9"/>
      <c r="AG18748" s="10"/>
    </row>
    <row r="18749" spans="1:33">
      <c r="A18749" s="9"/>
      <c r="B18749" s="9"/>
      <c r="C18749" s="9"/>
      <c r="D18749" s="9"/>
      <c r="E18749" s="9"/>
      <c r="F18749" s="9"/>
      <c r="G18749" s="9"/>
      <c r="H18749" s="9"/>
      <c r="I18749" s="9"/>
      <c r="J18749" s="9"/>
      <c r="K18749" s="9"/>
      <c r="L18749" s="9"/>
      <c r="M18749" s="9"/>
      <c r="N18749" s="9"/>
      <c r="O18749" s="9"/>
      <c r="P18749" s="9"/>
      <c r="Q18749" s="9"/>
      <c r="R18749" s="9"/>
      <c r="S18749" s="9"/>
      <c r="T18749" s="9"/>
      <c r="U18749" s="9"/>
      <c r="V18749" s="9"/>
      <c r="W18749" s="9"/>
      <c r="X18749" s="9"/>
      <c r="Y18749" s="9"/>
      <c r="Z18749" s="9"/>
      <c r="AA18749" s="9"/>
      <c r="AB18749" s="9"/>
      <c r="AC18749" s="9"/>
      <c r="AD18749" s="9"/>
      <c r="AE18749" s="9"/>
      <c r="AF18749" s="9"/>
      <c r="AG18749" s="10"/>
    </row>
    <row r="18750" spans="1:33">
      <c r="A18750" s="9"/>
      <c r="B18750" s="9"/>
      <c r="C18750" s="9"/>
      <c r="D18750" s="9"/>
      <c r="E18750" s="9"/>
      <c r="F18750" s="9"/>
      <c r="G18750" s="9"/>
      <c r="H18750" s="9"/>
      <c r="I18750" s="9"/>
      <c r="J18750" s="9"/>
      <c r="K18750" s="9"/>
      <c r="L18750" s="9"/>
      <c r="M18750" s="9"/>
      <c r="N18750" s="9"/>
      <c r="O18750" s="9"/>
      <c r="P18750" s="9"/>
      <c r="Q18750" s="9"/>
      <c r="R18750" s="9"/>
      <c r="S18750" s="9"/>
      <c r="T18750" s="9"/>
      <c r="U18750" s="9"/>
      <c r="V18750" s="9"/>
      <c r="W18750" s="9"/>
      <c r="X18750" s="9"/>
      <c r="Y18750" s="9"/>
      <c r="Z18750" s="9"/>
      <c r="AA18750" s="9"/>
      <c r="AB18750" s="9"/>
      <c r="AC18750" s="9"/>
      <c r="AD18750" s="9"/>
      <c r="AE18750" s="9"/>
      <c r="AF18750" s="9"/>
      <c r="AG18750" s="10"/>
    </row>
    <row r="18751" spans="1:33">
      <c r="A18751" s="9"/>
      <c r="B18751" s="9"/>
      <c r="C18751" s="9"/>
      <c r="D18751" s="9"/>
      <c r="E18751" s="9"/>
      <c r="F18751" s="9"/>
      <c r="G18751" s="9"/>
      <c r="H18751" s="9"/>
      <c r="I18751" s="9"/>
      <c r="J18751" s="9"/>
      <c r="K18751" s="9"/>
      <c r="L18751" s="9"/>
      <c r="M18751" s="9"/>
      <c r="N18751" s="9"/>
      <c r="O18751" s="9"/>
      <c r="P18751" s="9"/>
      <c r="Q18751" s="9"/>
      <c r="R18751" s="9"/>
      <c r="S18751" s="9"/>
      <c r="T18751" s="9"/>
      <c r="U18751" s="9"/>
      <c r="V18751" s="9"/>
      <c r="W18751" s="9"/>
      <c r="X18751" s="9"/>
      <c r="Y18751" s="9"/>
      <c r="Z18751" s="9"/>
      <c r="AA18751" s="9"/>
      <c r="AB18751" s="9"/>
      <c r="AC18751" s="9"/>
      <c r="AD18751" s="9"/>
      <c r="AE18751" s="9"/>
      <c r="AF18751" s="9"/>
      <c r="AG18751" s="10"/>
    </row>
    <row r="18752" spans="1:33">
      <c r="A18752" s="9"/>
      <c r="B18752" s="9"/>
      <c r="C18752" s="9"/>
      <c r="D18752" s="9"/>
      <c r="E18752" s="9"/>
      <c r="F18752" s="9"/>
      <c r="G18752" s="9"/>
      <c r="H18752" s="9"/>
      <c r="I18752" s="9"/>
      <c r="J18752" s="9"/>
      <c r="K18752" s="9"/>
      <c r="L18752" s="9"/>
      <c r="M18752" s="9"/>
      <c r="N18752" s="9"/>
      <c r="O18752" s="9"/>
      <c r="P18752" s="9"/>
      <c r="Q18752" s="9"/>
      <c r="R18752" s="9"/>
      <c r="S18752" s="9"/>
      <c r="T18752" s="9"/>
      <c r="U18752" s="9"/>
      <c r="V18752" s="9"/>
      <c r="W18752" s="9"/>
      <c r="X18752" s="9"/>
      <c r="Y18752" s="9"/>
      <c r="Z18752" s="9"/>
      <c r="AA18752" s="9"/>
      <c r="AB18752" s="9"/>
      <c r="AC18752" s="9"/>
      <c r="AD18752" s="9"/>
      <c r="AE18752" s="9"/>
      <c r="AF18752" s="9"/>
      <c r="AG18752" s="10"/>
    </row>
    <row r="18753" spans="1:33">
      <c r="A18753" s="9"/>
      <c r="B18753" s="9"/>
      <c r="C18753" s="9"/>
      <c r="D18753" s="9"/>
      <c r="E18753" s="9"/>
      <c r="F18753" s="9"/>
      <c r="G18753" s="9"/>
      <c r="H18753" s="9"/>
      <c r="I18753" s="9"/>
      <c r="J18753" s="9"/>
      <c r="K18753" s="9"/>
      <c r="L18753" s="9"/>
      <c r="M18753" s="9"/>
      <c r="N18753" s="9"/>
      <c r="O18753" s="9"/>
      <c r="P18753" s="9"/>
      <c r="Q18753" s="9"/>
      <c r="R18753" s="9"/>
      <c r="S18753" s="9"/>
      <c r="T18753" s="9"/>
      <c r="U18753" s="9"/>
      <c r="V18753" s="9"/>
      <c r="W18753" s="9"/>
      <c r="X18753" s="9"/>
      <c r="Y18753" s="9"/>
      <c r="Z18753" s="9"/>
      <c r="AA18753" s="9"/>
      <c r="AB18753" s="9"/>
      <c r="AC18753" s="9"/>
      <c r="AD18753" s="9"/>
      <c r="AE18753" s="9"/>
      <c r="AF18753" s="9"/>
      <c r="AG18753" s="10"/>
    </row>
    <row r="18754" spans="1:33">
      <c r="A18754" s="9"/>
      <c r="B18754" s="9"/>
      <c r="C18754" s="9"/>
      <c r="D18754" s="9"/>
      <c r="E18754" s="9"/>
      <c r="F18754" s="9"/>
      <c r="G18754" s="9"/>
      <c r="H18754" s="9"/>
      <c r="I18754" s="9"/>
      <c r="J18754" s="9"/>
      <c r="K18754" s="9"/>
      <c r="L18754" s="9"/>
      <c r="M18754" s="9"/>
      <c r="N18754" s="9"/>
      <c r="O18754" s="9"/>
      <c r="P18754" s="9"/>
      <c r="Q18754" s="9"/>
      <c r="R18754" s="9"/>
      <c r="S18754" s="9"/>
      <c r="T18754" s="9"/>
      <c r="U18754" s="9"/>
      <c r="V18754" s="9"/>
      <c r="W18754" s="9"/>
      <c r="X18754" s="9"/>
      <c r="Y18754" s="9"/>
      <c r="Z18754" s="9"/>
      <c r="AA18754" s="9"/>
      <c r="AB18754" s="9"/>
      <c r="AC18754" s="9"/>
      <c r="AD18754" s="9"/>
      <c r="AE18754" s="9"/>
      <c r="AF18754" s="9"/>
      <c r="AG18754" s="10"/>
    </row>
    <row r="18755" spans="1:33">
      <c r="A18755" s="9"/>
      <c r="B18755" s="9"/>
      <c r="C18755" s="9"/>
      <c r="D18755" s="9"/>
      <c r="E18755" s="9"/>
      <c r="F18755" s="9"/>
      <c r="G18755" s="9"/>
      <c r="H18755" s="9"/>
      <c r="I18755" s="9"/>
      <c r="J18755" s="9"/>
      <c r="K18755" s="9"/>
      <c r="L18755" s="9"/>
      <c r="M18755" s="9"/>
      <c r="N18755" s="9"/>
      <c r="O18755" s="9"/>
      <c r="P18755" s="9"/>
      <c r="Q18755" s="9"/>
      <c r="R18755" s="9"/>
      <c r="S18755" s="9"/>
      <c r="T18755" s="9"/>
      <c r="U18755" s="9"/>
      <c r="V18755" s="9"/>
      <c r="W18755" s="9"/>
      <c r="X18755" s="9"/>
      <c r="Y18755" s="9"/>
      <c r="Z18755" s="9"/>
      <c r="AA18755" s="9"/>
      <c r="AB18755" s="9"/>
      <c r="AC18755" s="9"/>
      <c r="AD18755" s="9"/>
      <c r="AE18755" s="9"/>
      <c r="AF18755" s="9"/>
      <c r="AG18755" s="10"/>
    </row>
    <row r="18756" spans="1:33">
      <c r="A18756" s="9"/>
      <c r="B18756" s="9"/>
      <c r="C18756" s="9"/>
      <c r="D18756" s="9"/>
      <c r="E18756" s="9"/>
      <c r="F18756" s="9"/>
      <c r="G18756" s="9"/>
      <c r="H18756" s="9"/>
      <c r="I18756" s="9"/>
      <c r="J18756" s="9"/>
      <c r="K18756" s="9"/>
      <c r="L18756" s="9"/>
      <c r="M18756" s="9"/>
      <c r="N18756" s="9"/>
      <c r="O18756" s="9"/>
      <c r="P18756" s="9"/>
      <c r="Q18756" s="9"/>
      <c r="R18756" s="9"/>
      <c r="S18756" s="9"/>
      <c r="T18756" s="9"/>
      <c r="U18756" s="9"/>
      <c r="V18756" s="9"/>
      <c r="W18756" s="9"/>
      <c r="X18756" s="9"/>
      <c r="Y18756" s="9"/>
      <c r="Z18756" s="9"/>
      <c r="AA18756" s="9"/>
      <c r="AB18756" s="9"/>
      <c r="AC18756" s="9"/>
      <c r="AD18756" s="9"/>
      <c r="AE18756" s="9"/>
      <c r="AF18756" s="9"/>
      <c r="AG18756" s="10"/>
    </row>
    <row r="18757" spans="1:33">
      <c r="A18757" s="9"/>
      <c r="B18757" s="9"/>
      <c r="C18757" s="9"/>
      <c r="D18757" s="9"/>
      <c r="E18757" s="9"/>
      <c r="F18757" s="9"/>
      <c r="G18757" s="9"/>
      <c r="H18757" s="9"/>
      <c r="I18757" s="9"/>
      <c r="J18757" s="9"/>
      <c r="K18757" s="9"/>
      <c r="L18757" s="9"/>
      <c r="M18757" s="9"/>
      <c r="N18757" s="9"/>
      <c r="O18757" s="9"/>
      <c r="P18757" s="9"/>
      <c r="Q18757" s="9"/>
      <c r="R18757" s="9"/>
      <c r="S18757" s="9"/>
      <c r="T18757" s="9"/>
      <c r="U18757" s="9"/>
      <c r="V18757" s="9"/>
      <c r="W18757" s="9"/>
      <c r="X18757" s="9"/>
      <c r="Y18757" s="9"/>
      <c r="Z18757" s="9"/>
      <c r="AA18757" s="9"/>
      <c r="AB18757" s="9"/>
      <c r="AC18757" s="9"/>
      <c r="AD18757" s="9"/>
      <c r="AE18757" s="9"/>
      <c r="AF18757" s="9"/>
      <c r="AG18757" s="10"/>
    </row>
    <row r="18758" spans="1:33">
      <c r="A18758" s="9"/>
      <c r="B18758" s="9"/>
      <c r="C18758" s="9"/>
      <c r="D18758" s="9"/>
      <c r="E18758" s="9"/>
      <c r="F18758" s="9"/>
      <c r="G18758" s="9"/>
      <c r="H18758" s="9"/>
      <c r="I18758" s="9"/>
      <c r="J18758" s="9"/>
      <c r="K18758" s="9"/>
      <c r="L18758" s="9"/>
      <c r="M18758" s="9"/>
      <c r="N18758" s="9"/>
      <c r="O18758" s="9"/>
      <c r="P18758" s="9"/>
      <c r="Q18758" s="9"/>
      <c r="R18758" s="9"/>
      <c r="S18758" s="9"/>
      <c r="T18758" s="9"/>
      <c r="U18758" s="9"/>
      <c r="V18758" s="9"/>
      <c r="W18758" s="9"/>
      <c r="X18758" s="9"/>
      <c r="Y18758" s="9"/>
      <c r="Z18758" s="9"/>
      <c r="AA18758" s="9"/>
      <c r="AB18758" s="9"/>
      <c r="AC18758" s="9"/>
      <c r="AD18758" s="9"/>
      <c r="AE18758" s="9"/>
      <c r="AF18758" s="9"/>
      <c r="AG18758" s="10"/>
    </row>
    <row r="18759" spans="1:33">
      <c r="A18759" s="9"/>
      <c r="B18759" s="9"/>
      <c r="C18759" s="9"/>
      <c r="D18759" s="9"/>
      <c r="E18759" s="9"/>
      <c r="F18759" s="9"/>
      <c r="G18759" s="9"/>
      <c r="H18759" s="9"/>
      <c r="I18759" s="9"/>
      <c r="J18759" s="9"/>
      <c r="K18759" s="9"/>
      <c r="L18759" s="9"/>
      <c r="M18759" s="9"/>
      <c r="N18759" s="9"/>
      <c r="O18759" s="9"/>
      <c r="P18759" s="9"/>
      <c r="Q18759" s="9"/>
      <c r="R18759" s="9"/>
      <c r="S18759" s="9"/>
      <c r="T18759" s="9"/>
      <c r="U18759" s="9"/>
      <c r="V18759" s="9"/>
      <c r="W18759" s="9"/>
      <c r="X18759" s="9"/>
      <c r="Y18759" s="9"/>
      <c r="Z18759" s="9"/>
      <c r="AA18759" s="9"/>
      <c r="AB18759" s="9"/>
      <c r="AC18759" s="9"/>
      <c r="AD18759" s="9"/>
      <c r="AE18759" s="9"/>
      <c r="AF18759" s="9"/>
      <c r="AG18759" s="10"/>
    </row>
    <row r="18760" spans="1:33">
      <c r="A18760" s="9"/>
      <c r="B18760" s="9"/>
      <c r="C18760" s="9"/>
      <c r="D18760" s="9"/>
      <c r="E18760" s="9"/>
      <c r="F18760" s="9"/>
      <c r="G18760" s="9"/>
      <c r="H18760" s="9"/>
      <c r="I18760" s="9"/>
      <c r="J18760" s="9"/>
      <c r="K18760" s="9"/>
      <c r="L18760" s="9"/>
      <c r="M18760" s="9"/>
      <c r="N18760" s="9"/>
      <c r="O18760" s="9"/>
      <c r="P18760" s="9"/>
      <c r="Q18760" s="9"/>
      <c r="R18760" s="9"/>
      <c r="S18760" s="9"/>
      <c r="T18760" s="9"/>
      <c r="U18760" s="9"/>
      <c r="V18760" s="9"/>
      <c r="W18760" s="9"/>
      <c r="X18760" s="9"/>
      <c r="Y18760" s="9"/>
      <c r="Z18760" s="9"/>
      <c r="AA18760" s="9"/>
      <c r="AB18760" s="9"/>
      <c r="AC18760" s="9"/>
      <c r="AD18760" s="9"/>
      <c r="AE18760" s="9"/>
      <c r="AF18760" s="9"/>
      <c r="AG18760" s="10"/>
    </row>
    <row r="18761" spans="1:33">
      <c r="A18761" s="9"/>
      <c r="B18761" s="9"/>
      <c r="C18761" s="9"/>
      <c r="D18761" s="9"/>
      <c r="E18761" s="9"/>
      <c r="F18761" s="9"/>
      <c r="G18761" s="9"/>
      <c r="H18761" s="9"/>
      <c r="I18761" s="9"/>
      <c r="J18761" s="9"/>
      <c r="K18761" s="9"/>
      <c r="L18761" s="9"/>
      <c r="M18761" s="9"/>
      <c r="N18761" s="9"/>
      <c r="O18761" s="9"/>
      <c r="P18761" s="9"/>
      <c r="Q18761" s="9"/>
      <c r="R18761" s="9"/>
      <c r="S18761" s="9"/>
      <c r="T18761" s="9"/>
      <c r="U18761" s="9"/>
      <c r="V18761" s="9"/>
      <c r="W18761" s="9"/>
      <c r="X18761" s="9"/>
      <c r="Y18761" s="9"/>
      <c r="Z18761" s="9"/>
      <c r="AA18761" s="9"/>
      <c r="AB18761" s="9"/>
      <c r="AC18761" s="9"/>
      <c r="AD18761" s="9"/>
      <c r="AE18761" s="9"/>
      <c r="AF18761" s="9"/>
      <c r="AG18761" s="10"/>
    </row>
    <row r="18762" spans="1:33">
      <c r="A18762" s="9"/>
      <c r="B18762" s="9"/>
      <c r="C18762" s="9"/>
      <c r="D18762" s="9"/>
      <c r="E18762" s="9"/>
      <c r="F18762" s="9"/>
      <c r="G18762" s="9"/>
      <c r="H18762" s="9"/>
      <c r="I18762" s="9"/>
      <c r="J18762" s="9"/>
      <c r="K18762" s="9"/>
      <c r="L18762" s="9"/>
      <c r="M18762" s="9"/>
      <c r="N18762" s="9"/>
      <c r="O18762" s="9"/>
      <c r="P18762" s="9"/>
      <c r="Q18762" s="9"/>
      <c r="R18762" s="9"/>
      <c r="S18762" s="9"/>
      <c r="T18762" s="9"/>
      <c r="U18762" s="9"/>
      <c r="V18762" s="9"/>
      <c r="W18762" s="9"/>
      <c r="X18762" s="9"/>
      <c r="Y18762" s="9"/>
      <c r="Z18762" s="9"/>
      <c r="AA18762" s="9"/>
      <c r="AB18762" s="9"/>
      <c r="AC18762" s="9"/>
      <c r="AD18762" s="9"/>
      <c r="AE18762" s="9"/>
      <c r="AF18762" s="9"/>
      <c r="AG18762" s="10"/>
    </row>
    <row r="18763" spans="1:33">
      <c r="A18763" s="9"/>
      <c r="B18763" s="9"/>
      <c r="C18763" s="9"/>
      <c r="D18763" s="9"/>
      <c r="E18763" s="9"/>
      <c r="F18763" s="9"/>
      <c r="G18763" s="9"/>
      <c r="H18763" s="9"/>
      <c r="I18763" s="9"/>
      <c r="J18763" s="9"/>
      <c r="K18763" s="9"/>
      <c r="L18763" s="9"/>
      <c r="M18763" s="9"/>
      <c r="N18763" s="9"/>
      <c r="O18763" s="9"/>
      <c r="P18763" s="9"/>
      <c r="Q18763" s="9"/>
      <c r="R18763" s="9"/>
      <c r="S18763" s="9"/>
      <c r="T18763" s="9"/>
      <c r="U18763" s="9"/>
      <c r="V18763" s="9"/>
      <c r="W18763" s="9"/>
      <c r="X18763" s="9"/>
      <c r="Y18763" s="9"/>
      <c r="Z18763" s="9"/>
      <c r="AA18763" s="9"/>
      <c r="AB18763" s="9"/>
      <c r="AC18763" s="9"/>
      <c r="AD18763" s="9"/>
      <c r="AE18763" s="9"/>
      <c r="AF18763" s="9"/>
      <c r="AG18763" s="10"/>
    </row>
    <row r="18764" spans="1:33">
      <c r="A18764" s="9"/>
      <c r="B18764" s="9"/>
      <c r="C18764" s="9"/>
      <c r="D18764" s="9"/>
      <c r="E18764" s="9"/>
      <c r="F18764" s="9"/>
      <c r="G18764" s="9"/>
      <c r="H18764" s="9"/>
      <c r="I18764" s="9"/>
      <c r="J18764" s="9"/>
      <c r="K18764" s="9"/>
      <c r="L18764" s="9"/>
      <c r="M18764" s="9"/>
      <c r="N18764" s="9"/>
      <c r="O18764" s="9"/>
      <c r="P18764" s="9"/>
      <c r="Q18764" s="9"/>
      <c r="R18764" s="9"/>
      <c r="S18764" s="9"/>
      <c r="T18764" s="9"/>
      <c r="U18764" s="9"/>
      <c r="V18764" s="9"/>
      <c r="W18764" s="9"/>
      <c r="X18764" s="9"/>
      <c r="Y18764" s="9"/>
      <c r="Z18764" s="9"/>
      <c r="AA18764" s="9"/>
      <c r="AB18764" s="9"/>
      <c r="AC18764" s="9"/>
      <c r="AD18764" s="9"/>
      <c r="AE18764" s="9"/>
      <c r="AF18764" s="9"/>
      <c r="AG18764" s="10"/>
    </row>
    <row r="18765" spans="1:33">
      <c r="A18765" s="9"/>
      <c r="B18765" s="9"/>
      <c r="C18765" s="9"/>
      <c r="D18765" s="9"/>
      <c r="E18765" s="9"/>
      <c r="F18765" s="9"/>
      <c r="G18765" s="9"/>
      <c r="H18765" s="9"/>
      <c r="I18765" s="9"/>
      <c r="J18765" s="9"/>
      <c r="K18765" s="9"/>
      <c r="L18765" s="9"/>
      <c r="M18765" s="9"/>
      <c r="N18765" s="9"/>
      <c r="O18765" s="9"/>
      <c r="P18765" s="9"/>
      <c r="Q18765" s="9"/>
      <c r="R18765" s="9"/>
      <c r="S18765" s="9"/>
      <c r="T18765" s="9"/>
      <c r="U18765" s="9"/>
      <c r="V18765" s="9"/>
      <c r="W18765" s="9"/>
      <c r="X18765" s="9"/>
      <c r="Y18765" s="9"/>
      <c r="Z18765" s="9"/>
      <c r="AA18765" s="9"/>
      <c r="AB18765" s="9"/>
      <c r="AC18765" s="9"/>
      <c r="AD18765" s="9"/>
      <c r="AE18765" s="9"/>
      <c r="AF18765" s="9"/>
      <c r="AG18765" s="10"/>
    </row>
    <row r="18766" spans="1:33">
      <c r="A18766" s="9"/>
      <c r="B18766" s="9"/>
      <c r="C18766" s="9"/>
      <c r="D18766" s="9"/>
      <c r="E18766" s="9"/>
      <c r="F18766" s="9"/>
      <c r="G18766" s="9"/>
      <c r="H18766" s="9"/>
      <c r="I18766" s="9"/>
      <c r="J18766" s="9"/>
      <c r="K18766" s="9"/>
      <c r="L18766" s="9"/>
      <c r="M18766" s="9"/>
      <c r="N18766" s="9"/>
      <c r="O18766" s="9"/>
      <c r="P18766" s="9"/>
      <c r="Q18766" s="9"/>
      <c r="R18766" s="9"/>
      <c r="S18766" s="9"/>
      <c r="T18766" s="9"/>
      <c r="U18766" s="9"/>
      <c r="V18766" s="9"/>
      <c r="W18766" s="9"/>
      <c r="X18766" s="9"/>
      <c r="Y18766" s="9"/>
      <c r="Z18766" s="9"/>
      <c r="AA18766" s="9"/>
      <c r="AB18766" s="9"/>
      <c r="AC18766" s="9"/>
      <c r="AD18766" s="9"/>
      <c r="AE18766" s="9"/>
      <c r="AF18766" s="9"/>
      <c r="AG18766" s="10"/>
    </row>
    <row r="18767" spans="1:33">
      <c r="A18767" s="9"/>
      <c r="B18767" s="9"/>
      <c r="C18767" s="9"/>
      <c r="D18767" s="9"/>
      <c r="E18767" s="9"/>
      <c r="F18767" s="9"/>
      <c r="G18767" s="9"/>
      <c r="H18767" s="9"/>
      <c r="I18767" s="9"/>
      <c r="J18767" s="9"/>
      <c r="K18767" s="9"/>
      <c r="L18767" s="9"/>
      <c r="M18767" s="9"/>
      <c r="N18767" s="9"/>
      <c r="O18767" s="9"/>
      <c r="P18767" s="9"/>
      <c r="Q18767" s="9"/>
      <c r="R18767" s="9"/>
      <c r="S18767" s="9"/>
      <c r="T18767" s="9"/>
      <c r="U18767" s="9"/>
      <c r="V18767" s="9"/>
      <c r="W18767" s="9"/>
      <c r="X18767" s="9"/>
      <c r="Y18767" s="9"/>
      <c r="Z18767" s="9"/>
      <c r="AA18767" s="9"/>
      <c r="AB18767" s="9"/>
      <c r="AC18767" s="9"/>
      <c r="AD18767" s="9"/>
      <c r="AE18767" s="9"/>
      <c r="AF18767" s="9"/>
      <c r="AG18767" s="10"/>
    </row>
    <row r="18768" spans="1:33">
      <c r="A18768" s="9"/>
      <c r="B18768" s="9"/>
      <c r="C18768" s="9"/>
      <c r="D18768" s="9"/>
      <c r="E18768" s="9"/>
      <c r="F18768" s="9"/>
      <c r="G18768" s="9"/>
      <c r="H18768" s="9"/>
      <c r="I18768" s="9"/>
      <c r="J18768" s="9"/>
      <c r="K18768" s="9"/>
      <c r="L18768" s="9"/>
      <c r="M18768" s="9"/>
      <c r="N18768" s="9"/>
      <c r="O18768" s="9"/>
      <c r="P18768" s="9"/>
      <c r="Q18768" s="9"/>
      <c r="R18768" s="9"/>
      <c r="S18768" s="9"/>
      <c r="T18768" s="9"/>
      <c r="U18768" s="9"/>
      <c r="V18768" s="9"/>
      <c r="W18768" s="9"/>
      <c r="X18768" s="9"/>
      <c r="Y18768" s="9"/>
      <c r="Z18768" s="9"/>
      <c r="AA18768" s="9"/>
      <c r="AB18768" s="9"/>
      <c r="AC18768" s="9"/>
      <c r="AD18768" s="9"/>
      <c r="AE18768" s="9"/>
      <c r="AF18768" s="9"/>
      <c r="AG18768" s="10"/>
    </row>
    <row r="18769" spans="1:33">
      <c r="A18769" s="9"/>
      <c r="B18769" s="9"/>
      <c r="C18769" s="9"/>
      <c r="D18769" s="9"/>
      <c r="E18769" s="9"/>
      <c r="F18769" s="9"/>
      <c r="G18769" s="9"/>
      <c r="H18769" s="9"/>
      <c r="I18769" s="9"/>
      <c r="J18769" s="9"/>
      <c r="K18769" s="9"/>
      <c r="L18769" s="9"/>
      <c r="M18769" s="9"/>
      <c r="N18769" s="9"/>
      <c r="O18769" s="9"/>
      <c r="P18769" s="9"/>
      <c r="Q18769" s="9"/>
      <c r="R18769" s="9"/>
      <c r="S18769" s="9"/>
      <c r="T18769" s="9"/>
      <c r="U18769" s="9"/>
      <c r="V18769" s="9"/>
      <c r="W18769" s="9"/>
      <c r="X18769" s="9"/>
      <c r="Y18769" s="9"/>
      <c r="Z18769" s="9"/>
      <c r="AA18769" s="9"/>
      <c r="AB18769" s="9"/>
      <c r="AC18769" s="9"/>
      <c r="AD18769" s="9"/>
      <c r="AE18769" s="9"/>
      <c r="AF18769" s="9"/>
      <c r="AG18769" s="10"/>
    </row>
    <row r="18770" spans="1:33">
      <c r="A18770" s="9"/>
      <c r="B18770" s="9"/>
      <c r="C18770" s="9"/>
      <c r="D18770" s="9"/>
      <c r="E18770" s="9"/>
      <c r="F18770" s="9"/>
      <c r="G18770" s="9"/>
      <c r="H18770" s="9"/>
      <c r="I18770" s="9"/>
      <c r="J18770" s="9"/>
      <c r="K18770" s="9"/>
      <c r="L18770" s="9"/>
      <c r="M18770" s="9"/>
      <c r="N18770" s="9"/>
      <c r="O18770" s="9"/>
      <c r="P18770" s="9"/>
      <c r="Q18770" s="9"/>
      <c r="R18770" s="9"/>
      <c r="S18770" s="9"/>
      <c r="T18770" s="9"/>
      <c r="U18770" s="9"/>
      <c r="V18770" s="9"/>
      <c r="W18770" s="9"/>
      <c r="X18770" s="9"/>
      <c r="Y18770" s="9"/>
      <c r="Z18770" s="9"/>
      <c r="AA18770" s="9"/>
      <c r="AB18770" s="9"/>
      <c r="AC18770" s="9"/>
      <c r="AD18770" s="9"/>
      <c r="AE18770" s="9"/>
      <c r="AF18770" s="9"/>
      <c r="AG18770" s="10"/>
    </row>
    <row r="18771" spans="1:33">
      <c r="A18771" s="9"/>
      <c r="B18771" s="9"/>
      <c r="C18771" s="9"/>
      <c r="D18771" s="9"/>
      <c r="E18771" s="9"/>
      <c r="F18771" s="9"/>
      <c r="G18771" s="9"/>
      <c r="H18771" s="9"/>
      <c r="I18771" s="9"/>
      <c r="J18771" s="9"/>
      <c r="K18771" s="9"/>
      <c r="L18771" s="9"/>
      <c r="M18771" s="9"/>
      <c r="N18771" s="9"/>
      <c r="O18771" s="9"/>
      <c r="P18771" s="9"/>
      <c r="Q18771" s="9"/>
      <c r="R18771" s="9"/>
      <c r="S18771" s="9"/>
      <c r="T18771" s="9"/>
      <c r="U18771" s="9"/>
      <c r="V18771" s="9"/>
      <c r="W18771" s="9"/>
      <c r="X18771" s="9"/>
      <c r="Y18771" s="9"/>
      <c r="Z18771" s="9"/>
      <c r="AA18771" s="9"/>
      <c r="AB18771" s="9"/>
      <c r="AC18771" s="9"/>
      <c r="AD18771" s="9"/>
      <c r="AE18771" s="9"/>
      <c r="AF18771" s="9"/>
      <c r="AG18771" s="10"/>
    </row>
    <row r="18772" spans="1:33">
      <c r="A18772" s="9"/>
      <c r="B18772" s="9"/>
      <c r="C18772" s="9"/>
      <c r="D18772" s="9"/>
      <c r="E18772" s="9"/>
      <c r="F18772" s="9"/>
      <c r="G18772" s="9"/>
      <c r="H18772" s="9"/>
      <c r="I18772" s="9"/>
      <c r="J18772" s="9"/>
      <c r="K18772" s="9"/>
      <c r="L18772" s="9"/>
      <c r="M18772" s="9"/>
      <c r="N18772" s="9"/>
      <c r="O18772" s="9"/>
      <c r="P18772" s="9"/>
      <c r="Q18772" s="9"/>
      <c r="R18772" s="9"/>
      <c r="S18772" s="9"/>
      <c r="T18772" s="9"/>
      <c r="U18772" s="9"/>
      <c r="V18772" s="9"/>
      <c r="W18772" s="9"/>
      <c r="X18772" s="9"/>
      <c r="Y18772" s="9"/>
      <c r="Z18772" s="9"/>
      <c r="AA18772" s="9"/>
      <c r="AB18772" s="9"/>
      <c r="AC18772" s="9"/>
      <c r="AD18772" s="9"/>
      <c r="AE18772" s="9"/>
      <c r="AF18772" s="9"/>
      <c r="AG18772" s="10"/>
    </row>
    <row r="18773" spans="1:33">
      <c r="A18773" s="9"/>
      <c r="B18773" s="9"/>
      <c r="C18773" s="9"/>
      <c r="D18773" s="9"/>
      <c r="E18773" s="9"/>
      <c r="F18773" s="9"/>
      <c r="G18773" s="9"/>
      <c r="H18773" s="9"/>
      <c r="I18773" s="9"/>
      <c r="J18773" s="9"/>
      <c r="K18773" s="9"/>
      <c r="L18773" s="9"/>
      <c r="M18773" s="9"/>
      <c r="N18773" s="9"/>
      <c r="O18773" s="9"/>
      <c r="P18773" s="9"/>
      <c r="Q18773" s="9"/>
      <c r="R18773" s="9"/>
      <c r="S18773" s="9"/>
      <c r="T18773" s="9"/>
      <c r="U18773" s="9"/>
      <c r="V18773" s="9"/>
      <c r="W18773" s="9"/>
      <c r="X18773" s="9"/>
      <c r="Y18773" s="9"/>
      <c r="Z18773" s="9"/>
      <c r="AA18773" s="9"/>
      <c r="AB18773" s="9"/>
      <c r="AC18773" s="9"/>
      <c r="AD18773" s="9"/>
      <c r="AE18773" s="9"/>
      <c r="AF18773" s="9"/>
      <c r="AG18773" s="10"/>
    </row>
    <row r="18774" spans="1:33">
      <c r="A18774" s="9"/>
      <c r="B18774" s="9"/>
      <c r="C18774" s="9"/>
      <c r="D18774" s="9"/>
      <c r="E18774" s="9"/>
      <c r="F18774" s="9"/>
      <c r="G18774" s="9"/>
      <c r="H18774" s="9"/>
      <c r="I18774" s="9"/>
      <c r="J18774" s="9"/>
      <c r="K18774" s="9"/>
      <c r="L18774" s="9"/>
      <c r="M18774" s="9"/>
      <c r="N18774" s="9"/>
      <c r="O18774" s="9"/>
      <c r="P18774" s="9"/>
      <c r="Q18774" s="9"/>
      <c r="R18774" s="9"/>
      <c r="S18774" s="9"/>
      <c r="T18774" s="9"/>
      <c r="U18774" s="9"/>
      <c r="V18774" s="9"/>
      <c r="W18774" s="9"/>
      <c r="X18774" s="9"/>
      <c r="Y18774" s="9"/>
      <c r="Z18774" s="9"/>
      <c r="AA18774" s="9"/>
      <c r="AB18774" s="9"/>
      <c r="AC18774" s="9"/>
      <c r="AD18774" s="9"/>
      <c r="AE18774" s="9"/>
      <c r="AF18774" s="9"/>
      <c r="AG18774" s="10"/>
    </row>
    <row r="18775" spans="1:33">
      <c r="A18775" s="9"/>
      <c r="B18775" s="9"/>
      <c r="C18775" s="9"/>
      <c r="D18775" s="9"/>
      <c r="E18775" s="9"/>
      <c r="F18775" s="9"/>
      <c r="G18775" s="9"/>
      <c r="H18775" s="9"/>
      <c r="I18775" s="9"/>
      <c r="J18775" s="9"/>
      <c r="K18775" s="9"/>
      <c r="L18775" s="9"/>
      <c r="M18775" s="9"/>
      <c r="N18775" s="9"/>
      <c r="O18775" s="9"/>
      <c r="P18775" s="9"/>
      <c r="Q18775" s="9"/>
      <c r="R18775" s="9"/>
      <c r="S18775" s="9"/>
      <c r="T18775" s="9"/>
      <c r="U18775" s="9"/>
      <c r="V18775" s="9"/>
      <c r="W18775" s="9"/>
      <c r="X18775" s="9"/>
      <c r="Y18775" s="9"/>
      <c r="Z18775" s="9"/>
      <c r="AA18775" s="9"/>
      <c r="AB18775" s="9"/>
      <c r="AC18775" s="9"/>
      <c r="AD18775" s="9"/>
      <c r="AE18775" s="9"/>
      <c r="AF18775" s="9"/>
      <c r="AG18775" s="10"/>
    </row>
    <row r="18776" spans="1:33">
      <c r="A18776" s="9"/>
      <c r="B18776" s="9"/>
      <c r="C18776" s="9"/>
      <c r="D18776" s="9"/>
      <c r="E18776" s="9"/>
      <c r="F18776" s="9"/>
      <c r="G18776" s="9"/>
      <c r="H18776" s="9"/>
      <c r="I18776" s="9"/>
      <c r="J18776" s="9"/>
      <c r="K18776" s="9"/>
      <c r="L18776" s="9"/>
      <c r="M18776" s="9"/>
      <c r="N18776" s="9"/>
      <c r="O18776" s="9"/>
      <c r="P18776" s="9"/>
      <c r="Q18776" s="9"/>
      <c r="R18776" s="9"/>
      <c r="S18776" s="9"/>
      <c r="T18776" s="9"/>
      <c r="U18776" s="9"/>
      <c r="V18776" s="9"/>
      <c r="W18776" s="9"/>
      <c r="X18776" s="9"/>
      <c r="Y18776" s="9"/>
      <c r="Z18776" s="9"/>
      <c r="AA18776" s="9"/>
      <c r="AB18776" s="9"/>
      <c r="AC18776" s="9"/>
      <c r="AD18776" s="9"/>
      <c r="AE18776" s="9"/>
      <c r="AF18776" s="9"/>
      <c r="AG18776" s="10"/>
    </row>
    <row r="18777" spans="1:33">
      <c r="A18777" s="9"/>
      <c r="B18777" s="9"/>
      <c r="C18777" s="9"/>
      <c r="D18777" s="9"/>
      <c r="E18777" s="9"/>
      <c r="F18777" s="9"/>
      <c r="G18777" s="9"/>
      <c r="H18777" s="9"/>
      <c r="I18777" s="9"/>
      <c r="J18777" s="9"/>
      <c r="K18777" s="9"/>
      <c r="L18777" s="9"/>
      <c r="M18777" s="9"/>
      <c r="N18777" s="9"/>
      <c r="O18777" s="9"/>
      <c r="P18777" s="9"/>
      <c r="Q18777" s="9"/>
      <c r="R18777" s="9"/>
      <c r="S18777" s="9"/>
      <c r="T18777" s="9"/>
      <c r="U18777" s="9"/>
      <c r="V18777" s="9"/>
      <c r="W18777" s="9"/>
      <c r="X18777" s="9"/>
      <c r="Y18777" s="9"/>
      <c r="Z18777" s="9"/>
      <c r="AA18777" s="9"/>
      <c r="AB18777" s="9"/>
      <c r="AC18777" s="9"/>
      <c r="AD18777" s="9"/>
      <c r="AE18777" s="9"/>
      <c r="AF18777" s="9"/>
      <c r="AG18777" s="10"/>
    </row>
    <row r="18778" spans="1:33">
      <c r="A18778" s="9"/>
      <c r="B18778" s="9"/>
      <c r="C18778" s="9"/>
      <c r="D18778" s="9"/>
      <c r="E18778" s="9"/>
      <c r="F18778" s="9"/>
      <c r="G18778" s="9"/>
      <c r="H18778" s="9"/>
      <c r="I18778" s="9"/>
      <c r="J18778" s="9"/>
      <c r="K18778" s="9"/>
      <c r="L18778" s="9"/>
      <c r="M18778" s="9"/>
      <c r="N18778" s="9"/>
      <c r="O18778" s="9"/>
      <c r="P18778" s="9"/>
      <c r="Q18778" s="9"/>
      <c r="R18778" s="9"/>
      <c r="S18778" s="9"/>
      <c r="T18778" s="9"/>
      <c r="U18778" s="9"/>
      <c r="V18778" s="9"/>
      <c r="W18778" s="9"/>
      <c r="X18778" s="9"/>
      <c r="Y18778" s="9"/>
      <c r="Z18778" s="9"/>
      <c r="AA18778" s="9"/>
      <c r="AB18778" s="9"/>
      <c r="AC18778" s="9"/>
      <c r="AD18778" s="9"/>
      <c r="AE18778" s="9"/>
      <c r="AF18778" s="9"/>
      <c r="AG18778" s="10"/>
    </row>
    <row r="18779" spans="1:33">
      <c r="A18779" s="9"/>
      <c r="B18779" s="9"/>
      <c r="C18779" s="9"/>
      <c r="D18779" s="9"/>
      <c r="E18779" s="9"/>
      <c r="F18779" s="9"/>
      <c r="G18779" s="9"/>
      <c r="H18779" s="9"/>
      <c r="I18779" s="9"/>
      <c r="J18779" s="9"/>
      <c r="K18779" s="9"/>
      <c r="L18779" s="9"/>
      <c r="M18779" s="9"/>
      <c r="N18779" s="9"/>
      <c r="O18779" s="9"/>
      <c r="P18779" s="9"/>
      <c r="Q18779" s="9"/>
      <c r="R18779" s="9"/>
      <c r="S18779" s="9"/>
      <c r="T18779" s="9"/>
      <c r="U18779" s="9"/>
      <c r="V18779" s="9"/>
      <c r="W18779" s="9"/>
      <c r="X18779" s="9"/>
      <c r="Y18779" s="9"/>
      <c r="Z18779" s="9"/>
      <c r="AA18779" s="9"/>
      <c r="AB18779" s="9"/>
      <c r="AC18779" s="9"/>
      <c r="AD18779" s="9"/>
      <c r="AE18779" s="9"/>
      <c r="AF18779" s="9"/>
      <c r="AG18779" s="10"/>
    </row>
    <row r="18780" spans="1:33">
      <c r="A18780" s="9"/>
      <c r="B18780" s="9"/>
      <c r="C18780" s="9"/>
      <c r="D18780" s="9"/>
      <c r="E18780" s="9"/>
      <c r="F18780" s="9"/>
      <c r="G18780" s="9"/>
      <c r="H18780" s="9"/>
      <c r="I18780" s="9"/>
      <c r="J18780" s="9"/>
      <c r="K18780" s="9"/>
      <c r="L18780" s="9"/>
      <c r="M18780" s="9"/>
      <c r="N18780" s="9"/>
      <c r="O18780" s="9"/>
      <c r="P18780" s="9"/>
      <c r="Q18780" s="9"/>
      <c r="R18780" s="9"/>
      <c r="S18780" s="9"/>
      <c r="T18780" s="9"/>
      <c r="U18780" s="9"/>
      <c r="V18780" s="9"/>
      <c r="W18780" s="9"/>
      <c r="X18780" s="9"/>
      <c r="Y18780" s="9"/>
      <c r="Z18780" s="9"/>
      <c r="AA18780" s="9"/>
      <c r="AB18780" s="9"/>
      <c r="AC18780" s="9"/>
      <c r="AD18780" s="9"/>
      <c r="AE18780" s="9"/>
      <c r="AF18780" s="9"/>
      <c r="AG18780" s="10"/>
    </row>
    <row r="18781" spans="1:33">
      <c r="A18781" s="9"/>
      <c r="B18781" s="9"/>
      <c r="C18781" s="9"/>
      <c r="D18781" s="9"/>
      <c r="E18781" s="9"/>
      <c r="F18781" s="9"/>
      <c r="G18781" s="9"/>
      <c r="H18781" s="9"/>
      <c r="I18781" s="9"/>
      <c r="J18781" s="9"/>
      <c r="K18781" s="9"/>
      <c r="L18781" s="9"/>
      <c r="M18781" s="9"/>
      <c r="N18781" s="9"/>
      <c r="O18781" s="9"/>
      <c r="P18781" s="9"/>
      <c r="Q18781" s="9"/>
      <c r="R18781" s="9"/>
      <c r="S18781" s="9"/>
      <c r="T18781" s="9"/>
      <c r="U18781" s="9"/>
      <c r="V18781" s="9"/>
      <c r="W18781" s="9"/>
      <c r="X18781" s="9"/>
      <c r="Y18781" s="9"/>
      <c r="Z18781" s="9"/>
      <c r="AA18781" s="9"/>
      <c r="AB18781" s="9"/>
      <c r="AC18781" s="9"/>
      <c r="AD18781" s="9"/>
      <c r="AE18781" s="9"/>
      <c r="AF18781" s="9"/>
      <c r="AG18781" s="10"/>
    </row>
    <row r="18782" spans="1:33">
      <c r="A18782" s="9"/>
      <c r="B18782" s="9"/>
      <c r="C18782" s="9"/>
      <c r="D18782" s="9"/>
      <c r="E18782" s="9"/>
      <c r="F18782" s="9"/>
      <c r="G18782" s="9"/>
      <c r="H18782" s="9"/>
      <c r="I18782" s="9"/>
      <c r="J18782" s="9"/>
      <c r="K18782" s="9"/>
      <c r="L18782" s="9"/>
      <c r="M18782" s="9"/>
      <c r="N18782" s="9"/>
      <c r="O18782" s="9"/>
      <c r="P18782" s="9"/>
      <c r="Q18782" s="9"/>
      <c r="R18782" s="9"/>
      <c r="S18782" s="9"/>
      <c r="T18782" s="9"/>
      <c r="U18782" s="9"/>
      <c r="V18782" s="9"/>
      <c r="W18782" s="9"/>
      <c r="X18782" s="9"/>
      <c r="Y18782" s="9"/>
      <c r="Z18782" s="9"/>
      <c r="AA18782" s="9"/>
      <c r="AB18782" s="9"/>
      <c r="AC18782" s="9"/>
      <c r="AD18782" s="9"/>
      <c r="AE18782" s="9"/>
      <c r="AF18782" s="9"/>
      <c r="AG18782" s="10"/>
    </row>
    <row r="18783" spans="1:33">
      <c r="A18783" s="9"/>
      <c r="B18783" s="9"/>
      <c r="C18783" s="9"/>
      <c r="D18783" s="9"/>
      <c r="E18783" s="9"/>
      <c r="F18783" s="9"/>
      <c r="G18783" s="9"/>
      <c r="H18783" s="9"/>
      <c r="I18783" s="9"/>
      <c r="J18783" s="9"/>
      <c r="K18783" s="9"/>
      <c r="L18783" s="9"/>
      <c r="M18783" s="9"/>
      <c r="N18783" s="9"/>
      <c r="O18783" s="9"/>
      <c r="P18783" s="9"/>
      <c r="Q18783" s="9"/>
      <c r="R18783" s="9"/>
      <c r="S18783" s="9"/>
      <c r="T18783" s="9"/>
      <c r="U18783" s="9"/>
      <c r="V18783" s="9"/>
      <c r="W18783" s="9"/>
      <c r="X18783" s="9"/>
      <c r="Y18783" s="9"/>
      <c r="Z18783" s="9"/>
      <c r="AA18783" s="9"/>
      <c r="AB18783" s="9"/>
      <c r="AC18783" s="9"/>
      <c r="AD18783" s="9"/>
      <c r="AE18783" s="9"/>
      <c r="AF18783" s="9"/>
      <c r="AG18783" s="10"/>
    </row>
    <row r="18784" spans="1:33">
      <c r="A18784" s="9"/>
      <c r="B18784" s="9"/>
      <c r="C18784" s="9"/>
      <c r="D18784" s="9"/>
      <c r="E18784" s="9"/>
      <c r="F18784" s="9"/>
      <c r="G18784" s="9"/>
      <c r="H18784" s="9"/>
      <c r="I18784" s="9"/>
      <c r="J18784" s="9"/>
      <c r="K18784" s="9"/>
      <c r="L18784" s="9"/>
      <c r="M18784" s="9"/>
      <c r="N18784" s="9"/>
      <c r="O18784" s="9"/>
      <c r="P18784" s="9"/>
      <c r="Q18784" s="9"/>
      <c r="R18784" s="9"/>
      <c r="S18784" s="9"/>
      <c r="T18784" s="9"/>
      <c r="U18784" s="9"/>
      <c r="V18784" s="9"/>
      <c r="W18784" s="9"/>
      <c r="X18784" s="9"/>
      <c r="Y18784" s="9"/>
      <c r="Z18784" s="9"/>
      <c r="AA18784" s="9"/>
      <c r="AB18784" s="9"/>
      <c r="AC18784" s="9"/>
      <c r="AD18784" s="9"/>
      <c r="AE18784" s="9"/>
      <c r="AF18784" s="9"/>
      <c r="AG18784" s="10"/>
    </row>
    <row r="18785" spans="1:33">
      <c r="A18785" s="9"/>
      <c r="B18785" s="9"/>
      <c r="C18785" s="9"/>
      <c r="D18785" s="9"/>
      <c r="E18785" s="9"/>
      <c r="F18785" s="9"/>
      <c r="G18785" s="9"/>
      <c r="H18785" s="9"/>
      <c r="I18785" s="9"/>
      <c r="J18785" s="9"/>
      <c r="K18785" s="9"/>
      <c r="L18785" s="9"/>
      <c r="M18785" s="9"/>
      <c r="N18785" s="9"/>
      <c r="O18785" s="9"/>
      <c r="P18785" s="9"/>
      <c r="Q18785" s="9"/>
      <c r="R18785" s="9"/>
      <c r="S18785" s="9"/>
      <c r="T18785" s="9"/>
      <c r="U18785" s="9"/>
      <c r="V18785" s="9"/>
      <c r="W18785" s="9"/>
      <c r="X18785" s="9"/>
      <c r="Y18785" s="9"/>
      <c r="Z18785" s="9"/>
      <c r="AA18785" s="9"/>
      <c r="AB18785" s="9"/>
      <c r="AC18785" s="9"/>
      <c r="AD18785" s="9"/>
      <c r="AE18785" s="9"/>
      <c r="AF18785" s="9"/>
      <c r="AG18785" s="10"/>
    </row>
    <row r="18786" spans="1:33">
      <c r="A18786" s="9"/>
      <c r="B18786" s="9"/>
      <c r="C18786" s="9"/>
      <c r="D18786" s="9"/>
      <c r="E18786" s="9"/>
      <c r="F18786" s="9"/>
      <c r="G18786" s="9"/>
      <c r="H18786" s="9"/>
      <c r="I18786" s="9"/>
      <c r="J18786" s="9"/>
      <c r="K18786" s="9"/>
      <c r="L18786" s="9"/>
      <c r="M18786" s="9"/>
      <c r="N18786" s="9"/>
      <c r="O18786" s="9"/>
      <c r="P18786" s="9"/>
      <c r="Q18786" s="9"/>
      <c r="R18786" s="9"/>
      <c r="S18786" s="9"/>
      <c r="T18786" s="9"/>
      <c r="U18786" s="9"/>
      <c r="V18786" s="9"/>
      <c r="W18786" s="9"/>
      <c r="X18786" s="9"/>
      <c r="Y18786" s="9"/>
      <c r="Z18786" s="9"/>
      <c r="AA18786" s="9"/>
      <c r="AB18786" s="9"/>
      <c r="AC18786" s="9"/>
      <c r="AD18786" s="9"/>
      <c r="AE18786" s="9"/>
      <c r="AF18786" s="9"/>
      <c r="AG18786" s="10"/>
    </row>
    <row r="18787" spans="1:33">
      <c r="A18787" s="9"/>
      <c r="B18787" s="9"/>
      <c r="C18787" s="9"/>
      <c r="D18787" s="9"/>
      <c r="E18787" s="9"/>
      <c r="F18787" s="9"/>
      <c r="G18787" s="9"/>
      <c r="H18787" s="9"/>
      <c r="I18787" s="9"/>
      <c r="J18787" s="9"/>
      <c r="K18787" s="9"/>
      <c r="L18787" s="9"/>
      <c r="M18787" s="9"/>
      <c r="N18787" s="9"/>
      <c r="O18787" s="9"/>
      <c r="P18787" s="9"/>
      <c r="Q18787" s="9"/>
      <c r="R18787" s="9"/>
      <c r="S18787" s="9"/>
      <c r="T18787" s="9"/>
      <c r="U18787" s="9"/>
      <c r="V18787" s="9"/>
      <c r="W18787" s="9"/>
      <c r="X18787" s="9"/>
      <c r="Y18787" s="9"/>
      <c r="Z18787" s="9"/>
      <c r="AA18787" s="9"/>
      <c r="AB18787" s="9"/>
      <c r="AC18787" s="9"/>
      <c r="AD18787" s="9"/>
      <c r="AE18787" s="9"/>
      <c r="AF18787" s="9"/>
      <c r="AG18787" s="10"/>
    </row>
    <row r="18788" spans="1:33">
      <c r="A18788" s="9"/>
      <c r="B18788" s="9"/>
      <c r="C18788" s="9"/>
      <c r="D18788" s="9"/>
      <c r="E18788" s="9"/>
      <c r="F18788" s="9"/>
      <c r="G18788" s="9"/>
      <c r="H18788" s="9"/>
      <c r="I18788" s="9"/>
      <c r="J18788" s="9"/>
      <c r="K18788" s="9"/>
      <c r="L18788" s="9"/>
      <c r="M18788" s="9"/>
      <c r="N18788" s="9"/>
      <c r="O18788" s="9"/>
      <c r="P18788" s="9"/>
      <c r="Q18788" s="9"/>
      <c r="R18788" s="9"/>
      <c r="S18788" s="9"/>
      <c r="T18788" s="9"/>
      <c r="U18788" s="9"/>
      <c r="V18788" s="9"/>
      <c r="W18788" s="9"/>
      <c r="X18788" s="9"/>
      <c r="Y18788" s="9"/>
      <c r="Z18788" s="9"/>
      <c r="AA18788" s="9"/>
      <c r="AB18788" s="9"/>
      <c r="AC18788" s="9"/>
      <c r="AD18788" s="9"/>
      <c r="AE18788" s="9"/>
      <c r="AF18788" s="9"/>
      <c r="AG18788" s="10"/>
    </row>
    <row r="18789" spans="1:33">
      <c r="A18789" s="9"/>
      <c r="B18789" s="9"/>
      <c r="C18789" s="9"/>
      <c r="D18789" s="9"/>
      <c r="E18789" s="9"/>
      <c r="F18789" s="9"/>
      <c r="G18789" s="9"/>
      <c r="H18789" s="9"/>
      <c r="I18789" s="9"/>
      <c r="J18789" s="9"/>
      <c r="K18789" s="9"/>
      <c r="L18789" s="9"/>
      <c r="M18789" s="9"/>
      <c r="N18789" s="9"/>
      <c r="O18789" s="9"/>
      <c r="P18789" s="9"/>
      <c r="Q18789" s="9"/>
      <c r="R18789" s="9"/>
      <c r="S18789" s="9"/>
      <c r="T18789" s="9"/>
      <c r="U18789" s="9"/>
      <c r="V18789" s="9"/>
      <c r="W18789" s="9"/>
      <c r="X18789" s="9"/>
      <c r="Y18789" s="9"/>
      <c r="Z18789" s="9"/>
      <c r="AA18789" s="9"/>
      <c r="AB18789" s="9"/>
      <c r="AC18789" s="9"/>
      <c r="AD18789" s="9"/>
      <c r="AE18789" s="9"/>
      <c r="AF18789" s="9"/>
      <c r="AG18789" s="10"/>
    </row>
    <row r="18790" spans="1:33">
      <c r="A18790" s="9"/>
      <c r="B18790" s="9"/>
      <c r="C18790" s="9"/>
      <c r="D18790" s="9"/>
      <c r="E18790" s="9"/>
      <c r="F18790" s="9"/>
      <c r="G18790" s="9"/>
      <c r="H18790" s="9"/>
      <c r="I18790" s="9"/>
      <c r="J18790" s="9"/>
      <c r="K18790" s="9"/>
      <c r="L18790" s="9"/>
      <c r="M18790" s="9"/>
      <c r="N18790" s="9"/>
      <c r="O18790" s="9"/>
      <c r="P18790" s="9"/>
      <c r="Q18790" s="9"/>
      <c r="R18790" s="9"/>
      <c r="S18790" s="9"/>
      <c r="T18790" s="9"/>
      <c r="U18790" s="9"/>
      <c r="V18790" s="9"/>
      <c r="W18790" s="9"/>
      <c r="X18790" s="9"/>
      <c r="Y18790" s="9"/>
      <c r="Z18790" s="9"/>
      <c r="AA18790" s="9"/>
      <c r="AB18790" s="9"/>
      <c r="AC18790" s="9"/>
      <c r="AD18790" s="9"/>
      <c r="AE18790" s="9"/>
      <c r="AF18790" s="9"/>
      <c r="AG18790" s="10"/>
    </row>
    <row r="18791" spans="1:33">
      <c r="A18791" s="9"/>
      <c r="B18791" s="9"/>
      <c r="C18791" s="9"/>
      <c r="D18791" s="9"/>
      <c r="E18791" s="9"/>
      <c r="F18791" s="9"/>
      <c r="G18791" s="9"/>
      <c r="H18791" s="9"/>
      <c r="I18791" s="9"/>
      <c r="J18791" s="9"/>
      <c r="K18791" s="9"/>
      <c r="L18791" s="9"/>
      <c r="M18791" s="9"/>
      <c r="N18791" s="9"/>
      <c r="O18791" s="9"/>
      <c r="P18791" s="9"/>
      <c r="Q18791" s="9"/>
      <c r="R18791" s="9"/>
      <c r="S18791" s="9"/>
      <c r="T18791" s="9"/>
      <c r="U18791" s="9"/>
      <c r="V18791" s="9"/>
      <c r="W18791" s="9"/>
      <c r="X18791" s="9"/>
      <c r="Y18791" s="9"/>
      <c r="Z18791" s="9"/>
      <c r="AA18791" s="9"/>
      <c r="AB18791" s="9"/>
      <c r="AC18791" s="9"/>
      <c r="AD18791" s="9"/>
      <c r="AE18791" s="9"/>
      <c r="AF18791" s="9"/>
      <c r="AG18791" s="10"/>
    </row>
    <row r="18792" spans="1:33">
      <c r="A18792" s="9"/>
      <c r="B18792" s="9"/>
      <c r="C18792" s="9"/>
      <c r="D18792" s="9"/>
      <c r="E18792" s="9"/>
      <c r="F18792" s="9"/>
      <c r="G18792" s="9"/>
      <c r="H18792" s="9"/>
      <c r="I18792" s="9"/>
      <c r="J18792" s="9"/>
      <c r="K18792" s="9"/>
      <c r="L18792" s="9"/>
      <c r="M18792" s="9"/>
      <c r="N18792" s="9"/>
      <c r="O18792" s="9"/>
      <c r="P18792" s="9"/>
      <c r="Q18792" s="9"/>
      <c r="R18792" s="9"/>
      <c r="S18792" s="9"/>
      <c r="T18792" s="9"/>
      <c r="U18792" s="9"/>
      <c r="V18792" s="9"/>
      <c r="W18792" s="9"/>
      <c r="X18792" s="9"/>
      <c r="Y18792" s="9"/>
      <c r="Z18792" s="9"/>
      <c r="AA18792" s="9"/>
      <c r="AB18792" s="9"/>
      <c r="AC18792" s="9"/>
      <c r="AD18792" s="9"/>
      <c r="AE18792" s="9"/>
      <c r="AF18792" s="9"/>
      <c r="AG18792" s="10"/>
    </row>
    <row r="18793" spans="1:33">
      <c r="A18793" s="9"/>
      <c r="B18793" s="9"/>
      <c r="C18793" s="9"/>
      <c r="D18793" s="9"/>
      <c r="E18793" s="9"/>
      <c r="F18793" s="9"/>
      <c r="G18793" s="9"/>
      <c r="H18793" s="9"/>
      <c r="I18793" s="9"/>
      <c r="J18793" s="9"/>
      <c r="K18793" s="9"/>
      <c r="L18793" s="9"/>
      <c r="M18793" s="9"/>
      <c r="N18793" s="9"/>
      <c r="O18793" s="9"/>
      <c r="P18793" s="9"/>
      <c r="Q18793" s="9"/>
      <c r="R18793" s="9"/>
      <c r="S18793" s="9"/>
      <c r="T18793" s="9"/>
      <c r="U18793" s="9"/>
      <c r="V18793" s="9"/>
      <c r="W18793" s="9"/>
      <c r="X18793" s="9"/>
      <c r="Y18793" s="9"/>
      <c r="Z18793" s="9"/>
      <c r="AA18793" s="9"/>
      <c r="AB18793" s="9"/>
      <c r="AC18793" s="9"/>
      <c r="AD18793" s="9"/>
      <c r="AE18793" s="9"/>
      <c r="AF18793" s="9"/>
      <c r="AG18793" s="10"/>
    </row>
    <row r="18794" spans="1:33">
      <c r="A18794" s="9"/>
      <c r="B18794" s="9"/>
      <c r="C18794" s="9"/>
      <c r="D18794" s="9"/>
      <c r="E18794" s="9"/>
      <c r="F18794" s="9"/>
      <c r="G18794" s="9"/>
      <c r="H18794" s="9"/>
      <c r="I18794" s="9"/>
      <c r="J18794" s="9"/>
      <c r="K18794" s="9"/>
      <c r="L18794" s="9"/>
      <c r="M18794" s="9"/>
      <c r="N18794" s="9"/>
      <c r="O18794" s="9"/>
      <c r="P18794" s="9"/>
      <c r="Q18794" s="9"/>
      <c r="R18794" s="9"/>
      <c r="S18794" s="9"/>
      <c r="T18794" s="9"/>
      <c r="U18794" s="9"/>
      <c r="V18794" s="9"/>
      <c r="W18794" s="9"/>
      <c r="X18794" s="9"/>
      <c r="Y18794" s="9"/>
      <c r="Z18794" s="9"/>
      <c r="AA18794" s="9"/>
      <c r="AB18794" s="9"/>
      <c r="AC18794" s="9"/>
      <c r="AD18794" s="9"/>
      <c r="AE18794" s="9"/>
      <c r="AF18794" s="9"/>
      <c r="AG18794" s="10"/>
    </row>
    <row r="18795" spans="1:33">
      <c r="A18795" s="9"/>
      <c r="B18795" s="9"/>
      <c r="C18795" s="9"/>
      <c r="D18795" s="9"/>
      <c r="E18795" s="9"/>
      <c r="F18795" s="9"/>
      <c r="G18795" s="9"/>
      <c r="H18795" s="9"/>
      <c r="I18795" s="9"/>
      <c r="J18795" s="9"/>
      <c r="K18795" s="9"/>
      <c r="L18795" s="9"/>
      <c r="M18795" s="9"/>
      <c r="N18795" s="9"/>
      <c r="O18795" s="9"/>
      <c r="P18795" s="9"/>
      <c r="Q18795" s="9"/>
      <c r="R18795" s="9"/>
      <c r="S18795" s="9"/>
      <c r="T18795" s="9"/>
      <c r="U18795" s="9"/>
      <c r="V18795" s="9"/>
      <c r="W18795" s="9"/>
      <c r="X18795" s="9"/>
      <c r="Y18795" s="9"/>
      <c r="Z18795" s="9"/>
      <c r="AA18795" s="9"/>
      <c r="AB18795" s="9"/>
      <c r="AC18795" s="9"/>
      <c r="AD18795" s="9"/>
      <c r="AE18795" s="9"/>
      <c r="AF18795" s="9"/>
      <c r="AG18795" s="10"/>
    </row>
    <row r="18796" spans="1:33">
      <c r="A18796" s="9"/>
      <c r="B18796" s="9"/>
      <c r="C18796" s="9"/>
      <c r="D18796" s="9"/>
      <c r="E18796" s="9"/>
      <c r="F18796" s="9"/>
      <c r="G18796" s="9"/>
      <c r="H18796" s="9"/>
      <c r="I18796" s="9"/>
      <c r="J18796" s="9"/>
      <c r="K18796" s="9"/>
      <c r="L18796" s="9"/>
      <c r="M18796" s="9"/>
      <c r="N18796" s="9"/>
      <c r="O18796" s="9"/>
      <c r="P18796" s="9"/>
      <c r="Q18796" s="9"/>
      <c r="R18796" s="9"/>
      <c r="S18796" s="9"/>
      <c r="T18796" s="9"/>
      <c r="U18796" s="9"/>
      <c r="V18796" s="9"/>
      <c r="W18796" s="9"/>
      <c r="X18796" s="9"/>
      <c r="Y18796" s="9"/>
      <c r="Z18796" s="9"/>
      <c r="AA18796" s="9"/>
      <c r="AB18796" s="9"/>
      <c r="AC18796" s="9"/>
      <c r="AD18796" s="9"/>
      <c r="AE18796" s="9"/>
      <c r="AF18796" s="9"/>
      <c r="AG18796" s="10"/>
    </row>
    <row r="18797" spans="1:33">
      <c r="A18797" s="9"/>
      <c r="B18797" s="9"/>
      <c r="C18797" s="9"/>
      <c r="D18797" s="9"/>
      <c r="E18797" s="9"/>
      <c r="F18797" s="9"/>
      <c r="G18797" s="9"/>
      <c r="H18797" s="9"/>
      <c r="I18797" s="9"/>
      <c r="J18797" s="9"/>
      <c r="K18797" s="9"/>
      <c r="L18797" s="9"/>
      <c r="M18797" s="9"/>
      <c r="N18797" s="9"/>
      <c r="O18797" s="9"/>
      <c r="P18797" s="9"/>
      <c r="Q18797" s="9"/>
      <c r="R18797" s="9"/>
      <c r="S18797" s="9"/>
      <c r="T18797" s="9"/>
      <c r="U18797" s="9"/>
      <c r="V18797" s="9"/>
      <c r="W18797" s="9"/>
      <c r="X18797" s="9"/>
      <c r="Y18797" s="9"/>
      <c r="Z18797" s="9"/>
      <c r="AA18797" s="9"/>
      <c r="AB18797" s="9"/>
      <c r="AC18797" s="9"/>
      <c r="AD18797" s="9"/>
      <c r="AE18797" s="9"/>
      <c r="AF18797" s="9"/>
      <c r="AG18797" s="10"/>
    </row>
    <row r="18798" spans="1:33">
      <c r="A18798" s="9"/>
      <c r="B18798" s="9"/>
      <c r="C18798" s="9"/>
      <c r="D18798" s="9"/>
      <c r="E18798" s="9"/>
      <c r="F18798" s="9"/>
      <c r="G18798" s="9"/>
      <c r="H18798" s="9"/>
      <c r="I18798" s="9"/>
      <c r="J18798" s="9"/>
      <c r="K18798" s="9"/>
      <c r="L18798" s="9"/>
      <c r="M18798" s="9"/>
      <c r="N18798" s="9"/>
      <c r="O18798" s="9"/>
      <c r="P18798" s="9"/>
      <c r="Q18798" s="9"/>
      <c r="R18798" s="9"/>
      <c r="S18798" s="9"/>
      <c r="T18798" s="9"/>
      <c r="U18798" s="9"/>
      <c r="V18798" s="9"/>
      <c r="W18798" s="9"/>
      <c r="X18798" s="9"/>
      <c r="Y18798" s="9"/>
      <c r="Z18798" s="9"/>
      <c r="AA18798" s="9"/>
      <c r="AB18798" s="9"/>
      <c r="AC18798" s="9"/>
      <c r="AD18798" s="9"/>
      <c r="AE18798" s="9"/>
      <c r="AF18798" s="9"/>
      <c r="AG18798" s="10"/>
    </row>
    <row r="18799" spans="1:33">
      <c r="A18799" s="9"/>
      <c r="B18799" s="9"/>
      <c r="C18799" s="9"/>
      <c r="D18799" s="9"/>
      <c r="E18799" s="9"/>
      <c r="F18799" s="9"/>
      <c r="G18799" s="9"/>
      <c r="H18799" s="9"/>
      <c r="I18799" s="9"/>
      <c r="J18799" s="9"/>
      <c r="K18799" s="9"/>
      <c r="L18799" s="9"/>
      <c r="M18799" s="9"/>
      <c r="N18799" s="9"/>
      <c r="O18799" s="9"/>
      <c r="P18799" s="9"/>
      <c r="Q18799" s="9"/>
      <c r="R18799" s="9"/>
      <c r="S18799" s="9"/>
      <c r="T18799" s="9"/>
      <c r="U18799" s="9"/>
      <c r="V18799" s="9"/>
      <c r="W18799" s="9"/>
      <c r="X18799" s="9"/>
      <c r="Y18799" s="9"/>
      <c r="Z18799" s="9"/>
      <c r="AA18799" s="9"/>
      <c r="AB18799" s="9"/>
      <c r="AC18799" s="9"/>
      <c r="AD18799" s="9"/>
      <c r="AE18799" s="9"/>
      <c r="AF18799" s="9"/>
      <c r="AG18799" s="10"/>
    </row>
    <row r="18800" spans="1:33">
      <c r="A18800" s="9"/>
      <c r="B18800" s="9"/>
      <c r="C18800" s="9"/>
      <c r="D18800" s="9"/>
      <c r="E18800" s="9"/>
      <c r="F18800" s="9"/>
      <c r="G18800" s="9"/>
      <c r="H18800" s="9"/>
      <c r="I18800" s="9"/>
      <c r="J18800" s="9"/>
      <c r="K18800" s="9"/>
      <c r="L18800" s="9"/>
      <c r="M18800" s="9"/>
      <c r="N18800" s="9"/>
      <c r="O18800" s="9"/>
      <c r="P18800" s="9"/>
      <c r="Q18800" s="9"/>
      <c r="R18800" s="9"/>
      <c r="S18800" s="9"/>
      <c r="T18800" s="9"/>
      <c r="U18800" s="9"/>
      <c r="V18800" s="9"/>
      <c r="W18800" s="9"/>
      <c r="X18800" s="9"/>
      <c r="Y18800" s="9"/>
      <c r="Z18800" s="9"/>
      <c r="AA18800" s="9"/>
      <c r="AB18800" s="9"/>
      <c r="AC18800" s="9"/>
      <c r="AD18800" s="9"/>
      <c r="AE18800" s="9"/>
      <c r="AF18800" s="9"/>
      <c r="AG18800" s="10"/>
    </row>
    <row r="18801" spans="1:33">
      <c r="A18801" s="9"/>
      <c r="B18801" s="9"/>
      <c r="C18801" s="9"/>
      <c r="D18801" s="9"/>
      <c r="E18801" s="9"/>
      <c r="F18801" s="9"/>
      <c r="G18801" s="9"/>
      <c r="H18801" s="9"/>
      <c r="I18801" s="9"/>
      <c r="J18801" s="9"/>
      <c r="K18801" s="9"/>
      <c r="L18801" s="9"/>
      <c r="M18801" s="9"/>
      <c r="N18801" s="9"/>
      <c r="O18801" s="9"/>
      <c r="P18801" s="9"/>
      <c r="Q18801" s="9"/>
      <c r="R18801" s="9"/>
      <c r="S18801" s="9"/>
      <c r="T18801" s="9"/>
      <c r="U18801" s="9"/>
      <c r="V18801" s="9"/>
      <c r="W18801" s="9"/>
      <c r="X18801" s="9"/>
      <c r="Y18801" s="9"/>
      <c r="Z18801" s="9"/>
      <c r="AA18801" s="9"/>
      <c r="AB18801" s="9"/>
      <c r="AC18801" s="9"/>
      <c r="AD18801" s="9"/>
      <c r="AE18801" s="9"/>
      <c r="AF18801" s="9"/>
      <c r="AG18801" s="10"/>
    </row>
    <row r="18802" spans="1:33">
      <c r="A18802" s="9"/>
      <c r="B18802" s="9"/>
      <c r="C18802" s="9"/>
      <c r="D18802" s="9"/>
      <c r="E18802" s="9"/>
      <c r="F18802" s="9"/>
      <c r="G18802" s="9"/>
      <c r="H18802" s="9"/>
      <c r="I18802" s="9"/>
      <c r="J18802" s="9"/>
      <c r="K18802" s="9"/>
      <c r="L18802" s="9"/>
      <c r="M18802" s="9"/>
      <c r="N18802" s="9"/>
      <c r="O18802" s="9"/>
      <c r="P18802" s="9"/>
      <c r="Q18802" s="9"/>
      <c r="R18802" s="9"/>
      <c r="S18802" s="9"/>
      <c r="T18802" s="9"/>
      <c r="U18802" s="9"/>
      <c r="V18802" s="9"/>
      <c r="W18802" s="9"/>
      <c r="X18802" s="9"/>
      <c r="Y18802" s="9"/>
      <c r="Z18802" s="9"/>
      <c r="AA18802" s="9"/>
      <c r="AB18802" s="9"/>
      <c r="AC18802" s="9"/>
      <c r="AD18802" s="9"/>
      <c r="AE18802" s="9"/>
      <c r="AF18802" s="9"/>
      <c r="AG18802" s="10"/>
    </row>
    <row r="18803" spans="1:33">
      <c r="A18803" s="9"/>
      <c r="B18803" s="9"/>
      <c r="C18803" s="9"/>
      <c r="D18803" s="9"/>
      <c r="E18803" s="9"/>
      <c r="F18803" s="9"/>
      <c r="G18803" s="9"/>
      <c r="H18803" s="9"/>
      <c r="I18803" s="9"/>
      <c r="J18803" s="9"/>
      <c r="K18803" s="9"/>
      <c r="L18803" s="9"/>
      <c r="M18803" s="9"/>
      <c r="N18803" s="9"/>
      <c r="O18803" s="9"/>
      <c r="P18803" s="9"/>
      <c r="Q18803" s="9"/>
      <c r="R18803" s="9"/>
      <c r="S18803" s="9"/>
      <c r="T18803" s="9"/>
      <c r="U18803" s="9"/>
      <c r="V18803" s="9"/>
      <c r="W18803" s="9"/>
      <c r="X18803" s="9"/>
      <c r="Y18803" s="9"/>
      <c r="Z18803" s="9"/>
      <c r="AA18803" s="9"/>
      <c r="AB18803" s="9"/>
      <c r="AC18803" s="9"/>
      <c r="AD18803" s="9"/>
      <c r="AE18803" s="9"/>
      <c r="AF18803" s="9"/>
      <c r="AG18803" s="10"/>
    </row>
    <row r="18804" spans="1:33">
      <c r="A18804" s="9"/>
      <c r="B18804" s="9"/>
      <c r="C18804" s="9"/>
      <c r="D18804" s="9"/>
      <c r="E18804" s="9"/>
      <c r="F18804" s="9"/>
      <c r="G18804" s="9"/>
      <c r="H18804" s="9"/>
      <c r="I18804" s="9"/>
      <c r="J18804" s="9"/>
      <c r="K18804" s="9"/>
      <c r="L18804" s="9"/>
      <c r="M18804" s="9"/>
      <c r="N18804" s="9"/>
      <c r="O18804" s="9"/>
      <c r="P18804" s="9"/>
      <c r="Q18804" s="9"/>
      <c r="R18804" s="9"/>
      <c r="S18804" s="9"/>
      <c r="T18804" s="9"/>
      <c r="U18804" s="9"/>
      <c r="V18804" s="9"/>
      <c r="W18804" s="9"/>
      <c r="X18804" s="9"/>
      <c r="Y18804" s="9"/>
      <c r="Z18804" s="9"/>
      <c r="AA18804" s="9"/>
      <c r="AB18804" s="9"/>
      <c r="AC18804" s="9"/>
      <c r="AD18804" s="9"/>
      <c r="AE18804" s="9"/>
      <c r="AF18804" s="9"/>
      <c r="AG18804" s="10"/>
    </row>
    <row r="18805" spans="1:33">
      <c r="A18805" s="9"/>
      <c r="B18805" s="9"/>
      <c r="C18805" s="9"/>
      <c r="D18805" s="9"/>
      <c r="E18805" s="9"/>
      <c r="F18805" s="9"/>
      <c r="G18805" s="9"/>
      <c r="H18805" s="9"/>
      <c r="I18805" s="9"/>
      <c r="J18805" s="9"/>
      <c r="K18805" s="9"/>
      <c r="L18805" s="9"/>
      <c r="M18805" s="9"/>
      <c r="N18805" s="9"/>
      <c r="O18805" s="9"/>
      <c r="P18805" s="9"/>
      <c r="Q18805" s="9"/>
      <c r="R18805" s="9"/>
      <c r="S18805" s="9"/>
      <c r="T18805" s="9"/>
      <c r="U18805" s="9"/>
      <c r="V18805" s="9"/>
      <c r="W18805" s="9"/>
      <c r="X18805" s="9"/>
      <c r="Y18805" s="9"/>
      <c r="Z18805" s="9"/>
      <c r="AA18805" s="9"/>
      <c r="AB18805" s="9"/>
      <c r="AC18805" s="9"/>
      <c r="AD18805" s="9"/>
      <c r="AE18805" s="9"/>
      <c r="AF18805" s="9"/>
      <c r="AG18805" s="10"/>
    </row>
    <row r="18806" spans="1:33">
      <c r="A18806" s="9"/>
      <c r="B18806" s="9"/>
      <c r="C18806" s="9"/>
      <c r="D18806" s="9"/>
      <c r="E18806" s="9"/>
      <c r="F18806" s="9"/>
      <c r="G18806" s="9"/>
      <c r="H18806" s="9"/>
      <c r="I18806" s="9"/>
      <c r="J18806" s="9"/>
      <c r="K18806" s="9"/>
      <c r="L18806" s="9"/>
      <c r="M18806" s="9"/>
      <c r="N18806" s="9"/>
      <c r="O18806" s="9"/>
      <c r="P18806" s="9"/>
      <c r="Q18806" s="9"/>
      <c r="R18806" s="9"/>
      <c r="S18806" s="9"/>
      <c r="T18806" s="9"/>
      <c r="U18806" s="9"/>
      <c r="V18806" s="9"/>
      <c r="W18806" s="9"/>
      <c r="X18806" s="9"/>
      <c r="Y18806" s="9"/>
      <c r="Z18806" s="9"/>
      <c r="AA18806" s="9"/>
      <c r="AB18806" s="9"/>
      <c r="AC18806" s="9"/>
      <c r="AD18806" s="9"/>
      <c r="AE18806" s="9"/>
      <c r="AF18806" s="9"/>
      <c r="AG18806" s="10"/>
    </row>
    <row r="18807" spans="1:33">
      <c r="A18807" s="9"/>
      <c r="B18807" s="9"/>
      <c r="C18807" s="9"/>
      <c r="D18807" s="9"/>
      <c r="E18807" s="9"/>
      <c r="F18807" s="9"/>
      <c r="G18807" s="9"/>
      <c r="H18807" s="9"/>
      <c r="I18807" s="9"/>
      <c r="J18807" s="9"/>
      <c r="K18807" s="9"/>
      <c r="L18807" s="9"/>
      <c r="M18807" s="9"/>
      <c r="N18807" s="9"/>
      <c r="O18807" s="9"/>
      <c r="P18807" s="9"/>
      <c r="Q18807" s="9"/>
      <c r="R18807" s="9"/>
      <c r="S18807" s="9"/>
      <c r="T18807" s="9"/>
      <c r="U18807" s="9"/>
      <c r="V18807" s="9"/>
      <c r="W18807" s="9"/>
      <c r="X18807" s="9"/>
      <c r="Y18807" s="9"/>
      <c r="Z18807" s="9"/>
      <c r="AA18807" s="9"/>
      <c r="AB18807" s="9"/>
      <c r="AC18807" s="9"/>
      <c r="AD18807" s="9"/>
      <c r="AE18807" s="9"/>
      <c r="AF18807" s="9"/>
      <c r="AG18807" s="10"/>
    </row>
    <row r="18808" spans="1:33">
      <c r="A18808" s="9"/>
      <c r="B18808" s="9"/>
      <c r="C18808" s="9"/>
      <c r="D18808" s="9"/>
      <c r="E18808" s="9"/>
      <c r="F18808" s="9"/>
      <c r="G18808" s="9"/>
      <c r="H18808" s="9"/>
      <c r="I18808" s="9"/>
      <c r="J18808" s="9"/>
      <c r="K18808" s="9"/>
      <c r="L18808" s="9"/>
      <c r="M18808" s="9"/>
      <c r="N18808" s="9"/>
      <c r="O18808" s="9"/>
      <c r="P18808" s="9"/>
      <c r="Q18808" s="9"/>
      <c r="R18808" s="9"/>
      <c r="S18808" s="9"/>
      <c r="T18808" s="9"/>
      <c r="U18808" s="9"/>
      <c r="V18808" s="9"/>
      <c r="W18808" s="9"/>
      <c r="X18808" s="9"/>
      <c r="Y18808" s="9"/>
      <c r="Z18808" s="9"/>
      <c r="AA18808" s="9"/>
      <c r="AB18808" s="9"/>
      <c r="AC18808" s="9"/>
      <c r="AD18808" s="9"/>
      <c r="AE18808" s="9"/>
      <c r="AF18808" s="9"/>
      <c r="AG18808" s="10"/>
    </row>
    <row r="18809" spans="1:33">
      <c r="A18809" s="9"/>
      <c r="B18809" s="9"/>
      <c r="C18809" s="9"/>
      <c r="D18809" s="9"/>
      <c r="E18809" s="9"/>
      <c r="F18809" s="9"/>
      <c r="G18809" s="9"/>
      <c r="H18809" s="9"/>
      <c r="I18809" s="9"/>
      <c r="J18809" s="9"/>
      <c r="K18809" s="9"/>
      <c r="L18809" s="9"/>
      <c r="M18809" s="9"/>
      <c r="N18809" s="9"/>
      <c r="O18809" s="9"/>
      <c r="P18809" s="9"/>
      <c r="Q18809" s="9"/>
      <c r="R18809" s="9"/>
      <c r="S18809" s="9"/>
      <c r="T18809" s="9"/>
      <c r="U18809" s="9"/>
      <c r="V18809" s="9"/>
      <c r="W18809" s="9"/>
      <c r="X18809" s="9"/>
      <c r="Y18809" s="9"/>
      <c r="Z18809" s="9"/>
      <c r="AA18809" s="9"/>
      <c r="AB18809" s="9"/>
      <c r="AC18809" s="9"/>
      <c r="AD18809" s="9"/>
      <c r="AE18809" s="9"/>
      <c r="AF18809" s="9"/>
      <c r="AG18809" s="10"/>
    </row>
    <row r="18810" spans="1:33">
      <c r="A18810" s="9"/>
      <c r="B18810" s="9"/>
      <c r="C18810" s="9"/>
      <c r="D18810" s="9"/>
      <c r="E18810" s="9"/>
      <c r="F18810" s="9"/>
      <c r="G18810" s="9"/>
      <c r="H18810" s="9"/>
      <c r="I18810" s="9"/>
      <c r="J18810" s="9"/>
      <c r="K18810" s="9"/>
      <c r="L18810" s="9"/>
      <c r="M18810" s="9"/>
      <c r="N18810" s="9"/>
      <c r="O18810" s="9"/>
      <c r="P18810" s="9"/>
      <c r="Q18810" s="9"/>
      <c r="R18810" s="9"/>
      <c r="S18810" s="9"/>
      <c r="T18810" s="9"/>
      <c r="U18810" s="9"/>
      <c r="V18810" s="9"/>
      <c r="W18810" s="9"/>
      <c r="X18810" s="9"/>
      <c r="Y18810" s="9"/>
      <c r="Z18810" s="9"/>
      <c r="AA18810" s="9"/>
      <c r="AB18810" s="9"/>
      <c r="AC18810" s="9"/>
      <c r="AD18810" s="9"/>
      <c r="AE18810" s="9"/>
      <c r="AF18810" s="9"/>
      <c r="AG18810" s="10"/>
    </row>
    <row r="18811" spans="1:33">
      <c r="A18811" s="9"/>
      <c r="B18811" s="9"/>
      <c r="C18811" s="9"/>
      <c r="D18811" s="9"/>
      <c r="E18811" s="9"/>
      <c r="F18811" s="9"/>
      <c r="G18811" s="9"/>
      <c r="H18811" s="9"/>
      <c r="I18811" s="9"/>
      <c r="J18811" s="9"/>
      <c r="K18811" s="9"/>
      <c r="L18811" s="9"/>
      <c r="M18811" s="9"/>
      <c r="N18811" s="9"/>
      <c r="O18811" s="9"/>
      <c r="P18811" s="9"/>
      <c r="Q18811" s="9"/>
      <c r="R18811" s="9"/>
      <c r="S18811" s="9"/>
      <c r="T18811" s="9"/>
      <c r="U18811" s="9"/>
      <c r="V18811" s="9"/>
      <c r="W18811" s="9"/>
      <c r="X18811" s="9"/>
      <c r="Y18811" s="9"/>
      <c r="Z18811" s="9"/>
      <c r="AA18811" s="9"/>
      <c r="AB18811" s="9"/>
      <c r="AC18811" s="9"/>
      <c r="AD18811" s="9"/>
      <c r="AE18811" s="9"/>
      <c r="AF18811" s="9"/>
      <c r="AG18811" s="10"/>
    </row>
    <row r="18812" spans="1:33">
      <c r="A18812" s="9"/>
      <c r="B18812" s="9"/>
      <c r="C18812" s="9"/>
      <c r="D18812" s="9"/>
      <c r="E18812" s="9"/>
      <c r="F18812" s="9"/>
      <c r="G18812" s="9"/>
      <c r="H18812" s="9"/>
      <c r="I18812" s="9"/>
      <c r="J18812" s="9"/>
      <c r="K18812" s="9"/>
      <c r="L18812" s="9"/>
      <c r="M18812" s="9"/>
      <c r="N18812" s="9"/>
      <c r="O18812" s="9"/>
      <c r="P18812" s="9"/>
      <c r="Q18812" s="9"/>
      <c r="R18812" s="9"/>
      <c r="S18812" s="9"/>
      <c r="T18812" s="9"/>
      <c r="U18812" s="9"/>
      <c r="V18812" s="9"/>
      <c r="W18812" s="9"/>
      <c r="X18812" s="9"/>
      <c r="Y18812" s="9"/>
      <c r="Z18812" s="9"/>
      <c r="AA18812" s="9"/>
      <c r="AB18812" s="9"/>
      <c r="AC18812" s="9"/>
      <c r="AD18812" s="9"/>
      <c r="AE18812" s="9"/>
      <c r="AF18812" s="9"/>
      <c r="AG18812" s="10"/>
    </row>
    <row r="18813" spans="1:33">
      <c r="A18813" s="9"/>
      <c r="B18813" s="9"/>
      <c r="C18813" s="9"/>
      <c r="D18813" s="9"/>
      <c r="E18813" s="9"/>
      <c r="F18813" s="9"/>
      <c r="G18813" s="9"/>
      <c r="H18813" s="9"/>
      <c r="I18813" s="9"/>
      <c r="J18813" s="9"/>
      <c r="K18813" s="9"/>
      <c r="L18813" s="9"/>
      <c r="M18813" s="9"/>
      <c r="N18813" s="9"/>
      <c r="O18813" s="9"/>
      <c r="P18813" s="9"/>
      <c r="Q18813" s="9"/>
      <c r="R18813" s="9"/>
      <c r="S18813" s="9"/>
      <c r="T18813" s="9"/>
      <c r="U18813" s="9"/>
      <c r="V18813" s="9"/>
      <c r="W18813" s="9"/>
      <c r="X18813" s="9"/>
      <c r="Y18813" s="9"/>
      <c r="Z18813" s="9"/>
      <c r="AA18813" s="9"/>
      <c r="AB18813" s="9"/>
      <c r="AC18813" s="9"/>
      <c r="AD18813" s="9"/>
      <c r="AE18813" s="9"/>
      <c r="AF18813" s="9"/>
      <c r="AG18813" s="10"/>
    </row>
    <row r="18814" spans="1:33">
      <c r="A18814" s="9"/>
      <c r="B18814" s="9"/>
      <c r="C18814" s="9"/>
      <c r="D18814" s="9"/>
      <c r="E18814" s="9"/>
      <c r="F18814" s="9"/>
      <c r="G18814" s="9"/>
      <c r="H18814" s="9"/>
      <c r="I18814" s="9"/>
      <c r="J18814" s="9"/>
      <c r="K18814" s="9"/>
      <c r="L18814" s="9"/>
      <c r="M18814" s="9"/>
      <c r="N18814" s="9"/>
      <c r="O18814" s="9"/>
      <c r="P18814" s="9"/>
      <c r="Q18814" s="9"/>
      <c r="R18814" s="9"/>
      <c r="S18814" s="9"/>
      <c r="T18814" s="9"/>
      <c r="U18814" s="9"/>
      <c r="V18814" s="9"/>
      <c r="W18814" s="9"/>
      <c r="X18814" s="9"/>
      <c r="Y18814" s="9"/>
      <c r="Z18814" s="9"/>
      <c r="AA18814" s="9"/>
      <c r="AB18814" s="9"/>
      <c r="AC18814" s="9"/>
      <c r="AD18814" s="9"/>
      <c r="AE18814" s="9"/>
      <c r="AF18814" s="9"/>
      <c r="AG18814" s="10"/>
    </row>
    <row r="18815" spans="1:33">
      <c r="A18815" s="9"/>
      <c r="B18815" s="9"/>
      <c r="C18815" s="9"/>
      <c r="D18815" s="9"/>
      <c r="E18815" s="9"/>
      <c r="F18815" s="9"/>
      <c r="G18815" s="9"/>
      <c r="H18815" s="9"/>
      <c r="I18815" s="9"/>
      <c r="J18815" s="9"/>
      <c r="K18815" s="9"/>
      <c r="L18815" s="9"/>
      <c r="M18815" s="9"/>
      <c r="N18815" s="9"/>
      <c r="O18815" s="9"/>
      <c r="P18815" s="9"/>
      <c r="Q18815" s="9"/>
      <c r="R18815" s="9"/>
      <c r="S18815" s="9"/>
      <c r="T18815" s="9"/>
      <c r="U18815" s="9"/>
      <c r="V18815" s="9"/>
      <c r="W18815" s="9"/>
      <c r="X18815" s="9"/>
      <c r="Y18815" s="9"/>
      <c r="Z18815" s="9"/>
      <c r="AA18815" s="9"/>
      <c r="AB18815" s="9"/>
      <c r="AC18815" s="9"/>
      <c r="AD18815" s="9"/>
      <c r="AE18815" s="9"/>
      <c r="AF18815" s="9"/>
      <c r="AG18815" s="10"/>
    </row>
    <row r="18816" spans="1:33">
      <c r="A18816" s="9"/>
      <c r="B18816" s="9"/>
      <c r="C18816" s="9"/>
      <c r="D18816" s="9"/>
      <c r="E18816" s="9"/>
      <c r="F18816" s="9"/>
      <c r="G18816" s="9"/>
      <c r="H18816" s="9"/>
      <c r="I18816" s="9"/>
      <c r="J18816" s="9"/>
      <c r="K18816" s="9"/>
      <c r="L18816" s="9"/>
      <c r="M18816" s="9"/>
      <c r="N18816" s="9"/>
      <c r="O18816" s="9"/>
      <c r="P18816" s="9"/>
      <c r="Q18816" s="9"/>
      <c r="R18816" s="9"/>
      <c r="S18816" s="9"/>
      <c r="T18816" s="9"/>
      <c r="U18816" s="9"/>
      <c r="V18816" s="9"/>
      <c r="W18816" s="9"/>
      <c r="X18816" s="9"/>
      <c r="Y18816" s="9"/>
      <c r="Z18816" s="9"/>
      <c r="AA18816" s="9"/>
      <c r="AB18816" s="9"/>
      <c r="AC18816" s="9"/>
      <c r="AD18816" s="9"/>
      <c r="AE18816" s="9"/>
      <c r="AF18816" s="9"/>
      <c r="AG18816" s="10"/>
    </row>
    <row r="18817" spans="1:33">
      <c r="A18817" s="9"/>
      <c r="B18817" s="9"/>
      <c r="C18817" s="9"/>
      <c r="D18817" s="9"/>
      <c r="E18817" s="9"/>
      <c r="F18817" s="9"/>
      <c r="G18817" s="9"/>
      <c r="H18817" s="9"/>
      <c r="I18817" s="9"/>
      <c r="J18817" s="9"/>
      <c r="K18817" s="9"/>
      <c r="L18817" s="9"/>
      <c r="M18817" s="9"/>
      <c r="N18817" s="9"/>
      <c r="O18817" s="9"/>
      <c r="P18817" s="9"/>
      <c r="Q18817" s="9"/>
      <c r="R18817" s="9"/>
      <c r="S18817" s="9"/>
      <c r="T18817" s="9"/>
      <c r="U18817" s="9"/>
      <c r="V18817" s="9"/>
      <c r="W18817" s="9"/>
      <c r="X18817" s="9"/>
      <c r="Y18817" s="9"/>
      <c r="Z18817" s="9"/>
      <c r="AA18817" s="9"/>
      <c r="AB18817" s="9"/>
      <c r="AC18817" s="9"/>
      <c r="AD18817" s="9"/>
      <c r="AE18817" s="9"/>
      <c r="AF18817" s="9"/>
      <c r="AG18817" s="10"/>
    </row>
    <row r="18818" spans="1:33">
      <c r="A18818" s="9"/>
      <c r="B18818" s="9"/>
      <c r="C18818" s="9"/>
      <c r="D18818" s="9"/>
      <c r="E18818" s="9"/>
      <c r="F18818" s="9"/>
      <c r="G18818" s="9"/>
      <c r="H18818" s="9"/>
      <c r="I18818" s="9"/>
      <c r="J18818" s="9"/>
      <c r="K18818" s="9"/>
      <c r="L18818" s="9"/>
      <c r="M18818" s="9"/>
      <c r="N18818" s="9"/>
      <c r="O18818" s="9"/>
      <c r="P18818" s="9"/>
      <c r="Q18818" s="9"/>
      <c r="R18818" s="9"/>
      <c r="S18818" s="9"/>
      <c r="T18818" s="9"/>
      <c r="U18818" s="9"/>
      <c r="V18818" s="9"/>
      <c r="W18818" s="9"/>
      <c r="X18818" s="9"/>
      <c r="Y18818" s="9"/>
      <c r="Z18818" s="9"/>
      <c r="AA18818" s="9"/>
      <c r="AB18818" s="9"/>
      <c r="AC18818" s="9"/>
      <c r="AD18818" s="9"/>
      <c r="AE18818" s="9"/>
      <c r="AF18818" s="9"/>
      <c r="AG18818" s="10"/>
    </row>
    <row r="18819" spans="1:33">
      <c r="A18819" s="9"/>
      <c r="B18819" s="9"/>
      <c r="C18819" s="9"/>
      <c r="D18819" s="9"/>
      <c r="E18819" s="9"/>
      <c r="F18819" s="9"/>
      <c r="G18819" s="9"/>
      <c r="H18819" s="9"/>
      <c r="I18819" s="9"/>
      <c r="J18819" s="9"/>
      <c r="K18819" s="9"/>
      <c r="L18819" s="9"/>
      <c r="M18819" s="9"/>
      <c r="N18819" s="9"/>
      <c r="O18819" s="9"/>
      <c r="P18819" s="9"/>
      <c r="Q18819" s="9"/>
      <c r="R18819" s="9"/>
      <c r="S18819" s="9"/>
      <c r="T18819" s="9"/>
      <c r="U18819" s="9"/>
      <c r="V18819" s="9"/>
      <c r="W18819" s="9"/>
      <c r="X18819" s="9"/>
      <c r="Y18819" s="9"/>
      <c r="Z18819" s="9"/>
      <c r="AA18819" s="9"/>
      <c r="AB18819" s="9"/>
      <c r="AC18819" s="9"/>
      <c r="AD18819" s="9"/>
      <c r="AE18819" s="9"/>
      <c r="AF18819" s="9"/>
      <c r="AG18819" s="10"/>
    </row>
    <row r="18820" spans="1:33">
      <c r="A18820" s="9"/>
      <c r="B18820" s="9"/>
      <c r="C18820" s="9"/>
      <c r="D18820" s="9"/>
      <c r="E18820" s="9"/>
      <c r="F18820" s="9"/>
      <c r="G18820" s="9"/>
      <c r="H18820" s="9"/>
      <c r="I18820" s="9"/>
      <c r="J18820" s="9"/>
      <c r="K18820" s="9"/>
      <c r="L18820" s="9"/>
      <c r="M18820" s="9"/>
      <c r="N18820" s="9"/>
      <c r="O18820" s="9"/>
      <c r="P18820" s="9"/>
      <c r="Q18820" s="9"/>
      <c r="R18820" s="9"/>
      <c r="S18820" s="9"/>
      <c r="T18820" s="9"/>
      <c r="U18820" s="9"/>
      <c r="V18820" s="9"/>
      <c r="W18820" s="9"/>
      <c r="X18820" s="9"/>
      <c r="Y18820" s="9"/>
      <c r="Z18820" s="9"/>
      <c r="AA18820" s="9"/>
      <c r="AB18820" s="9"/>
      <c r="AC18820" s="9"/>
      <c r="AD18820" s="9"/>
      <c r="AE18820" s="9"/>
      <c r="AF18820" s="9"/>
      <c r="AG18820" s="10"/>
    </row>
    <row r="18821" spans="1:33">
      <c r="A18821" s="9"/>
      <c r="B18821" s="9"/>
      <c r="C18821" s="9"/>
      <c r="D18821" s="9"/>
      <c r="E18821" s="9"/>
      <c r="F18821" s="9"/>
      <c r="G18821" s="9"/>
      <c r="H18821" s="9"/>
      <c r="I18821" s="9"/>
      <c r="J18821" s="9"/>
      <c r="K18821" s="9"/>
      <c r="L18821" s="9"/>
      <c r="M18821" s="9"/>
      <c r="N18821" s="9"/>
      <c r="O18821" s="9"/>
      <c r="P18821" s="9"/>
      <c r="Q18821" s="9"/>
      <c r="R18821" s="9"/>
      <c r="S18821" s="9"/>
      <c r="T18821" s="9"/>
      <c r="U18821" s="9"/>
      <c r="V18821" s="9"/>
      <c r="W18821" s="9"/>
      <c r="X18821" s="9"/>
      <c r="Y18821" s="9"/>
      <c r="Z18821" s="9"/>
      <c r="AA18821" s="9"/>
      <c r="AB18821" s="9"/>
      <c r="AC18821" s="9"/>
      <c r="AD18821" s="9"/>
      <c r="AE18821" s="9"/>
      <c r="AF18821" s="9"/>
      <c r="AG18821" s="10"/>
    </row>
    <row r="18822" spans="1:33">
      <c r="A18822" s="9"/>
      <c r="B18822" s="9"/>
      <c r="C18822" s="9"/>
      <c r="D18822" s="9"/>
      <c r="E18822" s="9"/>
      <c r="F18822" s="9"/>
      <c r="G18822" s="9"/>
      <c r="H18822" s="9"/>
      <c r="I18822" s="9"/>
      <c r="J18822" s="9"/>
      <c r="K18822" s="9"/>
      <c r="L18822" s="9"/>
      <c r="M18822" s="9"/>
      <c r="N18822" s="9"/>
      <c r="O18822" s="9"/>
      <c r="P18822" s="9"/>
      <c r="Q18822" s="9"/>
      <c r="R18822" s="9"/>
      <c r="S18822" s="9"/>
      <c r="T18822" s="9"/>
      <c r="U18822" s="9"/>
      <c r="V18822" s="9"/>
      <c r="W18822" s="9"/>
      <c r="X18822" s="9"/>
      <c r="Y18822" s="9"/>
      <c r="Z18822" s="9"/>
      <c r="AA18822" s="9"/>
      <c r="AB18822" s="9"/>
      <c r="AC18822" s="9"/>
      <c r="AD18822" s="9"/>
      <c r="AE18822" s="9"/>
      <c r="AF18822" s="9"/>
      <c r="AG18822" s="10"/>
    </row>
    <row r="18823" spans="1:33">
      <c r="A18823" s="9"/>
      <c r="B18823" s="9"/>
      <c r="C18823" s="9"/>
      <c r="D18823" s="9"/>
      <c r="E18823" s="9"/>
      <c r="F18823" s="9"/>
      <c r="G18823" s="9"/>
      <c r="H18823" s="9"/>
      <c r="I18823" s="9"/>
      <c r="J18823" s="9"/>
      <c r="K18823" s="9"/>
      <c r="L18823" s="9"/>
      <c r="M18823" s="9"/>
      <c r="N18823" s="9"/>
      <c r="O18823" s="9"/>
      <c r="P18823" s="9"/>
      <c r="Q18823" s="9"/>
      <c r="R18823" s="9"/>
      <c r="S18823" s="9"/>
      <c r="T18823" s="9"/>
      <c r="U18823" s="9"/>
      <c r="V18823" s="9"/>
      <c r="W18823" s="9"/>
      <c r="X18823" s="9"/>
      <c r="Y18823" s="9"/>
      <c r="Z18823" s="9"/>
      <c r="AA18823" s="9"/>
      <c r="AB18823" s="9"/>
      <c r="AC18823" s="9"/>
      <c r="AD18823" s="9"/>
      <c r="AE18823" s="9"/>
      <c r="AF18823" s="9"/>
      <c r="AG18823" s="10"/>
    </row>
    <row r="18824" spans="1:33">
      <c r="A18824" s="9"/>
      <c r="B18824" s="9"/>
      <c r="C18824" s="9"/>
      <c r="D18824" s="9"/>
      <c r="E18824" s="9"/>
      <c r="F18824" s="9"/>
      <c r="G18824" s="9"/>
      <c r="H18824" s="9"/>
      <c r="I18824" s="9"/>
      <c r="J18824" s="9"/>
      <c r="K18824" s="9"/>
      <c r="L18824" s="9"/>
      <c r="M18824" s="9"/>
      <c r="N18824" s="9"/>
      <c r="O18824" s="9"/>
      <c r="P18824" s="9"/>
      <c r="Q18824" s="9"/>
      <c r="R18824" s="9"/>
      <c r="S18824" s="9"/>
      <c r="T18824" s="9"/>
      <c r="U18824" s="9"/>
      <c r="V18824" s="9"/>
      <c r="W18824" s="9"/>
      <c r="X18824" s="9"/>
      <c r="Y18824" s="9"/>
      <c r="Z18824" s="9"/>
      <c r="AA18824" s="9"/>
      <c r="AB18824" s="9"/>
      <c r="AC18824" s="9"/>
      <c r="AD18824" s="9"/>
      <c r="AE18824" s="9"/>
      <c r="AF18824" s="9"/>
      <c r="AG18824" s="10"/>
    </row>
    <row r="18825" spans="1:33">
      <c r="A18825" s="9"/>
      <c r="B18825" s="9"/>
      <c r="C18825" s="9"/>
      <c r="D18825" s="9"/>
      <c r="E18825" s="9"/>
      <c r="F18825" s="9"/>
      <c r="G18825" s="9"/>
      <c r="H18825" s="9"/>
      <c r="I18825" s="9"/>
      <c r="J18825" s="9"/>
      <c r="K18825" s="9"/>
      <c r="L18825" s="9"/>
      <c r="M18825" s="9"/>
      <c r="N18825" s="9"/>
      <c r="O18825" s="9"/>
      <c r="P18825" s="9"/>
      <c r="Q18825" s="9"/>
      <c r="R18825" s="9"/>
      <c r="S18825" s="9"/>
      <c r="T18825" s="9"/>
      <c r="U18825" s="9"/>
      <c r="V18825" s="9"/>
      <c r="W18825" s="9"/>
      <c r="X18825" s="9"/>
      <c r="Y18825" s="9"/>
      <c r="Z18825" s="9"/>
      <c r="AA18825" s="9"/>
      <c r="AB18825" s="9"/>
      <c r="AC18825" s="9"/>
      <c r="AD18825" s="9"/>
      <c r="AE18825" s="9"/>
      <c r="AF18825" s="9"/>
      <c r="AG18825" s="10"/>
    </row>
    <row r="18826" spans="1:33">
      <c r="A18826" s="9"/>
      <c r="B18826" s="9"/>
      <c r="C18826" s="9"/>
      <c r="D18826" s="9"/>
      <c r="E18826" s="9"/>
      <c r="F18826" s="9"/>
      <c r="G18826" s="9"/>
      <c r="H18826" s="9"/>
      <c r="I18826" s="9"/>
      <c r="J18826" s="9"/>
      <c r="K18826" s="9"/>
      <c r="L18826" s="9"/>
      <c r="M18826" s="9"/>
      <c r="N18826" s="9"/>
      <c r="O18826" s="9"/>
      <c r="P18826" s="9"/>
      <c r="Q18826" s="9"/>
      <c r="R18826" s="9"/>
      <c r="S18826" s="9"/>
      <c r="T18826" s="9"/>
      <c r="U18826" s="9"/>
      <c r="V18826" s="9"/>
      <c r="W18826" s="9"/>
      <c r="X18826" s="9"/>
      <c r="Y18826" s="9"/>
      <c r="Z18826" s="9"/>
      <c r="AA18826" s="9"/>
      <c r="AB18826" s="9"/>
      <c r="AC18826" s="9"/>
      <c r="AD18826" s="9"/>
      <c r="AE18826" s="9"/>
      <c r="AF18826" s="9"/>
      <c r="AG18826" s="10"/>
    </row>
    <row r="18827" spans="1:33">
      <c r="A18827" s="9"/>
      <c r="B18827" s="9"/>
      <c r="C18827" s="9"/>
      <c r="D18827" s="9"/>
      <c r="E18827" s="9"/>
      <c r="F18827" s="9"/>
      <c r="G18827" s="9"/>
      <c r="H18827" s="9"/>
      <c r="I18827" s="9"/>
      <c r="J18827" s="9"/>
      <c r="K18827" s="9"/>
      <c r="L18827" s="9"/>
      <c r="M18827" s="9"/>
      <c r="N18827" s="9"/>
      <c r="O18827" s="9"/>
      <c r="P18827" s="9"/>
      <c r="Q18827" s="9"/>
      <c r="R18827" s="9"/>
      <c r="S18827" s="9"/>
      <c r="T18827" s="9"/>
      <c r="U18827" s="9"/>
      <c r="V18827" s="9"/>
      <c r="W18827" s="9"/>
      <c r="X18827" s="9"/>
      <c r="Y18827" s="9"/>
      <c r="Z18827" s="9"/>
      <c r="AA18827" s="9"/>
      <c r="AB18827" s="9"/>
      <c r="AC18827" s="9"/>
      <c r="AD18827" s="9"/>
      <c r="AE18827" s="9"/>
      <c r="AF18827" s="9"/>
      <c r="AG18827" s="10"/>
    </row>
    <row r="18828" spans="1:33">
      <c r="A18828" s="9"/>
      <c r="B18828" s="9"/>
      <c r="C18828" s="9"/>
      <c r="D18828" s="9"/>
      <c r="E18828" s="9"/>
      <c r="F18828" s="9"/>
      <c r="G18828" s="9"/>
      <c r="H18828" s="9"/>
      <c r="I18828" s="9"/>
      <c r="J18828" s="9"/>
      <c r="K18828" s="9"/>
      <c r="L18828" s="9"/>
      <c r="M18828" s="9"/>
      <c r="N18828" s="9"/>
      <c r="O18828" s="9"/>
      <c r="P18828" s="9"/>
      <c r="Q18828" s="9"/>
      <c r="R18828" s="9"/>
      <c r="S18828" s="9"/>
      <c r="T18828" s="9"/>
      <c r="U18828" s="9"/>
      <c r="V18828" s="9"/>
      <c r="W18828" s="9"/>
      <c r="X18828" s="9"/>
      <c r="Y18828" s="9"/>
      <c r="Z18828" s="9"/>
      <c r="AA18828" s="9"/>
      <c r="AB18828" s="9"/>
      <c r="AC18828" s="9"/>
      <c r="AD18828" s="9"/>
      <c r="AE18828" s="9"/>
      <c r="AF18828" s="9"/>
      <c r="AG18828" s="10"/>
    </row>
    <row r="18829" spans="1:33">
      <c r="A18829" s="9"/>
      <c r="B18829" s="9"/>
      <c r="C18829" s="9"/>
      <c r="D18829" s="9"/>
      <c r="E18829" s="9"/>
      <c r="F18829" s="9"/>
      <c r="G18829" s="9"/>
      <c r="H18829" s="9"/>
      <c r="I18829" s="9"/>
      <c r="J18829" s="9"/>
      <c r="K18829" s="9"/>
      <c r="L18829" s="9"/>
      <c r="M18829" s="9"/>
      <c r="N18829" s="9"/>
      <c r="O18829" s="9"/>
      <c r="P18829" s="9"/>
      <c r="Q18829" s="9"/>
      <c r="R18829" s="9"/>
      <c r="S18829" s="9"/>
      <c r="T18829" s="9"/>
      <c r="U18829" s="9"/>
      <c r="V18829" s="9"/>
      <c r="W18829" s="9"/>
      <c r="X18829" s="9"/>
      <c r="Y18829" s="9"/>
      <c r="Z18829" s="9"/>
      <c r="AA18829" s="9"/>
      <c r="AB18829" s="9"/>
      <c r="AC18829" s="9"/>
      <c r="AD18829" s="9"/>
      <c r="AE18829" s="9"/>
      <c r="AF18829" s="9"/>
      <c r="AG18829" s="10"/>
    </row>
    <row r="18830" spans="1:33">
      <c r="A18830" s="9"/>
      <c r="B18830" s="9"/>
      <c r="C18830" s="9"/>
      <c r="D18830" s="9"/>
      <c r="E18830" s="9"/>
      <c r="F18830" s="9"/>
      <c r="G18830" s="9"/>
      <c r="H18830" s="9"/>
      <c r="I18830" s="9"/>
      <c r="J18830" s="9"/>
      <c r="K18830" s="9"/>
      <c r="L18830" s="9"/>
      <c r="M18830" s="9"/>
      <c r="N18830" s="9"/>
      <c r="O18830" s="9"/>
      <c r="P18830" s="9"/>
      <c r="Q18830" s="9"/>
      <c r="R18830" s="9"/>
      <c r="S18830" s="9"/>
      <c r="T18830" s="9"/>
      <c r="U18830" s="9"/>
      <c r="V18830" s="9"/>
      <c r="W18830" s="9"/>
      <c r="X18830" s="9"/>
      <c r="Y18830" s="9"/>
      <c r="Z18830" s="9"/>
      <c r="AA18830" s="9"/>
      <c r="AB18830" s="9"/>
      <c r="AC18830" s="9"/>
      <c r="AD18830" s="9"/>
      <c r="AE18830" s="9"/>
      <c r="AF18830" s="9"/>
      <c r="AG18830" s="10"/>
    </row>
    <row r="18831" spans="1:33">
      <c r="A18831" s="9"/>
      <c r="B18831" s="9"/>
      <c r="C18831" s="9"/>
      <c r="D18831" s="9"/>
      <c r="E18831" s="9"/>
      <c r="F18831" s="9"/>
      <c r="G18831" s="9"/>
      <c r="H18831" s="9"/>
      <c r="I18831" s="9"/>
      <c r="J18831" s="9"/>
      <c r="K18831" s="9"/>
      <c r="L18831" s="9"/>
      <c r="M18831" s="9"/>
      <c r="N18831" s="9"/>
      <c r="O18831" s="9"/>
      <c r="P18831" s="9"/>
      <c r="Q18831" s="9"/>
      <c r="R18831" s="9"/>
      <c r="S18831" s="9"/>
      <c r="T18831" s="9"/>
      <c r="U18831" s="9"/>
      <c r="V18831" s="9"/>
      <c r="W18831" s="9"/>
      <c r="X18831" s="9"/>
      <c r="Y18831" s="9"/>
      <c r="Z18831" s="9"/>
      <c r="AA18831" s="9"/>
      <c r="AB18831" s="9"/>
      <c r="AC18831" s="9"/>
      <c r="AD18831" s="9"/>
      <c r="AE18831" s="9"/>
      <c r="AF18831" s="9"/>
      <c r="AG18831" s="10"/>
    </row>
    <row r="18832" spans="1:33">
      <c r="A18832" s="9"/>
      <c r="B18832" s="9"/>
      <c r="C18832" s="9"/>
      <c r="D18832" s="9"/>
      <c r="E18832" s="9"/>
      <c r="F18832" s="9"/>
      <c r="G18832" s="9"/>
      <c r="H18832" s="9"/>
      <c r="I18832" s="9"/>
      <c r="J18832" s="9"/>
      <c r="K18832" s="9"/>
      <c r="L18832" s="9"/>
      <c r="M18832" s="9"/>
      <c r="N18832" s="9"/>
      <c r="O18832" s="9"/>
      <c r="P18832" s="9"/>
      <c r="Q18832" s="9"/>
      <c r="R18832" s="9"/>
      <c r="S18832" s="9"/>
      <c r="T18832" s="9"/>
      <c r="U18832" s="9"/>
      <c r="V18832" s="9"/>
      <c r="W18832" s="9"/>
      <c r="X18832" s="9"/>
      <c r="Y18832" s="9"/>
      <c r="Z18832" s="9"/>
      <c r="AA18832" s="9"/>
      <c r="AB18832" s="9"/>
      <c r="AC18832" s="9"/>
      <c r="AD18832" s="9"/>
      <c r="AE18832" s="9"/>
      <c r="AF18832" s="9"/>
      <c r="AG18832" s="10"/>
    </row>
    <row r="18833" spans="1:33">
      <c r="A18833" s="9"/>
      <c r="B18833" s="9"/>
      <c r="C18833" s="9"/>
      <c r="D18833" s="9"/>
      <c r="E18833" s="9"/>
      <c r="F18833" s="9"/>
      <c r="G18833" s="9"/>
      <c r="H18833" s="9"/>
      <c r="I18833" s="9"/>
      <c r="J18833" s="9"/>
      <c r="K18833" s="9"/>
      <c r="L18833" s="9"/>
      <c r="M18833" s="9"/>
      <c r="N18833" s="9"/>
      <c r="O18833" s="9"/>
      <c r="P18833" s="9"/>
      <c r="Q18833" s="9"/>
      <c r="R18833" s="9"/>
      <c r="S18833" s="9"/>
      <c r="T18833" s="9"/>
      <c r="U18833" s="9"/>
      <c r="V18833" s="9"/>
      <c r="W18833" s="9"/>
      <c r="X18833" s="9"/>
      <c r="Y18833" s="9"/>
      <c r="Z18833" s="9"/>
      <c r="AA18833" s="9"/>
      <c r="AB18833" s="9"/>
      <c r="AC18833" s="9"/>
      <c r="AD18833" s="9"/>
      <c r="AE18833" s="9"/>
      <c r="AF18833" s="9"/>
      <c r="AG18833" s="10"/>
    </row>
    <row r="18834" spans="1:33">
      <c r="A18834" s="9"/>
      <c r="B18834" s="9"/>
      <c r="C18834" s="9"/>
      <c r="D18834" s="9"/>
      <c r="E18834" s="9"/>
      <c r="F18834" s="9"/>
      <c r="G18834" s="9"/>
      <c r="H18834" s="9"/>
      <c r="I18834" s="9"/>
      <c r="J18834" s="9"/>
      <c r="K18834" s="9"/>
      <c r="L18834" s="9"/>
      <c r="M18834" s="9"/>
      <c r="N18834" s="9"/>
      <c r="O18834" s="9"/>
      <c r="P18834" s="9"/>
      <c r="Q18834" s="9"/>
      <c r="R18834" s="9"/>
      <c r="S18834" s="9"/>
      <c r="T18834" s="9"/>
      <c r="U18834" s="9"/>
      <c r="V18834" s="9"/>
      <c r="W18834" s="9"/>
      <c r="X18834" s="9"/>
      <c r="Y18834" s="9"/>
      <c r="Z18834" s="9"/>
      <c r="AA18834" s="9"/>
      <c r="AB18834" s="9"/>
      <c r="AC18834" s="9"/>
      <c r="AD18834" s="9"/>
      <c r="AE18834" s="9"/>
      <c r="AF18834" s="9"/>
      <c r="AG18834" s="10"/>
    </row>
    <row r="18835" spans="1:33">
      <c r="A18835" s="9"/>
      <c r="B18835" s="9"/>
      <c r="C18835" s="9"/>
      <c r="D18835" s="9"/>
      <c r="E18835" s="9"/>
      <c r="F18835" s="9"/>
      <c r="G18835" s="9"/>
      <c r="H18835" s="9"/>
      <c r="I18835" s="9"/>
      <c r="J18835" s="9"/>
      <c r="K18835" s="9"/>
      <c r="L18835" s="9"/>
      <c r="M18835" s="9"/>
      <c r="N18835" s="9"/>
      <c r="O18835" s="9"/>
      <c r="P18835" s="9"/>
      <c r="Q18835" s="9"/>
      <c r="R18835" s="9"/>
      <c r="S18835" s="9"/>
      <c r="T18835" s="9"/>
      <c r="U18835" s="9"/>
      <c r="V18835" s="9"/>
      <c r="W18835" s="9"/>
      <c r="X18835" s="9"/>
      <c r="Y18835" s="9"/>
      <c r="Z18835" s="9"/>
      <c r="AA18835" s="9"/>
      <c r="AB18835" s="9"/>
      <c r="AC18835" s="9"/>
      <c r="AD18835" s="9"/>
      <c r="AE18835" s="9"/>
      <c r="AF18835" s="9"/>
      <c r="AG18835" s="10"/>
    </row>
    <row r="18836" spans="1:33">
      <c r="A18836" s="9"/>
      <c r="B18836" s="9"/>
      <c r="C18836" s="9"/>
      <c r="D18836" s="9"/>
      <c r="E18836" s="9"/>
      <c r="F18836" s="9"/>
      <c r="G18836" s="9"/>
      <c r="H18836" s="9"/>
      <c r="I18836" s="9"/>
      <c r="J18836" s="9"/>
      <c r="K18836" s="9"/>
      <c r="L18836" s="9"/>
      <c r="M18836" s="9"/>
      <c r="N18836" s="9"/>
      <c r="O18836" s="9"/>
      <c r="P18836" s="9"/>
      <c r="Q18836" s="9"/>
      <c r="R18836" s="9"/>
      <c r="S18836" s="9"/>
      <c r="T18836" s="9"/>
      <c r="U18836" s="9"/>
      <c r="V18836" s="9"/>
      <c r="W18836" s="9"/>
      <c r="X18836" s="9"/>
      <c r="Y18836" s="9"/>
      <c r="Z18836" s="9"/>
      <c r="AA18836" s="9"/>
      <c r="AB18836" s="9"/>
      <c r="AC18836" s="9"/>
      <c r="AD18836" s="9"/>
      <c r="AE18836" s="9"/>
      <c r="AF18836" s="9"/>
      <c r="AG18836" s="10"/>
    </row>
    <row r="18837" spans="1:33">
      <c r="A18837" s="9"/>
      <c r="B18837" s="9"/>
      <c r="C18837" s="9"/>
      <c r="D18837" s="9"/>
      <c r="E18837" s="9"/>
      <c r="F18837" s="9"/>
      <c r="G18837" s="9"/>
      <c r="H18837" s="9"/>
      <c r="I18837" s="9"/>
      <c r="J18837" s="9"/>
      <c r="K18837" s="9"/>
      <c r="L18837" s="9"/>
      <c r="M18837" s="9"/>
      <c r="N18837" s="9"/>
      <c r="O18837" s="9"/>
      <c r="P18837" s="9"/>
      <c r="Q18837" s="9"/>
      <c r="R18837" s="9"/>
      <c r="S18837" s="9"/>
      <c r="T18837" s="9"/>
      <c r="U18837" s="9"/>
      <c r="V18837" s="9"/>
      <c r="W18837" s="9"/>
      <c r="X18837" s="9"/>
      <c r="Y18837" s="9"/>
      <c r="Z18837" s="9"/>
      <c r="AA18837" s="9"/>
      <c r="AB18837" s="9"/>
      <c r="AC18837" s="9"/>
      <c r="AD18837" s="9"/>
      <c r="AE18837" s="9"/>
      <c r="AF18837" s="9"/>
      <c r="AG18837" s="10"/>
    </row>
    <row r="18838" spans="1:33">
      <c r="A18838" s="9"/>
      <c r="B18838" s="9"/>
      <c r="C18838" s="9"/>
      <c r="D18838" s="9"/>
      <c r="E18838" s="9"/>
      <c r="F18838" s="9"/>
      <c r="G18838" s="9"/>
      <c r="H18838" s="9"/>
      <c r="I18838" s="9"/>
      <c r="J18838" s="9"/>
      <c r="K18838" s="9"/>
      <c r="L18838" s="9"/>
      <c r="M18838" s="9"/>
      <c r="N18838" s="9"/>
      <c r="O18838" s="9"/>
      <c r="P18838" s="9"/>
      <c r="Q18838" s="9"/>
      <c r="R18838" s="9"/>
      <c r="S18838" s="9"/>
      <c r="T18838" s="9"/>
      <c r="U18838" s="9"/>
      <c r="V18838" s="9"/>
      <c r="W18838" s="9"/>
      <c r="X18838" s="9"/>
      <c r="Y18838" s="9"/>
      <c r="Z18838" s="9"/>
      <c r="AA18838" s="9"/>
      <c r="AB18838" s="9"/>
      <c r="AC18838" s="9"/>
      <c r="AD18838" s="9"/>
      <c r="AE18838" s="9"/>
      <c r="AF18838" s="9"/>
      <c r="AG18838" s="10"/>
    </row>
    <row r="18839" spans="1:33">
      <c r="A18839" s="9"/>
      <c r="B18839" s="9"/>
      <c r="C18839" s="9"/>
      <c r="D18839" s="9"/>
      <c r="E18839" s="9"/>
      <c r="F18839" s="9"/>
      <c r="G18839" s="9"/>
      <c r="H18839" s="9"/>
      <c r="I18839" s="9"/>
      <c r="J18839" s="9"/>
      <c r="K18839" s="9"/>
      <c r="L18839" s="9"/>
      <c r="M18839" s="9"/>
      <c r="N18839" s="9"/>
      <c r="O18839" s="9"/>
      <c r="P18839" s="9"/>
      <c r="Q18839" s="9"/>
      <c r="R18839" s="9"/>
      <c r="S18839" s="9"/>
      <c r="T18839" s="9"/>
      <c r="U18839" s="9"/>
      <c r="V18839" s="9"/>
      <c r="W18839" s="9"/>
      <c r="X18839" s="9"/>
      <c r="Y18839" s="9"/>
      <c r="Z18839" s="9"/>
      <c r="AA18839" s="9"/>
      <c r="AB18839" s="9"/>
      <c r="AC18839" s="9"/>
      <c r="AD18839" s="9"/>
      <c r="AE18839" s="9"/>
      <c r="AF18839" s="9"/>
      <c r="AG18839" s="10"/>
    </row>
    <row r="18840" spans="1:33">
      <c r="A18840" s="9"/>
      <c r="B18840" s="9"/>
      <c r="C18840" s="9"/>
      <c r="D18840" s="9"/>
      <c r="E18840" s="9"/>
      <c r="F18840" s="9"/>
      <c r="G18840" s="9"/>
      <c r="H18840" s="9"/>
      <c r="I18840" s="9"/>
      <c r="J18840" s="9"/>
      <c r="K18840" s="9"/>
      <c r="L18840" s="9"/>
      <c r="M18840" s="9"/>
      <c r="N18840" s="9"/>
      <c r="O18840" s="9"/>
      <c r="P18840" s="9"/>
      <c r="Q18840" s="9"/>
      <c r="R18840" s="9"/>
      <c r="S18840" s="9"/>
      <c r="T18840" s="9"/>
      <c r="U18840" s="9"/>
      <c r="V18840" s="9"/>
      <c r="W18840" s="9"/>
      <c r="X18840" s="9"/>
      <c r="Y18840" s="9"/>
      <c r="Z18840" s="9"/>
      <c r="AA18840" s="9"/>
      <c r="AB18840" s="9"/>
      <c r="AC18840" s="9"/>
      <c r="AD18840" s="9"/>
      <c r="AE18840" s="9"/>
      <c r="AF18840" s="9"/>
      <c r="AG18840" s="10"/>
    </row>
    <row r="18841" spans="1:33">
      <c r="A18841" s="9"/>
      <c r="B18841" s="9"/>
      <c r="C18841" s="9"/>
      <c r="D18841" s="9"/>
      <c r="E18841" s="9"/>
      <c r="F18841" s="9"/>
      <c r="G18841" s="9"/>
      <c r="H18841" s="9"/>
      <c r="I18841" s="9"/>
      <c r="J18841" s="9"/>
      <c r="K18841" s="9"/>
      <c r="L18841" s="9"/>
      <c r="M18841" s="9"/>
      <c r="N18841" s="9"/>
      <c r="O18841" s="9"/>
      <c r="P18841" s="9"/>
      <c r="Q18841" s="9"/>
      <c r="R18841" s="9"/>
      <c r="S18841" s="9"/>
      <c r="T18841" s="9"/>
      <c r="U18841" s="9"/>
      <c r="V18841" s="9"/>
      <c r="W18841" s="9"/>
      <c r="X18841" s="9"/>
      <c r="Y18841" s="9"/>
      <c r="Z18841" s="9"/>
      <c r="AA18841" s="9"/>
      <c r="AB18841" s="9"/>
      <c r="AC18841" s="9"/>
      <c r="AD18841" s="9"/>
      <c r="AE18841" s="9"/>
      <c r="AF18841" s="9"/>
      <c r="AG18841" s="10"/>
    </row>
    <row r="18842" spans="1:33">
      <c r="A18842" s="9"/>
      <c r="B18842" s="9"/>
      <c r="C18842" s="9"/>
      <c r="D18842" s="9"/>
      <c r="E18842" s="9"/>
      <c r="F18842" s="9"/>
      <c r="G18842" s="9"/>
      <c r="H18842" s="9"/>
      <c r="I18842" s="9"/>
      <c r="J18842" s="9"/>
      <c r="K18842" s="9"/>
      <c r="L18842" s="9"/>
      <c r="M18842" s="9"/>
      <c r="N18842" s="9"/>
      <c r="O18842" s="9"/>
      <c r="P18842" s="9"/>
      <c r="Q18842" s="9"/>
      <c r="R18842" s="9"/>
      <c r="S18842" s="9"/>
      <c r="T18842" s="9"/>
      <c r="U18842" s="9"/>
      <c r="V18842" s="9"/>
      <c r="W18842" s="9"/>
      <c r="X18842" s="9"/>
      <c r="Y18842" s="9"/>
      <c r="Z18842" s="9"/>
      <c r="AA18842" s="9"/>
      <c r="AB18842" s="9"/>
      <c r="AC18842" s="9"/>
      <c r="AD18842" s="9"/>
      <c r="AE18842" s="9"/>
      <c r="AF18842" s="9"/>
      <c r="AG18842" s="10"/>
    </row>
    <row r="18843" spans="1:33">
      <c r="A18843" s="9"/>
      <c r="B18843" s="9"/>
      <c r="C18843" s="9"/>
      <c r="D18843" s="9"/>
      <c r="E18843" s="9"/>
      <c r="F18843" s="9"/>
      <c r="G18843" s="9"/>
      <c r="H18843" s="9"/>
      <c r="I18843" s="9"/>
      <c r="J18843" s="9"/>
      <c r="K18843" s="9"/>
      <c r="L18843" s="9"/>
      <c r="M18843" s="9"/>
      <c r="N18843" s="9"/>
      <c r="O18843" s="9"/>
      <c r="P18843" s="9"/>
      <c r="Q18843" s="9"/>
      <c r="R18843" s="9"/>
      <c r="S18843" s="9"/>
      <c r="T18843" s="9"/>
      <c r="U18843" s="9"/>
      <c r="V18843" s="9"/>
      <c r="W18843" s="9"/>
      <c r="X18843" s="9"/>
      <c r="Y18843" s="9"/>
      <c r="Z18843" s="9"/>
      <c r="AA18843" s="9"/>
      <c r="AB18843" s="9"/>
      <c r="AC18843" s="9"/>
      <c r="AD18843" s="9"/>
      <c r="AE18843" s="9"/>
      <c r="AF18843" s="9"/>
      <c r="AG18843" s="10"/>
    </row>
    <row r="18844" spans="1:33">
      <c r="A18844" s="9"/>
      <c r="B18844" s="9"/>
      <c r="C18844" s="9"/>
      <c r="D18844" s="9"/>
      <c r="E18844" s="9"/>
      <c r="F18844" s="9"/>
      <c r="G18844" s="9"/>
      <c r="H18844" s="9"/>
      <c r="I18844" s="9"/>
      <c r="J18844" s="9"/>
      <c r="K18844" s="9"/>
      <c r="L18844" s="9"/>
      <c r="M18844" s="9"/>
      <c r="N18844" s="9"/>
      <c r="O18844" s="9"/>
      <c r="P18844" s="9"/>
      <c r="Q18844" s="9"/>
      <c r="R18844" s="9"/>
      <c r="S18844" s="9"/>
      <c r="T18844" s="9"/>
      <c r="U18844" s="9"/>
      <c r="V18844" s="9"/>
      <c r="W18844" s="9"/>
      <c r="X18844" s="9"/>
      <c r="Y18844" s="9"/>
      <c r="Z18844" s="9"/>
      <c r="AA18844" s="9"/>
      <c r="AB18844" s="9"/>
      <c r="AC18844" s="9"/>
      <c r="AD18844" s="9"/>
      <c r="AE18844" s="9"/>
      <c r="AF18844" s="9"/>
      <c r="AG18844" s="10"/>
    </row>
    <row r="18845" spans="1:33">
      <c r="A18845" s="9"/>
      <c r="B18845" s="9"/>
      <c r="C18845" s="9"/>
      <c r="D18845" s="9"/>
      <c r="E18845" s="9"/>
      <c r="F18845" s="9"/>
      <c r="G18845" s="9"/>
      <c r="H18845" s="9"/>
      <c r="I18845" s="9"/>
      <c r="J18845" s="9"/>
      <c r="K18845" s="9"/>
      <c r="L18845" s="9"/>
      <c r="M18845" s="9"/>
      <c r="N18845" s="9"/>
      <c r="O18845" s="9"/>
      <c r="P18845" s="9"/>
      <c r="Q18845" s="9"/>
      <c r="R18845" s="9"/>
      <c r="S18845" s="9"/>
      <c r="T18845" s="9"/>
      <c r="U18845" s="9"/>
      <c r="V18845" s="9"/>
      <c r="W18845" s="9"/>
      <c r="X18845" s="9"/>
      <c r="Y18845" s="9"/>
      <c r="Z18845" s="9"/>
      <c r="AA18845" s="9"/>
      <c r="AB18845" s="9"/>
      <c r="AC18845" s="9"/>
      <c r="AD18845" s="9"/>
      <c r="AE18845" s="9"/>
      <c r="AF18845" s="9"/>
      <c r="AG18845" s="10"/>
    </row>
    <row r="18846" spans="1:33">
      <c r="A18846" s="9"/>
      <c r="B18846" s="9"/>
      <c r="C18846" s="9"/>
      <c r="D18846" s="9"/>
      <c r="E18846" s="9"/>
      <c r="F18846" s="9"/>
      <c r="G18846" s="9"/>
      <c r="H18846" s="9"/>
      <c r="I18846" s="9"/>
      <c r="J18846" s="9"/>
      <c r="K18846" s="9"/>
      <c r="L18846" s="9"/>
      <c r="M18846" s="9"/>
      <c r="N18846" s="9"/>
      <c r="O18846" s="9"/>
      <c r="P18846" s="9"/>
      <c r="Q18846" s="9"/>
      <c r="R18846" s="9"/>
      <c r="S18846" s="9"/>
      <c r="T18846" s="9"/>
      <c r="U18846" s="9"/>
      <c r="V18846" s="9"/>
      <c r="W18846" s="9"/>
      <c r="X18846" s="9"/>
      <c r="Y18846" s="9"/>
      <c r="Z18846" s="9"/>
      <c r="AA18846" s="9"/>
      <c r="AB18846" s="9"/>
      <c r="AC18846" s="9"/>
      <c r="AD18846" s="9"/>
      <c r="AE18846" s="9"/>
      <c r="AF18846" s="9"/>
      <c r="AG18846" s="10"/>
    </row>
    <row r="18847" spans="1:33">
      <c r="A18847" s="9"/>
      <c r="B18847" s="9"/>
      <c r="C18847" s="9"/>
      <c r="D18847" s="9"/>
      <c r="E18847" s="9"/>
      <c r="F18847" s="9"/>
      <c r="G18847" s="9"/>
      <c r="H18847" s="9"/>
      <c r="I18847" s="9"/>
      <c r="J18847" s="9"/>
      <c r="K18847" s="9"/>
      <c r="L18847" s="9"/>
      <c r="M18847" s="9"/>
      <c r="N18847" s="9"/>
      <c r="O18847" s="9"/>
      <c r="P18847" s="9"/>
      <c r="Q18847" s="9"/>
      <c r="R18847" s="9"/>
      <c r="S18847" s="9"/>
      <c r="T18847" s="9"/>
      <c r="U18847" s="9"/>
      <c r="V18847" s="9"/>
      <c r="W18847" s="9"/>
      <c r="X18847" s="9"/>
      <c r="Y18847" s="9"/>
      <c r="Z18847" s="9"/>
      <c r="AA18847" s="9"/>
      <c r="AB18847" s="9"/>
      <c r="AC18847" s="9"/>
      <c r="AD18847" s="9"/>
      <c r="AE18847" s="9"/>
      <c r="AF18847" s="9"/>
      <c r="AG18847" s="10"/>
    </row>
    <row r="18848" spans="1:33">
      <c r="A18848" s="9"/>
      <c r="B18848" s="9"/>
      <c r="C18848" s="9"/>
      <c r="D18848" s="9"/>
      <c r="E18848" s="9"/>
      <c r="F18848" s="9"/>
      <c r="G18848" s="9"/>
      <c r="H18848" s="9"/>
      <c r="I18848" s="9"/>
      <c r="J18848" s="9"/>
      <c r="K18848" s="9"/>
      <c r="L18848" s="9"/>
      <c r="M18848" s="9"/>
      <c r="N18848" s="9"/>
      <c r="O18848" s="9"/>
      <c r="P18848" s="9"/>
      <c r="Q18848" s="9"/>
      <c r="R18848" s="9"/>
      <c r="S18848" s="9"/>
      <c r="T18848" s="9"/>
      <c r="U18848" s="9"/>
      <c r="V18848" s="9"/>
      <c r="W18848" s="9"/>
      <c r="X18848" s="9"/>
      <c r="Y18848" s="9"/>
      <c r="Z18848" s="9"/>
      <c r="AA18848" s="9"/>
      <c r="AB18848" s="9"/>
      <c r="AC18848" s="9"/>
      <c r="AD18848" s="9"/>
      <c r="AE18848" s="9"/>
      <c r="AF18848" s="9"/>
      <c r="AG18848" s="10"/>
    </row>
    <row r="18849" spans="1:33">
      <c r="A18849" s="9"/>
      <c r="B18849" s="9"/>
      <c r="C18849" s="9"/>
      <c r="D18849" s="9"/>
      <c r="E18849" s="9"/>
      <c r="F18849" s="9"/>
      <c r="G18849" s="9"/>
      <c r="H18849" s="9"/>
      <c r="I18849" s="9"/>
      <c r="J18849" s="9"/>
      <c r="K18849" s="9"/>
      <c r="L18849" s="9"/>
      <c r="M18849" s="9"/>
      <c r="N18849" s="9"/>
      <c r="O18849" s="9"/>
      <c r="P18849" s="9"/>
      <c r="Q18849" s="9"/>
      <c r="R18849" s="9"/>
      <c r="S18849" s="9"/>
      <c r="T18849" s="9"/>
      <c r="U18849" s="9"/>
      <c r="V18849" s="9"/>
      <c r="W18849" s="9"/>
      <c r="X18849" s="9"/>
      <c r="Y18849" s="9"/>
      <c r="Z18849" s="9"/>
      <c r="AA18849" s="9"/>
      <c r="AB18849" s="9"/>
      <c r="AC18849" s="9"/>
      <c r="AD18849" s="9"/>
      <c r="AE18849" s="9"/>
      <c r="AF18849" s="9"/>
      <c r="AG18849" s="10"/>
    </row>
    <row r="18850" spans="1:33">
      <c r="A18850" s="9"/>
      <c r="B18850" s="9"/>
      <c r="C18850" s="9"/>
      <c r="D18850" s="9"/>
      <c r="E18850" s="9"/>
      <c r="F18850" s="9"/>
      <c r="G18850" s="9"/>
      <c r="H18850" s="9"/>
      <c r="I18850" s="9"/>
      <c r="J18850" s="9"/>
      <c r="K18850" s="9"/>
      <c r="L18850" s="9"/>
      <c r="M18850" s="9"/>
      <c r="N18850" s="9"/>
      <c r="O18850" s="9"/>
      <c r="P18850" s="9"/>
      <c r="Q18850" s="9"/>
      <c r="R18850" s="9"/>
      <c r="S18850" s="9"/>
      <c r="T18850" s="9"/>
      <c r="U18850" s="9"/>
      <c r="V18850" s="9"/>
      <c r="W18850" s="9"/>
      <c r="X18850" s="9"/>
      <c r="Y18850" s="9"/>
      <c r="Z18850" s="9"/>
      <c r="AA18850" s="9"/>
      <c r="AB18850" s="9"/>
      <c r="AC18850" s="9"/>
      <c r="AD18850" s="9"/>
      <c r="AE18850" s="9"/>
      <c r="AF18850" s="9"/>
      <c r="AG18850" s="10"/>
    </row>
    <row r="18851" spans="1:33">
      <c r="A18851" s="9"/>
      <c r="B18851" s="9"/>
      <c r="C18851" s="9"/>
      <c r="D18851" s="9"/>
      <c r="E18851" s="9"/>
      <c r="F18851" s="9"/>
      <c r="G18851" s="9"/>
      <c r="H18851" s="9"/>
      <c r="I18851" s="9"/>
      <c r="J18851" s="9"/>
      <c r="K18851" s="9"/>
      <c r="L18851" s="9"/>
      <c r="M18851" s="9"/>
      <c r="N18851" s="9"/>
      <c r="O18851" s="9"/>
      <c r="P18851" s="9"/>
      <c r="Q18851" s="9"/>
      <c r="R18851" s="9"/>
      <c r="S18851" s="9"/>
      <c r="T18851" s="9"/>
      <c r="U18851" s="9"/>
      <c r="V18851" s="9"/>
      <c r="W18851" s="9"/>
      <c r="X18851" s="9"/>
      <c r="Y18851" s="9"/>
      <c r="Z18851" s="9"/>
      <c r="AA18851" s="9"/>
      <c r="AB18851" s="9"/>
      <c r="AC18851" s="9"/>
      <c r="AD18851" s="9"/>
      <c r="AE18851" s="9"/>
      <c r="AF18851" s="9"/>
      <c r="AG18851" s="10"/>
    </row>
    <row r="18852" spans="1:33">
      <c r="A18852" s="9"/>
      <c r="B18852" s="9"/>
      <c r="C18852" s="9"/>
      <c r="D18852" s="9"/>
      <c r="E18852" s="9"/>
      <c r="F18852" s="9"/>
      <c r="G18852" s="9"/>
      <c r="H18852" s="9"/>
      <c r="I18852" s="9"/>
      <c r="J18852" s="9"/>
      <c r="K18852" s="9"/>
      <c r="L18852" s="9"/>
      <c r="M18852" s="9"/>
      <c r="N18852" s="9"/>
      <c r="O18852" s="9"/>
      <c r="P18852" s="9"/>
      <c r="Q18852" s="9"/>
      <c r="R18852" s="9"/>
      <c r="S18852" s="9"/>
      <c r="T18852" s="9"/>
      <c r="U18852" s="9"/>
      <c r="V18852" s="9"/>
      <c r="W18852" s="9"/>
      <c r="X18852" s="9"/>
      <c r="Y18852" s="9"/>
      <c r="Z18852" s="9"/>
      <c r="AA18852" s="9"/>
      <c r="AB18852" s="9"/>
      <c r="AC18852" s="9"/>
      <c r="AD18852" s="9"/>
      <c r="AE18852" s="9"/>
      <c r="AF18852" s="9"/>
      <c r="AG18852" s="10"/>
    </row>
    <row r="18853" spans="1:33">
      <c r="A18853" s="9"/>
      <c r="B18853" s="9"/>
      <c r="C18853" s="9"/>
      <c r="D18853" s="9"/>
      <c r="E18853" s="9"/>
      <c r="F18853" s="9"/>
      <c r="G18853" s="9"/>
      <c r="H18853" s="9"/>
      <c r="I18853" s="9"/>
      <c r="J18853" s="9"/>
      <c r="K18853" s="9"/>
      <c r="L18853" s="9"/>
      <c r="M18853" s="9"/>
      <c r="N18853" s="9"/>
      <c r="O18853" s="9"/>
      <c r="P18853" s="9"/>
      <c r="Q18853" s="9"/>
      <c r="R18853" s="9"/>
      <c r="S18853" s="9"/>
      <c r="T18853" s="9"/>
      <c r="U18853" s="9"/>
      <c r="V18853" s="9"/>
      <c r="W18853" s="9"/>
      <c r="X18853" s="9"/>
      <c r="Y18853" s="9"/>
      <c r="Z18853" s="9"/>
      <c r="AA18853" s="9"/>
      <c r="AB18853" s="9"/>
      <c r="AC18853" s="9"/>
      <c r="AD18853" s="9"/>
      <c r="AE18853" s="9"/>
      <c r="AF18853" s="9"/>
      <c r="AG18853" s="10"/>
    </row>
    <row r="18854" spans="1:33">
      <c r="A18854" s="9"/>
      <c r="B18854" s="9"/>
      <c r="C18854" s="9"/>
      <c r="D18854" s="9"/>
      <c r="E18854" s="9"/>
      <c r="F18854" s="9"/>
      <c r="G18854" s="9"/>
      <c r="H18854" s="9"/>
      <c r="I18854" s="9"/>
      <c r="J18854" s="9"/>
      <c r="K18854" s="9"/>
      <c r="L18854" s="9"/>
      <c r="M18854" s="9"/>
      <c r="N18854" s="9"/>
      <c r="O18854" s="9"/>
      <c r="P18854" s="9"/>
      <c r="Q18854" s="9"/>
      <c r="R18854" s="9"/>
      <c r="S18854" s="9"/>
      <c r="T18854" s="9"/>
      <c r="U18854" s="9"/>
      <c r="V18854" s="9"/>
      <c r="W18854" s="9"/>
      <c r="X18854" s="9"/>
      <c r="Y18854" s="9"/>
      <c r="Z18854" s="9"/>
      <c r="AA18854" s="9"/>
      <c r="AB18854" s="9"/>
      <c r="AC18854" s="9"/>
      <c r="AD18854" s="9"/>
      <c r="AE18854" s="9"/>
      <c r="AF18854" s="9"/>
      <c r="AG18854" s="10"/>
    </row>
    <row r="18855" spans="1:33">
      <c r="A18855" s="9"/>
      <c r="B18855" s="9"/>
      <c r="C18855" s="9"/>
      <c r="D18855" s="9"/>
      <c r="E18855" s="9"/>
      <c r="F18855" s="9"/>
      <c r="G18855" s="9"/>
      <c r="H18855" s="9"/>
      <c r="I18855" s="9"/>
      <c r="J18855" s="9"/>
      <c r="K18855" s="9"/>
      <c r="L18855" s="9"/>
      <c r="M18855" s="9"/>
      <c r="N18855" s="9"/>
      <c r="O18855" s="9"/>
      <c r="P18855" s="9"/>
      <c r="Q18855" s="9"/>
      <c r="R18855" s="9"/>
      <c r="S18855" s="9"/>
      <c r="T18855" s="9"/>
      <c r="U18855" s="9"/>
      <c r="V18855" s="9"/>
      <c r="W18855" s="9"/>
      <c r="X18855" s="9"/>
      <c r="Y18855" s="9"/>
      <c r="Z18855" s="9"/>
      <c r="AA18855" s="9"/>
      <c r="AB18855" s="9"/>
      <c r="AC18855" s="9"/>
      <c r="AD18855" s="9"/>
      <c r="AE18855" s="9"/>
      <c r="AF18855" s="9"/>
      <c r="AG18855" s="10"/>
    </row>
    <row r="18856" spans="1:33">
      <c r="A18856" s="9"/>
      <c r="B18856" s="9"/>
      <c r="C18856" s="9"/>
      <c r="D18856" s="9"/>
      <c r="E18856" s="9"/>
      <c r="F18856" s="9"/>
      <c r="G18856" s="9"/>
      <c r="H18856" s="9"/>
      <c r="I18856" s="9"/>
      <c r="J18856" s="9"/>
      <c r="K18856" s="9"/>
      <c r="L18856" s="9"/>
      <c r="M18856" s="9"/>
      <c r="N18856" s="9"/>
      <c r="O18856" s="9"/>
      <c r="P18856" s="9"/>
      <c r="Q18856" s="9"/>
      <c r="R18856" s="9"/>
      <c r="S18856" s="9"/>
      <c r="T18856" s="9"/>
      <c r="U18856" s="9"/>
      <c r="V18856" s="9"/>
      <c r="W18856" s="9"/>
      <c r="X18856" s="9"/>
      <c r="Y18856" s="9"/>
      <c r="Z18856" s="9"/>
      <c r="AA18856" s="9"/>
      <c r="AB18856" s="9"/>
      <c r="AC18856" s="9"/>
      <c r="AD18856" s="9"/>
      <c r="AE18856" s="9"/>
      <c r="AF18856" s="9"/>
      <c r="AG18856" s="10"/>
    </row>
    <row r="18857" spans="1:33">
      <c r="A18857" s="9"/>
      <c r="B18857" s="9"/>
      <c r="C18857" s="9"/>
      <c r="D18857" s="9"/>
      <c r="E18857" s="9"/>
      <c r="F18857" s="9"/>
      <c r="G18857" s="9"/>
      <c r="H18857" s="9"/>
      <c r="I18857" s="9"/>
      <c r="J18857" s="9"/>
      <c r="K18857" s="9"/>
      <c r="L18857" s="9"/>
      <c r="M18857" s="9"/>
      <c r="N18857" s="9"/>
      <c r="O18857" s="9"/>
      <c r="P18857" s="9"/>
      <c r="Q18857" s="9"/>
      <c r="R18857" s="9"/>
      <c r="S18857" s="9"/>
      <c r="T18857" s="9"/>
      <c r="U18857" s="9"/>
      <c r="V18857" s="9"/>
      <c r="W18857" s="9"/>
      <c r="X18857" s="9"/>
      <c r="Y18857" s="9"/>
      <c r="Z18857" s="9"/>
      <c r="AA18857" s="9"/>
      <c r="AB18857" s="9"/>
      <c r="AC18857" s="9"/>
      <c r="AD18857" s="9"/>
      <c r="AE18857" s="9"/>
      <c r="AF18857" s="9"/>
      <c r="AG18857" s="10"/>
    </row>
    <row r="18858" spans="1:33">
      <c r="A18858" s="9"/>
      <c r="B18858" s="9"/>
      <c r="C18858" s="9"/>
      <c r="D18858" s="9"/>
      <c r="E18858" s="9"/>
      <c r="F18858" s="9"/>
      <c r="G18858" s="9"/>
      <c r="H18858" s="9"/>
      <c r="I18858" s="9"/>
      <c r="J18858" s="9"/>
      <c r="K18858" s="9"/>
      <c r="L18858" s="9"/>
      <c r="M18858" s="9"/>
      <c r="N18858" s="9"/>
      <c r="O18858" s="9"/>
      <c r="P18858" s="9"/>
      <c r="Q18858" s="9"/>
      <c r="R18858" s="9"/>
      <c r="S18858" s="9"/>
      <c r="T18858" s="9"/>
      <c r="U18858" s="9"/>
      <c r="V18858" s="9"/>
      <c r="W18858" s="9"/>
      <c r="X18858" s="9"/>
      <c r="Y18858" s="9"/>
      <c r="Z18858" s="9"/>
      <c r="AA18858" s="9"/>
      <c r="AB18858" s="9"/>
      <c r="AC18858" s="9"/>
      <c r="AD18858" s="9"/>
      <c r="AE18858" s="9"/>
      <c r="AF18858" s="9"/>
      <c r="AG18858" s="10"/>
    </row>
    <row r="18859" spans="1:33">
      <c r="A18859" s="9"/>
      <c r="B18859" s="9"/>
      <c r="C18859" s="9"/>
      <c r="D18859" s="9"/>
      <c r="E18859" s="9"/>
      <c r="F18859" s="9"/>
      <c r="G18859" s="9"/>
      <c r="H18859" s="9"/>
      <c r="I18859" s="9"/>
      <c r="J18859" s="9"/>
      <c r="K18859" s="9"/>
      <c r="L18859" s="9"/>
      <c r="M18859" s="9"/>
      <c r="N18859" s="9"/>
      <c r="O18859" s="9"/>
      <c r="P18859" s="9"/>
      <c r="Q18859" s="9"/>
      <c r="R18859" s="9"/>
      <c r="S18859" s="9"/>
      <c r="T18859" s="9"/>
      <c r="U18859" s="9"/>
      <c r="V18859" s="9"/>
      <c r="W18859" s="9"/>
      <c r="X18859" s="9"/>
      <c r="Y18859" s="9"/>
      <c r="Z18859" s="9"/>
      <c r="AA18859" s="9"/>
      <c r="AB18859" s="9"/>
      <c r="AC18859" s="9"/>
      <c r="AD18859" s="9"/>
      <c r="AE18859" s="9"/>
      <c r="AF18859" s="9"/>
      <c r="AG18859" s="10"/>
    </row>
    <row r="18860" spans="1:33">
      <c r="A18860" s="9"/>
      <c r="B18860" s="9"/>
      <c r="C18860" s="9"/>
      <c r="D18860" s="9"/>
      <c r="E18860" s="9"/>
      <c r="F18860" s="9"/>
      <c r="G18860" s="9"/>
      <c r="H18860" s="9"/>
      <c r="I18860" s="9"/>
      <c r="J18860" s="9"/>
      <c r="K18860" s="9"/>
      <c r="L18860" s="9"/>
      <c r="M18860" s="9"/>
      <c r="N18860" s="9"/>
      <c r="O18860" s="9"/>
      <c r="P18860" s="9"/>
      <c r="Q18860" s="9"/>
      <c r="R18860" s="9"/>
      <c r="S18860" s="9"/>
      <c r="T18860" s="9"/>
      <c r="U18860" s="9"/>
      <c r="V18860" s="9"/>
      <c r="W18860" s="9"/>
      <c r="X18860" s="9"/>
      <c r="Y18860" s="9"/>
      <c r="Z18860" s="9"/>
      <c r="AA18860" s="9"/>
      <c r="AB18860" s="9"/>
      <c r="AC18860" s="9"/>
      <c r="AD18860" s="9"/>
      <c r="AE18860" s="9"/>
      <c r="AF18860" s="9"/>
      <c r="AG18860" s="10"/>
    </row>
    <row r="18861" spans="1:33">
      <c r="A18861" s="9"/>
      <c r="B18861" s="9"/>
      <c r="C18861" s="9"/>
      <c r="D18861" s="9"/>
      <c r="E18861" s="9"/>
      <c r="F18861" s="9"/>
      <c r="G18861" s="9"/>
      <c r="H18861" s="9"/>
      <c r="I18861" s="9"/>
      <c r="J18861" s="9"/>
      <c r="K18861" s="9"/>
      <c r="L18861" s="9"/>
      <c r="M18861" s="9"/>
      <c r="N18861" s="9"/>
      <c r="O18861" s="9"/>
      <c r="P18861" s="9"/>
      <c r="Q18861" s="9"/>
      <c r="R18861" s="9"/>
      <c r="S18861" s="9"/>
      <c r="T18861" s="9"/>
      <c r="U18861" s="9"/>
      <c r="V18861" s="9"/>
      <c r="W18861" s="9"/>
      <c r="X18861" s="9"/>
      <c r="Y18861" s="9"/>
      <c r="Z18861" s="9"/>
      <c r="AA18861" s="9"/>
      <c r="AB18861" s="9"/>
      <c r="AC18861" s="9"/>
      <c r="AD18861" s="9"/>
      <c r="AE18861" s="9"/>
      <c r="AF18861" s="9"/>
      <c r="AG18861" s="10"/>
    </row>
    <row r="18862" spans="1:33">
      <c r="A18862" s="9"/>
      <c r="B18862" s="9"/>
      <c r="C18862" s="9"/>
      <c r="D18862" s="9"/>
      <c r="E18862" s="9"/>
      <c r="F18862" s="9"/>
      <c r="G18862" s="9"/>
      <c r="H18862" s="9"/>
      <c r="I18862" s="9"/>
      <c r="J18862" s="9"/>
      <c r="K18862" s="9"/>
      <c r="L18862" s="9"/>
      <c r="M18862" s="9"/>
      <c r="N18862" s="9"/>
      <c r="O18862" s="9"/>
      <c r="P18862" s="9"/>
      <c r="Q18862" s="9"/>
      <c r="R18862" s="9"/>
      <c r="S18862" s="9"/>
      <c r="T18862" s="9"/>
      <c r="U18862" s="9"/>
      <c r="V18862" s="9"/>
      <c r="W18862" s="9"/>
      <c r="X18862" s="9"/>
      <c r="Y18862" s="9"/>
      <c r="Z18862" s="9"/>
      <c r="AA18862" s="9"/>
      <c r="AB18862" s="9"/>
      <c r="AC18862" s="9"/>
      <c r="AD18862" s="9"/>
      <c r="AE18862" s="9"/>
      <c r="AF18862" s="9"/>
      <c r="AG18862" s="10"/>
    </row>
    <row r="18863" spans="1:33">
      <c r="A18863" s="9"/>
      <c r="B18863" s="9"/>
      <c r="C18863" s="9"/>
      <c r="D18863" s="9"/>
      <c r="E18863" s="9"/>
      <c r="F18863" s="9"/>
      <c r="G18863" s="9"/>
      <c r="H18863" s="9"/>
      <c r="I18863" s="9"/>
      <c r="J18863" s="9"/>
      <c r="K18863" s="9"/>
      <c r="L18863" s="9"/>
      <c r="M18863" s="9"/>
      <c r="N18863" s="9"/>
      <c r="O18863" s="9"/>
      <c r="P18863" s="9"/>
      <c r="Q18863" s="9"/>
      <c r="R18863" s="9"/>
      <c r="S18863" s="9"/>
      <c r="T18863" s="9"/>
      <c r="U18863" s="9"/>
      <c r="V18863" s="9"/>
      <c r="W18863" s="9"/>
      <c r="X18863" s="9"/>
      <c r="Y18863" s="9"/>
      <c r="Z18863" s="9"/>
      <c r="AA18863" s="9"/>
      <c r="AB18863" s="9"/>
      <c r="AC18863" s="9"/>
      <c r="AD18863" s="9"/>
      <c r="AE18863" s="9"/>
      <c r="AF18863" s="9"/>
      <c r="AG18863" s="10"/>
    </row>
    <row r="18864" spans="1:33">
      <c r="A18864" s="9"/>
      <c r="B18864" s="9"/>
      <c r="C18864" s="9"/>
      <c r="D18864" s="9"/>
      <c r="E18864" s="9"/>
      <c r="F18864" s="9"/>
      <c r="G18864" s="9"/>
      <c r="H18864" s="9"/>
      <c r="I18864" s="9"/>
      <c r="J18864" s="9"/>
      <c r="K18864" s="9"/>
      <c r="L18864" s="9"/>
      <c r="M18864" s="9"/>
      <c r="N18864" s="9"/>
      <c r="O18864" s="9"/>
      <c r="P18864" s="9"/>
      <c r="Q18864" s="9"/>
      <c r="R18864" s="9"/>
      <c r="S18864" s="9"/>
      <c r="T18864" s="9"/>
      <c r="U18864" s="9"/>
      <c r="V18864" s="9"/>
      <c r="W18864" s="9"/>
      <c r="X18864" s="9"/>
      <c r="Y18864" s="9"/>
      <c r="Z18864" s="9"/>
      <c r="AA18864" s="9"/>
      <c r="AB18864" s="9"/>
      <c r="AC18864" s="9"/>
      <c r="AD18864" s="9"/>
      <c r="AE18864" s="9"/>
      <c r="AF18864" s="9"/>
      <c r="AG18864" s="10"/>
    </row>
    <row r="18865" spans="1:33">
      <c r="A18865" s="9"/>
      <c r="B18865" s="9"/>
      <c r="C18865" s="9"/>
      <c r="D18865" s="9"/>
      <c r="E18865" s="9"/>
      <c r="F18865" s="9"/>
      <c r="G18865" s="9"/>
      <c r="H18865" s="9"/>
      <c r="I18865" s="9"/>
      <c r="J18865" s="9"/>
      <c r="K18865" s="9"/>
      <c r="L18865" s="9"/>
      <c r="M18865" s="9"/>
      <c r="N18865" s="9"/>
      <c r="O18865" s="9"/>
      <c r="P18865" s="9"/>
      <c r="Q18865" s="9"/>
      <c r="R18865" s="9"/>
      <c r="S18865" s="9"/>
      <c r="T18865" s="9"/>
      <c r="U18865" s="9"/>
      <c r="V18865" s="9"/>
      <c r="W18865" s="9"/>
      <c r="X18865" s="9"/>
      <c r="Y18865" s="9"/>
      <c r="Z18865" s="9"/>
      <c r="AA18865" s="9"/>
      <c r="AB18865" s="9"/>
      <c r="AC18865" s="9"/>
      <c r="AD18865" s="9"/>
      <c r="AE18865" s="9"/>
      <c r="AF18865" s="9"/>
      <c r="AG18865" s="10"/>
    </row>
    <row r="18866" spans="1:33">
      <c r="A18866" s="9"/>
      <c r="B18866" s="9"/>
      <c r="C18866" s="9"/>
      <c r="D18866" s="9"/>
      <c r="E18866" s="9"/>
      <c r="F18866" s="9"/>
      <c r="G18866" s="9"/>
      <c r="H18866" s="9"/>
      <c r="I18866" s="9"/>
      <c r="J18866" s="9"/>
      <c r="K18866" s="9"/>
      <c r="L18866" s="9"/>
      <c r="M18866" s="9"/>
      <c r="N18866" s="9"/>
      <c r="O18866" s="9"/>
      <c r="P18866" s="9"/>
      <c r="Q18866" s="9"/>
      <c r="R18866" s="9"/>
      <c r="S18866" s="9"/>
      <c r="T18866" s="9"/>
      <c r="U18866" s="9"/>
      <c r="V18866" s="9"/>
      <c r="W18866" s="9"/>
      <c r="X18866" s="9"/>
      <c r="Y18866" s="9"/>
      <c r="Z18866" s="9"/>
      <c r="AA18866" s="9"/>
      <c r="AB18866" s="9"/>
      <c r="AC18866" s="9"/>
      <c r="AD18866" s="9"/>
      <c r="AE18866" s="9"/>
      <c r="AF18866" s="9"/>
      <c r="AG18866" s="10"/>
    </row>
    <row r="18867" spans="1:33">
      <c r="A18867" s="9"/>
      <c r="B18867" s="9"/>
      <c r="C18867" s="9"/>
      <c r="D18867" s="9"/>
      <c r="E18867" s="9"/>
      <c r="F18867" s="9"/>
      <c r="G18867" s="9"/>
      <c r="H18867" s="9"/>
      <c r="I18867" s="9"/>
      <c r="J18867" s="9"/>
      <c r="K18867" s="9"/>
      <c r="L18867" s="9"/>
      <c r="M18867" s="9"/>
      <c r="N18867" s="9"/>
      <c r="O18867" s="9"/>
      <c r="P18867" s="9"/>
      <c r="Q18867" s="9"/>
      <c r="R18867" s="9"/>
      <c r="S18867" s="9"/>
      <c r="T18867" s="9"/>
      <c r="U18867" s="9"/>
      <c r="V18867" s="9"/>
      <c r="W18867" s="9"/>
      <c r="X18867" s="9"/>
      <c r="Y18867" s="9"/>
      <c r="Z18867" s="9"/>
      <c r="AA18867" s="9"/>
      <c r="AB18867" s="9"/>
      <c r="AC18867" s="9"/>
      <c r="AD18867" s="9"/>
      <c r="AE18867" s="9"/>
      <c r="AF18867" s="9"/>
      <c r="AG18867" s="10"/>
    </row>
    <row r="18868" spans="1:33">
      <c r="A18868" s="9"/>
      <c r="B18868" s="9"/>
      <c r="C18868" s="9"/>
      <c r="D18868" s="9"/>
      <c r="E18868" s="9"/>
      <c r="F18868" s="9"/>
      <c r="G18868" s="9"/>
      <c r="H18868" s="9"/>
      <c r="I18868" s="9"/>
      <c r="J18868" s="9"/>
      <c r="K18868" s="9"/>
      <c r="L18868" s="9"/>
      <c r="M18868" s="9"/>
      <c r="N18868" s="9"/>
      <c r="O18868" s="9"/>
      <c r="P18868" s="9"/>
      <c r="Q18868" s="9"/>
      <c r="R18868" s="9"/>
      <c r="S18868" s="9"/>
      <c r="T18868" s="9"/>
      <c r="U18868" s="9"/>
      <c r="V18868" s="9"/>
      <c r="W18868" s="9"/>
      <c r="X18868" s="9"/>
      <c r="Y18868" s="9"/>
      <c r="Z18868" s="9"/>
      <c r="AA18868" s="9"/>
      <c r="AB18868" s="9"/>
      <c r="AC18868" s="9"/>
      <c r="AD18868" s="9"/>
      <c r="AE18868" s="9"/>
      <c r="AF18868" s="9"/>
      <c r="AG18868" s="10"/>
    </row>
    <row r="18869" spans="1:33">
      <c r="A18869" s="9"/>
      <c r="B18869" s="9"/>
      <c r="C18869" s="9"/>
      <c r="D18869" s="9"/>
      <c r="E18869" s="9"/>
      <c r="F18869" s="9"/>
      <c r="G18869" s="9"/>
      <c r="H18869" s="9"/>
      <c r="I18869" s="9"/>
      <c r="J18869" s="9"/>
      <c r="K18869" s="9"/>
      <c r="L18869" s="9"/>
      <c r="M18869" s="9"/>
      <c r="N18869" s="9"/>
      <c r="O18869" s="9"/>
      <c r="P18869" s="9"/>
      <c r="Q18869" s="9"/>
      <c r="R18869" s="9"/>
      <c r="S18869" s="9"/>
      <c r="T18869" s="9"/>
      <c r="U18869" s="9"/>
      <c r="V18869" s="9"/>
      <c r="W18869" s="9"/>
      <c r="X18869" s="9"/>
      <c r="Y18869" s="9"/>
      <c r="Z18869" s="9"/>
      <c r="AA18869" s="9"/>
      <c r="AB18869" s="9"/>
      <c r="AC18869" s="9"/>
      <c r="AD18869" s="9"/>
      <c r="AE18869" s="9"/>
      <c r="AF18869" s="9"/>
      <c r="AG18869" s="10"/>
    </row>
    <row r="18870" spans="1:33">
      <c r="A18870" s="9"/>
      <c r="B18870" s="9"/>
      <c r="C18870" s="9"/>
      <c r="D18870" s="9"/>
      <c r="E18870" s="9"/>
      <c r="F18870" s="9"/>
      <c r="G18870" s="9"/>
      <c r="H18870" s="9"/>
      <c r="I18870" s="9"/>
      <c r="J18870" s="9"/>
      <c r="K18870" s="9"/>
      <c r="L18870" s="9"/>
      <c r="M18870" s="9"/>
      <c r="N18870" s="9"/>
      <c r="O18870" s="9"/>
      <c r="P18870" s="9"/>
      <c r="Q18870" s="9"/>
      <c r="R18870" s="9"/>
      <c r="S18870" s="9"/>
      <c r="T18870" s="9"/>
      <c r="U18870" s="9"/>
      <c r="V18870" s="9"/>
      <c r="W18870" s="9"/>
      <c r="X18870" s="9"/>
      <c r="Y18870" s="9"/>
      <c r="Z18870" s="9"/>
      <c r="AA18870" s="9"/>
      <c r="AB18870" s="9"/>
      <c r="AC18870" s="9"/>
      <c r="AD18870" s="9"/>
      <c r="AE18870" s="9"/>
      <c r="AF18870" s="9"/>
      <c r="AG18870" s="10"/>
    </row>
    <row r="18871" spans="1:33">
      <c r="A18871" s="9"/>
      <c r="B18871" s="9"/>
      <c r="C18871" s="9"/>
      <c r="D18871" s="9"/>
      <c r="E18871" s="9"/>
      <c r="F18871" s="9"/>
      <c r="G18871" s="9"/>
      <c r="H18871" s="9"/>
      <c r="I18871" s="9"/>
      <c r="J18871" s="9"/>
      <c r="K18871" s="9"/>
      <c r="L18871" s="9"/>
      <c r="M18871" s="9"/>
      <c r="N18871" s="9"/>
      <c r="O18871" s="9"/>
      <c r="P18871" s="9"/>
      <c r="Q18871" s="9"/>
      <c r="R18871" s="9"/>
      <c r="S18871" s="9"/>
      <c r="T18871" s="9"/>
      <c r="U18871" s="9"/>
      <c r="V18871" s="9"/>
      <c r="W18871" s="9"/>
      <c r="X18871" s="9"/>
      <c r="Y18871" s="9"/>
      <c r="Z18871" s="9"/>
      <c r="AA18871" s="9"/>
      <c r="AB18871" s="9"/>
      <c r="AC18871" s="9"/>
      <c r="AD18871" s="9"/>
      <c r="AE18871" s="9"/>
      <c r="AF18871" s="9"/>
      <c r="AG18871" s="10"/>
    </row>
    <row r="18872" spans="1:33">
      <c r="A18872" s="9"/>
      <c r="B18872" s="9"/>
      <c r="C18872" s="9"/>
      <c r="D18872" s="9"/>
      <c r="E18872" s="9"/>
      <c r="F18872" s="9"/>
      <c r="G18872" s="9"/>
      <c r="H18872" s="9"/>
      <c r="I18872" s="9"/>
      <c r="J18872" s="9"/>
      <c r="K18872" s="9"/>
      <c r="L18872" s="9"/>
      <c r="M18872" s="9"/>
      <c r="N18872" s="9"/>
      <c r="O18872" s="9"/>
      <c r="P18872" s="9"/>
      <c r="Q18872" s="9"/>
      <c r="R18872" s="9"/>
      <c r="S18872" s="9"/>
      <c r="T18872" s="9"/>
      <c r="U18872" s="9"/>
      <c r="V18872" s="9"/>
      <c r="W18872" s="9"/>
      <c r="X18872" s="9"/>
      <c r="Y18872" s="9"/>
      <c r="Z18872" s="9"/>
      <c r="AA18872" s="9"/>
      <c r="AB18872" s="9"/>
      <c r="AC18872" s="9"/>
      <c r="AD18872" s="9"/>
      <c r="AE18872" s="9"/>
      <c r="AF18872" s="9"/>
      <c r="AG18872" s="10"/>
    </row>
    <row r="18873" spans="1:33">
      <c r="A18873" s="9"/>
      <c r="B18873" s="9"/>
      <c r="C18873" s="9"/>
      <c r="D18873" s="9"/>
      <c r="E18873" s="9"/>
      <c r="F18873" s="9"/>
      <c r="G18873" s="9"/>
      <c r="H18873" s="9"/>
      <c r="I18873" s="9"/>
      <c r="J18873" s="9"/>
      <c r="K18873" s="9"/>
      <c r="L18873" s="9"/>
      <c r="M18873" s="9"/>
      <c r="N18873" s="9"/>
      <c r="O18873" s="9"/>
      <c r="P18873" s="9"/>
      <c r="Q18873" s="9"/>
      <c r="R18873" s="9"/>
      <c r="S18873" s="9"/>
      <c r="T18873" s="9"/>
      <c r="U18873" s="9"/>
      <c r="V18873" s="9"/>
      <c r="W18873" s="9"/>
      <c r="X18873" s="9"/>
      <c r="Y18873" s="9"/>
      <c r="Z18873" s="9"/>
      <c r="AA18873" s="9"/>
      <c r="AB18873" s="9"/>
      <c r="AC18873" s="9"/>
      <c r="AD18873" s="9"/>
      <c r="AE18873" s="9"/>
      <c r="AF18873" s="9"/>
      <c r="AG18873" s="10"/>
    </row>
    <row r="18874" spans="1:33">
      <c r="A18874" s="9"/>
      <c r="B18874" s="9"/>
      <c r="C18874" s="9"/>
      <c r="D18874" s="9"/>
      <c r="E18874" s="9"/>
      <c r="F18874" s="9"/>
      <c r="G18874" s="9"/>
      <c r="H18874" s="9"/>
      <c r="I18874" s="9"/>
      <c r="J18874" s="9"/>
      <c r="K18874" s="9"/>
      <c r="L18874" s="9"/>
      <c r="M18874" s="9"/>
      <c r="N18874" s="9"/>
      <c r="O18874" s="9"/>
      <c r="P18874" s="9"/>
      <c r="Q18874" s="9"/>
      <c r="R18874" s="9"/>
      <c r="S18874" s="9"/>
      <c r="T18874" s="9"/>
      <c r="U18874" s="9"/>
      <c r="V18874" s="9"/>
      <c r="W18874" s="9"/>
      <c r="X18874" s="9"/>
      <c r="Y18874" s="9"/>
      <c r="Z18874" s="9"/>
      <c r="AA18874" s="9"/>
      <c r="AB18874" s="9"/>
      <c r="AC18874" s="9"/>
      <c r="AD18874" s="9"/>
      <c r="AE18874" s="9"/>
      <c r="AF18874" s="9"/>
      <c r="AG18874" s="10"/>
    </row>
    <row r="18875" spans="1:33">
      <c r="A18875" s="9"/>
      <c r="B18875" s="9"/>
      <c r="C18875" s="9"/>
      <c r="D18875" s="9"/>
      <c r="E18875" s="9"/>
      <c r="F18875" s="9"/>
      <c r="G18875" s="9"/>
      <c r="H18875" s="9"/>
      <c r="I18875" s="9"/>
      <c r="J18875" s="9"/>
      <c r="K18875" s="9"/>
      <c r="L18875" s="9"/>
      <c r="M18875" s="9"/>
      <c r="N18875" s="9"/>
      <c r="O18875" s="9"/>
      <c r="P18875" s="9"/>
      <c r="Q18875" s="9"/>
      <c r="R18875" s="9"/>
      <c r="S18875" s="9"/>
      <c r="T18875" s="9"/>
      <c r="U18875" s="9"/>
      <c r="V18875" s="9"/>
      <c r="W18875" s="9"/>
      <c r="X18875" s="9"/>
      <c r="Y18875" s="9"/>
      <c r="Z18875" s="9"/>
      <c r="AA18875" s="9"/>
      <c r="AB18875" s="9"/>
      <c r="AC18875" s="9"/>
      <c r="AD18875" s="9"/>
      <c r="AE18875" s="9"/>
      <c r="AF18875" s="9"/>
      <c r="AG18875" s="10"/>
    </row>
    <row r="18876" spans="1:33">
      <c r="A18876" s="7"/>
      <c r="B18876" s="7"/>
      <c r="C18876" s="7"/>
      <c r="D18876" s="7"/>
      <c r="E18876" s="7"/>
      <c r="F18876" s="7"/>
      <c r="G18876" s="7"/>
      <c r="H18876" s="7"/>
      <c r="I18876" s="7"/>
      <c r="J18876" s="7"/>
      <c r="K18876" s="7"/>
      <c r="L18876" s="7"/>
      <c r="M18876" s="7"/>
      <c r="N18876" s="7"/>
      <c r="O18876" s="7"/>
      <c r="P18876" s="7"/>
      <c r="Q18876" s="7"/>
      <c r="R18876" s="7"/>
      <c r="S18876" s="7"/>
      <c r="T18876" s="7"/>
      <c r="U18876" s="7"/>
      <c r="V18876" s="7"/>
      <c r="W18876" s="7"/>
      <c r="X18876" s="7"/>
      <c r="Y18876" s="7"/>
      <c r="Z18876" s="7"/>
      <c r="AA18876" s="7"/>
      <c r="AB18876" s="7"/>
      <c r="AC18876" s="7"/>
      <c r="AD18876" s="7"/>
      <c r="AE18876" s="7"/>
      <c r="AF18876" s="7"/>
      <c r="AG18876" s="10"/>
    </row>
    <row r="18877" spans="1:33">
      <c r="A18877" s="7"/>
      <c r="B18877" s="7"/>
      <c r="C18877" s="7"/>
      <c r="D18877" s="7"/>
      <c r="E18877" s="7"/>
      <c r="F18877" s="7"/>
      <c r="G18877" s="7"/>
      <c r="H18877" s="7"/>
      <c r="I18877" s="7"/>
      <c r="J18877" s="7"/>
      <c r="K18877" s="7"/>
      <c r="L18877" s="7"/>
      <c r="M18877" s="7"/>
      <c r="N18877" s="7"/>
      <c r="O18877" s="7"/>
      <c r="P18877" s="7"/>
      <c r="Q18877" s="7"/>
      <c r="R18877" s="7"/>
      <c r="S18877" s="7"/>
      <c r="T18877" s="7"/>
      <c r="U18877" s="7"/>
      <c r="V18877" s="7"/>
      <c r="W18877" s="7"/>
      <c r="X18877" s="7"/>
      <c r="Y18877" s="7"/>
      <c r="Z18877" s="7"/>
      <c r="AA18877" s="7"/>
      <c r="AB18877" s="7"/>
      <c r="AC18877" s="7"/>
      <c r="AD18877" s="7"/>
      <c r="AE18877" s="7"/>
      <c r="AF18877" s="7"/>
      <c r="AG18877" s="10"/>
    </row>
    <row r="18878" spans="1:33">
      <c r="A18878" s="7"/>
      <c r="B18878" s="7"/>
      <c r="C18878" s="7"/>
      <c r="D18878" s="7"/>
      <c r="E18878" s="7"/>
      <c r="F18878" s="7"/>
      <c r="G18878" s="7"/>
      <c r="H18878" s="7"/>
      <c r="I18878" s="7"/>
      <c r="J18878" s="7"/>
      <c r="K18878" s="7"/>
      <c r="L18878" s="7"/>
      <c r="M18878" s="7"/>
      <c r="N18878" s="7"/>
      <c r="O18878" s="7"/>
      <c r="P18878" s="7"/>
      <c r="Q18878" s="7"/>
      <c r="R18878" s="7"/>
      <c r="S18878" s="7"/>
      <c r="T18878" s="7"/>
      <c r="U18878" s="7"/>
      <c r="V18878" s="7"/>
      <c r="W18878" s="7"/>
      <c r="X18878" s="7"/>
      <c r="Y18878" s="7"/>
      <c r="Z18878" s="7"/>
      <c r="AA18878" s="7"/>
      <c r="AB18878" s="7"/>
      <c r="AC18878" s="7"/>
      <c r="AD18878" s="7"/>
      <c r="AE18878" s="7"/>
      <c r="AF18878" s="7"/>
      <c r="AG18878" s="10"/>
    </row>
    <row r="18879" spans="1:33">
      <c r="A18879" s="7"/>
      <c r="B18879" s="7"/>
      <c r="C18879" s="7"/>
      <c r="D18879" s="7"/>
      <c r="E18879" s="7"/>
      <c r="F18879" s="7"/>
      <c r="G18879" s="7"/>
      <c r="H18879" s="7"/>
      <c r="I18879" s="7"/>
      <c r="J18879" s="7"/>
      <c r="K18879" s="7"/>
      <c r="L18879" s="7"/>
      <c r="M18879" s="7"/>
      <c r="N18879" s="7"/>
      <c r="O18879" s="7"/>
      <c r="P18879" s="7"/>
      <c r="Q18879" s="7"/>
      <c r="R18879" s="7"/>
      <c r="S18879" s="7"/>
      <c r="T18879" s="7"/>
      <c r="U18879" s="7"/>
      <c r="V18879" s="7"/>
      <c r="W18879" s="7"/>
      <c r="X18879" s="7"/>
      <c r="Y18879" s="7"/>
      <c r="Z18879" s="7"/>
      <c r="AA18879" s="7"/>
      <c r="AB18879" s="7"/>
      <c r="AC18879" s="7"/>
      <c r="AD18879" s="7"/>
      <c r="AE18879" s="7"/>
      <c r="AF18879" s="7"/>
      <c r="AG18879" s="10"/>
    </row>
    <row r="18880" spans="1:33">
      <c r="A18880" s="7"/>
      <c r="B18880" s="7"/>
      <c r="C18880" s="7"/>
      <c r="D18880" s="7"/>
      <c r="E18880" s="7"/>
      <c r="F18880" s="7"/>
      <c r="G18880" s="7"/>
      <c r="H18880" s="7"/>
      <c r="I18880" s="7"/>
      <c r="J18880" s="7"/>
      <c r="K18880" s="7"/>
      <c r="L18880" s="7"/>
      <c r="M18880" s="7"/>
      <c r="N18880" s="7"/>
      <c r="O18880" s="7"/>
      <c r="P18880" s="7"/>
      <c r="Q18880" s="7"/>
      <c r="R18880" s="7"/>
      <c r="S18880" s="7"/>
      <c r="T18880" s="7"/>
      <c r="U18880" s="7"/>
      <c r="V18880" s="7"/>
      <c r="W18880" s="7"/>
      <c r="X18880" s="7"/>
      <c r="Y18880" s="7"/>
      <c r="Z18880" s="7"/>
      <c r="AA18880" s="7"/>
      <c r="AB18880" s="7"/>
      <c r="AC18880" s="7"/>
      <c r="AD18880" s="7"/>
      <c r="AE18880" s="7"/>
      <c r="AF18880" s="7"/>
      <c r="AG18880" s="10"/>
    </row>
    <row r="18881" spans="1:33">
      <c r="A18881" s="7"/>
      <c r="B18881" s="7"/>
      <c r="C18881" s="7"/>
      <c r="D18881" s="7"/>
      <c r="E18881" s="7"/>
      <c r="F18881" s="7"/>
      <c r="G18881" s="7"/>
      <c r="H18881" s="7"/>
      <c r="I18881" s="7"/>
      <c r="J18881" s="7"/>
      <c r="K18881" s="7"/>
      <c r="L18881" s="7"/>
      <c r="M18881" s="7"/>
      <c r="N18881" s="7"/>
      <c r="O18881" s="7"/>
      <c r="P18881" s="7"/>
      <c r="Q18881" s="7"/>
      <c r="R18881" s="7"/>
      <c r="S18881" s="7"/>
      <c r="T18881" s="7"/>
      <c r="U18881" s="7"/>
      <c r="V18881" s="7"/>
      <c r="W18881" s="7"/>
      <c r="X18881" s="7"/>
      <c r="Y18881" s="7"/>
      <c r="Z18881" s="7"/>
      <c r="AA18881" s="7"/>
      <c r="AB18881" s="7"/>
      <c r="AC18881" s="7"/>
      <c r="AD18881" s="7"/>
      <c r="AE18881" s="7"/>
      <c r="AF18881" s="7"/>
      <c r="AG18881" s="10"/>
    </row>
    <row r="18882" spans="1:33">
      <c r="A18882" s="7"/>
      <c r="B18882" s="7"/>
      <c r="C18882" s="7"/>
      <c r="D18882" s="7"/>
      <c r="E18882" s="7"/>
      <c r="F18882" s="7"/>
      <c r="G18882" s="7"/>
      <c r="H18882" s="7"/>
      <c r="I18882" s="7"/>
      <c r="J18882" s="7"/>
      <c r="K18882" s="7"/>
      <c r="L18882" s="7"/>
      <c r="M18882" s="7"/>
      <c r="N18882" s="7"/>
      <c r="O18882" s="7"/>
      <c r="P18882" s="7"/>
      <c r="Q18882" s="7"/>
      <c r="R18882" s="7"/>
      <c r="S18882" s="7"/>
      <c r="T18882" s="7"/>
      <c r="U18882" s="7"/>
      <c r="V18882" s="7"/>
      <c r="W18882" s="7"/>
      <c r="X18882" s="7"/>
      <c r="Y18882" s="7"/>
      <c r="Z18882" s="7"/>
      <c r="AA18882" s="7"/>
      <c r="AB18882" s="7"/>
      <c r="AC18882" s="7"/>
      <c r="AD18882" s="7"/>
      <c r="AE18882" s="7"/>
      <c r="AF18882" s="7"/>
      <c r="AG18882" s="10"/>
    </row>
    <row r="18883" spans="1:33">
      <c r="A18883" s="7"/>
      <c r="B18883" s="7"/>
      <c r="C18883" s="7"/>
      <c r="D18883" s="7"/>
      <c r="E18883" s="7"/>
      <c r="F18883" s="7"/>
      <c r="G18883" s="7"/>
      <c r="H18883" s="7"/>
      <c r="I18883" s="7"/>
      <c r="J18883" s="7"/>
      <c r="K18883" s="7"/>
      <c r="L18883" s="7"/>
      <c r="M18883" s="7"/>
      <c r="N18883" s="7"/>
      <c r="O18883" s="7"/>
      <c r="P18883" s="7"/>
      <c r="Q18883" s="7"/>
      <c r="R18883" s="7"/>
      <c r="S18883" s="7"/>
      <c r="T18883" s="7"/>
      <c r="U18883" s="7"/>
      <c r="V18883" s="7"/>
      <c r="W18883" s="7"/>
      <c r="X18883" s="7"/>
      <c r="Y18883" s="7"/>
      <c r="Z18883" s="7"/>
      <c r="AA18883" s="7"/>
      <c r="AB18883" s="7"/>
      <c r="AC18883" s="7"/>
      <c r="AD18883" s="7"/>
      <c r="AE18883" s="7"/>
      <c r="AF18883" s="7"/>
      <c r="AG18883" s="10"/>
    </row>
    <row r="18884" spans="1:33">
      <c r="A18884" s="7"/>
      <c r="B18884" s="7"/>
      <c r="C18884" s="7"/>
      <c r="D18884" s="7"/>
      <c r="E18884" s="7"/>
      <c r="F18884" s="7"/>
      <c r="G18884" s="7"/>
      <c r="H18884" s="7"/>
      <c r="I18884" s="7"/>
      <c r="J18884" s="7"/>
      <c r="K18884" s="7"/>
      <c r="L18884" s="7"/>
      <c r="M18884" s="7"/>
      <c r="N18884" s="7"/>
      <c r="O18884" s="7"/>
      <c r="P18884" s="7"/>
      <c r="Q18884" s="7"/>
      <c r="R18884" s="7"/>
      <c r="S18884" s="7"/>
      <c r="T18884" s="7"/>
      <c r="U18884" s="7"/>
      <c r="V18884" s="7"/>
      <c r="W18884" s="7"/>
      <c r="X18884" s="7"/>
      <c r="Y18884" s="7"/>
      <c r="Z18884" s="7"/>
      <c r="AA18884" s="7"/>
      <c r="AB18884" s="7"/>
      <c r="AC18884" s="7"/>
      <c r="AD18884" s="7"/>
      <c r="AE18884" s="7"/>
      <c r="AF18884" s="7"/>
      <c r="AG18884" s="10"/>
    </row>
    <row r="18885" spans="1:33">
      <c r="A18885" s="7"/>
      <c r="B18885" s="7"/>
      <c r="C18885" s="7"/>
      <c r="D18885" s="7"/>
      <c r="E18885" s="7"/>
      <c r="F18885" s="7"/>
      <c r="G18885" s="7"/>
      <c r="H18885" s="7"/>
      <c r="I18885" s="7"/>
      <c r="J18885" s="7"/>
      <c r="K18885" s="7"/>
      <c r="L18885" s="7"/>
      <c r="M18885" s="7"/>
      <c r="N18885" s="7"/>
      <c r="O18885" s="7"/>
      <c r="P18885" s="7"/>
      <c r="Q18885" s="7"/>
      <c r="R18885" s="7"/>
      <c r="S18885" s="7"/>
      <c r="T18885" s="7"/>
      <c r="U18885" s="7"/>
      <c r="V18885" s="7"/>
      <c r="W18885" s="7"/>
      <c r="X18885" s="7"/>
      <c r="Y18885" s="7"/>
      <c r="Z18885" s="7"/>
      <c r="AA18885" s="7"/>
      <c r="AB18885" s="7"/>
      <c r="AC18885" s="7"/>
      <c r="AD18885" s="7"/>
      <c r="AE18885" s="7"/>
      <c r="AF18885" s="7"/>
      <c r="AG18885" s="10"/>
    </row>
    <row r="18886" spans="1:33">
      <c r="A18886" s="7"/>
      <c r="B18886" s="7"/>
      <c r="C18886" s="7"/>
      <c r="D18886" s="7"/>
      <c r="E18886" s="7"/>
      <c r="F18886" s="7"/>
      <c r="G18886" s="7"/>
      <c r="H18886" s="7"/>
      <c r="I18886" s="7"/>
      <c r="J18886" s="7"/>
      <c r="K18886" s="7"/>
      <c r="L18886" s="7"/>
      <c r="M18886" s="7"/>
      <c r="N18886" s="7"/>
      <c r="O18886" s="7"/>
      <c r="P18886" s="7"/>
      <c r="Q18886" s="7"/>
      <c r="R18886" s="7"/>
      <c r="S18886" s="7"/>
      <c r="T18886" s="7"/>
      <c r="U18886" s="7"/>
      <c r="V18886" s="7"/>
      <c r="W18886" s="7"/>
      <c r="X18886" s="7"/>
      <c r="Y18886" s="7"/>
      <c r="Z18886" s="7"/>
      <c r="AA18886" s="7"/>
      <c r="AB18886" s="7"/>
      <c r="AC18886" s="7"/>
      <c r="AD18886" s="7"/>
      <c r="AE18886" s="7"/>
      <c r="AF18886" s="7"/>
      <c r="AG18886" s="10"/>
    </row>
    <row r="18887" spans="1:33">
      <c r="A18887" s="7"/>
      <c r="B18887" s="7"/>
      <c r="C18887" s="7"/>
      <c r="D18887" s="7"/>
      <c r="E18887" s="7"/>
      <c r="F18887" s="7"/>
      <c r="G18887" s="7"/>
      <c r="H18887" s="7"/>
      <c r="I18887" s="7"/>
      <c r="J18887" s="7"/>
      <c r="K18887" s="7"/>
      <c r="L18887" s="7"/>
      <c r="M18887" s="7"/>
      <c r="N18887" s="7"/>
      <c r="O18887" s="7"/>
      <c r="P18887" s="7"/>
      <c r="Q18887" s="7"/>
      <c r="R18887" s="7"/>
      <c r="S18887" s="7"/>
      <c r="T18887" s="7"/>
      <c r="U18887" s="7"/>
      <c r="V18887" s="7"/>
      <c r="W18887" s="7"/>
      <c r="X18887" s="7"/>
      <c r="Y18887" s="7"/>
      <c r="Z18887" s="7"/>
      <c r="AA18887" s="7"/>
      <c r="AB18887" s="7"/>
      <c r="AC18887" s="7"/>
      <c r="AD18887" s="7"/>
      <c r="AE18887" s="7"/>
      <c r="AF18887" s="7"/>
      <c r="AG18887" s="10"/>
    </row>
    <row r="18888" spans="1:33">
      <c r="A18888" s="7"/>
      <c r="B18888" s="7"/>
      <c r="C18888" s="7"/>
      <c r="D18888" s="7"/>
      <c r="E18888" s="7"/>
      <c r="F18888" s="7"/>
      <c r="G18888" s="7"/>
      <c r="H18888" s="7"/>
      <c r="I18888" s="7"/>
      <c r="J18888" s="7"/>
      <c r="K18888" s="7"/>
      <c r="L18888" s="7"/>
      <c r="M18888" s="7"/>
      <c r="N18888" s="7"/>
      <c r="O18888" s="7"/>
      <c r="P18888" s="7"/>
      <c r="Q18888" s="7"/>
      <c r="R18888" s="7"/>
      <c r="S18888" s="7"/>
      <c r="T18888" s="7"/>
      <c r="U18888" s="7"/>
      <c r="V18888" s="7"/>
      <c r="W18888" s="7"/>
      <c r="X18888" s="7"/>
      <c r="Y18888" s="7"/>
      <c r="Z18888" s="7"/>
      <c r="AA18888" s="7"/>
      <c r="AB18888" s="7"/>
      <c r="AC18888" s="7"/>
      <c r="AD18888" s="7"/>
      <c r="AE18888" s="7"/>
      <c r="AF18888" s="7"/>
      <c r="AG18888" s="10"/>
    </row>
    <row r="18889" spans="1:33">
      <c r="A18889" s="7"/>
      <c r="B18889" s="7"/>
      <c r="C18889" s="7"/>
      <c r="D18889" s="7"/>
      <c r="E18889" s="7"/>
      <c r="F18889" s="7"/>
      <c r="G18889" s="7"/>
      <c r="H18889" s="7"/>
      <c r="I18889" s="7"/>
      <c r="J18889" s="7"/>
      <c r="K18889" s="7"/>
      <c r="L18889" s="7"/>
      <c r="M18889" s="7"/>
      <c r="N18889" s="7"/>
      <c r="O18889" s="7"/>
      <c r="P18889" s="7"/>
      <c r="Q18889" s="7"/>
      <c r="R18889" s="7"/>
      <c r="S18889" s="7"/>
      <c r="T18889" s="7"/>
      <c r="U18889" s="7"/>
      <c r="V18889" s="7"/>
      <c r="W18889" s="7"/>
      <c r="X18889" s="7"/>
      <c r="Y18889" s="7"/>
      <c r="Z18889" s="7"/>
      <c r="AA18889" s="7"/>
      <c r="AB18889" s="7"/>
      <c r="AC18889" s="7"/>
      <c r="AD18889" s="7"/>
      <c r="AE18889" s="7"/>
      <c r="AF18889" s="7"/>
      <c r="AG18889" s="10"/>
    </row>
    <row r="18890" spans="1:33">
      <c r="A18890" s="7"/>
      <c r="B18890" s="7"/>
      <c r="C18890" s="7"/>
      <c r="D18890" s="7"/>
      <c r="E18890" s="7"/>
      <c r="F18890" s="7"/>
      <c r="G18890" s="7"/>
      <c r="H18890" s="7"/>
      <c r="I18890" s="7"/>
      <c r="J18890" s="7"/>
      <c r="K18890" s="7"/>
      <c r="L18890" s="7"/>
      <c r="M18890" s="7"/>
      <c r="N18890" s="7"/>
      <c r="O18890" s="7"/>
      <c r="P18890" s="7"/>
      <c r="Q18890" s="7"/>
      <c r="R18890" s="7"/>
      <c r="S18890" s="7"/>
      <c r="T18890" s="7"/>
      <c r="U18890" s="7"/>
      <c r="V18890" s="7"/>
      <c r="W18890" s="7"/>
      <c r="X18890" s="7"/>
      <c r="Y18890" s="7"/>
      <c r="Z18890" s="7"/>
      <c r="AA18890" s="7"/>
      <c r="AB18890" s="7"/>
      <c r="AC18890" s="7"/>
      <c r="AD18890" s="7"/>
      <c r="AE18890" s="7"/>
      <c r="AF18890" s="7"/>
      <c r="AG18890" s="10"/>
    </row>
    <row r="18891" spans="1:33">
      <c r="A18891" s="7"/>
      <c r="B18891" s="7"/>
      <c r="C18891" s="7"/>
      <c r="D18891" s="7"/>
      <c r="E18891" s="7"/>
      <c r="F18891" s="7"/>
      <c r="G18891" s="7"/>
      <c r="H18891" s="7"/>
      <c r="I18891" s="7"/>
      <c r="J18891" s="7"/>
      <c r="K18891" s="7"/>
      <c r="L18891" s="7"/>
      <c r="M18891" s="7"/>
      <c r="N18891" s="7"/>
      <c r="O18891" s="7"/>
      <c r="P18891" s="7"/>
      <c r="Q18891" s="7"/>
      <c r="R18891" s="7"/>
      <c r="S18891" s="7"/>
      <c r="T18891" s="7"/>
      <c r="U18891" s="7"/>
      <c r="V18891" s="7"/>
      <c r="W18891" s="7"/>
      <c r="X18891" s="7"/>
      <c r="Y18891" s="7"/>
      <c r="Z18891" s="7"/>
      <c r="AA18891" s="7"/>
      <c r="AB18891" s="7"/>
      <c r="AC18891" s="7"/>
      <c r="AD18891" s="7"/>
      <c r="AE18891" s="7"/>
      <c r="AF18891" s="7"/>
      <c r="AG18891" s="10"/>
    </row>
    <row r="18892" spans="1:33">
      <c r="A18892" s="7"/>
      <c r="B18892" s="7"/>
      <c r="C18892" s="7"/>
      <c r="D18892" s="7"/>
      <c r="E18892" s="7"/>
      <c r="F18892" s="7"/>
      <c r="G18892" s="7"/>
      <c r="H18892" s="7"/>
      <c r="I18892" s="7"/>
      <c r="J18892" s="7"/>
      <c r="K18892" s="7"/>
      <c r="L18892" s="7"/>
      <c r="M18892" s="7"/>
      <c r="N18892" s="7"/>
      <c r="O18892" s="7"/>
      <c r="P18892" s="7"/>
      <c r="Q18892" s="7"/>
      <c r="R18892" s="7"/>
      <c r="S18892" s="7"/>
      <c r="T18892" s="7"/>
      <c r="U18892" s="7"/>
      <c r="V18892" s="7"/>
      <c r="W18892" s="7"/>
      <c r="X18892" s="7"/>
      <c r="Y18892" s="7"/>
      <c r="Z18892" s="7"/>
      <c r="AA18892" s="7"/>
      <c r="AB18892" s="7"/>
      <c r="AC18892" s="7"/>
      <c r="AD18892" s="7"/>
      <c r="AE18892" s="7"/>
      <c r="AF18892" s="7"/>
      <c r="AG18892" s="10"/>
    </row>
    <row r="18893" spans="1:33">
      <c r="A18893" s="7"/>
      <c r="B18893" s="7"/>
      <c r="C18893" s="7"/>
      <c r="D18893" s="7"/>
      <c r="E18893" s="7"/>
      <c r="F18893" s="7"/>
      <c r="G18893" s="7"/>
      <c r="H18893" s="7"/>
      <c r="I18893" s="7"/>
      <c r="J18893" s="7"/>
      <c r="K18893" s="7"/>
      <c r="L18893" s="7"/>
      <c r="M18893" s="7"/>
      <c r="N18893" s="7"/>
      <c r="O18893" s="7"/>
      <c r="P18893" s="7"/>
      <c r="Q18893" s="7"/>
      <c r="R18893" s="7"/>
      <c r="S18893" s="7"/>
      <c r="T18893" s="7"/>
      <c r="U18893" s="7"/>
      <c r="V18893" s="7"/>
      <c r="W18893" s="7"/>
      <c r="X18893" s="7"/>
      <c r="Y18893" s="7"/>
      <c r="Z18893" s="7"/>
      <c r="AA18893" s="7"/>
      <c r="AB18893" s="7"/>
      <c r="AC18893" s="7"/>
      <c r="AD18893" s="7"/>
      <c r="AE18893" s="7"/>
      <c r="AF18893" s="7"/>
      <c r="AG18893" s="10"/>
    </row>
    <row r="18894" spans="1:33">
      <c r="A18894" s="7"/>
      <c r="B18894" s="7"/>
      <c r="C18894" s="7"/>
      <c r="D18894" s="7"/>
      <c r="E18894" s="7"/>
      <c r="F18894" s="7"/>
      <c r="G18894" s="7"/>
      <c r="H18894" s="7"/>
      <c r="I18894" s="7"/>
      <c r="J18894" s="7"/>
      <c r="K18894" s="7"/>
      <c r="L18894" s="7"/>
      <c r="M18894" s="7"/>
      <c r="N18894" s="7"/>
      <c r="O18894" s="7"/>
      <c r="P18894" s="7"/>
      <c r="Q18894" s="7"/>
      <c r="R18894" s="7"/>
      <c r="S18894" s="7"/>
      <c r="T18894" s="7"/>
      <c r="U18894" s="7"/>
      <c r="V18894" s="7"/>
      <c r="W18894" s="7"/>
      <c r="X18894" s="7"/>
      <c r="Y18894" s="7"/>
      <c r="Z18894" s="7"/>
      <c r="AA18894" s="7"/>
      <c r="AB18894" s="7"/>
      <c r="AC18894" s="7"/>
      <c r="AD18894" s="7"/>
      <c r="AE18894" s="7"/>
      <c r="AF18894" s="7"/>
      <c r="AG18894" s="10"/>
    </row>
    <row r="18895" spans="1:33">
      <c r="A18895" s="7"/>
      <c r="B18895" s="7"/>
      <c r="C18895" s="7"/>
      <c r="D18895" s="7"/>
      <c r="E18895" s="7"/>
      <c r="F18895" s="7"/>
      <c r="G18895" s="7"/>
      <c r="H18895" s="7"/>
      <c r="I18895" s="7"/>
      <c r="J18895" s="7"/>
      <c r="K18895" s="7"/>
      <c r="L18895" s="7"/>
      <c r="M18895" s="7"/>
      <c r="N18895" s="7"/>
      <c r="O18895" s="7"/>
      <c r="P18895" s="7"/>
      <c r="Q18895" s="7"/>
      <c r="R18895" s="7"/>
      <c r="S18895" s="7"/>
      <c r="T18895" s="7"/>
      <c r="U18895" s="7"/>
      <c r="V18895" s="7"/>
      <c r="W18895" s="7"/>
      <c r="X18895" s="7"/>
      <c r="Y18895" s="7"/>
      <c r="Z18895" s="7"/>
      <c r="AA18895" s="7"/>
      <c r="AB18895" s="7"/>
      <c r="AC18895" s="7"/>
      <c r="AD18895" s="7"/>
      <c r="AE18895" s="7"/>
      <c r="AF18895" s="7"/>
      <c r="AG18895" s="10"/>
    </row>
    <row r="18896" spans="1:33">
      <c r="A18896" s="7"/>
      <c r="B18896" s="7"/>
      <c r="C18896" s="7"/>
      <c r="D18896" s="7"/>
      <c r="E18896" s="7"/>
      <c r="F18896" s="7"/>
      <c r="G18896" s="7"/>
      <c r="H18896" s="7"/>
      <c r="I18896" s="7"/>
      <c r="J18896" s="7"/>
      <c r="K18896" s="7"/>
      <c r="L18896" s="7"/>
      <c r="M18896" s="7"/>
      <c r="N18896" s="7"/>
      <c r="O18896" s="7"/>
      <c r="P18896" s="7"/>
      <c r="Q18896" s="7"/>
      <c r="R18896" s="7"/>
      <c r="S18896" s="7"/>
      <c r="T18896" s="7"/>
      <c r="U18896" s="7"/>
      <c r="V18896" s="7"/>
      <c r="W18896" s="7"/>
      <c r="X18896" s="7"/>
      <c r="Y18896" s="7"/>
      <c r="Z18896" s="7"/>
      <c r="AA18896" s="7"/>
      <c r="AB18896" s="7"/>
      <c r="AC18896" s="7"/>
      <c r="AD18896" s="7"/>
      <c r="AE18896" s="7"/>
      <c r="AF18896" s="7"/>
      <c r="AG18896" s="10"/>
    </row>
    <row r="18897" spans="1:33">
      <c r="A18897" s="7"/>
      <c r="B18897" s="7"/>
      <c r="C18897" s="7"/>
      <c r="D18897" s="7"/>
      <c r="E18897" s="7"/>
      <c r="F18897" s="7"/>
      <c r="G18897" s="7"/>
      <c r="H18897" s="7"/>
      <c r="I18897" s="7"/>
      <c r="J18897" s="7"/>
      <c r="K18897" s="7"/>
      <c r="L18897" s="7"/>
      <c r="M18897" s="7"/>
      <c r="N18897" s="7"/>
      <c r="O18897" s="7"/>
      <c r="P18897" s="7"/>
      <c r="Q18897" s="7"/>
      <c r="R18897" s="7"/>
      <c r="S18897" s="7"/>
      <c r="T18897" s="7"/>
      <c r="U18897" s="7"/>
      <c r="V18897" s="7"/>
      <c r="W18897" s="7"/>
      <c r="X18897" s="7"/>
      <c r="Y18897" s="7"/>
      <c r="Z18897" s="7"/>
      <c r="AA18897" s="7"/>
      <c r="AB18897" s="7"/>
      <c r="AC18897" s="7"/>
      <c r="AD18897" s="7"/>
      <c r="AE18897" s="7"/>
      <c r="AF18897" s="7"/>
      <c r="AG18897" s="10"/>
    </row>
    <row r="18898" spans="1:33">
      <c r="A18898" s="7"/>
      <c r="B18898" s="7"/>
      <c r="C18898" s="7"/>
      <c r="D18898" s="7"/>
      <c r="E18898" s="7"/>
      <c r="F18898" s="7"/>
      <c r="G18898" s="7"/>
      <c r="H18898" s="7"/>
      <c r="I18898" s="7"/>
      <c r="J18898" s="7"/>
      <c r="K18898" s="7"/>
      <c r="L18898" s="7"/>
      <c r="M18898" s="7"/>
      <c r="N18898" s="7"/>
      <c r="O18898" s="7"/>
      <c r="P18898" s="7"/>
      <c r="Q18898" s="7"/>
      <c r="R18898" s="7"/>
      <c r="S18898" s="7"/>
      <c r="T18898" s="7"/>
      <c r="U18898" s="7"/>
      <c r="V18898" s="7"/>
      <c r="W18898" s="7"/>
      <c r="X18898" s="7"/>
      <c r="Y18898" s="7"/>
      <c r="Z18898" s="7"/>
      <c r="AA18898" s="7"/>
      <c r="AB18898" s="7"/>
      <c r="AC18898" s="7"/>
      <c r="AD18898" s="7"/>
      <c r="AE18898" s="7"/>
      <c r="AF18898" s="7"/>
      <c r="AG18898" s="10"/>
    </row>
    <row r="18899" spans="1:33">
      <c r="A18899" s="7"/>
      <c r="B18899" s="7"/>
      <c r="C18899" s="7"/>
      <c r="D18899" s="7"/>
      <c r="E18899" s="7"/>
      <c r="F18899" s="7"/>
      <c r="G18899" s="7"/>
      <c r="H18899" s="7"/>
      <c r="I18899" s="7"/>
      <c r="J18899" s="7"/>
      <c r="K18899" s="7"/>
      <c r="L18899" s="7"/>
      <c r="M18899" s="7"/>
      <c r="N18899" s="7"/>
      <c r="O18899" s="7"/>
      <c r="P18899" s="7"/>
      <c r="Q18899" s="7"/>
      <c r="R18899" s="7"/>
      <c r="S18899" s="7"/>
      <c r="T18899" s="7"/>
      <c r="U18899" s="7"/>
      <c r="V18899" s="7"/>
      <c r="W18899" s="7"/>
      <c r="X18899" s="7"/>
      <c r="Y18899" s="7"/>
      <c r="Z18899" s="7"/>
      <c r="AA18899" s="7"/>
      <c r="AB18899" s="7"/>
      <c r="AC18899" s="7"/>
      <c r="AD18899" s="7"/>
      <c r="AE18899" s="7"/>
      <c r="AF18899" s="7"/>
      <c r="AG18899" s="10"/>
    </row>
    <row r="18900" spans="1:33">
      <c r="A18900" s="7"/>
      <c r="B18900" s="7"/>
      <c r="C18900" s="7"/>
      <c r="D18900" s="7"/>
      <c r="E18900" s="7"/>
      <c r="F18900" s="7"/>
      <c r="G18900" s="7"/>
      <c r="H18900" s="7"/>
      <c r="I18900" s="7"/>
      <c r="J18900" s="7"/>
      <c r="K18900" s="7"/>
      <c r="L18900" s="7"/>
      <c r="M18900" s="7"/>
      <c r="N18900" s="7"/>
      <c r="O18900" s="7"/>
      <c r="P18900" s="7"/>
      <c r="Q18900" s="7"/>
      <c r="R18900" s="7"/>
      <c r="S18900" s="7"/>
      <c r="T18900" s="7"/>
      <c r="U18900" s="7"/>
      <c r="V18900" s="7"/>
      <c r="W18900" s="7"/>
      <c r="X18900" s="7"/>
      <c r="Y18900" s="7"/>
      <c r="Z18900" s="7"/>
      <c r="AA18900" s="7"/>
      <c r="AB18900" s="7"/>
      <c r="AC18900" s="7"/>
      <c r="AD18900" s="7"/>
      <c r="AE18900" s="7"/>
      <c r="AF18900" s="7"/>
      <c r="AG18900" s="10"/>
    </row>
    <row r="18901" spans="1:33">
      <c r="A18901" s="7"/>
      <c r="B18901" s="7"/>
      <c r="C18901" s="7"/>
      <c r="D18901" s="7"/>
      <c r="E18901" s="7"/>
      <c r="F18901" s="7"/>
      <c r="G18901" s="7"/>
      <c r="H18901" s="7"/>
      <c r="I18901" s="7"/>
      <c r="J18901" s="7"/>
      <c r="K18901" s="7"/>
      <c r="L18901" s="7"/>
      <c r="M18901" s="7"/>
      <c r="N18901" s="7"/>
      <c r="O18901" s="7"/>
      <c r="P18901" s="7"/>
      <c r="Q18901" s="7"/>
      <c r="R18901" s="7"/>
      <c r="S18901" s="7"/>
      <c r="T18901" s="7"/>
      <c r="U18901" s="7"/>
      <c r="V18901" s="7"/>
      <c r="W18901" s="7"/>
      <c r="X18901" s="7"/>
      <c r="Y18901" s="7"/>
      <c r="Z18901" s="7"/>
      <c r="AA18901" s="7"/>
      <c r="AB18901" s="7"/>
      <c r="AC18901" s="7"/>
      <c r="AD18901" s="7"/>
      <c r="AE18901" s="7"/>
      <c r="AF18901" s="7"/>
      <c r="AG18901" s="10"/>
    </row>
    <row r="18902" spans="1:33">
      <c r="A18902" s="7"/>
      <c r="B18902" s="7"/>
      <c r="C18902" s="7"/>
      <c r="D18902" s="7"/>
      <c r="E18902" s="7"/>
      <c r="F18902" s="7"/>
      <c r="G18902" s="7"/>
      <c r="H18902" s="7"/>
      <c r="I18902" s="7"/>
      <c r="J18902" s="7"/>
      <c r="K18902" s="7"/>
      <c r="L18902" s="7"/>
      <c r="M18902" s="7"/>
      <c r="N18902" s="7"/>
      <c r="O18902" s="7"/>
      <c r="P18902" s="7"/>
      <c r="Q18902" s="7"/>
      <c r="R18902" s="7"/>
      <c r="S18902" s="7"/>
      <c r="T18902" s="7"/>
      <c r="U18902" s="7"/>
      <c r="V18902" s="7"/>
      <c r="W18902" s="7"/>
      <c r="X18902" s="7"/>
      <c r="Y18902" s="7"/>
      <c r="Z18902" s="7"/>
      <c r="AA18902" s="7"/>
      <c r="AB18902" s="7"/>
      <c r="AC18902" s="7"/>
      <c r="AD18902" s="7"/>
      <c r="AE18902" s="7"/>
      <c r="AF18902" s="7"/>
      <c r="AG18902" s="10"/>
    </row>
    <row r="18903" spans="1:33">
      <c r="A18903" s="7"/>
      <c r="B18903" s="7"/>
      <c r="C18903" s="7"/>
      <c r="D18903" s="7"/>
      <c r="E18903" s="7"/>
      <c r="F18903" s="7"/>
      <c r="G18903" s="7"/>
      <c r="H18903" s="7"/>
      <c r="I18903" s="7"/>
      <c r="J18903" s="7"/>
      <c r="K18903" s="7"/>
      <c r="L18903" s="7"/>
      <c r="M18903" s="7"/>
      <c r="N18903" s="7"/>
      <c r="O18903" s="7"/>
      <c r="P18903" s="7"/>
      <c r="Q18903" s="7"/>
      <c r="R18903" s="7"/>
      <c r="S18903" s="7"/>
      <c r="T18903" s="7"/>
      <c r="U18903" s="7"/>
      <c r="V18903" s="7"/>
      <c r="W18903" s="7"/>
      <c r="X18903" s="7"/>
      <c r="Y18903" s="7"/>
      <c r="Z18903" s="7"/>
      <c r="AA18903" s="7"/>
      <c r="AB18903" s="7"/>
      <c r="AC18903" s="7"/>
      <c r="AD18903" s="7"/>
      <c r="AE18903" s="7"/>
      <c r="AF18903" s="7"/>
      <c r="AG18903" s="10"/>
    </row>
    <row r="18904" spans="1:33">
      <c r="A18904" s="7"/>
      <c r="B18904" s="7"/>
      <c r="C18904" s="7"/>
      <c r="D18904" s="7"/>
      <c r="E18904" s="7"/>
      <c r="F18904" s="7"/>
      <c r="G18904" s="7"/>
      <c r="H18904" s="7"/>
      <c r="I18904" s="7"/>
      <c r="J18904" s="7"/>
      <c r="K18904" s="7"/>
      <c r="L18904" s="7"/>
      <c r="M18904" s="7"/>
      <c r="N18904" s="7"/>
      <c r="O18904" s="7"/>
      <c r="P18904" s="7"/>
      <c r="Q18904" s="7"/>
      <c r="R18904" s="7"/>
      <c r="S18904" s="7"/>
      <c r="T18904" s="7"/>
      <c r="U18904" s="7"/>
      <c r="V18904" s="7"/>
      <c r="W18904" s="7"/>
      <c r="X18904" s="7"/>
      <c r="Y18904" s="7"/>
      <c r="Z18904" s="7"/>
      <c r="AA18904" s="7"/>
      <c r="AB18904" s="7"/>
      <c r="AC18904" s="7"/>
      <c r="AD18904" s="7"/>
      <c r="AE18904" s="7"/>
      <c r="AF18904" s="7"/>
      <c r="AG18904" s="10"/>
    </row>
    <row r="18905" spans="1:33">
      <c r="A18905" s="7"/>
      <c r="B18905" s="7"/>
      <c r="C18905" s="7"/>
      <c r="D18905" s="7"/>
      <c r="E18905" s="7"/>
      <c r="F18905" s="7"/>
      <c r="G18905" s="7"/>
      <c r="H18905" s="7"/>
      <c r="I18905" s="7"/>
      <c r="J18905" s="7"/>
      <c r="K18905" s="7"/>
      <c r="L18905" s="7"/>
      <c r="M18905" s="7"/>
      <c r="N18905" s="7"/>
      <c r="O18905" s="7"/>
      <c r="P18905" s="7"/>
      <c r="Q18905" s="7"/>
      <c r="R18905" s="7"/>
      <c r="S18905" s="7"/>
      <c r="T18905" s="7"/>
      <c r="U18905" s="7"/>
      <c r="V18905" s="7"/>
      <c r="W18905" s="7"/>
      <c r="X18905" s="7"/>
      <c r="Y18905" s="7"/>
      <c r="Z18905" s="7"/>
      <c r="AA18905" s="7"/>
      <c r="AB18905" s="7"/>
      <c r="AC18905" s="7"/>
      <c r="AD18905" s="7"/>
      <c r="AE18905" s="7"/>
      <c r="AF18905" s="7"/>
      <c r="AG18905" s="10"/>
    </row>
    <row r="18906" spans="1:33">
      <c r="A18906" s="7"/>
      <c r="B18906" s="7"/>
      <c r="C18906" s="7"/>
      <c r="D18906" s="7"/>
      <c r="E18906" s="7"/>
      <c r="F18906" s="7"/>
      <c r="G18906" s="7"/>
      <c r="H18906" s="7"/>
      <c r="I18906" s="7"/>
      <c r="J18906" s="7"/>
      <c r="K18906" s="7"/>
      <c r="L18906" s="7"/>
      <c r="M18906" s="7"/>
      <c r="N18906" s="7"/>
      <c r="O18906" s="7"/>
      <c r="P18906" s="7"/>
      <c r="Q18906" s="7"/>
      <c r="R18906" s="7"/>
      <c r="S18906" s="7"/>
      <c r="T18906" s="7"/>
      <c r="U18906" s="7"/>
      <c r="V18906" s="7"/>
      <c r="W18906" s="7"/>
      <c r="X18906" s="7"/>
      <c r="Y18906" s="7"/>
      <c r="Z18906" s="7"/>
      <c r="AA18906" s="7"/>
      <c r="AB18906" s="7"/>
      <c r="AC18906" s="7"/>
      <c r="AD18906" s="7"/>
      <c r="AE18906" s="7"/>
      <c r="AF18906" s="7"/>
      <c r="AG18906" s="10"/>
    </row>
    <row r="18907" spans="1:33">
      <c r="A18907" s="7"/>
      <c r="B18907" s="7"/>
      <c r="C18907" s="7"/>
      <c r="D18907" s="7"/>
      <c r="E18907" s="7"/>
      <c r="F18907" s="7"/>
      <c r="G18907" s="7"/>
      <c r="H18907" s="7"/>
      <c r="I18907" s="7"/>
      <c r="J18907" s="7"/>
      <c r="K18907" s="7"/>
      <c r="L18907" s="7"/>
      <c r="M18907" s="7"/>
      <c r="N18907" s="7"/>
      <c r="O18907" s="7"/>
      <c r="P18907" s="7"/>
      <c r="Q18907" s="7"/>
      <c r="R18907" s="7"/>
      <c r="S18907" s="7"/>
      <c r="T18907" s="7"/>
      <c r="U18907" s="7"/>
      <c r="V18907" s="7"/>
      <c r="W18907" s="7"/>
      <c r="X18907" s="7"/>
      <c r="Y18907" s="7"/>
      <c r="Z18907" s="7"/>
      <c r="AA18907" s="7"/>
      <c r="AB18907" s="7"/>
      <c r="AC18907" s="7"/>
      <c r="AD18907" s="7"/>
      <c r="AE18907" s="7"/>
      <c r="AF18907" s="7"/>
      <c r="AG18907" s="10"/>
    </row>
    <row r="18908" spans="1:33">
      <c r="A18908" s="7"/>
      <c r="B18908" s="7"/>
      <c r="C18908" s="7"/>
      <c r="D18908" s="7"/>
      <c r="E18908" s="7"/>
      <c r="F18908" s="7"/>
      <c r="G18908" s="7"/>
      <c r="H18908" s="7"/>
      <c r="I18908" s="7"/>
      <c r="J18908" s="7"/>
      <c r="K18908" s="7"/>
      <c r="L18908" s="7"/>
      <c r="M18908" s="7"/>
      <c r="N18908" s="7"/>
      <c r="O18908" s="7"/>
      <c r="P18908" s="7"/>
      <c r="Q18908" s="7"/>
      <c r="R18908" s="7"/>
      <c r="S18908" s="7"/>
      <c r="T18908" s="7"/>
      <c r="U18908" s="7"/>
      <c r="V18908" s="7"/>
      <c r="W18908" s="7"/>
      <c r="X18908" s="7"/>
      <c r="Y18908" s="7"/>
      <c r="Z18908" s="7"/>
      <c r="AA18908" s="7"/>
      <c r="AB18908" s="7"/>
      <c r="AC18908" s="7"/>
      <c r="AD18908" s="7"/>
      <c r="AE18908" s="7"/>
      <c r="AF18908" s="7"/>
      <c r="AG18908" s="10"/>
    </row>
    <row r="18909" spans="1:33">
      <c r="A18909" s="7"/>
      <c r="B18909" s="7"/>
      <c r="C18909" s="7"/>
      <c r="D18909" s="7"/>
      <c r="E18909" s="7"/>
      <c r="F18909" s="7"/>
      <c r="G18909" s="7"/>
      <c r="H18909" s="7"/>
      <c r="I18909" s="7"/>
      <c r="J18909" s="7"/>
      <c r="K18909" s="7"/>
      <c r="L18909" s="7"/>
      <c r="M18909" s="7"/>
      <c r="N18909" s="7"/>
      <c r="O18909" s="7"/>
      <c r="P18909" s="7"/>
      <c r="Q18909" s="7"/>
      <c r="R18909" s="7"/>
      <c r="S18909" s="7"/>
      <c r="T18909" s="7"/>
      <c r="U18909" s="7"/>
      <c r="V18909" s="7"/>
      <c r="W18909" s="7"/>
      <c r="X18909" s="7"/>
      <c r="Y18909" s="7"/>
      <c r="Z18909" s="7"/>
      <c r="AA18909" s="7"/>
      <c r="AB18909" s="7"/>
      <c r="AC18909" s="7"/>
      <c r="AD18909" s="7"/>
      <c r="AE18909" s="7"/>
      <c r="AF18909" s="7"/>
      <c r="AG18909" s="10"/>
    </row>
    <row r="18910" spans="1:33">
      <c r="A18910" s="7"/>
      <c r="B18910" s="7"/>
      <c r="C18910" s="7"/>
      <c r="D18910" s="7"/>
      <c r="E18910" s="7"/>
      <c r="F18910" s="7"/>
      <c r="G18910" s="7"/>
      <c r="H18910" s="7"/>
      <c r="I18910" s="7"/>
      <c r="J18910" s="7"/>
      <c r="K18910" s="7"/>
      <c r="L18910" s="7"/>
      <c r="M18910" s="7"/>
      <c r="N18910" s="7"/>
      <c r="O18910" s="7"/>
      <c r="P18910" s="7"/>
      <c r="Q18910" s="7"/>
      <c r="R18910" s="7"/>
      <c r="S18910" s="7"/>
      <c r="T18910" s="7"/>
      <c r="U18910" s="7"/>
      <c r="V18910" s="7"/>
      <c r="W18910" s="7"/>
      <c r="X18910" s="7"/>
      <c r="Y18910" s="7"/>
      <c r="Z18910" s="7"/>
      <c r="AA18910" s="7"/>
      <c r="AB18910" s="7"/>
      <c r="AC18910" s="7"/>
      <c r="AD18910" s="7"/>
      <c r="AE18910" s="7"/>
      <c r="AF18910" s="7"/>
      <c r="AG18910" s="10"/>
    </row>
    <row r="18911" spans="1:33">
      <c r="A18911" s="7"/>
      <c r="B18911" s="7"/>
      <c r="C18911" s="7"/>
      <c r="D18911" s="7"/>
      <c r="E18911" s="7"/>
      <c r="F18911" s="7"/>
      <c r="G18911" s="7"/>
      <c r="H18911" s="7"/>
      <c r="I18911" s="7"/>
      <c r="J18911" s="7"/>
      <c r="K18911" s="7"/>
      <c r="L18911" s="7"/>
      <c r="M18911" s="7"/>
      <c r="N18911" s="7"/>
      <c r="O18911" s="7"/>
      <c r="P18911" s="7"/>
      <c r="Q18911" s="7"/>
      <c r="R18911" s="7"/>
      <c r="S18911" s="7"/>
      <c r="T18911" s="7"/>
      <c r="U18911" s="7"/>
      <c r="V18911" s="7"/>
      <c r="W18911" s="7"/>
      <c r="X18911" s="7"/>
      <c r="Y18911" s="7"/>
      <c r="Z18911" s="7"/>
      <c r="AA18911" s="7"/>
      <c r="AB18911" s="7"/>
      <c r="AC18911" s="7"/>
      <c r="AD18911" s="7"/>
      <c r="AE18911" s="7"/>
      <c r="AF18911" s="7"/>
      <c r="AG18911" s="10"/>
    </row>
    <row r="18912" spans="1:33">
      <c r="A18912" s="7"/>
      <c r="B18912" s="7"/>
      <c r="C18912" s="7"/>
      <c r="D18912" s="7"/>
      <c r="E18912" s="7"/>
      <c r="F18912" s="7"/>
      <c r="G18912" s="7"/>
      <c r="H18912" s="7"/>
      <c r="I18912" s="7"/>
      <c r="J18912" s="7"/>
      <c r="K18912" s="7"/>
      <c r="L18912" s="7"/>
      <c r="M18912" s="7"/>
      <c r="N18912" s="7"/>
      <c r="O18912" s="7"/>
      <c r="P18912" s="7"/>
      <c r="Q18912" s="7"/>
      <c r="R18912" s="7"/>
      <c r="S18912" s="7"/>
      <c r="T18912" s="7"/>
      <c r="U18912" s="7"/>
      <c r="V18912" s="7"/>
      <c r="W18912" s="7"/>
      <c r="X18912" s="7"/>
      <c r="Y18912" s="7"/>
      <c r="Z18912" s="7"/>
      <c r="AA18912" s="7"/>
      <c r="AB18912" s="7"/>
      <c r="AC18912" s="7"/>
      <c r="AD18912" s="7"/>
      <c r="AE18912" s="7"/>
      <c r="AF18912" s="7"/>
      <c r="AG18912" s="10"/>
    </row>
    <row r="18913" spans="1:33">
      <c r="A18913" s="7"/>
      <c r="B18913" s="7"/>
      <c r="C18913" s="7"/>
      <c r="D18913" s="7"/>
      <c r="E18913" s="7"/>
      <c r="F18913" s="7"/>
      <c r="G18913" s="7"/>
      <c r="H18913" s="7"/>
      <c r="I18913" s="7"/>
      <c r="J18913" s="7"/>
      <c r="K18913" s="7"/>
      <c r="L18913" s="7"/>
      <c r="M18913" s="7"/>
      <c r="N18913" s="7"/>
      <c r="O18913" s="7"/>
      <c r="P18913" s="7"/>
      <c r="Q18913" s="7"/>
      <c r="R18913" s="7"/>
      <c r="S18913" s="7"/>
      <c r="T18913" s="7"/>
      <c r="U18913" s="7"/>
      <c r="V18913" s="7"/>
      <c r="W18913" s="7"/>
      <c r="X18913" s="7"/>
      <c r="Y18913" s="7"/>
      <c r="Z18913" s="7"/>
      <c r="AA18913" s="7"/>
      <c r="AB18913" s="7"/>
      <c r="AC18913" s="7"/>
      <c r="AD18913" s="7"/>
      <c r="AE18913" s="7"/>
      <c r="AF18913" s="7"/>
      <c r="AG18913" s="10"/>
    </row>
    <row r="18914" spans="1:33">
      <c r="A18914" s="7"/>
      <c r="B18914" s="7"/>
      <c r="C18914" s="7"/>
      <c r="D18914" s="7"/>
      <c r="E18914" s="7"/>
      <c r="F18914" s="7"/>
      <c r="G18914" s="7"/>
      <c r="H18914" s="7"/>
      <c r="I18914" s="7"/>
      <c r="J18914" s="7"/>
      <c r="K18914" s="7"/>
      <c r="L18914" s="7"/>
      <c r="M18914" s="7"/>
      <c r="N18914" s="7"/>
      <c r="O18914" s="7"/>
      <c r="P18914" s="7"/>
      <c r="Q18914" s="7"/>
      <c r="R18914" s="7"/>
      <c r="S18914" s="7"/>
      <c r="T18914" s="7"/>
      <c r="U18914" s="7"/>
      <c r="V18914" s="7"/>
      <c r="W18914" s="7"/>
      <c r="X18914" s="7"/>
      <c r="Y18914" s="7"/>
      <c r="Z18914" s="7"/>
      <c r="AA18914" s="7"/>
      <c r="AB18914" s="7"/>
      <c r="AC18914" s="7"/>
      <c r="AD18914" s="7"/>
      <c r="AE18914" s="7"/>
      <c r="AF18914" s="7"/>
      <c r="AG18914" s="10"/>
    </row>
    <row r="18915" spans="1:33">
      <c r="A18915" s="7"/>
      <c r="B18915" s="7"/>
      <c r="C18915" s="7"/>
      <c r="D18915" s="7"/>
      <c r="E18915" s="7"/>
      <c r="F18915" s="7"/>
      <c r="G18915" s="7"/>
      <c r="H18915" s="7"/>
      <c r="I18915" s="7"/>
      <c r="J18915" s="7"/>
      <c r="K18915" s="7"/>
      <c r="L18915" s="7"/>
      <c r="M18915" s="7"/>
      <c r="N18915" s="7"/>
      <c r="O18915" s="7"/>
      <c r="P18915" s="7"/>
      <c r="Q18915" s="7"/>
      <c r="R18915" s="7"/>
      <c r="S18915" s="7"/>
      <c r="T18915" s="7"/>
      <c r="U18915" s="7"/>
      <c r="V18915" s="7"/>
      <c r="W18915" s="7"/>
      <c r="X18915" s="7"/>
      <c r="Y18915" s="7"/>
      <c r="Z18915" s="7"/>
      <c r="AA18915" s="7"/>
      <c r="AB18915" s="7"/>
      <c r="AC18915" s="7"/>
      <c r="AD18915" s="7"/>
      <c r="AE18915" s="7"/>
      <c r="AF18915" s="7"/>
      <c r="AG18915" s="10"/>
    </row>
    <row r="18916" spans="1:33">
      <c r="A18916" s="7"/>
      <c r="B18916" s="7"/>
      <c r="C18916" s="7"/>
      <c r="D18916" s="7"/>
      <c r="E18916" s="7"/>
      <c r="F18916" s="7"/>
      <c r="G18916" s="7"/>
      <c r="H18916" s="7"/>
      <c r="I18916" s="7"/>
      <c r="J18916" s="7"/>
      <c r="K18916" s="7"/>
      <c r="L18916" s="7"/>
      <c r="M18916" s="7"/>
      <c r="N18916" s="7"/>
      <c r="O18916" s="7"/>
      <c r="P18916" s="7"/>
      <c r="Q18916" s="7"/>
      <c r="R18916" s="7"/>
      <c r="S18916" s="7"/>
      <c r="T18916" s="7"/>
      <c r="U18916" s="7"/>
      <c r="V18916" s="7"/>
      <c r="W18916" s="7"/>
      <c r="X18916" s="7"/>
      <c r="Y18916" s="7"/>
      <c r="Z18916" s="7"/>
      <c r="AA18916" s="7"/>
      <c r="AB18916" s="7"/>
      <c r="AC18916" s="7"/>
      <c r="AD18916" s="7"/>
      <c r="AE18916" s="7"/>
      <c r="AF18916" s="7"/>
      <c r="AG18916" s="10"/>
    </row>
    <row r="18917" spans="1:33">
      <c r="A18917" s="7"/>
      <c r="B18917" s="7"/>
      <c r="C18917" s="7"/>
      <c r="D18917" s="7"/>
      <c r="E18917" s="7"/>
      <c r="F18917" s="7"/>
      <c r="G18917" s="7"/>
      <c r="H18917" s="7"/>
      <c r="I18917" s="7"/>
      <c r="J18917" s="7"/>
      <c r="K18917" s="7"/>
      <c r="L18917" s="7"/>
      <c r="M18917" s="7"/>
      <c r="N18917" s="7"/>
      <c r="O18917" s="7"/>
      <c r="P18917" s="7"/>
      <c r="Q18917" s="7"/>
      <c r="R18917" s="7"/>
      <c r="S18917" s="7"/>
      <c r="T18917" s="7"/>
      <c r="U18917" s="7"/>
      <c r="V18917" s="7"/>
      <c r="W18917" s="7"/>
      <c r="X18917" s="7"/>
      <c r="Y18917" s="7"/>
      <c r="Z18917" s="7"/>
      <c r="AA18917" s="7"/>
      <c r="AB18917" s="7"/>
      <c r="AC18917" s="7"/>
      <c r="AD18917" s="7"/>
      <c r="AE18917" s="7"/>
      <c r="AF18917" s="7"/>
      <c r="AG18917" s="10"/>
    </row>
    <row r="18918" spans="1:33">
      <c r="A18918" s="7"/>
      <c r="B18918" s="7"/>
      <c r="C18918" s="7"/>
      <c r="D18918" s="7"/>
      <c r="E18918" s="7"/>
      <c r="F18918" s="7"/>
      <c r="G18918" s="7"/>
      <c r="H18918" s="7"/>
      <c r="I18918" s="7"/>
      <c r="J18918" s="7"/>
      <c r="K18918" s="7"/>
      <c r="L18918" s="7"/>
      <c r="M18918" s="7"/>
      <c r="N18918" s="7"/>
      <c r="O18918" s="7"/>
      <c r="P18918" s="7"/>
      <c r="Q18918" s="7"/>
      <c r="R18918" s="7"/>
      <c r="S18918" s="7"/>
      <c r="T18918" s="7"/>
      <c r="U18918" s="7"/>
      <c r="V18918" s="7"/>
      <c r="W18918" s="7"/>
      <c r="X18918" s="7"/>
      <c r="Y18918" s="7"/>
      <c r="Z18918" s="7"/>
      <c r="AA18918" s="7"/>
      <c r="AB18918" s="7"/>
      <c r="AC18918" s="7"/>
      <c r="AD18918" s="7"/>
      <c r="AE18918" s="7"/>
      <c r="AF18918" s="7"/>
      <c r="AG18918" s="10"/>
    </row>
    <row r="18919" spans="1:33">
      <c r="A18919" s="7"/>
      <c r="B18919" s="7"/>
      <c r="C18919" s="7"/>
      <c r="D18919" s="7"/>
      <c r="E18919" s="7"/>
      <c r="F18919" s="7"/>
      <c r="G18919" s="7"/>
      <c r="H18919" s="7"/>
      <c r="I18919" s="7"/>
      <c r="J18919" s="7"/>
      <c r="K18919" s="7"/>
      <c r="L18919" s="7"/>
      <c r="M18919" s="7"/>
      <c r="N18919" s="7"/>
      <c r="O18919" s="7"/>
      <c r="P18919" s="7"/>
      <c r="Q18919" s="7"/>
      <c r="R18919" s="7"/>
      <c r="S18919" s="7"/>
      <c r="T18919" s="7"/>
      <c r="U18919" s="7"/>
      <c r="V18919" s="7"/>
      <c r="W18919" s="7"/>
      <c r="X18919" s="7"/>
      <c r="Y18919" s="7"/>
      <c r="Z18919" s="7"/>
      <c r="AA18919" s="7"/>
      <c r="AB18919" s="7"/>
      <c r="AC18919" s="7"/>
      <c r="AD18919" s="7"/>
      <c r="AE18919" s="7"/>
      <c r="AF18919" s="7"/>
      <c r="AG18919" s="10"/>
    </row>
    <row r="18920" spans="1:33">
      <c r="A18920" s="7"/>
      <c r="B18920" s="7"/>
      <c r="C18920" s="7"/>
      <c r="D18920" s="7"/>
      <c r="E18920" s="7"/>
      <c r="F18920" s="7"/>
      <c r="G18920" s="7"/>
      <c r="H18920" s="7"/>
      <c r="I18920" s="7"/>
      <c r="J18920" s="7"/>
      <c r="K18920" s="7"/>
      <c r="L18920" s="7"/>
      <c r="M18920" s="7"/>
      <c r="N18920" s="7"/>
      <c r="O18920" s="7"/>
      <c r="P18920" s="7"/>
      <c r="Q18920" s="7"/>
      <c r="R18920" s="7"/>
      <c r="S18920" s="7"/>
      <c r="T18920" s="7"/>
      <c r="U18920" s="7"/>
      <c r="V18920" s="7"/>
      <c r="W18920" s="7"/>
      <c r="X18920" s="7"/>
      <c r="Y18920" s="7"/>
      <c r="Z18920" s="7"/>
      <c r="AA18920" s="7"/>
      <c r="AB18920" s="7"/>
      <c r="AC18920" s="7"/>
      <c r="AD18920" s="7"/>
      <c r="AE18920" s="7"/>
      <c r="AF18920" s="7"/>
      <c r="AG18920" s="10"/>
    </row>
    <row r="18921" spans="1:33">
      <c r="A18921" s="7"/>
      <c r="B18921" s="7"/>
      <c r="C18921" s="7"/>
      <c r="D18921" s="7"/>
      <c r="E18921" s="7"/>
      <c r="F18921" s="7"/>
      <c r="G18921" s="7"/>
      <c r="H18921" s="7"/>
      <c r="I18921" s="7"/>
      <c r="J18921" s="7"/>
      <c r="K18921" s="7"/>
      <c r="L18921" s="7"/>
      <c r="M18921" s="7"/>
      <c r="N18921" s="7"/>
      <c r="O18921" s="7"/>
      <c r="P18921" s="7"/>
      <c r="Q18921" s="7"/>
      <c r="R18921" s="7"/>
      <c r="S18921" s="7"/>
      <c r="T18921" s="7"/>
      <c r="U18921" s="7"/>
      <c r="V18921" s="7"/>
      <c r="W18921" s="7"/>
      <c r="X18921" s="7"/>
      <c r="Y18921" s="7"/>
      <c r="Z18921" s="7"/>
      <c r="AA18921" s="7"/>
      <c r="AB18921" s="7"/>
      <c r="AC18921" s="7"/>
      <c r="AD18921" s="7"/>
      <c r="AE18921" s="7"/>
      <c r="AF18921" s="7"/>
      <c r="AG18921" s="10"/>
    </row>
    <row r="18922" spans="1:33">
      <c r="A18922" s="7"/>
      <c r="B18922" s="7"/>
      <c r="C18922" s="7"/>
      <c r="D18922" s="7"/>
      <c r="E18922" s="7"/>
      <c r="F18922" s="7"/>
      <c r="G18922" s="7"/>
      <c r="H18922" s="7"/>
      <c r="I18922" s="7"/>
      <c r="J18922" s="7"/>
      <c r="K18922" s="7"/>
      <c r="L18922" s="7"/>
      <c r="M18922" s="7"/>
      <c r="N18922" s="7"/>
      <c r="O18922" s="7"/>
      <c r="P18922" s="7"/>
      <c r="Q18922" s="7"/>
      <c r="R18922" s="7"/>
      <c r="S18922" s="7"/>
      <c r="T18922" s="7"/>
      <c r="U18922" s="7"/>
      <c r="V18922" s="7"/>
      <c r="W18922" s="7"/>
      <c r="X18922" s="7"/>
      <c r="Y18922" s="7"/>
      <c r="Z18922" s="7"/>
      <c r="AA18922" s="7"/>
      <c r="AB18922" s="7"/>
      <c r="AC18922" s="7"/>
      <c r="AD18922" s="7"/>
      <c r="AE18922" s="7"/>
      <c r="AF18922" s="7"/>
      <c r="AG18922" s="10"/>
    </row>
    <row r="18923" spans="1:33">
      <c r="A18923" s="7"/>
      <c r="B18923" s="7"/>
      <c r="C18923" s="7"/>
      <c r="D18923" s="7"/>
      <c r="E18923" s="7"/>
      <c r="F18923" s="7"/>
      <c r="G18923" s="7"/>
      <c r="H18923" s="7"/>
      <c r="I18923" s="7"/>
      <c r="J18923" s="7"/>
      <c r="K18923" s="7"/>
      <c r="L18923" s="7"/>
      <c r="M18923" s="7"/>
      <c r="N18923" s="7"/>
      <c r="O18923" s="7"/>
      <c r="P18923" s="7"/>
      <c r="Q18923" s="7"/>
      <c r="R18923" s="7"/>
      <c r="S18923" s="7"/>
      <c r="T18923" s="7"/>
      <c r="U18923" s="7"/>
      <c r="V18923" s="7"/>
      <c r="W18923" s="7"/>
      <c r="X18923" s="7"/>
      <c r="Y18923" s="7"/>
      <c r="Z18923" s="7"/>
      <c r="AA18923" s="7"/>
      <c r="AB18923" s="7"/>
      <c r="AC18923" s="7"/>
      <c r="AD18923" s="7"/>
      <c r="AE18923" s="7"/>
      <c r="AF18923" s="7"/>
      <c r="AG18923" s="10"/>
    </row>
    <row r="18924" spans="1:33">
      <c r="A18924" s="7"/>
      <c r="B18924" s="7"/>
      <c r="C18924" s="7"/>
      <c r="D18924" s="7"/>
      <c r="E18924" s="7"/>
      <c r="F18924" s="7"/>
      <c r="G18924" s="7"/>
      <c r="H18924" s="7"/>
      <c r="I18924" s="7"/>
      <c r="J18924" s="7"/>
      <c r="K18924" s="7"/>
      <c r="L18924" s="7"/>
      <c r="M18924" s="7"/>
      <c r="N18924" s="7"/>
      <c r="O18924" s="7"/>
      <c r="P18924" s="7"/>
      <c r="Q18924" s="7"/>
      <c r="R18924" s="7"/>
      <c r="S18924" s="7"/>
      <c r="T18924" s="7"/>
      <c r="U18924" s="7"/>
      <c r="V18924" s="7"/>
      <c r="W18924" s="7"/>
      <c r="X18924" s="7"/>
      <c r="Y18924" s="7"/>
      <c r="Z18924" s="7"/>
      <c r="AA18924" s="7"/>
      <c r="AB18924" s="7"/>
      <c r="AC18924" s="7"/>
      <c r="AD18924" s="7"/>
      <c r="AE18924" s="7"/>
      <c r="AF18924" s="7"/>
      <c r="AG18924" s="10"/>
    </row>
    <row r="18925" spans="1:33">
      <c r="A18925" s="7"/>
      <c r="B18925" s="7"/>
      <c r="C18925" s="7"/>
      <c r="D18925" s="7"/>
      <c r="E18925" s="7"/>
      <c r="F18925" s="7"/>
      <c r="G18925" s="7"/>
      <c r="H18925" s="7"/>
      <c r="I18925" s="7"/>
      <c r="J18925" s="7"/>
      <c r="K18925" s="7"/>
      <c r="L18925" s="7"/>
      <c r="M18925" s="7"/>
      <c r="N18925" s="7"/>
      <c r="O18925" s="7"/>
      <c r="P18925" s="7"/>
      <c r="Q18925" s="7"/>
      <c r="R18925" s="7"/>
      <c r="S18925" s="7"/>
      <c r="T18925" s="7"/>
      <c r="U18925" s="7"/>
      <c r="V18925" s="7"/>
      <c r="W18925" s="7"/>
      <c r="X18925" s="7"/>
      <c r="Y18925" s="7"/>
      <c r="Z18925" s="7"/>
      <c r="AA18925" s="7"/>
      <c r="AB18925" s="7"/>
      <c r="AC18925" s="7"/>
      <c r="AD18925" s="7"/>
      <c r="AE18925" s="7"/>
      <c r="AF18925" s="7"/>
      <c r="AG18925" s="10"/>
    </row>
    <row r="18926" spans="1:33">
      <c r="A18926" s="7"/>
      <c r="B18926" s="7"/>
      <c r="C18926" s="7"/>
      <c r="D18926" s="7"/>
      <c r="E18926" s="7"/>
      <c r="F18926" s="7"/>
      <c r="G18926" s="7"/>
      <c r="H18926" s="7"/>
      <c r="I18926" s="7"/>
      <c r="J18926" s="7"/>
      <c r="K18926" s="7"/>
      <c r="L18926" s="7"/>
      <c r="M18926" s="7"/>
      <c r="N18926" s="7"/>
      <c r="O18926" s="7"/>
      <c r="P18926" s="7"/>
      <c r="Q18926" s="7"/>
      <c r="R18926" s="7"/>
      <c r="S18926" s="7"/>
      <c r="T18926" s="7"/>
      <c r="U18926" s="7"/>
      <c r="V18926" s="7"/>
      <c r="W18926" s="7"/>
      <c r="X18926" s="7"/>
      <c r="Y18926" s="7"/>
      <c r="Z18926" s="7"/>
      <c r="AA18926" s="7"/>
      <c r="AB18926" s="7"/>
      <c r="AC18926" s="7"/>
      <c r="AD18926" s="7"/>
      <c r="AE18926" s="7"/>
      <c r="AF18926" s="7"/>
      <c r="AG18926" s="10"/>
    </row>
    <row r="18927" spans="1:33">
      <c r="A18927" s="7"/>
      <c r="B18927" s="7"/>
      <c r="C18927" s="7"/>
      <c r="D18927" s="7"/>
      <c r="E18927" s="7"/>
      <c r="F18927" s="7"/>
      <c r="G18927" s="7"/>
      <c r="H18927" s="7"/>
      <c r="I18927" s="7"/>
      <c r="J18927" s="7"/>
      <c r="K18927" s="7"/>
      <c r="L18927" s="7"/>
      <c r="M18927" s="7"/>
      <c r="N18927" s="7"/>
      <c r="O18927" s="7"/>
      <c r="P18927" s="7"/>
      <c r="Q18927" s="7"/>
      <c r="R18927" s="7"/>
      <c r="S18927" s="7"/>
      <c r="T18927" s="7"/>
      <c r="U18927" s="7"/>
      <c r="V18927" s="7"/>
      <c r="W18927" s="7"/>
      <c r="X18927" s="7"/>
      <c r="Y18927" s="7"/>
      <c r="Z18927" s="7"/>
      <c r="AA18927" s="7"/>
      <c r="AB18927" s="7"/>
      <c r="AC18927" s="7"/>
      <c r="AD18927" s="7"/>
      <c r="AE18927" s="7"/>
      <c r="AF18927" s="7"/>
      <c r="AG18927" s="10"/>
    </row>
    <row r="18928" spans="1:33">
      <c r="A18928" s="7"/>
      <c r="B18928" s="7"/>
      <c r="C18928" s="7"/>
      <c r="D18928" s="7"/>
      <c r="E18928" s="7"/>
      <c r="F18928" s="7"/>
      <c r="G18928" s="7"/>
      <c r="H18928" s="7"/>
      <c r="I18928" s="7"/>
      <c r="J18928" s="7"/>
      <c r="K18928" s="7"/>
      <c r="L18928" s="7"/>
      <c r="M18928" s="7"/>
      <c r="N18928" s="7"/>
      <c r="O18928" s="7"/>
      <c r="P18928" s="7"/>
      <c r="Q18928" s="7"/>
      <c r="R18928" s="7"/>
      <c r="S18928" s="7"/>
      <c r="T18928" s="7"/>
      <c r="U18928" s="7"/>
      <c r="V18928" s="7"/>
      <c r="W18928" s="7"/>
      <c r="X18928" s="7"/>
      <c r="Y18928" s="7"/>
      <c r="Z18928" s="7"/>
      <c r="AA18928" s="7"/>
      <c r="AB18928" s="7"/>
      <c r="AC18928" s="7"/>
      <c r="AD18928" s="7"/>
      <c r="AE18928" s="7"/>
      <c r="AF18928" s="7"/>
      <c r="AG18928" s="10"/>
    </row>
    <row r="18929" spans="1:33">
      <c r="A18929" s="7"/>
      <c r="B18929" s="7"/>
      <c r="C18929" s="7"/>
      <c r="D18929" s="7"/>
      <c r="E18929" s="7"/>
      <c r="F18929" s="7"/>
      <c r="G18929" s="7"/>
      <c r="H18929" s="7"/>
      <c r="I18929" s="7"/>
      <c r="J18929" s="7"/>
      <c r="K18929" s="7"/>
      <c r="L18929" s="7"/>
      <c r="M18929" s="7"/>
      <c r="N18929" s="7"/>
      <c r="O18929" s="7"/>
      <c r="P18929" s="7"/>
      <c r="Q18929" s="7"/>
      <c r="R18929" s="7"/>
      <c r="S18929" s="7"/>
      <c r="T18929" s="7"/>
      <c r="U18929" s="7"/>
      <c r="V18929" s="7"/>
      <c r="W18929" s="7"/>
      <c r="X18929" s="7"/>
      <c r="Y18929" s="7"/>
      <c r="Z18929" s="7"/>
      <c r="AA18929" s="7"/>
      <c r="AB18929" s="7"/>
      <c r="AC18929" s="7"/>
      <c r="AD18929" s="7"/>
      <c r="AE18929" s="7"/>
      <c r="AF18929" s="7"/>
      <c r="AG18929" s="10"/>
    </row>
    <row r="18930" spans="1:33">
      <c r="A18930" s="7"/>
      <c r="B18930" s="7"/>
      <c r="C18930" s="7"/>
      <c r="D18930" s="7"/>
      <c r="E18930" s="7"/>
      <c r="F18930" s="7"/>
      <c r="G18930" s="7"/>
      <c r="H18930" s="7"/>
      <c r="I18930" s="7"/>
      <c r="J18930" s="7"/>
      <c r="K18930" s="7"/>
      <c r="L18930" s="7"/>
      <c r="M18930" s="7"/>
      <c r="N18930" s="7"/>
      <c r="O18930" s="7"/>
      <c r="P18930" s="7"/>
      <c r="Q18930" s="7"/>
      <c r="R18930" s="7"/>
      <c r="S18930" s="7"/>
      <c r="T18930" s="7"/>
      <c r="U18930" s="7"/>
      <c r="V18930" s="7"/>
      <c r="W18930" s="7"/>
      <c r="X18930" s="7"/>
      <c r="Y18930" s="7"/>
      <c r="Z18930" s="7"/>
      <c r="AA18930" s="7"/>
      <c r="AB18930" s="7"/>
      <c r="AC18930" s="7"/>
      <c r="AD18930" s="7"/>
      <c r="AE18930" s="7"/>
      <c r="AF18930" s="7"/>
      <c r="AG18930" s="10"/>
    </row>
    <row r="18931" spans="1:33">
      <c r="A18931" s="7"/>
      <c r="B18931" s="7"/>
      <c r="C18931" s="7"/>
      <c r="D18931" s="7"/>
      <c r="E18931" s="7"/>
      <c r="F18931" s="7"/>
      <c r="G18931" s="7"/>
      <c r="H18931" s="7"/>
      <c r="I18931" s="7"/>
      <c r="J18931" s="7"/>
      <c r="K18931" s="7"/>
      <c r="L18931" s="7"/>
      <c r="M18931" s="7"/>
      <c r="N18931" s="7"/>
      <c r="O18931" s="7"/>
      <c r="P18931" s="7"/>
      <c r="Q18931" s="7"/>
      <c r="R18931" s="7"/>
      <c r="S18931" s="7"/>
      <c r="T18931" s="7"/>
      <c r="U18931" s="7"/>
      <c r="V18931" s="7"/>
      <c r="W18931" s="7"/>
      <c r="X18931" s="7"/>
      <c r="Y18931" s="7"/>
      <c r="Z18931" s="7"/>
      <c r="AA18931" s="7"/>
      <c r="AB18931" s="7"/>
      <c r="AC18931" s="7"/>
      <c r="AD18931" s="7"/>
      <c r="AE18931" s="7"/>
      <c r="AF18931" s="7"/>
      <c r="AG18931" s="10"/>
    </row>
    <row r="18932" spans="1:33">
      <c r="A18932" s="7"/>
      <c r="B18932" s="7"/>
      <c r="C18932" s="7"/>
      <c r="D18932" s="7"/>
      <c r="E18932" s="7"/>
      <c r="F18932" s="7"/>
      <c r="G18932" s="7"/>
      <c r="H18932" s="7"/>
      <c r="I18932" s="7"/>
      <c r="J18932" s="7"/>
      <c r="K18932" s="7"/>
      <c r="L18932" s="7"/>
      <c r="M18932" s="7"/>
      <c r="N18932" s="7"/>
      <c r="O18932" s="7"/>
      <c r="P18932" s="7"/>
      <c r="Q18932" s="7"/>
      <c r="R18932" s="7"/>
      <c r="S18932" s="7"/>
      <c r="T18932" s="7"/>
      <c r="U18932" s="7"/>
      <c r="V18932" s="7"/>
      <c r="W18932" s="7"/>
      <c r="X18932" s="7"/>
      <c r="Y18932" s="7"/>
      <c r="Z18932" s="7"/>
      <c r="AA18932" s="7"/>
      <c r="AB18932" s="7"/>
      <c r="AC18932" s="7"/>
      <c r="AD18932" s="7"/>
      <c r="AE18932" s="7"/>
      <c r="AF18932" s="7"/>
      <c r="AG18932" s="10"/>
    </row>
    <row r="18933" spans="1:33">
      <c r="A18933" s="7"/>
      <c r="B18933" s="7"/>
      <c r="C18933" s="7"/>
      <c r="D18933" s="7"/>
      <c r="E18933" s="7"/>
      <c r="F18933" s="7"/>
      <c r="G18933" s="7"/>
      <c r="H18933" s="7"/>
      <c r="I18933" s="7"/>
      <c r="J18933" s="7"/>
      <c r="K18933" s="7"/>
      <c r="L18933" s="7"/>
      <c r="M18933" s="7"/>
      <c r="N18933" s="7"/>
      <c r="O18933" s="7"/>
      <c r="P18933" s="7"/>
      <c r="Q18933" s="7"/>
      <c r="R18933" s="7"/>
      <c r="S18933" s="7"/>
      <c r="T18933" s="7"/>
      <c r="U18933" s="7"/>
      <c r="V18933" s="7"/>
      <c r="W18933" s="7"/>
      <c r="X18933" s="7"/>
      <c r="Y18933" s="7"/>
      <c r="Z18933" s="7"/>
      <c r="AA18933" s="7"/>
      <c r="AB18933" s="7"/>
      <c r="AC18933" s="7"/>
      <c r="AD18933" s="7"/>
      <c r="AE18933" s="7"/>
      <c r="AF18933" s="7"/>
      <c r="AG18933" s="10"/>
    </row>
    <row r="18934" spans="1:33">
      <c r="A18934" s="7"/>
      <c r="B18934" s="7"/>
      <c r="C18934" s="7"/>
      <c r="D18934" s="7"/>
      <c r="E18934" s="7"/>
      <c r="F18934" s="7"/>
      <c r="G18934" s="7"/>
      <c r="H18934" s="7"/>
      <c r="I18934" s="7"/>
      <c r="J18934" s="7"/>
      <c r="K18934" s="7"/>
      <c r="L18934" s="7"/>
      <c r="M18934" s="7"/>
      <c r="N18934" s="7"/>
      <c r="O18934" s="7"/>
      <c r="P18934" s="7"/>
      <c r="Q18934" s="7"/>
      <c r="R18934" s="7"/>
      <c r="S18934" s="7"/>
      <c r="T18934" s="7"/>
      <c r="U18934" s="7"/>
      <c r="V18934" s="7"/>
      <c r="W18934" s="7"/>
      <c r="X18934" s="7"/>
      <c r="Y18934" s="7"/>
      <c r="Z18934" s="7"/>
      <c r="AA18934" s="7"/>
      <c r="AB18934" s="7"/>
      <c r="AC18934" s="7"/>
      <c r="AD18934" s="7"/>
      <c r="AE18934" s="7"/>
      <c r="AF18934" s="7"/>
      <c r="AG18934" s="10"/>
    </row>
    <row r="18935" spans="1:33">
      <c r="A18935" s="7"/>
      <c r="B18935" s="7"/>
      <c r="C18935" s="7"/>
      <c r="D18935" s="7"/>
      <c r="E18935" s="7"/>
      <c r="F18935" s="7"/>
      <c r="G18935" s="7"/>
      <c r="H18935" s="7"/>
      <c r="I18935" s="7"/>
      <c r="J18935" s="7"/>
      <c r="K18935" s="7"/>
      <c r="L18935" s="7"/>
      <c r="M18935" s="7"/>
      <c r="N18935" s="7"/>
      <c r="O18935" s="7"/>
      <c r="P18935" s="7"/>
      <c r="Q18935" s="7"/>
      <c r="R18935" s="7"/>
      <c r="S18935" s="7"/>
      <c r="T18935" s="7"/>
      <c r="U18935" s="7"/>
      <c r="V18935" s="7"/>
      <c r="W18935" s="7"/>
      <c r="X18935" s="7"/>
      <c r="Y18935" s="7"/>
      <c r="Z18935" s="7"/>
      <c r="AA18935" s="7"/>
      <c r="AB18935" s="7"/>
      <c r="AC18935" s="7"/>
      <c r="AD18935" s="7"/>
      <c r="AE18935" s="7"/>
      <c r="AF18935" s="7"/>
      <c r="AG18935" s="10"/>
    </row>
    <row r="18936" spans="1:33">
      <c r="A18936" s="7"/>
      <c r="B18936" s="7"/>
      <c r="C18936" s="7"/>
      <c r="D18936" s="7"/>
      <c r="E18936" s="7"/>
      <c r="F18936" s="7"/>
      <c r="G18936" s="7"/>
      <c r="H18936" s="7"/>
      <c r="I18936" s="7"/>
      <c r="J18936" s="7"/>
      <c r="K18936" s="7"/>
      <c r="L18936" s="7"/>
      <c r="M18936" s="7"/>
      <c r="N18936" s="7"/>
      <c r="O18936" s="7"/>
      <c r="P18936" s="7"/>
      <c r="Q18936" s="7"/>
      <c r="R18936" s="7"/>
      <c r="S18936" s="7"/>
      <c r="T18936" s="7"/>
      <c r="U18936" s="7"/>
      <c r="V18936" s="7"/>
      <c r="W18936" s="7"/>
      <c r="X18936" s="7"/>
      <c r="Y18936" s="7"/>
      <c r="Z18936" s="7"/>
      <c r="AA18936" s="7"/>
      <c r="AB18936" s="7"/>
      <c r="AC18936" s="7"/>
      <c r="AD18936" s="7"/>
      <c r="AE18936" s="7"/>
      <c r="AF18936" s="7"/>
      <c r="AG18936" s="10"/>
    </row>
    <row r="18937" spans="1:33">
      <c r="A18937" s="7"/>
      <c r="B18937" s="7"/>
      <c r="C18937" s="7"/>
      <c r="D18937" s="7"/>
      <c r="E18937" s="7"/>
      <c r="F18937" s="7"/>
      <c r="G18937" s="7"/>
      <c r="H18937" s="7"/>
      <c r="I18937" s="7"/>
      <c r="J18937" s="7"/>
      <c r="K18937" s="7"/>
      <c r="L18937" s="7"/>
      <c r="M18937" s="7"/>
      <c r="N18937" s="7"/>
      <c r="O18937" s="7"/>
      <c r="P18937" s="7"/>
      <c r="Q18937" s="7"/>
      <c r="R18937" s="7"/>
      <c r="S18937" s="7"/>
      <c r="T18937" s="7"/>
      <c r="U18937" s="7"/>
      <c r="V18937" s="7"/>
      <c r="W18937" s="7"/>
      <c r="X18937" s="7"/>
      <c r="Y18937" s="7"/>
      <c r="Z18937" s="7"/>
      <c r="AA18937" s="7"/>
      <c r="AB18937" s="7"/>
      <c r="AC18937" s="7"/>
      <c r="AD18937" s="7"/>
      <c r="AE18937" s="7"/>
      <c r="AF18937" s="7"/>
      <c r="AG18937" s="10"/>
    </row>
    <row r="18938" spans="1:33">
      <c r="A18938" s="7"/>
      <c r="B18938" s="7"/>
      <c r="C18938" s="7"/>
      <c r="D18938" s="7"/>
      <c r="E18938" s="7"/>
      <c r="F18938" s="7"/>
      <c r="G18938" s="7"/>
      <c r="H18938" s="7"/>
      <c r="I18938" s="7"/>
      <c r="J18938" s="7"/>
      <c r="K18938" s="7"/>
      <c r="L18938" s="7"/>
      <c r="M18938" s="7"/>
      <c r="N18938" s="7"/>
      <c r="O18938" s="7"/>
      <c r="P18938" s="7"/>
      <c r="Q18938" s="7"/>
      <c r="R18938" s="7"/>
      <c r="S18938" s="7"/>
      <c r="T18938" s="7"/>
      <c r="U18938" s="7"/>
      <c r="V18938" s="7"/>
      <c r="W18938" s="7"/>
      <c r="X18938" s="7"/>
      <c r="Y18938" s="7"/>
      <c r="Z18938" s="7"/>
      <c r="AA18938" s="7"/>
      <c r="AB18938" s="7"/>
      <c r="AC18938" s="7"/>
      <c r="AD18938" s="7"/>
      <c r="AE18938" s="7"/>
      <c r="AF18938" s="7"/>
      <c r="AG18938" s="10"/>
    </row>
    <row r="18939" spans="1:33">
      <c r="A18939" s="7"/>
      <c r="B18939" s="7"/>
      <c r="C18939" s="7"/>
      <c r="D18939" s="7"/>
      <c r="E18939" s="7"/>
      <c r="F18939" s="7"/>
      <c r="G18939" s="7"/>
      <c r="H18939" s="7"/>
      <c r="I18939" s="7"/>
      <c r="J18939" s="7"/>
      <c r="K18939" s="7"/>
      <c r="L18939" s="7"/>
      <c r="M18939" s="7"/>
      <c r="N18939" s="7"/>
      <c r="O18939" s="7"/>
      <c r="P18939" s="7"/>
      <c r="Q18939" s="7"/>
      <c r="R18939" s="7"/>
      <c r="S18939" s="7"/>
      <c r="T18939" s="7"/>
      <c r="U18939" s="7"/>
      <c r="V18939" s="7"/>
      <c r="W18939" s="7"/>
      <c r="X18939" s="7"/>
      <c r="Y18939" s="7"/>
      <c r="Z18939" s="7"/>
      <c r="AA18939" s="7"/>
      <c r="AB18939" s="7"/>
      <c r="AC18939" s="7"/>
      <c r="AD18939" s="7"/>
      <c r="AE18939" s="7"/>
      <c r="AF18939" s="7"/>
      <c r="AG18939" s="10"/>
    </row>
    <row r="18940" spans="1:33">
      <c r="A18940" s="7"/>
      <c r="B18940" s="7"/>
      <c r="C18940" s="7"/>
      <c r="D18940" s="7"/>
      <c r="E18940" s="7"/>
      <c r="F18940" s="7"/>
      <c r="G18940" s="7"/>
      <c r="H18940" s="7"/>
      <c r="I18940" s="7"/>
      <c r="J18940" s="7"/>
      <c r="K18940" s="7"/>
      <c r="L18940" s="7"/>
      <c r="M18940" s="7"/>
      <c r="N18940" s="7"/>
      <c r="O18940" s="7"/>
      <c r="P18940" s="7"/>
      <c r="Q18940" s="7"/>
      <c r="R18940" s="7"/>
      <c r="S18940" s="7"/>
      <c r="T18940" s="7"/>
      <c r="U18940" s="7"/>
      <c r="V18940" s="7"/>
      <c r="W18940" s="7"/>
      <c r="X18940" s="7"/>
      <c r="Y18940" s="7"/>
      <c r="Z18940" s="7"/>
      <c r="AA18940" s="7"/>
      <c r="AB18940" s="7"/>
      <c r="AC18940" s="7"/>
      <c r="AD18940" s="7"/>
      <c r="AE18940" s="7"/>
      <c r="AF18940" s="7"/>
      <c r="AG18940" s="10"/>
    </row>
    <row r="18941" spans="1:33">
      <c r="A18941" s="7"/>
      <c r="B18941" s="7"/>
      <c r="C18941" s="7"/>
      <c r="D18941" s="7"/>
      <c r="E18941" s="7"/>
      <c r="F18941" s="7"/>
      <c r="G18941" s="7"/>
      <c r="H18941" s="7"/>
      <c r="I18941" s="7"/>
      <c r="J18941" s="7"/>
      <c r="K18941" s="7"/>
      <c r="L18941" s="7"/>
      <c r="M18941" s="7"/>
      <c r="N18941" s="7"/>
      <c r="O18941" s="7"/>
      <c r="P18941" s="7"/>
      <c r="Q18941" s="7"/>
      <c r="R18941" s="7"/>
      <c r="S18941" s="7"/>
      <c r="T18941" s="7"/>
      <c r="U18941" s="7"/>
      <c r="V18941" s="7"/>
      <c r="W18941" s="7"/>
      <c r="X18941" s="7"/>
      <c r="Y18941" s="7"/>
      <c r="Z18941" s="7"/>
      <c r="AA18941" s="7"/>
      <c r="AB18941" s="7"/>
      <c r="AC18941" s="7"/>
      <c r="AD18941" s="7"/>
      <c r="AE18941" s="7"/>
      <c r="AF18941" s="7"/>
      <c r="AG18941" s="10"/>
    </row>
    <row r="18942" spans="1:33">
      <c r="A18942" s="7"/>
      <c r="B18942" s="7"/>
      <c r="C18942" s="7"/>
      <c r="D18942" s="7"/>
      <c r="E18942" s="7"/>
      <c r="F18942" s="7"/>
      <c r="G18942" s="7"/>
      <c r="H18942" s="7"/>
      <c r="I18942" s="7"/>
      <c r="J18942" s="7"/>
      <c r="K18942" s="7"/>
      <c r="L18942" s="7"/>
      <c r="M18942" s="7"/>
      <c r="N18942" s="7"/>
      <c r="O18942" s="7"/>
      <c r="P18942" s="7"/>
      <c r="Q18942" s="7"/>
      <c r="R18942" s="7"/>
      <c r="S18942" s="7"/>
      <c r="T18942" s="7"/>
      <c r="U18942" s="7"/>
      <c r="V18942" s="7"/>
      <c r="W18942" s="7"/>
      <c r="X18942" s="7"/>
      <c r="Y18942" s="7"/>
      <c r="Z18942" s="7"/>
      <c r="AA18942" s="7"/>
      <c r="AB18942" s="7"/>
      <c r="AC18942" s="7"/>
      <c r="AD18942" s="7"/>
      <c r="AE18942" s="7"/>
      <c r="AF18942" s="7"/>
      <c r="AG18942" s="10"/>
    </row>
    <row r="18943" spans="1:33">
      <c r="A18943" s="7"/>
      <c r="B18943" s="7"/>
      <c r="C18943" s="7"/>
      <c r="D18943" s="7"/>
      <c r="E18943" s="7"/>
      <c r="F18943" s="7"/>
      <c r="G18943" s="7"/>
      <c r="H18943" s="7"/>
      <c r="I18943" s="7"/>
      <c r="J18943" s="7"/>
      <c r="K18943" s="7"/>
      <c r="L18943" s="7"/>
      <c r="M18943" s="7"/>
      <c r="N18943" s="7"/>
      <c r="O18943" s="7"/>
      <c r="P18943" s="7"/>
      <c r="Q18943" s="7"/>
      <c r="R18943" s="7"/>
      <c r="S18943" s="7"/>
      <c r="T18943" s="7"/>
      <c r="U18943" s="7"/>
      <c r="V18943" s="7"/>
      <c r="W18943" s="7"/>
      <c r="X18943" s="7"/>
      <c r="Y18943" s="7"/>
      <c r="Z18943" s="7"/>
      <c r="AA18943" s="7"/>
      <c r="AB18943" s="7"/>
      <c r="AC18943" s="7"/>
      <c r="AD18943" s="7"/>
      <c r="AE18943" s="7"/>
      <c r="AF18943" s="7"/>
      <c r="AG18943" s="10"/>
    </row>
    <row r="18944" spans="1:33">
      <c r="A18944" s="7"/>
      <c r="B18944" s="7"/>
      <c r="C18944" s="7"/>
      <c r="D18944" s="7"/>
      <c r="E18944" s="7"/>
      <c r="F18944" s="7"/>
      <c r="G18944" s="7"/>
      <c r="H18944" s="7"/>
      <c r="I18944" s="7"/>
      <c r="J18944" s="7"/>
      <c r="K18944" s="7"/>
      <c r="L18944" s="7"/>
      <c r="M18944" s="7"/>
      <c r="N18944" s="7"/>
      <c r="O18944" s="7"/>
      <c r="P18944" s="7"/>
      <c r="Q18944" s="7"/>
      <c r="R18944" s="7"/>
      <c r="S18944" s="7"/>
      <c r="T18944" s="7"/>
      <c r="U18944" s="7"/>
      <c r="V18944" s="7"/>
      <c r="W18944" s="7"/>
      <c r="X18944" s="7"/>
      <c r="Y18944" s="7"/>
      <c r="Z18944" s="7"/>
      <c r="AA18944" s="7"/>
      <c r="AB18944" s="7"/>
      <c r="AC18944" s="7"/>
      <c r="AD18944" s="7"/>
      <c r="AE18944" s="7"/>
      <c r="AF18944" s="7"/>
      <c r="AG18944" s="10"/>
    </row>
    <row r="18945" spans="1:33">
      <c r="A18945" s="7"/>
      <c r="B18945" s="7"/>
      <c r="C18945" s="7"/>
      <c r="D18945" s="7"/>
      <c r="E18945" s="7"/>
      <c r="F18945" s="7"/>
      <c r="G18945" s="7"/>
      <c r="H18945" s="7"/>
      <c r="I18945" s="7"/>
      <c r="J18945" s="7"/>
      <c r="K18945" s="7"/>
      <c r="L18945" s="7"/>
      <c r="M18945" s="7"/>
      <c r="N18945" s="7"/>
      <c r="O18945" s="7"/>
      <c r="P18945" s="7"/>
      <c r="Q18945" s="7"/>
      <c r="R18945" s="7"/>
      <c r="S18945" s="7"/>
      <c r="T18945" s="7"/>
      <c r="U18945" s="7"/>
      <c r="V18945" s="7"/>
      <c r="W18945" s="7"/>
      <c r="X18945" s="7"/>
      <c r="Y18945" s="7"/>
      <c r="Z18945" s="7"/>
      <c r="AA18945" s="7"/>
      <c r="AB18945" s="7"/>
      <c r="AC18945" s="7"/>
      <c r="AD18945" s="7"/>
      <c r="AE18945" s="7"/>
      <c r="AF18945" s="7"/>
      <c r="AG18945" s="10"/>
    </row>
    <row r="18946" spans="1:33">
      <c r="A18946" s="7"/>
      <c r="B18946" s="7"/>
      <c r="C18946" s="7"/>
      <c r="D18946" s="7"/>
      <c r="E18946" s="7"/>
      <c r="F18946" s="7"/>
      <c r="G18946" s="7"/>
      <c r="H18946" s="7"/>
      <c r="I18946" s="7"/>
      <c r="J18946" s="7"/>
      <c r="K18946" s="7"/>
      <c r="L18946" s="7"/>
      <c r="M18946" s="7"/>
      <c r="N18946" s="7"/>
      <c r="O18946" s="7"/>
      <c r="P18946" s="7"/>
      <c r="Q18946" s="7"/>
      <c r="R18946" s="7"/>
      <c r="S18946" s="7"/>
      <c r="T18946" s="7"/>
      <c r="U18946" s="7"/>
      <c r="V18946" s="7"/>
      <c r="W18946" s="7"/>
      <c r="X18946" s="7"/>
      <c r="Y18946" s="7"/>
      <c r="Z18946" s="7"/>
      <c r="AA18946" s="7"/>
      <c r="AB18946" s="7"/>
      <c r="AC18946" s="7"/>
      <c r="AD18946" s="7"/>
      <c r="AE18946" s="7"/>
      <c r="AF18946" s="7"/>
      <c r="AG18946" s="10"/>
    </row>
    <row r="18947" spans="1:33">
      <c r="A18947" s="7"/>
      <c r="B18947" s="7"/>
      <c r="C18947" s="7"/>
      <c r="D18947" s="7"/>
      <c r="E18947" s="7"/>
      <c r="F18947" s="7"/>
      <c r="G18947" s="7"/>
      <c r="H18947" s="7"/>
      <c r="I18947" s="7"/>
      <c r="J18947" s="7"/>
      <c r="K18947" s="7"/>
      <c r="L18947" s="7"/>
      <c r="M18947" s="7"/>
      <c r="N18947" s="7"/>
      <c r="O18947" s="7"/>
      <c r="P18947" s="7"/>
      <c r="Q18947" s="7"/>
      <c r="R18947" s="7"/>
      <c r="S18947" s="7"/>
      <c r="T18947" s="7"/>
      <c r="U18947" s="7"/>
      <c r="V18947" s="7"/>
      <c r="W18947" s="7"/>
      <c r="X18947" s="7"/>
      <c r="Y18947" s="7"/>
      <c r="Z18947" s="7"/>
      <c r="AA18947" s="7"/>
      <c r="AB18947" s="7"/>
      <c r="AC18947" s="7"/>
      <c r="AD18947" s="7"/>
      <c r="AE18947" s="7"/>
      <c r="AF18947" s="7"/>
      <c r="AG18947" s="10"/>
    </row>
    <row r="18948" spans="1:33">
      <c r="A18948" s="7"/>
      <c r="B18948" s="7"/>
      <c r="C18948" s="7"/>
      <c r="D18948" s="7"/>
      <c r="E18948" s="7"/>
      <c r="F18948" s="7"/>
      <c r="G18948" s="7"/>
      <c r="H18948" s="7"/>
      <c r="I18948" s="7"/>
      <c r="J18948" s="7"/>
      <c r="K18948" s="7"/>
      <c r="L18948" s="7"/>
      <c r="M18948" s="7"/>
      <c r="N18948" s="7"/>
      <c r="O18948" s="7"/>
      <c r="P18948" s="7"/>
      <c r="Q18948" s="7"/>
      <c r="R18948" s="7"/>
      <c r="S18948" s="7"/>
      <c r="T18948" s="7"/>
      <c r="U18948" s="7"/>
      <c r="V18948" s="7"/>
      <c r="W18948" s="7"/>
      <c r="X18948" s="7"/>
      <c r="Y18948" s="7"/>
      <c r="Z18948" s="7"/>
      <c r="AA18948" s="7"/>
      <c r="AB18948" s="7"/>
      <c r="AC18948" s="7"/>
      <c r="AD18948" s="7"/>
      <c r="AE18948" s="7"/>
      <c r="AF18948" s="7"/>
      <c r="AG18948" s="10"/>
    </row>
    <row r="18949" spans="1:33">
      <c r="A18949" s="7"/>
      <c r="B18949" s="7"/>
      <c r="C18949" s="7"/>
      <c r="D18949" s="7"/>
      <c r="E18949" s="7"/>
      <c r="F18949" s="7"/>
      <c r="G18949" s="7"/>
      <c r="H18949" s="7"/>
      <c r="I18949" s="7"/>
      <c r="J18949" s="7"/>
      <c r="K18949" s="7"/>
      <c r="L18949" s="7"/>
      <c r="M18949" s="7"/>
      <c r="N18949" s="7"/>
      <c r="O18949" s="7"/>
      <c r="P18949" s="7"/>
      <c r="Q18949" s="7"/>
      <c r="R18949" s="7"/>
      <c r="S18949" s="7"/>
      <c r="T18949" s="7"/>
      <c r="U18949" s="7"/>
      <c r="V18949" s="7"/>
      <c r="W18949" s="7"/>
      <c r="X18949" s="7"/>
      <c r="Y18949" s="7"/>
      <c r="Z18949" s="7"/>
      <c r="AA18949" s="7"/>
      <c r="AB18949" s="7"/>
      <c r="AC18949" s="7"/>
      <c r="AD18949" s="7"/>
      <c r="AE18949" s="7"/>
      <c r="AF18949" s="7"/>
      <c r="AG18949" s="10"/>
    </row>
    <row r="18950" spans="1:33">
      <c r="A18950" s="7"/>
      <c r="B18950" s="7"/>
      <c r="C18950" s="7"/>
      <c r="D18950" s="7"/>
      <c r="E18950" s="7"/>
      <c r="F18950" s="7"/>
      <c r="G18950" s="7"/>
      <c r="H18950" s="7"/>
      <c r="I18950" s="7"/>
      <c r="J18950" s="7"/>
      <c r="K18950" s="7"/>
      <c r="L18950" s="7"/>
      <c r="M18950" s="7"/>
      <c r="N18950" s="7"/>
      <c r="O18950" s="7"/>
      <c r="P18950" s="7"/>
      <c r="Q18950" s="7"/>
      <c r="R18950" s="7"/>
      <c r="S18950" s="7"/>
      <c r="T18950" s="7"/>
      <c r="U18950" s="7"/>
      <c r="V18950" s="7"/>
      <c r="W18950" s="7"/>
      <c r="X18950" s="7"/>
      <c r="Y18950" s="7"/>
      <c r="Z18950" s="7"/>
      <c r="AA18950" s="7"/>
      <c r="AB18950" s="7"/>
      <c r="AC18950" s="7"/>
      <c r="AD18950" s="7"/>
      <c r="AE18950" s="7"/>
      <c r="AF18950" s="7"/>
      <c r="AG18950" s="10"/>
    </row>
    <row r="18951" spans="1:33">
      <c r="A18951" s="7"/>
      <c r="B18951" s="7"/>
      <c r="C18951" s="7"/>
      <c r="D18951" s="7"/>
      <c r="E18951" s="7"/>
      <c r="F18951" s="7"/>
      <c r="G18951" s="7"/>
      <c r="H18951" s="7"/>
      <c r="I18951" s="7"/>
      <c r="J18951" s="7"/>
      <c r="K18951" s="7"/>
      <c r="L18951" s="7"/>
      <c r="M18951" s="7"/>
      <c r="N18951" s="7"/>
      <c r="O18951" s="7"/>
      <c r="P18951" s="7"/>
      <c r="Q18951" s="7"/>
      <c r="R18951" s="7"/>
      <c r="S18951" s="7"/>
      <c r="T18951" s="7"/>
      <c r="U18951" s="7"/>
      <c r="V18951" s="7"/>
      <c r="W18951" s="7"/>
      <c r="X18951" s="7"/>
      <c r="Y18951" s="7"/>
      <c r="Z18951" s="7"/>
      <c r="AA18951" s="7"/>
      <c r="AB18951" s="7"/>
      <c r="AC18951" s="7"/>
      <c r="AD18951" s="7"/>
      <c r="AE18951" s="7"/>
      <c r="AF18951" s="7"/>
      <c r="AG18951" s="10"/>
    </row>
    <row r="18952" spans="1:33">
      <c r="A18952" s="7"/>
      <c r="B18952" s="7"/>
      <c r="C18952" s="7"/>
      <c r="D18952" s="7"/>
      <c r="E18952" s="7"/>
      <c r="F18952" s="7"/>
      <c r="G18952" s="7"/>
      <c r="H18952" s="7"/>
      <c r="I18952" s="7"/>
      <c r="J18952" s="7"/>
      <c r="K18952" s="7"/>
      <c r="L18952" s="7"/>
      <c r="M18952" s="7"/>
      <c r="N18952" s="7"/>
      <c r="O18952" s="7"/>
      <c r="P18952" s="7"/>
      <c r="Q18952" s="7"/>
      <c r="R18952" s="7"/>
      <c r="S18952" s="7"/>
      <c r="T18952" s="7"/>
      <c r="U18952" s="7"/>
      <c r="V18952" s="7"/>
      <c r="W18952" s="7"/>
      <c r="X18952" s="7"/>
      <c r="Y18952" s="7"/>
      <c r="Z18952" s="7"/>
      <c r="AA18952" s="7"/>
      <c r="AB18952" s="7"/>
      <c r="AC18952" s="7"/>
      <c r="AD18952" s="7"/>
      <c r="AE18952" s="7"/>
      <c r="AF18952" s="7"/>
      <c r="AG18952" s="10"/>
    </row>
    <row r="18953" spans="1:33">
      <c r="A18953" s="7"/>
      <c r="B18953" s="7"/>
      <c r="C18953" s="7"/>
      <c r="D18953" s="7"/>
      <c r="E18953" s="7"/>
      <c r="F18953" s="7"/>
      <c r="G18953" s="7"/>
      <c r="H18953" s="7"/>
      <c r="I18953" s="7"/>
      <c r="J18953" s="7"/>
      <c r="K18953" s="7"/>
      <c r="L18953" s="7"/>
      <c r="M18953" s="7"/>
      <c r="N18953" s="7"/>
      <c r="O18953" s="7"/>
      <c r="P18953" s="7"/>
      <c r="Q18953" s="7"/>
      <c r="R18953" s="7"/>
      <c r="S18953" s="7"/>
      <c r="T18953" s="7"/>
      <c r="U18953" s="7"/>
      <c r="V18953" s="7"/>
      <c r="W18953" s="7"/>
      <c r="X18953" s="7"/>
      <c r="Y18953" s="7"/>
      <c r="Z18953" s="7"/>
      <c r="AA18953" s="7"/>
      <c r="AB18953" s="7"/>
      <c r="AC18953" s="7"/>
      <c r="AD18953" s="7"/>
      <c r="AE18953" s="7"/>
      <c r="AF18953" s="7"/>
      <c r="AG18953" s="10"/>
    </row>
    <row r="18954" spans="1:33">
      <c r="A18954" s="7"/>
      <c r="B18954" s="7"/>
      <c r="C18954" s="7"/>
      <c r="D18954" s="7"/>
      <c r="E18954" s="7"/>
      <c r="F18954" s="7"/>
      <c r="G18954" s="7"/>
      <c r="H18954" s="7"/>
      <c r="I18954" s="7"/>
      <c r="J18954" s="7"/>
      <c r="K18954" s="7"/>
      <c r="L18954" s="7"/>
      <c r="M18954" s="7"/>
      <c r="N18954" s="7"/>
      <c r="O18954" s="7"/>
      <c r="P18954" s="7"/>
      <c r="Q18954" s="7"/>
      <c r="R18954" s="7"/>
      <c r="S18954" s="7"/>
      <c r="T18954" s="7"/>
      <c r="U18954" s="7"/>
      <c r="V18954" s="7"/>
      <c r="W18954" s="7"/>
      <c r="X18954" s="7"/>
      <c r="Y18954" s="7"/>
      <c r="Z18954" s="7"/>
      <c r="AA18954" s="7"/>
      <c r="AB18954" s="7"/>
      <c r="AC18954" s="7"/>
      <c r="AD18954" s="7"/>
      <c r="AE18954" s="7"/>
      <c r="AF18954" s="7"/>
      <c r="AG18954" s="10"/>
    </row>
    <row r="18955" spans="1:33">
      <c r="A18955" s="7"/>
      <c r="B18955" s="7"/>
      <c r="C18955" s="7"/>
      <c r="D18955" s="7"/>
      <c r="E18955" s="7"/>
      <c r="F18955" s="7"/>
      <c r="G18955" s="7"/>
      <c r="H18955" s="7"/>
      <c r="I18955" s="7"/>
      <c r="J18955" s="7"/>
      <c r="K18955" s="7"/>
      <c r="L18955" s="7"/>
      <c r="M18955" s="7"/>
      <c r="N18955" s="7"/>
      <c r="O18955" s="7"/>
      <c r="P18955" s="7"/>
      <c r="Q18955" s="7"/>
      <c r="R18955" s="7"/>
      <c r="S18955" s="7"/>
      <c r="T18955" s="7"/>
      <c r="U18955" s="7"/>
      <c r="V18955" s="7"/>
      <c r="W18955" s="7"/>
      <c r="X18955" s="7"/>
      <c r="Y18955" s="7"/>
      <c r="Z18955" s="7"/>
      <c r="AA18955" s="7"/>
      <c r="AB18955" s="7"/>
      <c r="AC18955" s="7"/>
      <c r="AD18955" s="7"/>
      <c r="AE18955" s="7"/>
      <c r="AF18955" s="7"/>
      <c r="AG18955" s="10"/>
    </row>
    <row r="18956" spans="1:33">
      <c r="A18956" s="7"/>
      <c r="B18956" s="7"/>
      <c r="C18956" s="7"/>
      <c r="D18956" s="7"/>
      <c r="E18956" s="7"/>
      <c r="F18956" s="7"/>
      <c r="G18956" s="7"/>
      <c r="H18956" s="7"/>
      <c r="I18956" s="7"/>
      <c r="J18956" s="7"/>
      <c r="K18956" s="7"/>
      <c r="L18956" s="7"/>
      <c r="M18956" s="7"/>
      <c r="N18956" s="7"/>
      <c r="O18956" s="7"/>
      <c r="P18956" s="7"/>
      <c r="Q18956" s="7"/>
      <c r="R18956" s="7"/>
      <c r="S18956" s="7"/>
      <c r="T18956" s="7"/>
      <c r="U18956" s="7"/>
      <c r="V18956" s="7"/>
      <c r="W18956" s="7"/>
      <c r="X18956" s="7"/>
      <c r="Y18956" s="7"/>
      <c r="Z18956" s="7"/>
      <c r="AA18956" s="7"/>
      <c r="AB18956" s="7"/>
      <c r="AC18956" s="7"/>
      <c r="AD18956" s="7"/>
      <c r="AE18956" s="7"/>
      <c r="AF18956" s="7"/>
      <c r="AG18956" s="10"/>
    </row>
    <row r="18957" spans="1:33">
      <c r="A18957" s="7"/>
      <c r="B18957" s="7"/>
      <c r="C18957" s="7"/>
      <c r="D18957" s="7"/>
      <c r="E18957" s="7"/>
      <c r="F18957" s="7"/>
      <c r="G18957" s="7"/>
      <c r="H18957" s="7"/>
      <c r="I18957" s="7"/>
      <c r="J18957" s="7"/>
      <c r="K18957" s="7"/>
      <c r="L18957" s="7"/>
      <c r="M18957" s="7"/>
      <c r="N18957" s="7"/>
      <c r="O18957" s="7"/>
      <c r="P18957" s="7"/>
      <c r="Q18957" s="7"/>
      <c r="R18957" s="7"/>
      <c r="S18957" s="7"/>
      <c r="T18957" s="7"/>
      <c r="U18957" s="7"/>
      <c r="V18957" s="7"/>
      <c r="W18957" s="7"/>
      <c r="X18957" s="7"/>
      <c r="Y18957" s="7"/>
      <c r="Z18957" s="7"/>
      <c r="AA18957" s="7"/>
      <c r="AB18957" s="7"/>
      <c r="AC18957" s="7"/>
      <c r="AD18957" s="7"/>
      <c r="AE18957" s="7"/>
      <c r="AF18957" s="7"/>
      <c r="AG18957" s="10"/>
    </row>
    <row r="18958" spans="1:33">
      <c r="A18958" s="7"/>
      <c r="B18958" s="7"/>
      <c r="C18958" s="7"/>
      <c r="D18958" s="7"/>
      <c r="E18958" s="7"/>
      <c r="F18958" s="7"/>
      <c r="G18958" s="7"/>
      <c r="H18958" s="7"/>
      <c r="I18958" s="7"/>
      <c r="J18958" s="7"/>
      <c r="K18958" s="7"/>
      <c r="L18958" s="7"/>
      <c r="M18958" s="7"/>
      <c r="N18958" s="7"/>
      <c r="O18958" s="7"/>
      <c r="P18958" s="7"/>
      <c r="Q18958" s="7"/>
      <c r="R18958" s="7"/>
      <c r="S18958" s="7"/>
      <c r="T18958" s="7"/>
      <c r="U18958" s="7"/>
      <c r="V18958" s="7"/>
      <c r="W18958" s="7"/>
      <c r="X18958" s="7"/>
      <c r="Y18958" s="7"/>
      <c r="Z18958" s="7"/>
      <c r="AA18958" s="7"/>
      <c r="AB18958" s="7"/>
      <c r="AC18958" s="7"/>
      <c r="AD18958" s="7"/>
      <c r="AE18958" s="7"/>
      <c r="AF18958" s="7"/>
      <c r="AG18958" s="10"/>
    </row>
    <row r="18959" spans="1:33">
      <c r="A18959" s="7"/>
      <c r="B18959" s="7"/>
      <c r="C18959" s="7"/>
      <c r="D18959" s="7"/>
      <c r="E18959" s="7"/>
      <c r="F18959" s="7"/>
      <c r="G18959" s="7"/>
      <c r="H18959" s="7"/>
      <c r="I18959" s="7"/>
      <c r="J18959" s="7"/>
      <c r="K18959" s="7"/>
      <c r="L18959" s="7"/>
      <c r="M18959" s="7"/>
      <c r="N18959" s="7"/>
      <c r="O18959" s="7"/>
      <c r="P18959" s="7"/>
      <c r="Q18959" s="7"/>
      <c r="R18959" s="7"/>
      <c r="S18959" s="7"/>
      <c r="T18959" s="7"/>
      <c r="U18959" s="7"/>
      <c r="V18959" s="7"/>
      <c r="W18959" s="7"/>
      <c r="X18959" s="7"/>
      <c r="Y18959" s="7"/>
      <c r="Z18959" s="7"/>
      <c r="AA18959" s="7"/>
      <c r="AB18959" s="7"/>
      <c r="AC18959" s="7"/>
      <c r="AD18959" s="7"/>
      <c r="AE18959" s="7"/>
      <c r="AF18959" s="7"/>
      <c r="AG18959" s="10"/>
    </row>
    <row r="18960" spans="1:33">
      <c r="A18960" s="7"/>
      <c r="B18960" s="7"/>
      <c r="C18960" s="7"/>
      <c r="D18960" s="7"/>
      <c r="E18960" s="7"/>
      <c r="F18960" s="7"/>
      <c r="G18960" s="7"/>
      <c r="H18960" s="7"/>
      <c r="I18960" s="7"/>
      <c r="J18960" s="7"/>
      <c r="K18960" s="7"/>
      <c r="L18960" s="7"/>
      <c r="M18960" s="7"/>
      <c r="N18960" s="7"/>
      <c r="O18960" s="7"/>
      <c r="P18960" s="7"/>
      <c r="Q18960" s="7"/>
      <c r="R18960" s="7"/>
      <c r="S18960" s="7"/>
      <c r="T18960" s="7"/>
      <c r="U18960" s="7"/>
      <c r="V18960" s="7"/>
      <c r="W18960" s="7"/>
      <c r="X18960" s="7"/>
      <c r="Y18960" s="7"/>
      <c r="Z18960" s="7"/>
      <c r="AA18960" s="7"/>
      <c r="AB18960" s="7"/>
      <c r="AC18960" s="7"/>
      <c r="AD18960" s="7"/>
      <c r="AE18960" s="7"/>
      <c r="AF18960" s="7"/>
      <c r="AG18960" s="10"/>
    </row>
    <row r="18961" spans="1:33">
      <c r="A18961" s="7"/>
      <c r="B18961" s="7"/>
      <c r="C18961" s="7"/>
      <c r="D18961" s="7"/>
      <c r="E18961" s="7"/>
      <c r="F18961" s="7"/>
      <c r="G18961" s="7"/>
      <c r="H18961" s="7"/>
      <c r="I18961" s="7"/>
      <c r="J18961" s="7"/>
      <c r="K18961" s="7"/>
      <c r="L18961" s="7"/>
      <c r="M18961" s="7"/>
      <c r="N18961" s="7"/>
      <c r="O18961" s="7"/>
      <c r="P18961" s="7"/>
      <c r="Q18961" s="7"/>
      <c r="R18961" s="7"/>
      <c r="S18961" s="7"/>
      <c r="T18961" s="7"/>
      <c r="U18961" s="7"/>
      <c r="V18961" s="7"/>
      <c r="W18961" s="7"/>
      <c r="X18961" s="7"/>
      <c r="Y18961" s="7"/>
      <c r="Z18961" s="7"/>
      <c r="AA18961" s="7"/>
      <c r="AB18961" s="7"/>
      <c r="AC18961" s="7"/>
      <c r="AD18961" s="7"/>
      <c r="AE18961" s="7"/>
      <c r="AF18961" s="7"/>
      <c r="AG18961" s="10"/>
    </row>
    <row r="18962" spans="1:33">
      <c r="A18962" s="7"/>
      <c r="B18962" s="7"/>
      <c r="C18962" s="7"/>
      <c r="D18962" s="7"/>
      <c r="E18962" s="7"/>
      <c r="F18962" s="7"/>
      <c r="G18962" s="7"/>
      <c r="H18962" s="7"/>
      <c r="I18962" s="7"/>
      <c r="J18962" s="7"/>
      <c r="K18962" s="7"/>
      <c r="L18962" s="7"/>
      <c r="M18962" s="7"/>
      <c r="N18962" s="7"/>
      <c r="O18962" s="7"/>
      <c r="P18962" s="7"/>
      <c r="Q18962" s="7"/>
      <c r="R18962" s="7"/>
      <c r="S18962" s="7"/>
      <c r="T18962" s="7"/>
      <c r="U18962" s="7"/>
      <c r="V18962" s="7"/>
      <c r="W18962" s="7"/>
      <c r="X18962" s="7"/>
      <c r="Y18962" s="7"/>
      <c r="Z18962" s="7"/>
      <c r="AA18962" s="7"/>
      <c r="AB18962" s="7"/>
      <c r="AC18962" s="7"/>
      <c r="AD18962" s="7"/>
      <c r="AE18962" s="7"/>
      <c r="AF18962" s="7"/>
      <c r="AG18962" s="10"/>
    </row>
    <row r="18963" spans="1:33">
      <c r="A18963" s="7"/>
      <c r="B18963" s="7"/>
      <c r="C18963" s="7"/>
      <c r="D18963" s="7"/>
      <c r="E18963" s="7"/>
      <c r="F18963" s="7"/>
      <c r="G18963" s="7"/>
      <c r="H18963" s="7"/>
      <c r="I18963" s="7"/>
      <c r="J18963" s="7"/>
      <c r="K18963" s="7"/>
      <c r="L18963" s="7"/>
      <c r="M18963" s="7"/>
      <c r="N18963" s="7"/>
      <c r="O18963" s="7"/>
      <c r="P18963" s="7"/>
      <c r="Q18963" s="7"/>
      <c r="R18963" s="7"/>
      <c r="S18963" s="7"/>
      <c r="T18963" s="7"/>
      <c r="U18963" s="7"/>
      <c r="V18963" s="7"/>
      <c r="W18963" s="7"/>
      <c r="X18963" s="7"/>
      <c r="Y18963" s="7"/>
      <c r="Z18963" s="7"/>
      <c r="AA18963" s="7"/>
      <c r="AB18963" s="7"/>
      <c r="AC18963" s="7"/>
      <c r="AD18963" s="7"/>
      <c r="AE18963" s="7"/>
      <c r="AF18963" s="7"/>
      <c r="AG18963" s="10"/>
    </row>
    <row r="18964" spans="1:33">
      <c r="A18964" s="7"/>
      <c r="B18964" s="7"/>
      <c r="C18964" s="7"/>
      <c r="D18964" s="7"/>
      <c r="E18964" s="7"/>
      <c r="F18964" s="7"/>
      <c r="G18964" s="7"/>
      <c r="H18964" s="7"/>
      <c r="I18964" s="7"/>
      <c r="J18964" s="7"/>
      <c r="K18964" s="7"/>
      <c r="L18964" s="7"/>
      <c r="M18964" s="7"/>
      <c r="N18964" s="7"/>
      <c r="O18964" s="7"/>
      <c r="P18964" s="7"/>
      <c r="Q18964" s="7"/>
      <c r="R18964" s="7"/>
      <c r="S18964" s="7"/>
      <c r="T18964" s="7"/>
      <c r="U18964" s="7"/>
      <c r="V18964" s="7"/>
      <c r="W18964" s="7"/>
      <c r="X18964" s="7"/>
      <c r="Y18964" s="7"/>
      <c r="Z18964" s="7"/>
      <c r="AA18964" s="7"/>
      <c r="AB18964" s="7"/>
      <c r="AC18964" s="7"/>
      <c r="AD18964" s="7"/>
      <c r="AE18964" s="7"/>
      <c r="AF18964" s="7"/>
      <c r="AG18964" s="10"/>
    </row>
    <row r="18965" spans="1:33">
      <c r="A18965" s="7"/>
      <c r="B18965" s="7"/>
      <c r="C18965" s="7"/>
      <c r="D18965" s="7"/>
      <c r="E18965" s="7"/>
      <c r="F18965" s="7"/>
      <c r="G18965" s="7"/>
      <c r="H18965" s="7"/>
      <c r="I18965" s="7"/>
      <c r="J18965" s="7"/>
      <c r="K18965" s="7"/>
      <c r="L18965" s="7"/>
      <c r="M18965" s="7"/>
      <c r="N18965" s="7"/>
      <c r="O18965" s="7"/>
      <c r="P18965" s="7"/>
      <c r="Q18965" s="7"/>
      <c r="R18965" s="7"/>
      <c r="S18965" s="7"/>
      <c r="T18965" s="7"/>
      <c r="U18965" s="7"/>
      <c r="V18965" s="7"/>
      <c r="W18965" s="7"/>
      <c r="X18965" s="7"/>
      <c r="Y18965" s="7"/>
      <c r="Z18965" s="7"/>
      <c r="AA18965" s="7"/>
      <c r="AB18965" s="7"/>
      <c r="AC18965" s="7"/>
      <c r="AD18965" s="7"/>
      <c r="AE18965" s="7"/>
      <c r="AF18965" s="7"/>
      <c r="AG18965" s="10"/>
    </row>
    <row r="18966" spans="1:33">
      <c r="A18966" s="7"/>
      <c r="B18966" s="7"/>
      <c r="C18966" s="7"/>
      <c r="D18966" s="7"/>
      <c r="E18966" s="7"/>
      <c r="F18966" s="7"/>
      <c r="G18966" s="7"/>
      <c r="H18966" s="7"/>
      <c r="I18966" s="7"/>
      <c r="J18966" s="7"/>
      <c r="K18966" s="7"/>
      <c r="L18966" s="7"/>
      <c r="M18966" s="7"/>
      <c r="N18966" s="7"/>
      <c r="O18966" s="7"/>
      <c r="P18966" s="7"/>
      <c r="Q18966" s="7"/>
      <c r="R18966" s="7"/>
      <c r="S18966" s="7"/>
      <c r="T18966" s="7"/>
      <c r="U18966" s="7"/>
      <c r="V18966" s="7"/>
      <c r="W18966" s="7"/>
      <c r="X18966" s="7"/>
      <c r="Y18966" s="7"/>
      <c r="Z18966" s="7"/>
      <c r="AA18966" s="7"/>
      <c r="AB18966" s="7"/>
      <c r="AC18966" s="7"/>
      <c r="AD18966" s="7"/>
      <c r="AE18966" s="7"/>
      <c r="AF18966" s="7"/>
      <c r="AG18966" s="10"/>
    </row>
    <row r="18967" spans="1:33">
      <c r="A18967" s="7"/>
      <c r="B18967" s="7"/>
      <c r="C18967" s="7"/>
      <c r="D18967" s="7"/>
      <c r="E18967" s="7"/>
      <c r="F18967" s="7"/>
      <c r="G18967" s="7"/>
      <c r="H18967" s="7"/>
      <c r="I18967" s="7"/>
      <c r="J18967" s="7"/>
      <c r="K18967" s="7"/>
      <c r="L18967" s="7"/>
      <c r="M18967" s="7"/>
      <c r="N18967" s="7"/>
      <c r="O18967" s="7"/>
      <c r="P18967" s="7"/>
      <c r="Q18967" s="7"/>
      <c r="R18967" s="7"/>
      <c r="S18967" s="7"/>
      <c r="T18967" s="7"/>
      <c r="U18967" s="7"/>
      <c r="V18967" s="7"/>
      <c r="W18967" s="7"/>
      <c r="X18967" s="7"/>
      <c r="Y18967" s="7"/>
      <c r="Z18967" s="7"/>
      <c r="AA18967" s="7"/>
      <c r="AB18967" s="7"/>
      <c r="AC18967" s="7"/>
      <c r="AD18967" s="7"/>
      <c r="AE18967" s="7"/>
      <c r="AF18967" s="7"/>
      <c r="AG18967" s="10"/>
    </row>
    <row r="18968" spans="1:33">
      <c r="A18968" s="7"/>
      <c r="B18968" s="7"/>
      <c r="C18968" s="7"/>
      <c r="D18968" s="7"/>
      <c r="E18968" s="7"/>
      <c r="F18968" s="7"/>
      <c r="G18968" s="7"/>
      <c r="H18968" s="7"/>
      <c r="I18968" s="7"/>
      <c r="J18968" s="7"/>
      <c r="K18968" s="7"/>
      <c r="L18968" s="7"/>
      <c r="M18968" s="7"/>
      <c r="N18968" s="7"/>
      <c r="O18968" s="7"/>
      <c r="P18968" s="7"/>
      <c r="Q18968" s="7"/>
      <c r="R18968" s="7"/>
      <c r="S18968" s="7"/>
      <c r="T18968" s="7"/>
      <c r="U18968" s="7"/>
      <c r="V18968" s="7"/>
      <c r="W18968" s="7"/>
      <c r="X18968" s="7"/>
      <c r="Y18968" s="7"/>
      <c r="Z18968" s="7"/>
      <c r="AA18968" s="7"/>
      <c r="AB18968" s="7"/>
      <c r="AC18968" s="7"/>
      <c r="AD18968" s="7"/>
      <c r="AE18968" s="7"/>
      <c r="AF18968" s="7"/>
      <c r="AG18968" s="10"/>
    </row>
    <row r="18969" spans="1:33">
      <c r="A18969" s="7"/>
      <c r="B18969" s="7"/>
      <c r="C18969" s="7"/>
      <c r="D18969" s="7"/>
      <c r="E18969" s="7"/>
      <c r="F18969" s="7"/>
      <c r="G18969" s="7"/>
      <c r="H18969" s="7"/>
      <c r="I18969" s="7"/>
      <c r="J18969" s="7"/>
      <c r="K18969" s="7"/>
      <c r="L18969" s="7"/>
      <c r="M18969" s="7"/>
      <c r="N18969" s="7"/>
      <c r="O18969" s="7"/>
      <c r="P18969" s="7"/>
      <c r="Q18969" s="7"/>
      <c r="R18969" s="7"/>
      <c r="S18969" s="7"/>
      <c r="T18969" s="7"/>
      <c r="U18969" s="7"/>
      <c r="V18969" s="7"/>
      <c r="W18969" s="7"/>
      <c r="X18969" s="7"/>
      <c r="Y18969" s="7"/>
      <c r="Z18969" s="7"/>
      <c r="AA18969" s="7"/>
      <c r="AB18969" s="7"/>
      <c r="AC18969" s="7"/>
      <c r="AD18969" s="7"/>
      <c r="AE18969" s="7"/>
      <c r="AF18969" s="7"/>
      <c r="AG18969" s="10"/>
    </row>
    <row r="18970" spans="1:33">
      <c r="A18970" s="7"/>
      <c r="B18970" s="7"/>
      <c r="C18970" s="7"/>
      <c r="D18970" s="7"/>
      <c r="E18970" s="7"/>
      <c r="F18970" s="7"/>
      <c r="G18970" s="7"/>
      <c r="H18970" s="7"/>
      <c r="I18970" s="7"/>
      <c r="J18970" s="7"/>
      <c r="K18970" s="7"/>
      <c r="L18970" s="7"/>
      <c r="M18970" s="7"/>
      <c r="N18970" s="7"/>
      <c r="O18970" s="7"/>
      <c r="P18970" s="7"/>
      <c r="Q18970" s="7"/>
      <c r="R18970" s="7"/>
      <c r="S18970" s="7"/>
      <c r="T18970" s="7"/>
      <c r="U18970" s="7"/>
      <c r="V18970" s="7"/>
      <c r="W18970" s="7"/>
      <c r="X18970" s="7"/>
      <c r="Y18970" s="7"/>
      <c r="Z18970" s="7"/>
      <c r="AA18970" s="7"/>
      <c r="AB18970" s="7"/>
      <c r="AC18970" s="7"/>
      <c r="AD18970" s="7"/>
      <c r="AE18970" s="7"/>
      <c r="AF18970" s="7"/>
      <c r="AG18970" s="10"/>
    </row>
    <row r="18971" spans="1:33">
      <c r="A18971" s="7"/>
      <c r="B18971" s="7"/>
      <c r="C18971" s="7"/>
      <c r="D18971" s="7"/>
      <c r="E18971" s="7"/>
      <c r="F18971" s="7"/>
      <c r="G18971" s="7"/>
      <c r="H18971" s="7"/>
      <c r="I18971" s="7"/>
      <c r="J18971" s="7"/>
      <c r="K18971" s="7"/>
      <c r="L18971" s="7"/>
      <c r="M18971" s="7"/>
      <c r="N18971" s="7"/>
      <c r="O18971" s="7"/>
      <c r="P18971" s="7"/>
      <c r="Q18971" s="7"/>
      <c r="R18971" s="7"/>
      <c r="S18971" s="7"/>
      <c r="T18971" s="7"/>
      <c r="U18971" s="7"/>
      <c r="V18971" s="7"/>
      <c r="W18971" s="7"/>
      <c r="X18971" s="7"/>
      <c r="Y18971" s="7"/>
      <c r="Z18971" s="7"/>
      <c r="AA18971" s="7"/>
      <c r="AB18971" s="7"/>
      <c r="AC18971" s="7"/>
      <c r="AD18971" s="7"/>
      <c r="AE18971" s="7"/>
      <c r="AF18971" s="7"/>
      <c r="AG18971" s="10"/>
    </row>
    <row r="18972" spans="1:33">
      <c r="A18972" s="7"/>
      <c r="B18972" s="7"/>
      <c r="C18972" s="7"/>
      <c r="D18972" s="7"/>
      <c r="E18972" s="7"/>
      <c r="F18972" s="7"/>
      <c r="G18972" s="7"/>
      <c r="H18972" s="7"/>
      <c r="I18972" s="7"/>
      <c r="J18972" s="7"/>
      <c r="K18972" s="7"/>
      <c r="L18972" s="7"/>
      <c r="M18972" s="7"/>
      <c r="N18972" s="7"/>
      <c r="O18972" s="7"/>
      <c r="P18972" s="7"/>
      <c r="Q18972" s="7"/>
      <c r="R18972" s="7"/>
      <c r="S18972" s="7"/>
      <c r="T18972" s="7"/>
      <c r="U18972" s="7"/>
      <c r="V18972" s="7"/>
      <c r="W18972" s="7"/>
      <c r="X18972" s="7"/>
      <c r="Y18972" s="7"/>
      <c r="Z18972" s="7"/>
      <c r="AA18972" s="7"/>
      <c r="AB18972" s="7"/>
      <c r="AC18972" s="7"/>
      <c r="AD18972" s="7"/>
      <c r="AE18972" s="7"/>
      <c r="AF18972" s="7"/>
      <c r="AG18972" s="10"/>
    </row>
    <row r="18973" spans="1:33">
      <c r="A18973" s="7"/>
      <c r="B18973" s="7"/>
      <c r="C18973" s="7"/>
      <c r="D18973" s="7"/>
      <c r="E18973" s="7"/>
      <c r="F18973" s="7"/>
      <c r="G18973" s="7"/>
      <c r="H18973" s="7"/>
      <c r="I18973" s="7"/>
      <c r="J18973" s="7"/>
      <c r="K18973" s="7"/>
      <c r="L18973" s="7"/>
      <c r="M18973" s="7"/>
      <c r="N18973" s="7"/>
      <c r="O18973" s="7"/>
      <c r="P18973" s="7"/>
      <c r="Q18973" s="7"/>
      <c r="R18973" s="7"/>
      <c r="S18973" s="7"/>
      <c r="T18973" s="7"/>
      <c r="U18973" s="7"/>
      <c r="V18973" s="7"/>
      <c r="W18973" s="7"/>
      <c r="X18973" s="7"/>
      <c r="Y18973" s="7"/>
      <c r="Z18973" s="7"/>
      <c r="AA18973" s="7"/>
      <c r="AB18973" s="7"/>
      <c r="AC18973" s="7"/>
      <c r="AD18973" s="7"/>
      <c r="AE18973" s="7"/>
      <c r="AF18973" s="7"/>
      <c r="AG18973" s="10"/>
    </row>
    <row r="18974" spans="1:33">
      <c r="A18974" s="7"/>
      <c r="B18974" s="7"/>
      <c r="C18974" s="7"/>
      <c r="D18974" s="7"/>
      <c r="E18974" s="7"/>
      <c r="F18974" s="7"/>
      <c r="G18974" s="7"/>
      <c r="H18974" s="7"/>
      <c r="I18974" s="7"/>
      <c r="J18974" s="7"/>
      <c r="K18974" s="7"/>
      <c r="L18974" s="7"/>
      <c r="M18974" s="7"/>
      <c r="N18974" s="7"/>
      <c r="O18974" s="7"/>
      <c r="P18974" s="7"/>
      <c r="Q18974" s="7"/>
      <c r="R18974" s="7"/>
      <c r="S18974" s="7"/>
      <c r="T18974" s="7"/>
      <c r="U18974" s="7"/>
      <c r="V18974" s="7"/>
      <c r="W18974" s="7"/>
      <c r="X18974" s="7"/>
      <c r="Y18974" s="7"/>
      <c r="Z18974" s="7"/>
      <c r="AA18974" s="7"/>
      <c r="AB18974" s="7"/>
      <c r="AC18974" s="7"/>
      <c r="AD18974" s="7"/>
      <c r="AE18974" s="7"/>
      <c r="AF18974" s="7"/>
      <c r="AG18974" s="10"/>
    </row>
    <row r="18975" spans="1:33">
      <c r="A18975" s="7"/>
      <c r="B18975" s="7"/>
      <c r="C18975" s="7"/>
      <c r="D18975" s="7"/>
      <c r="E18975" s="7"/>
      <c r="F18975" s="7"/>
      <c r="G18975" s="7"/>
      <c r="H18975" s="7"/>
      <c r="I18975" s="7"/>
      <c r="J18975" s="7"/>
      <c r="K18975" s="7"/>
      <c r="L18975" s="7"/>
      <c r="M18975" s="7"/>
      <c r="N18975" s="7"/>
      <c r="O18975" s="7"/>
      <c r="P18975" s="7"/>
      <c r="Q18975" s="7"/>
      <c r="R18975" s="7"/>
      <c r="S18975" s="7"/>
      <c r="T18975" s="7"/>
      <c r="U18975" s="7"/>
      <c r="V18975" s="7"/>
      <c r="W18975" s="7"/>
      <c r="X18975" s="7"/>
      <c r="Y18975" s="7"/>
      <c r="Z18975" s="7"/>
      <c r="AA18975" s="7"/>
      <c r="AB18975" s="7"/>
      <c r="AC18975" s="7"/>
      <c r="AD18975" s="7"/>
      <c r="AE18975" s="7"/>
      <c r="AF18975" s="7"/>
      <c r="AG18975" s="10"/>
    </row>
    <row r="18976" spans="1:33">
      <c r="A18976" s="7"/>
      <c r="B18976" s="7"/>
      <c r="C18976" s="7"/>
      <c r="D18976" s="7"/>
      <c r="E18976" s="7"/>
      <c r="F18976" s="7"/>
      <c r="G18976" s="7"/>
      <c r="H18976" s="7"/>
      <c r="I18976" s="7"/>
      <c r="J18976" s="7"/>
      <c r="K18976" s="7"/>
      <c r="L18976" s="7"/>
      <c r="M18976" s="7"/>
      <c r="N18976" s="7"/>
      <c r="O18976" s="7"/>
      <c r="P18976" s="7"/>
      <c r="Q18976" s="7"/>
      <c r="R18976" s="7"/>
      <c r="S18976" s="7"/>
      <c r="T18976" s="7"/>
      <c r="U18976" s="7"/>
      <c r="V18976" s="7"/>
      <c r="W18976" s="7"/>
      <c r="X18976" s="7"/>
      <c r="Y18976" s="7"/>
      <c r="Z18976" s="7"/>
      <c r="AA18976" s="7"/>
      <c r="AB18976" s="7"/>
      <c r="AC18976" s="7"/>
      <c r="AD18976" s="7"/>
      <c r="AE18976" s="7"/>
      <c r="AF18976" s="7"/>
      <c r="AG18976" s="10"/>
    </row>
    <row r="18977" spans="1:33">
      <c r="A18977" s="7"/>
      <c r="B18977" s="7"/>
      <c r="C18977" s="7"/>
      <c r="D18977" s="7"/>
      <c r="E18977" s="7"/>
      <c r="F18977" s="7"/>
      <c r="G18977" s="7"/>
      <c r="H18977" s="7"/>
      <c r="I18977" s="7"/>
      <c r="J18977" s="7"/>
      <c r="K18977" s="7"/>
      <c r="L18977" s="7"/>
      <c r="M18977" s="7"/>
      <c r="N18977" s="7"/>
      <c r="O18977" s="7"/>
      <c r="P18977" s="7"/>
      <c r="Q18977" s="7"/>
      <c r="R18977" s="7"/>
      <c r="S18977" s="7"/>
      <c r="T18977" s="7"/>
      <c r="U18977" s="7"/>
      <c r="V18977" s="7"/>
      <c r="W18977" s="7"/>
      <c r="X18977" s="7"/>
      <c r="Y18977" s="7"/>
      <c r="Z18977" s="7"/>
      <c r="AA18977" s="7"/>
      <c r="AB18977" s="7"/>
      <c r="AC18977" s="7"/>
      <c r="AD18977" s="7"/>
      <c r="AE18977" s="7"/>
      <c r="AF18977" s="7"/>
      <c r="AG18977" s="10"/>
    </row>
    <row r="18978" spans="1:33">
      <c r="A18978" s="7"/>
      <c r="B18978" s="7"/>
      <c r="C18978" s="7"/>
      <c r="D18978" s="7"/>
      <c r="E18978" s="7"/>
      <c r="F18978" s="7"/>
      <c r="G18978" s="7"/>
      <c r="H18978" s="7"/>
      <c r="I18978" s="7"/>
      <c r="J18978" s="7"/>
      <c r="K18978" s="7"/>
      <c r="L18978" s="7"/>
      <c r="M18978" s="7"/>
      <c r="N18978" s="7"/>
      <c r="O18978" s="7"/>
      <c r="P18978" s="7"/>
      <c r="Q18978" s="7"/>
      <c r="R18978" s="7"/>
      <c r="S18978" s="7"/>
      <c r="T18978" s="7"/>
      <c r="U18978" s="7"/>
      <c r="V18978" s="7"/>
      <c r="W18978" s="7"/>
      <c r="X18978" s="7"/>
      <c r="Y18978" s="7"/>
      <c r="Z18978" s="7"/>
      <c r="AA18978" s="7"/>
      <c r="AB18978" s="7"/>
      <c r="AC18978" s="7"/>
      <c r="AD18978" s="7"/>
      <c r="AE18978" s="7"/>
      <c r="AF18978" s="7"/>
      <c r="AG18978" s="10"/>
    </row>
    <row r="18979" spans="1:33">
      <c r="A18979" s="7"/>
      <c r="B18979" s="7"/>
      <c r="C18979" s="7"/>
      <c r="D18979" s="7"/>
      <c r="E18979" s="7"/>
      <c r="F18979" s="7"/>
      <c r="G18979" s="7"/>
      <c r="H18979" s="7"/>
      <c r="I18979" s="7"/>
      <c r="J18979" s="7"/>
      <c r="K18979" s="7"/>
      <c r="L18979" s="7"/>
      <c r="M18979" s="7"/>
      <c r="N18979" s="7"/>
      <c r="O18979" s="7"/>
      <c r="P18979" s="7"/>
      <c r="Q18979" s="7"/>
      <c r="R18979" s="7"/>
      <c r="S18979" s="7"/>
      <c r="T18979" s="7"/>
      <c r="U18979" s="7"/>
      <c r="V18979" s="7"/>
      <c r="W18979" s="7"/>
      <c r="X18979" s="7"/>
      <c r="Y18979" s="7"/>
      <c r="Z18979" s="7"/>
      <c r="AA18979" s="7"/>
      <c r="AB18979" s="7"/>
      <c r="AC18979" s="7"/>
      <c r="AD18979" s="7"/>
      <c r="AE18979" s="7"/>
      <c r="AF18979" s="7"/>
      <c r="AG18979" s="10"/>
    </row>
    <row r="18980" spans="1:33">
      <c r="A18980" s="7"/>
      <c r="B18980" s="7"/>
      <c r="C18980" s="7"/>
      <c r="D18980" s="7"/>
      <c r="E18980" s="7"/>
      <c r="F18980" s="7"/>
      <c r="G18980" s="7"/>
      <c r="H18980" s="7"/>
      <c r="I18980" s="7"/>
      <c r="J18980" s="7"/>
      <c r="K18980" s="7"/>
      <c r="L18980" s="7"/>
      <c r="M18980" s="7"/>
      <c r="N18980" s="7"/>
      <c r="O18980" s="7"/>
      <c r="P18980" s="7"/>
      <c r="Q18980" s="7"/>
      <c r="R18980" s="7"/>
      <c r="S18980" s="7"/>
      <c r="T18980" s="7"/>
      <c r="U18980" s="7"/>
      <c r="V18980" s="7"/>
      <c r="W18980" s="7"/>
      <c r="X18980" s="7"/>
      <c r="Y18980" s="7"/>
      <c r="Z18980" s="7"/>
      <c r="AA18980" s="7"/>
      <c r="AB18980" s="7"/>
      <c r="AC18980" s="7"/>
      <c r="AD18980" s="7"/>
      <c r="AE18980" s="7"/>
      <c r="AF18980" s="7"/>
      <c r="AG18980" s="10"/>
    </row>
    <row r="18981" spans="1:33">
      <c r="A18981" s="7"/>
      <c r="B18981" s="7"/>
      <c r="C18981" s="7"/>
      <c r="D18981" s="7"/>
      <c r="E18981" s="7"/>
      <c r="F18981" s="7"/>
      <c r="G18981" s="7"/>
      <c r="H18981" s="7"/>
      <c r="I18981" s="7"/>
      <c r="J18981" s="7"/>
      <c r="K18981" s="7"/>
      <c r="L18981" s="7"/>
      <c r="M18981" s="7"/>
      <c r="N18981" s="7"/>
      <c r="O18981" s="7"/>
      <c r="P18981" s="7"/>
      <c r="Q18981" s="7"/>
      <c r="R18981" s="7"/>
      <c r="S18981" s="7"/>
      <c r="T18981" s="7"/>
      <c r="U18981" s="7"/>
      <c r="V18981" s="7"/>
      <c r="W18981" s="7"/>
      <c r="X18981" s="7"/>
      <c r="Y18981" s="7"/>
      <c r="Z18981" s="7"/>
      <c r="AA18981" s="7"/>
      <c r="AB18981" s="7"/>
      <c r="AC18981" s="7"/>
      <c r="AD18981" s="7"/>
      <c r="AE18981" s="7"/>
      <c r="AF18981" s="7"/>
      <c r="AG18981" s="10"/>
    </row>
    <row r="18982" spans="1:33">
      <c r="A18982" s="7"/>
      <c r="B18982" s="7"/>
      <c r="C18982" s="7"/>
      <c r="D18982" s="7"/>
      <c r="E18982" s="7"/>
      <c r="F18982" s="7"/>
      <c r="G18982" s="7"/>
      <c r="H18982" s="7"/>
      <c r="I18982" s="7"/>
      <c r="J18982" s="7"/>
      <c r="K18982" s="7"/>
      <c r="L18982" s="7"/>
      <c r="M18982" s="7"/>
      <c r="N18982" s="7"/>
      <c r="O18982" s="7"/>
      <c r="P18982" s="7"/>
      <c r="Q18982" s="7"/>
      <c r="R18982" s="7"/>
      <c r="S18982" s="7"/>
      <c r="T18982" s="7"/>
      <c r="U18982" s="7"/>
      <c r="V18982" s="7"/>
      <c r="W18982" s="7"/>
      <c r="X18982" s="7"/>
      <c r="Y18982" s="7"/>
      <c r="Z18982" s="7"/>
      <c r="AA18982" s="7"/>
      <c r="AB18982" s="7"/>
      <c r="AC18982" s="7"/>
      <c r="AD18982" s="7"/>
      <c r="AE18982" s="7"/>
      <c r="AF18982" s="7"/>
      <c r="AG18982" s="10"/>
    </row>
    <row r="18983" spans="1:33">
      <c r="A18983" s="7"/>
      <c r="B18983" s="7"/>
      <c r="C18983" s="7"/>
      <c r="D18983" s="7"/>
      <c r="E18983" s="7"/>
      <c r="F18983" s="7"/>
      <c r="G18983" s="7"/>
      <c r="H18983" s="7"/>
      <c r="I18983" s="7"/>
      <c r="J18983" s="7"/>
      <c r="K18983" s="7"/>
      <c r="L18983" s="7"/>
      <c r="M18983" s="7"/>
      <c r="N18983" s="7"/>
      <c r="O18983" s="7"/>
      <c r="P18983" s="7"/>
      <c r="Q18983" s="7"/>
      <c r="R18983" s="7"/>
      <c r="S18983" s="7"/>
      <c r="T18983" s="7"/>
      <c r="U18983" s="7"/>
      <c r="V18983" s="7"/>
      <c r="W18983" s="7"/>
      <c r="X18983" s="7"/>
      <c r="Y18983" s="7"/>
      <c r="Z18983" s="7"/>
      <c r="AA18983" s="7"/>
      <c r="AB18983" s="7"/>
      <c r="AC18983" s="7"/>
      <c r="AD18983" s="7"/>
      <c r="AE18983" s="7"/>
      <c r="AF18983" s="7"/>
      <c r="AG18983" s="10"/>
    </row>
    <row r="18984" spans="1:33">
      <c r="A18984" s="7"/>
      <c r="B18984" s="7"/>
      <c r="C18984" s="7"/>
      <c r="D18984" s="7"/>
      <c r="E18984" s="7"/>
      <c r="F18984" s="7"/>
      <c r="G18984" s="7"/>
      <c r="H18984" s="7"/>
      <c r="I18984" s="7"/>
      <c r="J18984" s="7"/>
      <c r="K18984" s="7"/>
      <c r="L18984" s="7"/>
      <c r="M18984" s="7"/>
      <c r="N18984" s="7"/>
      <c r="O18984" s="7"/>
      <c r="P18984" s="7"/>
      <c r="Q18984" s="7"/>
      <c r="R18984" s="7"/>
      <c r="S18984" s="7"/>
      <c r="T18984" s="7"/>
      <c r="U18984" s="7"/>
      <c r="V18984" s="7"/>
      <c r="W18984" s="7"/>
      <c r="X18984" s="7"/>
      <c r="Y18984" s="7"/>
      <c r="Z18984" s="7"/>
      <c r="AA18984" s="7"/>
      <c r="AB18984" s="7"/>
      <c r="AC18984" s="7"/>
      <c r="AD18984" s="7"/>
      <c r="AE18984" s="7"/>
      <c r="AF18984" s="7"/>
      <c r="AG18984" s="10"/>
    </row>
    <row r="18985" spans="1:33">
      <c r="A18985" s="7"/>
      <c r="B18985" s="7"/>
      <c r="C18985" s="7"/>
      <c r="D18985" s="7"/>
      <c r="E18985" s="7"/>
      <c r="F18985" s="7"/>
      <c r="G18985" s="7"/>
      <c r="H18985" s="7"/>
      <c r="I18985" s="7"/>
      <c r="J18985" s="7"/>
      <c r="K18985" s="7"/>
      <c r="L18985" s="7"/>
      <c r="M18985" s="7"/>
      <c r="N18985" s="7"/>
      <c r="O18985" s="7"/>
      <c r="P18985" s="7"/>
      <c r="Q18985" s="7"/>
      <c r="R18985" s="7"/>
      <c r="S18985" s="7"/>
      <c r="T18985" s="7"/>
      <c r="U18985" s="7"/>
      <c r="V18985" s="7"/>
      <c r="W18985" s="7"/>
      <c r="X18985" s="7"/>
      <c r="Y18985" s="7"/>
      <c r="Z18985" s="7"/>
      <c r="AA18985" s="7"/>
      <c r="AB18985" s="7"/>
      <c r="AC18985" s="7"/>
      <c r="AD18985" s="7"/>
      <c r="AE18985" s="7"/>
      <c r="AF18985" s="7"/>
      <c r="AG18985" s="10"/>
    </row>
    <row r="18986" spans="1:33">
      <c r="A18986" s="7"/>
      <c r="B18986" s="7"/>
      <c r="C18986" s="7"/>
      <c r="D18986" s="7"/>
      <c r="E18986" s="7"/>
      <c r="F18986" s="7"/>
      <c r="G18986" s="7"/>
      <c r="H18986" s="7"/>
      <c r="I18986" s="7"/>
      <c r="J18986" s="7"/>
      <c r="K18986" s="7"/>
      <c r="L18986" s="7"/>
      <c r="M18986" s="7"/>
      <c r="N18986" s="7"/>
      <c r="O18986" s="7"/>
      <c r="P18986" s="7"/>
      <c r="Q18986" s="7"/>
      <c r="R18986" s="7"/>
      <c r="S18986" s="7"/>
      <c r="T18986" s="7"/>
      <c r="U18986" s="7"/>
      <c r="V18986" s="7"/>
      <c r="W18986" s="7"/>
      <c r="X18986" s="7"/>
      <c r="Y18986" s="7"/>
      <c r="Z18986" s="7"/>
      <c r="AA18986" s="7"/>
      <c r="AB18986" s="7"/>
      <c r="AC18986" s="7"/>
      <c r="AD18986" s="7"/>
      <c r="AE18986" s="7"/>
      <c r="AF18986" s="7"/>
      <c r="AG18986" s="10"/>
    </row>
    <row r="18987" spans="1:33">
      <c r="A18987" s="7"/>
      <c r="B18987" s="7"/>
      <c r="C18987" s="7"/>
      <c r="D18987" s="7"/>
      <c r="E18987" s="7"/>
      <c r="F18987" s="7"/>
      <c r="G18987" s="7"/>
      <c r="H18987" s="7"/>
      <c r="I18987" s="7"/>
      <c r="J18987" s="7"/>
      <c r="K18987" s="7"/>
      <c r="L18987" s="7"/>
      <c r="M18987" s="7"/>
      <c r="N18987" s="7"/>
      <c r="O18987" s="7"/>
      <c r="P18987" s="7"/>
      <c r="Q18987" s="7"/>
      <c r="R18987" s="7"/>
      <c r="S18987" s="7"/>
      <c r="T18987" s="7"/>
      <c r="U18987" s="7"/>
      <c r="V18987" s="7"/>
      <c r="W18987" s="7"/>
      <c r="X18987" s="7"/>
      <c r="Y18987" s="7"/>
      <c r="Z18987" s="7"/>
      <c r="AA18987" s="7"/>
      <c r="AB18987" s="7"/>
      <c r="AC18987" s="7"/>
      <c r="AD18987" s="7"/>
      <c r="AE18987" s="7"/>
      <c r="AF18987" s="7"/>
      <c r="AG18987" s="10"/>
    </row>
    <row r="18988" spans="1:33">
      <c r="A18988" s="7"/>
      <c r="B18988" s="7"/>
      <c r="C18988" s="7"/>
      <c r="D18988" s="7"/>
      <c r="E18988" s="7"/>
      <c r="F18988" s="7"/>
      <c r="G18988" s="7"/>
      <c r="H18988" s="7"/>
      <c r="I18988" s="7"/>
      <c r="J18988" s="7"/>
      <c r="K18988" s="7"/>
      <c r="L18988" s="7"/>
      <c r="M18988" s="7"/>
      <c r="N18988" s="7"/>
      <c r="O18988" s="7"/>
      <c r="P18988" s="7"/>
      <c r="Q18988" s="7"/>
      <c r="R18988" s="7"/>
      <c r="S18988" s="7"/>
      <c r="T18988" s="7"/>
      <c r="U18988" s="7"/>
      <c r="V18988" s="7"/>
      <c r="W18988" s="7"/>
      <c r="X18988" s="7"/>
      <c r="Y18988" s="7"/>
      <c r="Z18988" s="7"/>
      <c r="AA18988" s="7"/>
      <c r="AB18988" s="7"/>
      <c r="AC18988" s="7"/>
      <c r="AD18988" s="7"/>
      <c r="AE18988" s="7"/>
      <c r="AF18988" s="7"/>
      <c r="AG18988" s="10"/>
    </row>
    <row r="18989" spans="1:33">
      <c r="A18989" s="7"/>
      <c r="B18989" s="7"/>
      <c r="C18989" s="7"/>
      <c r="D18989" s="7"/>
      <c r="E18989" s="7"/>
      <c r="F18989" s="7"/>
      <c r="G18989" s="7"/>
      <c r="H18989" s="7"/>
      <c r="I18989" s="7"/>
      <c r="J18989" s="7"/>
      <c r="K18989" s="7"/>
      <c r="L18989" s="7"/>
      <c r="M18989" s="7"/>
      <c r="N18989" s="7"/>
      <c r="O18989" s="7"/>
      <c r="P18989" s="7"/>
      <c r="Q18989" s="7"/>
      <c r="R18989" s="7"/>
      <c r="S18989" s="7"/>
      <c r="T18989" s="7"/>
      <c r="U18989" s="7"/>
      <c r="V18989" s="7"/>
      <c r="W18989" s="7"/>
      <c r="X18989" s="7"/>
      <c r="Y18989" s="7"/>
      <c r="Z18989" s="7"/>
      <c r="AA18989" s="7"/>
      <c r="AB18989" s="7"/>
      <c r="AC18989" s="7"/>
      <c r="AD18989" s="7"/>
      <c r="AE18989" s="7"/>
      <c r="AF18989" s="7"/>
      <c r="AG18989" s="10"/>
    </row>
    <row r="18990" spans="1:33">
      <c r="A18990" s="7"/>
      <c r="B18990" s="7"/>
      <c r="C18990" s="7"/>
      <c r="D18990" s="7"/>
      <c r="E18990" s="7"/>
      <c r="F18990" s="7"/>
      <c r="G18990" s="7"/>
      <c r="H18990" s="7"/>
      <c r="I18990" s="7"/>
      <c r="J18990" s="7"/>
      <c r="K18990" s="7"/>
      <c r="L18990" s="7"/>
      <c r="M18990" s="7"/>
      <c r="N18990" s="7"/>
      <c r="O18990" s="7"/>
      <c r="P18990" s="7"/>
      <c r="Q18990" s="7"/>
      <c r="R18990" s="7"/>
      <c r="S18990" s="7"/>
      <c r="T18990" s="7"/>
      <c r="U18990" s="7"/>
      <c r="V18990" s="7"/>
      <c r="W18990" s="7"/>
      <c r="X18990" s="7"/>
      <c r="Y18990" s="7"/>
      <c r="Z18990" s="7"/>
      <c r="AA18990" s="7"/>
      <c r="AB18990" s="7"/>
      <c r="AC18990" s="7"/>
      <c r="AD18990" s="7"/>
      <c r="AE18990" s="7"/>
      <c r="AF18990" s="7"/>
      <c r="AG18990" s="10"/>
    </row>
    <row r="18991" spans="1:33">
      <c r="A18991" s="7"/>
      <c r="B18991" s="7"/>
      <c r="C18991" s="7"/>
      <c r="D18991" s="7"/>
      <c r="E18991" s="7"/>
      <c r="F18991" s="7"/>
      <c r="G18991" s="7"/>
      <c r="H18991" s="7"/>
      <c r="I18991" s="7"/>
      <c r="J18991" s="7"/>
      <c r="K18991" s="7"/>
      <c r="L18991" s="7"/>
      <c r="M18991" s="7"/>
      <c r="N18991" s="7"/>
      <c r="O18991" s="7"/>
      <c r="P18991" s="7"/>
      <c r="Q18991" s="7"/>
      <c r="R18991" s="7"/>
      <c r="S18991" s="7"/>
      <c r="T18991" s="7"/>
      <c r="U18991" s="7"/>
      <c r="V18991" s="7"/>
      <c r="W18991" s="7"/>
      <c r="X18991" s="7"/>
      <c r="Y18991" s="7"/>
      <c r="Z18991" s="7"/>
      <c r="AA18991" s="7"/>
      <c r="AB18991" s="7"/>
      <c r="AC18991" s="7"/>
      <c r="AD18991" s="7"/>
      <c r="AE18991" s="7"/>
      <c r="AF18991" s="7"/>
      <c r="AG18991" s="10"/>
    </row>
    <row r="18992" spans="1:33">
      <c r="A18992" s="7"/>
      <c r="B18992" s="7"/>
      <c r="C18992" s="7"/>
      <c r="D18992" s="7"/>
      <c r="E18992" s="7"/>
      <c r="F18992" s="7"/>
      <c r="G18992" s="7"/>
      <c r="H18992" s="7"/>
      <c r="I18992" s="7"/>
      <c r="J18992" s="7"/>
      <c r="K18992" s="7"/>
      <c r="L18992" s="7"/>
      <c r="M18992" s="7"/>
      <c r="N18992" s="7"/>
      <c r="O18992" s="7"/>
      <c r="P18992" s="7"/>
      <c r="Q18992" s="7"/>
      <c r="R18992" s="7"/>
      <c r="S18992" s="7"/>
      <c r="T18992" s="7"/>
      <c r="U18992" s="7"/>
      <c r="V18992" s="7"/>
      <c r="W18992" s="7"/>
      <c r="X18992" s="7"/>
      <c r="Y18992" s="7"/>
      <c r="Z18992" s="7"/>
      <c r="AA18992" s="7"/>
      <c r="AB18992" s="7"/>
      <c r="AC18992" s="7"/>
      <c r="AD18992" s="7"/>
      <c r="AE18992" s="7"/>
      <c r="AF18992" s="7"/>
      <c r="AG18992" s="10"/>
    </row>
    <row r="18993" spans="1:33">
      <c r="A18993" s="7"/>
      <c r="B18993" s="7"/>
      <c r="C18993" s="7"/>
      <c r="D18993" s="7"/>
      <c r="E18993" s="7"/>
      <c r="F18993" s="7"/>
      <c r="G18993" s="7"/>
      <c r="H18993" s="7"/>
      <c r="I18993" s="7"/>
      <c r="J18993" s="7"/>
      <c r="K18993" s="7"/>
      <c r="L18993" s="7"/>
      <c r="M18993" s="7"/>
      <c r="N18993" s="7"/>
      <c r="O18993" s="7"/>
      <c r="P18993" s="7"/>
      <c r="Q18993" s="7"/>
      <c r="R18993" s="7"/>
      <c r="S18993" s="7"/>
      <c r="T18993" s="7"/>
      <c r="U18993" s="7"/>
      <c r="V18993" s="7"/>
      <c r="W18993" s="7"/>
      <c r="X18993" s="7"/>
      <c r="Y18993" s="7"/>
      <c r="Z18993" s="7"/>
      <c r="AA18993" s="7"/>
      <c r="AB18993" s="7"/>
      <c r="AC18993" s="7"/>
      <c r="AD18993" s="7"/>
      <c r="AE18993" s="7"/>
      <c r="AF18993" s="7"/>
      <c r="AG18993" s="10"/>
    </row>
    <row r="18994" spans="1:33">
      <c r="A18994" s="7"/>
      <c r="B18994" s="7"/>
      <c r="C18994" s="7"/>
      <c r="D18994" s="7"/>
      <c r="E18994" s="7"/>
      <c r="F18994" s="7"/>
      <c r="G18994" s="7"/>
      <c r="H18994" s="7"/>
      <c r="I18994" s="7"/>
      <c r="J18994" s="7"/>
      <c r="K18994" s="7"/>
      <c r="L18994" s="7"/>
      <c r="M18994" s="7"/>
      <c r="N18994" s="7"/>
      <c r="O18994" s="7"/>
      <c r="P18994" s="7"/>
      <c r="Q18994" s="7"/>
      <c r="R18994" s="7"/>
      <c r="S18994" s="7"/>
      <c r="T18994" s="7"/>
      <c r="U18994" s="7"/>
      <c r="V18994" s="7"/>
      <c r="W18994" s="7"/>
      <c r="X18994" s="7"/>
      <c r="Y18994" s="7"/>
      <c r="Z18994" s="7"/>
      <c r="AA18994" s="7"/>
      <c r="AB18994" s="7"/>
      <c r="AC18994" s="7"/>
      <c r="AD18994" s="7"/>
      <c r="AE18994" s="7"/>
      <c r="AF18994" s="7"/>
      <c r="AG18994" s="10"/>
    </row>
    <row r="18995" spans="1:33">
      <c r="A18995" s="7"/>
      <c r="B18995" s="7"/>
      <c r="C18995" s="7"/>
      <c r="D18995" s="7"/>
      <c r="E18995" s="7"/>
      <c r="F18995" s="7"/>
      <c r="G18995" s="7"/>
      <c r="H18995" s="7"/>
      <c r="I18995" s="7"/>
      <c r="J18995" s="7"/>
      <c r="K18995" s="7"/>
      <c r="L18995" s="7"/>
      <c r="M18995" s="7"/>
      <c r="N18995" s="7"/>
      <c r="O18995" s="7"/>
      <c r="P18995" s="7"/>
      <c r="Q18995" s="7"/>
      <c r="R18995" s="7"/>
      <c r="S18995" s="7"/>
      <c r="T18995" s="7"/>
      <c r="U18995" s="7"/>
      <c r="V18995" s="7"/>
      <c r="W18995" s="7"/>
      <c r="X18995" s="7"/>
      <c r="Y18995" s="7"/>
      <c r="Z18995" s="7"/>
      <c r="AA18995" s="7"/>
      <c r="AB18995" s="7"/>
      <c r="AC18995" s="7"/>
      <c r="AD18995" s="7"/>
      <c r="AE18995" s="7"/>
      <c r="AF18995" s="7"/>
      <c r="AG18995" s="10"/>
    </row>
    <row r="18996" spans="1:33">
      <c r="A18996" s="7"/>
      <c r="B18996" s="7"/>
      <c r="C18996" s="7"/>
      <c r="D18996" s="7"/>
      <c r="E18996" s="7"/>
      <c r="F18996" s="7"/>
      <c r="G18996" s="7"/>
      <c r="H18996" s="7"/>
      <c r="I18996" s="7"/>
      <c r="J18996" s="7"/>
      <c r="K18996" s="7"/>
      <c r="L18996" s="7"/>
      <c r="M18996" s="7"/>
      <c r="N18996" s="7"/>
      <c r="O18996" s="7"/>
      <c r="P18996" s="7"/>
      <c r="Q18996" s="7"/>
      <c r="R18996" s="7"/>
      <c r="S18996" s="7"/>
      <c r="T18996" s="7"/>
      <c r="U18996" s="7"/>
      <c r="V18996" s="7"/>
      <c r="W18996" s="7"/>
      <c r="X18996" s="7"/>
      <c r="Y18996" s="7"/>
      <c r="Z18996" s="7"/>
      <c r="AA18996" s="7"/>
      <c r="AB18996" s="7"/>
      <c r="AC18996" s="7"/>
      <c r="AD18996" s="7"/>
      <c r="AE18996" s="7"/>
      <c r="AF18996" s="7"/>
      <c r="AG18996" s="10"/>
    </row>
    <row r="18997" spans="1:33">
      <c r="A18997" s="7"/>
      <c r="B18997" s="7"/>
      <c r="C18997" s="7"/>
      <c r="D18997" s="7"/>
      <c r="E18997" s="7"/>
      <c r="F18997" s="7"/>
      <c r="G18997" s="7"/>
      <c r="H18997" s="7"/>
      <c r="I18997" s="7"/>
      <c r="J18997" s="7"/>
      <c r="K18997" s="7"/>
      <c r="L18997" s="7"/>
      <c r="M18997" s="7"/>
      <c r="N18997" s="7"/>
      <c r="O18997" s="7"/>
      <c r="P18997" s="7"/>
      <c r="Q18997" s="7"/>
      <c r="R18997" s="7"/>
      <c r="S18997" s="7"/>
      <c r="T18997" s="7"/>
      <c r="U18997" s="7"/>
      <c r="V18997" s="7"/>
      <c r="W18997" s="7"/>
      <c r="X18997" s="7"/>
      <c r="Y18997" s="7"/>
      <c r="Z18997" s="7"/>
      <c r="AA18997" s="7"/>
      <c r="AB18997" s="7"/>
      <c r="AC18997" s="7"/>
      <c r="AD18997" s="7"/>
      <c r="AE18997" s="7"/>
      <c r="AF18997" s="7"/>
      <c r="AG18997" s="10"/>
    </row>
    <row r="18998" spans="1:33">
      <c r="A18998" s="7"/>
      <c r="B18998" s="7"/>
      <c r="C18998" s="7"/>
      <c r="D18998" s="7"/>
      <c r="E18998" s="7"/>
      <c r="F18998" s="7"/>
      <c r="G18998" s="7"/>
      <c r="H18998" s="7"/>
      <c r="I18998" s="7"/>
      <c r="J18998" s="7"/>
      <c r="K18998" s="7"/>
      <c r="L18998" s="7"/>
      <c r="M18998" s="7"/>
      <c r="N18998" s="7"/>
      <c r="O18998" s="7"/>
      <c r="P18998" s="7"/>
      <c r="Q18998" s="7"/>
      <c r="R18998" s="7"/>
      <c r="S18998" s="7"/>
      <c r="T18998" s="7"/>
      <c r="U18998" s="7"/>
      <c r="V18998" s="7"/>
      <c r="W18998" s="7"/>
      <c r="X18998" s="7"/>
      <c r="Y18998" s="7"/>
      <c r="Z18998" s="7"/>
      <c r="AA18998" s="7"/>
      <c r="AB18998" s="7"/>
      <c r="AC18998" s="7"/>
      <c r="AD18998" s="7"/>
      <c r="AE18998" s="7"/>
      <c r="AF18998" s="7"/>
      <c r="AG18998" s="10"/>
    </row>
    <row r="18999" spans="1:33">
      <c r="A18999" s="7"/>
      <c r="B18999" s="7"/>
      <c r="C18999" s="7"/>
      <c r="D18999" s="7"/>
      <c r="E18999" s="7"/>
      <c r="F18999" s="7"/>
      <c r="G18999" s="7"/>
      <c r="H18999" s="7"/>
      <c r="I18999" s="7"/>
      <c r="J18999" s="7"/>
      <c r="K18999" s="7"/>
      <c r="L18999" s="7"/>
      <c r="M18999" s="7"/>
      <c r="N18999" s="7"/>
      <c r="O18999" s="7"/>
      <c r="P18999" s="7"/>
      <c r="Q18999" s="7"/>
      <c r="R18999" s="7"/>
      <c r="S18999" s="7"/>
      <c r="T18999" s="7"/>
      <c r="U18999" s="7"/>
      <c r="V18999" s="7"/>
      <c r="W18999" s="7"/>
      <c r="X18999" s="7"/>
      <c r="Y18999" s="7"/>
      <c r="Z18999" s="7"/>
      <c r="AA18999" s="7"/>
      <c r="AB18999" s="7"/>
      <c r="AC18999" s="7"/>
      <c r="AD18999" s="7"/>
      <c r="AE18999" s="7"/>
      <c r="AF18999" s="7"/>
      <c r="AG18999" s="10"/>
    </row>
    <row r="19000" spans="1:33">
      <c r="A19000" s="7"/>
      <c r="B19000" s="7"/>
      <c r="C19000" s="7"/>
      <c r="D19000" s="7"/>
      <c r="E19000" s="7"/>
      <c r="F19000" s="7"/>
      <c r="G19000" s="7"/>
      <c r="H19000" s="7"/>
      <c r="I19000" s="7"/>
      <c r="J19000" s="7"/>
      <c r="K19000" s="7"/>
      <c r="L19000" s="7"/>
      <c r="M19000" s="7"/>
      <c r="N19000" s="7"/>
      <c r="O19000" s="7"/>
      <c r="P19000" s="7"/>
      <c r="Q19000" s="7"/>
      <c r="R19000" s="7"/>
      <c r="S19000" s="7"/>
      <c r="T19000" s="7"/>
      <c r="U19000" s="7"/>
      <c r="V19000" s="7"/>
      <c r="W19000" s="7"/>
      <c r="X19000" s="7"/>
      <c r="Y19000" s="7"/>
      <c r="Z19000" s="7"/>
      <c r="AA19000" s="7"/>
      <c r="AB19000" s="7"/>
      <c r="AC19000" s="7"/>
      <c r="AD19000" s="7"/>
      <c r="AE19000" s="7"/>
      <c r="AF19000" s="7"/>
      <c r="AG19000" s="10"/>
    </row>
    <row r="19001" spans="1:33">
      <c r="A19001" s="7"/>
      <c r="B19001" s="7"/>
      <c r="C19001" s="7"/>
      <c r="D19001" s="7"/>
      <c r="E19001" s="7"/>
      <c r="F19001" s="7"/>
      <c r="G19001" s="7"/>
      <c r="H19001" s="7"/>
      <c r="I19001" s="7"/>
      <c r="J19001" s="7"/>
      <c r="K19001" s="7"/>
      <c r="L19001" s="7"/>
      <c r="M19001" s="7"/>
      <c r="N19001" s="7"/>
      <c r="O19001" s="7"/>
      <c r="P19001" s="7"/>
      <c r="Q19001" s="7"/>
      <c r="R19001" s="7"/>
      <c r="S19001" s="7"/>
      <c r="T19001" s="7"/>
      <c r="U19001" s="7"/>
      <c r="V19001" s="7"/>
      <c r="W19001" s="7"/>
      <c r="X19001" s="7"/>
      <c r="Y19001" s="7"/>
      <c r="Z19001" s="7"/>
      <c r="AA19001" s="7"/>
      <c r="AB19001" s="7"/>
      <c r="AC19001" s="7"/>
      <c r="AD19001" s="7"/>
      <c r="AE19001" s="7"/>
      <c r="AF19001" s="7"/>
      <c r="AG19001" s="10"/>
    </row>
    <row r="19002" spans="1:33">
      <c r="A19002" s="7"/>
      <c r="B19002" s="7"/>
      <c r="C19002" s="7"/>
      <c r="D19002" s="7"/>
      <c r="E19002" s="7"/>
      <c r="F19002" s="7"/>
      <c r="G19002" s="7"/>
      <c r="H19002" s="7"/>
      <c r="I19002" s="7"/>
      <c r="J19002" s="7"/>
      <c r="K19002" s="7"/>
      <c r="L19002" s="7"/>
      <c r="M19002" s="7"/>
      <c r="N19002" s="7"/>
      <c r="O19002" s="7"/>
      <c r="P19002" s="7"/>
      <c r="Q19002" s="7"/>
      <c r="R19002" s="7"/>
      <c r="S19002" s="7"/>
      <c r="T19002" s="7"/>
      <c r="U19002" s="7"/>
      <c r="V19002" s="7"/>
      <c r="W19002" s="7"/>
      <c r="X19002" s="7"/>
      <c r="Y19002" s="7"/>
      <c r="Z19002" s="7"/>
      <c r="AA19002" s="7"/>
      <c r="AB19002" s="7"/>
      <c r="AC19002" s="7"/>
      <c r="AD19002" s="7"/>
      <c r="AE19002" s="7"/>
      <c r="AF19002" s="7"/>
      <c r="AG19002" s="10"/>
    </row>
    <row r="19003" spans="1:33">
      <c r="A19003" s="7"/>
      <c r="B19003" s="7"/>
      <c r="C19003" s="7"/>
      <c r="D19003" s="7"/>
      <c r="E19003" s="7"/>
      <c r="F19003" s="7"/>
      <c r="G19003" s="7"/>
      <c r="H19003" s="7"/>
      <c r="I19003" s="7"/>
      <c r="J19003" s="7"/>
      <c r="K19003" s="7"/>
      <c r="L19003" s="7"/>
      <c r="M19003" s="7"/>
      <c r="N19003" s="7"/>
      <c r="O19003" s="7"/>
      <c r="P19003" s="7"/>
      <c r="Q19003" s="7"/>
      <c r="R19003" s="7"/>
      <c r="S19003" s="7"/>
      <c r="T19003" s="7"/>
      <c r="U19003" s="7"/>
      <c r="V19003" s="7"/>
      <c r="W19003" s="7"/>
      <c r="X19003" s="7"/>
      <c r="Y19003" s="7"/>
      <c r="Z19003" s="7"/>
      <c r="AA19003" s="7"/>
      <c r="AB19003" s="7"/>
      <c r="AC19003" s="7"/>
      <c r="AD19003" s="7"/>
      <c r="AE19003" s="7"/>
      <c r="AF19003" s="7"/>
      <c r="AG19003" s="10"/>
    </row>
    <row r="19004" spans="1:33">
      <c r="A19004" s="7"/>
      <c r="B19004" s="7"/>
      <c r="C19004" s="7"/>
      <c r="D19004" s="7"/>
      <c r="E19004" s="7"/>
      <c r="F19004" s="7"/>
      <c r="G19004" s="7"/>
      <c r="H19004" s="7"/>
      <c r="I19004" s="7"/>
      <c r="J19004" s="7"/>
      <c r="K19004" s="7"/>
      <c r="L19004" s="7"/>
      <c r="M19004" s="7"/>
      <c r="N19004" s="7"/>
      <c r="O19004" s="7"/>
      <c r="P19004" s="7"/>
      <c r="Q19004" s="7"/>
      <c r="R19004" s="7"/>
      <c r="S19004" s="7"/>
      <c r="T19004" s="7"/>
      <c r="U19004" s="7"/>
      <c r="V19004" s="7"/>
      <c r="W19004" s="7"/>
      <c r="X19004" s="7"/>
      <c r="Y19004" s="7"/>
      <c r="Z19004" s="7"/>
      <c r="AA19004" s="7"/>
      <c r="AB19004" s="7"/>
      <c r="AC19004" s="7"/>
      <c r="AD19004" s="7"/>
      <c r="AE19004" s="7"/>
      <c r="AF19004" s="7"/>
      <c r="AG19004" s="10"/>
    </row>
    <row r="19005" spans="1:33">
      <c r="A19005" s="7"/>
      <c r="B19005" s="7"/>
      <c r="C19005" s="7"/>
      <c r="D19005" s="7"/>
      <c r="E19005" s="7"/>
      <c r="F19005" s="7"/>
      <c r="G19005" s="7"/>
      <c r="H19005" s="7"/>
      <c r="I19005" s="7"/>
      <c r="J19005" s="7"/>
      <c r="K19005" s="7"/>
      <c r="L19005" s="7"/>
      <c r="M19005" s="7"/>
      <c r="N19005" s="7"/>
      <c r="O19005" s="7"/>
      <c r="P19005" s="7"/>
      <c r="Q19005" s="7"/>
      <c r="R19005" s="7"/>
      <c r="S19005" s="7"/>
      <c r="T19005" s="7"/>
      <c r="U19005" s="7"/>
      <c r="V19005" s="7"/>
      <c r="W19005" s="7"/>
      <c r="X19005" s="7"/>
      <c r="Y19005" s="7"/>
      <c r="Z19005" s="7"/>
      <c r="AA19005" s="7"/>
      <c r="AB19005" s="7"/>
      <c r="AC19005" s="7"/>
      <c r="AD19005" s="7"/>
      <c r="AE19005" s="7"/>
      <c r="AF19005" s="7"/>
      <c r="AG19005" s="10"/>
    </row>
    <row r="19006" spans="1:33">
      <c r="A19006" s="7"/>
      <c r="B19006" s="7"/>
      <c r="C19006" s="7"/>
      <c r="D19006" s="7"/>
      <c r="E19006" s="7"/>
      <c r="F19006" s="7"/>
      <c r="G19006" s="7"/>
      <c r="H19006" s="7"/>
      <c r="I19006" s="7"/>
      <c r="J19006" s="7"/>
      <c r="K19006" s="7"/>
      <c r="L19006" s="7"/>
      <c r="M19006" s="7"/>
      <c r="N19006" s="7"/>
      <c r="O19006" s="7"/>
      <c r="P19006" s="7"/>
      <c r="Q19006" s="7"/>
      <c r="R19006" s="7"/>
      <c r="S19006" s="7"/>
      <c r="T19006" s="7"/>
      <c r="U19006" s="7"/>
      <c r="V19006" s="7"/>
      <c r="W19006" s="7"/>
      <c r="X19006" s="7"/>
      <c r="Y19006" s="7"/>
      <c r="Z19006" s="7"/>
      <c r="AA19006" s="7"/>
      <c r="AB19006" s="7"/>
      <c r="AC19006" s="7"/>
      <c r="AD19006" s="7"/>
      <c r="AE19006" s="7"/>
      <c r="AF19006" s="7"/>
      <c r="AG19006" s="10"/>
    </row>
    <row r="19007" spans="1:33">
      <c r="A19007" s="7"/>
      <c r="B19007" s="7"/>
      <c r="C19007" s="7"/>
      <c r="D19007" s="7"/>
      <c r="E19007" s="7"/>
      <c r="F19007" s="7"/>
      <c r="G19007" s="7"/>
      <c r="H19007" s="7"/>
      <c r="I19007" s="7"/>
      <c r="J19007" s="7"/>
      <c r="K19007" s="7"/>
      <c r="L19007" s="7"/>
      <c r="M19007" s="7"/>
      <c r="N19007" s="7"/>
      <c r="O19007" s="7"/>
      <c r="P19007" s="7"/>
      <c r="Q19007" s="7"/>
      <c r="R19007" s="7"/>
      <c r="S19007" s="7"/>
      <c r="T19007" s="7"/>
      <c r="U19007" s="7"/>
      <c r="V19007" s="7"/>
      <c r="W19007" s="7"/>
      <c r="X19007" s="7"/>
      <c r="Y19007" s="7"/>
      <c r="Z19007" s="7"/>
      <c r="AA19007" s="7"/>
      <c r="AB19007" s="7"/>
      <c r="AC19007" s="7"/>
      <c r="AD19007" s="7"/>
      <c r="AE19007" s="7"/>
      <c r="AF19007" s="7"/>
      <c r="AG19007" s="10"/>
    </row>
    <row r="19008" spans="1:33">
      <c r="A19008" s="7"/>
      <c r="B19008" s="7"/>
      <c r="C19008" s="7"/>
      <c r="D19008" s="7"/>
      <c r="E19008" s="7"/>
      <c r="F19008" s="7"/>
      <c r="G19008" s="7"/>
      <c r="H19008" s="7"/>
      <c r="I19008" s="7"/>
      <c r="J19008" s="7"/>
      <c r="K19008" s="7"/>
      <c r="L19008" s="7"/>
      <c r="M19008" s="7"/>
      <c r="N19008" s="7"/>
      <c r="O19008" s="7"/>
      <c r="P19008" s="7"/>
      <c r="Q19008" s="7"/>
      <c r="R19008" s="7"/>
      <c r="S19008" s="7"/>
      <c r="T19008" s="7"/>
      <c r="U19008" s="7"/>
      <c r="V19008" s="7"/>
      <c r="W19008" s="7"/>
      <c r="X19008" s="7"/>
      <c r="Y19008" s="7"/>
      <c r="Z19008" s="7"/>
      <c r="AA19008" s="7"/>
      <c r="AB19008" s="7"/>
      <c r="AC19008" s="7"/>
      <c r="AD19008" s="7"/>
      <c r="AE19008" s="7"/>
      <c r="AF19008" s="7"/>
      <c r="AG19008" s="10"/>
    </row>
    <row r="19009" spans="1:33">
      <c r="A19009" s="7"/>
      <c r="B19009" s="7"/>
      <c r="C19009" s="7"/>
      <c r="D19009" s="7"/>
      <c r="E19009" s="7"/>
      <c r="F19009" s="7"/>
      <c r="G19009" s="7"/>
      <c r="H19009" s="7"/>
      <c r="I19009" s="7"/>
      <c r="J19009" s="7"/>
      <c r="K19009" s="7"/>
      <c r="L19009" s="7"/>
      <c r="M19009" s="7"/>
      <c r="N19009" s="7"/>
      <c r="O19009" s="7"/>
      <c r="P19009" s="7"/>
      <c r="Q19009" s="7"/>
      <c r="R19009" s="7"/>
      <c r="S19009" s="7"/>
      <c r="T19009" s="7"/>
      <c r="U19009" s="7"/>
      <c r="V19009" s="7"/>
      <c r="W19009" s="7"/>
      <c r="X19009" s="7"/>
      <c r="Y19009" s="7"/>
      <c r="Z19009" s="7"/>
      <c r="AA19009" s="7"/>
      <c r="AB19009" s="7"/>
      <c r="AC19009" s="7"/>
      <c r="AD19009" s="7"/>
      <c r="AE19009" s="7"/>
      <c r="AF19009" s="7"/>
      <c r="AG19009" s="10"/>
    </row>
    <row r="19010" spans="1:33">
      <c r="A19010" s="7"/>
      <c r="B19010" s="7"/>
      <c r="C19010" s="7"/>
      <c r="D19010" s="7"/>
      <c r="E19010" s="7"/>
      <c r="F19010" s="7"/>
      <c r="G19010" s="7"/>
      <c r="H19010" s="7"/>
      <c r="I19010" s="7"/>
      <c r="J19010" s="7"/>
      <c r="K19010" s="7"/>
      <c r="L19010" s="7"/>
      <c r="M19010" s="7"/>
      <c r="N19010" s="7"/>
      <c r="O19010" s="7"/>
      <c r="P19010" s="7"/>
      <c r="Q19010" s="7"/>
      <c r="R19010" s="7"/>
      <c r="S19010" s="7"/>
      <c r="T19010" s="7"/>
      <c r="U19010" s="7"/>
      <c r="V19010" s="7"/>
      <c r="W19010" s="7"/>
      <c r="X19010" s="7"/>
      <c r="Y19010" s="7"/>
      <c r="Z19010" s="7"/>
      <c r="AA19010" s="7"/>
      <c r="AB19010" s="7"/>
      <c r="AC19010" s="7"/>
      <c r="AD19010" s="7"/>
      <c r="AE19010" s="7"/>
      <c r="AF19010" s="7"/>
      <c r="AG19010" s="10"/>
    </row>
    <row r="19011" spans="1:33">
      <c r="A19011" s="7"/>
      <c r="B19011" s="7"/>
      <c r="C19011" s="7"/>
      <c r="D19011" s="7"/>
      <c r="E19011" s="7"/>
      <c r="F19011" s="7"/>
      <c r="G19011" s="7"/>
      <c r="H19011" s="7"/>
      <c r="I19011" s="7"/>
      <c r="J19011" s="7"/>
      <c r="K19011" s="7"/>
      <c r="L19011" s="7"/>
      <c r="M19011" s="7"/>
      <c r="N19011" s="7"/>
      <c r="O19011" s="7"/>
      <c r="P19011" s="7"/>
      <c r="Q19011" s="7"/>
      <c r="R19011" s="7"/>
      <c r="S19011" s="7"/>
      <c r="T19011" s="7"/>
      <c r="U19011" s="7"/>
      <c r="V19011" s="7"/>
      <c r="W19011" s="7"/>
      <c r="X19011" s="7"/>
      <c r="Y19011" s="7"/>
      <c r="Z19011" s="7"/>
      <c r="AA19011" s="7"/>
      <c r="AB19011" s="7"/>
      <c r="AC19011" s="7"/>
      <c r="AD19011" s="7"/>
      <c r="AE19011" s="7"/>
      <c r="AF19011" s="7"/>
      <c r="AG19011" s="10"/>
    </row>
    <row r="19012" spans="1:33">
      <c r="A19012" s="7"/>
      <c r="B19012" s="7"/>
      <c r="C19012" s="7"/>
      <c r="D19012" s="7"/>
      <c r="E19012" s="7"/>
      <c r="F19012" s="7"/>
      <c r="G19012" s="7"/>
      <c r="H19012" s="7"/>
      <c r="I19012" s="7"/>
      <c r="J19012" s="7"/>
      <c r="K19012" s="7"/>
      <c r="L19012" s="7"/>
      <c r="M19012" s="7"/>
      <c r="N19012" s="7"/>
      <c r="O19012" s="7"/>
      <c r="P19012" s="7"/>
      <c r="Q19012" s="7"/>
      <c r="R19012" s="7"/>
      <c r="S19012" s="7"/>
      <c r="T19012" s="7"/>
      <c r="U19012" s="7"/>
      <c r="V19012" s="7"/>
      <c r="W19012" s="7"/>
      <c r="X19012" s="7"/>
      <c r="Y19012" s="7"/>
      <c r="Z19012" s="7"/>
      <c r="AA19012" s="7"/>
      <c r="AB19012" s="7"/>
      <c r="AC19012" s="7"/>
      <c r="AD19012" s="7"/>
      <c r="AE19012" s="7"/>
      <c r="AF19012" s="7"/>
      <c r="AG19012" s="10"/>
    </row>
    <row r="19013" spans="1:33">
      <c r="A19013" s="7"/>
      <c r="B19013" s="7"/>
      <c r="C19013" s="7"/>
      <c r="D19013" s="7"/>
      <c r="E19013" s="7"/>
      <c r="F19013" s="7"/>
      <c r="G19013" s="7"/>
      <c r="H19013" s="7"/>
      <c r="I19013" s="7"/>
      <c r="J19013" s="7"/>
      <c r="K19013" s="7"/>
      <c r="L19013" s="7"/>
      <c r="M19013" s="7"/>
      <c r="N19013" s="7"/>
      <c r="O19013" s="7"/>
      <c r="P19013" s="7"/>
      <c r="Q19013" s="7"/>
      <c r="R19013" s="7"/>
      <c r="S19013" s="7"/>
      <c r="T19013" s="7"/>
      <c r="U19013" s="7"/>
      <c r="V19013" s="7"/>
      <c r="W19013" s="7"/>
      <c r="X19013" s="7"/>
      <c r="Y19013" s="7"/>
      <c r="Z19013" s="7"/>
      <c r="AA19013" s="7"/>
      <c r="AB19013" s="7"/>
      <c r="AC19013" s="7"/>
      <c r="AD19013" s="7"/>
      <c r="AE19013" s="7"/>
      <c r="AF19013" s="7"/>
      <c r="AG19013" s="10"/>
    </row>
    <row r="19014" spans="1:33">
      <c r="A19014" s="7"/>
      <c r="B19014" s="7"/>
      <c r="C19014" s="7"/>
      <c r="D19014" s="7"/>
      <c r="E19014" s="7"/>
      <c r="F19014" s="7"/>
      <c r="G19014" s="7"/>
      <c r="H19014" s="7"/>
      <c r="I19014" s="7"/>
      <c r="J19014" s="7"/>
      <c r="K19014" s="7"/>
      <c r="L19014" s="7"/>
      <c r="M19014" s="7"/>
      <c r="N19014" s="7"/>
      <c r="O19014" s="7"/>
      <c r="P19014" s="7"/>
      <c r="Q19014" s="7"/>
      <c r="R19014" s="7"/>
      <c r="S19014" s="7"/>
      <c r="T19014" s="7"/>
      <c r="U19014" s="7"/>
      <c r="V19014" s="7"/>
      <c r="W19014" s="7"/>
      <c r="X19014" s="7"/>
      <c r="Y19014" s="7"/>
      <c r="Z19014" s="7"/>
      <c r="AA19014" s="7"/>
      <c r="AB19014" s="7"/>
      <c r="AC19014" s="7"/>
      <c r="AD19014" s="7"/>
      <c r="AE19014" s="7"/>
      <c r="AF19014" s="7"/>
      <c r="AG19014" s="10"/>
    </row>
    <row r="19015" spans="1:33">
      <c r="A19015" s="7"/>
      <c r="B19015" s="7"/>
      <c r="C19015" s="7"/>
      <c r="D19015" s="7"/>
      <c r="E19015" s="7"/>
      <c r="F19015" s="7"/>
      <c r="G19015" s="7"/>
      <c r="H19015" s="7"/>
      <c r="I19015" s="7"/>
      <c r="J19015" s="7"/>
      <c r="K19015" s="7"/>
      <c r="L19015" s="7"/>
      <c r="M19015" s="7"/>
      <c r="N19015" s="7"/>
      <c r="O19015" s="7"/>
      <c r="P19015" s="7"/>
      <c r="Q19015" s="7"/>
      <c r="R19015" s="7"/>
      <c r="S19015" s="7"/>
      <c r="T19015" s="7"/>
      <c r="U19015" s="7"/>
      <c r="V19015" s="7"/>
      <c r="W19015" s="7"/>
      <c r="X19015" s="7"/>
      <c r="Y19015" s="7"/>
      <c r="Z19015" s="7"/>
      <c r="AA19015" s="7"/>
      <c r="AB19015" s="7"/>
      <c r="AC19015" s="7"/>
      <c r="AD19015" s="7"/>
      <c r="AE19015" s="7"/>
      <c r="AF19015" s="7"/>
      <c r="AG19015" s="10"/>
    </row>
    <row r="19016" spans="1:33">
      <c r="A19016" s="7"/>
      <c r="B19016" s="7"/>
      <c r="C19016" s="7"/>
      <c r="D19016" s="7"/>
      <c r="E19016" s="7"/>
      <c r="F19016" s="7"/>
      <c r="G19016" s="7"/>
      <c r="H19016" s="7"/>
      <c r="I19016" s="7"/>
      <c r="J19016" s="7"/>
      <c r="K19016" s="7"/>
      <c r="L19016" s="7"/>
      <c r="M19016" s="7"/>
      <c r="N19016" s="7"/>
      <c r="O19016" s="7"/>
      <c r="P19016" s="7"/>
      <c r="Q19016" s="7"/>
      <c r="R19016" s="7"/>
      <c r="S19016" s="7"/>
      <c r="T19016" s="7"/>
      <c r="U19016" s="7"/>
      <c r="V19016" s="7"/>
      <c r="W19016" s="7"/>
      <c r="X19016" s="7"/>
      <c r="Y19016" s="7"/>
      <c r="Z19016" s="7"/>
      <c r="AA19016" s="7"/>
      <c r="AB19016" s="7"/>
      <c r="AC19016" s="7"/>
      <c r="AD19016" s="7"/>
      <c r="AE19016" s="7"/>
      <c r="AF19016" s="7"/>
      <c r="AG19016" s="10"/>
    </row>
    <row r="19017" spans="1:33">
      <c r="A19017" s="7"/>
      <c r="B19017" s="7"/>
      <c r="C19017" s="7"/>
      <c r="D19017" s="7"/>
      <c r="E19017" s="7"/>
      <c r="F19017" s="7"/>
      <c r="G19017" s="7"/>
      <c r="H19017" s="7"/>
      <c r="I19017" s="7"/>
      <c r="J19017" s="7"/>
      <c r="K19017" s="7"/>
      <c r="L19017" s="7"/>
      <c r="M19017" s="7"/>
      <c r="N19017" s="7"/>
      <c r="O19017" s="7"/>
      <c r="P19017" s="7"/>
      <c r="Q19017" s="7"/>
      <c r="R19017" s="7"/>
      <c r="S19017" s="7"/>
      <c r="T19017" s="7"/>
      <c r="U19017" s="7"/>
      <c r="V19017" s="7"/>
      <c r="W19017" s="7"/>
      <c r="X19017" s="7"/>
      <c r="Y19017" s="7"/>
      <c r="Z19017" s="7"/>
      <c r="AA19017" s="7"/>
      <c r="AB19017" s="7"/>
      <c r="AC19017" s="7"/>
      <c r="AD19017" s="7"/>
      <c r="AE19017" s="7"/>
      <c r="AF19017" s="7"/>
      <c r="AG19017" s="10"/>
    </row>
    <row r="19018" spans="1:33">
      <c r="A19018" s="7"/>
      <c r="B19018" s="7"/>
      <c r="C19018" s="7"/>
      <c r="D19018" s="7"/>
      <c r="E19018" s="7"/>
      <c r="F19018" s="7"/>
      <c r="G19018" s="7"/>
      <c r="H19018" s="7"/>
      <c r="I19018" s="7"/>
      <c r="J19018" s="7"/>
      <c r="K19018" s="7"/>
      <c r="L19018" s="7"/>
      <c r="M19018" s="7"/>
      <c r="N19018" s="7"/>
      <c r="O19018" s="7"/>
      <c r="P19018" s="7"/>
      <c r="Q19018" s="7"/>
      <c r="R19018" s="7"/>
      <c r="S19018" s="7"/>
      <c r="T19018" s="7"/>
      <c r="U19018" s="7"/>
      <c r="V19018" s="7"/>
      <c r="W19018" s="7"/>
      <c r="X19018" s="7"/>
      <c r="Y19018" s="7"/>
      <c r="Z19018" s="7"/>
      <c r="AA19018" s="7"/>
      <c r="AB19018" s="7"/>
      <c r="AC19018" s="7"/>
      <c r="AD19018" s="7"/>
      <c r="AE19018" s="7"/>
      <c r="AF19018" s="7"/>
      <c r="AG19018" s="10"/>
    </row>
    <row r="19019" spans="1:33">
      <c r="A19019" s="7"/>
      <c r="B19019" s="7"/>
      <c r="C19019" s="7"/>
      <c r="D19019" s="7"/>
      <c r="E19019" s="7"/>
      <c r="F19019" s="7"/>
      <c r="G19019" s="7"/>
      <c r="H19019" s="7"/>
      <c r="I19019" s="7"/>
      <c r="J19019" s="7"/>
      <c r="K19019" s="7"/>
      <c r="L19019" s="7"/>
      <c r="M19019" s="7"/>
      <c r="N19019" s="7"/>
      <c r="O19019" s="7"/>
      <c r="P19019" s="7"/>
      <c r="Q19019" s="7"/>
      <c r="R19019" s="7"/>
      <c r="S19019" s="7"/>
      <c r="T19019" s="7"/>
      <c r="U19019" s="7"/>
      <c r="V19019" s="7"/>
      <c r="W19019" s="7"/>
      <c r="X19019" s="7"/>
      <c r="Y19019" s="7"/>
      <c r="Z19019" s="7"/>
      <c r="AA19019" s="7"/>
      <c r="AB19019" s="7"/>
      <c r="AC19019" s="7"/>
      <c r="AD19019" s="7"/>
      <c r="AE19019" s="7"/>
      <c r="AF19019" s="7"/>
      <c r="AG19019" s="10"/>
    </row>
    <row r="19020" spans="1:33">
      <c r="A19020" s="7"/>
      <c r="B19020" s="7"/>
      <c r="C19020" s="7"/>
      <c r="D19020" s="7"/>
      <c r="E19020" s="7"/>
      <c r="F19020" s="7"/>
      <c r="G19020" s="7"/>
      <c r="H19020" s="7"/>
      <c r="I19020" s="7"/>
      <c r="J19020" s="7"/>
      <c r="K19020" s="7"/>
      <c r="L19020" s="7"/>
      <c r="M19020" s="7"/>
      <c r="N19020" s="7"/>
      <c r="O19020" s="7"/>
      <c r="P19020" s="7"/>
      <c r="Q19020" s="7"/>
      <c r="R19020" s="7"/>
      <c r="S19020" s="7"/>
      <c r="T19020" s="7"/>
      <c r="U19020" s="7"/>
      <c r="V19020" s="7"/>
      <c r="W19020" s="7"/>
      <c r="X19020" s="7"/>
      <c r="Y19020" s="7"/>
      <c r="Z19020" s="7"/>
      <c r="AA19020" s="7"/>
      <c r="AB19020" s="7"/>
      <c r="AC19020" s="7"/>
      <c r="AD19020" s="7"/>
      <c r="AE19020" s="7"/>
      <c r="AF19020" s="7"/>
      <c r="AG19020" s="10"/>
    </row>
    <row r="19021" spans="1:33">
      <c r="A19021" s="7"/>
      <c r="B19021" s="7"/>
      <c r="C19021" s="7"/>
      <c r="D19021" s="7"/>
      <c r="E19021" s="7"/>
      <c r="F19021" s="7"/>
      <c r="G19021" s="7"/>
      <c r="H19021" s="7"/>
      <c r="I19021" s="7"/>
      <c r="J19021" s="7"/>
      <c r="K19021" s="7"/>
      <c r="L19021" s="7"/>
      <c r="M19021" s="7"/>
      <c r="N19021" s="7"/>
      <c r="O19021" s="7"/>
      <c r="P19021" s="7"/>
      <c r="Q19021" s="7"/>
      <c r="R19021" s="7"/>
      <c r="S19021" s="7"/>
      <c r="T19021" s="7"/>
      <c r="U19021" s="7"/>
      <c r="V19021" s="7"/>
      <c r="W19021" s="7"/>
      <c r="X19021" s="7"/>
      <c r="Y19021" s="7"/>
      <c r="Z19021" s="7"/>
      <c r="AA19021" s="7"/>
      <c r="AB19021" s="7"/>
      <c r="AC19021" s="7"/>
      <c r="AD19021" s="7"/>
      <c r="AE19021" s="7"/>
      <c r="AF19021" s="7"/>
      <c r="AG19021" s="10"/>
    </row>
    <row r="19022" spans="1:33">
      <c r="A19022" s="7"/>
      <c r="B19022" s="7"/>
      <c r="C19022" s="7"/>
      <c r="D19022" s="7"/>
      <c r="E19022" s="7"/>
      <c r="F19022" s="7"/>
      <c r="G19022" s="7"/>
      <c r="H19022" s="7"/>
      <c r="I19022" s="7"/>
      <c r="J19022" s="7"/>
      <c r="K19022" s="7"/>
      <c r="L19022" s="7"/>
      <c r="M19022" s="7"/>
      <c r="N19022" s="7"/>
      <c r="O19022" s="7"/>
      <c r="P19022" s="7"/>
      <c r="Q19022" s="7"/>
      <c r="R19022" s="7"/>
      <c r="S19022" s="7"/>
      <c r="T19022" s="7"/>
      <c r="U19022" s="7"/>
      <c r="V19022" s="7"/>
      <c r="W19022" s="7"/>
      <c r="X19022" s="7"/>
      <c r="Y19022" s="7"/>
      <c r="Z19022" s="7"/>
      <c r="AA19022" s="7"/>
      <c r="AB19022" s="7"/>
      <c r="AC19022" s="7"/>
      <c r="AD19022" s="7"/>
      <c r="AE19022" s="7"/>
      <c r="AF19022" s="7"/>
      <c r="AG19022" s="10"/>
    </row>
    <row r="19023" spans="1:33">
      <c r="A19023" s="7"/>
      <c r="B19023" s="7"/>
      <c r="C19023" s="7"/>
      <c r="D19023" s="7"/>
      <c r="E19023" s="7"/>
      <c r="F19023" s="7"/>
      <c r="G19023" s="7"/>
      <c r="H19023" s="7"/>
      <c r="I19023" s="7"/>
      <c r="J19023" s="7"/>
      <c r="K19023" s="7"/>
      <c r="L19023" s="7"/>
      <c r="M19023" s="7"/>
      <c r="N19023" s="7"/>
      <c r="O19023" s="7"/>
      <c r="P19023" s="7"/>
      <c r="Q19023" s="7"/>
      <c r="R19023" s="7"/>
      <c r="S19023" s="7"/>
      <c r="T19023" s="7"/>
      <c r="U19023" s="7"/>
      <c r="V19023" s="7"/>
      <c r="W19023" s="7"/>
      <c r="X19023" s="7"/>
      <c r="Y19023" s="7"/>
      <c r="Z19023" s="7"/>
      <c r="AA19023" s="7"/>
      <c r="AB19023" s="7"/>
      <c r="AC19023" s="7"/>
      <c r="AD19023" s="7"/>
      <c r="AE19023" s="7"/>
      <c r="AF19023" s="7"/>
      <c r="AG19023" s="10"/>
    </row>
    <row r="19024" spans="1:33">
      <c r="A19024" s="7"/>
      <c r="B19024" s="7"/>
      <c r="C19024" s="7"/>
      <c r="D19024" s="7"/>
      <c r="E19024" s="7"/>
      <c r="F19024" s="7"/>
      <c r="G19024" s="7"/>
      <c r="H19024" s="7"/>
      <c r="I19024" s="7"/>
      <c r="J19024" s="7"/>
      <c r="K19024" s="7"/>
      <c r="L19024" s="7"/>
      <c r="M19024" s="7"/>
      <c r="N19024" s="7"/>
      <c r="O19024" s="7"/>
      <c r="P19024" s="7"/>
      <c r="Q19024" s="7"/>
      <c r="R19024" s="7"/>
      <c r="S19024" s="7"/>
      <c r="T19024" s="7"/>
      <c r="U19024" s="7"/>
      <c r="V19024" s="7"/>
      <c r="W19024" s="7"/>
      <c r="X19024" s="7"/>
      <c r="Y19024" s="7"/>
      <c r="Z19024" s="7"/>
      <c r="AA19024" s="7"/>
      <c r="AB19024" s="7"/>
      <c r="AC19024" s="7"/>
      <c r="AD19024" s="7"/>
      <c r="AE19024" s="7"/>
      <c r="AF19024" s="7"/>
      <c r="AG19024" s="10"/>
    </row>
    <row r="19025" spans="1:33">
      <c r="A19025" s="7"/>
      <c r="B19025" s="7"/>
      <c r="C19025" s="7"/>
      <c r="D19025" s="7"/>
      <c r="E19025" s="7"/>
      <c r="F19025" s="7"/>
      <c r="G19025" s="7"/>
      <c r="H19025" s="7"/>
      <c r="I19025" s="7"/>
      <c r="J19025" s="7"/>
      <c r="K19025" s="7"/>
      <c r="L19025" s="7"/>
      <c r="M19025" s="7"/>
      <c r="N19025" s="7"/>
      <c r="O19025" s="7"/>
      <c r="P19025" s="7"/>
      <c r="Q19025" s="7"/>
      <c r="R19025" s="7"/>
      <c r="S19025" s="7"/>
      <c r="T19025" s="7"/>
      <c r="U19025" s="7"/>
      <c r="V19025" s="7"/>
      <c r="W19025" s="7"/>
      <c r="X19025" s="7"/>
      <c r="Y19025" s="7"/>
      <c r="Z19025" s="7"/>
      <c r="AA19025" s="7"/>
      <c r="AB19025" s="7"/>
      <c r="AC19025" s="7"/>
      <c r="AD19025" s="7"/>
      <c r="AE19025" s="7"/>
      <c r="AF19025" s="7"/>
      <c r="AG19025" s="10"/>
    </row>
    <row r="19026" spans="1:33">
      <c r="A19026" s="7"/>
      <c r="B19026" s="7"/>
      <c r="C19026" s="7"/>
      <c r="D19026" s="7"/>
      <c r="E19026" s="7"/>
      <c r="F19026" s="7"/>
      <c r="G19026" s="7"/>
      <c r="H19026" s="7"/>
      <c r="I19026" s="7"/>
      <c r="J19026" s="7"/>
      <c r="K19026" s="7"/>
      <c r="L19026" s="7"/>
      <c r="M19026" s="7"/>
      <c r="N19026" s="7"/>
      <c r="O19026" s="7"/>
      <c r="P19026" s="7"/>
      <c r="Q19026" s="7"/>
      <c r="R19026" s="7"/>
      <c r="S19026" s="7"/>
      <c r="T19026" s="7"/>
      <c r="U19026" s="7"/>
      <c r="V19026" s="7"/>
      <c r="W19026" s="7"/>
      <c r="X19026" s="7"/>
      <c r="Y19026" s="7"/>
      <c r="Z19026" s="7"/>
      <c r="AA19026" s="7"/>
      <c r="AB19026" s="7"/>
      <c r="AC19026" s="7"/>
      <c r="AD19026" s="7"/>
      <c r="AE19026" s="7"/>
      <c r="AF19026" s="7"/>
      <c r="AG19026" s="10"/>
    </row>
    <row r="19027" spans="1:33">
      <c r="A19027" s="7"/>
      <c r="B19027" s="7"/>
      <c r="C19027" s="7"/>
      <c r="D19027" s="7"/>
      <c r="E19027" s="7"/>
      <c r="F19027" s="7"/>
      <c r="G19027" s="7"/>
      <c r="H19027" s="7"/>
      <c r="I19027" s="7"/>
      <c r="J19027" s="7"/>
      <c r="K19027" s="7"/>
      <c r="L19027" s="7"/>
      <c r="M19027" s="7"/>
      <c r="N19027" s="7"/>
      <c r="O19027" s="7"/>
      <c r="P19027" s="7"/>
      <c r="Q19027" s="7"/>
      <c r="R19027" s="7"/>
      <c r="S19027" s="7"/>
      <c r="T19027" s="7"/>
      <c r="U19027" s="7"/>
      <c r="V19027" s="7"/>
      <c r="W19027" s="7"/>
      <c r="X19027" s="7"/>
      <c r="Y19027" s="7"/>
      <c r="Z19027" s="7"/>
      <c r="AA19027" s="7"/>
      <c r="AB19027" s="7"/>
      <c r="AC19027" s="7"/>
      <c r="AD19027" s="7"/>
      <c r="AE19027" s="7"/>
      <c r="AF19027" s="7"/>
      <c r="AG19027" s="10"/>
    </row>
    <row r="19028" spans="1:33">
      <c r="A19028" s="7"/>
      <c r="B19028" s="7"/>
      <c r="C19028" s="7"/>
      <c r="D19028" s="7"/>
      <c r="E19028" s="7"/>
      <c r="F19028" s="7"/>
      <c r="G19028" s="7"/>
      <c r="H19028" s="7"/>
      <c r="I19028" s="7"/>
      <c r="J19028" s="7"/>
      <c r="K19028" s="7"/>
      <c r="L19028" s="7"/>
      <c r="M19028" s="7"/>
      <c r="N19028" s="7"/>
      <c r="O19028" s="7"/>
      <c r="P19028" s="7"/>
      <c r="Q19028" s="7"/>
      <c r="R19028" s="7"/>
      <c r="S19028" s="7"/>
      <c r="T19028" s="7"/>
      <c r="U19028" s="7"/>
      <c r="V19028" s="7"/>
      <c r="W19028" s="7"/>
      <c r="X19028" s="7"/>
      <c r="Y19028" s="7"/>
      <c r="Z19028" s="7"/>
      <c r="AA19028" s="7"/>
      <c r="AB19028" s="7"/>
      <c r="AC19028" s="7"/>
      <c r="AD19028" s="7"/>
      <c r="AE19028" s="7"/>
      <c r="AF19028" s="7"/>
      <c r="AG19028" s="10"/>
    </row>
    <row r="19029" spans="1:33">
      <c r="A19029" s="7"/>
      <c r="B19029" s="7"/>
      <c r="C19029" s="7"/>
      <c r="D19029" s="7"/>
      <c r="E19029" s="7"/>
      <c r="F19029" s="7"/>
      <c r="G19029" s="7"/>
      <c r="H19029" s="7"/>
      <c r="I19029" s="7"/>
      <c r="J19029" s="7"/>
      <c r="K19029" s="7"/>
      <c r="L19029" s="7"/>
      <c r="M19029" s="7"/>
      <c r="N19029" s="7"/>
      <c r="O19029" s="7"/>
      <c r="P19029" s="7"/>
      <c r="Q19029" s="7"/>
      <c r="R19029" s="7"/>
      <c r="S19029" s="7"/>
      <c r="T19029" s="7"/>
      <c r="U19029" s="7"/>
      <c r="V19029" s="7"/>
      <c r="W19029" s="7"/>
      <c r="X19029" s="7"/>
      <c r="Y19029" s="7"/>
      <c r="Z19029" s="7"/>
      <c r="AA19029" s="7"/>
      <c r="AB19029" s="7"/>
      <c r="AC19029" s="7"/>
      <c r="AD19029" s="7"/>
      <c r="AE19029" s="7"/>
      <c r="AF19029" s="7"/>
      <c r="AG19029" s="10"/>
    </row>
    <row r="19030" spans="1:33">
      <c r="A19030" s="7"/>
      <c r="B19030" s="7"/>
      <c r="C19030" s="7"/>
      <c r="D19030" s="7"/>
      <c r="E19030" s="7"/>
      <c r="F19030" s="7"/>
      <c r="G19030" s="7"/>
      <c r="H19030" s="7"/>
      <c r="I19030" s="7"/>
      <c r="J19030" s="7"/>
      <c r="K19030" s="7"/>
      <c r="L19030" s="7"/>
      <c r="M19030" s="7"/>
      <c r="N19030" s="7"/>
      <c r="O19030" s="7"/>
      <c r="P19030" s="7"/>
      <c r="Q19030" s="7"/>
      <c r="R19030" s="7"/>
      <c r="S19030" s="7"/>
      <c r="T19030" s="7"/>
      <c r="U19030" s="7"/>
      <c r="V19030" s="7"/>
      <c r="W19030" s="7"/>
      <c r="X19030" s="7"/>
      <c r="Y19030" s="7"/>
      <c r="Z19030" s="7"/>
      <c r="AA19030" s="7"/>
      <c r="AB19030" s="7"/>
      <c r="AC19030" s="7"/>
      <c r="AD19030" s="7"/>
      <c r="AE19030" s="7"/>
      <c r="AF19030" s="7"/>
      <c r="AG19030" s="10"/>
    </row>
    <row r="19031" spans="1:33">
      <c r="A19031" s="7"/>
      <c r="B19031" s="7"/>
      <c r="C19031" s="7"/>
      <c r="D19031" s="7"/>
      <c r="E19031" s="7"/>
      <c r="F19031" s="7"/>
      <c r="G19031" s="7"/>
      <c r="H19031" s="7"/>
      <c r="I19031" s="7"/>
      <c r="J19031" s="7"/>
      <c r="K19031" s="7"/>
      <c r="L19031" s="7"/>
      <c r="M19031" s="7"/>
      <c r="N19031" s="7"/>
      <c r="O19031" s="7"/>
      <c r="P19031" s="7"/>
      <c r="Q19031" s="7"/>
      <c r="R19031" s="7"/>
      <c r="S19031" s="7"/>
      <c r="T19031" s="7"/>
      <c r="U19031" s="7"/>
      <c r="V19031" s="7"/>
      <c r="W19031" s="7"/>
      <c r="X19031" s="7"/>
      <c r="Y19031" s="7"/>
      <c r="Z19031" s="7"/>
      <c r="AA19031" s="7"/>
      <c r="AB19031" s="7"/>
      <c r="AC19031" s="7"/>
      <c r="AD19031" s="7"/>
      <c r="AE19031" s="7"/>
      <c r="AF19031" s="7"/>
      <c r="AG19031" s="10"/>
    </row>
    <row r="19032" spans="1:33">
      <c r="A19032" s="7"/>
      <c r="B19032" s="7"/>
      <c r="C19032" s="7"/>
      <c r="D19032" s="7"/>
      <c r="E19032" s="7"/>
      <c r="F19032" s="7"/>
      <c r="G19032" s="7"/>
      <c r="H19032" s="7"/>
      <c r="I19032" s="7"/>
      <c r="J19032" s="7"/>
      <c r="K19032" s="7"/>
      <c r="L19032" s="7"/>
      <c r="M19032" s="7"/>
      <c r="N19032" s="7"/>
      <c r="O19032" s="7"/>
      <c r="P19032" s="7"/>
      <c r="Q19032" s="7"/>
      <c r="R19032" s="7"/>
      <c r="S19032" s="7"/>
      <c r="T19032" s="7"/>
      <c r="U19032" s="7"/>
      <c r="V19032" s="7"/>
      <c r="W19032" s="7"/>
      <c r="X19032" s="7"/>
      <c r="Y19032" s="7"/>
      <c r="Z19032" s="7"/>
      <c r="AA19032" s="7"/>
      <c r="AB19032" s="7"/>
      <c r="AC19032" s="7"/>
      <c r="AD19032" s="7"/>
      <c r="AE19032" s="7"/>
      <c r="AF19032" s="7"/>
      <c r="AG19032" s="10"/>
    </row>
    <row r="19033" spans="1:33">
      <c r="A19033" s="7"/>
      <c r="B19033" s="7"/>
      <c r="C19033" s="7"/>
      <c r="D19033" s="7"/>
      <c r="E19033" s="7"/>
      <c r="F19033" s="7"/>
      <c r="G19033" s="7"/>
      <c r="H19033" s="7"/>
      <c r="I19033" s="7"/>
      <c r="J19033" s="7"/>
      <c r="K19033" s="7"/>
      <c r="L19033" s="7"/>
      <c r="M19033" s="7"/>
      <c r="N19033" s="7"/>
      <c r="O19033" s="7"/>
      <c r="P19033" s="7"/>
      <c r="Q19033" s="7"/>
      <c r="R19033" s="7"/>
      <c r="S19033" s="7"/>
      <c r="T19033" s="7"/>
      <c r="U19033" s="7"/>
      <c r="V19033" s="7"/>
      <c r="W19033" s="7"/>
      <c r="X19033" s="7"/>
      <c r="Y19033" s="7"/>
      <c r="Z19033" s="7"/>
      <c r="AA19033" s="7"/>
      <c r="AB19033" s="7"/>
      <c r="AC19033" s="7"/>
      <c r="AD19033" s="7"/>
      <c r="AE19033" s="7"/>
      <c r="AF19033" s="7"/>
      <c r="AG19033" s="10"/>
    </row>
    <row r="19034" spans="1:33">
      <c r="A19034" s="7"/>
      <c r="B19034" s="7"/>
      <c r="C19034" s="7"/>
      <c r="D19034" s="7"/>
      <c r="E19034" s="7"/>
      <c r="F19034" s="7"/>
      <c r="G19034" s="7"/>
      <c r="H19034" s="7"/>
      <c r="I19034" s="7"/>
      <c r="J19034" s="7"/>
      <c r="K19034" s="7"/>
      <c r="L19034" s="7"/>
      <c r="M19034" s="7"/>
      <c r="N19034" s="7"/>
      <c r="O19034" s="7"/>
      <c r="P19034" s="7"/>
      <c r="Q19034" s="7"/>
      <c r="R19034" s="7"/>
      <c r="S19034" s="7"/>
      <c r="T19034" s="7"/>
      <c r="U19034" s="7"/>
      <c r="V19034" s="7"/>
      <c r="W19034" s="7"/>
      <c r="X19034" s="7"/>
      <c r="Y19034" s="7"/>
      <c r="Z19034" s="7"/>
      <c r="AA19034" s="7"/>
      <c r="AB19034" s="7"/>
      <c r="AC19034" s="7"/>
      <c r="AD19034" s="7"/>
      <c r="AE19034" s="7"/>
      <c r="AF19034" s="7"/>
      <c r="AG19034" s="10"/>
    </row>
    <row r="19035" spans="1:33">
      <c r="A19035" s="7"/>
      <c r="B19035" s="7"/>
      <c r="C19035" s="7"/>
      <c r="D19035" s="7"/>
      <c r="E19035" s="7"/>
      <c r="F19035" s="7"/>
      <c r="G19035" s="7"/>
      <c r="H19035" s="7"/>
      <c r="I19035" s="7"/>
      <c r="J19035" s="7"/>
      <c r="K19035" s="7"/>
      <c r="L19035" s="7"/>
      <c r="M19035" s="7"/>
      <c r="N19035" s="7"/>
      <c r="O19035" s="7"/>
      <c r="P19035" s="7"/>
      <c r="Q19035" s="7"/>
      <c r="R19035" s="7"/>
      <c r="S19035" s="7"/>
      <c r="T19035" s="7"/>
      <c r="U19035" s="7"/>
      <c r="V19035" s="7"/>
      <c r="W19035" s="7"/>
      <c r="X19035" s="7"/>
      <c r="Y19035" s="7"/>
      <c r="Z19035" s="7"/>
      <c r="AA19035" s="7"/>
      <c r="AB19035" s="7"/>
      <c r="AC19035" s="7"/>
      <c r="AD19035" s="7"/>
      <c r="AE19035" s="7"/>
      <c r="AF19035" s="7"/>
      <c r="AG19035" s="10"/>
    </row>
    <row r="19036" spans="1:33">
      <c r="A19036" s="7"/>
      <c r="B19036" s="7"/>
      <c r="C19036" s="7"/>
      <c r="D19036" s="7"/>
      <c r="E19036" s="7"/>
      <c r="F19036" s="7"/>
      <c r="G19036" s="7"/>
      <c r="H19036" s="7"/>
      <c r="I19036" s="7"/>
      <c r="J19036" s="7"/>
      <c r="K19036" s="7"/>
      <c r="L19036" s="7"/>
      <c r="M19036" s="7"/>
      <c r="N19036" s="7"/>
      <c r="O19036" s="7"/>
      <c r="P19036" s="7"/>
      <c r="Q19036" s="7"/>
      <c r="R19036" s="7"/>
      <c r="S19036" s="7"/>
      <c r="T19036" s="7"/>
      <c r="U19036" s="7"/>
      <c r="V19036" s="7"/>
      <c r="W19036" s="7"/>
      <c r="X19036" s="7"/>
      <c r="Y19036" s="7"/>
      <c r="Z19036" s="7"/>
      <c r="AA19036" s="7"/>
      <c r="AB19036" s="7"/>
      <c r="AC19036" s="7"/>
      <c r="AD19036" s="7"/>
      <c r="AE19036" s="7"/>
      <c r="AF19036" s="7"/>
      <c r="AG19036" s="10"/>
    </row>
    <row r="19037" spans="1:33">
      <c r="A19037" s="7"/>
      <c r="B19037" s="7"/>
      <c r="C19037" s="7"/>
      <c r="D19037" s="7"/>
      <c r="E19037" s="7"/>
      <c r="F19037" s="7"/>
      <c r="G19037" s="7"/>
      <c r="H19037" s="7"/>
      <c r="I19037" s="7"/>
      <c r="J19037" s="7"/>
      <c r="K19037" s="7"/>
      <c r="L19037" s="7"/>
      <c r="M19037" s="7"/>
      <c r="N19037" s="7"/>
      <c r="O19037" s="7"/>
      <c r="P19037" s="7"/>
      <c r="Q19037" s="7"/>
      <c r="R19037" s="7"/>
      <c r="S19037" s="7"/>
      <c r="T19037" s="7"/>
      <c r="U19037" s="7"/>
      <c r="V19037" s="7"/>
      <c r="W19037" s="7"/>
      <c r="X19037" s="7"/>
      <c r="Y19037" s="7"/>
      <c r="Z19037" s="7"/>
      <c r="AA19037" s="7"/>
      <c r="AB19037" s="7"/>
      <c r="AC19037" s="7"/>
      <c r="AD19037" s="7"/>
      <c r="AE19037" s="7"/>
      <c r="AF19037" s="7"/>
      <c r="AG19037" s="10"/>
    </row>
    <row r="19038" spans="1:33">
      <c r="A19038" s="7"/>
      <c r="B19038" s="7"/>
      <c r="C19038" s="7"/>
      <c r="D19038" s="7"/>
      <c r="E19038" s="7"/>
      <c r="F19038" s="7"/>
      <c r="G19038" s="7"/>
      <c r="H19038" s="7"/>
      <c r="I19038" s="7"/>
      <c r="J19038" s="7"/>
      <c r="K19038" s="7"/>
      <c r="L19038" s="7"/>
      <c r="M19038" s="7"/>
      <c r="N19038" s="7"/>
      <c r="O19038" s="7"/>
      <c r="P19038" s="7"/>
      <c r="Q19038" s="7"/>
      <c r="R19038" s="7"/>
      <c r="S19038" s="7"/>
      <c r="T19038" s="7"/>
      <c r="U19038" s="7"/>
      <c r="V19038" s="7"/>
      <c r="W19038" s="7"/>
      <c r="X19038" s="7"/>
      <c r="Y19038" s="7"/>
      <c r="Z19038" s="7"/>
      <c r="AA19038" s="7"/>
      <c r="AB19038" s="7"/>
      <c r="AC19038" s="7"/>
      <c r="AD19038" s="7"/>
      <c r="AE19038" s="7"/>
      <c r="AF19038" s="7"/>
      <c r="AG19038" s="10"/>
    </row>
    <row r="19039" spans="1:33">
      <c r="A19039" s="7"/>
      <c r="B19039" s="7"/>
      <c r="C19039" s="7"/>
      <c r="D19039" s="7"/>
      <c r="E19039" s="7"/>
      <c r="F19039" s="7"/>
      <c r="G19039" s="7"/>
      <c r="H19039" s="7"/>
      <c r="I19039" s="7"/>
      <c r="J19039" s="7"/>
      <c r="K19039" s="7"/>
      <c r="L19039" s="7"/>
      <c r="M19039" s="7"/>
      <c r="N19039" s="7"/>
      <c r="O19039" s="7"/>
      <c r="P19039" s="7"/>
      <c r="Q19039" s="7"/>
      <c r="R19039" s="7"/>
      <c r="S19039" s="7"/>
      <c r="T19039" s="7"/>
      <c r="U19039" s="7"/>
      <c r="V19039" s="7"/>
      <c r="W19039" s="7"/>
      <c r="X19039" s="7"/>
      <c r="Y19039" s="7"/>
      <c r="Z19039" s="7"/>
      <c r="AA19039" s="7"/>
      <c r="AB19039" s="7"/>
      <c r="AC19039" s="7"/>
      <c r="AD19039" s="7"/>
      <c r="AE19039" s="7"/>
      <c r="AF19039" s="7"/>
      <c r="AG19039" s="10"/>
    </row>
    <row r="19040" spans="1:33">
      <c r="A19040" s="7"/>
      <c r="B19040" s="7"/>
      <c r="C19040" s="7"/>
      <c r="D19040" s="7"/>
      <c r="E19040" s="7"/>
      <c r="F19040" s="7"/>
      <c r="G19040" s="7"/>
      <c r="H19040" s="7"/>
      <c r="I19040" s="7"/>
      <c r="J19040" s="7"/>
      <c r="K19040" s="7"/>
      <c r="L19040" s="7"/>
      <c r="M19040" s="7"/>
      <c r="N19040" s="7"/>
      <c r="O19040" s="7"/>
      <c r="P19040" s="7"/>
      <c r="Q19040" s="7"/>
      <c r="R19040" s="7"/>
      <c r="S19040" s="7"/>
      <c r="T19040" s="7"/>
      <c r="U19040" s="7"/>
      <c r="V19040" s="7"/>
      <c r="W19040" s="7"/>
      <c r="X19040" s="7"/>
      <c r="Y19040" s="7"/>
      <c r="Z19040" s="7"/>
      <c r="AA19040" s="7"/>
      <c r="AB19040" s="7"/>
      <c r="AC19040" s="7"/>
      <c r="AD19040" s="7"/>
      <c r="AE19040" s="7"/>
      <c r="AF19040" s="7"/>
      <c r="AG19040" s="10"/>
    </row>
    <row r="19041" spans="1:33">
      <c r="A19041" s="7"/>
      <c r="B19041" s="7"/>
      <c r="C19041" s="7"/>
      <c r="D19041" s="7"/>
      <c r="E19041" s="7"/>
      <c r="F19041" s="7"/>
      <c r="G19041" s="7"/>
      <c r="H19041" s="7"/>
      <c r="I19041" s="7"/>
      <c r="J19041" s="7"/>
      <c r="K19041" s="7"/>
      <c r="L19041" s="7"/>
      <c r="M19041" s="7"/>
      <c r="N19041" s="7"/>
      <c r="O19041" s="7"/>
      <c r="P19041" s="7"/>
      <c r="Q19041" s="7"/>
      <c r="R19041" s="7"/>
      <c r="S19041" s="7"/>
      <c r="T19041" s="7"/>
      <c r="U19041" s="7"/>
      <c r="V19041" s="7"/>
      <c r="W19041" s="7"/>
      <c r="X19041" s="7"/>
      <c r="Y19041" s="7"/>
      <c r="Z19041" s="7"/>
      <c r="AA19041" s="7"/>
      <c r="AB19041" s="7"/>
      <c r="AC19041" s="7"/>
      <c r="AD19041" s="7"/>
      <c r="AE19041" s="7"/>
      <c r="AF19041" s="7"/>
      <c r="AG19041" s="10"/>
    </row>
    <row r="19042" spans="1:33">
      <c r="A19042" s="7"/>
      <c r="B19042" s="7"/>
      <c r="C19042" s="7"/>
      <c r="D19042" s="7"/>
      <c r="E19042" s="7"/>
      <c r="F19042" s="7"/>
      <c r="G19042" s="7"/>
      <c r="H19042" s="7"/>
      <c r="I19042" s="7"/>
      <c r="J19042" s="7"/>
      <c r="K19042" s="7"/>
      <c r="L19042" s="7"/>
      <c r="M19042" s="7"/>
      <c r="N19042" s="7"/>
      <c r="O19042" s="7"/>
      <c r="P19042" s="7"/>
      <c r="Q19042" s="7"/>
      <c r="R19042" s="7"/>
      <c r="S19042" s="7"/>
      <c r="T19042" s="7"/>
      <c r="U19042" s="7"/>
      <c r="V19042" s="7"/>
      <c r="W19042" s="7"/>
      <c r="X19042" s="7"/>
      <c r="Y19042" s="7"/>
      <c r="Z19042" s="7"/>
      <c r="AA19042" s="7"/>
      <c r="AB19042" s="7"/>
      <c r="AC19042" s="7"/>
      <c r="AD19042" s="7"/>
      <c r="AE19042" s="7"/>
      <c r="AF19042" s="7"/>
      <c r="AG19042" s="10"/>
    </row>
    <row r="19043" spans="1:33">
      <c r="A19043" s="7"/>
      <c r="B19043" s="7"/>
      <c r="C19043" s="7"/>
      <c r="D19043" s="7"/>
      <c r="E19043" s="7"/>
      <c r="F19043" s="7"/>
      <c r="G19043" s="7"/>
      <c r="H19043" s="7"/>
      <c r="I19043" s="7"/>
      <c r="J19043" s="7"/>
      <c r="K19043" s="7"/>
      <c r="L19043" s="7"/>
      <c r="M19043" s="7"/>
      <c r="N19043" s="7"/>
      <c r="O19043" s="7"/>
      <c r="P19043" s="7"/>
      <c r="Q19043" s="7"/>
      <c r="R19043" s="7"/>
      <c r="S19043" s="7"/>
      <c r="T19043" s="7"/>
      <c r="U19043" s="7"/>
      <c r="V19043" s="7"/>
      <c r="W19043" s="7"/>
      <c r="X19043" s="7"/>
      <c r="Y19043" s="7"/>
      <c r="Z19043" s="7"/>
      <c r="AA19043" s="7"/>
      <c r="AB19043" s="7"/>
      <c r="AC19043" s="7"/>
      <c r="AD19043" s="7"/>
      <c r="AE19043" s="7"/>
      <c r="AF19043" s="7"/>
      <c r="AG19043" s="10"/>
    </row>
    <row r="19044" spans="1:33">
      <c r="A19044" s="7"/>
      <c r="B19044" s="7"/>
      <c r="C19044" s="7"/>
      <c r="D19044" s="7"/>
      <c r="E19044" s="7"/>
      <c r="F19044" s="7"/>
      <c r="G19044" s="7"/>
      <c r="H19044" s="7"/>
      <c r="I19044" s="7"/>
      <c r="J19044" s="7"/>
      <c r="K19044" s="7"/>
      <c r="L19044" s="7"/>
      <c r="M19044" s="7"/>
      <c r="N19044" s="7"/>
      <c r="O19044" s="7"/>
      <c r="P19044" s="7"/>
      <c r="Q19044" s="7"/>
      <c r="R19044" s="7"/>
      <c r="S19044" s="7"/>
      <c r="T19044" s="7"/>
      <c r="U19044" s="7"/>
      <c r="V19044" s="7"/>
      <c r="W19044" s="7"/>
      <c r="X19044" s="7"/>
      <c r="Y19044" s="7"/>
      <c r="Z19044" s="7"/>
      <c r="AA19044" s="7"/>
      <c r="AB19044" s="7"/>
      <c r="AC19044" s="7"/>
      <c r="AD19044" s="7"/>
      <c r="AE19044" s="7"/>
      <c r="AF19044" s="7"/>
      <c r="AG19044" s="10"/>
    </row>
    <row r="19045" spans="1:33">
      <c r="A19045" s="7"/>
      <c r="B19045" s="7"/>
      <c r="C19045" s="7"/>
      <c r="D19045" s="7"/>
      <c r="E19045" s="7"/>
      <c r="F19045" s="7"/>
      <c r="G19045" s="7"/>
      <c r="H19045" s="7"/>
      <c r="I19045" s="7"/>
      <c r="J19045" s="7"/>
      <c r="K19045" s="7"/>
      <c r="L19045" s="7"/>
      <c r="M19045" s="7"/>
      <c r="N19045" s="7"/>
      <c r="O19045" s="7"/>
      <c r="P19045" s="7"/>
      <c r="Q19045" s="7"/>
      <c r="R19045" s="7"/>
      <c r="S19045" s="7"/>
      <c r="T19045" s="7"/>
      <c r="U19045" s="7"/>
      <c r="V19045" s="7"/>
      <c r="W19045" s="7"/>
      <c r="X19045" s="7"/>
      <c r="Y19045" s="7"/>
      <c r="Z19045" s="7"/>
      <c r="AA19045" s="7"/>
      <c r="AB19045" s="7"/>
      <c r="AC19045" s="7"/>
      <c r="AD19045" s="7"/>
      <c r="AE19045" s="7"/>
      <c r="AF19045" s="7"/>
      <c r="AG19045" s="10"/>
    </row>
    <row r="19046" spans="1:33">
      <c r="A19046" s="7"/>
      <c r="B19046" s="7"/>
      <c r="C19046" s="7"/>
      <c r="D19046" s="7"/>
      <c r="E19046" s="7"/>
      <c r="F19046" s="7"/>
      <c r="G19046" s="7"/>
      <c r="H19046" s="7"/>
      <c r="I19046" s="7"/>
      <c r="J19046" s="7"/>
      <c r="K19046" s="7"/>
      <c r="L19046" s="7"/>
      <c r="M19046" s="7"/>
      <c r="N19046" s="7"/>
      <c r="O19046" s="7"/>
      <c r="P19046" s="7"/>
      <c r="Q19046" s="7"/>
      <c r="R19046" s="7"/>
      <c r="S19046" s="7"/>
      <c r="T19046" s="7"/>
      <c r="U19046" s="7"/>
      <c r="V19046" s="7"/>
      <c r="W19046" s="7"/>
      <c r="X19046" s="7"/>
      <c r="Y19046" s="7"/>
      <c r="Z19046" s="7"/>
      <c r="AA19046" s="7"/>
      <c r="AB19046" s="7"/>
      <c r="AC19046" s="7"/>
      <c r="AD19046" s="7"/>
      <c r="AE19046" s="7"/>
      <c r="AF19046" s="7"/>
      <c r="AG19046" s="10"/>
    </row>
    <row r="19047" spans="1:33">
      <c r="A19047" s="7"/>
      <c r="B19047" s="7"/>
      <c r="C19047" s="7"/>
      <c r="D19047" s="7"/>
      <c r="E19047" s="7"/>
      <c r="F19047" s="7"/>
      <c r="G19047" s="7"/>
      <c r="H19047" s="7"/>
      <c r="I19047" s="7"/>
      <c r="J19047" s="7"/>
      <c r="K19047" s="7"/>
      <c r="L19047" s="7"/>
      <c r="M19047" s="7"/>
      <c r="N19047" s="7"/>
      <c r="O19047" s="7"/>
      <c r="P19047" s="7"/>
      <c r="Q19047" s="7"/>
      <c r="R19047" s="7"/>
      <c r="S19047" s="7"/>
      <c r="T19047" s="7"/>
      <c r="U19047" s="7"/>
      <c r="V19047" s="7"/>
      <c r="W19047" s="7"/>
      <c r="X19047" s="7"/>
      <c r="Y19047" s="7"/>
      <c r="Z19047" s="7"/>
      <c r="AA19047" s="7"/>
      <c r="AB19047" s="7"/>
      <c r="AC19047" s="7"/>
      <c r="AD19047" s="7"/>
      <c r="AE19047" s="7"/>
      <c r="AF19047" s="7"/>
      <c r="AG19047" s="10"/>
    </row>
    <row r="19048" spans="1:33">
      <c r="A19048" s="7"/>
      <c r="B19048" s="7"/>
      <c r="C19048" s="7"/>
      <c r="D19048" s="7"/>
      <c r="E19048" s="7"/>
      <c r="F19048" s="7"/>
      <c r="G19048" s="7"/>
      <c r="H19048" s="7"/>
      <c r="I19048" s="7"/>
      <c r="J19048" s="7"/>
      <c r="K19048" s="7"/>
      <c r="L19048" s="7"/>
      <c r="M19048" s="7"/>
      <c r="N19048" s="7"/>
      <c r="O19048" s="7"/>
      <c r="P19048" s="7"/>
      <c r="Q19048" s="7"/>
      <c r="R19048" s="7"/>
      <c r="S19048" s="7"/>
      <c r="T19048" s="7"/>
      <c r="U19048" s="7"/>
      <c r="V19048" s="7"/>
      <c r="W19048" s="7"/>
      <c r="X19048" s="7"/>
      <c r="Y19048" s="7"/>
      <c r="Z19048" s="7"/>
      <c r="AA19048" s="7"/>
      <c r="AB19048" s="7"/>
      <c r="AC19048" s="7"/>
      <c r="AD19048" s="7"/>
      <c r="AE19048" s="7"/>
      <c r="AF19048" s="7"/>
      <c r="AG19048" s="10"/>
    </row>
    <row r="19049" spans="1:33">
      <c r="A19049" s="7"/>
      <c r="B19049" s="7"/>
      <c r="C19049" s="7"/>
      <c r="D19049" s="7"/>
      <c r="E19049" s="7"/>
      <c r="F19049" s="7"/>
      <c r="G19049" s="7"/>
      <c r="H19049" s="7"/>
      <c r="I19049" s="7"/>
      <c r="J19049" s="7"/>
      <c r="K19049" s="7"/>
      <c r="L19049" s="7"/>
      <c r="M19049" s="7"/>
      <c r="N19049" s="7"/>
      <c r="O19049" s="7"/>
      <c r="P19049" s="7"/>
      <c r="Q19049" s="7"/>
      <c r="R19049" s="7"/>
      <c r="S19049" s="7"/>
      <c r="T19049" s="7"/>
      <c r="U19049" s="7"/>
      <c r="V19049" s="7"/>
      <c r="W19049" s="7"/>
      <c r="X19049" s="7"/>
      <c r="Y19049" s="7"/>
      <c r="Z19049" s="7"/>
      <c r="AA19049" s="7"/>
      <c r="AB19049" s="7"/>
      <c r="AC19049" s="7"/>
      <c r="AD19049" s="7"/>
      <c r="AE19049" s="7"/>
      <c r="AF19049" s="7"/>
      <c r="AG19049" s="10"/>
    </row>
    <row r="19050" spans="1:33">
      <c r="A19050" s="7"/>
      <c r="B19050" s="7"/>
      <c r="C19050" s="7"/>
      <c r="D19050" s="7"/>
      <c r="E19050" s="7"/>
      <c r="F19050" s="7"/>
      <c r="G19050" s="7"/>
      <c r="H19050" s="7"/>
      <c r="I19050" s="7"/>
      <c r="J19050" s="7"/>
      <c r="K19050" s="7"/>
      <c r="L19050" s="7"/>
      <c r="M19050" s="7"/>
      <c r="N19050" s="7"/>
      <c r="O19050" s="7"/>
      <c r="P19050" s="7"/>
      <c r="Q19050" s="7"/>
      <c r="R19050" s="7"/>
      <c r="S19050" s="7"/>
      <c r="T19050" s="7"/>
      <c r="U19050" s="7"/>
      <c r="V19050" s="7"/>
      <c r="W19050" s="7"/>
      <c r="X19050" s="7"/>
      <c r="Y19050" s="7"/>
      <c r="Z19050" s="7"/>
      <c r="AA19050" s="7"/>
      <c r="AB19050" s="7"/>
      <c r="AC19050" s="7"/>
      <c r="AD19050" s="7"/>
      <c r="AE19050" s="7"/>
      <c r="AF19050" s="7"/>
      <c r="AG19050" s="10"/>
    </row>
    <row r="19051" spans="1:33">
      <c r="A19051" s="7"/>
      <c r="B19051" s="7"/>
      <c r="C19051" s="7"/>
      <c r="D19051" s="7"/>
      <c r="E19051" s="7"/>
      <c r="F19051" s="7"/>
      <c r="G19051" s="7"/>
      <c r="H19051" s="7"/>
      <c r="I19051" s="7"/>
      <c r="J19051" s="7"/>
      <c r="K19051" s="7"/>
      <c r="L19051" s="7"/>
      <c r="M19051" s="7"/>
      <c r="N19051" s="7"/>
      <c r="O19051" s="7"/>
      <c r="P19051" s="7"/>
      <c r="Q19051" s="7"/>
      <c r="R19051" s="7"/>
      <c r="S19051" s="7"/>
      <c r="T19051" s="7"/>
      <c r="U19051" s="7"/>
      <c r="V19051" s="7"/>
      <c r="W19051" s="7"/>
      <c r="X19051" s="7"/>
      <c r="Y19051" s="7"/>
      <c r="Z19051" s="7"/>
      <c r="AA19051" s="7"/>
      <c r="AB19051" s="7"/>
      <c r="AC19051" s="7"/>
      <c r="AD19051" s="7"/>
      <c r="AE19051" s="7"/>
      <c r="AF19051" s="7"/>
      <c r="AG19051" s="10"/>
    </row>
    <row r="19052" spans="1:33">
      <c r="A19052" s="7"/>
      <c r="B19052" s="7"/>
      <c r="C19052" s="7"/>
      <c r="D19052" s="7"/>
      <c r="E19052" s="7"/>
      <c r="F19052" s="7"/>
      <c r="G19052" s="7"/>
      <c r="H19052" s="7"/>
      <c r="I19052" s="7"/>
      <c r="J19052" s="7"/>
      <c r="K19052" s="7"/>
      <c r="L19052" s="7"/>
      <c r="M19052" s="7"/>
      <c r="N19052" s="7"/>
      <c r="O19052" s="7"/>
      <c r="P19052" s="7"/>
      <c r="Q19052" s="7"/>
      <c r="R19052" s="7"/>
      <c r="S19052" s="7"/>
      <c r="T19052" s="7"/>
      <c r="U19052" s="7"/>
      <c r="V19052" s="7"/>
      <c r="W19052" s="7"/>
      <c r="X19052" s="7"/>
      <c r="Y19052" s="7"/>
      <c r="Z19052" s="7"/>
      <c r="AA19052" s="7"/>
      <c r="AB19052" s="7"/>
      <c r="AC19052" s="7"/>
      <c r="AD19052" s="7"/>
      <c r="AE19052" s="7"/>
      <c r="AF19052" s="7"/>
      <c r="AG19052" s="10"/>
    </row>
    <row r="19053" spans="1:33">
      <c r="A19053" s="7"/>
      <c r="B19053" s="7"/>
      <c r="C19053" s="7"/>
      <c r="D19053" s="7"/>
      <c r="E19053" s="7"/>
      <c r="F19053" s="7"/>
      <c r="G19053" s="7"/>
      <c r="H19053" s="7"/>
      <c r="I19053" s="7"/>
      <c r="J19053" s="7"/>
      <c r="K19053" s="7"/>
      <c r="L19053" s="7"/>
      <c r="M19053" s="7"/>
      <c r="N19053" s="7"/>
      <c r="O19053" s="7"/>
      <c r="P19053" s="7"/>
      <c r="Q19053" s="7"/>
      <c r="R19053" s="7"/>
      <c r="S19053" s="7"/>
      <c r="T19053" s="7"/>
      <c r="U19053" s="7"/>
      <c r="V19053" s="7"/>
      <c r="W19053" s="7"/>
      <c r="X19053" s="7"/>
      <c r="Y19053" s="7"/>
      <c r="Z19053" s="7"/>
      <c r="AA19053" s="7"/>
      <c r="AB19053" s="7"/>
      <c r="AC19053" s="7"/>
      <c r="AD19053" s="7"/>
      <c r="AE19053" s="7"/>
      <c r="AF19053" s="7"/>
      <c r="AG19053" s="10"/>
    </row>
    <row r="19054" spans="1:33">
      <c r="A19054" s="7"/>
      <c r="B19054" s="7"/>
      <c r="C19054" s="7"/>
      <c r="D19054" s="7"/>
      <c r="E19054" s="7"/>
      <c r="F19054" s="7"/>
      <c r="G19054" s="7"/>
      <c r="H19054" s="7"/>
      <c r="I19054" s="7"/>
      <c r="J19054" s="7"/>
      <c r="K19054" s="7"/>
      <c r="L19054" s="7"/>
      <c r="M19054" s="7"/>
      <c r="N19054" s="7"/>
      <c r="O19054" s="7"/>
      <c r="P19054" s="7"/>
      <c r="Q19054" s="7"/>
      <c r="R19054" s="7"/>
      <c r="S19054" s="7"/>
      <c r="T19054" s="7"/>
      <c r="U19054" s="7"/>
      <c r="V19054" s="7"/>
      <c r="W19054" s="7"/>
      <c r="X19054" s="7"/>
      <c r="Y19054" s="7"/>
      <c r="Z19054" s="7"/>
      <c r="AA19054" s="7"/>
      <c r="AB19054" s="7"/>
      <c r="AC19054" s="7"/>
      <c r="AD19054" s="7"/>
      <c r="AE19054" s="7"/>
      <c r="AF19054" s="7"/>
      <c r="AG19054" s="10"/>
    </row>
    <row r="19055" spans="1:33">
      <c r="A19055" s="7"/>
      <c r="B19055" s="7"/>
      <c r="C19055" s="7"/>
      <c r="D19055" s="7"/>
      <c r="E19055" s="7"/>
      <c r="F19055" s="7"/>
      <c r="G19055" s="7"/>
      <c r="H19055" s="7"/>
      <c r="I19055" s="7"/>
      <c r="J19055" s="7"/>
      <c r="K19055" s="7"/>
      <c r="L19055" s="7"/>
      <c r="M19055" s="7"/>
      <c r="N19055" s="7"/>
      <c r="O19055" s="7"/>
      <c r="P19055" s="7"/>
      <c r="Q19055" s="7"/>
      <c r="R19055" s="7"/>
      <c r="S19055" s="7"/>
      <c r="T19055" s="7"/>
      <c r="U19055" s="7"/>
      <c r="V19055" s="7"/>
      <c r="W19055" s="7"/>
      <c r="X19055" s="7"/>
      <c r="Y19055" s="7"/>
      <c r="Z19055" s="7"/>
      <c r="AA19055" s="7"/>
      <c r="AB19055" s="7"/>
      <c r="AC19055" s="7"/>
      <c r="AD19055" s="7"/>
      <c r="AE19055" s="7"/>
      <c r="AF19055" s="7"/>
      <c r="AG19055" s="10"/>
    </row>
    <row r="19056" spans="1:33">
      <c r="A19056" s="7"/>
      <c r="B19056" s="7"/>
      <c r="C19056" s="7"/>
      <c r="D19056" s="7"/>
      <c r="E19056" s="7"/>
      <c r="F19056" s="7"/>
      <c r="G19056" s="7"/>
      <c r="H19056" s="7"/>
      <c r="I19056" s="7"/>
      <c r="J19056" s="7"/>
      <c r="K19056" s="7"/>
      <c r="L19056" s="7"/>
      <c r="M19056" s="7"/>
      <c r="N19056" s="7"/>
      <c r="O19056" s="7"/>
      <c r="P19056" s="7"/>
      <c r="Q19056" s="7"/>
      <c r="R19056" s="7"/>
      <c r="S19056" s="7"/>
      <c r="T19056" s="7"/>
      <c r="U19056" s="7"/>
      <c r="V19056" s="7"/>
      <c r="W19056" s="7"/>
      <c r="X19056" s="7"/>
      <c r="Y19056" s="7"/>
      <c r="Z19056" s="7"/>
      <c r="AA19056" s="7"/>
      <c r="AB19056" s="7"/>
      <c r="AC19056" s="7"/>
      <c r="AD19056" s="7"/>
      <c r="AE19056" s="7"/>
      <c r="AF19056" s="7"/>
      <c r="AG19056" s="10"/>
    </row>
    <row r="19057" spans="1:33">
      <c r="A19057" s="7"/>
      <c r="B19057" s="7"/>
      <c r="C19057" s="7"/>
      <c r="D19057" s="7"/>
      <c r="E19057" s="7"/>
      <c r="F19057" s="7"/>
      <c r="G19057" s="7"/>
      <c r="H19057" s="7"/>
      <c r="I19057" s="7"/>
      <c r="J19057" s="7"/>
      <c r="K19057" s="7"/>
      <c r="L19057" s="7"/>
      <c r="M19057" s="7"/>
      <c r="N19057" s="7"/>
      <c r="O19057" s="7"/>
      <c r="P19057" s="7"/>
      <c r="Q19057" s="7"/>
      <c r="R19057" s="7"/>
      <c r="S19057" s="7"/>
      <c r="T19057" s="7"/>
      <c r="U19057" s="7"/>
      <c r="V19057" s="7"/>
      <c r="W19057" s="7"/>
      <c r="X19057" s="7"/>
      <c r="Y19057" s="7"/>
      <c r="Z19057" s="7"/>
      <c r="AA19057" s="7"/>
      <c r="AB19057" s="7"/>
      <c r="AC19057" s="7"/>
      <c r="AD19057" s="7"/>
      <c r="AE19057" s="7"/>
      <c r="AF19057" s="7"/>
      <c r="AG19057" s="10"/>
    </row>
    <row r="19058" spans="1:33">
      <c r="A19058" s="7"/>
      <c r="B19058" s="7"/>
      <c r="C19058" s="7"/>
      <c r="D19058" s="7"/>
      <c r="E19058" s="7"/>
      <c r="F19058" s="7"/>
      <c r="G19058" s="7"/>
      <c r="H19058" s="7"/>
      <c r="I19058" s="7"/>
      <c r="J19058" s="7"/>
      <c r="K19058" s="7"/>
      <c r="L19058" s="7"/>
      <c r="M19058" s="7"/>
      <c r="N19058" s="7"/>
      <c r="O19058" s="7"/>
      <c r="P19058" s="7"/>
      <c r="Q19058" s="7"/>
      <c r="R19058" s="7"/>
      <c r="S19058" s="7"/>
      <c r="T19058" s="7"/>
      <c r="U19058" s="7"/>
      <c r="V19058" s="7"/>
      <c r="W19058" s="7"/>
      <c r="X19058" s="7"/>
      <c r="Y19058" s="7"/>
      <c r="Z19058" s="7"/>
      <c r="AA19058" s="7"/>
      <c r="AB19058" s="7"/>
      <c r="AC19058" s="7"/>
      <c r="AD19058" s="7"/>
      <c r="AE19058" s="7"/>
      <c r="AF19058" s="7"/>
      <c r="AG19058" s="10"/>
    </row>
    <row r="19059" spans="1:33">
      <c r="A19059" s="7"/>
      <c r="B19059" s="7"/>
      <c r="C19059" s="7"/>
      <c r="D19059" s="7"/>
      <c r="E19059" s="7"/>
      <c r="F19059" s="7"/>
      <c r="G19059" s="7"/>
      <c r="H19059" s="7"/>
      <c r="I19059" s="7"/>
      <c r="J19059" s="7"/>
      <c r="K19059" s="7"/>
      <c r="L19059" s="7"/>
      <c r="M19059" s="7"/>
      <c r="N19059" s="7"/>
      <c r="O19059" s="7"/>
      <c r="P19059" s="7"/>
      <c r="Q19059" s="7"/>
      <c r="R19059" s="7"/>
      <c r="S19059" s="7"/>
      <c r="T19059" s="7"/>
      <c r="U19059" s="7"/>
      <c r="V19059" s="7"/>
      <c r="W19059" s="7"/>
      <c r="X19059" s="7"/>
      <c r="Y19059" s="7"/>
      <c r="Z19059" s="7"/>
      <c r="AA19059" s="7"/>
      <c r="AB19059" s="7"/>
      <c r="AC19059" s="7"/>
      <c r="AD19059" s="7"/>
      <c r="AE19059" s="7"/>
      <c r="AF19059" s="7"/>
      <c r="AG19059" s="10"/>
    </row>
    <row r="19060" spans="1:33">
      <c r="A19060" s="7"/>
      <c r="B19060" s="7"/>
      <c r="C19060" s="7"/>
      <c r="D19060" s="7"/>
      <c r="E19060" s="7"/>
      <c r="F19060" s="7"/>
      <c r="G19060" s="7"/>
      <c r="H19060" s="7"/>
      <c r="I19060" s="7"/>
      <c r="J19060" s="7"/>
      <c r="K19060" s="7"/>
      <c r="L19060" s="7"/>
      <c r="M19060" s="7"/>
      <c r="N19060" s="7"/>
      <c r="O19060" s="7"/>
      <c r="P19060" s="7"/>
      <c r="Q19060" s="7"/>
      <c r="R19060" s="7"/>
      <c r="S19060" s="7"/>
      <c r="T19060" s="7"/>
      <c r="U19060" s="7"/>
      <c r="V19060" s="7"/>
      <c r="W19060" s="7"/>
      <c r="X19060" s="7"/>
      <c r="Y19060" s="7"/>
      <c r="Z19060" s="7"/>
      <c r="AA19060" s="7"/>
      <c r="AB19060" s="7"/>
      <c r="AC19060" s="7"/>
      <c r="AD19060" s="7"/>
      <c r="AE19060" s="7"/>
      <c r="AF19060" s="7"/>
      <c r="AG19060" s="10"/>
    </row>
    <row r="19061" spans="1:33">
      <c r="A19061" s="7"/>
      <c r="B19061" s="7"/>
      <c r="C19061" s="7"/>
      <c r="D19061" s="7"/>
      <c r="E19061" s="7"/>
      <c r="F19061" s="7"/>
      <c r="G19061" s="7"/>
      <c r="H19061" s="7"/>
      <c r="I19061" s="7"/>
      <c r="J19061" s="7"/>
      <c r="K19061" s="7"/>
      <c r="L19061" s="7"/>
      <c r="M19061" s="7"/>
      <c r="N19061" s="7"/>
      <c r="O19061" s="7"/>
      <c r="P19061" s="7"/>
      <c r="Q19061" s="7"/>
      <c r="R19061" s="7"/>
      <c r="S19061" s="7"/>
      <c r="T19061" s="7"/>
      <c r="U19061" s="7"/>
      <c r="V19061" s="7"/>
      <c r="W19061" s="7"/>
      <c r="X19061" s="7"/>
      <c r="Y19061" s="7"/>
      <c r="Z19061" s="7"/>
      <c r="AA19061" s="7"/>
      <c r="AB19061" s="7"/>
      <c r="AC19061" s="7"/>
      <c r="AD19061" s="7"/>
      <c r="AE19061" s="7"/>
      <c r="AF19061" s="7"/>
      <c r="AG19061" s="10"/>
    </row>
    <row r="19062" spans="1:33">
      <c r="A19062" s="7"/>
      <c r="B19062" s="7"/>
      <c r="C19062" s="7"/>
      <c r="D19062" s="7"/>
      <c r="E19062" s="7"/>
      <c r="F19062" s="7"/>
      <c r="G19062" s="7"/>
      <c r="H19062" s="7"/>
      <c r="I19062" s="7"/>
      <c r="J19062" s="7"/>
      <c r="K19062" s="7"/>
      <c r="L19062" s="7"/>
      <c r="M19062" s="7"/>
      <c r="N19062" s="7"/>
      <c r="O19062" s="7"/>
      <c r="P19062" s="7"/>
      <c r="Q19062" s="7"/>
      <c r="R19062" s="7"/>
      <c r="S19062" s="7"/>
      <c r="T19062" s="7"/>
      <c r="U19062" s="7"/>
      <c r="V19062" s="7"/>
      <c r="W19062" s="7"/>
      <c r="X19062" s="7"/>
      <c r="Y19062" s="7"/>
      <c r="Z19062" s="7"/>
      <c r="AA19062" s="7"/>
      <c r="AB19062" s="7"/>
      <c r="AC19062" s="7"/>
      <c r="AD19062" s="7"/>
      <c r="AE19062" s="7"/>
      <c r="AF19062" s="7"/>
      <c r="AG19062" s="10"/>
    </row>
    <row r="19063" spans="1:33">
      <c r="A19063" s="7"/>
      <c r="B19063" s="7"/>
      <c r="C19063" s="7"/>
      <c r="D19063" s="7"/>
      <c r="E19063" s="7"/>
      <c r="F19063" s="7"/>
      <c r="G19063" s="7"/>
      <c r="H19063" s="7"/>
      <c r="I19063" s="7"/>
      <c r="J19063" s="7"/>
      <c r="K19063" s="7"/>
      <c r="L19063" s="7"/>
      <c r="M19063" s="7"/>
      <c r="N19063" s="7"/>
      <c r="O19063" s="7"/>
      <c r="P19063" s="7"/>
      <c r="Q19063" s="7"/>
      <c r="R19063" s="7"/>
      <c r="S19063" s="7"/>
      <c r="T19063" s="7"/>
      <c r="U19063" s="7"/>
      <c r="V19063" s="7"/>
      <c r="W19063" s="7"/>
      <c r="X19063" s="7"/>
      <c r="Y19063" s="7"/>
      <c r="Z19063" s="7"/>
      <c r="AA19063" s="7"/>
      <c r="AB19063" s="7"/>
      <c r="AC19063" s="7"/>
      <c r="AD19063" s="7"/>
      <c r="AE19063" s="7"/>
      <c r="AF19063" s="7"/>
      <c r="AG19063" s="10"/>
    </row>
    <row r="19064" spans="1:33">
      <c r="A19064" s="7"/>
      <c r="B19064" s="7"/>
      <c r="C19064" s="7"/>
      <c r="D19064" s="7"/>
      <c r="E19064" s="7"/>
      <c r="F19064" s="7"/>
      <c r="G19064" s="7"/>
      <c r="H19064" s="7"/>
      <c r="I19064" s="7"/>
      <c r="J19064" s="7"/>
      <c r="K19064" s="7"/>
      <c r="L19064" s="7"/>
      <c r="M19064" s="7"/>
      <c r="N19064" s="7"/>
      <c r="O19064" s="7"/>
      <c r="P19064" s="7"/>
      <c r="Q19064" s="7"/>
      <c r="R19064" s="7"/>
      <c r="S19064" s="7"/>
      <c r="T19064" s="7"/>
      <c r="U19064" s="7"/>
      <c r="V19064" s="7"/>
      <c r="W19064" s="7"/>
      <c r="X19064" s="7"/>
      <c r="Y19064" s="7"/>
      <c r="Z19064" s="7"/>
      <c r="AA19064" s="7"/>
      <c r="AB19064" s="7"/>
      <c r="AC19064" s="7"/>
      <c r="AD19064" s="7"/>
      <c r="AE19064" s="7"/>
      <c r="AF19064" s="7"/>
      <c r="AG19064" s="10"/>
    </row>
    <row r="19065" spans="1:33">
      <c r="A19065" s="7"/>
      <c r="B19065" s="7"/>
      <c r="C19065" s="7"/>
      <c r="D19065" s="7"/>
      <c r="E19065" s="7"/>
      <c r="F19065" s="7"/>
      <c r="G19065" s="7"/>
      <c r="H19065" s="7"/>
      <c r="I19065" s="7"/>
      <c r="J19065" s="7"/>
      <c r="K19065" s="7"/>
      <c r="L19065" s="7"/>
      <c r="M19065" s="7"/>
      <c r="N19065" s="7"/>
      <c r="O19065" s="7"/>
      <c r="P19065" s="7"/>
      <c r="Q19065" s="7"/>
      <c r="R19065" s="7"/>
      <c r="S19065" s="7"/>
      <c r="T19065" s="7"/>
      <c r="U19065" s="7"/>
      <c r="V19065" s="7"/>
      <c r="W19065" s="7"/>
      <c r="X19065" s="7"/>
      <c r="Y19065" s="7"/>
      <c r="Z19065" s="7"/>
      <c r="AA19065" s="7"/>
      <c r="AB19065" s="7"/>
      <c r="AC19065" s="7"/>
      <c r="AD19065" s="7"/>
      <c r="AE19065" s="7"/>
      <c r="AF19065" s="7"/>
      <c r="AG19065" s="10"/>
    </row>
    <row r="19066" spans="1:33">
      <c r="A19066" s="7"/>
      <c r="B19066" s="7"/>
      <c r="C19066" s="7"/>
      <c r="D19066" s="7"/>
      <c r="E19066" s="7"/>
      <c r="F19066" s="7"/>
      <c r="G19066" s="7"/>
      <c r="H19066" s="7"/>
      <c r="I19066" s="7"/>
      <c r="J19066" s="7"/>
      <c r="K19066" s="7"/>
      <c r="L19066" s="7"/>
      <c r="M19066" s="7"/>
      <c r="N19066" s="7"/>
      <c r="O19066" s="7"/>
      <c r="P19066" s="7"/>
      <c r="Q19066" s="7"/>
      <c r="R19066" s="7"/>
      <c r="S19066" s="7"/>
      <c r="T19066" s="7"/>
      <c r="U19066" s="7"/>
      <c r="V19066" s="7"/>
      <c r="W19066" s="7"/>
      <c r="X19066" s="7"/>
      <c r="Y19066" s="7"/>
      <c r="Z19066" s="7"/>
      <c r="AA19066" s="7"/>
      <c r="AB19066" s="7"/>
      <c r="AC19066" s="7"/>
      <c r="AD19066" s="7"/>
      <c r="AE19066" s="7"/>
      <c r="AF19066" s="7"/>
      <c r="AG19066" s="10"/>
    </row>
    <row r="19067" spans="1:33">
      <c r="A19067" s="7"/>
      <c r="B19067" s="7"/>
      <c r="C19067" s="7"/>
      <c r="D19067" s="7"/>
      <c r="E19067" s="7"/>
      <c r="F19067" s="7"/>
      <c r="G19067" s="7"/>
      <c r="H19067" s="7"/>
      <c r="I19067" s="7"/>
      <c r="J19067" s="7"/>
      <c r="K19067" s="7"/>
      <c r="L19067" s="7"/>
      <c r="M19067" s="7"/>
      <c r="N19067" s="7"/>
      <c r="O19067" s="7"/>
      <c r="P19067" s="7"/>
      <c r="Q19067" s="7"/>
      <c r="R19067" s="7"/>
      <c r="S19067" s="7"/>
      <c r="T19067" s="7"/>
      <c r="U19067" s="7"/>
      <c r="V19067" s="7"/>
      <c r="W19067" s="7"/>
      <c r="X19067" s="7"/>
      <c r="Y19067" s="7"/>
      <c r="Z19067" s="7"/>
      <c r="AA19067" s="7"/>
      <c r="AB19067" s="7"/>
      <c r="AC19067" s="7"/>
      <c r="AD19067" s="7"/>
      <c r="AE19067" s="7"/>
      <c r="AF19067" s="7"/>
      <c r="AG19067" s="10"/>
    </row>
    <row r="19068" spans="1:33">
      <c r="A19068" s="7"/>
      <c r="B19068" s="7"/>
      <c r="C19068" s="7"/>
      <c r="D19068" s="7"/>
      <c r="E19068" s="7"/>
      <c r="F19068" s="7"/>
      <c r="G19068" s="7"/>
      <c r="H19068" s="7"/>
      <c r="I19068" s="7"/>
      <c r="J19068" s="7"/>
      <c r="K19068" s="7"/>
      <c r="L19068" s="7"/>
      <c r="M19068" s="7"/>
      <c r="N19068" s="7"/>
      <c r="O19068" s="7"/>
      <c r="P19068" s="7"/>
      <c r="Q19068" s="7"/>
      <c r="R19068" s="7"/>
      <c r="S19068" s="7"/>
      <c r="T19068" s="7"/>
      <c r="U19068" s="7"/>
      <c r="V19068" s="7"/>
      <c r="W19068" s="7"/>
      <c r="X19068" s="7"/>
      <c r="Y19068" s="7"/>
      <c r="Z19068" s="7"/>
      <c r="AA19068" s="7"/>
      <c r="AB19068" s="7"/>
      <c r="AC19068" s="7"/>
      <c r="AD19068" s="7"/>
      <c r="AE19068" s="7"/>
      <c r="AF19068" s="7"/>
      <c r="AG19068" s="10"/>
    </row>
    <row r="19069" spans="1:33">
      <c r="A19069" s="7"/>
      <c r="B19069" s="7"/>
      <c r="C19069" s="7"/>
      <c r="D19069" s="7"/>
      <c r="E19069" s="7"/>
      <c r="F19069" s="7"/>
      <c r="G19069" s="7"/>
      <c r="H19069" s="7"/>
      <c r="I19069" s="7"/>
      <c r="J19069" s="7"/>
      <c r="K19069" s="7"/>
      <c r="L19069" s="7"/>
      <c r="M19069" s="7"/>
      <c r="N19069" s="7"/>
      <c r="O19069" s="7"/>
      <c r="P19069" s="7"/>
      <c r="Q19069" s="7"/>
      <c r="R19069" s="7"/>
      <c r="S19069" s="7"/>
      <c r="T19069" s="7"/>
      <c r="U19069" s="7"/>
      <c r="V19069" s="7"/>
      <c r="W19069" s="7"/>
      <c r="X19069" s="7"/>
      <c r="Y19069" s="7"/>
      <c r="Z19069" s="7"/>
      <c r="AA19069" s="7"/>
      <c r="AB19069" s="7"/>
      <c r="AC19069" s="7"/>
      <c r="AD19069" s="7"/>
      <c r="AE19069" s="7"/>
      <c r="AF19069" s="7"/>
      <c r="AG19069" s="10"/>
    </row>
    <row r="19070" spans="1:33">
      <c r="A19070" s="7"/>
      <c r="B19070" s="7"/>
      <c r="C19070" s="7"/>
      <c r="D19070" s="7"/>
      <c r="E19070" s="7"/>
      <c r="F19070" s="7"/>
      <c r="G19070" s="7"/>
      <c r="H19070" s="7"/>
      <c r="I19070" s="7"/>
      <c r="J19070" s="7"/>
      <c r="K19070" s="7"/>
      <c r="L19070" s="7"/>
      <c r="M19070" s="7"/>
      <c r="N19070" s="7"/>
      <c r="O19070" s="7"/>
      <c r="P19070" s="7"/>
      <c r="Q19070" s="7"/>
      <c r="R19070" s="7"/>
      <c r="S19070" s="7"/>
      <c r="T19070" s="7"/>
      <c r="U19070" s="7"/>
      <c r="V19070" s="7"/>
      <c r="W19070" s="7"/>
      <c r="X19070" s="7"/>
      <c r="Y19070" s="7"/>
      <c r="Z19070" s="7"/>
      <c r="AA19070" s="7"/>
      <c r="AB19070" s="7"/>
      <c r="AC19070" s="7"/>
      <c r="AD19070" s="7"/>
      <c r="AE19070" s="7"/>
      <c r="AF19070" s="7"/>
      <c r="AG19070" s="10"/>
    </row>
    <row r="19071" spans="1:33">
      <c r="A19071" s="7"/>
      <c r="B19071" s="7"/>
      <c r="C19071" s="7"/>
      <c r="D19071" s="7"/>
      <c r="E19071" s="7"/>
      <c r="F19071" s="7"/>
      <c r="G19071" s="7"/>
      <c r="H19071" s="7"/>
      <c r="I19071" s="7"/>
      <c r="J19071" s="7"/>
      <c r="K19071" s="7"/>
      <c r="L19071" s="7"/>
      <c r="M19071" s="7"/>
      <c r="N19071" s="7"/>
      <c r="O19071" s="7"/>
      <c r="P19071" s="7"/>
      <c r="Q19071" s="7"/>
      <c r="R19071" s="7"/>
      <c r="S19071" s="7"/>
      <c r="T19071" s="7"/>
      <c r="U19071" s="7"/>
      <c r="V19071" s="7"/>
      <c r="W19071" s="7"/>
      <c r="X19071" s="7"/>
      <c r="Y19071" s="7"/>
      <c r="Z19071" s="7"/>
      <c r="AA19071" s="7"/>
      <c r="AB19071" s="7"/>
      <c r="AC19071" s="7"/>
      <c r="AD19071" s="7"/>
      <c r="AE19071" s="7"/>
      <c r="AF19071" s="7"/>
      <c r="AG19071" s="10"/>
    </row>
    <row r="19072" spans="1:33">
      <c r="A19072" s="7"/>
      <c r="B19072" s="7"/>
      <c r="C19072" s="7"/>
      <c r="D19072" s="7"/>
      <c r="E19072" s="7"/>
      <c r="F19072" s="7"/>
      <c r="G19072" s="7"/>
      <c r="H19072" s="7"/>
      <c r="I19072" s="7"/>
      <c r="J19072" s="7"/>
      <c r="K19072" s="7"/>
      <c r="L19072" s="7"/>
      <c r="M19072" s="7"/>
      <c r="N19072" s="7"/>
      <c r="O19072" s="7"/>
      <c r="P19072" s="7"/>
      <c r="Q19072" s="7"/>
      <c r="R19072" s="7"/>
      <c r="S19072" s="7"/>
      <c r="T19072" s="7"/>
      <c r="U19072" s="7"/>
      <c r="V19072" s="7"/>
      <c r="W19072" s="7"/>
      <c r="X19072" s="7"/>
      <c r="Y19072" s="7"/>
      <c r="Z19072" s="7"/>
      <c r="AA19072" s="7"/>
      <c r="AB19072" s="7"/>
      <c r="AC19072" s="7"/>
      <c r="AD19072" s="7"/>
      <c r="AE19072" s="7"/>
      <c r="AF19072" s="7"/>
      <c r="AG19072" s="10"/>
    </row>
    <row r="19073" spans="1:33">
      <c r="A19073" s="7"/>
      <c r="B19073" s="7"/>
      <c r="C19073" s="7"/>
      <c r="D19073" s="7"/>
      <c r="E19073" s="7"/>
      <c r="F19073" s="7"/>
      <c r="G19073" s="7"/>
      <c r="H19073" s="7"/>
      <c r="I19073" s="7"/>
      <c r="J19073" s="7"/>
      <c r="K19073" s="7"/>
      <c r="L19073" s="7"/>
      <c r="M19073" s="7"/>
      <c r="N19073" s="7"/>
      <c r="O19073" s="7"/>
      <c r="P19073" s="7"/>
      <c r="Q19073" s="7"/>
      <c r="R19073" s="7"/>
      <c r="S19073" s="7"/>
      <c r="T19073" s="7"/>
      <c r="U19073" s="7"/>
      <c r="V19073" s="7"/>
      <c r="W19073" s="7"/>
      <c r="X19073" s="7"/>
      <c r="Y19073" s="7"/>
      <c r="Z19073" s="7"/>
      <c r="AA19073" s="7"/>
      <c r="AB19073" s="7"/>
      <c r="AC19073" s="7"/>
      <c r="AD19073" s="7"/>
      <c r="AE19073" s="7"/>
      <c r="AF19073" s="7"/>
      <c r="AG19073" s="10"/>
    </row>
    <row r="19074" spans="1:33">
      <c r="A19074" s="7"/>
      <c r="B19074" s="7"/>
      <c r="C19074" s="7"/>
      <c r="D19074" s="7"/>
      <c r="E19074" s="7"/>
      <c r="F19074" s="7"/>
      <c r="G19074" s="7"/>
      <c r="H19074" s="7"/>
      <c r="I19074" s="7"/>
      <c r="J19074" s="7"/>
      <c r="K19074" s="7"/>
      <c r="L19074" s="7"/>
      <c r="M19074" s="7"/>
      <c r="N19074" s="7"/>
      <c r="O19074" s="7"/>
      <c r="P19074" s="7"/>
      <c r="Q19074" s="7"/>
      <c r="R19074" s="7"/>
      <c r="S19074" s="7"/>
      <c r="T19074" s="7"/>
      <c r="U19074" s="7"/>
      <c r="V19074" s="7"/>
      <c r="W19074" s="7"/>
      <c r="X19074" s="7"/>
      <c r="Y19074" s="7"/>
      <c r="Z19074" s="7"/>
      <c r="AA19074" s="7"/>
      <c r="AB19074" s="7"/>
      <c r="AC19074" s="7"/>
      <c r="AD19074" s="7"/>
      <c r="AE19074" s="7"/>
      <c r="AF19074" s="7"/>
      <c r="AG19074" s="10"/>
    </row>
    <row r="19075" spans="1:33">
      <c r="A19075" s="7"/>
      <c r="B19075" s="7"/>
      <c r="C19075" s="7"/>
      <c r="D19075" s="7"/>
      <c r="E19075" s="7"/>
      <c r="F19075" s="7"/>
      <c r="G19075" s="7"/>
      <c r="H19075" s="7"/>
      <c r="I19075" s="7"/>
      <c r="J19075" s="7"/>
      <c r="K19075" s="7"/>
      <c r="L19075" s="7"/>
      <c r="M19075" s="7"/>
      <c r="N19075" s="7"/>
      <c r="O19075" s="7"/>
      <c r="P19075" s="7"/>
      <c r="Q19075" s="7"/>
      <c r="R19075" s="7"/>
      <c r="S19075" s="7"/>
      <c r="T19075" s="7"/>
      <c r="U19075" s="7"/>
      <c r="V19075" s="7"/>
      <c r="W19075" s="7"/>
      <c r="X19075" s="7"/>
      <c r="Y19075" s="7"/>
      <c r="Z19075" s="7"/>
      <c r="AA19075" s="7"/>
      <c r="AB19075" s="7"/>
      <c r="AC19075" s="7"/>
      <c r="AD19075" s="7"/>
      <c r="AE19075" s="7"/>
      <c r="AF19075" s="7"/>
      <c r="AG19075" s="10"/>
    </row>
    <row r="19076" spans="1:33">
      <c r="A19076" s="7"/>
      <c r="B19076" s="7"/>
      <c r="C19076" s="7"/>
      <c r="D19076" s="7"/>
      <c r="E19076" s="7"/>
      <c r="F19076" s="7"/>
      <c r="G19076" s="7"/>
      <c r="H19076" s="7"/>
      <c r="I19076" s="7"/>
      <c r="J19076" s="7"/>
      <c r="K19076" s="7"/>
      <c r="L19076" s="7"/>
      <c r="M19076" s="7"/>
      <c r="N19076" s="7"/>
      <c r="O19076" s="7"/>
      <c r="P19076" s="7"/>
      <c r="Q19076" s="7"/>
      <c r="R19076" s="7"/>
      <c r="S19076" s="7"/>
      <c r="T19076" s="7"/>
      <c r="U19076" s="7"/>
      <c r="V19076" s="7"/>
      <c r="W19076" s="7"/>
      <c r="X19076" s="7"/>
      <c r="Y19076" s="7"/>
      <c r="Z19076" s="7"/>
      <c r="AA19076" s="7"/>
      <c r="AB19076" s="7"/>
      <c r="AC19076" s="7"/>
      <c r="AD19076" s="7"/>
      <c r="AE19076" s="7"/>
      <c r="AF19076" s="7"/>
      <c r="AG19076" s="10"/>
    </row>
    <row r="19077" spans="1:33">
      <c r="A19077" s="7"/>
      <c r="B19077" s="7"/>
      <c r="C19077" s="7"/>
      <c r="D19077" s="7"/>
      <c r="E19077" s="7"/>
      <c r="F19077" s="7"/>
      <c r="G19077" s="7"/>
      <c r="H19077" s="7"/>
      <c r="I19077" s="7"/>
      <c r="J19077" s="7"/>
      <c r="K19077" s="7"/>
      <c r="L19077" s="7"/>
      <c r="M19077" s="7"/>
      <c r="N19077" s="7"/>
      <c r="O19077" s="7"/>
      <c r="P19077" s="7"/>
      <c r="Q19077" s="7"/>
      <c r="R19077" s="7"/>
      <c r="S19077" s="7"/>
      <c r="T19077" s="7"/>
      <c r="U19077" s="7"/>
      <c r="V19077" s="7"/>
      <c r="W19077" s="7"/>
      <c r="X19077" s="7"/>
      <c r="Y19077" s="7"/>
      <c r="Z19077" s="7"/>
      <c r="AA19077" s="7"/>
      <c r="AB19077" s="7"/>
      <c r="AC19077" s="7"/>
      <c r="AD19077" s="7"/>
      <c r="AE19077" s="7"/>
      <c r="AF19077" s="7"/>
      <c r="AG19077" s="10"/>
    </row>
    <row r="19078" spans="1:33">
      <c r="A19078" s="7"/>
      <c r="B19078" s="7"/>
      <c r="C19078" s="7"/>
      <c r="D19078" s="7"/>
      <c r="E19078" s="7"/>
      <c r="F19078" s="7"/>
      <c r="G19078" s="7"/>
      <c r="H19078" s="7"/>
      <c r="I19078" s="7"/>
      <c r="J19078" s="7"/>
      <c r="K19078" s="7"/>
      <c r="L19078" s="7"/>
      <c r="M19078" s="7"/>
      <c r="N19078" s="7"/>
      <c r="O19078" s="7"/>
      <c r="P19078" s="7"/>
      <c r="Q19078" s="7"/>
      <c r="R19078" s="7"/>
      <c r="S19078" s="7"/>
      <c r="T19078" s="7"/>
      <c r="U19078" s="7"/>
      <c r="V19078" s="7"/>
      <c r="W19078" s="7"/>
      <c r="X19078" s="7"/>
      <c r="Y19078" s="7"/>
      <c r="Z19078" s="7"/>
      <c r="AA19078" s="7"/>
      <c r="AB19078" s="7"/>
      <c r="AC19078" s="7"/>
      <c r="AD19078" s="7"/>
      <c r="AE19078" s="7"/>
      <c r="AF19078" s="7"/>
      <c r="AG19078" s="10"/>
    </row>
    <row r="19079" spans="1:33">
      <c r="A19079" s="7"/>
      <c r="B19079" s="7"/>
      <c r="C19079" s="7"/>
      <c r="D19079" s="7"/>
      <c r="E19079" s="7"/>
      <c r="F19079" s="7"/>
      <c r="G19079" s="7"/>
      <c r="H19079" s="7"/>
      <c r="I19079" s="7"/>
      <c r="J19079" s="7"/>
      <c r="K19079" s="7"/>
      <c r="L19079" s="7"/>
      <c r="M19079" s="7"/>
      <c r="N19079" s="7"/>
      <c r="O19079" s="7"/>
      <c r="P19079" s="7"/>
      <c r="Q19079" s="7"/>
      <c r="R19079" s="7"/>
      <c r="S19079" s="7"/>
      <c r="T19079" s="7"/>
      <c r="U19079" s="7"/>
      <c r="V19079" s="7"/>
      <c r="W19079" s="7"/>
      <c r="X19079" s="7"/>
      <c r="Y19079" s="7"/>
      <c r="Z19079" s="7"/>
      <c r="AA19079" s="7"/>
      <c r="AB19079" s="7"/>
      <c r="AC19079" s="7"/>
      <c r="AD19079" s="7"/>
      <c r="AE19079" s="7"/>
      <c r="AF19079" s="7"/>
      <c r="AG19079" s="10"/>
    </row>
    <row r="19080" spans="1:33">
      <c r="A19080" s="7"/>
      <c r="B19080" s="7"/>
      <c r="C19080" s="7"/>
      <c r="D19080" s="7"/>
      <c r="E19080" s="7"/>
      <c r="F19080" s="7"/>
      <c r="G19080" s="7"/>
      <c r="H19080" s="7"/>
      <c r="I19080" s="7"/>
      <c r="J19080" s="7"/>
      <c r="K19080" s="7"/>
      <c r="L19080" s="7"/>
      <c r="M19080" s="7"/>
      <c r="N19080" s="7"/>
      <c r="O19080" s="7"/>
      <c r="P19080" s="7"/>
      <c r="Q19080" s="7"/>
      <c r="R19080" s="7"/>
      <c r="S19080" s="7"/>
      <c r="T19080" s="7"/>
      <c r="U19080" s="7"/>
      <c r="V19080" s="7"/>
      <c r="W19080" s="7"/>
      <c r="X19080" s="7"/>
      <c r="Y19080" s="7"/>
      <c r="Z19080" s="7"/>
      <c r="AA19080" s="7"/>
      <c r="AB19080" s="7"/>
      <c r="AC19080" s="7"/>
      <c r="AD19080" s="7"/>
      <c r="AE19080" s="7"/>
      <c r="AF19080" s="7"/>
      <c r="AG19080" s="10"/>
    </row>
    <row r="19081" spans="1:33">
      <c r="A19081" s="7"/>
      <c r="B19081" s="7"/>
      <c r="C19081" s="7"/>
      <c r="D19081" s="7"/>
      <c r="E19081" s="7"/>
      <c r="F19081" s="7"/>
      <c r="G19081" s="7"/>
      <c r="H19081" s="7"/>
      <c r="I19081" s="7"/>
      <c r="J19081" s="7"/>
      <c r="K19081" s="7"/>
      <c r="L19081" s="7"/>
      <c r="M19081" s="7"/>
      <c r="N19081" s="7"/>
      <c r="O19081" s="7"/>
      <c r="P19081" s="7"/>
      <c r="Q19081" s="7"/>
      <c r="R19081" s="7"/>
      <c r="S19081" s="7"/>
      <c r="T19081" s="7"/>
      <c r="U19081" s="7"/>
      <c r="V19081" s="7"/>
      <c r="W19081" s="7"/>
      <c r="X19081" s="7"/>
      <c r="Y19081" s="7"/>
      <c r="Z19081" s="7"/>
      <c r="AA19081" s="7"/>
      <c r="AB19081" s="7"/>
      <c r="AC19081" s="7"/>
      <c r="AD19081" s="7"/>
      <c r="AE19081" s="7"/>
      <c r="AF19081" s="7"/>
      <c r="AG19081" s="10"/>
    </row>
    <row r="19082" spans="1:33">
      <c r="A19082" s="7"/>
      <c r="B19082" s="7"/>
      <c r="C19082" s="7"/>
      <c r="D19082" s="7"/>
      <c r="E19082" s="7"/>
      <c r="F19082" s="7"/>
      <c r="G19082" s="7"/>
      <c r="H19082" s="7"/>
      <c r="I19082" s="7"/>
      <c r="J19082" s="7"/>
      <c r="K19082" s="7"/>
      <c r="L19082" s="7"/>
      <c r="M19082" s="7"/>
      <c r="N19082" s="7"/>
      <c r="O19082" s="7"/>
      <c r="P19082" s="7"/>
      <c r="Q19082" s="7"/>
      <c r="R19082" s="7"/>
      <c r="S19082" s="7"/>
      <c r="T19082" s="7"/>
      <c r="U19082" s="7"/>
      <c r="V19082" s="7"/>
      <c r="W19082" s="7"/>
      <c r="X19082" s="7"/>
      <c r="Y19082" s="7"/>
      <c r="Z19082" s="7"/>
      <c r="AA19082" s="7"/>
      <c r="AB19082" s="7"/>
      <c r="AC19082" s="7"/>
      <c r="AD19082" s="7"/>
      <c r="AE19082" s="7"/>
      <c r="AF19082" s="7"/>
      <c r="AG19082" s="10"/>
    </row>
    <row r="19083" spans="1:33">
      <c r="A19083" s="7"/>
      <c r="B19083" s="7"/>
      <c r="C19083" s="7"/>
      <c r="D19083" s="7"/>
      <c r="E19083" s="7"/>
      <c r="F19083" s="7"/>
      <c r="G19083" s="7"/>
      <c r="H19083" s="7"/>
      <c r="I19083" s="7"/>
      <c r="J19083" s="7"/>
      <c r="K19083" s="7"/>
      <c r="L19083" s="7"/>
      <c r="M19083" s="7"/>
      <c r="N19083" s="7"/>
      <c r="O19083" s="7"/>
      <c r="P19083" s="7"/>
      <c r="Q19083" s="7"/>
      <c r="R19083" s="7"/>
      <c r="S19083" s="7"/>
      <c r="T19083" s="7"/>
      <c r="U19083" s="7"/>
      <c r="V19083" s="7"/>
      <c r="W19083" s="7"/>
      <c r="X19083" s="7"/>
      <c r="Y19083" s="7"/>
      <c r="Z19083" s="7"/>
      <c r="AA19083" s="7"/>
      <c r="AB19083" s="7"/>
      <c r="AC19083" s="7"/>
      <c r="AD19083" s="7"/>
      <c r="AE19083" s="7"/>
      <c r="AF19083" s="7"/>
      <c r="AG19083" s="10"/>
    </row>
    <row r="19084" spans="1:33">
      <c r="A19084" s="7"/>
      <c r="B19084" s="7"/>
      <c r="C19084" s="7"/>
      <c r="D19084" s="7"/>
      <c r="E19084" s="7"/>
      <c r="F19084" s="7"/>
      <c r="G19084" s="7"/>
      <c r="H19084" s="7"/>
      <c r="I19084" s="7"/>
      <c r="J19084" s="7"/>
      <c r="K19084" s="7"/>
      <c r="L19084" s="7"/>
      <c r="M19084" s="7"/>
      <c r="N19084" s="7"/>
      <c r="O19084" s="7"/>
      <c r="P19084" s="7"/>
      <c r="Q19084" s="7"/>
      <c r="R19084" s="7"/>
      <c r="S19084" s="7"/>
      <c r="T19084" s="7"/>
      <c r="U19084" s="7"/>
      <c r="V19084" s="7"/>
      <c r="W19084" s="7"/>
      <c r="X19084" s="7"/>
      <c r="Y19084" s="7"/>
      <c r="Z19084" s="7"/>
      <c r="AA19084" s="7"/>
      <c r="AB19084" s="7"/>
      <c r="AC19084" s="7"/>
      <c r="AD19084" s="7"/>
      <c r="AE19084" s="7"/>
      <c r="AF19084" s="7"/>
      <c r="AG19084" s="10"/>
    </row>
    <row r="19085" spans="1:33">
      <c r="A19085" s="7"/>
      <c r="B19085" s="7"/>
      <c r="C19085" s="7"/>
      <c r="D19085" s="7"/>
      <c r="E19085" s="7"/>
      <c r="F19085" s="7"/>
      <c r="G19085" s="7"/>
      <c r="H19085" s="7"/>
      <c r="I19085" s="7"/>
      <c r="J19085" s="7"/>
      <c r="K19085" s="7"/>
      <c r="L19085" s="7"/>
      <c r="M19085" s="7"/>
      <c r="N19085" s="7"/>
      <c r="O19085" s="7"/>
      <c r="P19085" s="7"/>
      <c r="Q19085" s="7"/>
      <c r="R19085" s="7"/>
      <c r="S19085" s="7"/>
      <c r="T19085" s="7"/>
      <c r="U19085" s="7"/>
      <c r="V19085" s="7"/>
      <c r="W19085" s="7"/>
      <c r="X19085" s="7"/>
      <c r="Y19085" s="7"/>
      <c r="Z19085" s="7"/>
      <c r="AA19085" s="7"/>
      <c r="AB19085" s="7"/>
      <c r="AC19085" s="7"/>
      <c r="AD19085" s="7"/>
      <c r="AE19085" s="7"/>
      <c r="AF19085" s="7"/>
      <c r="AG19085" s="10"/>
    </row>
    <row r="19086" spans="1:33">
      <c r="A19086" s="7"/>
      <c r="B19086" s="7"/>
      <c r="C19086" s="7"/>
      <c r="D19086" s="7"/>
      <c r="E19086" s="7"/>
      <c r="F19086" s="7"/>
      <c r="G19086" s="7"/>
      <c r="H19086" s="7"/>
      <c r="I19086" s="7"/>
      <c r="J19086" s="7"/>
      <c r="K19086" s="7"/>
      <c r="L19086" s="7"/>
      <c r="M19086" s="7"/>
      <c r="N19086" s="7"/>
      <c r="O19086" s="7"/>
      <c r="P19086" s="7"/>
      <c r="Q19086" s="7"/>
      <c r="R19086" s="7"/>
      <c r="S19086" s="7"/>
      <c r="T19086" s="7"/>
      <c r="U19086" s="7"/>
      <c r="V19086" s="7"/>
      <c r="W19086" s="7"/>
      <c r="X19086" s="7"/>
      <c r="Y19086" s="7"/>
      <c r="Z19086" s="7"/>
      <c r="AA19086" s="7"/>
      <c r="AB19086" s="7"/>
      <c r="AC19086" s="7"/>
      <c r="AD19086" s="7"/>
      <c r="AE19086" s="7"/>
      <c r="AF19086" s="7"/>
      <c r="AG19086" s="10"/>
    </row>
    <row r="19087" spans="1:33">
      <c r="A19087" s="7"/>
      <c r="B19087" s="7"/>
      <c r="C19087" s="7"/>
      <c r="D19087" s="7"/>
      <c r="E19087" s="7"/>
      <c r="F19087" s="7"/>
      <c r="G19087" s="7"/>
      <c r="H19087" s="7"/>
      <c r="I19087" s="7"/>
      <c r="J19087" s="7"/>
      <c r="K19087" s="7"/>
      <c r="L19087" s="7"/>
      <c r="M19087" s="7"/>
      <c r="N19087" s="7"/>
      <c r="O19087" s="7"/>
      <c r="P19087" s="7"/>
      <c r="Q19087" s="7"/>
      <c r="R19087" s="7"/>
      <c r="S19087" s="7"/>
      <c r="T19087" s="7"/>
      <c r="U19087" s="7"/>
      <c r="V19087" s="7"/>
      <c r="W19087" s="7"/>
      <c r="X19087" s="7"/>
      <c r="Y19087" s="7"/>
      <c r="Z19087" s="7"/>
      <c r="AA19087" s="7"/>
      <c r="AB19087" s="7"/>
      <c r="AC19087" s="7"/>
      <c r="AD19087" s="7"/>
      <c r="AE19087" s="7"/>
      <c r="AF19087" s="7"/>
      <c r="AG19087" s="10"/>
    </row>
    <row r="19088" spans="1:33">
      <c r="A19088" s="7"/>
      <c r="B19088" s="7"/>
      <c r="C19088" s="7"/>
      <c r="D19088" s="7"/>
      <c r="E19088" s="7"/>
      <c r="F19088" s="7"/>
      <c r="G19088" s="7"/>
      <c r="H19088" s="7"/>
      <c r="I19088" s="7"/>
      <c r="J19088" s="7"/>
      <c r="K19088" s="7"/>
      <c r="L19088" s="7"/>
      <c r="M19088" s="7"/>
      <c r="N19088" s="7"/>
      <c r="O19088" s="7"/>
      <c r="P19088" s="7"/>
      <c r="Q19088" s="7"/>
      <c r="R19088" s="7"/>
      <c r="S19088" s="7"/>
      <c r="T19088" s="7"/>
      <c r="U19088" s="7"/>
      <c r="V19088" s="7"/>
      <c r="W19088" s="7"/>
      <c r="X19088" s="7"/>
      <c r="Y19088" s="7"/>
      <c r="Z19088" s="7"/>
      <c r="AA19088" s="7"/>
      <c r="AB19088" s="7"/>
      <c r="AC19088" s="7"/>
      <c r="AD19088" s="7"/>
      <c r="AE19088" s="7"/>
      <c r="AF19088" s="7"/>
      <c r="AG19088" s="10"/>
    </row>
    <row r="19089" spans="1:33">
      <c r="A19089" s="7"/>
      <c r="B19089" s="7"/>
      <c r="C19089" s="7"/>
      <c r="D19089" s="7"/>
      <c r="E19089" s="7"/>
      <c r="F19089" s="7"/>
      <c r="G19089" s="7"/>
      <c r="H19089" s="7"/>
      <c r="I19089" s="7"/>
      <c r="J19089" s="7"/>
      <c r="K19089" s="7"/>
      <c r="L19089" s="7"/>
      <c r="M19089" s="7"/>
      <c r="N19089" s="7"/>
      <c r="O19089" s="7"/>
      <c r="P19089" s="7"/>
      <c r="Q19089" s="7"/>
      <c r="R19089" s="7"/>
      <c r="S19089" s="7"/>
      <c r="T19089" s="7"/>
      <c r="U19089" s="7"/>
      <c r="V19089" s="7"/>
      <c r="W19089" s="7"/>
      <c r="X19089" s="7"/>
      <c r="Y19089" s="7"/>
      <c r="Z19089" s="7"/>
      <c r="AA19089" s="7"/>
      <c r="AB19089" s="7"/>
      <c r="AC19089" s="7"/>
      <c r="AD19089" s="7"/>
      <c r="AE19089" s="7"/>
      <c r="AF19089" s="7"/>
      <c r="AG19089" s="10"/>
    </row>
    <row r="19090" spans="1:33">
      <c r="A19090" s="7"/>
      <c r="B19090" s="7"/>
      <c r="C19090" s="7"/>
      <c r="D19090" s="7"/>
      <c r="E19090" s="7"/>
      <c r="F19090" s="7"/>
      <c r="G19090" s="7"/>
      <c r="H19090" s="7"/>
      <c r="I19090" s="7"/>
      <c r="J19090" s="7"/>
      <c r="K19090" s="7"/>
      <c r="L19090" s="7"/>
      <c r="M19090" s="7"/>
      <c r="N19090" s="7"/>
      <c r="O19090" s="7"/>
      <c r="P19090" s="7"/>
      <c r="Q19090" s="7"/>
      <c r="R19090" s="7"/>
      <c r="S19090" s="7"/>
      <c r="T19090" s="7"/>
      <c r="U19090" s="7"/>
      <c r="V19090" s="7"/>
      <c r="W19090" s="7"/>
      <c r="X19090" s="7"/>
      <c r="Y19090" s="7"/>
      <c r="Z19090" s="7"/>
      <c r="AA19090" s="7"/>
      <c r="AB19090" s="7"/>
      <c r="AC19090" s="7"/>
      <c r="AD19090" s="7"/>
      <c r="AE19090" s="7"/>
      <c r="AF19090" s="7"/>
      <c r="AG19090" s="10"/>
    </row>
    <row r="19091" spans="1:33">
      <c r="A19091" s="7"/>
      <c r="B19091" s="7"/>
      <c r="C19091" s="7"/>
      <c r="D19091" s="7"/>
      <c r="E19091" s="7"/>
      <c r="F19091" s="7"/>
      <c r="G19091" s="7"/>
      <c r="H19091" s="7"/>
      <c r="I19091" s="7"/>
      <c r="J19091" s="7"/>
      <c r="K19091" s="7"/>
      <c r="L19091" s="7"/>
      <c r="M19091" s="7"/>
      <c r="N19091" s="7"/>
      <c r="O19091" s="7"/>
      <c r="P19091" s="7"/>
      <c r="Q19091" s="7"/>
      <c r="R19091" s="7"/>
      <c r="S19091" s="7"/>
      <c r="T19091" s="7"/>
      <c r="U19091" s="7"/>
      <c r="V19091" s="7"/>
      <c r="W19091" s="7"/>
      <c r="X19091" s="7"/>
      <c r="Y19091" s="7"/>
      <c r="Z19091" s="7"/>
      <c r="AA19091" s="7"/>
      <c r="AB19091" s="7"/>
      <c r="AC19091" s="7"/>
      <c r="AD19091" s="7"/>
      <c r="AE19091" s="7"/>
      <c r="AF19091" s="7"/>
      <c r="AG19091" s="10"/>
    </row>
    <row r="19092" spans="1:33">
      <c r="A19092" s="7"/>
      <c r="B19092" s="7"/>
      <c r="C19092" s="7"/>
      <c r="D19092" s="7"/>
      <c r="E19092" s="7"/>
      <c r="F19092" s="7"/>
      <c r="G19092" s="7"/>
      <c r="H19092" s="7"/>
      <c r="I19092" s="7"/>
      <c r="J19092" s="7"/>
      <c r="K19092" s="7"/>
      <c r="L19092" s="7"/>
      <c r="M19092" s="7"/>
      <c r="N19092" s="7"/>
      <c r="O19092" s="7"/>
      <c r="P19092" s="7"/>
      <c r="Q19092" s="7"/>
      <c r="R19092" s="7"/>
      <c r="S19092" s="7"/>
      <c r="T19092" s="7"/>
      <c r="U19092" s="7"/>
      <c r="V19092" s="7"/>
      <c r="W19092" s="7"/>
      <c r="X19092" s="7"/>
      <c r="Y19092" s="7"/>
      <c r="Z19092" s="7"/>
      <c r="AA19092" s="7"/>
      <c r="AB19092" s="7"/>
      <c r="AC19092" s="7"/>
      <c r="AD19092" s="7"/>
      <c r="AE19092" s="7"/>
      <c r="AF19092" s="7"/>
      <c r="AG19092" s="10"/>
    </row>
    <row r="19093" spans="1:33">
      <c r="A19093" s="7"/>
      <c r="B19093" s="7"/>
      <c r="C19093" s="7"/>
      <c r="D19093" s="7"/>
      <c r="E19093" s="7"/>
      <c r="F19093" s="7"/>
      <c r="G19093" s="7"/>
      <c r="H19093" s="7"/>
      <c r="I19093" s="7"/>
      <c r="J19093" s="7"/>
      <c r="K19093" s="7"/>
      <c r="L19093" s="7"/>
      <c r="M19093" s="7"/>
      <c r="N19093" s="7"/>
      <c r="O19093" s="7"/>
      <c r="P19093" s="7"/>
      <c r="Q19093" s="7"/>
      <c r="R19093" s="7"/>
      <c r="S19093" s="7"/>
      <c r="T19093" s="7"/>
      <c r="U19093" s="7"/>
      <c r="V19093" s="7"/>
      <c r="W19093" s="7"/>
      <c r="X19093" s="7"/>
      <c r="Y19093" s="7"/>
      <c r="Z19093" s="7"/>
      <c r="AA19093" s="7"/>
      <c r="AB19093" s="7"/>
      <c r="AC19093" s="7"/>
      <c r="AD19093" s="7"/>
      <c r="AE19093" s="7"/>
      <c r="AF19093" s="7"/>
      <c r="AG19093" s="10"/>
    </row>
    <row r="19094" spans="1:33">
      <c r="A19094" s="7"/>
      <c r="B19094" s="7"/>
      <c r="C19094" s="7"/>
      <c r="D19094" s="7"/>
      <c r="E19094" s="7"/>
      <c r="F19094" s="7"/>
      <c r="G19094" s="7"/>
      <c r="H19094" s="7"/>
      <c r="I19094" s="7"/>
      <c r="J19094" s="7"/>
      <c r="K19094" s="7"/>
      <c r="L19094" s="7"/>
      <c r="M19094" s="7"/>
      <c r="N19094" s="7"/>
      <c r="O19094" s="7"/>
      <c r="P19094" s="7"/>
      <c r="Q19094" s="7"/>
      <c r="R19094" s="7"/>
      <c r="S19094" s="7"/>
      <c r="T19094" s="7"/>
      <c r="U19094" s="7"/>
      <c r="V19094" s="7"/>
      <c r="W19094" s="7"/>
      <c r="X19094" s="7"/>
      <c r="Y19094" s="7"/>
      <c r="Z19094" s="7"/>
      <c r="AA19094" s="7"/>
      <c r="AB19094" s="7"/>
      <c r="AC19094" s="7"/>
      <c r="AD19094" s="7"/>
      <c r="AE19094" s="7"/>
      <c r="AF19094" s="7"/>
      <c r="AG19094" s="10"/>
    </row>
    <row r="19095" spans="1:33">
      <c r="A19095" s="7"/>
      <c r="B19095" s="7"/>
      <c r="C19095" s="7"/>
      <c r="D19095" s="7"/>
      <c r="E19095" s="7"/>
      <c r="F19095" s="7"/>
      <c r="G19095" s="7"/>
      <c r="H19095" s="7"/>
      <c r="I19095" s="7"/>
      <c r="J19095" s="7"/>
      <c r="K19095" s="7"/>
      <c r="L19095" s="7"/>
      <c r="M19095" s="7"/>
      <c r="N19095" s="7"/>
      <c r="O19095" s="7"/>
      <c r="P19095" s="7"/>
      <c r="Q19095" s="7"/>
      <c r="R19095" s="7"/>
      <c r="S19095" s="7"/>
      <c r="T19095" s="7"/>
      <c r="U19095" s="7"/>
      <c r="V19095" s="7"/>
      <c r="W19095" s="7"/>
      <c r="X19095" s="7"/>
      <c r="Y19095" s="7"/>
      <c r="Z19095" s="7"/>
      <c r="AA19095" s="7"/>
      <c r="AB19095" s="7"/>
      <c r="AC19095" s="7"/>
      <c r="AD19095" s="7"/>
      <c r="AE19095" s="7"/>
      <c r="AF19095" s="7"/>
      <c r="AG19095" s="10"/>
    </row>
    <row r="19096" spans="1:33">
      <c r="A19096" s="7"/>
      <c r="B19096" s="7"/>
      <c r="C19096" s="7"/>
      <c r="D19096" s="7"/>
      <c r="E19096" s="7"/>
      <c r="F19096" s="7"/>
      <c r="G19096" s="7"/>
      <c r="H19096" s="7"/>
      <c r="I19096" s="7"/>
      <c r="J19096" s="7"/>
      <c r="K19096" s="7"/>
      <c r="L19096" s="7"/>
      <c r="M19096" s="7"/>
      <c r="N19096" s="7"/>
      <c r="O19096" s="7"/>
      <c r="P19096" s="7"/>
      <c r="Q19096" s="7"/>
      <c r="R19096" s="7"/>
      <c r="S19096" s="7"/>
      <c r="T19096" s="7"/>
      <c r="U19096" s="7"/>
      <c r="V19096" s="7"/>
      <c r="W19096" s="7"/>
      <c r="X19096" s="7"/>
      <c r="Y19096" s="7"/>
      <c r="Z19096" s="7"/>
      <c r="AA19096" s="7"/>
      <c r="AB19096" s="7"/>
      <c r="AC19096" s="7"/>
      <c r="AD19096" s="7"/>
      <c r="AE19096" s="7"/>
      <c r="AF19096" s="7"/>
      <c r="AG19096" s="10"/>
    </row>
    <row r="19097" spans="1:33">
      <c r="A19097" s="7"/>
      <c r="B19097" s="7"/>
      <c r="C19097" s="7"/>
      <c r="D19097" s="7"/>
      <c r="E19097" s="7"/>
      <c r="F19097" s="7"/>
      <c r="G19097" s="7"/>
      <c r="H19097" s="7"/>
      <c r="I19097" s="7"/>
      <c r="J19097" s="7"/>
      <c r="K19097" s="7"/>
      <c r="L19097" s="7"/>
      <c r="M19097" s="7"/>
      <c r="N19097" s="7"/>
      <c r="O19097" s="7"/>
      <c r="P19097" s="7"/>
      <c r="Q19097" s="7"/>
      <c r="R19097" s="7"/>
      <c r="S19097" s="7"/>
      <c r="T19097" s="7"/>
      <c r="U19097" s="7"/>
      <c r="V19097" s="7"/>
      <c r="W19097" s="7"/>
      <c r="X19097" s="7"/>
      <c r="Y19097" s="7"/>
      <c r="Z19097" s="7"/>
      <c r="AA19097" s="7"/>
      <c r="AB19097" s="7"/>
      <c r="AC19097" s="7"/>
      <c r="AD19097" s="7"/>
      <c r="AE19097" s="7"/>
      <c r="AF19097" s="7"/>
      <c r="AG19097" s="10"/>
    </row>
    <row r="19098" spans="1:33">
      <c r="A19098" s="7"/>
      <c r="B19098" s="7"/>
      <c r="C19098" s="7"/>
      <c r="D19098" s="7"/>
      <c r="E19098" s="7"/>
      <c r="F19098" s="7"/>
      <c r="G19098" s="7"/>
      <c r="H19098" s="7"/>
      <c r="I19098" s="7"/>
      <c r="J19098" s="7"/>
      <c r="K19098" s="7"/>
      <c r="L19098" s="7"/>
      <c r="M19098" s="7"/>
      <c r="N19098" s="7"/>
      <c r="O19098" s="7"/>
      <c r="P19098" s="7"/>
      <c r="Q19098" s="7"/>
      <c r="R19098" s="7"/>
      <c r="S19098" s="7"/>
      <c r="T19098" s="7"/>
      <c r="U19098" s="7"/>
      <c r="V19098" s="7"/>
      <c r="W19098" s="7"/>
      <c r="X19098" s="7"/>
      <c r="Y19098" s="7"/>
      <c r="Z19098" s="7"/>
      <c r="AA19098" s="7"/>
      <c r="AB19098" s="7"/>
      <c r="AC19098" s="7"/>
      <c r="AD19098" s="7"/>
      <c r="AE19098" s="7"/>
      <c r="AF19098" s="7"/>
      <c r="AG19098" s="10"/>
    </row>
    <row r="19099" spans="1:33">
      <c r="A19099" s="7"/>
      <c r="B19099" s="7"/>
      <c r="C19099" s="7"/>
      <c r="D19099" s="7"/>
      <c r="E19099" s="7"/>
      <c r="F19099" s="7"/>
      <c r="G19099" s="7"/>
      <c r="H19099" s="7"/>
      <c r="I19099" s="7"/>
      <c r="J19099" s="7"/>
      <c r="K19099" s="7"/>
      <c r="L19099" s="7"/>
      <c r="M19099" s="7"/>
      <c r="N19099" s="7"/>
      <c r="O19099" s="7"/>
      <c r="P19099" s="7"/>
      <c r="Q19099" s="7"/>
      <c r="R19099" s="7"/>
      <c r="S19099" s="7"/>
      <c r="T19099" s="7"/>
      <c r="U19099" s="7"/>
      <c r="V19099" s="7"/>
      <c r="W19099" s="7"/>
      <c r="X19099" s="7"/>
      <c r="Y19099" s="7"/>
      <c r="Z19099" s="7"/>
      <c r="AA19099" s="7"/>
      <c r="AB19099" s="7"/>
      <c r="AC19099" s="7"/>
      <c r="AD19099" s="7"/>
      <c r="AE19099" s="7"/>
      <c r="AF19099" s="7"/>
      <c r="AG19099" s="10"/>
    </row>
    <row r="19100" spans="1:33">
      <c r="A19100" s="7"/>
      <c r="B19100" s="7"/>
      <c r="C19100" s="7"/>
      <c r="D19100" s="7"/>
      <c r="E19100" s="7"/>
      <c r="F19100" s="7"/>
      <c r="G19100" s="7"/>
      <c r="H19100" s="7"/>
      <c r="I19100" s="7"/>
      <c r="J19100" s="7"/>
      <c r="K19100" s="7"/>
      <c r="L19100" s="7"/>
      <c r="M19100" s="7"/>
      <c r="N19100" s="7"/>
      <c r="O19100" s="7"/>
      <c r="P19100" s="7"/>
      <c r="Q19100" s="7"/>
      <c r="R19100" s="7"/>
      <c r="S19100" s="7"/>
      <c r="T19100" s="7"/>
      <c r="U19100" s="7"/>
      <c r="V19100" s="7"/>
      <c r="W19100" s="7"/>
      <c r="X19100" s="7"/>
      <c r="Y19100" s="7"/>
      <c r="Z19100" s="7"/>
      <c r="AA19100" s="7"/>
      <c r="AB19100" s="7"/>
      <c r="AC19100" s="7"/>
      <c r="AD19100" s="7"/>
      <c r="AE19100" s="7"/>
      <c r="AF19100" s="7"/>
      <c r="AG19100" s="10"/>
    </row>
    <row r="19101" spans="1:33">
      <c r="A19101" s="7"/>
      <c r="B19101" s="7"/>
      <c r="C19101" s="7"/>
      <c r="D19101" s="7"/>
      <c r="E19101" s="7"/>
      <c r="F19101" s="7"/>
      <c r="G19101" s="7"/>
      <c r="H19101" s="7"/>
      <c r="I19101" s="7"/>
      <c r="J19101" s="7"/>
      <c r="K19101" s="7"/>
      <c r="L19101" s="7"/>
      <c r="M19101" s="7"/>
      <c r="N19101" s="7"/>
      <c r="O19101" s="7"/>
      <c r="P19101" s="7"/>
      <c r="Q19101" s="7"/>
      <c r="R19101" s="7"/>
      <c r="S19101" s="7"/>
      <c r="T19101" s="7"/>
      <c r="U19101" s="7"/>
      <c r="V19101" s="7"/>
      <c r="W19101" s="7"/>
      <c r="X19101" s="7"/>
      <c r="Y19101" s="7"/>
      <c r="Z19101" s="7"/>
      <c r="AA19101" s="7"/>
      <c r="AB19101" s="7"/>
      <c r="AC19101" s="7"/>
      <c r="AD19101" s="7"/>
      <c r="AE19101" s="7"/>
      <c r="AF19101" s="7"/>
      <c r="AG19101" s="10"/>
    </row>
    <row r="19102" spans="1:33">
      <c r="A19102" s="7"/>
      <c r="B19102" s="7"/>
      <c r="C19102" s="7"/>
      <c r="D19102" s="7"/>
      <c r="E19102" s="7"/>
      <c r="F19102" s="7"/>
      <c r="G19102" s="7"/>
      <c r="H19102" s="7"/>
      <c r="I19102" s="7"/>
      <c r="J19102" s="7"/>
      <c r="K19102" s="7"/>
      <c r="L19102" s="7"/>
      <c r="M19102" s="7"/>
      <c r="N19102" s="7"/>
      <c r="O19102" s="7"/>
      <c r="P19102" s="7"/>
      <c r="Q19102" s="7"/>
      <c r="R19102" s="7"/>
      <c r="S19102" s="7"/>
      <c r="T19102" s="7"/>
      <c r="U19102" s="7"/>
      <c r="V19102" s="7"/>
      <c r="W19102" s="7"/>
      <c r="X19102" s="7"/>
      <c r="Y19102" s="7"/>
      <c r="Z19102" s="7"/>
      <c r="AA19102" s="7"/>
      <c r="AB19102" s="7"/>
      <c r="AC19102" s="7"/>
      <c r="AD19102" s="7"/>
      <c r="AE19102" s="7"/>
      <c r="AF19102" s="7"/>
      <c r="AG19102" s="10"/>
    </row>
    <row r="19103" spans="1:33">
      <c r="A19103" s="7"/>
      <c r="B19103" s="7"/>
      <c r="C19103" s="7"/>
      <c r="D19103" s="7"/>
      <c r="E19103" s="7"/>
      <c r="F19103" s="7"/>
      <c r="G19103" s="7"/>
      <c r="H19103" s="7"/>
      <c r="I19103" s="7"/>
      <c r="J19103" s="7"/>
      <c r="K19103" s="7"/>
      <c r="L19103" s="7"/>
      <c r="M19103" s="7"/>
      <c r="N19103" s="7"/>
      <c r="O19103" s="7"/>
      <c r="P19103" s="7"/>
      <c r="Q19103" s="7"/>
      <c r="R19103" s="7"/>
      <c r="S19103" s="7"/>
      <c r="T19103" s="7"/>
      <c r="U19103" s="7"/>
      <c r="V19103" s="7"/>
      <c r="W19103" s="7"/>
      <c r="X19103" s="7"/>
      <c r="Y19103" s="7"/>
      <c r="Z19103" s="7"/>
      <c r="AA19103" s="7"/>
      <c r="AB19103" s="7"/>
      <c r="AC19103" s="7"/>
      <c r="AD19103" s="7"/>
      <c r="AE19103" s="7"/>
      <c r="AF19103" s="7"/>
      <c r="AG19103" s="10"/>
    </row>
    <row r="19104" spans="1:33">
      <c r="A19104" s="7"/>
      <c r="B19104" s="7"/>
      <c r="C19104" s="7"/>
      <c r="D19104" s="7"/>
      <c r="E19104" s="7"/>
      <c r="F19104" s="7"/>
      <c r="G19104" s="7"/>
      <c r="H19104" s="7"/>
      <c r="I19104" s="7"/>
      <c r="J19104" s="7"/>
      <c r="K19104" s="7"/>
      <c r="L19104" s="7"/>
      <c r="M19104" s="7"/>
      <c r="N19104" s="7"/>
      <c r="O19104" s="7"/>
      <c r="P19104" s="7"/>
      <c r="Q19104" s="7"/>
      <c r="R19104" s="7"/>
      <c r="S19104" s="7"/>
      <c r="T19104" s="7"/>
      <c r="U19104" s="7"/>
      <c r="V19104" s="7"/>
      <c r="W19104" s="7"/>
      <c r="X19104" s="7"/>
      <c r="Y19104" s="7"/>
      <c r="Z19104" s="7"/>
      <c r="AA19104" s="7"/>
      <c r="AB19104" s="7"/>
      <c r="AC19104" s="7"/>
      <c r="AD19104" s="7"/>
      <c r="AE19104" s="7"/>
      <c r="AF19104" s="7"/>
      <c r="AG19104" s="10"/>
    </row>
    <row r="19105" spans="1:33">
      <c r="A19105" s="7"/>
      <c r="B19105" s="7"/>
      <c r="C19105" s="7"/>
      <c r="D19105" s="7"/>
      <c r="E19105" s="7"/>
      <c r="F19105" s="7"/>
      <c r="G19105" s="7"/>
      <c r="H19105" s="7"/>
      <c r="I19105" s="7"/>
      <c r="J19105" s="7"/>
      <c r="K19105" s="7"/>
      <c r="L19105" s="7"/>
      <c r="M19105" s="7"/>
      <c r="N19105" s="7"/>
      <c r="O19105" s="7"/>
      <c r="P19105" s="7"/>
      <c r="Q19105" s="7"/>
      <c r="R19105" s="7"/>
      <c r="S19105" s="7"/>
      <c r="T19105" s="7"/>
      <c r="U19105" s="7"/>
      <c r="V19105" s="7"/>
      <c r="W19105" s="7"/>
      <c r="X19105" s="7"/>
      <c r="Y19105" s="7"/>
      <c r="Z19105" s="7"/>
      <c r="AA19105" s="7"/>
      <c r="AB19105" s="7"/>
      <c r="AC19105" s="7"/>
      <c r="AD19105" s="7"/>
      <c r="AE19105" s="7"/>
      <c r="AF19105" s="7"/>
      <c r="AG19105" s="10"/>
    </row>
    <row r="19106" spans="1:33">
      <c r="A19106" s="7"/>
      <c r="B19106" s="7"/>
      <c r="C19106" s="7"/>
      <c r="D19106" s="7"/>
      <c r="E19106" s="7"/>
      <c r="F19106" s="7"/>
      <c r="G19106" s="7"/>
      <c r="H19106" s="7"/>
      <c r="I19106" s="7"/>
      <c r="J19106" s="7"/>
      <c r="K19106" s="7"/>
      <c r="L19106" s="7"/>
      <c r="M19106" s="7"/>
      <c r="N19106" s="7"/>
      <c r="O19106" s="7"/>
      <c r="P19106" s="7"/>
      <c r="Q19106" s="7"/>
      <c r="R19106" s="7"/>
      <c r="S19106" s="7"/>
      <c r="T19106" s="7"/>
      <c r="U19106" s="7"/>
      <c r="V19106" s="7"/>
      <c r="W19106" s="7"/>
      <c r="X19106" s="7"/>
      <c r="Y19106" s="7"/>
      <c r="Z19106" s="7"/>
      <c r="AA19106" s="7"/>
      <c r="AB19106" s="7"/>
      <c r="AC19106" s="7"/>
      <c r="AD19106" s="7"/>
      <c r="AE19106" s="7"/>
      <c r="AF19106" s="7"/>
      <c r="AG19106" s="10"/>
    </row>
    <row r="19107" spans="1:33">
      <c r="A19107" s="7"/>
      <c r="B19107" s="7"/>
      <c r="C19107" s="7"/>
      <c r="D19107" s="7"/>
      <c r="E19107" s="7"/>
      <c r="F19107" s="7"/>
      <c r="G19107" s="7"/>
      <c r="H19107" s="7"/>
      <c r="I19107" s="7"/>
      <c r="J19107" s="7"/>
      <c r="K19107" s="7"/>
      <c r="L19107" s="7"/>
      <c r="M19107" s="7"/>
      <c r="N19107" s="7"/>
      <c r="O19107" s="7"/>
      <c r="P19107" s="7"/>
      <c r="Q19107" s="7"/>
      <c r="R19107" s="7"/>
      <c r="S19107" s="7"/>
      <c r="T19107" s="7"/>
      <c r="U19107" s="7"/>
      <c r="V19107" s="7"/>
      <c r="W19107" s="7"/>
      <c r="X19107" s="7"/>
      <c r="Y19107" s="7"/>
      <c r="Z19107" s="7"/>
      <c r="AA19107" s="7"/>
      <c r="AB19107" s="7"/>
      <c r="AC19107" s="7"/>
      <c r="AD19107" s="7"/>
      <c r="AE19107" s="7"/>
      <c r="AF19107" s="7"/>
      <c r="AG19107" s="10"/>
    </row>
    <row r="19108" spans="1:33">
      <c r="A19108" s="7"/>
      <c r="B19108" s="7"/>
      <c r="C19108" s="7"/>
      <c r="D19108" s="7"/>
      <c r="E19108" s="7"/>
      <c r="F19108" s="7"/>
      <c r="G19108" s="7"/>
      <c r="H19108" s="7"/>
      <c r="I19108" s="7"/>
      <c r="J19108" s="7"/>
      <c r="K19108" s="7"/>
      <c r="L19108" s="7"/>
      <c r="M19108" s="7"/>
      <c r="N19108" s="7"/>
      <c r="O19108" s="7"/>
      <c r="P19108" s="7"/>
      <c r="Q19108" s="7"/>
      <c r="R19108" s="7"/>
      <c r="S19108" s="7"/>
      <c r="T19108" s="7"/>
      <c r="U19108" s="7"/>
      <c r="V19108" s="7"/>
      <c r="W19108" s="7"/>
      <c r="X19108" s="7"/>
      <c r="Y19108" s="7"/>
      <c r="Z19108" s="7"/>
      <c r="AA19108" s="7"/>
      <c r="AB19108" s="7"/>
      <c r="AC19108" s="7"/>
      <c r="AD19108" s="7"/>
      <c r="AE19108" s="7"/>
      <c r="AF19108" s="7"/>
      <c r="AG19108" s="10"/>
    </row>
    <row r="19109" spans="1:33">
      <c r="A19109" s="7"/>
      <c r="B19109" s="7"/>
      <c r="C19109" s="7"/>
      <c r="D19109" s="7"/>
      <c r="E19109" s="7"/>
      <c r="F19109" s="7"/>
      <c r="G19109" s="7"/>
      <c r="H19109" s="7"/>
      <c r="I19109" s="7"/>
      <c r="J19109" s="7"/>
      <c r="K19109" s="7"/>
      <c r="L19109" s="7"/>
      <c r="M19109" s="7"/>
      <c r="N19109" s="7"/>
      <c r="O19109" s="7"/>
      <c r="P19109" s="7"/>
      <c r="Q19109" s="7"/>
      <c r="R19109" s="7"/>
      <c r="S19109" s="7"/>
      <c r="T19109" s="7"/>
      <c r="U19109" s="7"/>
      <c r="V19109" s="7"/>
      <c r="W19109" s="7"/>
      <c r="X19109" s="7"/>
      <c r="Y19109" s="7"/>
      <c r="Z19109" s="7"/>
      <c r="AA19109" s="7"/>
      <c r="AB19109" s="7"/>
      <c r="AC19109" s="7"/>
      <c r="AD19109" s="7"/>
      <c r="AE19109" s="7"/>
      <c r="AF19109" s="7"/>
      <c r="AG19109" s="10"/>
    </row>
    <row r="19110" spans="1:33">
      <c r="A19110" s="7"/>
      <c r="B19110" s="7"/>
      <c r="C19110" s="7"/>
      <c r="D19110" s="7"/>
      <c r="E19110" s="7"/>
      <c r="F19110" s="7"/>
      <c r="G19110" s="7"/>
      <c r="H19110" s="7"/>
      <c r="I19110" s="7"/>
      <c r="J19110" s="7"/>
      <c r="K19110" s="7"/>
      <c r="L19110" s="7"/>
      <c r="M19110" s="7"/>
      <c r="N19110" s="7"/>
      <c r="O19110" s="7"/>
      <c r="P19110" s="7"/>
      <c r="Q19110" s="7"/>
      <c r="R19110" s="7"/>
      <c r="S19110" s="7"/>
      <c r="T19110" s="7"/>
      <c r="U19110" s="7"/>
      <c r="V19110" s="7"/>
      <c r="W19110" s="7"/>
      <c r="X19110" s="7"/>
      <c r="Y19110" s="7"/>
      <c r="Z19110" s="7"/>
      <c r="AA19110" s="7"/>
      <c r="AB19110" s="7"/>
      <c r="AC19110" s="7"/>
      <c r="AD19110" s="7"/>
      <c r="AE19110" s="7"/>
      <c r="AF19110" s="7"/>
      <c r="AG19110" s="10"/>
    </row>
    <row r="19111" spans="1:33">
      <c r="A19111" s="7"/>
      <c r="B19111" s="7"/>
      <c r="C19111" s="7"/>
      <c r="D19111" s="7"/>
      <c r="E19111" s="7"/>
      <c r="F19111" s="7"/>
      <c r="G19111" s="7"/>
      <c r="H19111" s="7"/>
      <c r="I19111" s="7"/>
      <c r="J19111" s="7"/>
      <c r="K19111" s="7"/>
      <c r="L19111" s="7"/>
      <c r="M19111" s="7"/>
      <c r="N19111" s="7"/>
      <c r="O19111" s="7"/>
      <c r="P19111" s="7"/>
      <c r="Q19111" s="7"/>
      <c r="R19111" s="7"/>
      <c r="S19111" s="7"/>
      <c r="T19111" s="7"/>
      <c r="U19111" s="7"/>
      <c r="V19111" s="7"/>
      <c r="W19111" s="7"/>
      <c r="X19111" s="7"/>
      <c r="Y19111" s="7"/>
      <c r="Z19111" s="7"/>
      <c r="AA19111" s="7"/>
      <c r="AB19111" s="7"/>
      <c r="AC19111" s="7"/>
      <c r="AD19111" s="7"/>
      <c r="AE19111" s="7"/>
      <c r="AF19111" s="7"/>
      <c r="AG19111" s="10"/>
    </row>
    <row r="19112" spans="1:33">
      <c r="A19112" s="7"/>
      <c r="B19112" s="7"/>
      <c r="C19112" s="7"/>
      <c r="D19112" s="7"/>
      <c r="E19112" s="7"/>
      <c r="F19112" s="7"/>
      <c r="G19112" s="7"/>
      <c r="H19112" s="7"/>
      <c r="I19112" s="7"/>
      <c r="J19112" s="7"/>
      <c r="K19112" s="7"/>
      <c r="L19112" s="7"/>
      <c r="M19112" s="7"/>
      <c r="N19112" s="7"/>
      <c r="O19112" s="7"/>
      <c r="P19112" s="7"/>
      <c r="Q19112" s="7"/>
      <c r="R19112" s="7"/>
      <c r="S19112" s="7"/>
      <c r="T19112" s="7"/>
      <c r="U19112" s="7"/>
      <c r="V19112" s="7"/>
      <c r="W19112" s="7"/>
      <c r="X19112" s="7"/>
      <c r="Y19112" s="7"/>
      <c r="Z19112" s="7"/>
      <c r="AA19112" s="7"/>
      <c r="AB19112" s="7"/>
      <c r="AC19112" s="7"/>
      <c r="AD19112" s="7"/>
      <c r="AE19112" s="7"/>
      <c r="AF19112" s="7"/>
      <c r="AG19112" s="10"/>
    </row>
    <row r="19113" spans="1:33">
      <c r="A19113" s="7"/>
      <c r="B19113" s="7"/>
      <c r="C19113" s="7"/>
      <c r="D19113" s="7"/>
      <c r="E19113" s="7"/>
      <c r="F19113" s="7"/>
      <c r="G19113" s="7"/>
      <c r="H19113" s="7"/>
      <c r="I19113" s="7"/>
      <c r="J19113" s="7"/>
      <c r="K19113" s="7"/>
      <c r="L19113" s="7"/>
      <c r="M19113" s="7"/>
      <c r="N19113" s="7"/>
      <c r="O19113" s="7"/>
      <c r="P19113" s="7"/>
      <c r="Q19113" s="7"/>
      <c r="R19113" s="7"/>
      <c r="S19113" s="7"/>
      <c r="T19113" s="7"/>
      <c r="U19113" s="7"/>
      <c r="V19113" s="7"/>
      <c r="W19113" s="7"/>
      <c r="X19113" s="7"/>
      <c r="Y19113" s="7"/>
      <c r="Z19113" s="7"/>
      <c r="AA19113" s="7"/>
      <c r="AB19113" s="7"/>
      <c r="AC19113" s="7"/>
      <c r="AD19113" s="7"/>
      <c r="AE19113" s="7"/>
      <c r="AF19113" s="7"/>
      <c r="AG19113" s="10"/>
    </row>
    <row r="19114" spans="1:33">
      <c r="A19114" s="7"/>
      <c r="B19114" s="7"/>
      <c r="C19114" s="7"/>
      <c r="D19114" s="7"/>
      <c r="E19114" s="7"/>
      <c r="F19114" s="7"/>
      <c r="G19114" s="7"/>
      <c r="H19114" s="7"/>
      <c r="I19114" s="7"/>
      <c r="J19114" s="7"/>
      <c r="K19114" s="7"/>
      <c r="L19114" s="7"/>
      <c r="M19114" s="7"/>
      <c r="N19114" s="7"/>
      <c r="O19114" s="7"/>
      <c r="P19114" s="7"/>
      <c r="Q19114" s="7"/>
      <c r="R19114" s="7"/>
      <c r="S19114" s="7"/>
      <c r="T19114" s="7"/>
      <c r="U19114" s="7"/>
      <c r="V19114" s="7"/>
      <c r="W19114" s="7"/>
      <c r="X19114" s="7"/>
      <c r="Y19114" s="7"/>
      <c r="Z19114" s="7"/>
      <c r="AA19114" s="7"/>
      <c r="AB19114" s="7"/>
      <c r="AC19114" s="7"/>
      <c r="AD19114" s="7"/>
      <c r="AE19114" s="7"/>
      <c r="AF19114" s="7"/>
      <c r="AG19114" s="10"/>
    </row>
    <row r="19115" spans="1:33">
      <c r="A19115" s="7"/>
      <c r="B19115" s="7"/>
      <c r="C19115" s="7"/>
      <c r="D19115" s="7"/>
      <c r="E19115" s="7"/>
      <c r="F19115" s="7"/>
      <c r="G19115" s="7"/>
      <c r="H19115" s="7"/>
      <c r="I19115" s="7"/>
      <c r="J19115" s="7"/>
      <c r="K19115" s="7"/>
      <c r="L19115" s="7"/>
      <c r="M19115" s="7"/>
      <c r="N19115" s="7"/>
      <c r="O19115" s="7"/>
      <c r="P19115" s="7"/>
      <c r="Q19115" s="7"/>
      <c r="R19115" s="7"/>
      <c r="S19115" s="7"/>
      <c r="T19115" s="7"/>
      <c r="U19115" s="7"/>
      <c r="V19115" s="7"/>
      <c r="W19115" s="7"/>
      <c r="X19115" s="7"/>
      <c r="Y19115" s="7"/>
      <c r="Z19115" s="7"/>
      <c r="AA19115" s="7"/>
      <c r="AB19115" s="7"/>
      <c r="AC19115" s="7"/>
      <c r="AD19115" s="7"/>
      <c r="AE19115" s="7"/>
      <c r="AF19115" s="7"/>
      <c r="AG19115" s="10"/>
    </row>
    <row r="19116" spans="1:33">
      <c r="A19116" s="7"/>
      <c r="B19116" s="7"/>
      <c r="C19116" s="7"/>
      <c r="D19116" s="7"/>
      <c r="E19116" s="7"/>
      <c r="F19116" s="7"/>
      <c r="G19116" s="7"/>
      <c r="H19116" s="7"/>
      <c r="I19116" s="7"/>
      <c r="J19116" s="7"/>
      <c r="K19116" s="7"/>
      <c r="L19116" s="7"/>
      <c r="M19116" s="7"/>
      <c r="N19116" s="7"/>
      <c r="O19116" s="7"/>
      <c r="P19116" s="7"/>
      <c r="Q19116" s="7"/>
      <c r="R19116" s="7"/>
      <c r="S19116" s="7"/>
      <c r="T19116" s="7"/>
      <c r="U19116" s="7"/>
      <c r="V19116" s="7"/>
      <c r="W19116" s="7"/>
      <c r="X19116" s="7"/>
      <c r="Y19116" s="7"/>
      <c r="Z19116" s="7"/>
      <c r="AA19116" s="7"/>
      <c r="AB19116" s="7"/>
      <c r="AC19116" s="7"/>
      <c r="AD19116" s="7"/>
      <c r="AE19116" s="7"/>
      <c r="AF19116" s="7"/>
      <c r="AG19116" s="10"/>
    </row>
    <row r="19117" spans="1:33">
      <c r="A19117" s="7"/>
      <c r="B19117" s="7"/>
      <c r="C19117" s="7"/>
      <c r="D19117" s="7"/>
      <c r="E19117" s="7"/>
      <c r="F19117" s="7"/>
      <c r="G19117" s="7"/>
      <c r="H19117" s="7"/>
      <c r="I19117" s="7"/>
      <c r="J19117" s="7"/>
      <c r="K19117" s="7"/>
      <c r="L19117" s="7"/>
      <c r="M19117" s="7"/>
      <c r="N19117" s="7"/>
      <c r="O19117" s="7"/>
      <c r="P19117" s="7"/>
      <c r="Q19117" s="7"/>
      <c r="R19117" s="7"/>
      <c r="S19117" s="7"/>
      <c r="T19117" s="7"/>
      <c r="U19117" s="7"/>
      <c r="V19117" s="7"/>
      <c r="W19117" s="7"/>
      <c r="X19117" s="7"/>
      <c r="Y19117" s="7"/>
      <c r="Z19117" s="7"/>
      <c r="AA19117" s="7"/>
      <c r="AB19117" s="7"/>
      <c r="AC19117" s="7"/>
      <c r="AD19117" s="7"/>
      <c r="AE19117" s="7"/>
      <c r="AF19117" s="7"/>
      <c r="AG19117" s="10"/>
    </row>
    <row r="19118" spans="1:33">
      <c r="A19118" s="7"/>
      <c r="B19118" s="7"/>
      <c r="C19118" s="7"/>
      <c r="D19118" s="7"/>
      <c r="E19118" s="7"/>
      <c r="F19118" s="7"/>
      <c r="G19118" s="7"/>
      <c r="H19118" s="7"/>
      <c r="I19118" s="7"/>
      <c r="J19118" s="7"/>
      <c r="K19118" s="7"/>
      <c r="L19118" s="7"/>
      <c r="M19118" s="7"/>
      <c r="N19118" s="7"/>
      <c r="O19118" s="7"/>
      <c r="P19118" s="7"/>
      <c r="Q19118" s="7"/>
      <c r="R19118" s="7"/>
      <c r="S19118" s="7"/>
      <c r="T19118" s="7"/>
      <c r="U19118" s="7"/>
      <c r="V19118" s="7"/>
      <c r="W19118" s="7"/>
      <c r="X19118" s="7"/>
      <c r="Y19118" s="7"/>
      <c r="Z19118" s="7"/>
      <c r="AA19118" s="7"/>
      <c r="AB19118" s="7"/>
      <c r="AC19118" s="7"/>
      <c r="AD19118" s="7"/>
      <c r="AE19118" s="7"/>
      <c r="AF19118" s="7"/>
      <c r="AG19118" s="10"/>
    </row>
    <row r="19119" spans="1:33">
      <c r="A19119" s="7"/>
      <c r="B19119" s="7"/>
      <c r="C19119" s="7"/>
      <c r="D19119" s="7"/>
      <c r="E19119" s="7"/>
      <c r="F19119" s="7"/>
      <c r="G19119" s="7"/>
      <c r="H19119" s="7"/>
      <c r="I19119" s="7"/>
      <c r="J19119" s="7"/>
      <c r="K19119" s="7"/>
      <c r="L19119" s="7"/>
      <c r="M19119" s="7"/>
      <c r="N19119" s="7"/>
      <c r="O19119" s="7"/>
      <c r="P19119" s="7"/>
      <c r="Q19119" s="7"/>
      <c r="R19119" s="7"/>
      <c r="S19119" s="7"/>
      <c r="T19119" s="7"/>
      <c r="U19119" s="7"/>
      <c r="V19119" s="7"/>
      <c r="W19119" s="7"/>
      <c r="X19119" s="7"/>
      <c r="Y19119" s="7"/>
      <c r="Z19119" s="7"/>
      <c r="AA19119" s="7"/>
      <c r="AB19119" s="7"/>
      <c r="AC19119" s="7"/>
      <c r="AD19119" s="7"/>
      <c r="AE19119" s="7"/>
      <c r="AF19119" s="7"/>
      <c r="AG19119" s="10"/>
    </row>
    <row r="19120" spans="1:33">
      <c r="A19120" s="7"/>
      <c r="B19120" s="7"/>
      <c r="C19120" s="7"/>
      <c r="D19120" s="7"/>
      <c r="E19120" s="7"/>
      <c r="F19120" s="7"/>
      <c r="G19120" s="7"/>
      <c r="H19120" s="7"/>
      <c r="I19120" s="7"/>
      <c r="J19120" s="7"/>
      <c r="K19120" s="7"/>
      <c r="L19120" s="7"/>
      <c r="M19120" s="7"/>
      <c r="N19120" s="7"/>
      <c r="O19120" s="7"/>
      <c r="P19120" s="7"/>
      <c r="Q19120" s="7"/>
      <c r="R19120" s="7"/>
      <c r="S19120" s="7"/>
      <c r="T19120" s="7"/>
      <c r="U19120" s="7"/>
      <c r="V19120" s="7"/>
      <c r="W19120" s="7"/>
      <c r="X19120" s="7"/>
      <c r="Y19120" s="7"/>
      <c r="Z19120" s="7"/>
      <c r="AA19120" s="7"/>
      <c r="AB19120" s="7"/>
      <c r="AC19120" s="7"/>
      <c r="AD19120" s="7"/>
      <c r="AE19120" s="7"/>
      <c r="AF19120" s="7"/>
      <c r="AG19120" s="10"/>
    </row>
    <row r="19121" spans="1:33">
      <c r="A19121" s="7"/>
      <c r="B19121" s="7"/>
      <c r="C19121" s="7"/>
      <c r="D19121" s="7"/>
      <c r="E19121" s="7"/>
      <c r="F19121" s="7"/>
      <c r="G19121" s="7"/>
      <c r="H19121" s="7"/>
      <c r="I19121" s="7"/>
      <c r="J19121" s="7"/>
      <c r="K19121" s="7"/>
      <c r="L19121" s="7"/>
      <c r="M19121" s="7"/>
      <c r="N19121" s="7"/>
      <c r="O19121" s="7"/>
      <c r="P19121" s="7"/>
      <c r="Q19121" s="7"/>
      <c r="R19121" s="7"/>
      <c r="S19121" s="7"/>
      <c r="T19121" s="7"/>
      <c r="U19121" s="7"/>
      <c r="V19121" s="7"/>
      <c r="W19121" s="7"/>
      <c r="X19121" s="7"/>
      <c r="Y19121" s="7"/>
      <c r="Z19121" s="7"/>
      <c r="AA19121" s="7"/>
      <c r="AB19121" s="7"/>
      <c r="AC19121" s="7"/>
      <c r="AD19121" s="7"/>
      <c r="AE19121" s="7"/>
      <c r="AF19121" s="7"/>
      <c r="AG19121" s="10"/>
    </row>
    <row r="19122" spans="1:33">
      <c r="A19122" s="7"/>
      <c r="B19122" s="7"/>
      <c r="C19122" s="7"/>
      <c r="D19122" s="7"/>
      <c r="E19122" s="7"/>
      <c r="F19122" s="7"/>
      <c r="G19122" s="7"/>
      <c r="H19122" s="7"/>
      <c r="I19122" s="7"/>
      <c r="J19122" s="7"/>
      <c r="K19122" s="7"/>
      <c r="L19122" s="7"/>
      <c r="M19122" s="7"/>
      <c r="N19122" s="7"/>
      <c r="O19122" s="7"/>
      <c r="P19122" s="7"/>
      <c r="Q19122" s="7"/>
      <c r="R19122" s="7"/>
      <c r="S19122" s="7"/>
      <c r="T19122" s="7"/>
      <c r="U19122" s="7"/>
      <c r="V19122" s="7"/>
      <c r="W19122" s="7"/>
      <c r="X19122" s="7"/>
      <c r="Y19122" s="7"/>
      <c r="Z19122" s="7"/>
      <c r="AA19122" s="7"/>
      <c r="AB19122" s="7"/>
      <c r="AC19122" s="7"/>
      <c r="AD19122" s="7"/>
      <c r="AE19122" s="7"/>
      <c r="AF19122" s="7"/>
      <c r="AG19122" s="10"/>
    </row>
    <row r="19123" spans="1:33">
      <c r="A19123" s="7"/>
      <c r="B19123" s="7"/>
      <c r="C19123" s="7"/>
      <c r="D19123" s="7"/>
      <c r="E19123" s="7"/>
      <c r="F19123" s="7"/>
      <c r="G19123" s="7"/>
      <c r="H19123" s="7"/>
      <c r="I19123" s="7"/>
      <c r="J19123" s="7"/>
      <c r="K19123" s="7"/>
      <c r="L19123" s="7"/>
      <c r="M19123" s="7"/>
      <c r="N19123" s="7"/>
      <c r="O19123" s="7"/>
      <c r="P19123" s="7"/>
      <c r="Q19123" s="7"/>
      <c r="R19123" s="7"/>
      <c r="S19123" s="7"/>
      <c r="T19123" s="7"/>
      <c r="U19123" s="7"/>
      <c r="V19123" s="7"/>
      <c r="W19123" s="7"/>
      <c r="X19123" s="7"/>
      <c r="Y19123" s="7"/>
      <c r="Z19123" s="7"/>
      <c r="AA19123" s="7"/>
      <c r="AB19123" s="7"/>
      <c r="AC19123" s="7"/>
      <c r="AD19123" s="7"/>
      <c r="AE19123" s="7"/>
      <c r="AF19123" s="7"/>
      <c r="AG19123" s="10"/>
    </row>
    <row r="19124" spans="1:33">
      <c r="A19124" s="7"/>
      <c r="B19124" s="7"/>
      <c r="C19124" s="7"/>
      <c r="D19124" s="7"/>
      <c r="E19124" s="7"/>
      <c r="F19124" s="7"/>
      <c r="G19124" s="7"/>
      <c r="H19124" s="7"/>
      <c r="I19124" s="7"/>
      <c r="J19124" s="7"/>
      <c r="K19124" s="7"/>
      <c r="L19124" s="7"/>
      <c r="M19124" s="7"/>
      <c r="N19124" s="7"/>
      <c r="O19124" s="7"/>
      <c r="P19124" s="7"/>
      <c r="Q19124" s="7"/>
      <c r="R19124" s="7"/>
      <c r="S19124" s="7"/>
      <c r="T19124" s="7"/>
      <c r="U19124" s="7"/>
      <c r="V19124" s="7"/>
      <c r="W19124" s="7"/>
      <c r="X19124" s="7"/>
      <c r="Y19124" s="7"/>
      <c r="Z19124" s="7"/>
      <c r="AA19124" s="7"/>
      <c r="AB19124" s="7"/>
      <c r="AC19124" s="7"/>
      <c r="AD19124" s="7"/>
      <c r="AE19124" s="7"/>
      <c r="AF19124" s="7"/>
      <c r="AG19124" s="10"/>
    </row>
    <row r="19125" spans="1:33">
      <c r="A19125" s="7"/>
      <c r="B19125" s="7"/>
      <c r="C19125" s="7"/>
      <c r="D19125" s="7"/>
      <c r="E19125" s="7"/>
      <c r="F19125" s="7"/>
      <c r="G19125" s="7"/>
      <c r="H19125" s="7"/>
      <c r="I19125" s="7"/>
      <c r="J19125" s="7"/>
      <c r="K19125" s="7"/>
      <c r="L19125" s="7"/>
      <c r="M19125" s="7"/>
      <c r="N19125" s="7"/>
      <c r="O19125" s="7"/>
      <c r="P19125" s="7"/>
      <c r="Q19125" s="7"/>
      <c r="R19125" s="7"/>
      <c r="S19125" s="7"/>
      <c r="T19125" s="7"/>
      <c r="U19125" s="7"/>
      <c r="V19125" s="7"/>
      <c r="W19125" s="7"/>
      <c r="X19125" s="7"/>
      <c r="Y19125" s="7"/>
      <c r="Z19125" s="7"/>
      <c r="AA19125" s="7"/>
      <c r="AB19125" s="7"/>
      <c r="AC19125" s="7"/>
      <c r="AD19125" s="7"/>
      <c r="AE19125" s="7"/>
      <c r="AF19125" s="7"/>
      <c r="AG19125" s="10"/>
    </row>
    <row r="19126" spans="1:33">
      <c r="A19126" s="7"/>
      <c r="B19126" s="7"/>
      <c r="C19126" s="7"/>
      <c r="D19126" s="7"/>
      <c r="E19126" s="7"/>
      <c r="F19126" s="7"/>
      <c r="G19126" s="7"/>
      <c r="H19126" s="7"/>
      <c r="I19126" s="7"/>
      <c r="J19126" s="7"/>
      <c r="K19126" s="7"/>
      <c r="L19126" s="7"/>
      <c r="M19126" s="7"/>
      <c r="N19126" s="7"/>
      <c r="O19126" s="7"/>
      <c r="P19126" s="7"/>
      <c r="Q19126" s="7"/>
      <c r="R19126" s="7"/>
      <c r="S19126" s="7"/>
      <c r="T19126" s="7"/>
      <c r="U19126" s="7"/>
      <c r="V19126" s="7"/>
      <c r="W19126" s="7"/>
      <c r="X19126" s="7"/>
      <c r="Y19126" s="7"/>
      <c r="Z19126" s="7"/>
      <c r="AA19126" s="7"/>
      <c r="AB19126" s="7"/>
      <c r="AC19126" s="7"/>
      <c r="AD19126" s="7"/>
      <c r="AE19126" s="7"/>
      <c r="AF19126" s="7"/>
      <c r="AG19126" s="10"/>
    </row>
    <row r="19127" spans="1:33">
      <c r="A19127" s="7"/>
      <c r="B19127" s="7"/>
      <c r="C19127" s="7"/>
      <c r="D19127" s="7"/>
      <c r="E19127" s="7"/>
      <c r="F19127" s="7"/>
      <c r="G19127" s="7"/>
      <c r="H19127" s="7"/>
      <c r="I19127" s="7"/>
      <c r="J19127" s="7"/>
      <c r="K19127" s="7"/>
      <c r="L19127" s="7"/>
      <c r="M19127" s="7"/>
      <c r="N19127" s="7"/>
      <c r="O19127" s="7"/>
      <c r="P19127" s="7"/>
      <c r="Q19127" s="7"/>
      <c r="R19127" s="7"/>
      <c r="S19127" s="7"/>
      <c r="T19127" s="7"/>
      <c r="U19127" s="7"/>
      <c r="V19127" s="7"/>
      <c r="W19127" s="7"/>
      <c r="X19127" s="7"/>
      <c r="Y19127" s="7"/>
      <c r="Z19127" s="7"/>
      <c r="AA19127" s="7"/>
      <c r="AB19127" s="7"/>
      <c r="AC19127" s="7"/>
      <c r="AD19127" s="7"/>
      <c r="AE19127" s="7"/>
      <c r="AF19127" s="7"/>
      <c r="AG19127" s="10"/>
    </row>
    <row r="19128" spans="1:33">
      <c r="A19128" s="7"/>
      <c r="B19128" s="7"/>
      <c r="C19128" s="7"/>
      <c r="D19128" s="7"/>
      <c r="E19128" s="7"/>
      <c r="F19128" s="7"/>
      <c r="G19128" s="7"/>
      <c r="H19128" s="7"/>
      <c r="I19128" s="7"/>
      <c r="J19128" s="7"/>
      <c r="K19128" s="7"/>
      <c r="L19128" s="7"/>
      <c r="M19128" s="7"/>
      <c r="N19128" s="7"/>
      <c r="O19128" s="7"/>
      <c r="P19128" s="7"/>
      <c r="Q19128" s="7"/>
      <c r="R19128" s="7"/>
      <c r="S19128" s="7"/>
      <c r="T19128" s="7"/>
      <c r="U19128" s="7"/>
      <c r="V19128" s="7"/>
      <c r="W19128" s="7"/>
      <c r="X19128" s="7"/>
      <c r="Y19128" s="7"/>
      <c r="Z19128" s="7"/>
      <c r="AA19128" s="7"/>
      <c r="AB19128" s="7"/>
      <c r="AC19128" s="7"/>
      <c r="AD19128" s="7"/>
      <c r="AE19128" s="7"/>
      <c r="AF19128" s="7"/>
      <c r="AG19128" s="10"/>
    </row>
    <row r="19129" spans="1:33">
      <c r="A19129" s="7"/>
      <c r="B19129" s="7"/>
      <c r="C19129" s="7"/>
      <c r="D19129" s="7"/>
      <c r="E19129" s="7"/>
      <c r="F19129" s="7"/>
      <c r="G19129" s="7"/>
      <c r="H19129" s="7"/>
      <c r="I19129" s="7"/>
      <c r="J19129" s="7"/>
      <c r="K19129" s="7"/>
      <c r="L19129" s="7"/>
      <c r="M19129" s="7"/>
      <c r="N19129" s="7"/>
      <c r="O19129" s="7"/>
      <c r="P19129" s="7"/>
      <c r="Q19129" s="7"/>
      <c r="R19129" s="7"/>
      <c r="S19129" s="7"/>
      <c r="T19129" s="7"/>
      <c r="U19129" s="7"/>
      <c r="V19129" s="7"/>
      <c r="W19129" s="7"/>
      <c r="X19129" s="7"/>
      <c r="Y19129" s="7"/>
      <c r="Z19129" s="7"/>
      <c r="AA19129" s="7"/>
      <c r="AB19129" s="7"/>
      <c r="AC19129" s="7"/>
      <c r="AD19129" s="7"/>
      <c r="AE19129" s="7"/>
      <c r="AF19129" s="7"/>
      <c r="AG19129" s="10"/>
    </row>
    <row r="19130" spans="1:33">
      <c r="A19130" s="7"/>
      <c r="B19130" s="7"/>
      <c r="C19130" s="7"/>
      <c r="D19130" s="7"/>
      <c r="E19130" s="7"/>
      <c r="F19130" s="7"/>
      <c r="G19130" s="7"/>
      <c r="H19130" s="7"/>
      <c r="I19130" s="7"/>
      <c r="J19130" s="7"/>
      <c r="K19130" s="7"/>
      <c r="L19130" s="7"/>
      <c r="M19130" s="7"/>
      <c r="N19130" s="7"/>
      <c r="O19130" s="7"/>
      <c r="P19130" s="7"/>
      <c r="Q19130" s="7"/>
      <c r="R19130" s="7"/>
      <c r="S19130" s="7"/>
      <c r="T19130" s="7"/>
      <c r="U19130" s="7"/>
      <c r="V19130" s="7"/>
      <c r="W19130" s="7"/>
      <c r="X19130" s="7"/>
      <c r="Y19130" s="7"/>
      <c r="Z19130" s="7"/>
      <c r="AA19130" s="7"/>
      <c r="AB19130" s="7"/>
      <c r="AC19130" s="7"/>
      <c r="AD19130" s="7"/>
      <c r="AE19130" s="7"/>
      <c r="AF19130" s="7"/>
      <c r="AG19130" s="10"/>
    </row>
    <row r="19131" spans="1:33">
      <c r="A19131" s="7"/>
      <c r="B19131" s="7"/>
      <c r="C19131" s="7"/>
      <c r="D19131" s="7"/>
      <c r="E19131" s="7"/>
      <c r="F19131" s="7"/>
      <c r="G19131" s="7"/>
      <c r="H19131" s="7"/>
      <c r="I19131" s="7"/>
      <c r="J19131" s="7"/>
      <c r="K19131" s="7"/>
      <c r="L19131" s="7"/>
      <c r="M19131" s="7"/>
      <c r="N19131" s="7"/>
      <c r="O19131" s="7"/>
      <c r="P19131" s="7"/>
      <c r="Q19131" s="7"/>
      <c r="R19131" s="7"/>
      <c r="S19131" s="7"/>
      <c r="T19131" s="7"/>
      <c r="U19131" s="7"/>
      <c r="V19131" s="7"/>
      <c r="W19131" s="7"/>
      <c r="X19131" s="7"/>
      <c r="Y19131" s="7"/>
      <c r="Z19131" s="7"/>
      <c r="AA19131" s="7"/>
      <c r="AB19131" s="7"/>
      <c r="AC19131" s="7"/>
      <c r="AD19131" s="7"/>
      <c r="AE19131" s="7"/>
      <c r="AF19131" s="7"/>
      <c r="AG19131" s="10"/>
    </row>
    <row r="19132" spans="1:33">
      <c r="A19132" s="7"/>
      <c r="B19132" s="7"/>
      <c r="C19132" s="7"/>
      <c r="D19132" s="7"/>
      <c r="E19132" s="7"/>
      <c r="F19132" s="7"/>
      <c r="G19132" s="7"/>
      <c r="H19132" s="7"/>
      <c r="I19132" s="7"/>
      <c r="J19132" s="7"/>
      <c r="K19132" s="7"/>
      <c r="L19132" s="7"/>
      <c r="M19132" s="7"/>
      <c r="N19132" s="7"/>
      <c r="O19132" s="7"/>
      <c r="P19132" s="7"/>
      <c r="Q19132" s="7"/>
      <c r="R19132" s="7"/>
      <c r="S19132" s="7"/>
      <c r="T19132" s="7"/>
      <c r="U19132" s="7"/>
      <c r="V19132" s="7"/>
      <c r="W19132" s="7"/>
      <c r="X19132" s="7"/>
      <c r="Y19132" s="7"/>
      <c r="Z19132" s="7"/>
      <c r="AA19132" s="7"/>
      <c r="AB19132" s="7"/>
      <c r="AC19132" s="7"/>
      <c r="AD19132" s="7"/>
      <c r="AE19132" s="7"/>
      <c r="AF19132" s="7"/>
      <c r="AG19132" s="10"/>
    </row>
    <row r="19133" spans="1:33">
      <c r="A19133" s="7"/>
      <c r="B19133" s="7"/>
      <c r="C19133" s="7"/>
      <c r="D19133" s="7"/>
      <c r="E19133" s="7"/>
      <c r="F19133" s="7"/>
      <c r="G19133" s="7"/>
      <c r="H19133" s="7"/>
      <c r="I19133" s="7"/>
      <c r="J19133" s="7"/>
      <c r="K19133" s="7"/>
      <c r="L19133" s="7"/>
      <c r="M19133" s="7"/>
      <c r="N19133" s="7"/>
      <c r="O19133" s="7"/>
      <c r="P19133" s="7"/>
      <c r="Q19133" s="7"/>
      <c r="R19133" s="7"/>
      <c r="S19133" s="7"/>
      <c r="T19133" s="7"/>
      <c r="U19133" s="7"/>
      <c r="V19133" s="7"/>
      <c r="W19133" s="7"/>
      <c r="X19133" s="7"/>
      <c r="Y19133" s="7"/>
      <c r="Z19133" s="7"/>
      <c r="AA19133" s="7"/>
      <c r="AB19133" s="7"/>
      <c r="AC19133" s="7"/>
      <c r="AD19133" s="7"/>
      <c r="AE19133" s="7"/>
      <c r="AF19133" s="7"/>
      <c r="AG19133" s="10"/>
    </row>
    <row r="19134" spans="1:33">
      <c r="A19134" s="7"/>
      <c r="B19134" s="7"/>
      <c r="C19134" s="7"/>
      <c r="D19134" s="7"/>
      <c r="E19134" s="7"/>
      <c r="F19134" s="7"/>
      <c r="G19134" s="7"/>
      <c r="H19134" s="7"/>
      <c r="I19134" s="7"/>
      <c r="J19134" s="7"/>
      <c r="K19134" s="7"/>
      <c r="L19134" s="7"/>
      <c r="M19134" s="7"/>
      <c r="N19134" s="7"/>
      <c r="O19134" s="7"/>
      <c r="P19134" s="7"/>
      <c r="Q19134" s="7"/>
      <c r="R19134" s="7"/>
      <c r="S19134" s="7"/>
      <c r="T19134" s="7"/>
      <c r="U19134" s="7"/>
      <c r="V19134" s="7"/>
      <c r="W19134" s="7"/>
      <c r="X19134" s="7"/>
      <c r="Y19134" s="7"/>
      <c r="Z19134" s="7"/>
      <c r="AA19134" s="7"/>
      <c r="AB19134" s="7"/>
      <c r="AC19134" s="7"/>
      <c r="AD19134" s="7"/>
      <c r="AE19134" s="7"/>
      <c r="AF19134" s="7"/>
      <c r="AG19134" s="10"/>
    </row>
    <row r="19135" spans="1:33">
      <c r="A19135" s="7"/>
      <c r="B19135" s="7"/>
      <c r="C19135" s="7"/>
      <c r="D19135" s="7"/>
      <c r="E19135" s="7"/>
      <c r="F19135" s="7"/>
      <c r="G19135" s="7"/>
      <c r="H19135" s="7"/>
      <c r="I19135" s="7"/>
      <c r="J19135" s="7"/>
      <c r="K19135" s="7"/>
      <c r="L19135" s="7"/>
      <c r="M19135" s="7"/>
      <c r="N19135" s="7"/>
      <c r="O19135" s="7"/>
      <c r="P19135" s="7"/>
      <c r="Q19135" s="7"/>
      <c r="R19135" s="7"/>
      <c r="S19135" s="7"/>
      <c r="T19135" s="7"/>
      <c r="U19135" s="7"/>
      <c r="V19135" s="7"/>
      <c r="W19135" s="7"/>
      <c r="X19135" s="7"/>
      <c r="Y19135" s="7"/>
      <c r="Z19135" s="7"/>
      <c r="AA19135" s="7"/>
      <c r="AB19135" s="7"/>
      <c r="AC19135" s="7"/>
      <c r="AD19135" s="7"/>
      <c r="AE19135" s="7"/>
      <c r="AF19135" s="7"/>
      <c r="AG19135" s="10"/>
    </row>
    <row r="19136" spans="1:33">
      <c r="A19136" s="7"/>
      <c r="B19136" s="7"/>
      <c r="C19136" s="7"/>
      <c r="D19136" s="7"/>
      <c r="E19136" s="7"/>
      <c r="F19136" s="7"/>
      <c r="G19136" s="7"/>
      <c r="H19136" s="7"/>
      <c r="I19136" s="7"/>
      <c r="J19136" s="7"/>
      <c r="K19136" s="7"/>
      <c r="L19136" s="7"/>
      <c r="M19136" s="7"/>
      <c r="N19136" s="7"/>
      <c r="O19136" s="7"/>
      <c r="P19136" s="7"/>
      <c r="Q19136" s="7"/>
      <c r="R19136" s="7"/>
      <c r="S19136" s="7"/>
      <c r="T19136" s="7"/>
      <c r="U19136" s="7"/>
      <c r="V19136" s="7"/>
      <c r="W19136" s="7"/>
      <c r="X19136" s="7"/>
      <c r="Y19136" s="7"/>
      <c r="Z19136" s="7"/>
      <c r="AA19136" s="7"/>
      <c r="AB19136" s="7"/>
      <c r="AC19136" s="7"/>
      <c r="AD19136" s="7"/>
      <c r="AE19136" s="7"/>
      <c r="AF19136" s="7"/>
      <c r="AG19136" s="10"/>
    </row>
    <row r="19137" spans="1:33">
      <c r="A19137" s="7"/>
      <c r="B19137" s="7"/>
      <c r="C19137" s="7"/>
      <c r="D19137" s="7"/>
      <c r="E19137" s="7"/>
      <c r="F19137" s="7"/>
      <c r="G19137" s="7"/>
      <c r="H19137" s="7"/>
      <c r="I19137" s="7"/>
      <c r="J19137" s="7"/>
      <c r="K19137" s="7"/>
      <c r="L19137" s="7"/>
      <c r="M19137" s="7"/>
      <c r="N19137" s="7"/>
      <c r="O19137" s="7"/>
      <c r="P19137" s="7"/>
      <c r="Q19137" s="7"/>
      <c r="R19137" s="7"/>
      <c r="S19137" s="7"/>
      <c r="T19137" s="7"/>
      <c r="U19137" s="7"/>
      <c r="V19137" s="7"/>
      <c r="W19137" s="7"/>
      <c r="X19137" s="7"/>
      <c r="Y19137" s="7"/>
      <c r="Z19137" s="7"/>
      <c r="AA19137" s="7"/>
      <c r="AB19137" s="7"/>
      <c r="AC19137" s="7"/>
      <c r="AD19137" s="7"/>
      <c r="AE19137" s="7"/>
      <c r="AF19137" s="7"/>
      <c r="AG19137" s="10"/>
    </row>
    <row r="19138" spans="1:33">
      <c r="A19138" s="7"/>
      <c r="B19138" s="7"/>
      <c r="C19138" s="7"/>
      <c r="D19138" s="7"/>
      <c r="E19138" s="7"/>
      <c r="F19138" s="7"/>
      <c r="G19138" s="7"/>
      <c r="H19138" s="7"/>
      <c r="I19138" s="7"/>
      <c r="J19138" s="7"/>
      <c r="K19138" s="7"/>
      <c r="L19138" s="7"/>
      <c r="M19138" s="7"/>
      <c r="N19138" s="7"/>
      <c r="O19138" s="7"/>
      <c r="P19138" s="7"/>
      <c r="Q19138" s="7"/>
      <c r="R19138" s="7"/>
      <c r="S19138" s="7"/>
      <c r="T19138" s="7"/>
      <c r="U19138" s="7"/>
      <c r="V19138" s="7"/>
      <c r="W19138" s="7"/>
      <c r="X19138" s="7"/>
      <c r="Y19138" s="7"/>
      <c r="Z19138" s="7"/>
      <c r="AA19138" s="7"/>
      <c r="AB19138" s="7"/>
      <c r="AC19138" s="7"/>
      <c r="AD19138" s="7"/>
      <c r="AE19138" s="7"/>
      <c r="AF19138" s="7"/>
      <c r="AG19138" s="10"/>
    </row>
    <row r="19139" spans="1:33">
      <c r="A19139" s="7"/>
      <c r="B19139" s="7"/>
      <c r="C19139" s="7"/>
      <c r="D19139" s="7"/>
      <c r="E19139" s="7"/>
      <c r="F19139" s="7"/>
      <c r="G19139" s="7"/>
      <c r="H19139" s="7"/>
      <c r="I19139" s="7"/>
      <c r="J19139" s="7"/>
      <c r="K19139" s="7"/>
      <c r="L19139" s="7"/>
      <c r="M19139" s="7"/>
      <c r="N19139" s="7"/>
      <c r="O19139" s="7"/>
      <c r="P19139" s="7"/>
      <c r="Q19139" s="7"/>
      <c r="R19139" s="7"/>
      <c r="S19139" s="7"/>
      <c r="T19139" s="7"/>
      <c r="U19139" s="7"/>
      <c r="V19139" s="7"/>
      <c r="W19139" s="7"/>
      <c r="X19139" s="7"/>
      <c r="Y19139" s="7"/>
      <c r="Z19139" s="7"/>
      <c r="AA19139" s="7"/>
      <c r="AB19139" s="7"/>
      <c r="AC19139" s="7"/>
      <c r="AD19139" s="7"/>
      <c r="AE19139" s="7"/>
      <c r="AF19139" s="7"/>
      <c r="AG19139" s="10"/>
    </row>
    <row r="19140" spans="1:33">
      <c r="A19140" s="7"/>
      <c r="B19140" s="7"/>
      <c r="C19140" s="7"/>
      <c r="D19140" s="7"/>
      <c r="E19140" s="7"/>
      <c r="F19140" s="7"/>
      <c r="G19140" s="7"/>
      <c r="H19140" s="7"/>
      <c r="I19140" s="7"/>
      <c r="J19140" s="7"/>
      <c r="K19140" s="7"/>
      <c r="L19140" s="7"/>
      <c r="M19140" s="7"/>
      <c r="N19140" s="7"/>
      <c r="O19140" s="7"/>
      <c r="P19140" s="7"/>
      <c r="Q19140" s="7"/>
      <c r="R19140" s="7"/>
      <c r="S19140" s="7"/>
      <c r="T19140" s="7"/>
      <c r="U19140" s="7"/>
      <c r="V19140" s="7"/>
      <c r="W19140" s="7"/>
      <c r="X19140" s="7"/>
      <c r="Y19140" s="7"/>
      <c r="Z19140" s="7"/>
      <c r="AA19140" s="7"/>
      <c r="AB19140" s="7"/>
      <c r="AC19140" s="7"/>
      <c r="AD19140" s="7"/>
      <c r="AE19140" s="7"/>
      <c r="AF19140" s="7"/>
      <c r="AG19140" s="10"/>
    </row>
    <row r="19141" spans="1:33">
      <c r="A19141" s="7"/>
      <c r="B19141" s="7"/>
      <c r="C19141" s="7"/>
      <c r="D19141" s="7"/>
      <c r="E19141" s="7"/>
      <c r="F19141" s="7"/>
      <c r="G19141" s="7"/>
      <c r="H19141" s="7"/>
      <c r="I19141" s="7"/>
      <c r="J19141" s="7"/>
      <c r="K19141" s="7"/>
      <c r="L19141" s="7"/>
      <c r="M19141" s="7"/>
      <c r="N19141" s="7"/>
      <c r="O19141" s="7"/>
      <c r="P19141" s="7"/>
      <c r="Q19141" s="7"/>
      <c r="R19141" s="7"/>
      <c r="S19141" s="7"/>
      <c r="T19141" s="7"/>
      <c r="U19141" s="7"/>
      <c r="V19141" s="7"/>
      <c r="W19141" s="7"/>
      <c r="X19141" s="7"/>
      <c r="Y19141" s="7"/>
      <c r="Z19141" s="7"/>
      <c r="AA19141" s="7"/>
      <c r="AB19141" s="7"/>
      <c r="AC19141" s="7"/>
      <c r="AD19141" s="7"/>
      <c r="AE19141" s="7"/>
      <c r="AF19141" s="7"/>
      <c r="AG19141" s="10"/>
    </row>
    <row r="19142" spans="1:33">
      <c r="A19142" s="7"/>
      <c r="B19142" s="7"/>
      <c r="C19142" s="7"/>
      <c r="D19142" s="7"/>
      <c r="E19142" s="7"/>
      <c r="F19142" s="7"/>
      <c r="G19142" s="7"/>
      <c r="H19142" s="7"/>
      <c r="I19142" s="7"/>
      <c r="J19142" s="7"/>
      <c r="K19142" s="7"/>
      <c r="L19142" s="7"/>
      <c r="M19142" s="7"/>
      <c r="N19142" s="7"/>
      <c r="O19142" s="7"/>
      <c r="P19142" s="7"/>
      <c r="Q19142" s="7"/>
      <c r="R19142" s="7"/>
      <c r="S19142" s="7"/>
      <c r="T19142" s="7"/>
      <c r="U19142" s="7"/>
      <c r="V19142" s="7"/>
      <c r="W19142" s="7"/>
      <c r="X19142" s="7"/>
      <c r="Y19142" s="7"/>
      <c r="Z19142" s="7"/>
      <c r="AA19142" s="7"/>
      <c r="AB19142" s="7"/>
      <c r="AC19142" s="7"/>
      <c r="AD19142" s="7"/>
      <c r="AE19142" s="7"/>
      <c r="AF19142" s="7"/>
      <c r="AG19142" s="10"/>
    </row>
    <row r="19143" spans="1:33">
      <c r="A19143" s="7"/>
      <c r="B19143" s="7"/>
      <c r="C19143" s="7"/>
      <c r="D19143" s="7"/>
      <c r="E19143" s="7"/>
      <c r="F19143" s="7"/>
      <c r="G19143" s="7"/>
      <c r="H19143" s="7"/>
      <c r="I19143" s="7"/>
      <c r="J19143" s="7"/>
      <c r="K19143" s="7"/>
      <c r="L19143" s="7"/>
      <c r="M19143" s="7"/>
      <c r="N19143" s="7"/>
      <c r="O19143" s="7"/>
      <c r="P19143" s="7"/>
      <c r="Q19143" s="7"/>
      <c r="R19143" s="7"/>
      <c r="S19143" s="7"/>
      <c r="T19143" s="7"/>
      <c r="U19143" s="7"/>
      <c r="V19143" s="7"/>
      <c r="W19143" s="7"/>
      <c r="X19143" s="7"/>
      <c r="Y19143" s="7"/>
      <c r="Z19143" s="7"/>
      <c r="AA19143" s="7"/>
      <c r="AB19143" s="7"/>
      <c r="AC19143" s="7"/>
      <c r="AD19143" s="7"/>
      <c r="AE19143" s="7"/>
      <c r="AF19143" s="7"/>
      <c r="AG19143" s="10"/>
    </row>
    <row r="19144" spans="1:33">
      <c r="A19144" s="7"/>
      <c r="B19144" s="7"/>
      <c r="C19144" s="7"/>
      <c r="D19144" s="7"/>
      <c r="E19144" s="7"/>
      <c r="F19144" s="7"/>
      <c r="G19144" s="7"/>
      <c r="H19144" s="7"/>
      <c r="I19144" s="7"/>
      <c r="J19144" s="7"/>
      <c r="K19144" s="7"/>
      <c r="L19144" s="7"/>
      <c r="M19144" s="7"/>
      <c r="N19144" s="7"/>
      <c r="O19144" s="7"/>
      <c r="P19144" s="7"/>
      <c r="Q19144" s="7"/>
      <c r="R19144" s="7"/>
      <c r="S19144" s="7"/>
      <c r="T19144" s="7"/>
      <c r="U19144" s="7"/>
      <c r="V19144" s="7"/>
      <c r="W19144" s="7"/>
      <c r="X19144" s="7"/>
      <c r="Y19144" s="7"/>
      <c r="Z19144" s="7"/>
      <c r="AA19144" s="7"/>
      <c r="AB19144" s="7"/>
      <c r="AC19144" s="7"/>
      <c r="AD19144" s="7"/>
      <c r="AE19144" s="7"/>
      <c r="AF19144" s="7"/>
      <c r="AG19144" s="10"/>
    </row>
    <row r="19145" spans="1:33">
      <c r="A19145" s="7"/>
      <c r="B19145" s="7"/>
      <c r="C19145" s="7"/>
      <c r="D19145" s="7"/>
      <c r="E19145" s="7"/>
      <c r="F19145" s="7"/>
      <c r="G19145" s="7"/>
      <c r="H19145" s="7"/>
      <c r="I19145" s="7"/>
      <c r="J19145" s="7"/>
      <c r="K19145" s="7"/>
      <c r="L19145" s="7"/>
      <c r="M19145" s="7"/>
      <c r="N19145" s="7"/>
      <c r="O19145" s="7"/>
      <c r="P19145" s="7"/>
      <c r="Q19145" s="7"/>
      <c r="R19145" s="7"/>
      <c r="S19145" s="7"/>
      <c r="T19145" s="7"/>
      <c r="U19145" s="7"/>
      <c r="V19145" s="7"/>
      <c r="W19145" s="7"/>
      <c r="X19145" s="7"/>
      <c r="Y19145" s="7"/>
      <c r="Z19145" s="7"/>
      <c r="AA19145" s="7"/>
      <c r="AB19145" s="7"/>
      <c r="AC19145" s="7"/>
      <c r="AD19145" s="7"/>
      <c r="AE19145" s="7"/>
      <c r="AF19145" s="7"/>
      <c r="AG19145" s="10"/>
    </row>
    <row r="19146" spans="1:33">
      <c r="A19146" s="7"/>
      <c r="B19146" s="7"/>
      <c r="C19146" s="7"/>
      <c r="D19146" s="7"/>
      <c r="E19146" s="7"/>
      <c r="F19146" s="7"/>
      <c r="G19146" s="7"/>
      <c r="H19146" s="7"/>
      <c r="I19146" s="7"/>
      <c r="J19146" s="7"/>
      <c r="K19146" s="7"/>
      <c r="L19146" s="7"/>
      <c r="M19146" s="7"/>
      <c r="N19146" s="7"/>
      <c r="O19146" s="7"/>
      <c r="P19146" s="7"/>
      <c r="Q19146" s="7"/>
      <c r="R19146" s="7"/>
      <c r="S19146" s="7"/>
      <c r="T19146" s="7"/>
      <c r="U19146" s="7"/>
      <c r="V19146" s="7"/>
      <c r="W19146" s="7"/>
      <c r="X19146" s="7"/>
      <c r="Y19146" s="7"/>
      <c r="Z19146" s="7"/>
      <c r="AA19146" s="7"/>
      <c r="AB19146" s="7"/>
      <c r="AC19146" s="7"/>
      <c r="AD19146" s="7"/>
      <c r="AE19146" s="7"/>
      <c r="AF19146" s="7"/>
      <c r="AG19146" s="10"/>
    </row>
    <row r="19147" spans="1:33">
      <c r="A19147" s="7"/>
      <c r="B19147" s="7"/>
      <c r="C19147" s="7"/>
      <c r="D19147" s="7"/>
      <c r="E19147" s="7"/>
      <c r="F19147" s="7"/>
      <c r="G19147" s="7"/>
      <c r="H19147" s="7"/>
      <c r="I19147" s="7"/>
      <c r="J19147" s="7"/>
      <c r="K19147" s="7"/>
      <c r="L19147" s="7"/>
      <c r="M19147" s="7"/>
      <c r="N19147" s="7"/>
      <c r="O19147" s="7"/>
      <c r="P19147" s="7"/>
      <c r="Q19147" s="7"/>
      <c r="R19147" s="7"/>
      <c r="S19147" s="7"/>
      <c r="T19147" s="7"/>
      <c r="U19147" s="7"/>
      <c r="V19147" s="7"/>
      <c r="W19147" s="7"/>
      <c r="X19147" s="7"/>
      <c r="Y19147" s="7"/>
      <c r="Z19147" s="7"/>
      <c r="AA19147" s="7"/>
      <c r="AB19147" s="7"/>
      <c r="AC19147" s="7"/>
      <c r="AD19147" s="7"/>
      <c r="AE19147" s="7"/>
      <c r="AF19147" s="7"/>
      <c r="AG19147" s="10"/>
    </row>
    <row r="19148" spans="1:33">
      <c r="A19148" s="7"/>
      <c r="B19148" s="7"/>
      <c r="C19148" s="7"/>
      <c r="D19148" s="7"/>
      <c r="E19148" s="7"/>
      <c r="F19148" s="7"/>
      <c r="G19148" s="7"/>
      <c r="H19148" s="7"/>
      <c r="I19148" s="7"/>
      <c r="J19148" s="7"/>
      <c r="K19148" s="7"/>
      <c r="L19148" s="7"/>
      <c r="M19148" s="7"/>
      <c r="N19148" s="7"/>
      <c r="O19148" s="7"/>
      <c r="P19148" s="7"/>
      <c r="Q19148" s="7"/>
      <c r="R19148" s="7"/>
      <c r="S19148" s="7"/>
      <c r="T19148" s="7"/>
      <c r="U19148" s="7"/>
      <c r="V19148" s="7"/>
      <c r="W19148" s="7"/>
      <c r="X19148" s="7"/>
      <c r="Y19148" s="7"/>
      <c r="Z19148" s="7"/>
      <c r="AA19148" s="7"/>
      <c r="AB19148" s="7"/>
      <c r="AC19148" s="7"/>
      <c r="AD19148" s="7"/>
      <c r="AE19148" s="7"/>
      <c r="AF19148" s="7"/>
      <c r="AG19148" s="10"/>
    </row>
    <row r="19149" spans="1:33">
      <c r="A19149" s="7"/>
      <c r="B19149" s="7"/>
      <c r="C19149" s="7"/>
      <c r="D19149" s="7"/>
      <c r="E19149" s="7"/>
      <c r="F19149" s="7"/>
      <c r="G19149" s="7"/>
      <c r="H19149" s="7"/>
      <c r="I19149" s="7"/>
      <c r="J19149" s="7"/>
      <c r="K19149" s="7"/>
      <c r="L19149" s="7"/>
      <c r="M19149" s="7"/>
      <c r="N19149" s="7"/>
      <c r="O19149" s="7"/>
      <c r="P19149" s="7"/>
      <c r="Q19149" s="7"/>
      <c r="R19149" s="7"/>
      <c r="S19149" s="7"/>
      <c r="T19149" s="7"/>
      <c r="U19149" s="7"/>
      <c r="V19149" s="7"/>
      <c r="W19149" s="7"/>
      <c r="X19149" s="7"/>
      <c r="Y19149" s="7"/>
      <c r="Z19149" s="7"/>
      <c r="AA19149" s="7"/>
      <c r="AB19149" s="7"/>
      <c r="AC19149" s="7"/>
      <c r="AD19149" s="7"/>
      <c r="AE19149" s="7"/>
      <c r="AF19149" s="7"/>
      <c r="AG19149" s="10"/>
    </row>
    <row r="19150" spans="1:33">
      <c r="A19150" s="7"/>
      <c r="B19150" s="7"/>
      <c r="C19150" s="7"/>
      <c r="D19150" s="7"/>
      <c r="E19150" s="7"/>
      <c r="F19150" s="7"/>
      <c r="G19150" s="7"/>
      <c r="H19150" s="7"/>
      <c r="I19150" s="7"/>
      <c r="J19150" s="7"/>
      <c r="K19150" s="7"/>
      <c r="L19150" s="7"/>
      <c r="M19150" s="7"/>
      <c r="N19150" s="7"/>
      <c r="O19150" s="7"/>
      <c r="P19150" s="7"/>
      <c r="Q19150" s="7"/>
      <c r="R19150" s="7"/>
      <c r="S19150" s="7"/>
      <c r="T19150" s="7"/>
      <c r="U19150" s="7"/>
      <c r="V19150" s="7"/>
      <c r="W19150" s="7"/>
      <c r="X19150" s="7"/>
      <c r="Y19150" s="7"/>
      <c r="Z19150" s="7"/>
      <c r="AA19150" s="7"/>
      <c r="AB19150" s="7"/>
      <c r="AC19150" s="7"/>
      <c r="AD19150" s="7"/>
      <c r="AE19150" s="7"/>
      <c r="AF19150" s="7"/>
      <c r="AG19150" s="10"/>
    </row>
    <row r="19151" spans="1:33">
      <c r="A19151" s="7"/>
      <c r="B19151" s="7"/>
      <c r="C19151" s="7"/>
      <c r="D19151" s="7"/>
      <c r="E19151" s="7"/>
      <c r="F19151" s="7"/>
      <c r="G19151" s="7"/>
      <c r="H19151" s="7"/>
      <c r="I19151" s="7"/>
      <c r="J19151" s="7"/>
      <c r="K19151" s="7"/>
      <c r="L19151" s="7"/>
      <c r="M19151" s="7"/>
      <c r="N19151" s="7"/>
      <c r="O19151" s="7"/>
      <c r="P19151" s="7"/>
      <c r="Q19151" s="7"/>
      <c r="R19151" s="7"/>
      <c r="S19151" s="7"/>
      <c r="T19151" s="7"/>
      <c r="U19151" s="7"/>
      <c r="V19151" s="7"/>
      <c r="W19151" s="7"/>
      <c r="X19151" s="7"/>
      <c r="Y19151" s="7"/>
      <c r="Z19151" s="7"/>
      <c r="AA19151" s="7"/>
      <c r="AB19151" s="7"/>
      <c r="AC19151" s="7"/>
      <c r="AD19151" s="7"/>
      <c r="AE19151" s="7"/>
      <c r="AF19151" s="7"/>
      <c r="AG19151" s="10"/>
    </row>
    <row r="19152" spans="1:33">
      <c r="A19152" s="7"/>
      <c r="B19152" s="7"/>
      <c r="C19152" s="7"/>
      <c r="D19152" s="7"/>
      <c r="E19152" s="7"/>
      <c r="F19152" s="7"/>
      <c r="G19152" s="7"/>
      <c r="H19152" s="7"/>
      <c r="I19152" s="7"/>
      <c r="J19152" s="7"/>
      <c r="K19152" s="7"/>
      <c r="L19152" s="7"/>
      <c r="M19152" s="7"/>
      <c r="N19152" s="7"/>
      <c r="O19152" s="7"/>
      <c r="P19152" s="7"/>
      <c r="Q19152" s="7"/>
      <c r="R19152" s="7"/>
      <c r="S19152" s="7"/>
      <c r="T19152" s="7"/>
      <c r="U19152" s="7"/>
      <c r="V19152" s="7"/>
      <c r="W19152" s="7"/>
      <c r="X19152" s="7"/>
      <c r="Y19152" s="7"/>
      <c r="Z19152" s="7"/>
      <c r="AA19152" s="7"/>
      <c r="AB19152" s="7"/>
      <c r="AC19152" s="7"/>
      <c r="AD19152" s="7"/>
      <c r="AE19152" s="7"/>
      <c r="AF19152" s="7"/>
      <c r="AG19152" s="10"/>
    </row>
    <row r="19153" spans="1:33">
      <c r="A19153" s="7"/>
      <c r="B19153" s="7"/>
      <c r="C19153" s="7"/>
      <c r="D19153" s="7"/>
      <c r="E19153" s="7"/>
      <c r="F19153" s="7"/>
      <c r="G19153" s="7"/>
      <c r="H19153" s="7"/>
      <c r="I19153" s="7"/>
      <c r="J19153" s="7"/>
      <c r="K19153" s="7"/>
      <c r="L19153" s="7"/>
      <c r="M19153" s="7"/>
      <c r="N19153" s="7"/>
      <c r="O19153" s="7"/>
      <c r="P19153" s="7"/>
      <c r="Q19153" s="7"/>
      <c r="R19153" s="7"/>
      <c r="S19153" s="7"/>
      <c r="T19153" s="7"/>
      <c r="U19153" s="7"/>
      <c r="V19153" s="7"/>
      <c r="W19153" s="7"/>
      <c r="X19153" s="7"/>
      <c r="Y19153" s="7"/>
      <c r="Z19153" s="7"/>
      <c r="AA19153" s="7"/>
      <c r="AB19153" s="7"/>
      <c r="AC19153" s="7"/>
      <c r="AD19153" s="7"/>
      <c r="AE19153" s="7"/>
      <c r="AF19153" s="7"/>
      <c r="AG19153" s="10"/>
    </row>
    <row r="19154" spans="1:33">
      <c r="A19154" s="7"/>
      <c r="B19154" s="7"/>
      <c r="C19154" s="7"/>
      <c r="D19154" s="7"/>
      <c r="E19154" s="7"/>
      <c r="F19154" s="7"/>
      <c r="G19154" s="7"/>
      <c r="H19154" s="7"/>
      <c r="I19154" s="7"/>
      <c r="J19154" s="7"/>
      <c r="K19154" s="7"/>
      <c r="L19154" s="7"/>
      <c r="M19154" s="7"/>
      <c r="N19154" s="7"/>
      <c r="O19154" s="7"/>
      <c r="P19154" s="7"/>
      <c r="Q19154" s="7"/>
      <c r="R19154" s="7"/>
      <c r="S19154" s="7"/>
      <c r="T19154" s="7"/>
      <c r="U19154" s="7"/>
      <c r="V19154" s="7"/>
      <c r="W19154" s="7"/>
      <c r="X19154" s="7"/>
      <c r="Y19154" s="7"/>
      <c r="Z19154" s="7"/>
      <c r="AA19154" s="7"/>
      <c r="AB19154" s="7"/>
      <c r="AC19154" s="7"/>
      <c r="AD19154" s="7"/>
      <c r="AE19154" s="7"/>
      <c r="AF19154" s="7"/>
      <c r="AG19154" s="10"/>
    </row>
    <row r="19155" spans="1:33">
      <c r="A19155" s="7"/>
      <c r="B19155" s="7"/>
      <c r="C19155" s="7"/>
      <c r="D19155" s="7"/>
      <c r="E19155" s="7"/>
      <c r="F19155" s="7"/>
      <c r="G19155" s="7"/>
      <c r="H19155" s="7"/>
      <c r="I19155" s="7"/>
      <c r="J19155" s="7"/>
      <c r="K19155" s="7"/>
      <c r="L19155" s="7"/>
      <c r="M19155" s="7"/>
      <c r="N19155" s="7"/>
      <c r="O19155" s="7"/>
      <c r="P19155" s="7"/>
      <c r="Q19155" s="7"/>
      <c r="R19155" s="7"/>
      <c r="S19155" s="7"/>
      <c r="T19155" s="7"/>
      <c r="U19155" s="7"/>
      <c r="V19155" s="7"/>
      <c r="W19155" s="7"/>
      <c r="X19155" s="7"/>
      <c r="Y19155" s="7"/>
      <c r="Z19155" s="7"/>
      <c r="AA19155" s="7"/>
      <c r="AB19155" s="7"/>
      <c r="AC19155" s="7"/>
      <c r="AD19155" s="7"/>
      <c r="AE19155" s="7"/>
      <c r="AF19155" s="7"/>
      <c r="AG19155" s="10"/>
    </row>
    <row r="19156" spans="1:33">
      <c r="A19156" s="7"/>
      <c r="B19156" s="7"/>
      <c r="C19156" s="7"/>
      <c r="D19156" s="7"/>
      <c r="E19156" s="7"/>
      <c r="F19156" s="7"/>
      <c r="G19156" s="7"/>
      <c r="H19156" s="7"/>
      <c r="I19156" s="7"/>
      <c r="J19156" s="7"/>
      <c r="K19156" s="7"/>
      <c r="L19156" s="7"/>
      <c r="M19156" s="7"/>
      <c r="N19156" s="7"/>
      <c r="O19156" s="7"/>
      <c r="P19156" s="7"/>
      <c r="Q19156" s="7"/>
      <c r="R19156" s="7"/>
      <c r="S19156" s="7"/>
      <c r="T19156" s="7"/>
      <c r="U19156" s="7"/>
      <c r="V19156" s="7"/>
      <c r="W19156" s="7"/>
      <c r="X19156" s="7"/>
      <c r="Y19156" s="7"/>
      <c r="Z19156" s="7"/>
      <c r="AA19156" s="7"/>
      <c r="AB19156" s="7"/>
      <c r="AC19156" s="7"/>
      <c r="AD19156" s="7"/>
      <c r="AE19156" s="7"/>
      <c r="AF19156" s="7"/>
      <c r="AG19156" s="10"/>
    </row>
    <row r="19157" spans="1:33">
      <c r="A19157" s="7"/>
      <c r="B19157" s="7"/>
      <c r="C19157" s="7"/>
      <c r="D19157" s="7"/>
      <c r="E19157" s="7"/>
      <c r="F19157" s="7"/>
      <c r="G19157" s="7"/>
      <c r="H19157" s="7"/>
      <c r="I19157" s="7"/>
      <c r="J19157" s="7"/>
      <c r="K19157" s="7"/>
      <c r="L19157" s="7"/>
      <c r="M19157" s="7"/>
      <c r="N19157" s="7"/>
      <c r="O19157" s="7"/>
      <c r="P19157" s="7"/>
      <c r="Q19157" s="7"/>
      <c r="R19157" s="7"/>
      <c r="S19157" s="7"/>
      <c r="T19157" s="7"/>
      <c r="U19157" s="7"/>
      <c r="V19157" s="7"/>
      <c r="W19157" s="7"/>
      <c r="X19157" s="7"/>
      <c r="Y19157" s="7"/>
      <c r="Z19157" s="7"/>
      <c r="AA19157" s="7"/>
      <c r="AB19157" s="7"/>
      <c r="AC19157" s="7"/>
      <c r="AD19157" s="7"/>
      <c r="AE19157" s="7"/>
      <c r="AF19157" s="7"/>
      <c r="AG19157" s="10"/>
    </row>
    <row r="19158" spans="1:33">
      <c r="A19158" s="7"/>
      <c r="B19158" s="7"/>
      <c r="C19158" s="7"/>
      <c r="D19158" s="7"/>
      <c r="E19158" s="7"/>
      <c r="F19158" s="7"/>
      <c r="G19158" s="7"/>
      <c r="H19158" s="7"/>
      <c r="I19158" s="7"/>
      <c r="J19158" s="7"/>
      <c r="K19158" s="7"/>
      <c r="L19158" s="7"/>
      <c r="M19158" s="7"/>
      <c r="N19158" s="7"/>
      <c r="O19158" s="7"/>
      <c r="P19158" s="7"/>
      <c r="Q19158" s="7"/>
      <c r="R19158" s="7"/>
      <c r="S19158" s="7"/>
      <c r="T19158" s="7"/>
      <c r="U19158" s="7"/>
      <c r="V19158" s="7"/>
      <c r="W19158" s="7"/>
      <c r="X19158" s="7"/>
      <c r="Y19158" s="7"/>
      <c r="Z19158" s="7"/>
      <c r="AA19158" s="7"/>
      <c r="AB19158" s="7"/>
      <c r="AC19158" s="7"/>
      <c r="AD19158" s="7"/>
      <c r="AE19158" s="7"/>
      <c r="AF19158" s="7"/>
      <c r="AG19158" s="10"/>
    </row>
    <row r="19159" spans="1:33">
      <c r="A19159" s="7"/>
      <c r="B19159" s="7"/>
      <c r="C19159" s="7"/>
      <c r="D19159" s="7"/>
      <c r="E19159" s="7"/>
      <c r="F19159" s="7"/>
      <c r="G19159" s="7"/>
      <c r="H19159" s="7"/>
      <c r="I19159" s="7"/>
      <c r="J19159" s="7"/>
      <c r="K19159" s="7"/>
      <c r="L19159" s="7"/>
      <c r="M19159" s="7"/>
      <c r="N19159" s="7"/>
      <c r="O19159" s="7"/>
      <c r="P19159" s="7"/>
      <c r="Q19159" s="7"/>
      <c r="R19159" s="7"/>
      <c r="S19159" s="7"/>
      <c r="T19159" s="7"/>
      <c r="U19159" s="7"/>
      <c r="V19159" s="7"/>
      <c r="W19159" s="7"/>
      <c r="X19159" s="7"/>
      <c r="Y19159" s="7"/>
      <c r="Z19159" s="7"/>
      <c r="AA19159" s="7"/>
      <c r="AB19159" s="7"/>
      <c r="AC19159" s="7"/>
      <c r="AD19159" s="7"/>
      <c r="AE19159" s="7"/>
      <c r="AF19159" s="7"/>
      <c r="AG19159" s="10"/>
    </row>
    <row r="19160" spans="1:33">
      <c r="A19160" s="7"/>
      <c r="B19160" s="7"/>
      <c r="C19160" s="7"/>
      <c r="D19160" s="7"/>
      <c r="E19160" s="7"/>
      <c r="F19160" s="7"/>
      <c r="G19160" s="7"/>
      <c r="H19160" s="7"/>
      <c r="I19160" s="7"/>
      <c r="J19160" s="7"/>
      <c r="K19160" s="7"/>
      <c r="L19160" s="7"/>
      <c r="M19160" s="7"/>
      <c r="N19160" s="7"/>
      <c r="O19160" s="7"/>
      <c r="P19160" s="7"/>
      <c r="Q19160" s="7"/>
      <c r="R19160" s="7"/>
      <c r="S19160" s="7"/>
      <c r="T19160" s="7"/>
      <c r="U19160" s="7"/>
      <c r="V19160" s="7"/>
      <c r="W19160" s="7"/>
      <c r="X19160" s="7"/>
      <c r="Y19160" s="7"/>
      <c r="Z19160" s="7"/>
      <c r="AA19160" s="7"/>
      <c r="AB19160" s="7"/>
      <c r="AC19160" s="7"/>
      <c r="AD19160" s="7"/>
      <c r="AE19160" s="7"/>
      <c r="AF19160" s="7"/>
      <c r="AG19160" s="10"/>
    </row>
    <row r="19161" spans="1:33">
      <c r="A19161" s="7"/>
      <c r="B19161" s="7"/>
      <c r="C19161" s="7"/>
      <c r="D19161" s="7"/>
      <c r="E19161" s="7"/>
      <c r="F19161" s="7"/>
      <c r="G19161" s="7"/>
      <c r="H19161" s="7"/>
      <c r="I19161" s="7"/>
      <c r="J19161" s="7"/>
      <c r="K19161" s="7"/>
      <c r="L19161" s="7"/>
      <c r="M19161" s="7"/>
      <c r="N19161" s="7"/>
      <c r="O19161" s="7"/>
      <c r="P19161" s="7"/>
      <c r="Q19161" s="7"/>
      <c r="R19161" s="7"/>
      <c r="S19161" s="7"/>
      <c r="T19161" s="7"/>
      <c r="U19161" s="7"/>
      <c r="V19161" s="7"/>
      <c r="W19161" s="7"/>
      <c r="X19161" s="7"/>
      <c r="Y19161" s="7"/>
      <c r="Z19161" s="7"/>
      <c r="AA19161" s="7"/>
      <c r="AB19161" s="7"/>
      <c r="AC19161" s="7"/>
      <c r="AD19161" s="7"/>
      <c r="AE19161" s="7"/>
      <c r="AF19161" s="7"/>
      <c r="AG19161" s="10"/>
    </row>
    <row r="19162" spans="1:33">
      <c r="A19162" s="7"/>
      <c r="B19162" s="7"/>
      <c r="C19162" s="7"/>
      <c r="D19162" s="7"/>
      <c r="E19162" s="7"/>
      <c r="F19162" s="7"/>
      <c r="G19162" s="7"/>
      <c r="H19162" s="7"/>
      <c r="I19162" s="7"/>
      <c r="J19162" s="7"/>
      <c r="K19162" s="7"/>
      <c r="L19162" s="7"/>
      <c r="M19162" s="7"/>
      <c r="N19162" s="7"/>
      <c r="O19162" s="7"/>
      <c r="P19162" s="7"/>
      <c r="Q19162" s="7"/>
      <c r="R19162" s="7"/>
      <c r="S19162" s="7"/>
      <c r="T19162" s="7"/>
      <c r="U19162" s="7"/>
      <c r="V19162" s="7"/>
      <c r="W19162" s="7"/>
      <c r="X19162" s="7"/>
      <c r="Y19162" s="7"/>
      <c r="Z19162" s="7"/>
      <c r="AA19162" s="7"/>
      <c r="AB19162" s="7"/>
      <c r="AC19162" s="7"/>
      <c r="AD19162" s="7"/>
      <c r="AE19162" s="7"/>
      <c r="AF19162" s="7"/>
      <c r="AG19162" s="10"/>
    </row>
    <row r="19163" spans="1:33">
      <c r="A19163" s="7"/>
      <c r="B19163" s="7"/>
      <c r="C19163" s="7"/>
      <c r="D19163" s="7"/>
      <c r="E19163" s="7"/>
      <c r="F19163" s="7"/>
      <c r="G19163" s="7"/>
      <c r="H19163" s="7"/>
      <c r="I19163" s="7"/>
      <c r="J19163" s="7"/>
      <c r="K19163" s="7"/>
      <c r="L19163" s="7"/>
      <c r="M19163" s="7"/>
      <c r="N19163" s="7"/>
      <c r="O19163" s="7"/>
      <c r="P19163" s="7"/>
      <c r="Q19163" s="7"/>
      <c r="R19163" s="7"/>
      <c r="S19163" s="7"/>
      <c r="T19163" s="7"/>
      <c r="U19163" s="7"/>
      <c r="V19163" s="7"/>
      <c r="W19163" s="7"/>
      <c r="X19163" s="7"/>
      <c r="Y19163" s="7"/>
      <c r="Z19163" s="7"/>
      <c r="AA19163" s="7"/>
      <c r="AB19163" s="7"/>
      <c r="AC19163" s="7"/>
      <c r="AD19163" s="7"/>
      <c r="AE19163" s="7"/>
      <c r="AF19163" s="7"/>
      <c r="AG19163" s="10"/>
    </row>
    <row r="19164" spans="1:33">
      <c r="A19164" s="7"/>
      <c r="B19164" s="7"/>
      <c r="C19164" s="7"/>
      <c r="D19164" s="7"/>
      <c r="E19164" s="7"/>
      <c r="F19164" s="7"/>
      <c r="G19164" s="7"/>
      <c r="H19164" s="7"/>
      <c r="I19164" s="7"/>
      <c r="J19164" s="7"/>
      <c r="K19164" s="7"/>
      <c r="L19164" s="7"/>
      <c r="M19164" s="7"/>
      <c r="N19164" s="7"/>
      <c r="O19164" s="7"/>
      <c r="P19164" s="7"/>
      <c r="Q19164" s="7"/>
      <c r="R19164" s="7"/>
      <c r="S19164" s="7"/>
      <c r="T19164" s="7"/>
      <c r="U19164" s="7"/>
      <c r="V19164" s="7"/>
      <c r="W19164" s="7"/>
      <c r="X19164" s="7"/>
      <c r="Y19164" s="7"/>
      <c r="Z19164" s="7"/>
      <c r="AA19164" s="7"/>
      <c r="AB19164" s="7"/>
      <c r="AC19164" s="7"/>
      <c r="AD19164" s="7"/>
      <c r="AE19164" s="7"/>
      <c r="AF19164" s="7"/>
      <c r="AG19164" s="10"/>
    </row>
    <row r="19165" spans="1:33">
      <c r="A19165" s="7"/>
      <c r="B19165" s="7"/>
      <c r="C19165" s="7"/>
      <c r="D19165" s="7"/>
      <c r="E19165" s="7"/>
      <c r="F19165" s="7"/>
      <c r="G19165" s="7"/>
      <c r="H19165" s="7"/>
      <c r="I19165" s="7"/>
      <c r="J19165" s="7"/>
      <c r="K19165" s="7"/>
      <c r="L19165" s="7"/>
      <c r="M19165" s="7"/>
      <c r="N19165" s="7"/>
      <c r="O19165" s="7"/>
      <c r="P19165" s="7"/>
      <c r="Q19165" s="7"/>
      <c r="R19165" s="7"/>
      <c r="S19165" s="7"/>
      <c r="T19165" s="7"/>
      <c r="U19165" s="7"/>
      <c r="V19165" s="7"/>
      <c r="W19165" s="7"/>
      <c r="X19165" s="7"/>
      <c r="Y19165" s="7"/>
      <c r="Z19165" s="7"/>
      <c r="AA19165" s="7"/>
      <c r="AB19165" s="7"/>
      <c r="AC19165" s="7"/>
      <c r="AD19165" s="7"/>
      <c r="AE19165" s="7"/>
      <c r="AF19165" s="7"/>
      <c r="AG19165" s="10"/>
    </row>
    <row r="19166" spans="1:33">
      <c r="A19166" s="7"/>
      <c r="B19166" s="7"/>
      <c r="C19166" s="7"/>
      <c r="D19166" s="7"/>
      <c r="E19166" s="7"/>
      <c r="F19166" s="7"/>
      <c r="G19166" s="7"/>
      <c r="H19166" s="7"/>
      <c r="I19166" s="7"/>
      <c r="J19166" s="7"/>
      <c r="K19166" s="7"/>
      <c r="L19166" s="7"/>
      <c r="M19166" s="7"/>
      <c r="N19166" s="7"/>
      <c r="O19166" s="7"/>
      <c r="P19166" s="7"/>
      <c r="Q19166" s="7"/>
      <c r="R19166" s="7"/>
      <c r="S19166" s="7"/>
      <c r="T19166" s="7"/>
      <c r="U19166" s="7"/>
      <c r="V19166" s="7"/>
      <c r="W19166" s="7"/>
      <c r="X19166" s="7"/>
      <c r="Y19166" s="7"/>
      <c r="Z19166" s="7"/>
      <c r="AA19166" s="7"/>
      <c r="AB19166" s="7"/>
      <c r="AC19166" s="7"/>
      <c r="AD19166" s="7"/>
      <c r="AE19166" s="7"/>
      <c r="AF19166" s="7"/>
      <c r="AG19166" s="10"/>
    </row>
    <row r="19167" spans="1:33">
      <c r="A19167" s="7"/>
      <c r="B19167" s="7"/>
      <c r="C19167" s="7"/>
      <c r="D19167" s="7"/>
      <c r="E19167" s="7"/>
      <c r="F19167" s="7"/>
      <c r="G19167" s="7"/>
      <c r="H19167" s="7"/>
      <c r="I19167" s="7"/>
      <c r="J19167" s="7"/>
      <c r="K19167" s="7"/>
      <c r="L19167" s="7"/>
      <c r="M19167" s="7"/>
      <c r="N19167" s="7"/>
      <c r="O19167" s="7"/>
      <c r="P19167" s="7"/>
      <c r="Q19167" s="7"/>
      <c r="R19167" s="7"/>
      <c r="S19167" s="7"/>
      <c r="T19167" s="7"/>
      <c r="U19167" s="7"/>
      <c r="V19167" s="7"/>
      <c r="W19167" s="7"/>
      <c r="X19167" s="7"/>
      <c r="Y19167" s="7"/>
      <c r="Z19167" s="7"/>
      <c r="AA19167" s="7"/>
      <c r="AB19167" s="7"/>
      <c r="AC19167" s="7"/>
      <c r="AD19167" s="7"/>
      <c r="AE19167" s="7"/>
      <c r="AF19167" s="7"/>
      <c r="AG19167" s="10"/>
    </row>
    <row r="19168" spans="1:33">
      <c r="A19168" s="7"/>
      <c r="B19168" s="7"/>
      <c r="C19168" s="7"/>
      <c r="D19168" s="7"/>
      <c r="E19168" s="7"/>
      <c r="F19168" s="7"/>
      <c r="G19168" s="7"/>
      <c r="H19168" s="7"/>
      <c r="I19168" s="7"/>
      <c r="J19168" s="7"/>
      <c r="K19168" s="7"/>
      <c r="L19168" s="7"/>
      <c r="M19168" s="7"/>
      <c r="N19168" s="7"/>
      <c r="O19168" s="7"/>
      <c r="P19168" s="7"/>
      <c r="Q19168" s="7"/>
      <c r="R19168" s="7"/>
      <c r="S19168" s="7"/>
      <c r="T19168" s="7"/>
      <c r="U19168" s="7"/>
      <c r="V19168" s="7"/>
      <c r="W19168" s="7"/>
      <c r="X19168" s="7"/>
      <c r="Y19168" s="7"/>
      <c r="Z19168" s="7"/>
      <c r="AA19168" s="7"/>
      <c r="AB19168" s="7"/>
      <c r="AC19168" s="7"/>
      <c r="AD19168" s="7"/>
      <c r="AE19168" s="7"/>
      <c r="AF19168" s="7"/>
      <c r="AG19168" s="10"/>
    </row>
    <row r="19169" spans="1:33">
      <c r="A19169" s="7"/>
      <c r="B19169" s="7"/>
      <c r="C19169" s="7"/>
      <c r="D19169" s="7"/>
      <c r="E19169" s="7"/>
      <c r="F19169" s="7"/>
      <c r="G19169" s="7"/>
      <c r="H19169" s="7"/>
      <c r="I19169" s="7"/>
      <c r="J19169" s="7"/>
      <c r="K19169" s="7"/>
      <c r="L19169" s="7"/>
      <c r="M19169" s="7"/>
      <c r="N19169" s="7"/>
      <c r="O19169" s="7"/>
      <c r="P19169" s="7"/>
      <c r="Q19169" s="7"/>
      <c r="R19169" s="7"/>
      <c r="S19169" s="7"/>
      <c r="T19169" s="7"/>
      <c r="U19169" s="7"/>
      <c r="V19169" s="7"/>
      <c r="W19169" s="7"/>
      <c r="X19169" s="7"/>
      <c r="Y19169" s="7"/>
      <c r="Z19169" s="7"/>
      <c r="AA19169" s="7"/>
      <c r="AB19169" s="7"/>
      <c r="AC19169" s="7"/>
      <c r="AD19169" s="7"/>
      <c r="AE19169" s="7"/>
      <c r="AF19169" s="7"/>
      <c r="AG19169" s="10"/>
    </row>
    <row r="19170" spans="1:33">
      <c r="A19170" s="7"/>
      <c r="B19170" s="7"/>
      <c r="C19170" s="7"/>
      <c r="D19170" s="7"/>
      <c r="E19170" s="7"/>
      <c r="F19170" s="7"/>
      <c r="G19170" s="7"/>
      <c r="H19170" s="7"/>
      <c r="I19170" s="7"/>
      <c r="J19170" s="7"/>
      <c r="K19170" s="7"/>
      <c r="L19170" s="7"/>
      <c r="M19170" s="7"/>
      <c r="N19170" s="7"/>
      <c r="O19170" s="7"/>
      <c r="P19170" s="7"/>
      <c r="Q19170" s="7"/>
      <c r="R19170" s="7"/>
      <c r="S19170" s="7"/>
      <c r="T19170" s="7"/>
      <c r="U19170" s="7"/>
      <c r="V19170" s="7"/>
      <c r="W19170" s="7"/>
      <c r="X19170" s="7"/>
      <c r="Y19170" s="7"/>
      <c r="Z19170" s="7"/>
      <c r="AA19170" s="7"/>
      <c r="AB19170" s="7"/>
      <c r="AC19170" s="7"/>
      <c r="AD19170" s="7"/>
      <c r="AE19170" s="7"/>
      <c r="AF19170" s="7"/>
      <c r="AG19170" s="10"/>
    </row>
    <row r="19171" spans="1:33">
      <c r="A19171" s="7"/>
      <c r="B19171" s="7"/>
      <c r="C19171" s="7"/>
      <c r="D19171" s="7"/>
      <c r="E19171" s="7"/>
      <c r="F19171" s="7"/>
      <c r="G19171" s="7"/>
      <c r="H19171" s="7"/>
      <c r="I19171" s="7"/>
      <c r="J19171" s="7"/>
      <c r="K19171" s="7"/>
      <c r="L19171" s="7"/>
      <c r="M19171" s="7"/>
      <c r="N19171" s="7"/>
      <c r="O19171" s="7"/>
      <c r="P19171" s="7"/>
      <c r="Q19171" s="7"/>
      <c r="R19171" s="7"/>
      <c r="S19171" s="7"/>
      <c r="T19171" s="7"/>
      <c r="U19171" s="7"/>
      <c r="V19171" s="7"/>
      <c r="W19171" s="7"/>
      <c r="X19171" s="7"/>
      <c r="Y19171" s="7"/>
      <c r="Z19171" s="7"/>
      <c r="AA19171" s="7"/>
      <c r="AB19171" s="7"/>
      <c r="AC19171" s="7"/>
      <c r="AD19171" s="7"/>
      <c r="AE19171" s="7"/>
      <c r="AF19171" s="7"/>
      <c r="AG19171" s="10"/>
    </row>
    <row r="19172" spans="1:33">
      <c r="A19172" s="7"/>
      <c r="B19172" s="7"/>
      <c r="C19172" s="7"/>
      <c r="D19172" s="7"/>
      <c r="E19172" s="7"/>
      <c r="F19172" s="7"/>
      <c r="G19172" s="7"/>
      <c r="H19172" s="7"/>
      <c r="I19172" s="7"/>
      <c r="J19172" s="7"/>
      <c r="K19172" s="7"/>
      <c r="L19172" s="7"/>
      <c r="M19172" s="7"/>
      <c r="N19172" s="7"/>
      <c r="O19172" s="7"/>
      <c r="P19172" s="7"/>
      <c r="Q19172" s="7"/>
      <c r="R19172" s="7"/>
      <c r="S19172" s="7"/>
      <c r="T19172" s="7"/>
      <c r="U19172" s="7"/>
      <c r="V19172" s="7"/>
      <c r="W19172" s="7"/>
      <c r="X19172" s="7"/>
      <c r="Y19172" s="7"/>
      <c r="Z19172" s="7"/>
      <c r="AA19172" s="7"/>
      <c r="AB19172" s="7"/>
      <c r="AC19172" s="7"/>
      <c r="AD19172" s="7"/>
      <c r="AE19172" s="7"/>
      <c r="AF19172" s="7"/>
      <c r="AG19172" s="10"/>
    </row>
    <row r="19173" spans="1:33">
      <c r="A19173" s="7"/>
      <c r="B19173" s="7"/>
      <c r="C19173" s="7"/>
      <c r="D19173" s="7"/>
      <c r="E19173" s="7"/>
      <c r="F19173" s="7"/>
      <c r="G19173" s="7"/>
      <c r="H19173" s="7"/>
      <c r="I19173" s="7"/>
      <c r="J19173" s="7"/>
      <c r="K19173" s="7"/>
      <c r="L19173" s="7"/>
      <c r="M19173" s="7"/>
      <c r="N19173" s="7"/>
      <c r="O19173" s="7"/>
      <c r="P19173" s="7"/>
      <c r="Q19173" s="7"/>
      <c r="R19173" s="7"/>
      <c r="S19173" s="7"/>
      <c r="T19173" s="7"/>
      <c r="U19173" s="7"/>
      <c r="V19173" s="7"/>
      <c r="W19173" s="7"/>
      <c r="X19173" s="7"/>
      <c r="Y19173" s="7"/>
      <c r="Z19173" s="7"/>
      <c r="AA19173" s="7"/>
      <c r="AB19173" s="7"/>
      <c r="AC19173" s="7"/>
      <c r="AD19173" s="7"/>
      <c r="AE19173" s="7"/>
      <c r="AF19173" s="7"/>
      <c r="AG19173" s="10"/>
    </row>
    <row r="19174" spans="1:33">
      <c r="A19174" s="7"/>
      <c r="B19174" s="7"/>
      <c r="C19174" s="7"/>
      <c r="D19174" s="7"/>
      <c r="E19174" s="7"/>
      <c r="F19174" s="7"/>
      <c r="G19174" s="7"/>
      <c r="H19174" s="7"/>
      <c r="I19174" s="7"/>
      <c r="J19174" s="7"/>
      <c r="K19174" s="7"/>
      <c r="L19174" s="7"/>
      <c r="M19174" s="7"/>
      <c r="N19174" s="7"/>
      <c r="O19174" s="7"/>
      <c r="P19174" s="7"/>
      <c r="Q19174" s="7"/>
      <c r="R19174" s="7"/>
      <c r="S19174" s="7"/>
      <c r="T19174" s="7"/>
      <c r="U19174" s="7"/>
      <c r="V19174" s="7"/>
      <c r="W19174" s="7"/>
      <c r="X19174" s="7"/>
      <c r="Y19174" s="7"/>
      <c r="Z19174" s="7"/>
      <c r="AA19174" s="7"/>
      <c r="AB19174" s="7"/>
      <c r="AC19174" s="7"/>
      <c r="AD19174" s="7"/>
      <c r="AE19174" s="7"/>
      <c r="AF19174" s="7"/>
      <c r="AG19174" s="10"/>
    </row>
    <row r="19175" spans="1:33">
      <c r="A19175" s="7"/>
      <c r="B19175" s="7"/>
      <c r="C19175" s="7"/>
      <c r="D19175" s="7"/>
      <c r="E19175" s="7"/>
      <c r="F19175" s="7"/>
      <c r="G19175" s="7"/>
      <c r="H19175" s="7"/>
      <c r="I19175" s="7"/>
      <c r="J19175" s="7"/>
      <c r="K19175" s="7"/>
      <c r="L19175" s="7"/>
      <c r="M19175" s="7"/>
      <c r="N19175" s="7"/>
      <c r="O19175" s="7"/>
      <c r="P19175" s="7"/>
      <c r="Q19175" s="7"/>
      <c r="R19175" s="7"/>
      <c r="S19175" s="7"/>
      <c r="T19175" s="7"/>
      <c r="U19175" s="7"/>
      <c r="V19175" s="7"/>
      <c r="W19175" s="7"/>
      <c r="X19175" s="7"/>
      <c r="Y19175" s="7"/>
      <c r="Z19175" s="7"/>
      <c r="AA19175" s="7"/>
      <c r="AB19175" s="7"/>
      <c r="AC19175" s="7"/>
      <c r="AD19175" s="7"/>
      <c r="AE19175" s="7"/>
      <c r="AF19175" s="7"/>
      <c r="AG19175" s="10"/>
    </row>
    <row r="19176" spans="1:33">
      <c r="A19176" s="7"/>
      <c r="B19176" s="7"/>
      <c r="C19176" s="7"/>
      <c r="D19176" s="7"/>
      <c r="E19176" s="7"/>
      <c r="F19176" s="7"/>
      <c r="G19176" s="7"/>
      <c r="H19176" s="7"/>
      <c r="I19176" s="7"/>
      <c r="J19176" s="7"/>
      <c r="K19176" s="7"/>
      <c r="L19176" s="7"/>
      <c r="M19176" s="7"/>
      <c r="N19176" s="7"/>
      <c r="O19176" s="7"/>
      <c r="P19176" s="7"/>
      <c r="Q19176" s="7"/>
      <c r="R19176" s="7"/>
      <c r="S19176" s="7"/>
      <c r="T19176" s="7"/>
      <c r="U19176" s="7"/>
      <c r="V19176" s="7"/>
      <c r="W19176" s="7"/>
      <c r="X19176" s="7"/>
      <c r="Y19176" s="7"/>
      <c r="Z19176" s="7"/>
      <c r="AA19176" s="7"/>
      <c r="AB19176" s="7"/>
      <c r="AC19176" s="7"/>
      <c r="AD19176" s="7"/>
      <c r="AE19176" s="7"/>
      <c r="AF19176" s="7"/>
      <c r="AG19176" s="10"/>
    </row>
    <row r="19177" spans="1:33">
      <c r="A19177" s="7"/>
      <c r="B19177" s="7"/>
      <c r="C19177" s="7"/>
      <c r="D19177" s="7"/>
      <c r="E19177" s="7"/>
      <c r="F19177" s="7"/>
      <c r="G19177" s="7"/>
      <c r="H19177" s="7"/>
      <c r="I19177" s="7"/>
      <c r="J19177" s="7"/>
      <c r="K19177" s="7"/>
      <c r="L19177" s="7"/>
      <c r="M19177" s="7"/>
      <c r="N19177" s="7"/>
      <c r="O19177" s="7"/>
      <c r="P19177" s="7"/>
      <c r="Q19177" s="7"/>
      <c r="R19177" s="7"/>
      <c r="S19177" s="7"/>
      <c r="T19177" s="7"/>
      <c r="U19177" s="7"/>
      <c r="V19177" s="7"/>
      <c r="W19177" s="7"/>
      <c r="X19177" s="7"/>
      <c r="Y19177" s="7"/>
      <c r="Z19177" s="7"/>
      <c r="AA19177" s="7"/>
      <c r="AB19177" s="7"/>
      <c r="AC19177" s="7"/>
      <c r="AD19177" s="7"/>
      <c r="AE19177" s="7"/>
      <c r="AF19177" s="7"/>
      <c r="AG19177" s="10"/>
    </row>
    <row r="19178" spans="1:33">
      <c r="A19178" s="7"/>
      <c r="B19178" s="7"/>
      <c r="C19178" s="7"/>
      <c r="D19178" s="7"/>
      <c r="E19178" s="7"/>
      <c r="F19178" s="7"/>
      <c r="G19178" s="7"/>
      <c r="H19178" s="7"/>
      <c r="I19178" s="7"/>
      <c r="J19178" s="7"/>
      <c r="K19178" s="7"/>
      <c r="L19178" s="7"/>
      <c r="M19178" s="7"/>
      <c r="N19178" s="7"/>
      <c r="O19178" s="7"/>
      <c r="P19178" s="7"/>
      <c r="Q19178" s="7"/>
      <c r="R19178" s="7"/>
      <c r="S19178" s="7"/>
      <c r="T19178" s="7"/>
      <c r="U19178" s="7"/>
      <c r="V19178" s="7"/>
      <c r="W19178" s="7"/>
      <c r="X19178" s="7"/>
      <c r="Y19178" s="7"/>
      <c r="Z19178" s="7"/>
      <c r="AA19178" s="7"/>
      <c r="AB19178" s="7"/>
      <c r="AC19178" s="7"/>
      <c r="AD19178" s="7"/>
      <c r="AE19178" s="7"/>
      <c r="AF19178" s="7"/>
      <c r="AG19178" s="10"/>
    </row>
    <row r="19179" spans="1:33">
      <c r="A19179" s="7"/>
      <c r="B19179" s="7"/>
      <c r="C19179" s="7"/>
      <c r="D19179" s="7"/>
      <c r="E19179" s="7"/>
      <c r="F19179" s="7"/>
      <c r="G19179" s="7"/>
      <c r="H19179" s="7"/>
      <c r="I19179" s="7"/>
      <c r="J19179" s="7"/>
      <c r="K19179" s="7"/>
      <c r="L19179" s="7"/>
      <c r="M19179" s="7"/>
      <c r="N19179" s="7"/>
      <c r="O19179" s="7"/>
      <c r="P19179" s="7"/>
      <c r="Q19179" s="7"/>
      <c r="R19179" s="7"/>
      <c r="S19179" s="7"/>
      <c r="T19179" s="7"/>
      <c r="U19179" s="7"/>
      <c r="V19179" s="7"/>
      <c r="W19179" s="7"/>
      <c r="X19179" s="7"/>
      <c r="Y19179" s="7"/>
      <c r="Z19179" s="7"/>
      <c r="AA19179" s="7"/>
      <c r="AB19179" s="7"/>
      <c r="AC19179" s="7"/>
      <c r="AD19179" s="7"/>
      <c r="AE19179" s="7"/>
      <c r="AF19179" s="7"/>
      <c r="AG19179" s="10"/>
    </row>
    <row r="19180" spans="1:33">
      <c r="A19180" s="7"/>
      <c r="B19180" s="7"/>
      <c r="C19180" s="7"/>
      <c r="D19180" s="7"/>
      <c r="E19180" s="7"/>
      <c r="F19180" s="7"/>
      <c r="G19180" s="7"/>
      <c r="H19180" s="7"/>
      <c r="I19180" s="7"/>
      <c r="J19180" s="7"/>
      <c r="K19180" s="7"/>
      <c r="L19180" s="7"/>
      <c r="M19180" s="7"/>
      <c r="N19180" s="7"/>
      <c r="O19180" s="7"/>
      <c r="P19180" s="7"/>
      <c r="Q19180" s="7"/>
      <c r="R19180" s="7"/>
      <c r="S19180" s="7"/>
      <c r="T19180" s="7"/>
      <c r="U19180" s="7"/>
      <c r="V19180" s="7"/>
      <c r="W19180" s="7"/>
      <c r="X19180" s="7"/>
      <c r="Y19180" s="7"/>
      <c r="Z19180" s="7"/>
      <c r="AA19180" s="7"/>
      <c r="AB19180" s="7"/>
      <c r="AC19180" s="7"/>
      <c r="AD19180" s="7"/>
      <c r="AE19180" s="7"/>
      <c r="AF19180" s="7"/>
      <c r="AG19180" s="10"/>
    </row>
    <row r="19181" spans="1:33">
      <c r="A19181" s="7"/>
      <c r="B19181" s="7"/>
      <c r="C19181" s="7"/>
      <c r="D19181" s="7"/>
      <c r="E19181" s="7"/>
      <c r="F19181" s="7"/>
      <c r="G19181" s="7"/>
      <c r="H19181" s="7"/>
      <c r="I19181" s="7"/>
      <c r="J19181" s="7"/>
      <c r="K19181" s="7"/>
      <c r="L19181" s="7"/>
      <c r="M19181" s="7"/>
      <c r="N19181" s="7"/>
      <c r="O19181" s="7"/>
      <c r="P19181" s="7"/>
      <c r="Q19181" s="7"/>
      <c r="R19181" s="7"/>
      <c r="S19181" s="7"/>
      <c r="T19181" s="7"/>
      <c r="U19181" s="7"/>
      <c r="V19181" s="7"/>
      <c r="W19181" s="7"/>
      <c r="X19181" s="7"/>
      <c r="Y19181" s="7"/>
      <c r="Z19181" s="7"/>
      <c r="AA19181" s="7"/>
      <c r="AB19181" s="7"/>
      <c r="AC19181" s="7"/>
      <c r="AD19181" s="7"/>
      <c r="AE19181" s="7"/>
      <c r="AF19181" s="7"/>
      <c r="AG19181" s="10"/>
    </row>
    <row r="19182" spans="1:33">
      <c r="A19182" s="7"/>
      <c r="B19182" s="7"/>
      <c r="C19182" s="7"/>
      <c r="D19182" s="7"/>
      <c r="E19182" s="7"/>
      <c r="F19182" s="7"/>
      <c r="G19182" s="7"/>
      <c r="H19182" s="7"/>
      <c r="I19182" s="7"/>
      <c r="J19182" s="7"/>
      <c r="K19182" s="7"/>
      <c r="L19182" s="7"/>
      <c r="M19182" s="7"/>
      <c r="N19182" s="7"/>
      <c r="O19182" s="7"/>
      <c r="P19182" s="7"/>
      <c r="Q19182" s="7"/>
      <c r="R19182" s="7"/>
      <c r="S19182" s="7"/>
      <c r="T19182" s="7"/>
      <c r="U19182" s="7"/>
      <c r="V19182" s="7"/>
      <c r="W19182" s="7"/>
      <c r="X19182" s="7"/>
      <c r="Y19182" s="7"/>
      <c r="Z19182" s="7"/>
      <c r="AA19182" s="7"/>
      <c r="AB19182" s="7"/>
      <c r="AC19182" s="7"/>
      <c r="AD19182" s="7"/>
      <c r="AE19182" s="7"/>
      <c r="AF19182" s="7"/>
      <c r="AG19182" s="10"/>
    </row>
    <row r="19183" spans="1:33">
      <c r="A19183" s="7"/>
      <c r="B19183" s="7"/>
      <c r="C19183" s="7"/>
      <c r="D19183" s="7"/>
      <c r="E19183" s="7"/>
      <c r="F19183" s="7"/>
      <c r="G19183" s="7"/>
      <c r="H19183" s="7"/>
      <c r="I19183" s="7"/>
      <c r="J19183" s="7"/>
      <c r="K19183" s="7"/>
      <c r="L19183" s="7"/>
      <c r="M19183" s="7"/>
      <c r="N19183" s="7"/>
      <c r="O19183" s="7"/>
      <c r="P19183" s="7"/>
      <c r="Q19183" s="7"/>
      <c r="R19183" s="7"/>
      <c r="S19183" s="7"/>
      <c r="T19183" s="7"/>
      <c r="U19183" s="7"/>
      <c r="V19183" s="7"/>
      <c r="W19183" s="7"/>
      <c r="X19183" s="7"/>
      <c r="Y19183" s="7"/>
      <c r="Z19183" s="7"/>
      <c r="AA19183" s="7"/>
      <c r="AB19183" s="7"/>
      <c r="AC19183" s="7"/>
      <c r="AD19183" s="7"/>
      <c r="AE19183" s="7"/>
      <c r="AF19183" s="7"/>
      <c r="AG19183" s="10"/>
    </row>
    <row r="19184" spans="1:33">
      <c r="A19184" s="7"/>
      <c r="B19184" s="7"/>
      <c r="C19184" s="7"/>
      <c r="D19184" s="7"/>
      <c r="E19184" s="7"/>
      <c r="F19184" s="7"/>
      <c r="G19184" s="7"/>
      <c r="H19184" s="7"/>
      <c r="I19184" s="7"/>
      <c r="J19184" s="7"/>
      <c r="K19184" s="7"/>
      <c r="L19184" s="7"/>
      <c r="M19184" s="7"/>
      <c r="N19184" s="7"/>
      <c r="O19184" s="7"/>
      <c r="P19184" s="7"/>
      <c r="Q19184" s="7"/>
      <c r="R19184" s="7"/>
      <c r="S19184" s="7"/>
      <c r="T19184" s="7"/>
      <c r="U19184" s="7"/>
      <c r="V19184" s="7"/>
      <c r="W19184" s="7"/>
      <c r="X19184" s="7"/>
      <c r="Y19184" s="7"/>
      <c r="Z19184" s="7"/>
      <c r="AA19184" s="7"/>
      <c r="AB19184" s="7"/>
      <c r="AC19184" s="7"/>
      <c r="AD19184" s="7"/>
      <c r="AE19184" s="7"/>
      <c r="AF19184" s="7"/>
      <c r="AG19184" s="10"/>
    </row>
    <row r="19185" spans="1:33">
      <c r="A19185" s="7"/>
      <c r="B19185" s="7"/>
      <c r="C19185" s="7"/>
      <c r="D19185" s="7"/>
      <c r="E19185" s="7"/>
      <c r="F19185" s="7"/>
      <c r="G19185" s="7"/>
      <c r="H19185" s="7"/>
      <c r="I19185" s="7"/>
      <c r="J19185" s="7"/>
      <c r="K19185" s="7"/>
      <c r="L19185" s="7"/>
      <c r="M19185" s="7"/>
      <c r="N19185" s="7"/>
      <c r="O19185" s="7"/>
      <c r="P19185" s="7"/>
      <c r="Q19185" s="7"/>
      <c r="R19185" s="7"/>
      <c r="S19185" s="7"/>
      <c r="T19185" s="7"/>
      <c r="U19185" s="7"/>
      <c r="V19185" s="7"/>
      <c r="W19185" s="7"/>
      <c r="X19185" s="7"/>
      <c r="Y19185" s="7"/>
      <c r="Z19185" s="7"/>
      <c r="AA19185" s="7"/>
      <c r="AB19185" s="7"/>
      <c r="AC19185" s="7"/>
      <c r="AD19185" s="7"/>
      <c r="AE19185" s="7"/>
      <c r="AF19185" s="7"/>
      <c r="AG19185" s="10"/>
    </row>
    <row r="19186" spans="1:33">
      <c r="A19186" s="7"/>
      <c r="B19186" s="7"/>
      <c r="C19186" s="7"/>
      <c r="D19186" s="7"/>
      <c r="E19186" s="7"/>
      <c r="F19186" s="7"/>
      <c r="G19186" s="7"/>
      <c r="H19186" s="7"/>
      <c r="I19186" s="7"/>
      <c r="J19186" s="7"/>
      <c r="K19186" s="7"/>
      <c r="L19186" s="7"/>
      <c r="M19186" s="7"/>
      <c r="N19186" s="7"/>
      <c r="O19186" s="7"/>
      <c r="P19186" s="7"/>
      <c r="Q19186" s="7"/>
      <c r="R19186" s="7"/>
      <c r="S19186" s="7"/>
      <c r="T19186" s="7"/>
      <c r="U19186" s="7"/>
      <c r="V19186" s="7"/>
      <c r="W19186" s="7"/>
      <c r="X19186" s="7"/>
      <c r="Y19186" s="7"/>
      <c r="Z19186" s="7"/>
      <c r="AA19186" s="7"/>
      <c r="AB19186" s="7"/>
      <c r="AC19186" s="7"/>
      <c r="AD19186" s="7"/>
      <c r="AE19186" s="7"/>
      <c r="AF19186" s="7"/>
      <c r="AG19186" s="10"/>
    </row>
    <row r="19187" spans="1:33">
      <c r="A19187" s="7"/>
      <c r="B19187" s="7"/>
      <c r="C19187" s="7"/>
      <c r="D19187" s="7"/>
      <c r="E19187" s="7"/>
      <c r="F19187" s="7"/>
      <c r="G19187" s="7"/>
      <c r="H19187" s="7"/>
      <c r="I19187" s="7"/>
      <c r="J19187" s="7"/>
      <c r="K19187" s="7"/>
      <c r="L19187" s="7"/>
      <c r="M19187" s="7"/>
      <c r="N19187" s="7"/>
      <c r="O19187" s="7"/>
      <c r="P19187" s="7"/>
      <c r="Q19187" s="7"/>
      <c r="R19187" s="7"/>
      <c r="S19187" s="7"/>
      <c r="T19187" s="7"/>
      <c r="U19187" s="7"/>
      <c r="V19187" s="7"/>
      <c r="W19187" s="7"/>
      <c r="X19187" s="7"/>
      <c r="Y19187" s="7"/>
      <c r="Z19187" s="7"/>
      <c r="AA19187" s="7"/>
      <c r="AB19187" s="7"/>
      <c r="AC19187" s="7"/>
      <c r="AD19187" s="7"/>
      <c r="AE19187" s="7"/>
      <c r="AF19187" s="7"/>
      <c r="AG19187" s="10"/>
    </row>
    <row r="19188" spans="1:33">
      <c r="A19188" s="7"/>
      <c r="B19188" s="7"/>
      <c r="C19188" s="7"/>
      <c r="D19188" s="7"/>
      <c r="E19188" s="7"/>
      <c r="F19188" s="7"/>
      <c r="G19188" s="7"/>
      <c r="H19188" s="7"/>
      <c r="I19188" s="7"/>
      <c r="J19188" s="7"/>
      <c r="K19188" s="7"/>
      <c r="L19188" s="7"/>
      <c r="M19188" s="7"/>
      <c r="N19188" s="7"/>
      <c r="O19188" s="7"/>
      <c r="P19188" s="7"/>
      <c r="Q19188" s="7"/>
      <c r="R19188" s="7"/>
      <c r="S19188" s="7"/>
      <c r="T19188" s="7"/>
      <c r="U19188" s="7"/>
      <c r="V19188" s="7"/>
      <c r="W19188" s="7"/>
      <c r="X19188" s="7"/>
      <c r="Y19188" s="7"/>
      <c r="Z19188" s="7"/>
      <c r="AA19188" s="7"/>
      <c r="AB19188" s="7"/>
      <c r="AC19188" s="7"/>
      <c r="AD19188" s="7"/>
      <c r="AE19188" s="7"/>
      <c r="AF19188" s="7"/>
      <c r="AG19188" s="10"/>
    </row>
    <row r="19189" spans="1:33">
      <c r="A19189" s="7"/>
      <c r="B19189" s="7"/>
      <c r="C19189" s="7"/>
      <c r="D19189" s="7"/>
      <c r="E19189" s="7"/>
      <c r="F19189" s="7"/>
      <c r="G19189" s="7"/>
      <c r="H19189" s="7"/>
      <c r="I19189" s="7"/>
      <c r="J19189" s="7"/>
      <c r="K19189" s="7"/>
      <c r="L19189" s="7"/>
      <c r="M19189" s="7"/>
      <c r="N19189" s="7"/>
      <c r="O19189" s="7"/>
      <c r="P19189" s="7"/>
      <c r="Q19189" s="7"/>
      <c r="R19189" s="7"/>
      <c r="S19189" s="7"/>
      <c r="T19189" s="7"/>
      <c r="U19189" s="7"/>
      <c r="V19189" s="7"/>
      <c r="W19189" s="7"/>
      <c r="X19189" s="7"/>
      <c r="Y19189" s="7"/>
      <c r="Z19189" s="7"/>
      <c r="AA19189" s="7"/>
      <c r="AB19189" s="7"/>
      <c r="AC19189" s="7"/>
      <c r="AD19189" s="7"/>
      <c r="AE19189" s="7"/>
      <c r="AF19189" s="7"/>
      <c r="AG19189" s="10"/>
    </row>
    <row r="19190" spans="1:33">
      <c r="A19190" s="7"/>
      <c r="B19190" s="7"/>
      <c r="C19190" s="7"/>
      <c r="D19190" s="7"/>
      <c r="E19190" s="7"/>
      <c r="F19190" s="7"/>
      <c r="G19190" s="7"/>
      <c r="H19190" s="7"/>
      <c r="I19190" s="7"/>
      <c r="J19190" s="7"/>
      <c r="K19190" s="7"/>
      <c r="L19190" s="7"/>
      <c r="M19190" s="7"/>
      <c r="N19190" s="7"/>
      <c r="O19190" s="7"/>
      <c r="P19190" s="7"/>
      <c r="Q19190" s="7"/>
      <c r="R19190" s="7"/>
      <c r="S19190" s="7"/>
      <c r="T19190" s="7"/>
      <c r="U19190" s="7"/>
      <c r="V19190" s="7"/>
      <c r="W19190" s="7"/>
      <c r="X19190" s="7"/>
      <c r="Y19190" s="7"/>
      <c r="Z19190" s="7"/>
      <c r="AA19190" s="7"/>
      <c r="AB19190" s="7"/>
      <c r="AC19190" s="7"/>
      <c r="AD19190" s="7"/>
      <c r="AE19190" s="7"/>
      <c r="AF19190" s="7"/>
      <c r="AG19190" s="10"/>
    </row>
    <row r="19191" spans="1:33">
      <c r="A19191" s="7"/>
      <c r="B19191" s="7"/>
      <c r="C19191" s="7"/>
      <c r="D19191" s="7"/>
      <c r="E19191" s="7"/>
      <c r="F19191" s="7"/>
      <c r="G19191" s="7"/>
      <c r="H19191" s="7"/>
      <c r="I19191" s="7"/>
      <c r="J19191" s="7"/>
      <c r="K19191" s="7"/>
      <c r="L19191" s="7"/>
      <c r="M19191" s="7"/>
      <c r="N19191" s="7"/>
      <c r="O19191" s="7"/>
      <c r="P19191" s="7"/>
      <c r="Q19191" s="7"/>
      <c r="R19191" s="7"/>
      <c r="S19191" s="7"/>
      <c r="T19191" s="7"/>
      <c r="U19191" s="7"/>
      <c r="V19191" s="7"/>
      <c r="W19191" s="7"/>
      <c r="X19191" s="7"/>
      <c r="Y19191" s="7"/>
      <c r="Z19191" s="7"/>
      <c r="AA19191" s="7"/>
      <c r="AB19191" s="7"/>
      <c r="AC19191" s="7"/>
      <c r="AD19191" s="7"/>
      <c r="AE19191" s="7"/>
      <c r="AF19191" s="7"/>
      <c r="AG19191" s="10"/>
    </row>
    <row r="19192" spans="1:33">
      <c r="A19192" s="7"/>
      <c r="B19192" s="7"/>
      <c r="C19192" s="7"/>
      <c r="D19192" s="7"/>
      <c r="E19192" s="7"/>
      <c r="F19192" s="7"/>
      <c r="G19192" s="7"/>
      <c r="H19192" s="7"/>
      <c r="I19192" s="7"/>
      <c r="J19192" s="7"/>
      <c r="K19192" s="7"/>
      <c r="L19192" s="7"/>
      <c r="M19192" s="7"/>
      <c r="N19192" s="7"/>
      <c r="O19192" s="7"/>
      <c r="P19192" s="7"/>
      <c r="Q19192" s="7"/>
      <c r="R19192" s="7"/>
      <c r="S19192" s="7"/>
      <c r="T19192" s="7"/>
      <c r="U19192" s="7"/>
      <c r="V19192" s="7"/>
      <c r="W19192" s="7"/>
      <c r="X19192" s="7"/>
      <c r="Y19192" s="7"/>
      <c r="Z19192" s="7"/>
      <c r="AA19192" s="7"/>
      <c r="AB19192" s="7"/>
      <c r="AC19192" s="7"/>
      <c r="AD19192" s="7"/>
      <c r="AE19192" s="7"/>
      <c r="AF19192" s="7"/>
      <c r="AG19192" s="10"/>
    </row>
    <row r="19193" spans="1:33">
      <c r="A19193" s="7"/>
      <c r="B19193" s="7"/>
      <c r="C19193" s="7"/>
      <c r="D19193" s="7"/>
      <c r="E19193" s="7"/>
      <c r="F19193" s="7"/>
      <c r="G19193" s="7"/>
      <c r="H19193" s="7"/>
      <c r="I19193" s="7"/>
      <c r="J19193" s="7"/>
      <c r="K19193" s="7"/>
      <c r="L19193" s="7"/>
      <c r="M19193" s="7"/>
      <c r="N19193" s="7"/>
      <c r="O19193" s="7"/>
      <c r="P19193" s="7"/>
      <c r="Q19193" s="7"/>
      <c r="R19193" s="7"/>
      <c r="S19193" s="7"/>
      <c r="T19193" s="7"/>
      <c r="U19193" s="7"/>
      <c r="V19193" s="7"/>
      <c r="W19193" s="7"/>
      <c r="X19193" s="7"/>
      <c r="Y19193" s="7"/>
      <c r="Z19193" s="7"/>
      <c r="AA19193" s="7"/>
      <c r="AB19193" s="7"/>
      <c r="AC19193" s="7"/>
      <c r="AD19193" s="7"/>
      <c r="AE19193" s="7"/>
      <c r="AF19193" s="7"/>
      <c r="AG19193" s="10"/>
    </row>
    <row r="19194" spans="1:33">
      <c r="A19194" s="7"/>
      <c r="B19194" s="7"/>
      <c r="C19194" s="7"/>
      <c r="D19194" s="7"/>
      <c r="E19194" s="7"/>
      <c r="F19194" s="7"/>
      <c r="G19194" s="7"/>
      <c r="H19194" s="7"/>
      <c r="I19194" s="7"/>
      <c r="J19194" s="7"/>
      <c r="K19194" s="7"/>
      <c r="L19194" s="7"/>
      <c r="M19194" s="7"/>
      <c r="N19194" s="7"/>
      <c r="O19194" s="7"/>
      <c r="P19194" s="7"/>
      <c r="Q19194" s="7"/>
      <c r="R19194" s="7"/>
      <c r="S19194" s="7"/>
      <c r="T19194" s="7"/>
      <c r="U19194" s="7"/>
      <c r="V19194" s="7"/>
      <c r="W19194" s="7"/>
      <c r="X19194" s="7"/>
      <c r="Y19194" s="7"/>
      <c r="Z19194" s="7"/>
      <c r="AA19194" s="7"/>
      <c r="AB19194" s="7"/>
      <c r="AC19194" s="7"/>
      <c r="AD19194" s="7"/>
      <c r="AE19194" s="7"/>
      <c r="AF19194" s="7"/>
      <c r="AG19194" s="10"/>
    </row>
    <row r="19195" spans="1:33">
      <c r="A19195" s="7"/>
      <c r="B19195" s="7"/>
      <c r="C19195" s="7"/>
      <c r="D19195" s="7"/>
      <c r="E19195" s="7"/>
      <c r="F19195" s="7"/>
      <c r="G19195" s="7"/>
      <c r="H19195" s="7"/>
      <c r="I19195" s="7"/>
      <c r="J19195" s="7"/>
      <c r="K19195" s="7"/>
      <c r="L19195" s="7"/>
      <c r="M19195" s="7"/>
      <c r="N19195" s="7"/>
      <c r="O19195" s="7"/>
      <c r="P19195" s="7"/>
      <c r="Q19195" s="7"/>
      <c r="R19195" s="7"/>
      <c r="S19195" s="7"/>
      <c r="T19195" s="7"/>
      <c r="U19195" s="7"/>
      <c r="V19195" s="7"/>
      <c r="W19195" s="7"/>
      <c r="X19195" s="7"/>
      <c r="Y19195" s="7"/>
      <c r="Z19195" s="7"/>
      <c r="AA19195" s="7"/>
      <c r="AB19195" s="7"/>
      <c r="AC19195" s="7"/>
      <c r="AD19195" s="7"/>
      <c r="AE19195" s="7"/>
      <c r="AF19195" s="7"/>
      <c r="AG19195" s="10"/>
    </row>
    <row r="19196" spans="1:33">
      <c r="A19196" s="7"/>
      <c r="B19196" s="7"/>
      <c r="C19196" s="7"/>
      <c r="D19196" s="7"/>
      <c r="E19196" s="7"/>
      <c r="F19196" s="7"/>
      <c r="G19196" s="7"/>
      <c r="H19196" s="7"/>
      <c r="I19196" s="7"/>
      <c r="J19196" s="7"/>
      <c r="K19196" s="7"/>
      <c r="L19196" s="7"/>
      <c r="M19196" s="7"/>
      <c r="N19196" s="7"/>
      <c r="O19196" s="7"/>
      <c r="P19196" s="7"/>
      <c r="Q19196" s="7"/>
      <c r="R19196" s="7"/>
      <c r="S19196" s="7"/>
      <c r="T19196" s="7"/>
      <c r="U19196" s="7"/>
      <c r="V19196" s="7"/>
      <c r="W19196" s="7"/>
      <c r="X19196" s="7"/>
      <c r="Y19196" s="7"/>
      <c r="Z19196" s="7"/>
      <c r="AA19196" s="7"/>
      <c r="AB19196" s="7"/>
      <c r="AC19196" s="7"/>
      <c r="AD19196" s="7"/>
      <c r="AE19196" s="7"/>
      <c r="AF19196" s="7"/>
      <c r="AG19196" s="10"/>
    </row>
    <row r="19197" spans="1:33">
      <c r="A19197" s="7"/>
      <c r="B19197" s="7"/>
      <c r="C19197" s="7"/>
      <c r="D19197" s="7"/>
      <c r="E19197" s="7"/>
      <c r="F19197" s="7"/>
      <c r="G19197" s="7"/>
      <c r="H19197" s="7"/>
      <c r="I19197" s="7"/>
      <c r="J19197" s="7"/>
      <c r="K19197" s="7"/>
      <c r="L19197" s="7"/>
      <c r="M19197" s="7"/>
      <c r="N19197" s="7"/>
      <c r="O19197" s="7"/>
      <c r="P19197" s="7"/>
      <c r="Q19197" s="7"/>
      <c r="R19197" s="7"/>
      <c r="S19197" s="7"/>
      <c r="T19197" s="7"/>
      <c r="U19197" s="7"/>
      <c r="V19197" s="7"/>
      <c r="W19197" s="7"/>
      <c r="X19197" s="7"/>
      <c r="Y19197" s="7"/>
      <c r="Z19197" s="7"/>
      <c r="AA19197" s="7"/>
      <c r="AB19197" s="7"/>
      <c r="AC19197" s="7"/>
      <c r="AD19197" s="7"/>
      <c r="AE19197" s="7"/>
      <c r="AF19197" s="7"/>
      <c r="AG19197" s="10"/>
    </row>
    <row r="19198" spans="1:33">
      <c r="A19198" s="7"/>
      <c r="B19198" s="7"/>
      <c r="C19198" s="7"/>
      <c r="D19198" s="7"/>
      <c r="E19198" s="7"/>
      <c r="F19198" s="7"/>
      <c r="G19198" s="7"/>
      <c r="H19198" s="7"/>
      <c r="I19198" s="7"/>
      <c r="J19198" s="7"/>
      <c r="K19198" s="7"/>
      <c r="L19198" s="7"/>
      <c r="M19198" s="7"/>
      <c r="N19198" s="7"/>
      <c r="O19198" s="7"/>
      <c r="P19198" s="7"/>
      <c r="Q19198" s="7"/>
      <c r="R19198" s="7"/>
      <c r="S19198" s="7"/>
      <c r="T19198" s="7"/>
      <c r="U19198" s="7"/>
      <c r="V19198" s="7"/>
      <c r="W19198" s="7"/>
      <c r="X19198" s="7"/>
      <c r="Y19198" s="7"/>
      <c r="Z19198" s="7"/>
      <c r="AA19198" s="7"/>
      <c r="AB19198" s="7"/>
      <c r="AC19198" s="7"/>
      <c r="AD19198" s="7"/>
      <c r="AE19198" s="7"/>
      <c r="AF19198" s="7"/>
      <c r="AG19198" s="10"/>
    </row>
    <row r="19199" spans="1:33">
      <c r="A19199" s="7"/>
      <c r="B19199" s="7"/>
      <c r="C19199" s="7"/>
      <c r="D19199" s="7"/>
      <c r="E19199" s="7"/>
      <c r="F19199" s="7"/>
      <c r="G19199" s="7"/>
      <c r="H19199" s="7"/>
      <c r="I19199" s="7"/>
      <c r="J19199" s="7"/>
      <c r="K19199" s="7"/>
      <c r="L19199" s="7"/>
      <c r="M19199" s="7"/>
      <c r="N19199" s="7"/>
      <c r="O19199" s="7"/>
      <c r="P19199" s="7"/>
      <c r="Q19199" s="7"/>
      <c r="R19199" s="7"/>
      <c r="S19199" s="7"/>
      <c r="T19199" s="7"/>
      <c r="U19199" s="7"/>
      <c r="V19199" s="7"/>
      <c r="W19199" s="7"/>
      <c r="X19199" s="7"/>
      <c r="Y19199" s="7"/>
      <c r="Z19199" s="7"/>
      <c r="AA19199" s="7"/>
      <c r="AB19199" s="7"/>
      <c r="AC19199" s="7"/>
      <c r="AD19199" s="7"/>
      <c r="AE19199" s="7"/>
      <c r="AF19199" s="7"/>
      <c r="AG19199" s="10"/>
    </row>
    <row r="19200" spans="1:33">
      <c r="A19200" s="7"/>
      <c r="B19200" s="7"/>
      <c r="C19200" s="7"/>
      <c r="D19200" s="7"/>
      <c r="E19200" s="7"/>
      <c r="F19200" s="7"/>
      <c r="G19200" s="7"/>
      <c r="H19200" s="7"/>
      <c r="I19200" s="7"/>
      <c r="J19200" s="7"/>
      <c r="K19200" s="7"/>
      <c r="L19200" s="7"/>
      <c r="M19200" s="7"/>
      <c r="N19200" s="7"/>
      <c r="O19200" s="7"/>
      <c r="P19200" s="7"/>
      <c r="Q19200" s="7"/>
      <c r="R19200" s="7"/>
      <c r="S19200" s="7"/>
      <c r="T19200" s="7"/>
      <c r="U19200" s="7"/>
      <c r="V19200" s="7"/>
      <c r="W19200" s="7"/>
      <c r="X19200" s="7"/>
      <c r="Y19200" s="7"/>
      <c r="Z19200" s="7"/>
      <c r="AA19200" s="7"/>
      <c r="AB19200" s="7"/>
      <c r="AC19200" s="7"/>
      <c r="AD19200" s="7"/>
      <c r="AE19200" s="7"/>
      <c r="AF19200" s="7"/>
      <c r="AG19200" s="10"/>
    </row>
    <row r="19201" spans="1:33">
      <c r="A19201" s="7"/>
      <c r="B19201" s="7"/>
      <c r="C19201" s="7"/>
      <c r="D19201" s="7"/>
      <c r="E19201" s="7"/>
      <c r="F19201" s="7"/>
      <c r="G19201" s="7"/>
      <c r="H19201" s="7"/>
      <c r="I19201" s="7"/>
      <c r="J19201" s="7"/>
      <c r="K19201" s="7"/>
      <c r="L19201" s="7"/>
      <c r="M19201" s="7"/>
      <c r="N19201" s="7"/>
      <c r="O19201" s="7"/>
      <c r="P19201" s="7"/>
      <c r="Q19201" s="7"/>
      <c r="R19201" s="7"/>
      <c r="S19201" s="7"/>
      <c r="T19201" s="7"/>
      <c r="U19201" s="7"/>
      <c r="V19201" s="7"/>
      <c r="W19201" s="7"/>
      <c r="X19201" s="7"/>
      <c r="Y19201" s="7"/>
      <c r="Z19201" s="7"/>
      <c r="AA19201" s="7"/>
      <c r="AB19201" s="7"/>
      <c r="AC19201" s="7"/>
      <c r="AD19201" s="7"/>
      <c r="AE19201" s="7"/>
      <c r="AF19201" s="7"/>
      <c r="AG19201" s="10"/>
    </row>
    <row r="19202" spans="1:33">
      <c r="A19202" s="7"/>
      <c r="B19202" s="7"/>
      <c r="C19202" s="7"/>
      <c r="D19202" s="7"/>
      <c r="E19202" s="7"/>
      <c r="F19202" s="7"/>
      <c r="G19202" s="7"/>
      <c r="H19202" s="7"/>
      <c r="I19202" s="7"/>
      <c r="J19202" s="7"/>
      <c r="K19202" s="7"/>
      <c r="L19202" s="7"/>
      <c r="M19202" s="7"/>
      <c r="N19202" s="7"/>
      <c r="O19202" s="7"/>
      <c r="P19202" s="7"/>
      <c r="Q19202" s="7"/>
      <c r="R19202" s="7"/>
      <c r="S19202" s="7"/>
      <c r="T19202" s="7"/>
      <c r="U19202" s="7"/>
      <c r="V19202" s="7"/>
      <c r="W19202" s="7"/>
      <c r="X19202" s="7"/>
      <c r="Y19202" s="7"/>
      <c r="Z19202" s="7"/>
      <c r="AA19202" s="7"/>
      <c r="AB19202" s="7"/>
      <c r="AC19202" s="7"/>
      <c r="AD19202" s="7"/>
      <c r="AE19202" s="7"/>
      <c r="AF19202" s="7"/>
      <c r="AG19202" s="10"/>
    </row>
    <row r="19203" spans="1:33">
      <c r="A19203" s="7"/>
      <c r="B19203" s="7"/>
      <c r="C19203" s="7"/>
      <c r="D19203" s="7"/>
      <c r="E19203" s="7"/>
      <c r="F19203" s="7"/>
      <c r="G19203" s="7"/>
      <c r="H19203" s="7"/>
      <c r="I19203" s="7"/>
      <c r="J19203" s="7"/>
      <c r="K19203" s="7"/>
      <c r="L19203" s="7"/>
      <c r="M19203" s="7"/>
      <c r="N19203" s="7"/>
      <c r="O19203" s="7"/>
      <c r="P19203" s="7"/>
      <c r="Q19203" s="7"/>
      <c r="R19203" s="7"/>
      <c r="S19203" s="7"/>
      <c r="T19203" s="7"/>
      <c r="U19203" s="7"/>
      <c r="V19203" s="7"/>
      <c r="W19203" s="7"/>
      <c r="X19203" s="7"/>
      <c r="Y19203" s="7"/>
      <c r="Z19203" s="7"/>
      <c r="AA19203" s="7"/>
      <c r="AB19203" s="7"/>
      <c r="AC19203" s="7"/>
      <c r="AD19203" s="7"/>
      <c r="AE19203" s="7"/>
      <c r="AF19203" s="7"/>
      <c r="AG19203" s="10"/>
    </row>
    <row r="19204" spans="1:33">
      <c r="A19204" s="7"/>
      <c r="B19204" s="7"/>
      <c r="C19204" s="7"/>
      <c r="D19204" s="7"/>
      <c r="E19204" s="7"/>
      <c r="F19204" s="7"/>
      <c r="G19204" s="7"/>
      <c r="H19204" s="7"/>
      <c r="I19204" s="7"/>
      <c r="J19204" s="7"/>
      <c r="K19204" s="7"/>
      <c r="L19204" s="7"/>
      <c r="M19204" s="7"/>
      <c r="N19204" s="7"/>
      <c r="O19204" s="7"/>
      <c r="P19204" s="7"/>
      <c r="Q19204" s="7"/>
      <c r="R19204" s="7"/>
      <c r="S19204" s="7"/>
      <c r="T19204" s="7"/>
      <c r="U19204" s="7"/>
      <c r="V19204" s="7"/>
      <c r="W19204" s="7"/>
      <c r="X19204" s="7"/>
      <c r="Y19204" s="7"/>
      <c r="Z19204" s="7"/>
      <c r="AA19204" s="7"/>
      <c r="AB19204" s="7"/>
      <c r="AC19204" s="7"/>
      <c r="AD19204" s="7"/>
      <c r="AE19204" s="7"/>
      <c r="AF19204" s="7"/>
      <c r="AG19204" s="10"/>
    </row>
    <row r="19205" spans="1:33">
      <c r="A19205" s="7"/>
      <c r="B19205" s="7"/>
      <c r="C19205" s="7"/>
      <c r="D19205" s="7"/>
      <c r="E19205" s="7"/>
      <c r="F19205" s="7"/>
      <c r="G19205" s="7"/>
      <c r="H19205" s="7"/>
      <c r="I19205" s="7"/>
      <c r="J19205" s="7"/>
      <c r="K19205" s="7"/>
      <c r="L19205" s="7"/>
      <c r="M19205" s="7"/>
      <c r="N19205" s="7"/>
      <c r="O19205" s="7"/>
      <c r="P19205" s="7"/>
      <c r="Q19205" s="7"/>
      <c r="R19205" s="7"/>
      <c r="S19205" s="7"/>
      <c r="T19205" s="7"/>
      <c r="U19205" s="7"/>
      <c r="V19205" s="7"/>
      <c r="W19205" s="7"/>
      <c r="X19205" s="7"/>
      <c r="Y19205" s="7"/>
      <c r="Z19205" s="7"/>
      <c r="AA19205" s="7"/>
      <c r="AB19205" s="7"/>
      <c r="AC19205" s="7"/>
      <c r="AD19205" s="7"/>
      <c r="AE19205" s="7"/>
      <c r="AF19205" s="7"/>
      <c r="AG19205" s="10"/>
    </row>
    <row r="19206" spans="1:33">
      <c r="A19206" s="7"/>
      <c r="B19206" s="7"/>
      <c r="C19206" s="7"/>
      <c r="D19206" s="7"/>
      <c r="E19206" s="7"/>
      <c r="F19206" s="7"/>
      <c r="G19206" s="7"/>
      <c r="H19206" s="7"/>
      <c r="I19206" s="7"/>
      <c r="J19206" s="7"/>
      <c r="K19206" s="7"/>
      <c r="L19206" s="7"/>
      <c r="M19206" s="7"/>
      <c r="N19206" s="7"/>
      <c r="O19206" s="7"/>
      <c r="P19206" s="7"/>
      <c r="Q19206" s="7"/>
      <c r="R19206" s="7"/>
      <c r="S19206" s="7"/>
      <c r="T19206" s="7"/>
      <c r="U19206" s="7"/>
      <c r="V19206" s="7"/>
      <c r="W19206" s="7"/>
      <c r="X19206" s="7"/>
      <c r="Y19206" s="7"/>
      <c r="Z19206" s="7"/>
      <c r="AA19206" s="7"/>
      <c r="AB19206" s="7"/>
      <c r="AC19206" s="7"/>
      <c r="AD19206" s="7"/>
      <c r="AE19206" s="7"/>
      <c r="AF19206" s="7"/>
      <c r="AG19206" s="10"/>
    </row>
    <row r="19207" spans="1:33">
      <c r="A19207" s="7"/>
      <c r="B19207" s="7"/>
      <c r="C19207" s="7"/>
      <c r="D19207" s="7"/>
      <c r="E19207" s="7"/>
      <c r="F19207" s="7"/>
      <c r="G19207" s="7"/>
      <c r="H19207" s="7"/>
      <c r="I19207" s="7"/>
      <c r="J19207" s="7"/>
      <c r="K19207" s="7"/>
      <c r="L19207" s="7"/>
      <c r="M19207" s="7"/>
      <c r="N19207" s="7"/>
      <c r="O19207" s="7"/>
      <c r="P19207" s="7"/>
      <c r="Q19207" s="7"/>
      <c r="R19207" s="7"/>
      <c r="S19207" s="7"/>
      <c r="T19207" s="7"/>
      <c r="U19207" s="7"/>
      <c r="V19207" s="7"/>
      <c r="W19207" s="7"/>
      <c r="X19207" s="7"/>
      <c r="Y19207" s="7"/>
      <c r="Z19207" s="7"/>
      <c r="AA19207" s="7"/>
      <c r="AB19207" s="7"/>
      <c r="AC19207" s="7"/>
      <c r="AD19207" s="7"/>
      <c r="AE19207" s="7"/>
      <c r="AF19207" s="7"/>
      <c r="AG19207" s="10"/>
    </row>
    <row r="19208" spans="1:33">
      <c r="A19208" s="7"/>
      <c r="B19208" s="7"/>
      <c r="C19208" s="7"/>
      <c r="D19208" s="7"/>
      <c r="E19208" s="7"/>
      <c r="F19208" s="7"/>
      <c r="G19208" s="7"/>
      <c r="H19208" s="7"/>
      <c r="I19208" s="7"/>
      <c r="J19208" s="7"/>
      <c r="K19208" s="7"/>
      <c r="L19208" s="7"/>
      <c r="M19208" s="7"/>
      <c r="N19208" s="7"/>
      <c r="O19208" s="7"/>
      <c r="P19208" s="7"/>
      <c r="Q19208" s="7"/>
      <c r="R19208" s="7"/>
      <c r="S19208" s="7"/>
      <c r="T19208" s="7"/>
      <c r="U19208" s="7"/>
      <c r="V19208" s="7"/>
      <c r="W19208" s="7"/>
      <c r="X19208" s="7"/>
      <c r="Y19208" s="7"/>
      <c r="Z19208" s="7"/>
      <c r="AA19208" s="7"/>
      <c r="AB19208" s="7"/>
      <c r="AC19208" s="7"/>
      <c r="AD19208" s="7"/>
      <c r="AE19208" s="7"/>
      <c r="AF19208" s="7"/>
      <c r="AG19208" s="10"/>
    </row>
    <row r="19209" spans="1:33">
      <c r="A19209" s="7"/>
      <c r="B19209" s="7"/>
      <c r="C19209" s="7"/>
      <c r="D19209" s="7"/>
      <c r="E19209" s="7"/>
      <c r="F19209" s="7"/>
      <c r="G19209" s="7"/>
      <c r="H19209" s="7"/>
      <c r="I19209" s="7"/>
      <c r="J19209" s="7"/>
      <c r="K19209" s="7"/>
      <c r="L19209" s="7"/>
      <c r="M19209" s="7"/>
      <c r="N19209" s="7"/>
      <c r="O19209" s="7"/>
      <c r="P19209" s="7"/>
      <c r="Q19209" s="7"/>
      <c r="R19209" s="7"/>
      <c r="S19209" s="7"/>
      <c r="T19209" s="7"/>
      <c r="U19209" s="7"/>
      <c r="V19209" s="7"/>
      <c r="W19209" s="7"/>
      <c r="X19209" s="7"/>
      <c r="Y19209" s="7"/>
      <c r="Z19209" s="7"/>
      <c r="AA19209" s="7"/>
      <c r="AB19209" s="7"/>
      <c r="AC19209" s="7"/>
      <c r="AD19209" s="7"/>
      <c r="AE19209" s="7"/>
      <c r="AF19209" s="7"/>
      <c r="AG19209" s="10"/>
    </row>
    <row r="19210" spans="1:33">
      <c r="A19210" s="7"/>
      <c r="B19210" s="7"/>
      <c r="C19210" s="7"/>
      <c r="D19210" s="7"/>
      <c r="E19210" s="7"/>
      <c r="F19210" s="7"/>
      <c r="G19210" s="7"/>
      <c r="H19210" s="7"/>
      <c r="I19210" s="7"/>
      <c r="J19210" s="7"/>
      <c r="K19210" s="7"/>
      <c r="L19210" s="7"/>
      <c r="M19210" s="7"/>
      <c r="N19210" s="7"/>
      <c r="O19210" s="7"/>
      <c r="P19210" s="7"/>
      <c r="Q19210" s="7"/>
      <c r="R19210" s="7"/>
      <c r="S19210" s="7"/>
      <c r="T19210" s="7"/>
      <c r="U19210" s="7"/>
      <c r="V19210" s="7"/>
      <c r="W19210" s="7"/>
      <c r="X19210" s="7"/>
      <c r="Y19210" s="7"/>
      <c r="Z19210" s="7"/>
      <c r="AA19210" s="7"/>
      <c r="AB19210" s="7"/>
      <c r="AC19210" s="7"/>
      <c r="AD19210" s="7"/>
      <c r="AE19210" s="7"/>
      <c r="AF19210" s="7"/>
      <c r="AG19210" s="10"/>
    </row>
    <row r="19211" spans="1:33">
      <c r="A19211" s="7"/>
      <c r="B19211" s="7"/>
      <c r="C19211" s="7"/>
      <c r="D19211" s="7"/>
      <c r="E19211" s="7"/>
      <c r="F19211" s="7"/>
      <c r="G19211" s="7"/>
      <c r="H19211" s="7"/>
      <c r="I19211" s="7"/>
      <c r="J19211" s="7"/>
      <c r="K19211" s="7"/>
      <c r="L19211" s="7"/>
      <c r="M19211" s="7"/>
      <c r="N19211" s="7"/>
      <c r="O19211" s="7"/>
      <c r="P19211" s="7"/>
      <c r="Q19211" s="7"/>
      <c r="R19211" s="7"/>
      <c r="S19211" s="7"/>
      <c r="T19211" s="7"/>
      <c r="U19211" s="7"/>
      <c r="V19211" s="7"/>
      <c r="W19211" s="7"/>
      <c r="X19211" s="7"/>
      <c r="Y19211" s="7"/>
      <c r="Z19211" s="7"/>
      <c r="AA19211" s="7"/>
      <c r="AB19211" s="7"/>
      <c r="AC19211" s="7"/>
      <c r="AD19211" s="7"/>
      <c r="AE19211" s="7"/>
      <c r="AF19211" s="7"/>
      <c r="AG19211" s="10"/>
    </row>
    <row r="19212" spans="1:33">
      <c r="A19212" s="7"/>
      <c r="B19212" s="7"/>
      <c r="C19212" s="7"/>
      <c r="D19212" s="7"/>
      <c r="E19212" s="7"/>
      <c r="F19212" s="7"/>
      <c r="G19212" s="7"/>
      <c r="H19212" s="7"/>
      <c r="I19212" s="7"/>
      <c r="J19212" s="7"/>
      <c r="K19212" s="7"/>
      <c r="L19212" s="7"/>
      <c r="M19212" s="7"/>
      <c r="N19212" s="7"/>
      <c r="O19212" s="7"/>
      <c r="P19212" s="7"/>
      <c r="Q19212" s="7"/>
      <c r="R19212" s="7"/>
      <c r="S19212" s="7"/>
      <c r="T19212" s="7"/>
      <c r="U19212" s="7"/>
      <c r="V19212" s="7"/>
      <c r="W19212" s="7"/>
      <c r="X19212" s="7"/>
      <c r="Y19212" s="7"/>
      <c r="Z19212" s="7"/>
      <c r="AA19212" s="7"/>
      <c r="AB19212" s="7"/>
      <c r="AC19212" s="7"/>
      <c r="AD19212" s="7"/>
      <c r="AE19212" s="7"/>
      <c r="AF19212" s="7"/>
      <c r="AG19212" s="10"/>
    </row>
    <row r="19213" spans="1:33">
      <c r="A19213" s="7"/>
      <c r="B19213" s="7"/>
      <c r="C19213" s="7"/>
      <c r="D19213" s="7"/>
      <c r="E19213" s="7"/>
      <c r="F19213" s="7"/>
      <c r="G19213" s="7"/>
      <c r="H19213" s="7"/>
      <c r="I19213" s="7"/>
      <c r="J19213" s="7"/>
      <c r="K19213" s="7"/>
      <c r="L19213" s="7"/>
      <c r="M19213" s="7"/>
      <c r="N19213" s="7"/>
      <c r="O19213" s="7"/>
      <c r="P19213" s="7"/>
      <c r="Q19213" s="7"/>
      <c r="R19213" s="7"/>
      <c r="S19213" s="7"/>
      <c r="T19213" s="7"/>
      <c r="U19213" s="7"/>
      <c r="V19213" s="7"/>
      <c r="W19213" s="7"/>
      <c r="X19213" s="7"/>
      <c r="Y19213" s="7"/>
      <c r="Z19213" s="7"/>
      <c r="AA19213" s="7"/>
      <c r="AB19213" s="7"/>
      <c r="AC19213" s="7"/>
      <c r="AD19213" s="7"/>
      <c r="AE19213" s="7"/>
      <c r="AF19213" s="7"/>
      <c r="AG19213" s="10"/>
    </row>
    <row r="19214" spans="1:33">
      <c r="A19214" s="7"/>
      <c r="B19214" s="7"/>
      <c r="C19214" s="7"/>
      <c r="D19214" s="7"/>
      <c r="E19214" s="7"/>
      <c r="F19214" s="7"/>
      <c r="G19214" s="7"/>
      <c r="H19214" s="7"/>
      <c r="I19214" s="7"/>
      <c r="J19214" s="7"/>
      <c r="K19214" s="7"/>
      <c r="L19214" s="7"/>
      <c r="M19214" s="7"/>
      <c r="N19214" s="7"/>
      <c r="O19214" s="7"/>
      <c r="P19214" s="7"/>
      <c r="Q19214" s="7"/>
      <c r="R19214" s="7"/>
      <c r="S19214" s="7"/>
      <c r="T19214" s="7"/>
      <c r="U19214" s="7"/>
      <c r="V19214" s="7"/>
      <c r="W19214" s="7"/>
      <c r="X19214" s="7"/>
      <c r="Y19214" s="7"/>
      <c r="Z19214" s="7"/>
      <c r="AA19214" s="7"/>
      <c r="AB19214" s="7"/>
      <c r="AC19214" s="7"/>
      <c r="AD19214" s="7"/>
      <c r="AE19214" s="7"/>
      <c r="AF19214" s="7"/>
      <c r="AG19214" s="10"/>
    </row>
    <row r="19215" spans="1:33">
      <c r="A19215" s="7"/>
      <c r="B19215" s="7"/>
      <c r="C19215" s="7"/>
      <c r="D19215" s="7"/>
      <c r="E19215" s="7"/>
      <c r="F19215" s="7"/>
      <c r="G19215" s="7"/>
      <c r="H19215" s="7"/>
      <c r="I19215" s="7"/>
      <c r="J19215" s="7"/>
      <c r="K19215" s="7"/>
      <c r="L19215" s="7"/>
      <c r="M19215" s="7"/>
      <c r="N19215" s="7"/>
      <c r="O19215" s="7"/>
      <c r="P19215" s="7"/>
      <c r="Q19215" s="7"/>
      <c r="R19215" s="7"/>
      <c r="S19215" s="7"/>
      <c r="T19215" s="7"/>
      <c r="U19215" s="7"/>
      <c r="V19215" s="7"/>
      <c r="W19215" s="7"/>
      <c r="X19215" s="7"/>
      <c r="Y19215" s="7"/>
      <c r="Z19215" s="7"/>
      <c r="AA19215" s="7"/>
      <c r="AB19215" s="7"/>
      <c r="AC19215" s="7"/>
      <c r="AD19215" s="7"/>
      <c r="AE19215" s="7"/>
      <c r="AF19215" s="7"/>
      <c r="AG19215" s="10"/>
    </row>
    <row r="19216" spans="1:33">
      <c r="A19216" s="7"/>
      <c r="B19216" s="7"/>
      <c r="C19216" s="7"/>
      <c r="D19216" s="7"/>
      <c r="E19216" s="7"/>
      <c r="F19216" s="7"/>
      <c r="G19216" s="7"/>
      <c r="H19216" s="7"/>
      <c r="I19216" s="7"/>
      <c r="J19216" s="7"/>
      <c r="K19216" s="7"/>
      <c r="L19216" s="7"/>
      <c r="M19216" s="7"/>
      <c r="N19216" s="7"/>
      <c r="O19216" s="7"/>
      <c r="P19216" s="7"/>
      <c r="Q19216" s="7"/>
      <c r="R19216" s="7"/>
      <c r="S19216" s="7"/>
      <c r="T19216" s="7"/>
      <c r="U19216" s="7"/>
      <c r="V19216" s="7"/>
      <c r="W19216" s="7"/>
      <c r="X19216" s="7"/>
      <c r="Y19216" s="7"/>
      <c r="Z19216" s="7"/>
      <c r="AA19216" s="7"/>
      <c r="AB19216" s="7"/>
      <c r="AC19216" s="7"/>
      <c r="AD19216" s="7"/>
      <c r="AE19216" s="7"/>
      <c r="AF19216" s="7"/>
      <c r="AG19216" s="10"/>
    </row>
    <row r="19217" spans="1:33">
      <c r="A19217" s="7"/>
      <c r="B19217" s="7"/>
      <c r="C19217" s="7"/>
      <c r="D19217" s="7"/>
      <c r="E19217" s="7"/>
      <c r="F19217" s="7"/>
      <c r="G19217" s="7"/>
      <c r="H19217" s="7"/>
      <c r="I19217" s="7"/>
      <c r="J19217" s="7"/>
      <c r="K19217" s="7"/>
      <c r="L19217" s="7"/>
      <c r="M19217" s="7"/>
      <c r="N19217" s="7"/>
      <c r="O19217" s="7"/>
      <c r="P19217" s="7"/>
      <c r="Q19217" s="7"/>
      <c r="R19217" s="7"/>
      <c r="S19217" s="7"/>
      <c r="T19217" s="7"/>
      <c r="U19217" s="7"/>
      <c r="V19217" s="7"/>
      <c r="W19217" s="7"/>
      <c r="X19217" s="7"/>
      <c r="Y19217" s="7"/>
      <c r="Z19217" s="7"/>
      <c r="AA19217" s="7"/>
      <c r="AB19217" s="7"/>
      <c r="AC19217" s="7"/>
      <c r="AD19217" s="7"/>
      <c r="AE19217" s="7"/>
      <c r="AF19217" s="7"/>
      <c r="AG19217" s="10"/>
    </row>
    <row r="19218" spans="1:33">
      <c r="A19218" s="7"/>
      <c r="B19218" s="7"/>
      <c r="C19218" s="7"/>
      <c r="D19218" s="7"/>
      <c r="E19218" s="7"/>
      <c r="F19218" s="7"/>
      <c r="G19218" s="7"/>
      <c r="H19218" s="7"/>
      <c r="I19218" s="7"/>
      <c r="J19218" s="7"/>
      <c r="K19218" s="7"/>
      <c r="L19218" s="7"/>
      <c r="M19218" s="7"/>
      <c r="N19218" s="7"/>
      <c r="O19218" s="7"/>
      <c r="P19218" s="7"/>
      <c r="Q19218" s="7"/>
      <c r="R19218" s="7"/>
      <c r="S19218" s="7"/>
      <c r="T19218" s="7"/>
      <c r="U19218" s="7"/>
      <c r="V19218" s="7"/>
      <c r="W19218" s="7"/>
      <c r="X19218" s="7"/>
      <c r="Y19218" s="7"/>
      <c r="Z19218" s="7"/>
      <c r="AA19218" s="7"/>
      <c r="AB19218" s="7"/>
      <c r="AC19218" s="7"/>
      <c r="AD19218" s="7"/>
      <c r="AE19218" s="7"/>
      <c r="AF19218" s="7"/>
      <c r="AG19218" s="10"/>
    </row>
    <row r="19219" spans="1:33">
      <c r="A19219" s="7"/>
      <c r="B19219" s="7"/>
      <c r="C19219" s="7"/>
      <c r="D19219" s="7"/>
      <c r="E19219" s="7"/>
      <c r="F19219" s="7"/>
      <c r="G19219" s="7"/>
      <c r="H19219" s="7"/>
      <c r="I19219" s="7"/>
      <c r="J19219" s="7"/>
      <c r="K19219" s="7"/>
      <c r="L19219" s="7"/>
      <c r="M19219" s="7"/>
      <c r="N19219" s="7"/>
      <c r="O19219" s="7"/>
      <c r="P19219" s="7"/>
      <c r="Q19219" s="7"/>
      <c r="R19219" s="7"/>
      <c r="S19219" s="7"/>
      <c r="T19219" s="7"/>
      <c r="U19219" s="7"/>
      <c r="V19219" s="7"/>
      <c r="W19219" s="7"/>
      <c r="X19219" s="7"/>
      <c r="Y19219" s="7"/>
      <c r="Z19219" s="7"/>
      <c r="AA19219" s="7"/>
      <c r="AB19219" s="7"/>
      <c r="AC19219" s="7"/>
      <c r="AD19219" s="7"/>
      <c r="AE19219" s="7"/>
      <c r="AF19219" s="7"/>
      <c r="AG19219" s="10"/>
    </row>
    <row r="19220" spans="1:33">
      <c r="A19220" s="7"/>
      <c r="B19220" s="7"/>
      <c r="C19220" s="7"/>
      <c r="D19220" s="7"/>
      <c r="E19220" s="7"/>
      <c r="F19220" s="7"/>
      <c r="G19220" s="7"/>
      <c r="H19220" s="7"/>
      <c r="I19220" s="7"/>
      <c r="J19220" s="7"/>
      <c r="K19220" s="7"/>
      <c r="L19220" s="7"/>
      <c r="M19220" s="7"/>
      <c r="N19220" s="7"/>
      <c r="O19220" s="7"/>
      <c r="P19220" s="7"/>
      <c r="Q19220" s="7"/>
      <c r="R19220" s="7"/>
      <c r="S19220" s="7"/>
      <c r="T19220" s="7"/>
      <c r="U19220" s="7"/>
      <c r="V19220" s="7"/>
      <c r="W19220" s="7"/>
      <c r="X19220" s="7"/>
      <c r="Y19220" s="7"/>
      <c r="Z19220" s="7"/>
      <c r="AA19220" s="7"/>
      <c r="AB19220" s="7"/>
      <c r="AC19220" s="7"/>
      <c r="AD19220" s="7"/>
      <c r="AE19220" s="7"/>
      <c r="AF19220" s="7"/>
      <c r="AG19220" s="10"/>
    </row>
    <row r="19221" spans="1:33">
      <c r="A19221" s="7"/>
      <c r="B19221" s="7"/>
      <c r="C19221" s="7"/>
      <c r="D19221" s="7"/>
      <c r="E19221" s="7"/>
      <c r="F19221" s="7"/>
      <c r="G19221" s="7"/>
      <c r="H19221" s="7"/>
      <c r="I19221" s="7"/>
      <c r="J19221" s="7"/>
      <c r="K19221" s="7"/>
      <c r="L19221" s="7"/>
      <c r="M19221" s="7"/>
      <c r="N19221" s="7"/>
      <c r="O19221" s="7"/>
      <c r="P19221" s="7"/>
      <c r="Q19221" s="7"/>
      <c r="R19221" s="7"/>
      <c r="S19221" s="7"/>
      <c r="T19221" s="7"/>
      <c r="U19221" s="7"/>
      <c r="V19221" s="7"/>
      <c r="W19221" s="7"/>
      <c r="X19221" s="7"/>
      <c r="Y19221" s="7"/>
      <c r="Z19221" s="7"/>
      <c r="AA19221" s="7"/>
      <c r="AB19221" s="7"/>
      <c r="AC19221" s="7"/>
      <c r="AD19221" s="7"/>
      <c r="AE19221" s="7"/>
      <c r="AF19221" s="7"/>
      <c r="AG19221" s="10"/>
    </row>
    <row r="19222" spans="1:33">
      <c r="A19222" s="7"/>
      <c r="B19222" s="7"/>
      <c r="C19222" s="7"/>
      <c r="D19222" s="7"/>
      <c r="E19222" s="7"/>
      <c r="F19222" s="7"/>
      <c r="G19222" s="7"/>
      <c r="H19222" s="7"/>
      <c r="I19222" s="7"/>
      <c r="J19222" s="7"/>
      <c r="K19222" s="7"/>
      <c r="L19222" s="7"/>
      <c r="M19222" s="7"/>
      <c r="N19222" s="7"/>
      <c r="O19222" s="7"/>
      <c r="P19222" s="7"/>
      <c r="Q19222" s="7"/>
      <c r="R19222" s="7"/>
      <c r="S19222" s="7"/>
      <c r="T19222" s="7"/>
      <c r="U19222" s="7"/>
      <c r="V19222" s="7"/>
      <c r="W19222" s="7"/>
      <c r="X19222" s="7"/>
      <c r="Y19222" s="7"/>
      <c r="Z19222" s="7"/>
      <c r="AA19222" s="7"/>
      <c r="AB19222" s="7"/>
      <c r="AC19222" s="7"/>
      <c r="AD19222" s="7"/>
      <c r="AE19222" s="7"/>
      <c r="AF19222" s="7"/>
      <c r="AG19222" s="10"/>
    </row>
    <row r="19223" spans="1:33">
      <c r="A19223" s="7"/>
      <c r="B19223" s="7"/>
      <c r="C19223" s="7"/>
      <c r="D19223" s="7"/>
      <c r="E19223" s="7"/>
      <c r="F19223" s="7"/>
      <c r="G19223" s="7"/>
      <c r="H19223" s="7"/>
      <c r="I19223" s="7"/>
      <c r="J19223" s="7"/>
      <c r="K19223" s="7"/>
      <c r="L19223" s="7"/>
      <c r="M19223" s="7"/>
      <c r="N19223" s="7"/>
      <c r="O19223" s="7"/>
      <c r="P19223" s="7"/>
      <c r="Q19223" s="7"/>
      <c r="R19223" s="7"/>
      <c r="S19223" s="7"/>
      <c r="T19223" s="7"/>
      <c r="U19223" s="7"/>
      <c r="V19223" s="7"/>
      <c r="W19223" s="7"/>
      <c r="X19223" s="7"/>
      <c r="Y19223" s="7"/>
      <c r="Z19223" s="7"/>
      <c r="AA19223" s="7"/>
      <c r="AB19223" s="7"/>
      <c r="AC19223" s="7"/>
      <c r="AD19223" s="7"/>
      <c r="AE19223" s="7"/>
      <c r="AF19223" s="7"/>
      <c r="AG19223" s="10"/>
    </row>
    <row r="19224" spans="1:33">
      <c r="A19224" s="7"/>
      <c r="B19224" s="7"/>
      <c r="C19224" s="7"/>
      <c r="D19224" s="7"/>
      <c r="E19224" s="7"/>
      <c r="F19224" s="7"/>
      <c r="G19224" s="7"/>
      <c r="H19224" s="7"/>
      <c r="I19224" s="7"/>
      <c r="J19224" s="7"/>
      <c r="K19224" s="7"/>
      <c r="L19224" s="7"/>
      <c r="M19224" s="7"/>
      <c r="N19224" s="7"/>
      <c r="O19224" s="7"/>
      <c r="P19224" s="7"/>
      <c r="Q19224" s="7"/>
      <c r="R19224" s="7"/>
      <c r="S19224" s="7"/>
      <c r="T19224" s="7"/>
      <c r="U19224" s="7"/>
      <c r="V19224" s="7"/>
      <c r="W19224" s="7"/>
      <c r="X19224" s="7"/>
      <c r="Y19224" s="7"/>
      <c r="Z19224" s="7"/>
      <c r="AA19224" s="7"/>
      <c r="AB19224" s="7"/>
      <c r="AC19224" s="7"/>
      <c r="AD19224" s="7"/>
      <c r="AE19224" s="7"/>
      <c r="AF19224" s="7"/>
      <c r="AG19224" s="10"/>
    </row>
    <row r="19225" spans="1:33">
      <c r="A19225" s="7"/>
      <c r="B19225" s="7"/>
      <c r="C19225" s="7"/>
      <c r="D19225" s="7"/>
      <c r="E19225" s="7"/>
      <c r="F19225" s="7"/>
      <c r="G19225" s="7"/>
      <c r="H19225" s="7"/>
      <c r="I19225" s="7"/>
      <c r="J19225" s="7"/>
      <c r="K19225" s="7"/>
      <c r="L19225" s="7"/>
      <c r="M19225" s="7"/>
      <c r="N19225" s="7"/>
      <c r="O19225" s="7"/>
      <c r="P19225" s="7"/>
      <c r="Q19225" s="7"/>
      <c r="R19225" s="7"/>
      <c r="S19225" s="7"/>
      <c r="T19225" s="7"/>
      <c r="U19225" s="7"/>
      <c r="V19225" s="7"/>
      <c r="W19225" s="7"/>
      <c r="X19225" s="7"/>
      <c r="Y19225" s="7"/>
      <c r="Z19225" s="7"/>
      <c r="AA19225" s="7"/>
      <c r="AB19225" s="7"/>
      <c r="AC19225" s="7"/>
      <c r="AD19225" s="7"/>
      <c r="AE19225" s="7"/>
      <c r="AF19225" s="7"/>
      <c r="AG19225" s="10"/>
    </row>
    <row r="19226" spans="1:33">
      <c r="A19226" s="7"/>
      <c r="B19226" s="7"/>
      <c r="C19226" s="7"/>
      <c r="D19226" s="7"/>
      <c r="E19226" s="7"/>
      <c r="F19226" s="7"/>
      <c r="G19226" s="7"/>
      <c r="H19226" s="7"/>
      <c r="I19226" s="7"/>
      <c r="J19226" s="7"/>
      <c r="K19226" s="7"/>
      <c r="L19226" s="7"/>
      <c r="M19226" s="7"/>
      <c r="N19226" s="7"/>
      <c r="O19226" s="7"/>
      <c r="P19226" s="7"/>
      <c r="Q19226" s="7"/>
      <c r="R19226" s="7"/>
      <c r="S19226" s="7"/>
      <c r="T19226" s="7"/>
      <c r="U19226" s="7"/>
      <c r="V19226" s="7"/>
      <c r="W19226" s="7"/>
      <c r="X19226" s="7"/>
      <c r="Y19226" s="7"/>
      <c r="Z19226" s="7"/>
      <c r="AA19226" s="7"/>
      <c r="AB19226" s="7"/>
      <c r="AC19226" s="7"/>
      <c r="AD19226" s="7"/>
      <c r="AE19226" s="7"/>
      <c r="AF19226" s="7"/>
      <c r="AG19226" s="10"/>
    </row>
    <row r="19227" spans="1:33">
      <c r="A19227" s="7"/>
      <c r="B19227" s="7"/>
      <c r="C19227" s="7"/>
      <c r="D19227" s="7"/>
      <c r="E19227" s="7"/>
      <c r="F19227" s="7"/>
      <c r="G19227" s="7"/>
      <c r="H19227" s="7"/>
      <c r="I19227" s="7"/>
      <c r="J19227" s="7"/>
      <c r="K19227" s="7"/>
      <c r="L19227" s="7"/>
      <c r="M19227" s="7"/>
      <c r="N19227" s="7"/>
      <c r="O19227" s="7"/>
      <c r="P19227" s="7"/>
      <c r="Q19227" s="7"/>
      <c r="R19227" s="7"/>
      <c r="S19227" s="7"/>
      <c r="T19227" s="7"/>
      <c r="U19227" s="7"/>
      <c r="V19227" s="7"/>
      <c r="W19227" s="7"/>
      <c r="X19227" s="7"/>
      <c r="Y19227" s="7"/>
      <c r="Z19227" s="7"/>
      <c r="AA19227" s="7"/>
      <c r="AB19227" s="7"/>
      <c r="AC19227" s="7"/>
      <c r="AD19227" s="7"/>
      <c r="AE19227" s="7"/>
      <c r="AF19227" s="7"/>
      <c r="AG19227" s="10"/>
    </row>
    <row r="19228" spans="1:33">
      <c r="A19228" s="7"/>
      <c r="B19228" s="7"/>
      <c r="C19228" s="7"/>
      <c r="D19228" s="7"/>
      <c r="E19228" s="7"/>
      <c r="F19228" s="7"/>
      <c r="G19228" s="7"/>
      <c r="H19228" s="7"/>
      <c r="I19228" s="7"/>
      <c r="J19228" s="7"/>
      <c r="K19228" s="7"/>
      <c r="L19228" s="7"/>
      <c r="M19228" s="7"/>
      <c r="N19228" s="7"/>
      <c r="O19228" s="7"/>
      <c r="P19228" s="7"/>
      <c r="Q19228" s="7"/>
      <c r="R19228" s="7"/>
      <c r="S19228" s="7"/>
      <c r="T19228" s="7"/>
      <c r="U19228" s="7"/>
      <c r="V19228" s="7"/>
      <c r="W19228" s="7"/>
      <c r="X19228" s="7"/>
      <c r="Y19228" s="7"/>
      <c r="Z19228" s="7"/>
      <c r="AA19228" s="7"/>
      <c r="AB19228" s="7"/>
      <c r="AC19228" s="7"/>
      <c r="AD19228" s="7"/>
      <c r="AE19228" s="7"/>
      <c r="AF19228" s="7"/>
      <c r="AG19228" s="10"/>
    </row>
    <row r="19229" spans="1:33">
      <c r="A19229" s="7"/>
      <c r="B19229" s="7"/>
      <c r="C19229" s="7"/>
      <c r="D19229" s="7"/>
      <c r="E19229" s="7"/>
      <c r="F19229" s="7"/>
      <c r="G19229" s="7"/>
      <c r="H19229" s="7"/>
      <c r="I19229" s="7"/>
      <c r="J19229" s="7"/>
      <c r="K19229" s="7"/>
      <c r="L19229" s="7"/>
      <c r="M19229" s="7"/>
      <c r="N19229" s="7"/>
      <c r="O19229" s="7"/>
      <c r="P19229" s="7"/>
      <c r="Q19229" s="7"/>
      <c r="R19229" s="7"/>
      <c r="S19229" s="7"/>
      <c r="T19229" s="7"/>
      <c r="U19229" s="7"/>
      <c r="V19229" s="7"/>
      <c r="W19229" s="7"/>
      <c r="X19229" s="7"/>
      <c r="Y19229" s="7"/>
      <c r="Z19229" s="7"/>
      <c r="AA19229" s="7"/>
      <c r="AB19229" s="7"/>
      <c r="AC19229" s="7"/>
      <c r="AD19229" s="7"/>
      <c r="AE19229" s="7"/>
      <c r="AF19229" s="7"/>
      <c r="AG19229" s="10"/>
    </row>
    <row r="19230" spans="1:33">
      <c r="A19230" s="7"/>
      <c r="B19230" s="7"/>
      <c r="C19230" s="7"/>
      <c r="D19230" s="7"/>
      <c r="E19230" s="7"/>
      <c r="F19230" s="7"/>
      <c r="G19230" s="7"/>
      <c r="H19230" s="7"/>
      <c r="I19230" s="7"/>
      <c r="J19230" s="7"/>
      <c r="K19230" s="7"/>
      <c r="L19230" s="7"/>
      <c r="M19230" s="7"/>
      <c r="N19230" s="7"/>
      <c r="O19230" s="7"/>
      <c r="P19230" s="7"/>
      <c r="Q19230" s="7"/>
      <c r="R19230" s="7"/>
      <c r="S19230" s="7"/>
      <c r="T19230" s="7"/>
      <c r="U19230" s="7"/>
      <c r="V19230" s="7"/>
      <c r="W19230" s="7"/>
      <c r="X19230" s="7"/>
      <c r="Y19230" s="7"/>
      <c r="Z19230" s="7"/>
      <c r="AA19230" s="7"/>
      <c r="AB19230" s="7"/>
      <c r="AC19230" s="7"/>
      <c r="AD19230" s="7"/>
      <c r="AE19230" s="7"/>
      <c r="AF19230" s="7"/>
      <c r="AG19230" s="10"/>
    </row>
    <row r="19231" spans="1:33">
      <c r="A19231" s="7"/>
      <c r="B19231" s="7"/>
      <c r="C19231" s="7"/>
      <c r="D19231" s="7"/>
      <c r="E19231" s="7"/>
      <c r="F19231" s="7"/>
      <c r="G19231" s="7"/>
      <c r="H19231" s="7"/>
      <c r="I19231" s="7"/>
      <c r="J19231" s="7"/>
      <c r="K19231" s="7"/>
      <c r="L19231" s="7"/>
      <c r="M19231" s="7"/>
      <c r="N19231" s="7"/>
      <c r="O19231" s="7"/>
      <c r="P19231" s="7"/>
      <c r="Q19231" s="7"/>
      <c r="R19231" s="7"/>
      <c r="S19231" s="7"/>
      <c r="T19231" s="7"/>
      <c r="U19231" s="7"/>
      <c r="V19231" s="7"/>
      <c r="W19231" s="7"/>
      <c r="X19231" s="7"/>
      <c r="Y19231" s="7"/>
      <c r="Z19231" s="7"/>
      <c r="AA19231" s="7"/>
      <c r="AB19231" s="7"/>
      <c r="AC19231" s="7"/>
      <c r="AD19231" s="7"/>
      <c r="AE19231" s="7"/>
      <c r="AF19231" s="7"/>
      <c r="AG19231" s="10"/>
    </row>
    <row r="19232" spans="1:33">
      <c r="A19232" s="7"/>
      <c r="B19232" s="7"/>
      <c r="C19232" s="7"/>
      <c r="D19232" s="7"/>
      <c r="E19232" s="7"/>
      <c r="F19232" s="7"/>
      <c r="G19232" s="7"/>
      <c r="H19232" s="7"/>
      <c r="I19232" s="7"/>
      <c r="J19232" s="7"/>
      <c r="K19232" s="7"/>
      <c r="L19232" s="7"/>
      <c r="M19232" s="7"/>
      <c r="N19232" s="7"/>
      <c r="O19232" s="7"/>
      <c r="P19232" s="7"/>
      <c r="Q19232" s="7"/>
      <c r="R19232" s="7"/>
      <c r="S19232" s="7"/>
      <c r="T19232" s="7"/>
      <c r="U19232" s="7"/>
      <c r="V19232" s="7"/>
      <c r="W19232" s="7"/>
      <c r="X19232" s="7"/>
      <c r="Y19232" s="7"/>
      <c r="Z19232" s="7"/>
      <c r="AA19232" s="7"/>
      <c r="AB19232" s="7"/>
      <c r="AC19232" s="7"/>
      <c r="AD19232" s="7"/>
      <c r="AE19232" s="7"/>
      <c r="AF19232" s="7"/>
      <c r="AG19232" s="10"/>
    </row>
    <row r="19233" spans="1:33">
      <c r="A19233" s="7"/>
      <c r="B19233" s="7"/>
      <c r="C19233" s="7"/>
      <c r="D19233" s="7"/>
      <c r="E19233" s="7"/>
      <c r="F19233" s="7"/>
      <c r="G19233" s="7"/>
      <c r="H19233" s="7"/>
      <c r="I19233" s="7"/>
      <c r="J19233" s="7"/>
      <c r="K19233" s="7"/>
      <c r="L19233" s="7"/>
      <c r="M19233" s="7"/>
      <c r="N19233" s="7"/>
      <c r="O19233" s="7"/>
      <c r="P19233" s="7"/>
      <c r="Q19233" s="7"/>
      <c r="R19233" s="7"/>
      <c r="S19233" s="7"/>
      <c r="T19233" s="7"/>
      <c r="U19233" s="7"/>
      <c r="V19233" s="7"/>
      <c r="W19233" s="7"/>
      <c r="X19233" s="7"/>
      <c r="Y19233" s="7"/>
      <c r="Z19233" s="7"/>
      <c r="AA19233" s="7"/>
      <c r="AB19233" s="7"/>
      <c r="AC19233" s="7"/>
      <c r="AD19233" s="7"/>
      <c r="AE19233" s="7"/>
      <c r="AF19233" s="7"/>
      <c r="AG19233" s="10"/>
    </row>
    <row r="19234" spans="1:33">
      <c r="A19234" s="7"/>
      <c r="B19234" s="7"/>
      <c r="C19234" s="7"/>
      <c r="D19234" s="7"/>
      <c r="E19234" s="7"/>
      <c r="F19234" s="7"/>
      <c r="G19234" s="7"/>
      <c r="H19234" s="7"/>
      <c r="I19234" s="7"/>
      <c r="J19234" s="7"/>
      <c r="K19234" s="7"/>
      <c r="L19234" s="7"/>
      <c r="M19234" s="7"/>
      <c r="N19234" s="7"/>
      <c r="O19234" s="7"/>
      <c r="P19234" s="7"/>
      <c r="Q19234" s="7"/>
      <c r="R19234" s="7"/>
      <c r="S19234" s="7"/>
      <c r="T19234" s="7"/>
      <c r="U19234" s="7"/>
      <c r="V19234" s="7"/>
      <c r="W19234" s="7"/>
      <c r="X19234" s="7"/>
      <c r="Y19234" s="7"/>
      <c r="Z19234" s="7"/>
      <c r="AA19234" s="7"/>
      <c r="AB19234" s="7"/>
      <c r="AC19234" s="7"/>
      <c r="AD19234" s="7"/>
      <c r="AE19234" s="7"/>
      <c r="AF19234" s="7"/>
      <c r="AG19234" s="10"/>
    </row>
    <row r="19235" spans="1:33">
      <c r="A19235" s="7"/>
      <c r="B19235" s="7"/>
      <c r="C19235" s="7"/>
      <c r="D19235" s="7"/>
      <c r="E19235" s="7"/>
      <c r="F19235" s="7"/>
      <c r="G19235" s="7"/>
      <c r="H19235" s="7"/>
      <c r="I19235" s="7"/>
      <c r="J19235" s="7"/>
      <c r="K19235" s="7"/>
      <c r="L19235" s="7"/>
      <c r="M19235" s="7"/>
      <c r="N19235" s="7"/>
      <c r="O19235" s="7"/>
      <c r="P19235" s="7"/>
      <c r="Q19235" s="7"/>
      <c r="R19235" s="7"/>
      <c r="S19235" s="7"/>
      <c r="T19235" s="7"/>
      <c r="U19235" s="7"/>
      <c r="V19235" s="7"/>
      <c r="W19235" s="7"/>
      <c r="X19235" s="7"/>
      <c r="Y19235" s="7"/>
      <c r="Z19235" s="7"/>
      <c r="AA19235" s="7"/>
      <c r="AB19235" s="7"/>
      <c r="AC19235" s="7"/>
      <c r="AD19235" s="7"/>
      <c r="AE19235" s="7"/>
      <c r="AF19235" s="7"/>
      <c r="AG19235" s="10"/>
    </row>
    <row r="19236" spans="1:33">
      <c r="A19236" s="7"/>
      <c r="B19236" s="7"/>
      <c r="C19236" s="7"/>
      <c r="D19236" s="7"/>
      <c r="E19236" s="7"/>
      <c r="F19236" s="7"/>
      <c r="G19236" s="7"/>
      <c r="H19236" s="7"/>
      <c r="I19236" s="7"/>
      <c r="J19236" s="7"/>
      <c r="K19236" s="7"/>
      <c r="L19236" s="7"/>
      <c r="M19236" s="7"/>
      <c r="N19236" s="7"/>
      <c r="O19236" s="7"/>
      <c r="P19236" s="7"/>
      <c r="Q19236" s="7"/>
      <c r="R19236" s="7"/>
      <c r="S19236" s="7"/>
      <c r="T19236" s="7"/>
      <c r="U19236" s="7"/>
      <c r="V19236" s="7"/>
      <c r="W19236" s="7"/>
      <c r="X19236" s="7"/>
      <c r="Y19236" s="7"/>
      <c r="Z19236" s="7"/>
      <c r="AA19236" s="7"/>
      <c r="AB19236" s="7"/>
      <c r="AC19236" s="7"/>
      <c r="AD19236" s="7"/>
      <c r="AE19236" s="7"/>
      <c r="AF19236" s="7"/>
      <c r="AG19236" s="10"/>
    </row>
    <row r="19237" spans="1:33">
      <c r="A19237" s="7"/>
      <c r="B19237" s="7"/>
      <c r="C19237" s="7"/>
      <c r="D19237" s="7"/>
      <c r="E19237" s="7"/>
      <c r="F19237" s="7"/>
      <c r="G19237" s="7"/>
      <c r="H19237" s="7"/>
      <c r="I19237" s="7"/>
      <c r="J19237" s="7"/>
      <c r="K19237" s="7"/>
      <c r="L19237" s="7"/>
      <c r="M19237" s="7"/>
      <c r="N19237" s="7"/>
      <c r="O19237" s="7"/>
      <c r="P19237" s="7"/>
      <c r="Q19237" s="7"/>
      <c r="R19237" s="7"/>
      <c r="S19237" s="7"/>
      <c r="T19237" s="7"/>
      <c r="U19237" s="7"/>
      <c r="V19237" s="7"/>
      <c r="W19237" s="7"/>
      <c r="X19237" s="7"/>
      <c r="Y19237" s="7"/>
      <c r="Z19237" s="7"/>
      <c r="AA19237" s="7"/>
      <c r="AB19237" s="7"/>
      <c r="AC19237" s="7"/>
      <c r="AD19237" s="7"/>
      <c r="AE19237" s="7"/>
      <c r="AF19237" s="7"/>
      <c r="AG19237" s="10"/>
    </row>
    <row r="19238" spans="1:33">
      <c r="A19238" s="7"/>
      <c r="B19238" s="7"/>
      <c r="C19238" s="7"/>
      <c r="D19238" s="7"/>
      <c r="E19238" s="7"/>
      <c r="F19238" s="7"/>
      <c r="G19238" s="7"/>
      <c r="H19238" s="7"/>
      <c r="I19238" s="7"/>
      <c r="J19238" s="7"/>
      <c r="K19238" s="7"/>
      <c r="L19238" s="7"/>
      <c r="M19238" s="7"/>
      <c r="N19238" s="7"/>
      <c r="O19238" s="7"/>
      <c r="P19238" s="7"/>
      <c r="Q19238" s="7"/>
      <c r="R19238" s="7"/>
      <c r="S19238" s="7"/>
      <c r="T19238" s="7"/>
      <c r="U19238" s="7"/>
      <c r="V19238" s="7"/>
      <c r="W19238" s="7"/>
      <c r="X19238" s="7"/>
      <c r="Y19238" s="7"/>
      <c r="Z19238" s="7"/>
      <c r="AA19238" s="7"/>
      <c r="AB19238" s="7"/>
      <c r="AC19238" s="7"/>
      <c r="AD19238" s="7"/>
      <c r="AE19238" s="7"/>
      <c r="AF19238" s="7"/>
      <c r="AG19238" s="10"/>
    </row>
    <row r="19239" spans="1:33">
      <c r="A19239" s="7"/>
      <c r="B19239" s="7"/>
      <c r="C19239" s="7"/>
      <c r="D19239" s="7"/>
      <c r="E19239" s="7"/>
      <c r="F19239" s="7"/>
      <c r="G19239" s="7"/>
      <c r="H19239" s="7"/>
      <c r="I19239" s="7"/>
      <c r="J19239" s="7"/>
      <c r="K19239" s="7"/>
      <c r="L19239" s="7"/>
      <c r="M19239" s="7"/>
      <c r="N19239" s="7"/>
      <c r="O19239" s="7"/>
      <c r="P19239" s="7"/>
      <c r="Q19239" s="7"/>
      <c r="R19239" s="7"/>
      <c r="S19239" s="7"/>
      <c r="T19239" s="7"/>
      <c r="U19239" s="7"/>
      <c r="V19239" s="7"/>
      <c r="W19239" s="7"/>
      <c r="X19239" s="7"/>
      <c r="Y19239" s="7"/>
      <c r="Z19239" s="7"/>
      <c r="AA19239" s="7"/>
      <c r="AB19239" s="7"/>
      <c r="AC19239" s="7"/>
      <c r="AD19239" s="7"/>
      <c r="AE19239" s="7"/>
      <c r="AF19239" s="7"/>
      <c r="AG19239" s="10"/>
    </row>
    <row r="19240" spans="1:33">
      <c r="A19240" s="7"/>
      <c r="B19240" s="7"/>
      <c r="C19240" s="7"/>
      <c r="D19240" s="7"/>
      <c r="E19240" s="7"/>
      <c r="F19240" s="7"/>
      <c r="G19240" s="7"/>
      <c r="H19240" s="7"/>
      <c r="I19240" s="7"/>
      <c r="J19240" s="7"/>
      <c r="K19240" s="7"/>
      <c r="L19240" s="7"/>
      <c r="M19240" s="7"/>
      <c r="N19240" s="7"/>
      <c r="O19240" s="7"/>
      <c r="P19240" s="7"/>
      <c r="Q19240" s="7"/>
      <c r="R19240" s="7"/>
      <c r="S19240" s="7"/>
      <c r="T19240" s="7"/>
      <c r="U19240" s="7"/>
      <c r="V19240" s="7"/>
      <c r="W19240" s="7"/>
      <c r="X19240" s="7"/>
      <c r="Y19240" s="7"/>
      <c r="Z19240" s="7"/>
      <c r="AA19240" s="7"/>
      <c r="AB19240" s="7"/>
      <c r="AC19240" s="7"/>
      <c r="AD19240" s="7"/>
      <c r="AE19240" s="7"/>
      <c r="AF19240" s="7"/>
      <c r="AG19240" s="10"/>
    </row>
    <row r="19241" spans="1:33">
      <c r="A19241" s="7"/>
      <c r="B19241" s="7"/>
      <c r="C19241" s="7"/>
      <c r="D19241" s="7"/>
      <c r="E19241" s="7"/>
      <c r="F19241" s="7"/>
      <c r="G19241" s="7"/>
      <c r="H19241" s="7"/>
      <c r="I19241" s="7"/>
      <c r="J19241" s="7"/>
      <c r="K19241" s="7"/>
      <c r="L19241" s="7"/>
      <c r="M19241" s="7"/>
      <c r="N19241" s="7"/>
      <c r="O19241" s="7"/>
      <c r="P19241" s="7"/>
      <c r="Q19241" s="7"/>
      <c r="R19241" s="7"/>
      <c r="S19241" s="7"/>
      <c r="T19241" s="7"/>
      <c r="U19241" s="7"/>
      <c r="V19241" s="7"/>
      <c r="W19241" s="7"/>
      <c r="X19241" s="7"/>
      <c r="Y19241" s="7"/>
      <c r="Z19241" s="7"/>
      <c r="AA19241" s="7"/>
      <c r="AB19241" s="7"/>
      <c r="AC19241" s="7"/>
      <c r="AD19241" s="7"/>
      <c r="AE19241" s="7"/>
      <c r="AF19241" s="7"/>
      <c r="AG19241" s="10"/>
    </row>
    <row r="19242" spans="1:33">
      <c r="A19242" s="7"/>
      <c r="B19242" s="7"/>
      <c r="C19242" s="7"/>
      <c r="D19242" s="7"/>
      <c r="E19242" s="7"/>
      <c r="F19242" s="7"/>
      <c r="G19242" s="7"/>
      <c r="H19242" s="7"/>
      <c r="I19242" s="7"/>
      <c r="J19242" s="7"/>
      <c r="K19242" s="7"/>
      <c r="L19242" s="7"/>
      <c r="M19242" s="7"/>
      <c r="N19242" s="7"/>
      <c r="O19242" s="7"/>
      <c r="P19242" s="7"/>
      <c r="Q19242" s="7"/>
      <c r="R19242" s="7"/>
      <c r="S19242" s="7"/>
      <c r="T19242" s="7"/>
      <c r="U19242" s="7"/>
      <c r="V19242" s="7"/>
      <c r="W19242" s="7"/>
      <c r="X19242" s="7"/>
      <c r="Y19242" s="7"/>
      <c r="Z19242" s="7"/>
      <c r="AA19242" s="7"/>
      <c r="AB19242" s="7"/>
      <c r="AC19242" s="7"/>
      <c r="AD19242" s="7"/>
      <c r="AE19242" s="7"/>
      <c r="AF19242" s="7"/>
      <c r="AG19242" s="10"/>
    </row>
    <row r="19243" spans="1:33">
      <c r="A19243" s="7"/>
      <c r="B19243" s="7"/>
      <c r="C19243" s="7"/>
      <c r="D19243" s="7"/>
      <c r="E19243" s="7"/>
      <c r="F19243" s="7"/>
      <c r="G19243" s="7"/>
      <c r="H19243" s="7"/>
      <c r="I19243" s="7"/>
      <c r="J19243" s="7"/>
      <c r="K19243" s="7"/>
      <c r="L19243" s="7"/>
      <c r="M19243" s="7"/>
      <c r="N19243" s="7"/>
      <c r="O19243" s="7"/>
      <c r="P19243" s="7"/>
      <c r="Q19243" s="7"/>
      <c r="R19243" s="7"/>
      <c r="S19243" s="7"/>
      <c r="T19243" s="7"/>
      <c r="U19243" s="7"/>
      <c r="V19243" s="7"/>
      <c r="W19243" s="7"/>
      <c r="X19243" s="7"/>
      <c r="Y19243" s="7"/>
      <c r="Z19243" s="7"/>
      <c r="AA19243" s="7"/>
      <c r="AB19243" s="7"/>
      <c r="AC19243" s="7"/>
      <c r="AD19243" s="7"/>
      <c r="AE19243" s="7"/>
      <c r="AF19243" s="7"/>
      <c r="AG19243" s="10"/>
    </row>
    <row r="19244" spans="1:33">
      <c r="A19244" s="7"/>
      <c r="B19244" s="7"/>
      <c r="C19244" s="7"/>
      <c r="D19244" s="7"/>
      <c r="E19244" s="7"/>
      <c r="F19244" s="7"/>
      <c r="G19244" s="7"/>
      <c r="H19244" s="7"/>
      <c r="I19244" s="7"/>
      <c r="J19244" s="7"/>
      <c r="K19244" s="7"/>
      <c r="L19244" s="7"/>
      <c r="M19244" s="7"/>
      <c r="N19244" s="7"/>
      <c r="O19244" s="7"/>
      <c r="P19244" s="7"/>
      <c r="Q19244" s="7"/>
      <c r="R19244" s="7"/>
      <c r="S19244" s="7"/>
      <c r="T19244" s="7"/>
      <c r="U19244" s="7"/>
      <c r="V19244" s="7"/>
      <c r="W19244" s="7"/>
      <c r="X19244" s="7"/>
      <c r="Y19244" s="7"/>
      <c r="Z19244" s="7"/>
      <c r="AA19244" s="7"/>
      <c r="AB19244" s="7"/>
      <c r="AC19244" s="7"/>
      <c r="AD19244" s="7"/>
      <c r="AE19244" s="7"/>
      <c r="AF19244" s="7"/>
      <c r="AG19244" s="10"/>
    </row>
    <row r="19245" spans="1:33">
      <c r="A19245" s="7"/>
      <c r="B19245" s="7"/>
      <c r="C19245" s="7"/>
      <c r="D19245" s="7"/>
      <c r="E19245" s="7"/>
      <c r="F19245" s="7"/>
      <c r="G19245" s="7"/>
      <c r="H19245" s="7"/>
      <c r="I19245" s="7"/>
      <c r="J19245" s="7"/>
      <c r="K19245" s="7"/>
      <c r="L19245" s="7"/>
      <c r="M19245" s="7"/>
      <c r="N19245" s="7"/>
      <c r="O19245" s="7"/>
      <c r="P19245" s="7"/>
      <c r="Q19245" s="7"/>
      <c r="R19245" s="7"/>
      <c r="S19245" s="7"/>
      <c r="T19245" s="7"/>
      <c r="U19245" s="7"/>
      <c r="V19245" s="7"/>
      <c r="W19245" s="7"/>
      <c r="X19245" s="7"/>
      <c r="Y19245" s="7"/>
      <c r="Z19245" s="7"/>
      <c r="AA19245" s="7"/>
      <c r="AB19245" s="7"/>
      <c r="AC19245" s="7"/>
      <c r="AD19245" s="7"/>
      <c r="AE19245" s="7"/>
      <c r="AF19245" s="7"/>
      <c r="AG19245" s="10"/>
    </row>
    <row r="19246" spans="1:33">
      <c r="A19246" s="7"/>
      <c r="B19246" s="7"/>
      <c r="C19246" s="7"/>
      <c r="D19246" s="7"/>
      <c r="E19246" s="7"/>
      <c r="F19246" s="7"/>
      <c r="G19246" s="7"/>
      <c r="H19246" s="7"/>
      <c r="I19246" s="7"/>
      <c r="J19246" s="7"/>
      <c r="K19246" s="7"/>
      <c r="L19246" s="7"/>
      <c r="M19246" s="7"/>
      <c r="N19246" s="7"/>
      <c r="O19246" s="7"/>
      <c r="P19246" s="7"/>
      <c r="Q19246" s="7"/>
      <c r="R19246" s="7"/>
      <c r="S19246" s="7"/>
      <c r="T19246" s="7"/>
      <c r="U19246" s="7"/>
      <c r="V19246" s="7"/>
      <c r="W19246" s="7"/>
      <c r="X19246" s="7"/>
      <c r="Y19246" s="7"/>
      <c r="Z19246" s="7"/>
      <c r="AA19246" s="7"/>
      <c r="AB19246" s="7"/>
      <c r="AC19246" s="7"/>
      <c r="AD19246" s="7"/>
      <c r="AE19246" s="7"/>
      <c r="AF19246" s="7"/>
      <c r="AG19246" s="10"/>
    </row>
    <row r="19247" spans="1:33">
      <c r="A19247" s="7"/>
      <c r="B19247" s="7"/>
      <c r="C19247" s="7"/>
      <c r="D19247" s="7"/>
      <c r="E19247" s="7"/>
      <c r="F19247" s="7"/>
      <c r="G19247" s="7"/>
      <c r="H19247" s="7"/>
      <c r="I19247" s="7"/>
      <c r="J19247" s="7"/>
      <c r="K19247" s="7"/>
      <c r="L19247" s="7"/>
      <c r="M19247" s="7"/>
      <c r="N19247" s="7"/>
      <c r="O19247" s="7"/>
      <c r="P19247" s="7"/>
      <c r="Q19247" s="7"/>
      <c r="R19247" s="7"/>
      <c r="S19247" s="7"/>
      <c r="T19247" s="7"/>
      <c r="U19247" s="7"/>
      <c r="V19247" s="7"/>
      <c r="W19247" s="7"/>
      <c r="X19247" s="7"/>
      <c r="Y19247" s="7"/>
      <c r="Z19247" s="7"/>
      <c r="AA19247" s="7"/>
      <c r="AB19247" s="7"/>
      <c r="AC19247" s="7"/>
      <c r="AD19247" s="7"/>
      <c r="AE19247" s="7"/>
      <c r="AF19247" s="7"/>
      <c r="AG19247" s="10"/>
    </row>
    <row r="19248" spans="1:33">
      <c r="A19248" s="7"/>
      <c r="B19248" s="7"/>
      <c r="C19248" s="7"/>
      <c r="D19248" s="7"/>
      <c r="E19248" s="7"/>
      <c r="F19248" s="7"/>
      <c r="G19248" s="7"/>
      <c r="H19248" s="7"/>
      <c r="I19248" s="7"/>
      <c r="J19248" s="7"/>
      <c r="K19248" s="7"/>
      <c r="L19248" s="7"/>
      <c r="M19248" s="7"/>
      <c r="N19248" s="7"/>
      <c r="O19248" s="7"/>
      <c r="P19248" s="7"/>
      <c r="Q19248" s="7"/>
      <c r="R19248" s="7"/>
      <c r="S19248" s="7"/>
      <c r="T19248" s="7"/>
      <c r="U19248" s="7"/>
      <c r="V19248" s="7"/>
      <c r="W19248" s="7"/>
      <c r="X19248" s="7"/>
      <c r="Y19248" s="7"/>
      <c r="Z19248" s="7"/>
      <c r="AA19248" s="7"/>
      <c r="AB19248" s="7"/>
      <c r="AC19248" s="7"/>
      <c r="AD19248" s="7"/>
      <c r="AE19248" s="7"/>
      <c r="AF19248" s="7"/>
      <c r="AG19248" s="10"/>
    </row>
    <row r="19249" spans="1:33">
      <c r="A19249" s="7"/>
      <c r="B19249" s="7"/>
      <c r="C19249" s="7"/>
      <c r="D19249" s="7"/>
      <c r="E19249" s="7"/>
      <c r="F19249" s="7"/>
      <c r="G19249" s="7"/>
      <c r="H19249" s="7"/>
      <c r="I19249" s="7"/>
      <c r="J19249" s="7"/>
      <c r="K19249" s="7"/>
      <c r="L19249" s="7"/>
      <c r="M19249" s="7"/>
      <c r="N19249" s="7"/>
      <c r="O19249" s="7"/>
      <c r="P19249" s="7"/>
      <c r="Q19249" s="7"/>
      <c r="R19249" s="7"/>
      <c r="S19249" s="7"/>
      <c r="T19249" s="7"/>
      <c r="U19249" s="7"/>
      <c r="V19249" s="7"/>
      <c r="W19249" s="7"/>
      <c r="X19249" s="7"/>
      <c r="Y19249" s="7"/>
      <c r="Z19249" s="7"/>
      <c r="AA19249" s="7"/>
      <c r="AB19249" s="7"/>
      <c r="AC19249" s="7"/>
      <c r="AD19249" s="7"/>
      <c r="AE19249" s="7"/>
      <c r="AF19249" s="7"/>
      <c r="AG19249" s="10"/>
    </row>
    <row r="19250" spans="1:33">
      <c r="A19250" s="7"/>
      <c r="B19250" s="7"/>
      <c r="C19250" s="7"/>
      <c r="D19250" s="7"/>
      <c r="E19250" s="7"/>
      <c r="F19250" s="7"/>
      <c r="G19250" s="7"/>
      <c r="H19250" s="7"/>
      <c r="I19250" s="7"/>
      <c r="J19250" s="7"/>
      <c r="K19250" s="7"/>
      <c r="L19250" s="7"/>
      <c r="M19250" s="7"/>
      <c r="N19250" s="7"/>
      <c r="O19250" s="7"/>
      <c r="P19250" s="7"/>
      <c r="Q19250" s="7"/>
      <c r="R19250" s="7"/>
      <c r="S19250" s="7"/>
      <c r="T19250" s="7"/>
      <c r="U19250" s="7"/>
      <c r="V19250" s="7"/>
      <c r="W19250" s="7"/>
      <c r="X19250" s="7"/>
      <c r="Y19250" s="7"/>
      <c r="Z19250" s="7"/>
      <c r="AA19250" s="7"/>
      <c r="AB19250" s="7"/>
      <c r="AC19250" s="7"/>
      <c r="AD19250" s="7"/>
      <c r="AE19250" s="7"/>
      <c r="AF19250" s="7"/>
      <c r="AG19250" s="10"/>
    </row>
    <row r="19251" spans="1:33">
      <c r="A19251" s="7"/>
      <c r="B19251" s="7"/>
      <c r="C19251" s="7"/>
      <c r="D19251" s="7"/>
      <c r="E19251" s="7"/>
      <c r="F19251" s="7"/>
      <c r="G19251" s="7"/>
      <c r="H19251" s="7"/>
      <c r="I19251" s="7"/>
      <c r="J19251" s="7"/>
      <c r="K19251" s="7"/>
      <c r="L19251" s="7"/>
      <c r="M19251" s="7"/>
      <c r="N19251" s="7"/>
      <c r="O19251" s="7"/>
      <c r="P19251" s="7"/>
      <c r="Q19251" s="7"/>
      <c r="R19251" s="7"/>
      <c r="S19251" s="7"/>
      <c r="T19251" s="7"/>
      <c r="U19251" s="7"/>
      <c r="V19251" s="7"/>
      <c r="W19251" s="7"/>
      <c r="X19251" s="7"/>
      <c r="Y19251" s="7"/>
      <c r="Z19251" s="7"/>
      <c r="AA19251" s="7"/>
      <c r="AB19251" s="7"/>
      <c r="AC19251" s="7"/>
      <c r="AD19251" s="7"/>
      <c r="AE19251" s="7"/>
      <c r="AF19251" s="7"/>
      <c r="AG19251" s="10"/>
    </row>
    <row r="19252" spans="1:33">
      <c r="A19252" s="7"/>
      <c r="B19252" s="7"/>
      <c r="C19252" s="7"/>
      <c r="D19252" s="7"/>
      <c r="E19252" s="7"/>
      <c r="F19252" s="7"/>
      <c r="G19252" s="7"/>
      <c r="H19252" s="7"/>
      <c r="I19252" s="7"/>
      <c r="J19252" s="7"/>
      <c r="K19252" s="7"/>
      <c r="L19252" s="7"/>
      <c r="M19252" s="7"/>
      <c r="N19252" s="7"/>
      <c r="O19252" s="7"/>
      <c r="P19252" s="7"/>
      <c r="Q19252" s="7"/>
      <c r="R19252" s="7"/>
      <c r="S19252" s="7"/>
      <c r="T19252" s="7"/>
      <c r="U19252" s="7"/>
      <c r="V19252" s="7"/>
      <c r="W19252" s="7"/>
      <c r="X19252" s="7"/>
      <c r="Y19252" s="7"/>
      <c r="Z19252" s="7"/>
      <c r="AA19252" s="7"/>
      <c r="AB19252" s="7"/>
      <c r="AC19252" s="7"/>
      <c r="AD19252" s="7"/>
      <c r="AE19252" s="7"/>
      <c r="AF19252" s="7"/>
      <c r="AG19252" s="10"/>
    </row>
    <row r="19253" spans="1:33">
      <c r="A19253" s="7"/>
      <c r="B19253" s="7"/>
      <c r="C19253" s="7"/>
      <c r="D19253" s="7"/>
      <c r="E19253" s="7"/>
      <c r="F19253" s="7"/>
      <c r="G19253" s="7"/>
      <c r="H19253" s="7"/>
      <c r="I19253" s="7"/>
      <c r="J19253" s="7"/>
      <c r="K19253" s="7"/>
      <c r="L19253" s="7"/>
      <c r="M19253" s="7"/>
      <c r="N19253" s="7"/>
      <c r="O19253" s="7"/>
      <c r="P19253" s="7"/>
      <c r="Q19253" s="7"/>
      <c r="R19253" s="7"/>
      <c r="S19253" s="7"/>
      <c r="T19253" s="7"/>
      <c r="U19253" s="7"/>
      <c r="V19253" s="7"/>
      <c r="W19253" s="7"/>
      <c r="X19253" s="7"/>
      <c r="Y19253" s="7"/>
      <c r="Z19253" s="7"/>
      <c r="AA19253" s="7"/>
      <c r="AB19253" s="7"/>
      <c r="AC19253" s="7"/>
      <c r="AD19253" s="7"/>
      <c r="AE19253" s="7"/>
      <c r="AF19253" s="7"/>
      <c r="AG19253" s="10"/>
    </row>
    <row r="19254" spans="1:33">
      <c r="A19254" s="7"/>
      <c r="B19254" s="7"/>
      <c r="C19254" s="7"/>
      <c r="D19254" s="7"/>
      <c r="E19254" s="7"/>
      <c r="F19254" s="7"/>
      <c r="G19254" s="7"/>
      <c r="H19254" s="7"/>
      <c r="I19254" s="7"/>
      <c r="J19254" s="7"/>
      <c r="K19254" s="7"/>
      <c r="L19254" s="7"/>
      <c r="M19254" s="7"/>
      <c r="N19254" s="7"/>
      <c r="O19254" s="7"/>
      <c r="P19254" s="7"/>
      <c r="Q19254" s="7"/>
      <c r="R19254" s="7"/>
      <c r="S19254" s="7"/>
      <c r="T19254" s="7"/>
      <c r="U19254" s="7"/>
      <c r="V19254" s="7"/>
      <c r="W19254" s="7"/>
      <c r="X19254" s="7"/>
      <c r="Y19254" s="7"/>
      <c r="Z19254" s="7"/>
      <c r="AA19254" s="7"/>
      <c r="AB19254" s="7"/>
      <c r="AC19254" s="7"/>
      <c r="AD19254" s="7"/>
      <c r="AE19254" s="7"/>
      <c r="AF19254" s="7"/>
      <c r="AG19254" s="10"/>
    </row>
    <row r="19255" spans="1:33">
      <c r="A19255" s="7"/>
      <c r="B19255" s="7"/>
      <c r="C19255" s="7"/>
      <c r="D19255" s="7"/>
      <c r="E19255" s="7"/>
      <c r="F19255" s="7"/>
      <c r="G19255" s="7"/>
      <c r="H19255" s="7"/>
      <c r="I19255" s="7"/>
      <c r="J19255" s="7"/>
      <c r="K19255" s="7"/>
      <c r="L19255" s="7"/>
      <c r="M19255" s="7"/>
      <c r="N19255" s="7"/>
      <c r="O19255" s="7"/>
      <c r="P19255" s="7"/>
      <c r="Q19255" s="7"/>
      <c r="R19255" s="7"/>
      <c r="S19255" s="7"/>
      <c r="T19255" s="7"/>
      <c r="U19255" s="7"/>
      <c r="V19255" s="7"/>
      <c r="W19255" s="7"/>
      <c r="X19255" s="7"/>
      <c r="Y19255" s="7"/>
      <c r="Z19255" s="7"/>
      <c r="AA19255" s="7"/>
      <c r="AB19255" s="7"/>
      <c r="AC19255" s="7"/>
      <c r="AD19255" s="7"/>
      <c r="AE19255" s="7"/>
      <c r="AF19255" s="7"/>
      <c r="AG19255" s="10"/>
    </row>
    <row r="19256" spans="1:33">
      <c r="A19256" s="7"/>
      <c r="B19256" s="7"/>
      <c r="C19256" s="7"/>
      <c r="D19256" s="7"/>
      <c r="E19256" s="7"/>
      <c r="F19256" s="7"/>
      <c r="G19256" s="7"/>
      <c r="H19256" s="7"/>
      <c r="I19256" s="7"/>
      <c r="J19256" s="7"/>
      <c r="K19256" s="7"/>
      <c r="L19256" s="7"/>
      <c r="M19256" s="7"/>
      <c r="N19256" s="7"/>
      <c r="O19256" s="7"/>
      <c r="P19256" s="7"/>
      <c r="Q19256" s="7"/>
      <c r="R19256" s="7"/>
      <c r="S19256" s="7"/>
      <c r="T19256" s="7"/>
      <c r="U19256" s="7"/>
      <c r="V19256" s="7"/>
      <c r="W19256" s="7"/>
      <c r="X19256" s="7"/>
      <c r="Y19256" s="7"/>
      <c r="Z19256" s="7"/>
      <c r="AA19256" s="7"/>
      <c r="AB19256" s="7"/>
      <c r="AC19256" s="7"/>
      <c r="AD19256" s="7"/>
      <c r="AE19256" s="7"/>
      <c r="AF19256" s="7"/>
      <c r="AG19256" s="10"/>
    </row>
    <row r="19257" spans="1:33">
      <c r="A19257" s="7"/>
      <c r="B19257" s="7"/>
      <c r="C19257" s="7"/>
      <c r="D19257" s="7"/>
      <c r="E19257" s="7"/>
      <c r="F19257" s="7"/>
      <c r="G19257" s="7"/>
      <c r="H19257" s="7"/>
      <c r="I19257" s="7"/>
      <c r="J19257" s="7"/>
      <c r="K19257" s="7"/>
      <c r="L19257" s="7"/>
      <c r="M19257" s="7"/>
      <c r="N19257" s="7"/>
      <c r="O19257" s="7"/>
      <c r="P19257" s="7"/>
      <c r="Q19257" s="7"/>
      <c r="R19257" s="7"/>
      <c r="S19257" s="7"/>
      <c r="T19257" s="7"/>
      <c r="U19257" s="7"/>
      <c r="V19257" s="7"/>
      <c r="W19257" s="7"/>
      <c r="X19257" s="7"/>
      <c r="Y19257" s="7"/>
      <c r="Z19257" s="7"/>
      <c r="AA19257" s="7"/>
      <c r="AB19257" s="7"/>
      <c r="AC19257" s="7"/>
      <c r="AD19257" s="7"/>
      <c r="AE19257" s="7"/>
      <c r="AF19257" s="7"/>
      <c r="AG19257" s="10"/>
    </row>
    <row r="19258" spans="1:33">
      <c r="A19258" s="7"/>
      <c r="B19258" s="7"/>
      <c r="C19258" s="7"/>
      <c r="D19258" s="7"/>
      <c r="E19258" s="7"/>
      <c r="F19258" s="7"/>
      <c r="G19258" s="7"/>
      <c r="H19258" s="7"/>
      <c r="I19258" s="7"/>
      <c r="J19258" s="7"/>
      <c r="K19258" s="7"/>
      <c r="L19258" s="7"/>
      <c r="M19258" s="7"/>
      <c r="N19258" s="7"/>
      <c r="O19258" s="7"/>
      <c r="P19258" s="7"/>
      <c r="Q19258" s="7"/>
      <c r="R19258" s="7"/>
      <c r="S19258" s="7"/>
      <c r="T19258" s="7"/>
      <c r="U19258" s="7"/>
      <c r="V19258" s="7"/>
      <c r="W19258" s="7"/>
      <c r="X19258" s="7"/>
      <c r="Y19258" s="7"/>
      <c r="Z19258" s="7"/>
      <c r="AA19258" s="7"/>
      <c r="AB19258" s="7"/>
      <c r="AC19258" s="7"/>
      <c r="AD19258" s="7"/>
      <c r="AE19258" s="7"/>
      <c r="AF19258" s="7"/>
      <c r="AG19258" s="10"/>
    </row>
    <row r="19259" spans="1:33">
      <c r="A19259" s="7"/>
      <c r="B19259" s="7"/>
      <c r="C19259" s="7"/>
      <c r="D19259" s="7"/>
      <c r="E19259" s="7"/>
      <c r="F19259" s="7"/>
      <c r="G19259" s="7"/>
      <c r="H19259" s="7"/>
      <c r="I19259" s="7"/>
      <c r="J19259" s="7"/>
      <c r="K19259" s="7"/>
      <c r="L19259" s="7"/>
      <c r="M19259" s="7"/>
      <c r="N19259" s="7"/>
      <c r="O19259" s="7"/>
      <c r="P19259" s="7"/>
      <c r="Q19259" s="7"/>
      <c r="R19259" s="7"/>
      <c r="S19259" s="7"/>
      <c r="T19259" s="7"/>
      <c r="U19259" s="7"/>
      <c r="V19259" s="7"/>
      <c r="W19259" s="7"/>
      <c r="X19259" s="7"/>
      <c r="Y19259" s="7"/>
      <c r="Z19259" s="7"/>
      <c r="AA19259" s="7"/>
      <c r="AB19259" s="7"/>
      <c r="AC19259" s="7"/>
      <c r="AD19259" s="7"/>
      <c r="AE19259" s="7"/>
      <c r="AF19259" s="7"/>
      <c r="AG19259" s="10"/>
    </row>
    <row r="19260" spans="1:33">
      <c r="A19260" s="7"/>
      <c r="B19260" s="7"/>
      <c r="C19260" s="7"/>
      <c r="D19260" s="7"/>
      <c r="E19260" s="7"/>
      <c r="F19260" s="7"/>
      <c r="G19260" s="7"/>
      <c r="H19260" s="7"/>
      <c r="I19260" s="7"/>
      <c r="J19260" s="7"/>
      <c r="K19260" s="7"/>
      <c r="L19260" s="7"/>
      <c r="M19260" s="7"/>
      <c r="N19260" s="7"/>
      <c r="O19260" s="7"/>
      <c r="P19260" s="7"/>
      <c r="Q19260" s="7"/>
      <c r="R19260" s="7"/>
      <c r="S19260" s="7"/>
      <c r="T19260" s="7"/>
      <c r="U19260" s="7"/>
      <c r="V19260" s="7"/>
      <c r="W19260" s="7"/>
      <c r="X19260" s="7"/>
      <c r="Y19260" s="7"/>
      <c r="Z19260" s="7"/>
      <c r="AA19260" s="7"/>
      <c r="AB19260" s="7"/>
      <c r="AC19260" s="7"/>
      <c r="AD19260" s="7"/>
      <c r="AE19260" s="7"/>
      <c r="AF19260" s="7"/>
      <c r="AG19260" s="10"/>
    </row>
    <row r="19261" spans="1:33">
      <c r="A19261" s="7"/>
      <c r="B19261" s="7"/>
      <c r="C19261" s="7"/>
      <c r="D19261" s="7"/>
      <c r="E19261" s="7"/>
      <c r="F19261" s="7"/>
      <c r="G19261" s="7"/>
      <c r="H19261" s="7"/>
      <c r="I19261" s="7"/>
      <c r="J19261" s="7"/>
      <c r="K19261" s="7"/>
      <c r="L19261" s="7"/>
      <c r="M19261" s="7"/>
      <c r="N19261" s="7"/>
      <c r="O19261" s="7"/>
      <c r="P19261" s="7"/>
      <c r="Q19261" s="7"/>
      <c r="R19261" s="7"/>
      <c r="S19261" s="7"/>
      <c r="T19261" s="7"/>
      <c r="U19261" s="7"/>
      <c r="V19261" s="7"/>
      <c r="W19261" s="7"/>
      <c r="X19261" s="7"/>
      <c r="Y19261" s="7"/>
      <c r="Z19261" s="7"/>
      <c r="AA19261" s="7"/>
      <c r="AB19261" s="7"/>
      <c r="AC19261" s="7"/>
      <c r="AD19261" s="7"/>
      <c r="AE19261" s="7"/>
      <c r="AF19261" s="7"/>
      <c r="AG19261" s="10"/>
    </row>
    <row r="19262" spans="1:33">
      <c r="A19262" s="7"/>
      <c r="B19262" s="7"/>
      <c r="C19262" s="7"/>
      <c r="D19262" s="7"/>
      <c r="E19262" s="7"/>
      <c r="F19262" s="7"/>
      <c r="G19262" s="7"/>
      <c r="H19262" s="7"/>
      <c r="I19262" s="7"/>
      <c r="J19262" s="7"/>
      <c r="K19262" s="7"/>
      <c r="L19262" s="7"/>
      <c r="M19262" s="7"/>
      <c r="N19262" s="7"/>
      <c r="O19262" s="7"/>
      <c r="P19262" s="7"/>
      <c r="Q19262" s="7"/>
      <c r="R19262" s="7"/>
      <c r="S19262" s="7"/>
      <c r="T19262" s="7"/>
      <c r="U19262" s="7"/>
      <c r="V19262" s="7"/>
      <c r="W19262" s="7"/>
      <c r="X19262" s="7"/>
      <c r="Y19262" s="7"/>
      <c r="Z19262" s="7"/>
      <c r="AA19262" s="7"/>
      <c r="AB19262" s="7"/>
      <c r="AC19262" s="7"/>
      <c r="AD19262" s="7"/>
      <c r="AE19262" s="7"/>
      <c r="AF19262" s="7"/>
      <c r="AG19262" s="10"/>
    </row>
    <row r="19263" spans="1:33">
      <c r="A19263" s="7"/>
      <c r="B19263" s="7"/>
      <c r="C19263" s="7"/>
      <c r="D19263" s="7"/>
      <c r="E19263" s="7"/>
      <c r="F19263" s="7"/>
      <c r="G19263" s="7"/>
      <c r="H19263" s="7"/>
      <c r="I19263" s="7"/>
      <c r="J19263" s="7"/>
      <c r="K19263" s="7"/>
      <c r="L19263" s="7"/>
      <c r="M19263" s="7"/>
      <c r="N19263" s="7"/>
      <c r="O19263" s="7"/>
      <c r="P19263" s="7"/>
      <c r="Q19263" s="7"/>
      <c r="R19263" s="7"/>
      <c r="S19263" s="7"/>
      <c r="T19263" s="7"/>
      <c r="U19263" s="7"/>
      <c r="V19263" s="7"/>
      <c r="W19263" s="7"/>
      <c r="X19263" s="7"/>
      <c r="Y19263" s="7"/>
      <c r="Z19263" s="7"/>
      <c r="AA19263" s="7"/>
      <c r="AB19263" s="7"/>
      <c r="AC19263" s="7"/>
      <c r="AD19263" s="7"/>
      <c r="AE19263" s="7"/>
      <c r="AF19263" s="7"/>
      <c r="AG19263" s="10"/>
    </row>
    <row r="19264" spans="1:33">
      <c r="A19264" s="7"/>
      <c r="B19264" s="7"/>
      <c r="C19264" s="7"/>
      <c r="D19264" s="7"/>
      <c r="E19264" s="7"/>
      <c r="F19264" s="7"/>
      <c r="G19264" s="7"/>
      <c r="H19264" s="7"/>
      <c r="I19264" s="7"/>
      <c r="J19264" s="7"/>
      <c r="K19264" s="7"/>
      <c r="L19264" s="7"/>
      <c r="M19264" s="7"/>
      <c r="N19264" s="7"/>
      <c r="O19264" s="7"/>
      <c r="P19264" s="7"/>
      <c r="Q19264" s="7"/>
      <c r="R19264" s="7"/>
      <c r="S19264" s="7"/>
      <c r="T19264" s="7"/>
      <c r="U19264" s="7"/>
      <c r="V19264" s="7"/>
      <c r="W19264" s="7"/>
      <c r="X19264" s="7"/>
      <c r="Y19264" s="7"/>
      <c r="Z19264" s="7"/>
      <c r="AA19264" s="7"/>
      <c r="AB19264" s="7"/>
      <c r="AC19264" s="7"/>
      <c r="AD19264" s="7"/>
      <c r="AE19264" s="7"/>
      <c r="AF19264" s="7"/>
      <c r="AG19264" s="10"/>
    </row>
    <row r="19265" spans="1:33">
      <c r="A19265" s="7"/>
      <c r="B19265" s="7"/>
      <c r="C19265" s="7"/>
      <c r="D19265" s="7"/>
      <c r="E19265" s="7"/>
      <c r="F19265" s="7"/>
      <c r="G19265" s="7"/>
      <c r="H19265" s="7"/>
      <c r="I19265" s="7"/>
      <c r="J19265" s="7"/>
      <c r="K19265" s="7"/>
      <c r="L19265" s="7"/>
      <c r="M19265" s="7"/>
      <c r="N19265" s="7"/>
      <c r="O19265" s="7"/>
      <c r="P19265" s="7"/>
      <c r="Q19265" s="7"/>
      <c r="R19265" s="7"/>
      <c r="S19265" s="7"/>
      <c r="T19265" s="7"/>
      <c r="U19265" s="7"/>
      <c r="V19265" s="7"/>
      <c r="W19265" s="7"/>
      <c r="X19265" s="7"/>
      <c r="Y19265" s="7"/>
      <c r="Z19265" s="7"/>
      <c r="AA19265" s="7"/>
      <c r="AB19265" s="7"/>
      <c r="AC19265" s="7"/>
      <c r="AD19265" s="7"/>
      <c r="AE19265" s="7"/>
      <c r="AF19265" s="7"/>
      <c r="AG19265" s="10"/>
    </row>
    <row r="19266" spans="1:33">
      <c r="A19266" s="7"/>
      <c r="B19266" s="7"/>
      <c r="C19266" s="7"/>
      <c r="D19266" s="7"/>
      <c r="E19266" s="7"/>
      <c r="F19266" s="7"/>
      <c r="G19266" s="7"/>
      <c r="H19266" s="7"/>
      <c r="I19266" s="7"/>
      <c r="J19266" s="7"/>
      <c r="K19266" s="7"/>
      <c r="L19266" s="7"/>
      <c r="M19266" s="7"/>
      <c r="N19266" s="7"/>
      <c r="O19266" s="7"/>
      <c r="P19266" s="7"/>
      <c r="Q19266" s="7"/>
      <c r="R19266" s="7"/>
      <c r="S19266" s="7"/>
      <c r="T19266" s="7"/>
      <c r="U19266" s="7"/>
      <c r="V19266" s="7"/>
      <c r="W19266" s="7"/>
      <c r="X19266" s="7"/>
      <c r="Y19266" s="7"/>
      <c r="Z19266" s="7"/>
      <c r="AA19266" s="7"/>
      <c r="AB19266" s="7"/>
      <c r="AC19266" s="7"/>
      <c r="AD19266" s="7"/>
      <c r="AE19266" s="7"/>
      <c r="AF19266" s="7"/>
      <c r="AG19266" s="10"/>
    </row>
    <row r="19267" spans="1:33">
      <c r="A19267" s="7"/>
      <c r="B19267" s="7"/>
      <c r="C19267" s="7"/>
      <c r="D19267" s="7"/>
      <c r="E19267" s="7"/>
      <c r="F19267" s="7"/>
      <c r="G19267" s="7"/>
      <c r="H19267" s="7"/>
      <c r="I19267" s="7"/>
      <c r="J19267" s="7"/>
      <c r="K19267" s="7"/>
      <c r="L19267" s="7"/>
      <c r="M19267" s="7"/>
      <c r="N19267" s="7"/>
      <c r="O19267" s="7"/>
      <c r="P19267" s="7"/>
      <c r="Q19267" s="7"/>
      <c r="R19267" s="7"/>
      <c r="S19267" s="7"/>
      <c r="T19267" s="7"/>
      <c r="U19267" s="7"/>
      <c r="V19267" s="7"/>
      <c r="W19267" s="7"/>
      <c r="X19267" s="7"/>
      <c r="Y19267" s="7"/>
      <c r="Z19267" s="7"/>
      <c r="AA19267" s="7"/>
      <c r="AB19267" s="7"/>
      <c r="AC19267" s="7"/>
      <c r="AD19267" s="7"/>
      <c r="AE19267" s="7"/>
      <c r="AF19267" s="7"/>
      <c r="AG19267" s="10"/>
    </row>
    <row r="19268" spans="1:33">
      <c r="A19268" s="7"/>
      <c r="B19268" s="7"/>
      <c r="C19268" s="7"/>
      <c r="D19268" s="7"/>
      <c r="E19268" s="7"/>
      <c r="F19268" s="7"/>
      <c r="G19268" s="7"/>
      <c r="H19268" s="7"/>
      <c r="I19268" s="7"/>
      <c r="J19268" s="7"/>
      <c r="K19268" s="7"/>
      <c r="L19268" s="7"/>
      <c r="M19268" s="7"/>
      <c r="N19268" s="7"/>
      <c r="O19268" s="7"/>
      <c r="P19268" s="7"/>
      <c r="Q19268" s="7"/>
      <c r="R19268" s="7"/>
      <c r="S19268" s="7"/>
      <c r="T19268" s="7"/>
      <c r="U19268" s="7"/>
      <c r="V19268" s="7"/>
      <c r="W19268" s="7"/>
      <c r="X19268" s="7"/>
      <c r="Y19268" s="7"/>
      <c r="Z19268" s="7"/>
      <c r="AA19268" s="7"/>
      <c r="AB19268" s="7"/>
      <c r="AC19268" s="7"/>
      <c r="AD19268" s="7"/>
      <c r="AE19268" s="7"/>
      <c r="AF19268" s="7"/>
      <c r="AG19268" s="10"/>
    </row>
    <row r="19269" spans="1:33">
      <c r="A19269" s="7"/>
      <c r="B19269" s="7"/>
      <c r="C19269" s="7"/>
      <c r="D19269" s="7"/>
      <c r="E19269" s="7"/>
      <c r="F19269" s="7"/>
      <c r="G19269" s="7"/>
      <c r="H19269" s="7"/>
      <c r="I19269" s="7"/>
      <c r="J19269" s="7"/>
      <c r="K19269" s="7"/>
      <c r="L19269" s="7"/>
      <c r="M19269" s="7"/>
      <c r="N19269" s="7"/>
      <c r="O19269" s="7"/>
      <c r="P19269" s="7"/>
      <c r="Q19269" s="7"/>
      <c r="R19269" s="7"/>
      <c r="S19269" s="7"/>
      <c r="T19269" s="7"/>
      <c r="U19269" s="7"/>
      <c r="V19269" s="7"/>
      <c r="W19269" s="7"/>
      <c r="X19269" s="7"/>
      <c r="Y19269" s="7"/>
      <c r="Z19269" s="7"/>
      <c r="AA19269" s="7"/>
      <c r="AB19269" s="7"/>
      <c r="AC19269" s="7"/>
      <c r="AD19269" s="7"/>
      <c r="AE19269" s="7"/>
      <c r="AF19269" s="7"/>
      <c r="AG19269" s="10"/>
    </row>
    <row r="19270" spans="1:33">
      <c r="A19270" s="7"/>
      <c r="B19270" s="7"/>
      <c r="C19270" s="7"/>
      <c r="D19270" s="7"/>
      <c r="E19270" s="7"/>
      <c r="F19270" s="7"/>
      <c r="G19270" s="7"/>
      <c r="H19270" s="7"/>
      <c r="I19270" s="7"/>
      <c r="J19270" s="7"/>
      <c r="K19270" s="7"/>
      <c r="L19270" s="7"/>
      <c r="M19270" s="7"/>
      <c r="N19270" s="7"/>
      <c r="O19270" s="7"/>
      <c r="P19270" s="7"/>
      <c r="Q19270" s="7"/>
      <c r="R19270" s="7"/>
      <c r="S19270" s="7"/>
      <c r="T19270" s="7"/>
      <c r="U19270" s="7"/>
      <c r="V19270" s="7"/>
      <c r="W19270" s="7"/>
      <c r="X19270" s="7"/>
      <c r="Y19270" s="7"/>
      <c r="Z19270" s="7"/>
      <c r="AA19270" s="7"/>
      <c r="AB19270" s="7"/>
      <c r="AC19270" s="7"/>
      <c r="AD19270" s="7"/>
      <c r="AE19270" s="7"/>
      <c r="AF19270" s="7"/>
      <c r="AG19270" s="10"/>
    </row>
    <row r="19271" spans="1:33">
      <c r="A19271" s="7"/>
      <c r="B19271" s="7"/>
      <c r="C19271" s="7"/>
      <c r="D19271" s="7"/>
      <c r="E19271" s="7"/>
      <c r="F19271" s="7"/>
      <c r="G19271" s="7"/>
      <c r="H19271" s="7"/>
      <c r="I19271" s="7"/>
      <c r="J19271" s="7"/>
      <c r="K19271" s="7"/>
      <c r="L19271" s="7"/>
      <c r="M19271" s="7"/>
      <c r="N19271" s="7"/>
      <c r="O19271" s="7"/>
      <c r="P19271" s="7"/>
      <c r="Q19271" s="7"/>
      <c r="R19271" s="7"/>
      <c r="S19271" s="7"/>
      <c r="T19271" s="7"/>
      <c r="U19271" s="7"/>
      <c r="V19271" s="7"/>
      <c r="W19271" s="7"/>
      <c r="X19271" s="7"/>
      <c r="Y19271" s="7"/>
      <c r="Z19271" s="7"/>
      <c r="AA19271" s="7"/>
      <c r="AB19271" s="7"/>
      <c r="AC19271" s="7"/>
      <c r="AD19271" s="7"/>
      <c r="AE19271" s="7"/>
      <c r="AF19271" s="7"/>
      <c r="AG19271" s="10"/>
    </row>
    <row r="19272" spans="1:33">
      <c r="A19272" s="7"/>
      <c r="B19272" s="7"/>
      <c r="C19272" s="7"/>
      <c r="D19272" s="7"/>
      <c r="E19272" s="7"/>
      <c r="F19272" s="7"/>
      <c r="G19272" s="7"/>
      <c r="H19272" s="7"/>
      <c r="I19272" s="7"/>
      <c r="J19272" s="7"/>
      <c r="K19272" s="7"/>
      <c r="L19272" s="7"/>
      <c r="M19272" s="7"/>
      <c r="N19272" s="7"/>
      <c r="O19272" s="7"/>
      <c r="P19272" s="7"/>
      <c r="Q19272" s="7"/>
      <c r="R19272" s="7"/>
      <c r="S19272" s="7"/>
      <c r="T19272" s="7"/>
      <c r="U19272" s="7"/>
      <c r="V19272" s="7"/>
      <c r="W19272" s="7"/>
      <c r="X19272" s="7"/>
      <c r="Y19272" s="7"/>
      <c r="Z19272" s="7"/>
      <c r="AA19272" s="7"/>
      <c r="AB19272" s="7"/>
      <c r="AC19272" s="7"/>
      <c r="AD19272" s="7"/>
      <c r="AE19272" s="7"/>
      <c r="AF19272" s="7"/>
      <c r="AG19272" s="10"/>
    </row>
    <row r="19273" spans="1:33">
      <c r="A19273" s="7"/>
      <c r="B19273" s="7"/>
      <c r="C19273" s="7"/>
      <c r="D19273" s="7"/>
      <c r="E19273" s="7"/>
      <c r="F19273" s="7"/>
      <c r="G19273" s="7"/>
      <c r="H19273" s="7"/>
      <c r="I19273" s="7"/>
      <c r="J19273" s="7"/>
      <c r="K19273" s="7"/>
      <c r="L19273" s="7"/>
      <c r="M19273" s="7"/>
      <c r="N19273" s="7"/>
      <c r="O19273" s="7"/>
      <c r="P19273" s="7"/>
      <c r="Q19273" s="7"/>
      <c r="R19273" s="7"/>
      <c r="S19273" s="7"/>
      <c r="T19273" s="7"/>
      <c r="U19273" s="7"/>
      <c r="V19273" s="7"/>
      <c r="W19273" s="7"/>
      <c r="X19273" s="7"/>
      <c r="Y19273" s="7"/>
      <c r="Z19273" s="7"/>
      <c r="AA19273" s="7"/>
      <c r="AB19273" s="7"/>
      <c r="AC19273" s="7"/>
      <c r="AD19273" s="7"/>
      <c r="AE19273" s="7"/>
      <c r="AF19273" s="7"/>
      <c r="AG19273" s="10"/>
    </row>
    <row r="19274" spans="1:33">
      <c r="A19274" s="7"/>
      <c r="B19274" s="7"/>
      <c r="C19274" s="7"/>
      <c r="D19274" s="7"/>
      <c r="E19274" s="7"/>
      <c r="F19274" s="7"/>
      <c r="G19274" s="7"/>
      <c r="H19274" s="7"/>
      <c r="I19274" s="7"/>
      <c r="J19274" s="7"/>
      <c r="K19274" s="7"/>
      <c r="L19274" s="7"/>
      <c r="M19274" s="7"/>
      <c r="N19274" s="7"/>
      <c r="O19274" s="7"/>
      <c r="P19274" s="7"/>
      <c r="Q19274" s="7"/>
      <c r="R19274" s="7"/>
      <c r="S19274" s="7"/>
      <c r="T19274" s="7"/>
      <c r="U19274" s="7"/>
      <c r="V19274" s="7"/>
      <c r="W19274" s="7"/>
      <c r="X19274" s="7"/>
      <c r="Y19274" s="7"/>
      <c r="Z19274" s="7"/>
      <c r="AA19274" s="7"/>
      <c r="AB19274" s="7"/>
      <c r="AC19274" s="7"/>
      <c r="AD19274" s="7"/>
      <c r="AE19274" s="7"/>
      <c r="AF19274" s="7"/>
      <c r="AG19274" s="10"/>
    </row>
    <row r="19275" spans="1:33">
      <c r="A19275" s="7"/>
      <c r="B19275" s="7"/>
      <c r="C19275" s="7"/>
      <c r="D19275" s="7"/>
      <c r="E19275" s="7"/>
      <c r="F19275" s="7"/>
      <c r="G19275" s="7"/>
      <c r="H19275" s="7"/>
      <c r="I19275" s="7"/>
      <c r="J19275" s="7"/>
      <c r="K19275" s="7"/>
      <c r="L19275" s="7"/>
      <c r="M19275" s="7"/>
      <c r="N19275" s="7"/>
      <c r="O19275" s="7"/>
      <c r="P19275" s="7"/>
      <c r="Q19275" s="7"/>
      <c r="R19275" s="7"/>
      <c r="S19275" s="7"/>
      <c r="T19275" s="7"/>
      <c r="U19275" s="7"/>
      <c r="V19275" s="7"/>
      <c r="W19275" s="7"/>
      <c r="X19275" s="7"/>
      <c r="Y19275" s="7"/>
      <c r="Z19275" s="7"/>
      <c r="AA19275" s="7"/>
      <c r="AB19275" s="7"/>
      <c r="AC19275" s="7"/>
      <c r="AD19275" s="7"/>
      <c r="AE19275" s="7"/>
      <c r="AF19275" s="7"/>
      <c r="AG19275" s="10"/>
    </row>
    <row r="19276" spans="1:33">
      <c r="A19276" s="7"/>
      <c r="B19276" s="7"/>
      <c r="C19276" s="7"/>
      <c r="D19276" s="7"/>
      <c r="E19276" s="7"/>
      <c r="F19276" s="7"/>
      <c r="G19276" s="7"/>
      <c r="H19276" s="7"/>
      <c r="I19276" s="7"/>
      <c r="J19276" s="7"/>
      <c r="K19276" s="7"/>
      <c r="L19276" s="7"/>
      <c r="M19276" s="7"/>
      <c r="N19276" s="7"/>
      <c r="O19276" s="7"/>
      <c r="P19276" s="7"/>
      <c r="Q19276" s="7"/>
      <c r="R19276" s="7"/>
      <c r="S19276" s="7"/>
      <c r="T19276" s="7"/>
      <c r="U19276" s="7"/>
      <c r="V19276" s="7"/>
      <c r="W19276" s="7"/>
      <c r="X19276" s="7"/>
      <c r="Y19276" s="7"/>
      <c r="Z19276" s="7"/>
      <c r="AA19276" s="7"/>
      <c r="AB19276" s="7"/>
      <c r="AC19276" s="7"/>
      <c r="AD19276" s="7"/>
      <c r="AE19276" s="7"/>
      <c r="AF19276" s="7"/>
      <c r="AG19276" s="10"/>
    </row>
    <row r="19277" spans="1:33">
      <c r="A19277" s="7"/>
      <c r="B19277" s="7"/>
      <c r="C19277" s="7"/>
      <c r="D19277" s="7"/>
      <c r="E19277" s="7"/>
      <c r="F19277" s="7"/>
      <c r="G19277" s="7"/>
      <c r="H19277" s="7"/>
      <c r="I19277" s="7"/>
      <c r="J19277" s="7"/>
      <c r="K19277" s="7"/>
      <c r="L19277" s="7"/>
      <c r="M19277" s="7"/>
      <c r="N19277" s="7"/>
      <c r="O19277" s="7"/>
      <c r="P19277" s="7"/>
      <c r="Q19277" s="7"/>
      <c r="R19277" s="7"/>
      <c r="S19277" s="7"/>
      <c r="T19277" s="7"/>
      <c r="U19277" s="7"/>
      <c r="V19277" s="7"/>
      <c r="W19277" s="7"/>
      <c r="X19277" s="7"/>
      <c r="Y19277" s="7"/>
      <c r="Z19277" s="7"/>
      <c r="AA19277" s="7"/>
      <c r="AB19277" s="7"/>
      <c r="AC19277" s="7"/>
      <c r="AD19277" s="7"/>
      <c r="AE19277" s="7"/>
      <c r="AF19277" s="7"/>
      <c r="AG19277" s="10"/>
    </row>
    <row r="19278" spans="1:33">
      <c r="A19278" s="7"/>
      <c r="B19278" s="7"/>
      <c r="C19278" s="7"/>
      <c r="D19278" s="7"/>
      <c r="E19278" s="7"/>
      <c r="F19278" s="7"/>
      <c r="G19278" s="7"/>
      <c r="H19278" s="7"/>
      <c r="I19278" s="7"/>
      <c r="J19278" s="7"/>
      <c r="K19278" s="7"/>
      <c r="L19278" s="7"/>
      <c r="M19278" s="7"/>
      <c r="N19278" s="7"/>
      <c r="O19278" s="7"/>
      <c r="P19278" s="7"/>
      <c r="Q19278" s="7"/>
      <c r="R19278" s="7"/>
      <c r="S19278" s="7"/>
      <c r="T19278" s="7"/>
      <c r="U19278" s="7"/>
      <c r="V19278" s="7"/>
      <c r="W19278" s="7"/>
      <c r="X19278" s="7"/>
      <c r="Y19278" s="7"/>
      <c r="Z19278" s="7"/>
      <c r="AA19278" s="7"/>
      <c r="AB19278" s="7"/>
      <c r="AC19278" s="7"/>
      <c r="AD19278" s="7"/>
      <c r="AE19278" s="7"/>
      <c r="AF19278" s="7"/>
      <c r="AG19278" s="10"/>
    </row>
    <row r="19279" spans="1:33">
      <c r="A19279" s="7"/>
      <c r="B19279" s="7"/>
      <c r="C19279" s="7"/>
      <c r="D19279" s="7"/>
      <c r="E19279" s="7"/>
      <c r="F19279" s="7"/>
      <c r="G19279" s="7"/>
      <c r="H19279" s="7"/>
      <c r="I19279" s="7"/>
      <c r="J19279" s="7"/>
      <c r="K19279" s="7"/>
      <c r="L19279" s="7"/>
      <c r="M19279" s="7"/>
      <c r="N19279" s="7"/>
      <c r="O19279" s="7"/>
      <c r="P19279" s="7"/>
      <c r="Q19279" s="7"/>
      <c r="R19279" s="7"/>
      <c r="S19279" s="7"/>
      <c r="T19279" s="7"/>
      <c r="U19279" s="7"/>
      <c r="V19279" s="7"/>
      <c r="W19279" s="7"/>
      <c r="X19279" s="7"/>
      <c r="Y19279" s="7"/>
      <c r="Z19279" s="7"/>
      <c r="AA19279" s="7"/>
      <c r="AB19279" s="7"/>
      <c r="AC19279" s="7"/>
      <c r="AD19279" s="7"/>
      <c r="AE19279" s="7"/>
      <c r="AF19279" s="7"/>
      <c r="AG19279" s="10"/>
    </row>
    <row r="19280" spans="1:33">
      <c r="A19280" s="7"/>
      <c r="B19280" s="7"/>
      <c r="C19280" s="7"/>
      <c r="D19280" s="7"/>
      <c r="E19280" s="7"/>
      <c r="F19280" s="7"/>
      <c r="G19280" s="7"/>
      <c r="H19280" s="7"/>
      <c r="I19280" s="7"/>
      <c r="J19280" s="7"/>
      <c r="K19280" s="7"/>
      <c r="L19280" s="7"/>
      <c r="M19280" s="7"/>
      <c r="N19280" s="7"/>
      <c r="O19280" s="7"/>
      <c r="P19280" s="7"/>
      <c r="Q19280" s="7"/>
      <c r="R19280" s="7"/>
      <c r="S19280" s="7"/>
      <c r="T19280" s="7"/>
      <c r="U19280" s="7"/>
      <c r="V19280" s="7"/>
      <c r="W19280" s="7"/>
      <c r="X19280" s="7"/>
      <c r="Y19280" s="7"/>
      <c r="Z19280" s="7"/>
      <c r="AA19280" s="7"/>
      <c r="AB19280" s="7"/>
      <c r="AC19280" s="7"/>
      <c r="AD19280" s="7"/>
      <c r="AE19280" s="7"/>
      <c r="AF19280" s="7"/>
      <c r="AG19280" s="10"/>
    </row>
    <row r="19281" spans="1:33">
      <c r="A19281" s="7"/>
      <c r="B19281" s="7"/>
      <c r="C19281" s="7"/>
      <c r="D19281" s="7"/>
      <c r="E19281" s="7"/>
      <c r="F19281" s="7"/>
      <c r="G19281" s="7"/>
      <c r="H19281" s="7"/>
      <c r="I19281" s="7"/>
      <c r="J19281" s="7"/>
      <c r="K19281" s="7"/>
      <c r="L19281" s="7"/>
      <c r="M19281" s="7"/>
      <c r="N19281" s="7"/>
      <c r="O19281" s="7"/>
      <c r="P19281" s="7"/>
      <c r="Q19281" s="7"/>
      <c r="R19281" s="7"/>
      <c r="S19281" s="7"/>
      <c r="T19281" s="7"/>
      <c r="U19281" s="7"/>
      <c r="V19281" s="7"/>
      <c r="W19281" s="7"/>
      <c r="X19281" s="7"/>
      <c r="Y19281" s="7"/>
      <c r="Z19281" s="7"/>
      <c r="AA19281" s="7"/>
      <c r="AB19281" s="7"/>
      <c r="AC19281" s="7"/>
      <c r="AD19281" s="7"/>
      <c r="AE19281" s="7"/>
      <c r="AF19281" s="7"/>
      <c r="AG19281" s="10"/>
    </row>
    <row r="19282" spans="1:33">
      <c r="A19282" s="7"/>
      <c r="B19282" s="7"/>
      <c r="C19282" s="7"/>
      <c r="D19282" s="7"/>
      <c r="E19282" s="7"/>
      <c r="F19282" s="7"/>
      <c r="G19282" s="7"/>
      <c r="H19282" s="7"/>
      <c r="I19282" s="7"/>
      <c r="J19282" s="7"/>
      <c r="K19282" s="7"/>
      <c r="L19282" s="7"/>
      <c r="M19282" s="7"/>
      <c r="N19282" s="7"/>
      <c r="O19282" s="7"/>
      <c r="P19282" s="7"/>
      <c r="Q19282" s="7"/>
      <c r="R19282" s="7"/>
      <c r="S19282" s="7"/>
      <c r="T19282" s="7"/>
      <c r="U19282" s="7"/>
      <c r="V19282" s="7"/>
      <c r="W19282" s="7"/>
      <c r="X19282" s="7"/>
      <c r="Y19282" s="7"/>
      <c r="Z19282" s="7"/>
      <c r="AA19282" s="7"/>
      <c r="AB19282" s="7"/>
      <c r="AC19282" s="7"/>
      <c r="AD19282" s="7"/>
      <c r="AE19282" s="7"/>
      <c r="AF19282" s="7"/>
      <c r="AG19282" s="10"/>
    </row>
    <row r="19283" spans="1:33">
      <c r="A19283" s="7"/>
      <c r="B19283" s="7"/>
      <c r="C19283" s="7"/>
      <c r="D19283" s="7"/>
      <c r="E19283" s="7"/>
      <c r="F19283" s="7"/>
      <c r="G19283" s="7"/>
      <c r="H19283" s="7"/>
      <c r="I19283" s="7"/>
      <c r="J19283" s="7"/>
      <c r="K19283" s="7"/>
      <c r="L19283" s="7"/>
      <c r="M19283" s="7"/>
      <c r="N19283" s="7"/>
      <c r="O19283" s="7"/>
      <c r="P19283" s="7"/>
      <c r="Q19283" s="7"/>
      <c r="R19283" s="7"/>
      <c r="S19283" s="7"/>
      <c r="T19283" s="7"/>
      <c r="U19283" s="7"/>
      <c r="V19283" s="7"/>
      <c r="W19283" s="7"/>
      <c r="X19283" s="7"/>
      <c r="Y19283" s="7"/>
      <c r="Z19283" s="7"/>
      <c r="AA19283" s="7"/>
      <c r="AB19283" s="7"/>
      <c r="AC19283" s="7"/>
      <c r="AD19283" s="7"/>
      <c r="AE19283" s="7"/>
      <c r="AF19283" s="7"/>
      <c r="AG19283" s="10"/>
    </row>
    <row r="19284" spans="1:33">
      <c r="A19284" s="7"/>
      <c r="B19284" s="7"/>
      <c r="C19284" s="7"/>
      <c r="D19284" s="7"/>
      <c r="E19284" s="7"/>
      <c r="F19284" s="7"/>
      <c r="G19284" s="7"/>
      <c r="H19284" s="7"/>
      <c r="I19284" s="7"/>
      <c r="J19284" s="7"/>
      <c r="K19284" s="7"/>
      <c r="L19284" s="7"/>
      <c r="M19284" s="7"/>
      <c r="N19284" s="7"/>
      <c r="O19284" s="7"/>
      <c r="P19284" s="7"/>
      <c r="Q19284" s="7"/>
      <c r="R19284" s="7"/>
      <c r="S19284" s="7"/>
      <c r="T19284" s="7"/>
      <c r="U19284" s="7"/>
      <c r="V19284" s="7"/>
      <c r="W19284" s="7"/>
      <c r="X19284" s="7"/>
      <c r="Y19284" s="7"/>
      <c r="Z19284" s="7"/>
      <c r="AA19284" s="7"/>
      <c r="AB19284" s="7"/>
      <c r="AC19284" s="7"/>
      <c r="AD19284" s="7"/>
      <c r="AE19284" s="7"/>
      <c r="AF19284" s="7"/>
      <c r="AG19284" s="10"/>
    </row>
    <row r="19285" spans="1:33">
      <c r="A19285" s="7"/>
      <c r="B19285" s="7"/>
      <c r="C19285" s="7"/>
      <c r="D19285" s="7"/>
      <c r="E19285" s="7"/>
      <c r="F19285" s="7"/>
      <c r="G19285" s="7"/>
      <c r="H19285" s="7"/>
      <c r="I19285" s="7"/>
      <c r="J19285" s="7"/>
      <c r="K19285" s="7"/>
      <c r="L19285" s="7"/>
      <c r="M19285" s="7"/>
      <c r="N19285" s="7"/>
      <c r="O19285" s="7"/>
      <c r="P19285" s="7"/>
      <c r="Q19285" s="7"/>
      <c r="R19285" s="7"/>
      <c r="S19285" s="7"/>
      <c r="T19285" s="7"/>
      <c r="U19285" s="7"/>
      <c r="V19285" s="7"/>
      <c r="W19285" s="7"/>
      <c r="X19285" s="7"/>
      <c r="Y19285" s="7"/>
      <c r="Z19285" s="7"/>
      <c r="AA19285" s="7"/>
      <c r="AB19285" s="7"/>
      <c r="AC19285" s="7"/>
      <c r="AD19285" s="7"/>
      <c r="AE19285" s="7"/>
      <c r="AF19285" s="7"/>
      <c r="AG19285" s="10"/>
    </row>
    <row r="19286" spans="1:33">
      <c r="A19286" s="7"/>
      <c r="B19286" s="7"/>
      <c r="C19286" s="7"/>
      <c r="D19286" s="7"/>
      <c r="E19286" s="7"/>
      <c r="F19286" s="7"/>
      <c r="G19286" s="7"/>
      <c r="H19286" s="7"/>
      <c r="I19286" s="7"/>
      <c r="J19286" s="7"/>
      <c r="K19286" s="7"/>
      <c r="L19286" s="7"/>
      <c r="M19286" s="7"/>
      <c r="N19286" s="7"/>
      <c r="O19286" s="7"/>
      <c r="P19286" s="7"/>
      <c r="Q19286" s="7"/>
      <c r="R19286" s="7"/>
      <c r="S19286" s="7"/>
      <c r="T19286" s="7"/>
      <c r="U19286" s="7"/>
      <c r="V19286" s="7"/>
      <c r="W19286" s="7"/>
      <c r="X19286" s="7"/>
      <c r="Y19286" s="7"/>
      <c r="Z19286" s="7"/>
      <c r="AA19286" s="7"/>
      <c r="AB19286" s="7"/>
      <c r="AC19286" s="7"/>
      <c r="AD19286" s="7"/>
      <c r="AE19286" s="7"/>
      <c r="AF19286" s="7"/>
      <c r="AG19286" s="10"/>
    </row>
    <row r="19287" spans="1:33">
      <c r="A19287" s="7"/>
      <c r="B19287" s="7"/>
      <c r="C19287" s="7"/>
      <c r="D19287" s="7"/>
      <c r="E19287" s="7"/>
      <c r="F19287" s="7"/>
      <c r="G19287" s="7"/>
      <c r="H19287" s="7"/>
      <c r="I19287" s="7"/>
      <c r="J19287" s="7"/>
      <c r="K19287" s="7"/>
      <c r="L19287" s="7"/>
      <c r="M19287" s="7"/>
      <c r="N19287" s="7"/>
      <c r="O19287" s="7"/>
      <c r="P19287" s="7"/>
      <c r="Q19287" s="7"/>
      <c r="R19287" s="7"/>
      <c r="S19287" s="7"/>
      <c r="T19287" s="7"/>
      <c r="U19287" s="7"/>
      <c r="V19287" s="7"/>
      <c r="W19287" s="7"/>
      <c r="X19287" s="7"/>
      <c r="Y19287" s="7"/>
      <c r="Z19287" s="7"/>
      <c r="AA19287" s="7"/>
      <c r="AB19287" s="7"/>
      <c r="AC19287" s="7"/>
      <c r="AD19287" s="7"/>
      <c r="AE19287" s="7"/>
      <c r="AF19287" s="7"/>
      <c r="AG19287" s="10"/>
    </row>
    <row r="19288" spans="1:33">
      <c r="A19288" s="7"/>
      <c r="B19288" s="7"/>
      <c r="C19288" s="7"/>
      <c r="D19288" s="7"/>
      <c r="E19288" s="7"/>
      <c r="F19288" s="7"/>
      <c r="G19288" s="7"/>
      <c r="H19288" s="7"/>
      <c r="I19288" s="7"/>
      <c r="J19288" s="7"/>
      <c r="K19288" s="7"/>
      <c r="L19288" s="7"/>
      <c r="M19288" s="7"/>
      <c r="N19288" s="7"/>
      <c r="O19288" s="7"/>
      <c r="P19288" s="7"/>
      <c r="Q19288" s="7"/>
      <c r="R19288" s="7"/>
      <c r="S19288" s="7"/>
      <c r="T19288" s="7"/>
      <c r="U19288" s="7"/>
      <c r="V19288" s="7"/>
      <c r="W19288" s="7"/>
      <c r="X19288" s="7"/>
      <c r="Y19288" s="7"/>
      <c r="Z19288" s="7"/>
      <c r="AA19288" s="7"/>
      <c r="AB19288" s="7"/>
      <c r="AC19288" s="7"/>
      <c r="AD19288" s="7"/>
      <c r="AE19288" s="7"/>
      <c r="AF19288" s="7"/>
      <c r="AG19288" s="10"/>
    </row>
    <row r="19289" spans="1:33">
      <c r="A19289" s="7"/>
      <c r="B19289" s="7"/>
      <c r="C19289" s="7"/>
      <c r="D19289" s="7"/>
      <c r="E19289" s="7"/>
      <c r="F19289" s="7"/>
      <c r="G19289" s="7"/>
      <c r="H19289" s="7"/>
      <c r="I19289" s="7"/>
      <c r="J19289" s="7"/>
      <c r="K19289" s="7"/>
      <c r="L19289" s="7"/>
      <c r="M19289" s="7"/>
      <c r="N19289" s="7"/>
      <c r="O19289" s="7"/>
      <c r="P19289" s="7"/>
      <c r="Q19289" s="7"/>
      <c r="R19289" s="7"/>
      <c r="S19289" s="7"/>
      <c r="T19289" s="7"/>
      <c r="U19289" s="7"/>
      <c r="V19289" s="7"/>
      <c r="W19289" s="7"/>
      <c r="X19289" s="7"/>
      <c r="Y19289" s="7"/>
      <c r="Z19289" s="7"/>
      <c r="AA19289" s="7"/>
      <c r="AB19289" s="7"/>
      <c r="AC19289" s="7"/>
      <c r="AD19289" s="7"/>
      <c r="AE19289" s="7"/>
      <c r="AF19289" s="7"/>
      <c r="AG19289" s="10"/>
    </row>
    <row r="19290" spans="1:33">
      <c r="A19290" s="7"/>
      <c r="B19290" s="7"/>
      <c r="C19290" s="7"/>
      <c r="D19290" s="7"/>
      <c r="E19290" s="7"/>
      <c r="F19290" s="7"/>
      <c r="G19290" s="7"/>
      <c r="H19290" s="7"/>
      <c r="I19290" s="7"/>
      <c r="J19290" s="7"/>
      <c r="K19290" s="7"/>
      <c r="L19290" s="7"/>
      <c r="M19290" s="7"/>
      <c r="N19290" s="7"/>
      <c r="O19290" s="7"/>
      <c r="P19290" s="7"/>
      <c r="Q19290" s="7"/>
      <c r="R19290" s="7"/>
      <c r="S19290" s="7"/>
      <c r="T19290" s="7"/>
      <c r="U19290" s="7"/>
      <c r="V19290" s="7"/>
      <c r="W19290" s="7"/>
      <c r="X19290" s="7"/>
      <c r="Y19290" s="7"/>
      <c r="Z19290" s="7"/>
      <c r="AA19290" s="7"/>
      <c r="AB19290" s="7"/>
      <c r="AC19290" s="7"/>
      <c r="AD19290" s="7"/>
      <c r="AE19290" s="7"/>
      <c r="AF19290" s="7"/>
      <c r="AG19290" s="10"/>
    </row>
    <row r="19291" spans="1:33">
      <c r="A19291" s="7"/>
      <c r="B19291" s="7"/>
      <c r="C19291" s="7"/>
      <c r="D19291" s="7"/>
      <c r="E19291" s="7"/>
      <c r="F19291" s="7"/>
      <c r="G19291" s="7"/>
      <c r="H19291" s="7"/>
      <c r="I19291" s="7"/>
      <c r="J19291" s="7"/>
      <c r="K19291" s="7"/>
      <c r="L19291" s="7"/>
      <c r="M19291" s="7"/>
      <c r="N19291" s="7"/>
      <c r="O19291" s="7"/>
      <c r="P19291" s="7"/>
      <c r="Q19291" s="7"/>
      <c r="R19291" s="7"/>
      <c r="S19291" s="7"/>
      <c r="T19291" s="7"/>
      <c r="U19291" s="7"/>
      <c r="V19291" s="7"/>
      <c r="W19291" s="7"/>
      <c r="X19291" s="7"/>
      <c r="Y19291" s="7"/>
      <c r="Z19291" s="7"/>
      <c r="AA19291" s="7"/>
      <c r="AB19291" s="7"/>
      <c r="AC19291" s="7"/>
      <c r="AD19291" s="7"/>
      <c r="AE19291" s="7"/>
      <c r="AF19291" s="7"/>
      <c r="AG19291" s="10"/>
    </row>
    <row r="19292" spans="1:33">
      <c r="A19292" s="7"/>
      <c r="B19292" s="7"/>
      <c r="C19292" s="7"/>
      <c r="D19292" s="7"/>
      <c r="E19292" s="7"/>
      <c r="F19292" s="7"/>
      <c r="G19292" s="7"/>
      <c r="H19292" s="7"/>
      <c r="I19292" s="7"/>
      <c r="J19292" s="7"/>
      <c r="K19292" s="7"/>
      <c r="L19292" s="7"/>
      <c r="M19292" s="7"/>
      <c r="N19292" s="7"/>
      <c r="O19292" s="7"/>
      <c r="P19292" s="7"/>
      <c r="Q19292" s="7"/>
      <c r="R19292" s="7"/>
      <c r="S19292" s="7"/>
      <c r="T19292" s="7"/>
      <c r="U19292" s="7"/>
      <c r="V19292" s="7"/>
      <c r="W19292" s="7"/>
      <c r="X19292" s="7"/>
      <c r="Y19292" s="7"/>
      <c r="Z19292" s="7"/>
      <c r="AA19292" s="7"/>
      <c r="AB19292" s="7"/>
      <c r="AC19292" s="7"/>
      <c r="AD19292" s="7"/>
      <c r="AE19292" s="7"/>
      <c r="AF19292" s="7"/>
      <c r="AG19292" s="10"/>
    </row>
    <row r="19293" spans="1:33">
      <c r="A19293" s="7"/>
      <c r="B19293" s="7"/>
      <c r="C19293" s="7"/>
      <c r="D19293" s="7"/>
      <c r="E19293" s="7"/>
      <c r="F19293" s="7"/>
      <c r="G19293" s="7"/>
      <c r="H19293" s="7"/>
      <c r="I19293" s="7"/>
      <c r="J19293" s="7"/>
      <c r="K19293" s="7"/>
      <c r="L19293" s="7"/>
      <c r="M19293" s="7"/>
      <c r="N19293" s="7"/>
      <c r="O19293" s="7"/>
      <c r="P19293" s="7"/>
      <c r="Q19293" s="7"/>
      <c r="R19293" s="7"/>
      <c r="S19293" s="7"/>
      <c r="T19293" s="7"/>
      <c r="U19293" s="7"/>
      <c r="V19293" s="7"/>
      <c r="W19293" s="7"/>
      <c r="X19293" s="7"/>
      <c r="Y19293" s="7"/>
      <c r="Z19293" s="7"/>
      <c r="AA19293" s="7"/>
      <c r="AB19293" s="7"/>
      <c r="AC19293" s="7"/>
      <c r="AD19293" s="7"/>
      <c r="AE19293" s="7"/>
      <c r="AF19293" s="7"/>
      <c r="AG19293" s="10"/>
    </row>
    <row r="19294" spans="1:33">
      <c r="A19294" s="7"/>
      <c r="B19294" s="7"/>
      <c r="C19294" s="7"/>
      <c r="D19294" s="7"/>
      <c r="E19294" s="7"/>
      <c r="F19294" s="7"/>
      <c r="G19294" s="7"/>
      <c r="H19294" s="7"/>
      <c r="I19294" s="7"/>
      <c r="J19294" s="7"/>
      <c r="K19294" s="7"/>
      <c r="L19294" s="7"/>
      <c r="M19294" s="7"/>
      <c r="N19294" s="7"/>
      <c r="O19294" s="7"/>
      <c r="P19294" s="7"/>
      <c r="Q19294" s="7"/>
      <c r="R19294" s="7"/>
      <c r="S19294" s="7"/>
      <c r="T19294" s="7"/>
      <c r="U19294" s="7"/>
      <c r="V19294" s="7"/>
      <c r="W19294" s="7"/>
      <c r="X19294" s="7"/>
      <c r="Y19294" s="7"/>
      <c r="Z19294" s="7"/>
      <c r="AA19294" s="7"/>
      <c r="AB19294" s="7"/>
      <c r="AC19294" s="7"/>
      <c r="AD19294" s="7"/>
      <c r="AE19294" s="7"/>
      <c r="AF19294" s="7"/>
      <c r="AG19294" s="10"/>
    </row>
    <row r="19295" spans="1:33">
      <c r="A19295" s="7"/>
      <c r="B19295" s="7"/>
      <c r="C19295" s="7"/>
      <c r="D19295" s="7"/>
      <c r="E19295" s="7"/>
      <c r="F19295" s="7"/>
      <c r="G19295" s="7"/>
      <c r="H19295" s="7"/>
      <c r="I19295" s="7"/>
      <c r="J19295" s="7"/>
      <c r="K19295" s="7"/>
      <c r="L19295" s="7"/>
      <c r="M19295" s="7"/>
      <c r="N19295" s="7"/>
      <c r="O19295" s="7"/>
      <c r="P19295" s="7"/>
      <c r="Q19295" s="7"/>
      <c r="R19295" s="7"/>
      <c r="S19295" s="7"/>
      <c r="T19295" s="7"/>
      <c r="U19295" s="7"/>
      <c r="V19295" s="7"/>
      <c r="W19295" s="7"/>
      <c r="X19295" s="7"/>
      <c r="Y19295" s="7"/>
      <c r="Z19295" s="7"/>
      <c r="AA19295" s="7"/>
      <c r="AB19295" s="7"/>
      <c r="AC19295" s="7"/>
      <c r="AD19295" s="7"/>
      <c r="AE19295" s="7"/>
      <c r="AF19295" s="7"/>
      <c r="AG19295" s="10"/>
    </row>
    <row r="19296" spans="1:33">
      <c r="A19296" s="7"/>
      <c r="B19296" s="7"/>
      <c r="C19296" s="7"/>
      <c r="D19296" s="7"/>
      <c r="E19296" s="7"/>
      <c r="F19296" s="7"/>
      <c r="G19296" s="7"/>
      <c r="H19296" s="7"/>
      <c r="I19296" s="7"/>
      <c r="J19296" s="7"/>
      <c r="K19296" s="7"/>
      <c r="L19296" s="7"/>
      <c r="M19296" s="7"/>
      <c r="N19296" s="7"/>
      <c r="O19296" s="7"/>
      <c r="P19296" s="7"/>
      <c r="Q19296" s="7"/>
      <c r="R19296" s="7"/>
      <c r="S19296" s="7"/>
      <c r="T19296" s="7"/>
      <c r="U19296" s="7"/>
      <c r="V19296" s="7"/>
      <c r="W19296" s="7"/>
      <c r="X19296" s="7"/>
      <c r="Y19296" s="7"/>
      <c r="Z19296" s="7"/>
      <c r="AA19296" s="7"/>
      <c r="AB19296" s="7"/>
      <c r="AC19296" s="7"/>
      <c r="AD19296" s="7"/>
      <c r="AE19296" s="7"/>
      <c r="AF19296" s="7"/>
      <c r="AG19296" s="10"/>
    </row>
    <row r="19297" spans="1:33">
      <c r="A19297" s="7"/>
      <c r="B19297" s="7"/>
      <c r="C19297" s="7"/>
      <c r="D19297" s="7"/>
      <c r="E19297" s="7"/>
      <c r="F19297" s="7"/>
      <c r="G19297" s="7"/>
      <c r="H19297" s="7"/>
      <c r="I19297" s="7"/>
      <c r="J19297" s="7"/>
      <c r="K19297" s="7"/>
      <c r="L19297" s="7"/>
      <c r="M19297" s="7"/>
      <c r="N19297" s="7"/>
      <c r="O19297" s="7"/>
      <c r="P19297" s="7"/>
      <c r="Q19297" s="7"/>
      <c r="R19297" s="7"/>
      <c r="S19297" s="7"/>
      <c r="T19297" s="7"/>
      <c r="U19297" s="7"/>
      <c r="V19297" s="7"/>
      <c r="W19297" s="7"/>
      <c r="X19297" s="7"/>
      <c r="Y19297" s="7"/>
      <c r="Z19297" s="7"/>
      <c r="AA19297" s="7"/>
      <c r="AB19297" s="7"/>
      <c r="AC19297" s="7"/>
      <c r="AD19297" s="7"/>
      <c r="AE19297" s="7"/>
      <c r="AF19297" s="7"/>
      <c r="AG19297" s="10"/>
    </row>
    <row r="19298" spans="1:33">
      <c r="A19298" s="7"/>
      <c r="B19298" s="7"/>
      <c r="C19298" s="7"/>
      <c r="D19298" s="7"/>
      <c r="E19298" s="7"/>
      <c r="F19298" s="7"/>
      <c r="G19298" s="7"/>
      <c r="H19298" s="7"/>
      <c r="I19298" s="7"/>
      <c r="J19298" s="7"/>
      <c r="K19298" s="7"/>
      <c r="L19298" s="7"/>
      <c r="M19298" s="7"/>
      <c r="N19298" s="7"/>
      <c r="O19298" s="7"/>
      <c r="P19298" s="7"/>
      <c r="Q19298" s="7"/>
      <c r="R19298" s="7"/>
      <c r="S19298" s="7"/>
      <c r="T19298" s="7"/>
      <c r="U19298" s="7"/>
      <c r="V19298" s="7"/>
      <c r="W19298" s="7"/>
      <c r="X19298" s="7"/>
      <c r="Y19298" s="7"/>
      <c r="Z19298" s="7"/>
      <c r="AA19298" s="7"/>
      <c r="AB19298" s="7"/>
      <c r="AC19298" s="7"/>
      <c r="AD19298" s="7"/>
      <c r="AE19298" s="7"/>
      <c r="AF19298" s="7"/>
      <c r="AG19298" s="10"/>
    </row>
    <row r="19299" spans="1:33">
      <c r="A19299" s="7"/>
      <c r="B19299" s="7"/>
      <c r="C19299" s="7"/>
      <c r="D19299" s="7"/>
      <c r="E19299" s="7"/>
      <c r="F19299" s="7"/>
      <c r="G19299" s="7"/>
      <c r="H19299" s="7"/>
      <c r="I19299" s="7"/>
      <c r="J19299" s="7"/>
      <c r="K19299" s="7"/>
      <c r="L19299" s="7"/>
      <c r="M19299" s="7"/>
      <c r="N19299" s="7"/>
      <c r="O19299" s="7"/>
      <c r="P19299" s="7"/>
      <c r="Q19299" s="7"/>
      <c r="R19299" s="7"/>
      <c r="S19299" s="7"/>
      <c r="T19299" s="7"/>
      <c r="U19299" s="7"/>
      <c r="V19299" s="7"/>
      <c r="W19299" s="7"/>
      <c r="X19299" s="7"/>
      <c r="Y19299" s="7"/>
      <c r="Z19299" s="7"/>
      <c r="AA19299" s="7"/>
      <c r="AB19299" s="7"/>
      <c r="AC19299" s="7"/>
      <c r="AD19299" s="7"/>
      <c r="AE19299" s="7"/>
      <c r="AF19299" s="7"/>
      <c r="AG19299" s="10"/>
    </row>
    <row r="19300" spans="1:33">
      <c r="A19300" s="7"/>
      <c r="B19300" s="7"/>
      <c r="C19300" s="7"/>
      <c r="D19300" s="7"/>
      <c r="E19300" s="7"/>
      <c r="F19300" s="7"/>
      <c r="G19300" s="7"/>
      <c r="H19300" s="7"/>
      <c r="I19300" s="7"/>
      <c r="J19300" s="7"/>
      <c r="K19300" s="7"/>
      <c r="L19300" s="7"/>
      <c r="M19300" s="7"/>
      <c r="N19300" s="7"/>
      <c r="O19300" s="7"/>
      <c r="P19300" s="7"/>
      <c r="Q19300" s="7"/>
      <c r="R19300" s="7"/>
      <c r="S19300" s="7"/>
      <c r="T19300" s="7"/>
      <c r="U19300" s="7"/>
      <c r="V19300" s="7"/>
      <c r="W19300" s="7"/>
      <c r="X19300" s="7"/>
      <c r="Y19300" s="7"/>
      <c r="Z19300" s="7"/>
      <c r="AA19300" s="7"/>
      <c r="AB19300" s="7"/>
      <c r="AC19300" s="7"/>
      <c r="AD19300" s="7"/>
      <c r="AE19300" s="7"/>
      <c r="AF19300" s="7"/>
      <c r="AG19300" s="10"/>
    </row>
    <row r="19301" spans="1:33">
      <c r="A19301" s="7"/>
      <c r="B19301" s="7"/>
      <c r="C19301" s="7"/>
      <c r="D19301" s="7"/>
      <c r="E19301" s="7"/>
      <c r="F19301" s="7"/>
      <c r="G19301" s="7"/>
      <c r="H19301" s="7"/>
      <c r="I19301" s="7"/>
      <c r="J19301" s="7"/>
      <c r="K19301" s="7"/>
      <c r="L19301" s="7"/>
      <c r="M19301" s="7"/>
      <c r="N19301" s="7"/>
      <c r="O19301" s="7"/>
      <c r="P19301" s="7"/>
      <c r="Q19301" s="7"/>
      <c r="R19301" s="7"/>
      <c r="S19301" s="7"/>
      <c r="T19301" s="7"/>
      <c r="U19301" s="7"/>
      <c r="V19301" s="7"/>
      <c r="W19301" s="7"/>
      <c r="X19301" s="7"/>
      <c r="Y19301" s="7"/>
      <c r="Z19301" s="7"/>
      <c r="AA19301" s="7"/>
      <c r="AB19301" s="7"/>
      <c r="AC19301" s="7"/>
      <c r="AD19301" s="7"/>
      <c r="AE19301" s="7"/>
      <c r="AF19301" s="7"/>
      <c r="AG19301" s="10"/>
    </row>
    <row r="19302" spans="1:33">
      <c r="A19302" s="7"/>
      <c r="B19302" s="7"/>
      <c r="C19302" s="7"/>
      <c r="D19302" s="7"/>
      <c r="E19302" s="7"/>
      <c r="F19302" s="7"/>
      <c r="G19302" s="7"/>
      <c r="H19302" s="7"/>
      <c r="I19302" s="7"/>
      <c r="J19302" s="7"/>
      <c r="K19302" s="7"/>
      <c r="L19302" s="7"/>
      <c r="M19302" s="7"/>
      <c r="N19302" s="7"/>
      <c r="O19302" s="7"/>
      <c r="P19302" s="7"/>
      <c r="Q19302" s="7"/>
      <c r="R19302" s="7"/>
      <c r="S19302" s="7"/>
      <c r="T19302" s="7"/>
      <c r="U19302" s="7"/>
      <c r="V19302" s="7"/>
      <c r="W19302" s="7"/>
      <c r="X19302" s="7"/>
      <c r="Y19302" s="7"/>
      <c r="Z19302" s="7"/>
      <c r="AA19302" s="7"/>
      <c r="AB19302" s="7"/>
      <c r="AC19302" s="7"/>
      <c r="AD19302" s="7"/>
      <c r="AE19302" s="7"/>
      <c r="AF19302" s="7"/>
      <c r="AG19302" s="10"/>
    </row>
    <row r="19303" spans="1:33">
      <c r="A19303" s="7"/>
      <c r="B19303" s="7"/>
      <c r="C19303" s="7"/>
      <c r="D19303" s="7"/>
      <c r="E19303" s="7"/>
      <c r="F19303" s="7"/>
      <c r="G19303" s="7"/>
      <c r="H19303" s="7"/>
      <c r="I19303" s="7"/>
      <c r="J19303" s="7"/>
      <c r="K19303" s="7"/>
      <c r="L19303" s="7"/>
      <c r="M19303" s="7"/>
      <c r="N19303" s="7"/>
      <c r="O19303" s="7"/>
      <c r="P19303" s="7"/>
      <c r="Q19303" s="7"/>
      <c r="R19303" s="7"/>
      <c r="S19303" s="7"/>
      <c r="T19303" s="7"/>
      <c r="U19303" s="7"/>
      <c r="V19303" s="7"/>
      <c r="W19303" s="7"/>
      <c r="X19303" s="7"/>
      <c r="Y19303" s="7"/>
      <c r="Z19303" s="7"/>
      <c r="AA19303" s="7"/>
      <c r="AB19303" s="7"/>
      <c r="AC19303" s="7"/>
      <c r="AD19303" s="7"/>
      <c r="AE19303" s="7"/>
      <c r="AF19303" s="7"/>
      <c r="AG19303" s="10"/>
    </row>
    <row r="19304" spans="1:33">
      <c r="A19304" s="7"/>
      <c r="B19304" s="7"/>
      <c r="C19304" s="7"/>
      <c r="D19304" s="7"/>
      <c r="E19304" s="7"/>
      <c r="F19304" s="7"/>
      <c r="G19304" s="7"/>
      <c r="H19304" s="7"/>
      <c r="I19304" s="7"/>
      <c r="J19304" s="7"/>
      <c r="K19304" s="7"/>
      <c r="L19304" s="7"/>
      <c r="M19304" s="7"/>
      <c r="N19304" s="7"/>
      <c r="O19304" s="7"/>
      <c r="P19304" s="7"/>
      <c r="Q19304" s="7"/>
      <c r="R19304" s="7"/>
      <c r="S19304" s="7"/>
      <c r="T19304" s="7"/>
      <c r="U19304" s="7"/>
      <c r="V19304" s="7"/>
      <c r="W19304" s="7"/>
      <c r="X19304" s="7"/>
      <c r="Y19304" s="7"/>
      <c r="Z19304" s="7"/>
      <c r="AA19304" s="7"/>
      <c r="AB19304" s="7"/>
      <c r="AC19304" s="7"/>
      <c r="AD19304" s="7"/>
      <c r="AE19304" s="7"/>
      <c r="AF19304" s="7"/>
      <c r="AG19304" s="10"/>
    </row>
    <row r="19305" spans="1:33">
      <c r="A19305" s="7"/>
      <c r="B19305" s="7"/>
      <c r="C19305" s="7"/>
      <c r="D19305" s="7"/>
      <c r="E19305" s="7"/>
      <c r="F19305" s="7"/>
      <c r="G19305" s="7"/>
      <c r="H19305" s="7"/>
      <c r="I19305" s="7"/>
      <c r="J19305" s="7"/>
      <c r="K19305" s="7"/>
      <c r="L19305" s="7"/>
      <c r="M19305" s="7"/>
      <c r="N19305" s="7"/>
      <c r="O19305" s="7"/>
      <c r="P19305" s="7"/>
      <c r="Q19305" s="7"/>
      <c r="R19305" s="7"/>
      <c r="S19305" s="7"/>
      <c r="T19305" s="7"/>
      <c r="U19305" s="7"/>
      <c r="V19305" s="7"/>
      <c r="W19305" s="7"/>
      <c r="X19305" s="7"/>
      <c r="Y19305" s="7"/>
      <c r="Z19305" s="7"/>
      <c r="AA19305" s="7"/>
      <c r="AB19305" s="7"/>
      <c r="AC19305" s="7"/>
      <c r="AD19305" s="7"/>
      <c r="AE19305" s="7"/>
      <c r="AF19305" s="7"/>
      <c r="AG19305" s="10"/>
    </row>
    <row r="19306" spans="1:33">
      <c r="A19306" s="7"/>
      <c r="B19306" s="7"/>
      <c r="C19306" s="7"/>
      <c r="D19306" s="7"/>
      <c r="E19306" s="7"/>
      <c r="F19306" s="7"/>
      <c r="G19306" s="7"/>
      <c r="H19306" s="7"/>
      <c r="I19306" s="7"/>
      <c r="J19306" s="7"/>
      <c r="K19306" s="7"/>
      <c r="L19306" s="7"/>
      <c r="M19306" s="7"/>
      <c r="N19306" s="7"/>
      <c r="O19306" s="7"/>
      <c r="P19306" s="7"/>
      <c r="Q19306" s="7"/>
      <c r="R19306" s="7"/>
      <c r="S19306" s="7"/>
      <c r="T19306" s="7"/>
      <c r="U19306" s="7"/>
      <c r="V19306" s="7"/>
      <c r="W19306" s="7"/>
      <c r="X19306" s="7"/>
      <c r="Y19306" s="7"/>
      <c r="Z19306" s="7"/>
      <c r="AA19306" s="7"/>
      <c r="AB19306" s="7"/>
      <c r="AC19306" s="7"/>
      <c r="AD19306" s="7"/>
      <c r="AE19306" s="7"/>
      <c r="AF19306" s="7"/>
      <c r="AG19306" s="10"/>
    </row>
    <row r="19307" spans="1:33">
      <c r="A19307" s="7"/>
      <c r="B19307" s="7"/>
      <c r="C19307" s="7"/>
      <c r="D19307" s="7"/>
      <c r="E19307" s="7"/>
      <c r="F19307" s="7"/>
      <c r="G19307" s="7"/>
      <c r="H19307" s="7"/>
      <c r="I19307" s="7"/>
      <c r="J19307" s="7"/>
      <c r="K19307" s="7"/>
      <c r="L19307" s="7"/>
      <c r="M19307" s="7"/>
      <c r="N19307" s="7"/>
      <c r="O19307" s="7"/>
      <c r="P19307" s="7"/>
      <c r="Q19307" s="7"/>
      <c r="R19307" s="7"/>
      <c r="S19307" s="7"/>
      <c r="T19307" s="7"/>
      <c r="U19307" s="7"/>
      <c r="V19307" s="7"/>
      <c r="W19307" s="7"/>
      <c r="X19307" s="7"/>
      <c r="Y19307" s="7"/>
      <c r="Z19307" s="7"/>
      <c r="AA19307" s="7"/>
      <c r="AB19307" s="7"/>
      <c r="AC19307" s="7"/>
      <c r="AD19307" s="7"/>
      <c r="AE19307" s="7"/>
      <c r="AF19307" s="7"/>
      <c r="AG19307" s="10"/>
    </row>
    <row r="19308" spans="1:33">
      <c r="A19308" s="7"/>
      <c r="B19308" s="7"/>
      <c r="C19308" s="7"/>
      <c r="D19308" s="7"/>
      <c r="E19308" s="7"/>
      <c r="F19308" s="7"/>
      <c r="G19308" s="7"/>
      <c r="H19308" s="7"/>
      <c r="I19308" s="7"/>
      <c r="J19308" s="7"/>
      <c r="K19308" s="7"/>
      <c r="L19308" s="7"/>
      <c r="M19308" s="7"/>
      <c r="N19308" s="7"/>
      <c r="O19308" s="7"/>
      <c r="P19308" s="7"/>
      <c r="Q19308" s="7"/>
      <c r="R19308" s="7"/>
      <c r="S19308" s="7"/>
      <c r="T19308" s="7"/>
      <c r="U19308" s="7"/>
      <c r="V19308" s="7"/>
      <c r="W19308" s="7"/>
      <c r="X19308" s="7"/>
      <c r="Y19308" s="7"/>
      <c r="Z19308" s="7"/>
      <c r="AA19308" s="7"/>
      <c r="AB19308" s="7"/>
      <c r="AC19308" s="7"/>
      <c r="AD19308" s="7"/>
      <c r="AE19308" s="7"/>
      <c r="AF19308" s="7"/>
      <c r="AG19308" s="10"/>
    </row>
    <row r="19309" spans="1:33">
      <c r="A19309" s="7"/>
      <c r="B19309" s="7"/>
      <c r="C19309" s="7"/>
      <c r="D19309" s="7"/>
      <c r="E19309" s="7"/>
      <c r="F19309" s="7"/>
      <c r="G19309" s="7"/>
      <c r="H19309" s="7"/>
      <c r="I19309" s="7"/>
      <c r="J19309" s="7"/>
      <c r="K19309" s="7"/>
      <c r="L19309" s="7"/>
      <c r="M19309" s="7"/>
      <c r="N19309" s="7"/>
      <c r="O19309" s="7"/>
      <c r="P19309" s="7"/>
      <c r="Q19309" s="7"/>
      <c r="R19309" s="7"/>
      <c r="S19309" s="7"/>
      <c r="T19309" s="7"/>
      <c r="U19309" s="7"/>
      <c r="V19309" s="7"/>
      <c r="W19309" s="7"/>
      <c r="X19309" s="7"/>
      <c r="Y19309" s="7"/>
      <c r="Z19309" s="7"/>
      <c r="AA19309" s="7"/>
      <c r="AB19309" s="7"/>
      <c r="AC19309" s="7"/>
      <c r="AD19309" s="7"/>
      <c r="AE19309" s="7"/>
      <c r="AF19309" s="7"/>
      <c r="AG19309" s="10"/>
    </row>
    <row r="19310" spans="1:33">
      <c r="A19310" s="7"/>
      <c r="B19310" s="7"/>
      <c r="C19310" s="7"/>
      <c r="D19310" s="7"/>
      <c r="E19310" s="7"/>
      <c r="F19310" s="7"/>
      <c r="G19310" s="7"/>
      <c r="H19310" s="7"/>
      <c r="I19310" s="7"/>
      <c r="J19310" s="7"/>
      <c r="K19310" s="7"/>
      <c r="L19310" s="7"/>
      <c r="M19310" s="7"/>
      <c r="N19310" s="7"/>
      <c r="O19310" s="7"/>
      <c r="P19310" s="7"/>
      <c r="Q19310" s="7"/>
      <c r="R19310" s="7"/>
      <c r="S19310" s="7"/>
      <c r="T19310" s="7"/>
      <c r="U19310" s="7"/>
      <c r="V19310" s="7"/>
      <c r="W19310" s="7"/>
      <c r="X19310" s="7"/>
      <c r="Y19310" s="7"/>
      <c r="Z19310" s="7"/>
      <c r="AA19310" s="7"/>
      <c r="AB19310" s="7"/>
      <c r="AC19310" s="7"/>
      <c r="AD19310" s="7"/>
      <c r="AE19310" s="7"/>
      <c r="AF19310" s="7"/>
      <c r="AG19310" s="10"/>
    </row>
    <row r="19311" spans="1:33">
      <c r="A19311" s="7"/>
      <c r="B19311" s="7"/>
      <c r="C19311" s="7"/>
      <c r="D19311" s="7"/>
      <c r="E19311" s="7"/>
      <c r="F19311" s="7"/>
      <c r="G19311" s="7"/>
      <c r="H19311" s="7"/>
      <c r="I19311" s="7"/>
      <c r="J19311" s="7"/>
      <c r="K19311" s="7"/>
      <c r="L19311" s="7"/>
      <c r="M19311" s="7"/>
      <c r="N19311" s="7"/>
      <c r="O19311" s="7"/>
      <c r="P19311" s="7"/>
      <c r="Q19311" s="7"/>
      <c r="R19311" s="7"/>
      <c r="S19311" s="7"/>
      <c r="T19311" s="7"/>
      <c r="U19311" s="7"/>
      <c r="V19311" s="7"/>
      <c r="W19311" s="7"/>
      <c r="X19311" s="7"/>
      <c r="Y19311" s="7"/>
      <c r="Z19311" s="7"/>
      <c r="AA19311" s="7"/>
      <c r="AB19311" s="7"/>
      <c r="AC19311" s="7"/>
      <c r="AD19311" s="7"/>
      <c r="AE19311" s="7"/>
      <c r="AF19311" s="7"/>
      <c r="AG19311" s="10"/>
    </row>
    <row r="19312" spans="1:33">
      <c r="A19312" s="7"/>
      <c r="B19312" s="7"/>
      <c r="C19312" s="7"/>
      <c r="D19312" s="7"/>
      <c r="E19312" s="7"/>
      <c r="F19312" s="7"/>
      <c r="G19312" s="7"/>
      <c r="H19312" s="7"/>
      <c r="I19312" s="7"/>
      <c r="J19312" s="7"/>
      <c r="K19312" s="7"/>
      <c r="L19312" s="7"/>
      <c r="M19312" s="7"/>
      <c r="N19312" s="7"/>
      <c r="O19312" s="7"/>
      <c r="P19312" s="7"/>
      <c r="Q19312" s="7"/>
      <c r="R19312" s="7"/>
      <c r="S19312" s="7"/>
      <c r="T19312" s="7"/>
      <c r="U19312" s="7"/>
      <c r="V19312" s="7"/>
      <c r="W19312" s="7"/>
      <c r="X19312" s="7"/>
      <c r="Y19312" s="7"/>
      <c r="Z19312" s="7"/>
      <c r="AA19312" s="7"/>
      <c r="AB19312" s="7"/>
      <c r="AC19312" s="7"/>
      <c r="AD19312" s="7"/>
      <c r="AE19312" s="7"/>
      <c r="AF19312" s="7"/>
      <c r="AG19312" s="10"/>
    </row>
    <row r="19313" spans="1:33">
      <c r="A19313" s="7"/>
      <c r="B19313" s="7"/>
      <c r="C19313" s="7"/>
      <c r="D19313" s="7"/>
      <c r="E19313" s="7"/>
      <c r="F19313" s="7"/>
      <c r="G19313" s="7"/>
      <c r="H19313" s="7"/>
      <c r="I19313" s="7"/>
      <c r="J19313" s="7"/>
      <c r="K19313" s="7"/>
      <c r="L19313" s="7"/>
      <c r="M19313" s="7"/>
      <c r="N19313" s="7"/>
      <c r="O19313" s="7"/>
      <c r="P19313" s="7"/>
      <c r="Q19313" s="7"/>
      <c r="R19313" s="7"/>
      <c r="S19313" s="7"/>
      <c r="T19313" s="7"/>
      <c r="U19313" s="7"/>
      <c r="V19313" s="7"/>
      <c r="W19313" s="7"/>
      <c r="X19313" s="7"/>
      <c r="Y19313" s="7"/>
      <c r="Z19313" s="7"/>
      <c r="AA19313" s="7"/>
      <c r="AB19313" s="7"/>
      <c r="AC19313" s="7"/>
      <c r="AD19313" s="7"/>
      <c r="AE19313" s="7"/>
      <c r="AF19313" s="7"/>
      <c r="AG19313" s="10"/>
    </row>
    <row r="19314" spans="1:33">
      <c r="A19314" s="7"/>
      <c r="B19314" s="7"/>
      <c r="C19314" s="7"/>
      <c r="D19314" s="7"/>
      <c r="E19314" s="7"/>
      <c r="F19314" s="7"/>
      <c r="G19314" s="7"/>
      <c r="H19314" s="7"/>
      <c r="I19314" s="7"/>
      <c r="J19314" s="7"/>
      <c r="K19314" s="7"/>
      <c r="L19314" s="7"/>
      <c r="M19314" s="7"/>
      <c r="N19314" s="7"/>
      <c r="O19314" s="7"/>
      <c r="P19314" s="7"/>
      <c r="Q19314" s="7"/>
      <c r="R19314" s="7"/>
      <c r="S19314" s="7"/>
      <c r="T19314" s="7"/>
      <c r="U19314" s="7"/>
      <c r="V19314" s="7"/>
      <c r="W19314" s="7"/>
      <c r="X19314" s="7"/>
      <c r="Y19314" s="7"/>
      <c r="Z19314" s="7"/>
      <c r="AA19314" s="7"/>
      <c r="AB19314" s="7"/>
      <c r="AC19314" s="7"/>
      <c r="AD19314" s="7"/>
      <c r="AE19314" s="7"/>
      <c r="AF19314" s="7"/>
      <c r="AG19314" s="10"/>
    </row>
    <row r="19315" spans="1:33">
      <c r="A19315" s="7"/>
      <c r="B19315" s="7"/>
      <c r="C19315" s="7"/>
      <c r="D19315" s="7"/>
      <c r="E19315" s="7"/>
      <c r="F19315" s="7"/>
      <c r="G19315" s="7"/>
      <c r="H19315" s="7"/>
      <c r="I19315" s="7"/>
      <c r="J19315" s="7"/>
      <c r="K19315" s="7"/>
      <c r="L19315" s="7"/>
      <c r="M19315" s="7"/>
      <c r="N19315" s="7"/>
      <c r="O19315" s="7"/>
      <c r="P19315" s="7"/>
      <c r="Q19315" s="7"/>
      <c r="R19315" s="7"/>
      <c r="S19315" s="7"/>
      <c r="T19315" s="7"/>
      <c r="U19315" s="7"/>
      <c r="V19315" s="7"/>
      <c r="W19315" s="7"/>
      <c r="X19315" s="7"/>
      <c r="Y19315" s="7"/>
      <c r="Z19315" s="7"/>
      <c r="AA19315" s="7"/>
      <c r="AB19315" s="7"/>
      <c r="AC19315" s="7"/>
      <c r="AD19315" s="7"/>
      <c r="AE19315" s="7"/>
      <c r="AF19315" s="7"/>
      <c r="AG19315" s="10"/>
    </row>
    <row r="19316" spans="1:33">
      <c r="A19316" s="7"/>
      <c r="B19316" s="7"/>
      <c r="C19316" s="7"/>
      <c r="D19316" s="7"/>
      <c r="E19316" s="7"/>
      <c r="F19316" s="7"/>
      <c r="G19316" s="7"/>
      <c r="H19316" s="7"/>
      <c r="I19316" s="7"/>
      <c r="J19316" s="7"/>
      <c r="K19316" s="7"/>
      <c r="L19316" s="7"/>
      <c r="M19316" s="7"/>
      <c r="N19316" s="7"/>
      <c r="O19316" s="7"/>
      <c r="P19316" s="7"/>
      <c r="Q19316" s="7"/>
      <c r="R19316" s="7"/>
      <c r="S19316" s="7"/>
      <c r="T19316" s="7"/>
      <c r="U19316" s="7"/>
      <c r="V19316" s="7"/>
      <c r="W19316" s="7"/>
      <c r="X19316" s="7"/>
      <c r="Y19316" s="7"/>
      <c r="Z19316" s="7"/>
      <c r="AA19316" s="7"/>
      <c r="AB19316" s="7"/>
      <c r="AC19316" s="7"/>
      <c r="AD19316" s="7"/>
      <c r="AE19316" s="7"/>
      <c r="AF19316" s="7"/>
      <c r="AG19316" s="10"/>
    </row>
    <row r="19317" spans="1:33">
      <c r="A19317" s="7"/>
      <c r="B19317" s="7"/>
      <c r="C19317" s="7"/>
      <c r="D19317" s="7"/>
      <c r="E19317" s="7"/>
      <c r="F19317" s="7"/>
      <c r="G19317" s="7"/>
      <c r="H19317" s="7"/>
      <c r="I19317" s="7"/>
      <c r="J19317" s="7"/>
      <c r="K19317" s="7"/>
      <c r="L19317" s="7"/>
      <c r="M19317" s="7"/>
      <c r="N19317" s="7"/>
      <c r="O19317" s="7"/>
      <c r="P19317" s="7"/>
      <c r="Q19317" s="7"/>
      <c r="R19317" s="7"/>
      <c r="S19317" s="7"/>
      <c r="T19317" s="7"/>
      <c r="U19317" s="7"/>
      <c r="V19317" s="7"/>
      <c r="W19317" s="7"/>
      <c r="X19317" s="7"/>
      <c r="Y19317" s="7"/>
      <c r="Z19317" s="7"/>
      <c r="AA19317" s="7"/>
      <c r="AB19317" s="7"/>
      <c r="AC19317" s="7"/>
      <c r="AD19317" s="7"/>
      <c r="AE19317" s="7"/>
      <c r="AF19317" s="7"/>
      <c r="AG19317" s="10"/>
    </row>
    <row r="19318" spans="1:33">
      <c r="A19318" s="7"/>
      <c r="B19318" s="7"/>
      <c r="C19318" s="7"/>
      <c r="D19318" s="7"/>
      <c r="E19318" s="7"/>
      <c r="F19318" s="7"/>
      <c r="G19318" s="7"/>
      <c r="H19318" s="7"/>
      <c r="I19318" s="7"/>
      <c r="J19318" s="7"/>
      <c r="K19318" s="7"/>
      <c r="L19318" s="7"/>
      <c r="M19318" s="7"/>
      <c r="N19318" s="7"/>
      <c r="O19318" s="7"/>
      <c r="P19318" s="7"/>
      <c r="Q19318" s="7"/>
      <c r="R19318" s="7"/>
      <c r="S19318" s="7"/>
      <c r="T19318" s="7"/>
      <c r="U19318" s="7"/>
      <c r="V19318" s="7"/>
      <c r="W19318" s="7"/>
      <c r="X19318" s="7"/>
      <c r="Y19318" s="7"/>
      <c r="Z19318" s="7"/>
      <c r="AA19318" s="7"/>
      <c r="AB19318" s="7"/>
      <c r="AC19318" s="7"/>
      <c r="AD19318" s="7"/>
      <c r="AE19318" s="7"/>
      <c r="AF19318" s="7"/>
      <c r="AG19318" s="10"/>
    </row>
    <row r="19319" spans="1:33">
      <c r="A19319" s="7"/>
      <c r="B19319" s="7"/>
      <c r="C19319" s="7"/>
      <c r="D19319" s="7"/>
      <c r="E19319" s="7"/>
      <c r="F19319" s="7"/>
      <c r="G19319" s="7"/>
      <c r="H19319" s="7"/>
      <c r="I19319" s="7"/>
      <c r="J19319" s="7"/>
      <c r="K19319" s="7"/>
      <c r="L19319" s="7"/>
      <c r="M19319" s="7"/>
      <c r="N19319" s="7"/>
      <c r="O19319" s="7"/>
      <c r="P19319" s="7"/>
      <c r="Q19319" s="7"/>
      <c r="R19319" s="7"/>
      <c r="S19319" s="7"/>
      <c r="T19319" s="7"/>
      <c r="U19319" s="7"/>
      <c r="V19319" s="7"/>
      <c r="W19319" s="7"/>
      <c r="X19319" s="7"/>
      <c r="Y19319" s="7"/>
      <c r="Z19319" s="7"/>
      <c r="AA19319" s="7"/>
      <c r="AB19319" s="7"/>
      <c r="AC19319" s="7"/>
      <c r="AD19319" s="7"/>
      <c r="AE19319" s="7"/>
      <c r="AF19319" s="7"/>
      <c r="AG19319" s="10"/>
    </row>
    <row r="19320" spans="1:33">
      <c r="A19320" s="7"/>
      <c r="B19320" s="7"/>
      <c r="C19320" s="7"/>
      <c r="D19320" s="7"/>
      <c r="E19320" s="7"/>
      <c r="F19320" s="7"/>
      <c r="G19320" s="7"/>
      <c r="H19320" s="7"/>
      <c r="I19320" s="7"/>
      <c r="J19320" s="7"/>
      <c r="K19320" s="7"/>
      <c r="L19320" s="7"/>
      <c r="M19320" s="7"/>
      <c r="N19320" s="7"/>
      <c r="O19320" s="7"/>
      <c r="P19320" s="7"/>
      <c r="Q19320" s="7"/>
      <c r="R19320" s="7"/>
      <c r="S19320" s="7"/>
      <c r="T19320" s="7"/>
      <c r="U19320" s="7"/>
      <c r="V19320" s="7"/>
      <c r="W19320" s="7"/>
      <c r="X19320" s="7"/>
      <c r="Y19320" s="7"/>
      <c r="Z19320" s="7"/>
      <c r="AA19320" s="7"/>
      <c r="AB19320" s="7"/>
      <c r="AC19320" s="7"/>
      <c r="AD19320" s="7"/>
      <c r="AE19320" s="7"/>
      <c r="AF19320" s="7"/>
      <c r="AG19320" s="10"/>
    </row>
    <row r="19321" spans="1:33">
      <c r="A19321" s="7"/>
      <c r="B19321" s="7"/>
      <c r="C19321" s="7"/>
      <c r="D19321" s="7"/>
      <c r="E19321" s="7"/>
      <c r="F19321" s="7"/>
      <c r="G19321" s="7"/>
      <c r="H19321" s="7"/>
      <c r="I19321" s="7"/>
      <c r="J19321" s="7"/>
      <c r="K19321" s="7"/>
      <c r="L19321" s="7"/>
      <c r="M19321" s="7"/>
      <c r="N19321" s="7"/>
      <c r="O19321" s="7"/>
      <c r="P19321" s="7"/>
      <c r="Q19321" s="7"/>
      <c r="R19321" s="7"/>
      <c r="S19321" s="7"/>
      <c r="T19321" s="7"/>
      <c r="U19321" s="7"/>
      <c r="V19321" s="7"/>
      <c r="W19321" s="7"/>
      <c r="X19321" s="7"/>
      <c r="Y19321" s="7"/>
      <c r="Z19321" s="7"/>
      <c r="AA19321" s="7"/>
      <c r="AB19321" s="7"/>
      <c r="AC19321" s="7"/>
      <c r="AD19321" s="7"/>
      <c r="AE19321" s="7"/>
      <c r="AF19321" s="7"/>
      <c r="AG19321" s="10"/>
    </row>
    <row r="19322" spans="1:33">
      <c r="A19322" s="7"/>
      <c r="B19322" s="7"/>
      <c r="C19322" s="7"/>
      <c r="D19322" s="7"/>
      <c r="E19322" s="7"/>
      <c r="F19322" s="7"/>
      <c r="G19322" s="7"/>
      <c r="H19322" s="7"/>
      <c r="I19322" s="7"/>
      <c r="J19322" s="7"/>
      <c r="K19322" s="7"/>
      <c r="L19322" s="7"/>
      <c r="M19322" s="7"/>
      <c r="N19322" s="7"/>
      <c r="O19322" s="7"/>
      <c r="P19322" s="7"/>
      <c r="Q19322" s="7"/>
      <c r="R19322" s="7"/>
      <c r="S19322" s="7"/>
      <c r="T19322" s="7"/>
      <c r="U19322" s="7"/>
      <c r="V19322" s="7"/>
      <c r="W19322" s="7"/>
      <c r="X19322" s="7"/>
      <c r="Y19322" s="7"/>
      <c r="Z19322" s="7"/>
      <c r="AA19322" s="7"/>
      <c r="AB19322" s="7"/>
      <c r="AC19322" s="7"/>
      <c r="AD19322" s="7"/>
      <c r="AE19322" s="7"/>
      <c r="AF19322" s="7"/>
      <c r="AG19322" s="10"/>
    </row>
    <row r="19323" spans="1:33">
      <c r="A19323" s="7"/>
      <c r="B19323" s="7"/>
      <c r="C19323" s="7"/>
      <c r="D19323" s="7"/>
      <c r="E19323" s="7"/>
      <c r="F19323" s="7"/>
      <c r="G19323" s="7"/>
      <c r="H19323" s="7"/>
      <c r="I19323" s="7"/>
      <c r="J19323" s="7"/>
      <c r="K19323" s="7"/>
      <c r="L19323" s="7"/>
      <c r="M19323" s="7"/>
      <c r="N19323" s="7"/>
      <c r="O19323" s="7"/>
      <c r="P19323" s="7"/>
      <c r="Q19323" s="7"/>
      <c r="R19323" s="7"/>
      <c r="S19323" s="7"/>
      <c r="T19323" s="7"/>
      <c r="U19323" s="7"/>
      <c r="V19323" s="7"/>
      <c r="W19323" s="7"/>
      <c r="X19323" s="7"/>
      <c r="Y19323" s="7"/>
      <c r="Z19323" s="7"/>
      <c r="AA19323" s="7"/>
      <c r="AB19323" s="7"/>
      <c r="AC19323" s="7"/>
      <c r="AD19323" s="7"/>
      <c r="AE19323" s="7"/>
      <c r="AF19323" s="7"/>
      <c r="AG19323" s="10"/>
    </row>
    <row r="19324" spans="1:33">
      <c r="A19324" s="7"/>
      <c r="B19324" s="7"/>
      <c r="C19324" s="7"/>
      <c r="D19324" s="7"/>
      <c r="E19324" s="7"/>
      <c r="F19324" s="7"/>
      <c r="G19324" s="7"/>
      <c r="H19324" s="7"/>
      <c r="I19324" s="7"/>
      <c r="J19324" s="7"/>
      <c r="K19324" s="7"/>
      <c r="L19324" s="7"/>
      <c r="M19324" s="7"/>
      <c r="N19324" s="7"/>
      <c r="O19324" s="7"/>
      <c r="P19324" s="7"/>
      <c r="Q19324" s="7"/>
      <c r="R19324" s="7"/>
      <c r="S19324" s="7"/>
      <c r="T19324" s="7"/>
      <c r="U19324" s="7"/>
      <c r="V19324" s="7"/>
      <c r="W19324" s="7"/>
      <c r="X19324" s="7"/>
      <c r="Y19324" s="7"/>
      <c r="Z19324" s="7"/>
      <c r="AA19324" s="7"/>
      <c r="AB19324" s="7"/>
      <c r="AC19324" s="7"/>
      <c r="AD19324" s="7"/>
      <c r="AE19324" s="7"/>
      <c r="AF19324" s="7"/>
      <c r="AG19324" s="10"/>
    </row>
    <row r="19325" spans="1:33">
      <c r="A19325" s="7"/>
      <c r="B19325" s="7"/>
      <c r="C19325" s="7"/>
      <c r="D19325" s="7"/>
      <c r="E19325" s="7"/>
      <c r="F19325" s="7"/>
      <c r="G19325" s="7"/>
      <c r="H19325" s="7"/>
      <c r="I19325" s="7"/>
      <c r="J19325" s="7"/>
      <c r="K19325" s="7"/>
      <c r="L19325" s="7"/>
      <c r="M19325" s="7"/>
      <c r="N19325" s="7"/>
      <c r="O19325" s="7"/>
      <c r="P19325" s="7"/>
      <c r="Q19325" s="7"/>
      <c r="R19325" s="7"/>
      <c r="S19325" s="7"/>
      <c r="T19325" s="7"/>
      <c r="U19325" s="7"/>
      <c r="V19325" s="7"/>
      <c r="W19325" s="7"/>
      <c r="X19325" s="7"/>
      <c r="Y19325" s="7"/>
      <c r="Z19325" s="7"/>
      <c r="AA19325" s="7"/>
      <c r="AB19325" s="7"/>
      <c r="AC19325" s="7"/>
      <c r="AD19325" s="7"/>
      <c r="AE19325" s="7"/>
      <c r="AF19325" s="7"/>
      <c r="AG19325" s="10"/>
    </row>
    <row r="19326" spans="1:33">
      <c r="A19326" s="7"/>
      <c r="B19326" s="7"/>
      <c r="C19326" s="7"/>
      <c r="D19326" s="7"/>
      <c r="E19326" s="7"/>
      <c r="F19326" s="7"/>
      <c r="G19326" s="7"/>
      <c r="H19326" s="7"/>
      <c r="I19326" s="7"/>
      <c r="J19326" s="7"/>
      <c r="K19326" s="7"/>
      <c r="L19326" s="7"/>
      <c r="M19326" s="7"/>
      <c r="N19326" s="7"/>
      <c r="O19326" s="7"/>
      <c r="P19326" s="7"/>
      <c r="Q19326" s="7"/>
      <c r="R19326" s="7"/>
      <c r="S19326" s="7"/>
      <c r="T19326" s="7"/>
      <c r="U19326" s="7"/>
      <c r="V19326" s="7"/>
      <c r="W19326" s="7"/>
      <c r="X19326" s="7"/>
      <c r="Y19326" s="7"/>
      <c r="Z19326" s="7"/>
      <c r="AA19326" s="7"/>
      <c r="AB19326" s="7"/>
      <c r="AC19326" s="7"/>
      <c r="AD19326" s="7"/>
      <c r="AE19326" s="7"/>
      <c r="AF19326" s="7"/>
      <c r="AG19326" s="10"/>
    </row>
    <row r="19327" spans="1:33">
      <c r="A19327" s="7"/>
      <c r="B19327" s="7"/>
      <c r="C19327" s="7"/>
      <c r="D19327" s="7"/>
      <c r="E19327" s="7"/>
      <c r="F19327" s="7"/>
      <c r="G19327" s="7"/>
      <c r="H19327" s="7"/>
      <c r="I19327" s="7"/>
      <c r="J19327" s="7"/>
      <c r="K19327" s="7"/>
      <c r="L19327" s="7"/>
      <c r="M19327" s="7"/>
      <c r="N19327" s="7"/>
      <c r="O19327" s="7"/>
      <c r="P19327" s="7"/>
      <c r="Q19327" s="7"/>
      <c r="R19327" s="7"/>
      <c r="S19327" s="7"/>
      <c r="T19327" s="7"/>
      <c r="U19327" s="7"/>
      <c r="V19327" s="7"/>
      <c r="W19327" s="7"/>
      <c r="X19327" s="7"/>
      <c r="Y19327" s="7"/>
      <c r="Z19327" s="7"/>
      <c r="AA19327" s="7"/>
      <c r="AB19327" s="7"/>
      <c r="AC19327" s="7"/>
      <c r="AD19327" s="7"/>
      <c r="AE19327" s="7"/>
      <c r="AF19327" s="7"/>
      <c r="AG19327" s="10"/>
    </row>
    <row r="19328" spans="1:33">
      <c r="A19328" s="7"/>
      <c r="B19328" s="7"/>
      <c r="C19328" s="7"/>
      <c r="D19328" s="7"/>
      <c r="E19328" s="7"/>
      <c r="F19328" s="7"/>
      <c r="G19328" s="7"/>
      <c r="H19328" s="7"/>
      <c r="I19328" s="7"/>
      <c r="J19328" s="7"/>
      <c r="K19328" s="7"/>
      <c r="L19328" s="7"/>
      <c r="M19328" s="7"/>
      <c r="N19328" s="7"/>
      <c r="O19328" s="7"/>
      <c r="P19328" s="7"/>
      <c r="Q19328" s="7"/>
      <c r="R19328" s="7"/>
      <c r="S19328" s="7"/>
      <c r="T19328" s="7"/>
      <c r="U19328" s="7"/>
      <c r="V19328" s="7"/>
      <c r="W19328" s="7"/>
      <c r="X19328" s="7"/>
      <c r="Y19328" s="7"/>
      <c r="Z19328" s="7"/>
      <c r="AA19328" s="7"/>
      <c r="AB19328" s="7"/>
      <c r="AC19328" s="7"/>
      <c r="AD19328" s="7"/>
      <c r="AE19328" s="7"/>
      <c r="AF19328" s="7"/>
      <c r="AG19328" s="10"/>
    </row>
    <row r="19329" spans="1:33">
      <c r="A19329" s="7"/>
      <c r="B19329" s="7"/>
      <c r="C19329" s="7"/>
      <c r="D19329" s="7"/>
      <c r="E19329" s="7"/>
      <c r="F19329" s="7"/>
      <c r="G19329" s="7"/>
      <c r="H19329" s="7"/>
      <c r="I19329" s="7"/>
      <c r="J19329" s="7"/>
      <c r="K19329" s="7"/>
      <c r="L19329" s="7"/>
      <c r="M19329" s="7"/>
      <c r="N19329" s="7"/>
      <c r="O19329" s="7"/>
      <c r="P19329" s="7"/>
      <c r="Q19329" s="7"/>
      <c r="R19329" s="7"/>
      <c r="S19329" s="7"/>
      <c r="T19329" s="7"/>
      <c r="U19329" s="7"/>
      <c r="V19329" s="7"/>
      <c r="W19329" s="7"/>
      <c r="X19329" s="7"/>
      <c r="Y19329" s="7"/>
      <c r="Z19329" s="7"/>
      <c r="AA19329" s="7"/>
      <c r="AB19329" s="7"/>
      <c r="AC19329" s="7"/>
      <c r="AD19329" s="7"/>
      <c r="AE19329" s="7"/>
      <c r="AF19329" s="7"/>
      <c r="AG19329" s="10"/>
    </row>
    <row r="19330" spans="1:33">
      <c r="A19330" s="7"/>
      <c r="B19330" s="7"/>
      <c r="C19330" s="7"/>
      <c r="D19330" s="7"/>
      <c r="E19330" s="7"/>
      <c r="F19330" s="7"/>
      <c r="G19330" s="7"/>
      <c r="H19330" s="7"/>
      <c r="I19330" s="7"/>
      <c r="J19330" s="7"/>
      <c r="K19330" s="7"/>
      <c r="L19330" s="7"/>
      <c r="M19330" s="7"/>
      <c r="N19330" s="7"/>
      <c r="O19330" s="7"/>
      <c r="P19330" s="7"/>
      <c r="Q19330" s="7"/>
      <c r="R19330" s="7"/>
      <c r="S19330" s="7"/>
      <c r="T19330" s="7"/>
      <c r="U19330" s="7"/>
      <c r="V19330" s="7"/>
      <c r="W19330" s="7"/>
      <c r="X19330" s="7"/>
      <c r="Y19330" s="7"/>
      <c r="Z19330" s="7"/>
      <c r="AA19330" s="7"/>
      <c r="AB19330" s="7"/>
      <c r="AC19330" s="7"/>
      <c r="AD19330" s="7"/>
      <c r="AE19330" s="7"/>
      <c r="AF19330" s="7"/>
      <c r="AG19330" s="10"/>
    </row>
    <row r="19331" spans="1:33">
      <c r="A19331" s="7"/>
      <c r="B19331" s="7"/>
      <c r="C19331" s="7"/>
      <c r="D19331" s="7"/>
      <c r="E19331" s="7"/>
      <c r="F19331" s="7"/>
      <c r="G19331" s="7"/>
      <c r="H19331" s="7"/>
      <c r="I19331" s="7"/>
      <c r="J19331" s="7"/>
      <c r="K19331" s="7"/>
      <c r="L19331" s="7"/>
      <c r="M19331" s="7"/>
      <c r="N19331" s="7"/>
      <c r="O19331" s="7"/>
      <c r="P19331" s="7"/>
      <c r="Q19331" s="7"/>
      <c r="R19331" s="7"/>
      <c r="S19331" s="7"/>
      <c r="T19331" s="7"/>
      <c r="U19331" s="7"/>
      <c r="V19331" s="7"/>
      <c r="W19331" s="7"/>
      <c r="X19331" s="7"/>
      <c r="Y19331" s="7"/>
      <c r="Z19331" s="7"/>
      <c r="AA19331" s="7"/>
      <c r="AB19331" s="7"/>
      <c r="AC19331" s="7"/>
      <c r="AD19331" s="7"/>
      <c r="AE19331" s="7"/>
      <c r="AF19331" s="7"/>
      <c r="AG19331" s="10"/>
    </row>
    <row r="19332" spans="1:33">
      <c r="A19332" s="7"/>
      <c r="B19332" s="7"/>
      <c r="C19332" s="7"/>
      <c r="D19332" s="7"/>
      <c r="E19332" s="7"/>
      <c r="F19332" s="7"/>
      <c r="G19332" s="7"/>
      <c r="H19332" s="7"/>
      <c r="I19332" s="7"/>
      <c r="J19332" s="7"/>
      <c r="K19332" s="7"/>
      <c r="L19332" s="7"/>
      <c r="M19332" s="7"/>
      <c r="N19332" s="7"/>
      <c r="O19332" s="7"/>
      <c r="P19332" s="7"/>
      <c r="Q19332" s="7"/>
      <c r="R19332" s="7"/>
      <c r="S19332" s="7"/>
      <c r="T19332" s="7"/>
      <c r="U19332" s="7"/>
      <c r="V19332" s="7"/>
      <c r="W19332" s="7"/>
      <c r="X19332" s="7"/>
      <c r="Y19332" s="7"/>
      <c r="Z19332" s="7"/>
      <c r="AA19332" s="7"/>
      <c r="AB19332" s="7"/>
      <c r="AC19332" s="7"/>
      <c r="AD19332" s="7"/>
      <c r="AE19332" s="7"/>
      <c r="AF19332" s="7"/>
      <c r="AG19332" s="10"/>
    </row>
    <row r="19333" spans="1:33">
      <c r="A19333" s="7"/>
      <c r="B19333" s="7"/>
      <c r="C19333" s="7"/>
      <c r="D19333" s="7"/>
      <c r="E19333" s="7"/>
      <c r="F19333" s="7"/>
      <c r="G19333" s="7"/>
      <c r="H19333" s="7"/>
      <c r="I19333" s="7"/>
      <c r="J19333" s="7"/>
      <c r="K19333" s="7"/>
      <c r="L19333" s="7"/>
      <c r="M19333" s="7"/>
      <c r="N19333" s="7"/>
      <c r="O19333" s="7"/>
      <c r="P19333" s="7"/>
      <c r="Q19333" s="7"/>
      <c r="R19333" s="7"/>
      <c r="S19333" s="7"/>
      <c r="T19333" s="7"/>
      <c r="U19333" s="7"/>
      <c r="V19333" s="7"/>
      <c r="W19333" s="7"/>
      <c r="X19333" s="7"/>
      <c r="Y19333" s="7"/>
      <c r="Z19333" s="7"/>
      <c r="AA19333" s="7"/>
      <c r="AB19333" s="7"/>
      <c r="AC19333" s="7"/>
      <c r="AD19333" s="7"/>
      <c r="AE19333" s="7"/>
      <c r="AF19333" s="7"/>
      <c r="AG19333" s="10"/>
    </row>
    <row r="19334" spans="1:33">
      <c r="A19334" s="7"/>
      <c r="B19334" s="7"/>
      <c r="C19334" s="7"/>
      <c r="D19334" s="7"/>
      <c r="E19334" s="7"/>
      <c r="F19334" s="7"/>
      <c r="G19334" s="7"/>
      <c r="H19334" s="7"/>
      <c r="I19334" s="7"/>
      <c r="J19334" s="7"/>
      <c r="K19334" s="7"/>
      <c r="L19334" s="7"/>
      <c r="M19334" s="7"/>
      <c r="N19334" s="7"/>
      <c r="O19334" s="7"/>
      <c r="P19334" s="7"/>
      <c r="Q19334" s="7"/>
      <c r="R19334" s="7"/>
      <c r="S19334" s="7"/>
      <c r="T19334" s="7"/>
      <c r="U19334" s="7"/>
      <c r="V19334" s="7"/>
      <c r="W19334" s="7"/>
      <c r="X19334" s="7"/>
      <c r="Y19334" s="7"/>
      <c r="Z19334" s="7"/>
      <c r="AA19334" s="7"/>
      <c r="AB19334" s="7"/>
      <c r="AC19334" s="7"/>
      <c r="AD19334" s="7"/>
      <c r="AE19334" s="7"/>
      <c r="AF19334" s="7"/>
      <c r="AG19334" s="10"/>
    </row>
    <row r="19335" spans="1:33">
      <c r="A19335" s="7"/>
      <c r="B19335" s="7"/>
      <c r="C19335" s="7"/>
      <c r="D19335" s="7"/>
      <c r="E19335" s="7"/>
      <c r="F19335" s="7"/>
      <c r="G19335" s="7"/>
      <c r="H19335" s="7"/>
      <c r="I19335" s="7"/>
      <c r="J19335" s="7"/>
      <c r="K19335" s="7"/>
      <c r="L19335" s="7"/>
      <c r="M19335" s="7"/>
      <c r="N19335" s="7"/>
      <c r="O19335" s="7"/>
      <c r="P19335" s="7"/>
      <c r="Q19335" s="7"/>
      <c r="R19335" s="7"/>
      <c r="S19335" s="7"/>
      <c r="T19335" s="7"/>
      <c r="U19335" s="7"/>
      <c r="V19335" s="7"/>
      <c r="W19335" s="7"/>
      <c r="X19335" s="7"/>
      <c r="Y19335" s="7"/>
      <c r="Z19335" s="7"/>
      <c r="AA19335" s="7"/>
      <c r="AB19335" s="7"/>
      <c r="AC19335" s="7"/>
      <c r="AD19335" s="7"/>
      <c r="AE19335" s="7"/>
      <c r="AF19335" s="7"/>
      <c r="AG19335" s="10"/>
    </row>
    <row r="19336" spans="1:33">
      <c r="A19336" s="7"/>
      <c r="B19336" s="7"/>
      <c r="C19336" s="7"/>
      <c r="D19336" s="7"/>
      <c r="E19336" s="7"/>
      <c r="F19336" s="7"/>
      <c r="G19336" s="7"/>
      <c r="H19336" s="7"/>
      <c r="I19336" s="7"/>
      <c r="J19336" s="7"/>
      <c r="K19336" s="7"/>
      <c r="L19336" s="7"/>
      <c r="M19336" s="7"/>
      <c r="N19336" s="7"/>
      <c r="O19336" s="7"/>
      <c r="P19336" s="7"/>
      <c r="Q19336" s="7"/>
      <c r="R19336" s="7"/>
      <c r="S19336" s="7"/>
      <c r="T19336" s="7"/>
      <c r="U19336" s="7"/>
      <c r="V19336" s="7"/>
      <c r="W19336" s="7"/>
      <c r="X19336" s="7"/>
      <c r="Y19336" s="7"/>
      <c r="Z19336" s="7"/>
      <c r="AA19336" s="7"/>
      <c r="AB19336" s="7"/>
      <c r="AC19336" s="7"/>
      <c r="AD19336" s="7"/>
      <c r="AE19336" s="7"/>
      <c r="AF19336" s="7"/>
      <c r="AG19336" s="10"/>
    </row>
    <row r="19337" spans="1:33">
      <c r="A19337" s="7"/>
      <c r="B19337" s="7"/>
      <c r="C19337" s="7"/>
      <c r="D19337" s="7"/>
      <c r="E19337" s="7"/>
      <c r="F19337" s="7"/>
      <c r="G19337" s="7"/>
      <c r="H19337" s="7"/>
      <c r="I19337" s="7"/>
      <c r="J19337" s="7"/>
      <c r="K19337" s="7"/>
      <c r="L19337" s="7"/>
      <c r="M19337" s="7"/>
      <c r="N19337" s="7"/>
      <c r="O19337" s="7"/>
      <c r="P19337" s="7"/>
      <c r="Q19337" s="7"/>
      <c r="R19337" s="7"/>
      <c r="S19337" s="7"/>
      <c r="T19337" s="7"/>
      <c r="U19337" s="7"/>
      <c r="V19337" s="7"/>
      <c r="W19337" s="7"/>
      <c r="X19337" s="7"/>
      <c r="Y19337" s="7"/>
      <c r="Z19337" s="7"/>
      <c r="AA19337" s="7"/>
      <c r="AB19337" s="7"/>
      <c r="AC19337" s="7"/>
      <c r="AD19337" s="7"/>
      <c r="AE19337" s="7"/>
      <c r="AF19337" s="7"/>
      <c r="AG19337" s="10"/>
    </row>
    <row r="19338" spans="1:33">
      <c r="A19338" s="7"/>
      <c r="B19338" s="7"/>
      <c r="C19338" s="7"/>
      <c r="D19338" s="7"/>
      <c r="E19338" s="7"/>
      <c r="F19338" s="7"/>
      <c r="G19338" s="7"/>
      <c r="H19338" s="7"/>
      <c r="I19338" s="7"/>
      <c r="J19338" s="7"/>
      <c r="K19338" s="7"/>
      <c r="L19338" s="7"/>
      <c r="M19338" s="7"/>
      <c r="N19338" s="7"/>
      <c r="O19338" s="7"/>
      <c r="P19338" s="7"/>
      <c r="Q19338" s="7"/>
      <c r="R19338" s="7"/>
      <c r="S19338" s="7"/>
      <c r="T19338" s="7"/>
      <c r="U19338" s="7"/>
      <c r="V19338" s="7"/>
      <c r="W19338" s="7"/>
      <c r="X19338" s="7"/>
      <c r="Y19338" s="7"/>
      <c r="Z19338" s="7"/>
      <c r="AA19338" s="7"/>
      <c r="AB19338" s="7"/>
      <c r="AC19338" s="7"/>
      <c r="AD19338" s="7"/>
      <c r="AE19338" s="7"/>
      <c r="AF19338" s="7"/>
      <c r="AG19338" s="10"/>
    </row>
    <row r="19339" spans="1:33">
      <c r="A19339" s="7"/>
      <c r="B19339" s="7"/>
      <c r="C19339" s="7"/>
      <c r="D19339" s="7"/>
      <c r="E19339" s="7"/>
      <c r="F19339" s="7"/>
      <c r="G19339" s="7"/>
      <c r="H19339" s="7"/>
      <c r="I19339" s="7"/>
      <c r="J19339" s="7"/>
      <c r="K19339" s="7"/>
      <c r="L19339" s="7"/>
      <c r="M19339" s="7"/>
      <c r="N19339" s="7"/>
      <c r="O19339" s="7"/>
      <c r="P19339" s="7"/>
      <c r="Q19339" s="7"/>
      <c r="R19339" s="7"/>
      <c r="S19339" s="7"/>
      <c r="T19339" s="7"/>
      <c r="U19339" s="7"/>
      <c r="V19339" s="7"/>
      <c r="W19339" s="7"/>
      <c r="X19339" s="7"/>
      <c r="Y19339" s="7"/>
      <c r="Z19339" s="7"/>
      <c r="AA19339" s="7"/>
      <c r="AB19339" s="7"/>
      <c r="AC19339" s="7"/>
      <c r="AD19339" s="7"/>
      <c r="AE19339" s="7"/>
      <c r="AF19339" s="7"/>
      <c r="AG19339" s="10"/>
    </row>
    <row r="19340" spans="1:33">
      <c r="A19340" s="7"/>
      <c r="B19340" s="7"/>
      <c r="C19340" s="7"/>
      <c r="D19340" s="7"/>
      <c r="E19340" s="7"/>
      <c r="F19340" s="7"/>
      <c r="G19340" s="7"/>
      <c r="H19340" s="7"/>
      <c r="I19340" s="7"/>
      <c r="J19340" s="7"/>
      <c r="K19340" s="7"/>
      <c r="L19340" s="7"/>
      <c r="M19340" s="7"/>
      <c r="N19340" s="7"/>
      <c r="O19340" s="7"/>
      <c r="P19340" s="7"/>
      <c r="Q19340" s="7"/>
      <c r="R19340" s="7"/>
      <c r="S19340" s="7"/>
      <c r="T19340" s="7"/>
      <c r="U19340" s="7"/>
      <c r="V19340" s="7"/>
      <c r="W19340" s="7"/>
      <c r="X19340" s="7"/>
      <c r="Y19340" s="7"/>
      <c r="Z19340" s="7"/>
      <c r="AA19340" s="7"/>
      <c r="AB19340" s="7"/>
      <c r="AC19340" s="7"/>
      <c r="AD19340" s="7"/>
      <c r="AE19340" s="7"/>
      <c r="AF19340" s="7"/>
      <c r="AG19340" s="10"/>
    </row>
    <row r="19341" spans="1:33">
      <c r="A19341" s="7"/>
      <c r="B19341" s="7"/>
      <c r="C19341" s="7"/>
      <c r="D19341" s="7"/>
      <c r="E19341" s="7"/>
      <c r="F19341" s="7"/>
      <c r="G19341" s="7"/>
      <c r="H19341" s="7"/>
      <c r="I19341" s="7"/>
      <c r="J19341" s="7"/>
      <c r="K19341" s="7"/>
      <c r="L19341" s="7"/>
      <c r="M19341" s="7"/>
      <c r="N19341" s="7"/>
      <c r="O19341" s="7"/>
      <c r="P19341" s="7"/>
      <c r="Q19341" s="7"/>
      <c r="R19341" s="7"/>
      <c r="S19341" s="7"/>
      <c r="T19341" s="7"/>
      <c r="U19341" s="7"/>
      <c r="V19341" s="7"/>
      <c r="W19341" s="7"/>
      <c r="X19341" s="7"/>
      <c r="Y19341" s="7"/>
      <c r="Z19341" s="7"/>
      <c r="AA19341" s="7"/>
      <c r="AB19341" s="7"/>
      <c r="AC19341" s="7"/>
      <c r="AD19341" s="7"/>
      <c r="AE19341" s="7"/>
      <c r="AF19341" s="7"/>
      <c r="AG19341" s="10"/>
    </row>
    <row r="19342" spans="1:33">
      <c r="A19342" s="7"/>
      <c r="B19342" s="7"/>
      <c r="C19342" s="7"/>
      <c r="D19342" s="7"/>
      <c r="E19342" s="7"/>
      <c r="F19342" s="7"/>
      <c r="G19342" s="7"/>
      <c r="H19342" s="7"/>
      <c r="I19342" s="7"/>
      <c r="J19342" s="7"/>
      <c r="K19342" s="7"/>
      <c r="L19342" s="7"/>
      <c r="M19342" s="7"/>
      <c r="N19342" s="7"/>
      <c r="O19342" s="7"/>
      <c r="P19342" s="7"/>
      <c r="Q19342" s="7"/>
      <c r="R19342" s="7"/>
      <c r="S19342" s="7"/>
      <c r="T19342" s="7"/>
      <c r="U19342" s="7"/>
      <c r="V19342" s="7"/>
      <c r="W19342" s="7"/>
      <c r="X19342" s="7"/>
      <c r="Y19342" s="7"/>
      <c r="Z19342" s="7"/>
      <c r="AA19342" s="7"/>
      <c r="AB19342" s="7"/>
      <c r="AC19342" s="7"/>
      <c r="AD19342" s="7"/>
      <c r="AE19342" s="7"/>
      <c r="AF19342" s="7"/>
      <c r="AG19342" s="10"/>
    </row>
    <row r="19343" spans="1:33">
      <c r="A19343" s="7"/>
      <c r="B19343" s="7"/>
      <c r="C19343" s="7"/>
      <c r="D19343" s="7"/>
      <c r="E19343" s="7"/>
      <c r="F19343" s="7"/>
      <c r="G19343" s="7"/>
      <c r="H19343" s="7"/>
      <c r="I19343" s="7"/>
      <c r="J19343" s="7"/>
      <c r="K19343" s="7"/>
      <c r="L19343" s="7"/>
      <c r="M19343" s="7"/>
      <c r="N19343" s="7"/>
      <c r="O19343" s="7"/>
      <c r="P19343" s="7"/>
      <c r="Q19343" s="7"/>
      <c r="R19343" s="7"/>
      <c r="S19343" s="7"/>
      <c r="T19343" s="7"/>
      <c r="U19343" s="7"/>
      <c r="V19343" s="7"/>
      <c r="W19343" s="7"/>
      <c r="X19343" s="7"/>
      <c r="Y19343" s="7"/>
      <c r="Z19343" s="7"/>
      <c r="AA19343" s="7"/>
      <c r="AB19343" s="7"/>
      <c r="AC19343" s="7"/>
      <c r="AD19343" s="7"/>
      <c r="AE19343" s="7"/>
      <c r="AF19343" s="7"/>
      <c r="AG19343" s="10"/>
    </row>
    <row r="19344" spans="1:33">
      <c r="A19344" s="7"/>
      <c r="B19344" s="7"/>
      <c r="C19344" s="7"/>
      <c r="D19344" s="7"/>
      <c r="E19344" s="7"/>
      <c r="F19344" s="7"/>
      <c r="G19344" s="7"/>
      <c r="H19344" s="7"/>
      <c r="I19344" s="7"/>
      <c r="J19344" s="7"/>
      <c r="K19344" s="7"/>
      <c r="L19344" s="7"/>
      <c r="M19344" s="7"/>
      <c r="N19344" s="7"/>
      <c r="O19344" s="7"/>
      <c r="P19344" s="7"/>
      <c r="Q19344" s="7"/>
      <c r="R19344" s="7"/>
      <c r="S19344" s="7"/>
      <c r="T19344" s="7"/>
      <c r="U19344" s="7"/>
      <c r="V19344" s="7"/>
      <c r="W19344" s="7"/>
      <c r="X19344" s="7"/>
      <c r="Y19344" s="7"/>
      <c r="Z19344" s="7"/>
      <c r="AA19344" s="7"/>
      <c r="AB19344" s="7"/>
      <c r="AC19344" s="7"/>
      <c r="AD19344" s="7"/>
      <c r="AE19344" s="7"/>
      <c r="AF19344" s="7"/>
      <c r="AG19344" s="10"/>
    </row>
    <row r="19345" spans="1:33">
      <c r="A19345" s="7"/>
      <c r="B19345" s="7"/>
      <c r="C19345" s="7"/>
      <c r="D19345" s="7"/>
      <c r="E19345" s="7"/>
      <c r="F19345" s="7"/>
      <c r="G19345" s="7"/>
      <c r="H19345" s="7"/>
      <c r="I19345" s="7"/>
      <c r="J19345" s="7"/>
      <c r="K19345" s="7"/>
      <c r="L19345" s="7"/>
      <c r="M19345" s="7"/>
      <c r="N19345" s="7"/>
      <c r="O19345" s="7"/>
      <c r="P19345" s="7"/>
      <c r="Q19345" s="7"/>
      <c r="R19345" s="7"/>
      <c r="S19345" s="7"/>
      <c r="T19345" s="7"/>
      <c r="U19345" s="7"/>
      <c r="V19345" s="7"/>
      <c r="W19345" s="7"/>
      <c r="X19345" s="7"/>
      <c r="Y19345" s="7"/>
      <c r="Z19345" s="7"/>
      <c r="AA19345" s="7"/>
      <c r="AB19345" s="7"/>
      <c r="AC19345" s="7"/>
      <c r="AD19345" s="7"/>
      <c r="AE19345" s="7"/>
      <c r="AF19345" s="7"/>
      <c r="AG19345" s="10"/>
    </row>
    <row r="19346" spans="1:33">
      <c r="A19346" s="7"/>
      <c r="B19346" s="7"/>
      <c r="C19346" s="7"/>
      <c r="D19346" s="7"/>
      <c r="E19346" s="7"/>
      <c r="F19346" s="7"/>
      <c r="G19346" s="7"/>
      <c r="H19346" s="7"/>
      <c r="I19346" s="7"/>
      <c r="J19346" s="7"/>
      <c r="K19346" s="7"/>
      <c r="L19346" s="7"/>
      <c r="M19346" s="7"/>
      <c r="N19346" s="7"/>
      <c r="O19346" s="7"/>
      <c r="P19346" s="7"/>
      <c r="Q19346" s="7"/>
      <c r="R19346" s="7"/>
      <c r="S19346" s="7"/>
      <c r="T19346" s="7"/>
      <c r="U19346" s="7"/>
      <c r="V19346" s="7"/>
      <c r="W19346" s="7"/>
      <c r="X19346" s="7"/>
      <c r="Y19346" s="7"/>
      <c r="Z19346" s="7"/>
      <c r="AA19346" s="7"/>
      <c r="AB19346" s="7"/>
      <c r="AC19346" s="7"/>
      <c r="AD19346" s="7"/>
      <c r="AE19346" s="7"/>
      <c r="AF19346" s="7"/>
      <c r="AG19346" s="10"/>
    </row>
    <row r="19347" spans="1:33">
      <c r="A19347" s="7"/>
      <c r="B19347" s="7"/>
      <c r="C19347" s="7"/>
      <c r="D19347" s="7"/>
      <c r="E19347" s="7"/>
      <c r="F19347" s="7"/>
      <c r="G19347" s="7"/>
      <c r="H19347" s="7"/>
      <c r="I19347" s="7"/>
      <c r="J19347" s="7"/>
      <c r="K19347" s="7"/>
      <c r="L19347" s="7"/>
      <c r="M19347" s="7"/>
      <c r="N19347" s="7"/>
      <c r="O19347" s="7"/>
      <c r="P19347" s="7"/>
      <c r="Q19347" s="7"/>
      <c r="R19347" s="7"/>
      <c r="S19347" s="7"/>
      <c r="T19347" s="7"/>
      <c r="U19347" s="7"/>
      <c r="V19347" s="7"/>
      <c r="W19347" s="7"/>
      <c r="X19347" s="7"/>
      <c r="Y19347" s="7"/>
      <c r="Z19347" s="7"/>
      <c r="AA19347" s="7"/>
      <c r="AB19347" s="7"/>
      <c r="AC19347" s="7"/>
      <c r="AD19347" s="7"/>
      <c r="AE19347" s="7"/>
      <c r="AF19347" s="7"/>
      <c r="AG19347" s="10"/>
    </row>
    <row r="19348" spans="1:33">
      <c r="A19348" s="7"/>
      <c r="B19348" s="7"/>
      <c r="C19348" s="7"/>
      <c r="D19348" s="7"/>
      <c r="E19348" s="7"/>
      <c r="F19348" s="7"/>
      <c r="G19348" s="7"/>
      <c r="H19348" s="7"/>
      <c r="I19348" s="7"/>
      <c r="J19348" s="7"/>
      <c r="K19348" s="7"/>
      <c r="L19348" s="7"/>
      <c r="M19348" s="7"/>
      <c r="N19348" s="7"/>
      <c r="O19348" s="7"/>
      <c r="P19348" s="7"/>
      <c r="Q19348" s="7"/>
      <c r="R19348" s="7"/>
      <c r="S19348" s="7"/>
      <c r="T19348" s="7"/>
      <c r="U19348" s="7"/>
      <c r="V19348" s="7"/>
      <c r="W19348" s="7"/>
      <c r="X19348" s="7"/>
      <c r="Y19348" s="7"/>
      <c r="Z19348" s="7"/>
      <c r="AA19348" s="7"/>
      <c r="AB19348" s="7"/>
      <c r="AC19348" s="7"/>
      <c r="AD19348" s="7"/>
      <c r="AE19348" s="7"/>
      <c r="AF19348" s="7"/>
      <c r="AG19348" s="10"/>
    </row>
    <row r="19349" spans="1:33">
      <c r="A19349" s="7"/>
      <c r="B19349" s="7"/>
      <c r="C19349" s="7"/>
      <c r="D19349" s="7"/>
      <c r="E19349" s="7"/>
      <c r="F19349" s="7"/>
      <c r="G19349" s="7"/>
      <c r="H19349" s="7"/>
      <c r="I19349" s="7"/>
      <c r="J19349" s="7"/>
      <c r="K19349" s="7"/>
      <c r="L19349" s="7"/>
      <c r="M19349" s="7"/>
      <c r="N19349" s="7"/>
      <c r="O19349" s="7"/>
      <c r="P19349" s="7"/>
      <c r="Q19349" s="7"/>
      <c r="R19349" s="7"/>
      <c r="S19349" s="7"/>
      <c r="T19349" s="7"/>
      <c r="U19349" s="7"/>
      <c r="V19349" s="7"/>
      <c r="W19349" s="7"/>
      <c r="X19349" s="7"/>
      <c r="Y19349" s="7"/>
      <c r="Z19349" s="7"/>
      <c r="AA19349" s="7"/>
      <c r="AB19349" s="7"/>
      <c r="AC19349" s="7"/>
      <c r="AD19349" s="7"/>
      <c r="AE19349" s="7"/>
      <c r="AF19349" s="7"/>
      <c r="AG19349" s="10"/>
    </row>
    <row r="19350" spans="1:33">
      <c r="A19350" s="7"/>
      <c r="B19350" s="7"/>
      <c r="C19350" s="7"/>
      <c r="D19350" s="7"/>
      <c r="E19350" s="7"/>
      <c r="F19350" s="7"/>
      <c r="G19350" s="7"/>
      <c r="H19350" s="7"/>
      <c r="I19350" s="7"/>
      <c r="J19350" s="7"/>
      <c r="K19350" s="7"/>
      <c r="L19350" s="7"/>
      <c r="M19350" s="7"/>
      <c r="N19350" s="7"/>
      <c r="O19350" s="7"/>
      <c r="P19350" s="7"/>
      <c r="Q19350" s="7"/>
      <c r="R19350" s="7"/>
      <c r="S19350" s="7"/>
      <c r="T19350" s="7"/>
      <c r="U19350" s="7"/>
      <c r="V19350" s="7"/>
      <c r="W19350" s="7"/>
      <c r="X19350" s="7"/>
      <c r="Y19350" s="7"/>
      <c r="Z19350" s="7"/>
      <c r="AA19350" s="7"/>
      <c r="AB19350" s="7"/>
      <c r="AC19350" s="7"/>
      <c r="AD19350" s="7"/>
      <c r="AE19350" s="7"/>
      <c r="AF19350" s="7"/>
      <c r="AG19350" s="10"/>
    </row>
    <row r="19351" spans="1:33">
      <c r="A19351" s="7"/>
      <c r="B19351" s="7"/>
      <c r="C19351" s="7"/>
      <c r="D19351" s="7"/>
      <c r="E19351" s="7"/>
      <c r="F19351" s="7"/>
      <c r="G19351" s="7"/>
      <c r="H19351" s="7"/>
      <c r="I19351" s="7"/>
      <c r="J19351" s="7"/>
      <c r="K19351" s="7"/>
      <c r="L19351" s="7"/>
      <c r="M19351" s="7"/>
      <c r="N19351" s="7"/>
      <c r="O19351" s="7"/>
      <c r="P19351" s="7"/>
      <c r="Q19351" s="7"/>
      <c r="R19351" s="7"/>
      <c r="S19351" s="7"/>
      <c r="T19351" s="7"/>
      <c r="U19351" s="7"/>
      <c r="V19351" s="7"/>
      <c r="W19351" s="7"/>
      <c r="X19351" s="7"/>
      <c r="Y19351" s="7"/>
      <c r="Z19351" s="7"/>
      <c r="AA19351" s="7"/>
      <c r="AB19351" s="7"/>
      <c r="AC19351" s="7"/>
      <c r="AD19351" s="7"/>
      <c r="AE19351" s="7"/>
      <c r="AF19351" s="7"/>
      <c r="AG19351" s="10"/>
    </row>
    <row r="19352" spans="1:33">
      <c r="A19352" s="7"/>
      <c r="B19352" s="7"/>
      <c r="C19352" s="7"/>
      <c r="D19352" s="7"/>
      <c r="E19352" s="7"/>
      <c r="F19352" s="7"/>
      <c r="G19352" s="7"/>
      <c r="H19352" s="7"/>
      <c r="I19352" s="7"/>
      <c r="J19352" s="7"/>
      <c r="K19352" s="7"/>
      <c r="L19352" s="7"/>
      <c r="M19352" s="7"/>
      <c r="N19352" s="7"/>
      <c r="O19352" s="7"/>
      <c r="P19352" s="7"/>
      <c r="Q19352" s="7"/>
      <c r="R19352" s="7"/>
      <c r="S19352" s="7"/>
      <c r="T19352" s="7"/>
      <c r="U19352" s="7"/>
      <c r="V19352" s="7"/>
      <c r="W19352" s="7"/>
      <c r="X19352" s="7"/>
      <c r="Y19352" s="7"/>
      <c r="Z19352" s="7"/>
      <c r="AA19352" s="7"/>
      <c r="AB19352" s="7"/>
      <c r="AC19352" s="7"/>
      <c r="AD19352" s="7"/>
      <c r="AE19352" s="7"/>
      <c r="AF19352" s="7"/>
      <c r="AG19352" s="10"/>
    </row>
    <row r="19353" spans="1:33">
      <c r="A19353" s="7"/>
      <c r="B19353" s="7"/>
      <c r="C19353" s="7"/>
      <c r="D19353" s="7"/>
      <c r="E19353" s="7"/>
      <c r="F19353" s="7"/>
      <c r="G19353" s="7"/>
      <c r="H19353" s="7"/>
      <c r="I19353" s="7"/>
      <c r="J19353" s="7"/>
      <c r="K19353" s="7"/>
      <c r="L19353" s="7"/>
      <c r="M19353" s="7"/>
      <c r="N19353" s="7"/>
      <c r="O19353" s="7"/>
      <c r="P19353" s="7"/>
      <c r="Q19353" s="7"/>
      <c r="R19353" s="7"/>
      <c r="S19353" s="7"/>
      <c r="T19353" s="7"/>
      <c r="U19353" s="7"/>
      <c r="V19353" s="7"/>
      <c r="W19353" s="7"/>
      <c r="X19353" s="7"/>
      <c r="Y19353" s="7"/>
      <c r="Z19353" s="7"/>
      <c r="AA19353" s="7"/>
      <c r="AB19353" s="7"/>
      <c r="AC19353" s="7"/>
      <c r="AD19353" s="7"/>
      <c r="AE19353" s="7"/>
      <c r="AF19353" s="7"/>
      <c r="AG19353" s="10"/>
    </row>
    <row r="19354" spans="1:33">
      <c r="A19354" s="7"/>
      <c r="B19354" s="7"/>
      <c r="C19354" s="7"/>
      <c r="D19354" s="7"/>
      <c r="E19354" s="7"/>
      <c r="F19354" s="7"/>
      <c r="G19354" s="7"/>
      <c r="H19354" s="7"/>
      <c r="I19354" s="7"/>
      <c r="J19354" s="7"/>
      <c r="K19354" s="7"/>
      <c r="L19354" s="7"/>
      <c r="M19354" s="7"/>
      <c r="N19354" s="7"/>
      <c r="O19354" s="7"/>
      <c r="P19354" s="7"/>
      <c r="Q19354" s="7"/>
      <c r="R19354" s="7"/>
      <c r="S19354" s="7"/>
      <c r="T19354" s="7"/>
      <c r="U19354" s="7"/>
      <c r="V19354" s="7"/>
      <c r="W19354" s="7"/>
      <c r="X19354" s="7"/>
      <c r="Y19354" s="7"/>
      <c r="Z19354" s="7"/>
      <c r="AA19354" s="7"/>
      <c r="AB19354" s="7"/>
      <c r="AC19354" s="7"/>
      <c r="AD19354" s="7"/>
      <c r="AE19354" s="7"/>
      <c r="AF19354" s="7"/>
      <c r="AG19354" s="10"/>
    </row>
    <row r="19355" spans="1:33">
      <c r="A19355" s="7"/>
      <c r="B19355" s="7"/>
      <c r="C19355" s="7"/>
      <c r="D19355" s="7"/>
      <c r="E19355" s="7"/>
      <c r="F19355" s="7"/>
      <c r="G19355" s="7"/>
      <c r="H19355" s="7"/>
      <c r="I19355" s="7"/>
      <c r="J19355" s="7"/>
      <c r="K19355" s="7"/>
      <c r="L19355" s="7"/>
      <c r="M19355" s="7"/>
      <c r="N19355" s="7"/>
      <c r="O19355" s="7"/>
      <c r="P19355" s="7"/>
      <c r="Q19355" s="7"/>
      <c r="R19355" s="7"/>
      <c r="S19355" s="7"/>
      <c r="T19355" s="7"/>
      <c r="U19355" s="7"/>
      <c r="V19355" s="7"/>
      <c r="W19355" s="7"/>
      <c r="X19355" s="7"/>
      <c r="Y19355" s="7"/>
      <c r="Z19355" s="7"/>
      <c r="AA19355" s="7"/>
      <c r="AB19355" s="7"/>
      <c r="AC19355" s="7"/>
      <c r="AD19355" s="7"/>
      <c r="AE19355" s="7"/>
      <c r="AF19355" s="7"/>
      <c r="AG19355" s="10"/>
    </row>
    <row r="19356" spans="1:33">
      <c r="A19356" s="7"/>
      <c r="B19356" s="7"/>
      <c r="C19356" s="7"/>
      <c r="D19356" s="7"/>
      <c r="E19356" s="7"/>
      <c r="F19356" s="7"/>
      <c r="G19356" s="7"/>
      <c r="H19356" s="7"/>
      <c r="I19356" s="7"/>
      <c r="J19356" s="7"/>
      <c r="K19356" s="7"/>
      <c r="L19356" s="7"/>
      <c r="M19356" s="7"/>
      <c r="N19356" s="7"/>
      <c r="O19356" s="7"/>
      <c r="P19356" s="7"/>
      <c r="Q19356" s="7"/>
      <c r="R19356" s="7"/>
      <c r="S19356" s="7"/>
      <c r="T19356" s="7"/>
      <c r="U19356" s="7"/>
      <c r="V19356" s="7"/>
      <c r="W19356" s="7"/>
      <c r="X19356" s="7"/>
      <c r="Y19356" s="7"/>
      <c r="Z19356" s="7"/>
      <c r="AA19356" s="7"/>
      <c r="AB19356" s="7"/>
      <c r="AC19356" s="7"/>
      <c r="AD19356" s="7"/>
      <c r="AE19356" s="7"/>
      <c r="AF19356" s="7"/>
      <c r="AG19356" s="10"/>
    </row>
    <row r="19357" spans="1:33">
      <c r="A19357" s="7"/>
      <c r="B19357" s="7"/>
      <c r="C19357" s="7"/>
      <c r="D19357" s="7"/>
      <c r="E19357" s="7"/>
      <c r="F19357" s="7"/>
      <c r="G19357" s="7"/>
      <c r="H19357" s="7"/>
      <c r="I19357" s="7"/>
      <c r="J19357" s="7"/>
      <c r="K19357" s="7"/>
      <c r="L19357" s="7"/>
      <c r="M19357" s="7"/>
      <c r="N19357" s="7"/>
      <c r="O19357" s="7"/>
      <c r="P19357" s="7"/>
      <c r="Q19357" s="7"/>
      <c r="R19357" s="7"/>
      <c r="S19357" s="7"/>
      <c r="T19357" s="7"/>
      <c r="U19357" s="7"/>
      <c r="V19357" s="7"/>
      <c r="W19357" s="7"/>
      <c r="X19357" s="7"/>
      <c r="Y19357" s="7"/>
      <c r="Z19357" s="7"/>
      <c r="AA19357" s="7"/>
      <c r="AB19357" s="7"/>
      <c r="AC19357" s="7"/>
      <c r="AD19357" s="7"/>
      <c r="AE19357" s="7"/>
      <c r="AF19357" s="7"/>
      <c r="AG19357" s="10"/>
    </row>
    <row r="19358" spans="1:33">
      <c r="A19358" s="7"/>
      <c r="B19358" s="7"/>
      <c r="C19358" s="7"/>
      <c r="D19358" s="7"/>
      <c r="E19358" s="7"/>
      <c r="F19358" s="7"/>
      <c r="G19358" s="7"/>
      <c r="H19358" s="7"/>
      <c r="I19358" s="7"/>
      <c r="J19358" s="7"/>
      <c r="K19358" s="7"/>
      <c r="L19358" s="7"/>
      <c r="M19358" s="7"/>
      <c r="N19358" s="7"/>
      <c r="O19358" s="7"/>
      <c r="P19358" s="7"/>
      <c r="Q19358" s="7"/>
      <c r="R19358" s="7"/>
      <c r="S19358" s="7"/>
      <c r="T19358" s="7"/>
      <c r="U19358" s="7"/>
      <c r="V19358" s="7"/>
      <c r="W19358" s="7"/>
      <c r="X19358" s="7"/>
      <c r="Y19358" s="7"/>
      <c r="Z19358" s="7"/>
      <c r="AA19358" s="7"/>
      <c r="AB19358" s="7"/>
      <c r="AC19358" s="7"/>
      <c r="AD19358" s="7"/>
      <c r="AE19358" s="7"/>
      <c r="AF19358" s="7"/>
      <c r="AG19358" s="10"/>
    </row>
    <row r="19359" spans="1:33">
      <c r="A19359" s="7"/>
      <c r="B19359" s="7"/>
      <c r="C19359" s="7"/>
      <c r="D19359" s="7"/>
      <c r="E19359" s="7"/>
      <c r="F19359" s="7"/>
      <c r="G19359" s="7"/>
      <c r="H19359" s="7"/>
      <c r="I19359" s="7"/>
      <c r="J19359" s="7"/>
      <c r="K19359" s="7"/>
      <c r="L19359" s="7"/>
      <c r="M19359" s="7"/>
      <c r="N19359" s="7"/>
      <c r="O19359" s="7"/>
      <c r="P19359" s="7"/>
      <c r="Q19359" s="7"/>
      <c r="R19359" s="7"/>
      <c r="S19359" s="7"/>
      <c r="T19359" s="7"/>
      <c r="U19359" s="7"/>
      <c r="V19359" s="7"/>
      <c r="W19359" s="7"/>
      <c r="X19359" s="7"/>
      <c r="Y19359" s="7"/>
      <c r="Z19359" s="7"/>
      <c r="AA19359" s="7"/>
      <c r="AB19359" s="7"/>
      <c r="AC19359" s="7"/>
      <c r="AD19359" s="7"/>
      <c r="AE19359" s="7"/>
      <c r="AF19359" s="7"/>
      <c r="AG19359" s="10"/>
    </row>
    <row r="19360" spans="1:33">
      <c r="A19360" s="7"/>
      <c r="B19360" s="7"/>
      <c r="C19360" s="7"/>
      <c r="D19360" s="7"/>
      <c r="E19360" s="7"/>
      <c r="F19360" s="7"/>
      <c r="G19360" s="7"/>
      <c r="H19360" s="7"/>
      <c r="I19360" s="7"/>
      <c r="J19360" s="7"/>
      <c r="K19360" s="7"/>
      <c r="L19360" s="7"/>
      <c r="M19360" s="7"/>
      <c r="N19360" s="7"/>
      <c r="O19360" s="7"/>
      <c r="P19360" s="7"/>
      <c r="Q19360" s="7"/>
      <c r="R19360" s="7"/>
      <c r="S19360" s="7"/>
      <c r="T19360" s="7"/>
      <c r="U19360" s="7"/>
      <c r="V19360" s="7"/>
      <c r="W19360" s="7"/>
      <c r="X19360" s="7"/>
      <c r="Y19360" s="7"/>
      <c r="Z19360" s="7"/>
      <c r="AA19360" s="7"/>
      <c r="AB19360" s="7"/>
      <c r="AC19360" s="7"/>
      <c r="AD19360" s="7"/>
      <c r="AE19360" s="7"/>
      <c r="AF19360" s="7"/>
      <c r="AG19360" s="10"/>
    </row>
    <row r="19361" spans="1:33">
      <c r="A19361" s="7"/>
      <c r="B19361" s="7"/>
      <c r="C19361" s="7"/>
      <c r="D19361" s="7"/>
      <c r="E19361" s="7"/>
      <c r="F19361" s="7"/>
      <c r="G19361" s="7"/>
      <c r="H19361" s="7"/>
      <c r="I19361" s="7"/>
      <c r="J19361" s="7"/>
      <c r="K19361" s="7"/>
      <c r="L19361" s="7"/>
      <c r="M19361" s="7"/>
      <c r="N19361" s="7"/>
      <c r="O19361" s="7"/>
      <c r="P19361" s="7"/>
      <c r="Q19361" s="7"/>
      <c r="R19361" s="7"/>
      <c r="S19361" s="7"/>
      <c r="T19361" s="7"/>
      <c r="U19361" s="7"/>
      <c r="V19361" s="7"/>
      <c r="W19361" s="7"/>
      <c r="X19361" s="7"/>
      <c r="Y19361" s="7"/>
      <c r="Z19361" s="7"/>
      <c r="AA19361" s="7"/>
      <c r="AB19361" s="7"/>
      <c r="AC19361" s="7"/>
      <c r="AD19361" s="7"/>
      <c r="AE19361" s="7"/>
      <c r="AF19361" s="7"/>
      <c r="AG19361" s="10"/>
    </row>
    <row r="19362" spans="1:33">
      <c r="A19362" s="7"/>
      <c r="B19362" s="7"/>
      <c r="C19362" s="7"/>
      <c r="D19362" s="7"/>
      <c r="E19362" s="7"/>
      <c r="F19362" s="7"/>
      <c r="G19362" s="7"/>
      <c r="H19362" s="7"/>
      <c r="I19362" s="7"/>
      <c r="J19362" s="7"/>
      <c r="K19362" s="7"/>
      <c r="L19362" s="7"/>
      <c r="M19362" s="7"/>
      <c r="N19362" s="7"/>
      <c r="O19362" s="7"/>
      <c r="P19362" s="7"/>
      <c r="Q19362" s="7"/>
      <c r="R19362" s="7"/>
      <c r="S19362" s="7"/>
      <c r="T19362" s="7"/>
      <c r="U19362" s="7"/>
      <c r="V19362" s="7"/>
      <c r="W19362" s="7"/>
      <c r="X19362" s="7"/>
      <c r="Y19362" s="7"/>
      <c r="Z19362" s="7"/>
      <c r="AA19362" s="7"/>
      <c r="AB19362" s="7"/>
      <c r="AC19362" s="7"/>
      <c r="AD19362" s="7"/>
      <c r="AE19362" s="7"/>
      <c r="AF19362" s="7"/>
      <c r="AG19362" s="10"/>
    </row>
    <row r="19363" spans="1:33">
      <c r="A19363" s="7"/>
      <c r="B19363" s="7"/>
      <c r="C19363" s="7"/>
      <c r="D19363" s="7"/>
      <c r="E19363" s="7"/>
      <c r="F19363" s="7"/>
      <c r="G19363" s="7"/>
      <c r="H19363" s="7"/>
      <c r="I19363" s="7"/>
      <c r="J19363" s="7"/>
      <c r="K19363" s="7"/>
      <c r="L19363" s="7"/>
      <c r="M19363" s="7"/>
      <c r="N19363" s="7"/>
      <c r="O19363" s="7"/>
      <c r="P19363" s="7"/>
      <c r="Q19363" s="7"/>
      <c r="R19363" s="7"/>
      <c r="S19363" s="7"/>
      <c r="T19363" s="7"/>
      <c r="U19363" s="7"/>
      <c r="V19363" s="7"/>
      <c r="W19363" s="7"/>
      <c r="X19363" s="7"/>
      <c r="Y19363" s="7"/>
      <c r="Z19363" s="7"/>
      <c r="AA19363" s="7"/>
      <c r="AB19363" s="7"/>
      <c r="AC19363" s="7"/>
      <c r="AD19363" s="7"/>
      <c r="AE19363" s="7"/>
      <c r="AF19363" s="7"/>
      <c r="AG19363" s="10"/>
    </row>
    <row r="19364" spans="1:33">
      <c r="A19364" s="7"/>
      <c r="B19364" s="7"/>
      <c r="C19364" s="7"/>
      <c r="D19364" s="7"/>
      <c r="E19364" s="7"/>
      <c r="F19364" s="7"/>
      <c r="G19364" s="7"/>
      <c r="H19364" s="7"/>
      <c r="I19364" s="7"/>
      <c r="J19364" s="7"/>
      <c r="K19364" s="7"/>
      <c r="L19364" s="7"/>
      <c r="M19364" s="7"/>
      <c r="N19364" s="7"/>
      <c r="O19364" s="7"/>
      <c r="P19364" s="7"/>
      <c r="Q19364" s="7"/>
      <c r="R19364" s="7"/>
      <c r="S19364" s="7"/>
      <c r="T19364" s="7"/>
      <c r="U19364" s="7"/>
      <c r="V19364" s="7"/>
      <c r="W19364" s="7"/>
      <c r="X19364" s="7"/>
      <c r="Y19364" s="7"/>
      <c r="Z19364" s="7"/>
      <c r="AA19364" s="7"/>
      <c r="AB19364" s="7"/>
      <c r="AC19364" s="7"/>
      <c r="AD19364" s="7"/>
      <c r="AE19364" s="7"/>
      <c r="AF19364" s="7"/>
      <c r="AG19364" s="10"/>
    </row>
    <row r="19365" spans="1:33">
      <c r="A19365" s="7"/>
      <c r="B19365" s="7"/>
      <c r="C19365" s="7"/>
      <c r="D19365" s="7"/>
      <c r="E19365" s="7"/>
      <c r="F19365" s="7"/>
      <c r="G19365" s="7"/>
      <c r="H19365" s="7"/>
      <c r="I19365" s="7"/>
      <c r="J19365" s="7"/>
      <c r="K19365" s="7"/>
      <c r="L19365" s="7"/>
      <c r="M19365" s="7"/>
      <c r="N19365" s="7"/>
      <c r="O19365" s="7"/>
      <c r="P19365" s="7"/>
      <c r="Q19365" s="7"/>
      <c r="R19365" s="7"/>
      <c r="S19365" s="7"/>
      <c r="T19365" s="7"/>
      <c r="U19365" s="7"/>
      <c r="V19365" s="7"/>
      <c r="W19365" s="7"/>
      <c r="X19365" s="7"/>
      <c r="Y19365" s="7"/>
      <c r="Z19365" s="7"/>
      <c r="AA19365" s="7"/>
      <c r="AB19365" s="7"/>
      <c r="AC19365" s="7"/>
      <c r="AD19365" s="7"/>
      <c r="AE19365" s="7"/>
      <c r="AF19365" s="7"/>
      <c r="AG19365" s="10"/>
    </row>
    <row r="19366" spans="1:33">
      <c r="A19366" s="7"/>
      <c r="B19366" s="7"/>
      <c r="C19366" s="7"/>
      <c r="D19366" s="7"/>
      <c r="E19366" s="7"/>
      <c r="F19366" s="7"/>
      <c r="G19366" s="7"/>
      <c r="H19366" s="7"/>
      <c r="I19366" s="7"/>
      <c r="J19366" s="7"/>
      <c r="K19366" s="7"/>
      <c r="L19366" s="7"/>
      <c r="M19366" s="7"/>
      <c r="N19366" s="7"/>
      <c r="O19366" s="7"/>
      <c r="P19366" s="7"/>
      <c r="Q19366" s="7"/>
      <c r="R19366" s="7"/>
      <c r="S19366" s="7"/>
      <c r="T19366" s="7"/>
      <c r="U19366" s="7"/>
      <c r="V19366" s="7"/>
      <c r="W19366" s="7"/>
      <c r="X19366" s="7"/>
      <c r="Y19366" s="7"/>
      <c r="Z19366" s="7"/>
      <c r="AA19366" s="7"/>
      <c r="AB19366" s="7"/>
      <c r="AC19366" s="7"/>
      <c r="AD19366" s="7"/>
      <c r="AE19366" s="7"/>
      <c r="AF19366" s="7"/>
      <c r="AG19366" s="10"/>
    </row>
    <row r="19367" spans="1:33">
      <c r="A19367" s="7"/>
      <c r="B19367" s="7"/>
      <c r="C19367" s="7"/>
      <c r="D19367" s="7"/>
      <c r="E19367" s="7"/>
      <c r="F19367" s="7"/>
      <c r="G19367" s="7"/>
      <c r="H19367" s="7"/>
      <c r="I19367" s="7"/>
      <c r="J19367" s="7"/>
      <c r="K19367" s="7"/>
      <c r="L19367" s="7"/>
      <c r="M19367" s="7"/>
      <c r="N19367" s="7"/>
      <c r="O19367" s="7"/>
      <c r="P19367" s="7"/>
      <c r="Q19367" s="7"/>
      <c r="R19367" s="7"/>
      <c r="S19367" s="7"/>
      <c r="T19367" s="7"/>
      <c r="U19367" s="7"/>
      <c r="V19367" s="7"/>
      <c r="W19367" s="7"/>
      <c r="X19367" s="7"/>
      <c r="Y19367" s="7"/>
      <c r="Z19367" s="7"/>
      <c r="AA19367" s="7"/>
      <c r="AB19367" s="7"/>
      <c r="AC19367" s="7"/>
      <c r="AD19367" s="7"/>
      <c r="AE19367" s="7"/>
      <c r="AF19367" s="7"/>
      <c r="AG19367" s="10"/>
    </row>
    <row r="19368" spans="1:33">
      <c r="A19368" s="7"/>
      <c r="B19368" s="7"/>
      <c r="C19368" s="7"/>
      <c r="D19368" s="7"/>
      <c r="E19368" s="7"/>
      <c r="F19368" s="7"/>
      <c r="G19368" s="7"/>
      <c r="H19368" s="7"/>
      <c r="I19368" s="7"/>
      <c r="J19368" s="7"/>
      <c r="K19368" s="7"/>
      <c r="L19368" s="7"/>
      <c r="M19368" s="7"/>
      <c r="N19368" s="7"/>
      <c r="O19368" s="7"/>
      <c r="P19368" s="7"/>
      <c r="Q19368" s="7"/>
      <c r="R19368" s="7"/>
      <c r="S19368" s="7"/>
      <c r="T19368" s="7"/>
      <c r="U19368" s="7"/>
      <c r="V19368" s="7"/>
      <c r="W19368" s="7"/>
      <c r="X19368" s="7"/>
      <c r="Y19368" s="7"/>
      <c r="Z19368" s="7"/>
      <c r="AA19368" s="7"/>
      <c r="AB19368" s="7"/>
      <c r="AC19368" s="7"/>
      <c r="AD19368" s="7"/>
      <c r="AE19368" s="7"/>
      <c r="AF19368" s="7"/>
      <c r="AG19368" s="10"/>
    </row>
    <row r="19369" spans="1:33">
      <c r="A19369" s="7"/>
      <c r="B19369" s="7"/>
      <c r="C19369" s="7"/>
      <c r="D19369" s="7"/>
      <c r="E19369" s="7"/>
      <c r="F19369" s="7"/>
      <c r="G19369" s="7"/>
      <c r="H19369" s="7"/>
      <c r="I19369" s="7"/>
      <c r="J19369" s="7"/>
      <c r="K19369" s="7"/>
      <c r="L19369" s="7"/>
      <c r="M19369" s="7"/>
      <c r="N19369" s="7"/>
      <c r="O19369" s="7"/>
      <c r="P19369" s="7"/>
      <c r="Q19369" s="7"/>
      <c r="R19369" s="7"/>
      <c r="S19369" s="7"/>
      <c r="T19369" s="7"/>
      <c r="U19369" s="7"/>
      <c r="V19369" s="7"/>
      <c r="W19369" s="7"/>
      <c r="X19369" s="7"/>
      <c r="Y19369" s="7"/>
      <c r="Z19369" s="7"/>
      <c r="AA19369" s="7"/>
      <c r="AB19369" s="7"/>
      <c r="AC19369" s="7"/>
      <c r="AD19369" s="7"/>
      <c r="AE19369" s="7"/>
      <c r="AF19369" s="7"/>
      <c r="AG19369" s="10"/>
    </row>
    <row r="19370" spans="1:33">
      <c r="A19370" s="7"/>
      <c r="B19370" s="7"/>
      <c r="C19370" s="7"/>
      <c r="D19370" s="7"/>
      <c r="E19370" s="7"/>
      <c r="F19370" s="7"/>
      <c r="G19370" s="7"/>
      <c r="H19370" s="7"/>
      <c r="I19370" s="7"/>
      <c r="J19370" s="7"/>
      <c r="K19370" s="7"/>
      <c r="L19370" s="7"/>
      <c r="M19370" s="7"/>
      <c r="N19370" s="7"/>
      <c r="O19370" s="7"/>
      <c r="P19370" s="7"/>
      <c r="Q19370" s="7"/>
      <c r="R19370" s="7"/>
      <c r="S19370" s="7"/>
      <c r="T19370" s="7"/>
      <c r="U19370" s="7"/>
      <c r="V19370" s="7"/>
      <c r="W19370" s="7"/>
      <c r="X19370" s="7"/>
      <c r="Y19370" s="7"/>
      <c r="Z19370" s="7"/>
      <c r="AA19370" s="7"/>
      <c r="AB19370" s="7"/>
      <c r="AC19370" s="7"/>
      <c r="AD19370" s="7"/>
      <c r="AE19370" s="7"/>
      <c r="AF19370" s="7"/>
      <c r="AG19370" s="10"/>
    </row>
    <row r="19371" spans="1:33">
      <c r="A19371" s="7"/>
      <c r="B19371" s="7"/>
      <c r="C19371" s="7"/>
      <c r="D19371" s="7"/>
      <c r="E19371" s="7"/>
      <c r="F19371" s="7"/>
      <c r="G19371" s="7"/>
      <c r="H19371" s="7"/>
      <c r="I19371" s="7"/>
      <c r="J19371" s="7"/>
      <c r="K19371" s="7"/>
      <c r="L19371" s="7"/>
      <c r="M19371" s="7"/>
      <c r="N19371" s="7"/>
      <c r="O19371" s="7"/>
      <c r="P19371" s="7"/>
      <c r="Q19371" s="7"/>
      <c r="R19371" s="7"/>
      <c r="S19371" s="7"/>
      <c r="T19371" s="7"/>
      <c r="U19371" s="7"/>
      <c r="V19371" s="7"/>
      <c r="W19371" s="7"/>
      <c r="X19371" s="7"/>
      <c r="Y19371" s="7"/>
      <c r="Z19371" s="7"/>
      <c r="AA19371" s="7"/>
      <c r="AB19371" s="7"/>
      <c r="AC19371" s="7"/>
      <c r="AD19371" s="7"/>
      <c r="AE19371" s="7"/>
      <c r="AF19371" s="7"/>
      <c r="AG19371" s="10"/>
    </row>
    <row r="19372" spans="1:33">
      <c r="A19372" s="7"/>
      <c r="B19372" s="7"/>
      <c r="C19372" s="7"/>
      <c r="D19372" s="7"/>
      <c r="E19372" s="7"/>
      <c r="F19372" s="7"/>
      <c r="G19372" s="7"/>
      <c r="H19372" s="7"/>
      <c r="I19372" s="7"/>
      <c r="J19372" s="7"/>
      <c r="K19372" s="7"/>
      <c r="L19372" s="7"/>
      <c r="M19372" s="7"/>
      <c r="N19372" s="7"/>
      <c r="O19372" s="7"/>
      <c r="P19372" s="7"/>
      <c r="Q19372" s="7"/>
      <c r="R19372" s="7"/>
      <c r="S19372" s="7"/>
      <c r="T19372" s="7"/>
      <c r="U19372" s="7"/>
      <c r="V19372" s="7"/>
      <c r="W19372" s="7"/>
      <c r="X19372" s="7"/>
      <c r="Y19372" s="7"/>
      <c r="Z19372" s="7"/>
      <c r="AA19372" s="7"/>
      <c r="AB19372" s="7"/>
      <c r="AC19372" s="7"/>
      <c r="AD19372" s="7"/>
      <c r="AE19372" s="7"/>
      <c r="AF19372" s="7"/>
      <c r="AG19372" s="10"/>
    </row>
    <row r="19373" spans="1:33">
      <c r="A19373" s="7"/>
      <c r="B19373" s="7"/>
      <c r="C19373" s="7"/>
      <c r="D19373" s="7"/>
      <c r="E19373" s="7"/>
      <c r="F19373" s="7"/>
      <c r="G19373" s="7"/>
      <c r="H19373" s="7"/>
      <c r="I19373" s="7"/>
      <c r="J19373" s="7"/>
      <c r="K19373" s="7"/>
      <c r="L19373" s="7"/>
      <c r="M19373" s="7"/>
      <c r="N19373" s="7"/>
      <c r="O19373" s="7"/>
      <c r="P19373" s="7"/>
      <c r="Q19373" s="7"/>
      <c r="R19373" s="7"/>
      <c r="S19373" s="7"/>
      <c r="T19373" s="7"/>
      <c r="U19373" s="7"/>
      <c r="V19373" s="7"/>
      <c r="W19373" s="7"/>
      <c r="X19373" s="7"/>
      <c r="Y19373" s="7"/>
      <c r="Z19373" s="7"/>
      <c r="AA19373" s="7"/>
      <c r="AB19373" s="7"/>
      <c r="AC19373" s="7"/>
      <c r="AD19373" s="7"/>
      <c r="AE19373" s="7"/>
      <c r="AF19373" s="7"/>
      <c r="AG19373" s="10"/>
    </row>
    <row r="19374" spans="1:33">
      <c r="A19374" s="7"/>
      <c r="B19374" s="7"/>
      <c r="C19374" s="7"/>
      <c r="D19374" s="7"/>
      <c r="E19374" s="7"/>
      <c r="F19374" s="7"/>
      <c r="G19374" s="7"/>
      <c r="H19374" s="7"/>
      <c r="I19374" s="7"/>
      <c r="J19374" s="7"/>
      <c r="K19374" s="7"/>
      <c r="L19374" s="7"/>
      <c r="M19374" s="7"/>
      <c r="N19374" s="7"/>
      <c r="O19374" s="7"/>
      <c r="P19374" s="7"/>
      <c r="Q19374" s="7"/>
      <c r="R19374" s="7"/>
      <c r="S19374" s="7"/>
      <c r="T19374" s="7"/>
      <c r="U19374" s="7"/>
      <c r="V19374" s="7"/>
      <c r="W19374" s="7"/>
      <c r="X19374" s="7"/>
      <c r="Y19374" s="7"/>
      <c r="Z19374" s="7"/>
      <c r="AA19374" s="7"/>
      <c r="AB19374" s="7"/>
      <c r="AC19374" s="7"/>
      <c r="AD19374" s="7"/>
      <c r="AE19374" s="7"/>
      <c r="AF19374" s="7"/>
      <c r="AG19374" s="10"/>
    </row>
    <row r="19375" spans="1:33">
      <c r="A19375" s="7"/>
      <c r="B19375" s="7"/>
      <c r="C19375" s="7"/>
      <c r="D19375" s="7"/>
      <c r="E19375" s="7"/>
      <c r="F19375" s="7"/>
      <c r="G19375" s="7"/>
      <c r="H19375" s="7"/>
      <c r="I19375" s="7"/>
      <c r="J19375" s="7"/>
      <c r="K19375" s="7"/>
      <c r="L19375" s="7"/>
      <c r="M19375" s="7"/>
      <c r="N19375" s="7"/>
      <c r="O19375" s="7"/>
      <c r="P19375" s="7"/>
      <c r="Q19375" s="7"/>
      <c r="R19375" s="7"/>
      <c r="S19375" s="7"/>
      <c r="T19375" s="7"/>
      <c r="U19375" s="7"/>
      <c r="V19375" s="7"/>
      <c r="W19375" s="7"/>
      <c r="X19375" s="7"/>
      <c r="Y19375" s="7"/>
      <c r="Z19375" s="7"/>
      <c r="AA19375" s="7"/>
      <c r="AB19375" s="7"/>
      <c r="AC19375" s="7"/>
      <c r="AD19375" s="7"/>
      <c r="AE19375" s="7"/>
      <c r="AF19375" s="7"/>
      <c r="AG19375" s="10"/>
    </row>
    <row r="19376" spans="1:33">
      <c r="A19376" s="7"/>
      <c r="B19376" s="7"/>
      <c r="C19376" s="7"/>
      <c r="D19376" s="7"/>
      <c r="E19376" s="7"/>
      <c r="F19376" s="7"/>
      <c r="G19376" s="7"/>
      <c r="H19376" s="7"/>
      <c r="I19376" s="7"/>
      <c r="J19376" s="7"/>
      <c r="K19376" s="7"/>
      <c r="L19376" s="7"/>
      <c r="M19376" s="7"/>
      <c r="N19376" s="7"/>
      <c r="O19376" s="7"/>
      <c r="P19376" s="7"/>
      <c r="Q19376" s="7"/>
      <c r="R19376" s="7"/>
      <c r="S19376" s="7"/>
      <c r="T19376" s="7"/>
      <c r="U19376" s="7"/>
      <c r="V19376" s="7"/>
      <c r="W19376" s="7"/>
      <c r="X19376" s="7"/>
      <c r="Y19376" s="7"/>
      <c r="Z19376" s="7"/>
      <c r="AA19376" s="7"/>
      <c r="AB19376" s="7"/>
      <c r="AC19376" s="7"/>
      <c r="AD19376" s="7"/>
      <c r="AE19376" s="7"/>
      <c r="AF19376" s="7"/>
      <c r="AG19376" s="10"/>
    </row>
    <row r="19377" spans="1:33">
      <c r="A19377" s="7"/>
      <c r="B19377" s="7"/>
      <c r="C19377" s="7"/>
      <c r="D19377" s="7"/>
      <c r="E19377" s="7"/>
      <c r="F19377" s="7"/>
      <c r="G19377" s="7"/>
      <c r="H19377" s="7"/>
      <c r="I19377" s="7"/>
      <c r="J19377" s="7"/>
      <c r="K19377" s="7"/>
      <c r="L19377" s="7"/>
      <c r="M19377" s="7"/>
      <c r="N19377" s="7"/>
      <c r="O19377" s="7"/>
      <c r="P19377" s="7"/>
      <c r="Q19377" s="7"/>
      <c r="R19377" s="7"/>
      <c r="S19377" s="7"/>
      <c r="T19377" s="7"/>
      <c r="U19377" s="7"/>
      <c r="V19377" s="7"/>
      <c r="W19377" s="7"/>
      <c r="X19377" s="7"/>
      <c r="Y19377" s="7"/>
      <c r="Z19377" s="7"/>
      <c r="AA19377" s="7"/>
      <c r="AB19377" s="7"/>
      <c r="AC19377" s="7"/>
      <c r="AD19377" s="7"/>
      <c r="AE19377" s="7"/>
      <c r="AF19377" s="7"/>
      <c r="AG19377" s="10"/>
    </row>
    <row r="19378" spans="1:33">
      <c r="A19378" s="7"/>
      <c r="B19378" s="7"/>
      <c r="C19378" s="7"/>
      <c r="D19378" s="7"/>
      <c r="E19378" s="7"/>
      <c r="F19378" s="7"/>
      <c r="G19378" s="7"/>
      <c r="H19378" s="7"/>
      <c r="I19378" s="7"/>
      <c r="J19378" s="7"/>
      <c r="K19378" s="7"/>
      <c r="L19378" s="7"/>
      <c r="M19378" s="7"/>
      <c r="N19378" s="7"/>
      <c r="O19378" s="7"/>
      <c r="P19378" s="7"/>
      <c r="Q19378" s="7"/>
      <c r="R19378" s="7"/>
      <c r="S19378" s="7"/>
      <c r="T19378" s="7"/>
      <c r="U19378" s="7"/>
      <c r="V19378" s="7"/>
      <c r="W19378" s="7"/>
      <c r="X19378" s="7"/>
      <c r="Y19378" s="7"/>
      <c r="Z19378" s="7"/>
      <c r="AA19378" s="7"/>
      <c r="AB19378" s="7"/>
      <c r="AC19378" s="7"/>
      <c r="AD19378" s="7"/>
      <c r="AE19378" s="7"/>
      <c r="AF19378" s="7"/>
      <c r="AG19378" s="10"/>
    </row>
    <row r="19379" spans="1:33">
      <c r="A19379" s="7"/>
      <c r="B19379" s="7"/>
      <c r="C19379" s="7"/>
      <c r="D19379" s="7"/>
      <c r="E19379" s="7"/>
      <c r="F19379" s="7"/>
      <c r="G19379" s="7"/>
      <c r="H19379" s="7"/>
      <c r="I19379" s="7"/>
      <c r="J19379" s="7"/>
      <c r="K19379" s="7"/>
      <c r="L19379" s="7"/>
      <c r="M19379" s="7"/>
      <c r="N19379" s="7"/>
      <c r="O19379" s="7"/>
      <c r="P19379" s="7"/>
      <c r="Q19379" s="7"/>
      <c r="R19379" s="7"/>
      <c r="S19379" s="7"/>
      <c r="T19379" s="7"/>
      <c r="U19379" s="7"/>
      <c r="V19379" s="7"/>
      <c r="W19379" s="7"/>
      <c r="X19379" s="7"/>
      <c r="Y19379" s="7"/>
      <c r="Z19379" s="7"/>
      <c r="AA19379" s="7"/>
      <c r="AB19379" s="7"/>
      <c r="AC19379" s="7"/>
      <c r="AD19379" s="7"/>
      <c r="AE19379" s="7"/>
      <c r="AF19379" s="7"/>
      <c r="AG19379" s="10"/>
    </row>
    <row r="19380" spans="1:33">
      <c r="A19380" s="7"/>
      <c r="B19380" s="7"/>
      <c r="C19380" s="7"/>
      <c r="D19380" s="7"/>
      <c r="E19380" s="7"/>
      <c r="F19380" s="7"/>
      <c r="G19380" s="7"/>
      <c r="H19380" s="7"/>
      <c r="I19380" s="7"/>
      <c r="J19380" s="7"/>
      <c r="K19380" s="7"/>
      <c r="L19380" s="7"/>
      <c r="M19380" s="7"/>
      <c r="N19380" s="7"/>
      <c r="O19380" s="7"/>
      <c r="P19380" s="7"/>
      <c r="Q19380" s="7"/>
      <c r="R19380" s="7"/>
      <c r="S19380" s="7"/>
      <c r="T19380" s="7"/>
      <c r="U19380" s="7"/>
      <c r="V19380" s="7"/>
      <c r="W19380" s="7"/>
      <c r="X19380" s="7"/>
      <c r="Y19380" s="7"/>
      <c r="Z19380" s="7"/>
      <c r="AA19380" s="7"/>
      <c r="AB19380" s="7"/>
      <c r="AC19380" s="7"/>
      <c r="AD19380" s="7"/>
      <c r="AE19380" s="7"/>
      <c r="AF19380" s="7"/>
      <c r="AG19380" s="10"/>
    </row>
    <row r="19381" spans="1:33">
      <c r="A19381" s="7"/>
      <c r="B19381" s="7"/>
      <c r="C19381" s="7"/>
      <c r="D19381" s="7"/>
      <c r="E19381" s="7"/>
      <c r="F19381" s="7"/>
      <c r="G19381" s="7"/>
      <c r="H19381" s="7"/>
      <c r="I19381" s="7"/>
      <c r="J19381" s="7"/>
      <c r="K19381" s="7"/>
      <c r="L19381" s="7"/>
      <c r="M19381" s="7"/>
      <c r="N19381" s="7"/>
      <c r="O19381" s="7"/>
      <c r="P19381" s="7"/>
      <c r="Q19381" s="7"/>
      <c r="R19381" s="7"/>
      <c r="S19381" s="7"/>
      <c r="T19381" s="7"/>
      <c r="U19381" s="7"/>
      <c r="V19381" s="7"/>
      <c r="W19381" s="7"/>
      <c r="X19381" s="7"/>
      <c r="Y19381" s="7"/>
      <c r="Z19381" s="7"/>
      <c r="AA19381" s="7"/>
      <c r="AB19381" s="7"/>
      <c r="AC19381" s="7"/>
      <c r="AD19381" s="7"/>
      <c r="AE19381" s="7"/>
      <c r="AF19381" s="7"/>
      <c r="AG19381" s="10"/>
    </row>
    <row r="19382" spans="1:33">
      <c r="A19382" s="7"/>
      <c r="B19382" s="7"/>
      <c r="C19382" s="7"/>
      <c r="D19382" s="7"/>
      <c r="E19382" s="7"/>
      <c r="F19382" s="7"/>
      <c r="G19382" s="7"/>
      <c r="H19382" s="7"/>
      <c r="I19382" s="7"/>
      <c r="J19382" s="7"/>
      <c r="K19382" s="7"/>
      <c r="L19382" s="7"/>
      <c r="M19382" s="7"/>
      <c r="N19382" s="7"/>
      <c r="O19382" s="7"/>
      <c r="P19382" s="7"/>
      <c r="Q19382" s="7"/>
      <c r="R19382" s="7"/>
      <c r="S19382" s="7"/>
      <c r="T19382" s="7"/>
      <c r="U19382" s="7"/>
      <c r="V19382" s="7"/>
      <c r="W19382" s="7"/>
      <c r="X19382" s="7"/>
      <c r="Y19382" s="7"/>
      <c r="Z19382" s="7"/>
      <c r="AA19382" s="7"/>
      <c r="AB19382" s="7"/>
      <c r="AC19382" s="7"/>
      <c r="AD19382" s="7"/>
      <c r="AE19382" s="7"/>
      <c r="AF19382" s="7"/>
      <c r="AG19382" s="10"/>
    </row>
    <row r="19383" spans="1:33">
      <c r="A19383" s="7"/>
      <c r="B19383" s="7"/>
      <c r="C19383" s="7"/>
      <c r="D19383" s="7"/>
      <c r="E19383" s="7"/>
      <c r="F19383" s="7"/>
      <c r="G19383" s="7"/>
      <c r="H19383" s="7"/>
      <c r="I19383" s="7"/>
      <c r="J19383" s="7"/>
      <c r="K19383" s="7"/>
      <c r="L19383" s="7"/>
      <c r="M19383" s="7"/>
      <c r="N19383" s="7"/>
      <c r="O19383" s="7"/>
      <c r="P19383" s="7"/>
      <c r="Q19383" s="7"/>
      <c r="R19383" s="7"/>
      <c r="S19383" s="7"/>
      <c r="T19383" s="7"/>
      <c r="U19383" s="7"/>
      <c r="V19383" s="7"/>
      <c r="W19383" s="7"/>
      <c r="X19383" s="7"/>
      <c r="Y19383" s="7"/>
      <c r="Z19383" s="7"/>
      <c r="AA19383" s="7"/>
      <c r="AB19383" s="7"/>
      <c r="AC19383" s="7"/>
      <c r="AD19383" s="7"/>
      <c r="AE19383" s="7"/>
      <c r="AF19383" s="7"/>
      <c r="AG19383" s="10"/>
    </row>
    <row r="19384" spans="1:33">
      <c r="A19384" s="7"/>
      <c r="B19384" s="7"/>
      <c r="C19384" s="7"/>
      <c r="D19384" s="7"/>
      <c r="E19384" s="7"/>
      <c r="F19384" s="7"/>
      <c r="G19384" s="7"/>
      <c r="H19384" s="7"/>
      <c r="I19384" s="7"/>
      <c r="J19384" s="7"/>
      <c r="K19384" s="7"/>
      <c r="L19384" s="7"/>
      <c r="M19384" s="7"/>
      <c r="N19384" s="7"/>
      <c r="O19384" s="7"/>
      <c r="P19384" s="7"/>
      <c r="Q19384" s="7"/>
      <c r="R19384" s="7"/>
      <c r="S19384" s="7"/>
      <c r="T19384" s="7"/>
      <c r="U19384" s="7"/>
      <c r="V19384" s="7"/>
      <c r="W19384" s="7"/>
      <c r="X19384" s="7"/>
      <c r="Y19384" s="7"/>
      <c r="Z19384" s="7"/>
      <c r="AA19384" s="7"/>
      <c r="AB19384" s="7"/>
      <c r="AC19384" s="7"/>
      <c r="AD19384" s="7"/>
      <c r="AE19384" s="7"/>
      <c r="AF19384" s="7"/>
      <c r="AG19384" s="10"/>
    </row>
    <row r="19385" spans="1:33">
      <c r="A19385" s="7"/>
      <c r="B19385" s="7"/>
      <c r="C19385" s="7"/>
      <c r="D19385" s="7"/>
      <c r="E19385" s="7"/>
      <c r="F19385" s="7"/>
      <c r="G19385" s="7"/>
      <c r="H19385" s="7"/>
      <c r="I19385" s="7"/>
      <c r="J19385" s="7"/>
      <c r="K19385" s="7"/>
      <c r="L19385" s="7"/>
      <c r="M19385" s="7"/>
      <c r="N19385" s="7"/>
      <c r="O19385" s="7"/>
      <c r="P19385" s="7"/>
      <c r="Q19385" s="7"/>
      <c r="R19385" s="7"/>
      <c r="S19385" s="7"/>
      <c r="T19385" s="7"/>
      <c r="U19385" s="7"/>
      <c r="V19385" s="7"/>
      <c r="W19385" s="7"/>
      <c r="X19385" s="7"/>
      <c r="Y19385" s="7"/>
      <c r="Z19385" s="7"/>
      <c r="AA19385" s="7"/>
      <c r="AB19385" s="7"/>
      <c r="AC19385" s="7"/>
      <c r="AD19385" s="7"/>
      <c r="AE19385" s="7"/>
      <c r="AF19385" s="7"/>
      <c r="AG19385" s="10"/>
    </row>
    <row r="19386" spans="1:33">
      <c r="A19386" s="7"/>
      <c r="B19386" s="7"/>
      <c r="C19386" s="7"/>
      <c r="D19386" s="7"/>
      <c r="E19386" s="7"/>
      <c r="F19386" s="7"/>
      <c r="G19386" s="7"/>
      <c r="H19386" s="7"/>
      <c r="I19386" s="7"/>
      <c r="J19386" s="7"/>
      <c r="K19386" s="7"/>
      <c r="L19386" s="7"/>
      <c r="M19386" s="7"/>
      <c r="N19386" s="7"/>
      <c r="O19386" s="7"/>
      <c r="P19386" s="7"/>
      <c r="Q19386" s="7"/>
      <c r="R19386" s="7"/>
      <c r="S19386" s="7"/>
      <c r="T19386" s="7"/>
      <c r="U19386" s="7"/>
      <c r="V19386" s="7"/>
      <c r="W19386" s="7"/>
      <c r="X19386" s="7"/>
      <c r="Y19386" s="7"/>
      <c r="Z19386" s="7"/>
      <c r="AA19386" s="7"/>
      <c r="AB19386" s="7"/>
      <c r="AC19386" s="7"/>
      <c r="AD19386" s="7"/>
      <c r="AE19386" s="7"/>
      <c r="AF19386" s="7"/>
      <c r="AG19386" s="10"/>
    </row>
    <row r="19387" spans="1:33">
      <c r="A19387" s="7"/>
      <c r="B19387" s="7"/>
      <c r="C19387" s="7"/>
      <c r="D19387" s="7"/>
      <c r="E19387" s="7"/>
      <c r="F19387" s="7"/>
      <c r="G19387" s="7"/>
      <c r="H19387" s="7"/>
      <c r="I19387" s="7"/>
      <c r="J19387" s="7"/>
      <c r="K19387" s="7"/>
      <c r="L19387" s="7"/>
      <c r="M19387" s="7"/>
      <c r="N19387" s="7"/>
      <c r="O19387" s="7"/>
      <c r="P19387" s="7"/>
      <c r="Q19387" s="7"/>
      <c r="R19387" s="7"/>
      <c r="S19387" s="7"/>
      <c r="T19387" s="7"/>
      <c r="U19387" s="7"/>
      <c r="V19387" s="7"/>
      <c r="W19387" s="7"/>
      <c r="X19387" s="7"/>
      <c r="Y19387" s="7"/>
      <c r="Z19387" s="7"/>
      <c r="AA19387" s="7"/>
      <c r="AB19387" s="7"/>
      <c r="AC19387" s="7"/>
      <c r="AD19387" s="7"/>
      <c r="AE19387" s="7"/>
      <c r="AF19387" s="7"/>
      <c r="AG19387" s="10"/>
    </row>
    <row r="19388" spans="1:33">
      <c r="A19388" s="7"/>
      <c r="B19388" s="7"/>
      <c r="C19388" s="7"/>
      <c r="D19388" s="7"/>
      <c r="E19388" s="7"/>
      <c r="F19388" s="7"/>
      <c r="G19388" s="7"/>
      <c r="H19388" s="7"/>
      <c r="I19388" s="7"/>
      <c r="J19388" s="7"/>
      <c r="K19388" s="7"/>
      <c r="L19388" s="7"/>
      <c r="M19388" s="7"/>
      <c r="N19388" s="7"/>
      <c r="O19388" s="7"/>
      <c r="P19388" s="7"/>
      <c r="Q19388" s="7"/>
      <c r="R19388" s="7"/>
      <c r="S19388" s="7"/>
      <c r="T19388" s="7"/>
      <c r="U19388" s="7"/>
      <c r="V19388" s="7"/>
      <c r="W19388" s="7"/>
      <c r="X19388" s="7"/>
      <c r="Y19388" s="7"/>
      <c r="Z19388" s="7"/>
      <c r="AA19388" s="7"/>
      <c r="AB19388" s="7"/>
      <c r="AC19388" s="7"/>
      <c r="AD19388" s="7"/>
      <c r="AE19388" s="7"/>
      <c r="AF19388" s="7"/>
      <c r="AG19388" s="10"/>
    </row>
    <row r="19389" spans="1:33">
      <c r="A19389" s="7"/>
      <c r="B19389" s="7"/>
      <c r="C19389" s="7"/>
      <c r="D19389" s="7"/>
      <c r="E19389" s="7"/>
      <c r="F19389" s="7"/>
      <c r="G19389" s="7"/>
      <c r="H19389" s="7"/>
      <c r="I19389" s="7"/>
      <c r="J19389" s="7"/>
      <c r="K19389" s="7"/>
      <c r="L19389" s="7"/>
      <c r="M19389" s="7"/>
      <c r="N19389" s="7"/>
      <c r="O19389" s="7"/>
      <c r="P19389" s="7"/>
      <c r="Q19389" s="7"/>
      <c r="R19389" s="7"/>
      <c r="S19389" s="7"/>
      <c r="T19389" s="7"/>
      <c r="U19389" s="7"/>
      <c r="V19389" s="7"/>
      <c r="W19389" s="7"/>
      <c r="X19389" s="7"/>
      <c r="Y19389" s="7"/>
      <c r="Z19389" s="7"/>
      <c r="AA19389" s="7"/>
      <c r="AB19389" s="7"/>
      <c r="AC19389" s="7"/>
      <c r="AD19389" s="7"/>
      <c r="AE19389" s="7"/>
      <c r="AF19389" s="7"/>
      <c r="AG19389" s="10"/>
    </row>
    <row r="19390" spans="1:33">
      <c r="A19390" s="7"/>
      <c r="B19390" s="7"/>
      <c r="C19390" s="7"/>
      <c r="D19390" s="7"/>
      <c r="E19390" s="7"/>
      <c r="F19390" s="7"/>
      <c r="G19390" s="7"/>
      <c r="H19390" s="7"/>
      <c r="I19390" s="7"/>
      <c r="J19390" s="7"/>
      <c r="K19390" s="7"/>
      <c r="L19390" s="7"/>
      <c r="M19390" s="7"/>
      <c r="N19390" s="7"/>
      <c r="O19390" s="7"/>
      <c r="P19390" s="7"/>
      <c r="Q19390" s="7"/>
      <c r="R19390" s="7"/>
      <c r="S19390" s="7"/>
      <c r="T19390" s="7"/>
      <c r="U19390" s="7"/>
      <c r="V19390" s="7"/>
      <c r="W19390" s="7"/>
      <c r="X19390" s="7"/>
      <c r="Y19390" s="7"/>
      <c r="Z19390" s="7"/>
      <c r="AA19390" s="7"/>
      <c r="AB19390" s="7"/>
      <c r="AC19390" s="7"/>
      <c r="AD19390" s="7"/>
      <c r="AE19390" s="7"/>
      <c r="AF19390" s="7"/>
      <c r="AG19390" s="10"/>
    </row>
    <row r="19391" spans="1:33">
      <c r="A19391" s="7"/>
      <c r="B19391" s="7"/>
      <c r="C19391" s="7"/>
      <c r="D19391" s="7"/>
      <c r="E19391" s="7"/>
      <c r="F19391" s="7"/>
      <c r="G19391" s="7"/>
      <c r="H19391" s="7"/>
      <c r="I19391" s="7"/>
      <c r="J19391" s="7"/>
      <c r="K19391" s="7"/>
      <c r="L19391" s="7"/>
      <c r="M19391" s="7"/>
      <c r="N19391" s="7"/>
      <c r="O19391" s="7"/>
      <c r="P19391" s="7"/>
      <c r="Q19391" s="7"/>
      <c r="R19391" s="7"/>
      <c r="S19391" s="7"/>
      <c r="T19391" s="7"/>
      <c r="U19391" s="7"/>
      <c r="V19391" s="7"/>
      <c r="W19391" s="7"/>
      <c r="X19391" s="7"/>
      <c r="Y19391" s="7"/>
      <c r="Z19391" s="7"/>
      <c r="AA19391" s="7"/>
      <c r="AB19391" s="7"/>
      <c r="AC19391" s="7"/>
      <c r="AD19391" s="7"/>
      <c r="AE19391" s="7"/>
      <c r="AF19391" s="7"/>
      <c r="AG19391" s="10"/>
    </row>
    <row r="19392" spans="1:33">
      <c r="A19392" s="7"/>
      <c r="B19392" s="7"/>
      <c r="C19392" s="7"/>
      <c r="D19392" s="7"/>
      <c r="E19392" s="7"/>
      <c r="F19392" s="7"/>
      <c r="G19392" s="7"/>
      <c r="H19392" s="7"/>
      <c r="I19392" s="7"/>
      <c r="J19392" s="7"/>
      <c r="K19392" s="7"/>
      <c r="L19392" s="7"/>
      <c r="M19392" s="7"/>
      <c r="N19392" s="7"/>
      <c r="O19392" s="7"/>
      <c r="P19392" s="7"/>
      <c r="Q19392" s="7"/>
      <c r="R19392" s="7"/>
      <c r="S19392" s="7"/>
      <c r="T19392" s="7"/>
      <c r="U19392" s="7"/>
      <c r="V19392" s="7"/>
      <c r="W19392" s="7"/>
      <c r="X19392" s="7"/>
      <c r="Y19392" s="7"/>
      <c r="Z19392" s="7"/>
      <c r="AA19392" s="7"/>
      <c r="AB19392" s="7"/>
      <c r="AC19392" s="7"/>
      <c r="AD19392" s="7"/>
      <c r="AE19392" s="7"/>
      <c r="AF19392" s="7"/>
      <c r="AG19392" s="10"/>
    </row>
    <row r="19393" spans="1:33">
      <c r="A19393" s="7"/>
      <c r="B19393" s="7"/>
      <c r="C19393" s="7"/>
      <c r="D19393" s="7"/>
      <c r="E19393" s="7"/>
      <c r="F19393" s="7"/>
      <c r="G19393" s="7"/>
      <c r="H19393" s="7"/>
      <c r="I19393" s="7"/>
      <c r="J19393" s="7"/>
      <c r="K19393" s="7"/>
      <c r="L19393" s="7"/>
      <c r="M19393" s="7"/>
      <c r="N19393" s="7"/>
      <c r="O19393" s="7"/>
      <c r="P19393" s="7"/>
      <c r="Q19393" s="7"/>
      <c r="R19393" s="7"/>
      <c r="S19393" s="7"/>
      <c r="T19393" s="7"/>
      <c r="U19393" s="7"/>
      <c r="V19393" s="7"/>
      <c r="W19393" s="7"/>
      <c r="X19393" s="7"/>
      <c r="Y19393" s="7"/>
      <c r="Z19393" s="7"/>
      <c r="AA19393" s="7"/>
      <c r="AB19393" s="7"/>
      <c r="AC19393" s="7"/>
      <c r="AD19393" s="7"/>
      <c r="AE19393" s="7"/>
      <c r="AF19393" s="7"/>
      <c r="AG19393" s="10"/>
    </row>
    <row r="19394" spans="1:33">
      <c r="A19394" s="7"/>
      <c r="B19394" s="7"/>
      <c r="C19394" s="7"/>
      <c r="D19394" s="7"/>
      <c r="E19394" s="7"/>
      <c r="F19394" s="7"/>
      <c r="G19394" s="7"/>
      <c r="H19394" s="7"/>
      <c r="I19394" s="7"/>
      <c r="J19394" s="7"/>
      <c r="K19394" s="7"/>
      <c r="L19394" s="7"/>
      <c r="M19394" s="7"/>
      <c r="N19394" s="7"/>
      <c r="O19394" s="7"/>
      <c r="P19394" s="7"/>
      <c r="Q19394" s="7"/>
      <c r="R19394" s="7"/>
      <c r="S19394" s="7"/>
      <c r="T19394" s="7"/>
      <c r="U19394" s="7"/>
      <c r="V19394" s="7"/>
      <c r="W19394" s="7"/>
      <c r="X19394" s="7"/>
      <c r="Y19394" s="7"/>
      <c r="Z19394" s="7"/>
      <c r="AA19394" s="7"/>
      <c r="AB19394" s="7"/>
      <c r="AC19394" s="7"/>
      <c r="AD19394" s="7"/>
      <c r="AE19394" s="7"/>
      <c r="AF19394" s="7"/>
      <c r="AG19394" s="10"/>
    </row>
    <row r="19395" spans="1:33">
      <c r="A19395" s="7"/>
      <c r="B19395" s="7"/>
      <c r="C19395" s="7"/>
      <c r="D19395" s="7"/>
      <c r="E19395" s="7"/>
      <c r="F19395" s="7"/>
      <c r="G19395" s="7"/>
      <c r="H19395" s="7"/>
      <c r="I19395" s="7"/>
      <c r="J19395" s="7"/>
      <c r="K19395" s="7"/>
      <c r="L19395" s="7"/>
      <c r="M19395" s="7"/>
      <c r="N19395" s="7"/>
      <c r="O19395" s="7"/>
      <c r="P19395" s="7"/>
      <c r="Q19395" s="7"/>
      <c r="R19395" s="7"/>
      <c r="S19395" s="7"/>
      <c r="T19395" s="7"/>
      <c r="U19395" s="7"/>
      <c r="V19395" s="7"/>
      <c r="W19395" s="7"/>
      <c r="X19395" s="7"/>
      <c r="Y19395" s="7"/>
      <c r="Z19395" s="7"/>
      <c r="AA19395" s="7"/>
      <c r="AB19395" s="7"/>
      <c r="AC19395" s="7"/>
      <c r="AD19395" s="7"/>
      <c r="AE19395" s="7"/>
      <c r="AF19395" s="7"/>
      <c r="AG19395" s="10"/>
    </row>
    <row r="19396" spans="1:33">
      <c r="A19396" s="7"/>
      <c r="B19396" s="7"/>
      <c r="C19396" s="7"/>
      <c r="D19396" s="7"/>
      <c r="E19396" s="7"/>
      <c r="F19396" s="7"/>
      <c r="G19396" s="7"/>
      <c r="H19396" s="7"/>
      <c r="I19396" s="7"/>
      <c r="J19396" s="7"/>
      <c r="K19396" s="7"/>
      <c r="L19396" s="7"/>
      <c r="M19396" s="7"/>
      <c r="N19396" s="7"/>
      <c r="O19396" s="7"/>
      <c r="P19396" s="7"/>
      <c r="Q19396" s="7"/>
      <c r="R19396" s="7"/>
      <c r="S19396" s="7"/>
      <c r="T19396" s="7"/>
      <c r="U19396" s="7"/>
      <c r="V19396" s="7"/>
      <c r="W19396" s="7"/>
      <c r="X19396" s="7"/>
      <c r="Y19396" s="7"/>
      <c r="Z19396" s="7"/>
      <c r="AA19396" s="7"/>
      <c r="AB19396" s="7"/>
      <c r="AC19396" s="7"/>
      <c r="AD19396" s="7"/>
      <c r="AE19396" s="7"/>
      <c r="AF19396" s="7"/>
      <c r="AG19396" s="10"/>
    </row>
    <row r="19397" spans="1:33">
      <c r="A19397" s="7"/>
      <c r="B19397" s="7"/>
      <c r="C19397" s="7"/>
      <c r="D19397" s="7"/>
      <c r="E19397" s="7"/>
      <c r="F19397" s="7"/>
      <c r="G19397" s="7"/>
      <c r="H19397" s="7"/>
      <c r="I19397" s="7"/>
      <c r="J19397" s="7"/>
      <c r="K19397" s="7"/>
      <c r="L19397" s="7"/>
      <c r="M19397" s="7"/>
      <c r="N19397" s="7"/>
      <c r="O19397" s="7"/>
      <c r="P19397" s="7"/>
      <c r="Q19397" s="7"/>
      <c r="R19397" s="7"/>
      <c r="S19397" s="7"/>
      <c r="T19397" s="7"/>
      <c r="U19397" s="7"/>
      <c r="V19397" s="7"/>
      <c r="W19397" s="7"/>
      <c r="X19397" s="7"/>
      <c r="Y19397" s="7"/>
      <c r="Z19397" s="7"/>
      <c r="AA19397" s="7"/>
      <c r="AB19397" s="7"/>
      <c r="AC19397" s="7"/>
      <c r="AD19397" s="7"/>
      <c r="AE19397" s="7"/>
      <c r="AF19397" s="7"/>
      <c r="AG19397" s="10"/>
    </row>
    <row r="19398" spans="1:33">
      <c r="A19398" s="7"/>
      <c r="B19398" s="7"/>
      <c r="C19398" s="7"/>
      <c r="D19398" s="7"/>
      <c r="E19398" s="7"/>
      <c r="F19398" s="7"/>
      <c r="G19398" s="7"/>
      <c r="H19398" s="7"/>
      <c r="I19398" s="7"/>
      <c r="J19398" s="7"/>
      <c r="K19398" s="7"/>
      <c r="L19398" s="7"/>
      <c r="M19398" s="7"/>
      <c r="N19398" s="7"/>
      <c r="O19398" s="7"/>
      <c r="P19398" s="7"/>
      <c r="Q19398" s="7"/>
      <c r="R19398" s="7"/>
      <c r="S19398" s="7"/>
      <c r="T19398" s="7"/>
      <c r="U19398" s="7"/>
      <c r="V19398" s="7"/>
      <c r="W19398" s="7"/>
      <c r="X19398" s="7"/>
      <c r="Y19398" s="7"/>
      <c r="Z19398" s="7"/>
      <c r="AA19398" s="7"/>
      <c r="AB19398" s="7"/>
      <c r="AC19398" s="7"/>
      <c r="AD19398" s="7"/>
      <c r="AE19398" s="7"/>
      <c r="AF19398" s="7"/>
      <c r="AG19398" s="10"/>
    </row>
    <row r="19399" spans="1:33">
      <c r="A19399" s="7"/>
      <c r="B19399" s="7"/>
      <c r="C19399" s="7"/>
      <c r="D19399" s="7"/>
      <c r="E19399" s="7"/>
      <c r="F19399" s="7"/>
      <c r="G19399" s="7"/>
      <c r="H19399" s="7"/>
      <c r="I19399" s="7"/>
      <c r="J19399" s="7"/>
      <c r="K19399" s="7"/>
      <c r="L19399" s="7"/>
      <c r="M19399" s="7"/>
      <c r="N19399" s="7"/>
      <c r="O19399" s="7"/>
      <c r="P19399" s="7"/>
      <c r="Q19399" s="7"/>
      <c r="R19399" s="7"/>
      <c r="S19399" s="7"/>
      <c r="T19399" s="7"/>
      <c r="U19399" s="7"/>
      <c r="V19399" s="7"/>
      <c r="W19399" s="7"/>
      <c r="X19399" s="7"/>
      <c r="Y19399" s="7"/>
      <c r="Z19399" s="7"/>
      <c r="AA19399" s="7"/>
      <c r="AB19399" s="7"/>
      <c r="AC19399" s="7"/>
      <c r="AD19399" s="7"/>
      <c r="AE19399" s="7"/>
      <c r="AF19399" s="7"/>
      <c r="AG19399" s="10"/>
    </row>
    <row r="19400" spans="1:33">
      <c r="A19400" s="7"/>
      <c r="B19400" s="7"/>
      <c r="C19400" s="7"/>
      <c r="D19400" s="7"/>
      <c r="E19400" s="7"/>
      <c r="F19400" s="7"/>
      <c r="G19400" s="7"/>
      <c r="H19400" s="7"/>
      <c r="I19400" s="7"/>
      <c r="J19400" s="7"/>
      <c r="K19400" s="7"/>
      <c r="L19400" s="7"/>
      <c r="M19400" s="7"/>
      <c r="N19400" s="7"/>
      <c r="O19400" s="7"/>
      <c r="P19400" s="7"/>
      <c r="Q19400" s="7"/>
      <c r="R19400" s="7"/>
      <c r="S19400" s="7"/>
      <c r="T19400" s="7"/>
      <c r="U19400" s="7"/>
      <c r="V19400" s="7"/>
      <c r="W19400" s="7"/>
      <c r="X19400" s="7"/>
      <c r="Y19400" s="7"/>
      <c r="Z19400" s="7"/>
      <c r="AA19400" s="7"/>
      <c r="AB19400" s="7"/>
      <c r="AC19400" s="7"/>
      <c r="AD19400" s="7"/>
      <c r="AE19400" s="7"/>
      <c r="AF19400" s="7"/>
      <c r="AG19400" s="10"/>
    </row>
    <row r="19401" spans="1:33">
      <c r="A19401" s="7"/>
      <c r="B19401" s="7"/>
      <c r="C19401" s="7"/>
      <c r="D19401" s="7"/>
      <c r="E19401" s="7"/>
      <c r="F19401" s="7"/>
      <c r="G19401" s="7"/>
      <c r="H19401" s="7"/>
      <c r="I19401" s="7"/>
      <c r="J19401" s="7"/>
      <c r="K19401" s="7"/>
      <c r="L19401" s="7"/>
      <c r="M19401" s="7"/>
      <c r="N19401" s="7"/>
      <c r="O19401" s="7"/>
      <c r="P19401" s="7"/>
      <c r="Q19401" s="7"/>
      <c r="R19401" s="7"/>
      <c r="S19401" s="7"/>
      <c r="T19401" s="7"/>
      <c r="U19401" s="7"/>
      <c r="V19401" s="7"/>
      <c r="W19401" s="7"/>
      <c r="X19401" s="7"/>
      <c r="Y19401" s="7"/>
      <c r="Z19401" s="7"/>
      <c r="AA19401" s="7"/>
      <c r="AB19401" s="7"/>
      <c r="AC19401" s="7"/>
      <c r="AD19401" s="7"/>
      <c r="AE19401" s="7"/>
      <c r="AF19401" s="7"/>
      <c r="AG19401" s="10"/>
    </row>
    <row r="19402" spans="1:33">
      <c r="A19402" s="7"/>
      <c r="B19402" s="7"/>
      <c r="C19402" s="7"/>
      <c r="D19402" s="7"/>
      <c r="E19402" s="7"/>
      <c r="F19402" s="7"/>
      <c r="G19402" s="7"/>
      <c r="H19402" s="7"/>
      <c r="I19402" s="7"/>
      <c r="J19402" s="7"/>
      <c r="K19402" s="7"/>
      <c r="L19402" s="7"/>
      <c r="M19402" s="7"/>
      <c r="N19402" s="7"/>
      <c r="O19402" s="7"/>
      <c r="P19402" s="7"/>
      <c r="Q19402" s="7"/>
      <c r="R19402" s="7"/>
      <c r="S19402" s="7"/>
      <c r="T19402" s="7"/>
      <c r="U19402" s="7"/>
      <c r="V19402" s="7"/>
      <c r="W19402" s="7"/>
      <c r="X19402" s="7"/>
      <c r="Y19402" s="7"/>
      <c r="Z19402" s="7"/>
      <c r="AA19402" s="7"/>
      <c r="AB19402" s="7"/>
      <c r="AC19402" s="7"/>
      <c r="AD19402" s="7"/>
      <c r="AE19402" s="7"/>
      <c r="AF19402" s="7"/>
      <c r="AG19402" s="10"/>
    </row>
    <row r="19403" spans="1:33">
      <c r="A19403" s="7"/>
      <c r="B19403" s="7"/>
      <c r="C19403" s="7"/>
      <c r="D19403" s="7"/>
      <c r="E19403" s="7"/>
      <c r="F19403" s="7"/>
      <c r="G19403" s="7"/>
      <c r="H19403" s="7"/>
      <c r="I19403" s="7"/>
      <c r="J19403" s="7"/>
      <c r="K19403" s="7"/>
      <c r="L19403" s="7"/>
      <c r="M19403" s="7"/>
      <c r="N19403" s="7"/>
      <c r="O19403" s="7"/>
      <c r="P19403" s="7"/>
      <c r="Q19403" s="7"/>
      <c r="R19403" s="7"/>
      <c r="S19403" s="7"/>
      <c r="T19403" s="7"/>
      <c r="U19403" s="7"/>
      <c r="V19403" s="7"/>
      <c r="W19403" s="7"/>
      <c r="X19403" s="7"/>
      <c r="Y19403" s="7"/>
      <c r="Z19403" s="7"/>
      <c r="AA19403" s="7"/>
      <c r="AB19403" s="7"/>
      <c r="AC19403" s="7"/>
      <c r="AD19403" s="7"/>
      <c r="AE19403" s="7"/>
      <c r="AF19403" s="7"/>
      <c r="AG19403" s="10"/>
    </row>
    <row r="19404" spans="1:33">
      <c r="A19404" s="7"/>
      <c r="B19404" s="7"/>
      <c r="C19404" s="7"/>
      <c r="D19404" s="7"/>
      <c r="E19404" s="7"/>
      <c r="F19404" s="7"/>
      <c r="G19404" s="7"/>
      <c r="H19404" s="7"/>
      <c r="I19404" s="7"/>
      <c r="J19404" s="7"/>
      <c r="K19404" s="7"/>
      <c r="L19404" s="7"/>
      <c r="M19404" s="7"/>
      <c r="N19404" s="7"/>
      <c r="O19404" s="7"/>
      <c r="P19404" s="7"/>
      <c r="Q19404" s="7"/>
      <c r="R19404" s="7"/>
      <c r="S19404" s="7"/>
      <c r="T19404" s="7"/>
      <c r="U19404" s="7"/>
      <c r="V19404" s="7"/>
      <c r="W19404" s="7"/>
      <c r="X19404" s="7"/>
      <c r="Y19404" s="7"/>
      <c r="Z19404" s="7"/>
      <c r="AA19404" s="7"/>
      <c r="AB19404" s="7"/>
      <c r="AC19404" s="7"/>
      <c r="AD19404" s="7"/>
      <c r="AE19404" s="7"/>
      <c r="AF19404" s="7"/>
      <c r="AG19404" s="10"/>
    </row>
    <row r="19405" spans="1:33">
      <c r="A19405" s="7"/>
      <c r="B19405" s="7"/>
      <c r="C19405" s="7"/>
      <c r="D19405" s="7"/>
      <c r="E19405" s="7"/>
      <c r="F19405" s="7"/>
      <c r="G19405" s="7"/>
      <c r="H19405" s="7"/>
      <c r="I19405" s="7"/>
      <c r="J19405" s="7"/>
      <c r="K19405" s="7"/>
      <c r="L19405" s="7"/>
      <c r="M19405" s="7"/>
      <c r="N19405" s="7"/>
      <c r="O19405" s="7"/>
      <c r="P19405" s="7"/>
      <c r="Q19405" s="7"/>
      <c r="R19405" s="7"/>
      <c r="S19405" s="7"/>
      <c r="T19405" s="7"/>
      <c r="U19405" s="7"/>
      <c r="V19405" s="7"/>
      <c r="W19405" s="7"/>
      <c r="X19405" s="7"/>
      <c r="Y19405" s="7"/>
      <c r="Z19405" s="7"/>
      <c r="AA19405" s="7"/>
      <c r="AB19405" s="7"/>
      <c r="AC19405" s="7"/>
      <c r="AD19405" s="7"/>
      <c r="AE19405" s="7"/>
      <c r="AF19405" s="7"/>
      <c r="AG19405" s="10"/>
    </row>
    <row r="19406" spans="1:33">
      <c r="A19406" s="7"/>
      <c r="B19406" s="7"/>
      <c r="C19406" s="7"/>
      <c r="D19406" s="7"/>
      <c r="E19406" s="7"/>
      <c r="F19406" s="7"/>
      <c r="G19406" s="7"/>
      <c r="H19406" s="7"/>
      <c r="I19406" s="7"/>
      <c r="J19406" s="7"/>
      <c r="K19406" s="7"/>
      <c r="L19406" s="7"/>
      <c r="M19406" s="7"/>
      <c r="N19406" s="7"/>
      <c r="O19406" s="7"/>
      <c r="P19406" s="7"/>
      <c r="Q19406" s="7"/>
      <c r="R19406" s="7"/>
      <c r="S19406" s="7"/>
      <c r="T19406" s="7"/>
      <c r="U19406" s="7"/>
      <c r="V19406" s="7"/>
      <c r="W19406" s="7"/>
      <c r="X19406" s="7"/>
      <c r="Y19406" s="7"/>
      <c r="Z19406" s="7"/>
      <c r="AA19406" s="7"/>
      <c r="AB19406" s="7"/>
      <c r="AC19406" s="7"/>
      <c r="AD19406" s="7"/>
      <c r="AE19406" s="7"/>
      <c r="AF19406" s="7"/>
      <c r="AG19406" s="10"/>
    </row>
    <row r="19407" spans="1:33">
      <c r="A19407" s="7"/>
      <c r="B19407" s="7"/>
      <c r="C19407" s="7"/>
      <c r="D19407" s="7"/>
      <c r="E19407" s="7"/>
      <c r="F19407" s="7"/>
      <c r="G19407" s="7"/>
      <c r="H19407" s="7"/>
      <c r="I19407" s="7"/>
      <c r="J19407" s="7"/>
      <c r="K19407" s="7"/>
      <c r="L19407" s="7"/>
      <c r="M19407" s="7"/>
      <c r="N19407" s="7"/>
      <c r="O19407" s="7"/>
      <c r="P19407" s="7"/>
      <c r="Q19407" s="7"/>
      <c r="R19407" s="7"/>
      <c r="S19407" s="7"/>
      <c r="T19407" s="7"/>
      <c r="U19407" s="7"/>
      <c r="V19407" s="7"/>
      <c r="W19407" s="7"/>
      <c r="X19407" s="7"/>
      <c r="Y19407" s="7"/>
      <c r="Z19407" s="7"/>
      <c r="AA19407" s="7"/>
      <c r="AB19407" s="7"/>
      <c r="AC19407" s="7"/>
      <c r="AD19407" s="7"/>
      <c r="AE19407" s="7"/>
      <c r="AF19407" s="7"/>
      <c r="AG19407" s="10"/>
    </row>
    <row r="19408" spans="1:33">
      <c r="A19408" s="7"/>
      <c r="B19408" s="7"/>
      <c r="C19408" s="7"/>
      <c r="D19408" s="7"/>
      <c r="E19408" s="7"/>
      <c r="F19408" s="7"/>
      <c r="G19408" s="7"/>
      <c r="H19408" s="7"/>
      <c r="I19408" s="7"/>
      <c r="J19408" s="7"/>
      <c r="K19408" s="7"/>
      <c r="L19408" s="7"/>
      <c r="M19408" s="7"/>
      <c r="N19408" s="7"/>
      <c r="O19408" s="7"/>
      <c r="P19408" s="7"/>
      <c r="Q19408" s="7"/>
      <c r="R19408" s="7"/>
      <c r="S19408" s="7"/>
      <c r="T19408" s="7"/>
      <c r="U19408" s="7"/>
      <c r="V19408" s="7"/>
      <c r="W19408" s="7"/>
      <c r="X19408" s="7"/>
      <c r="Y19408" s="7"/>
      <c r="Z19408" s="7"/>
      <c r="AA19408" s="7"/>
      <c r="AB19408" s="7"/>
      <c r="AC19408" s="7"/>
      <c r="AD19408" s="7"/>
      <c r="AE19408" s="7"/>
      <c r="AF19408" s="7"/>
      <c r="AG19408" s="10"/>
    </row>
    <row r="19409" spans="1:33">
      <c r="A19409" s="7"/>
      <c r="B19409" s="7"/>
      <c r="C19409" s="7"/>
      <c r="D19409" s="7"/>
      <c r="E19409" s="7"/>
      <c r="F19409" s="7"/>
      <c r="G19409" s="7"/>
      <c r="H19409" s="7"/>
      <c r="I19409" s="7"/>
      <c r="J19409" s="7"/>
      <c r="K19409" s="7"/>
      <c r="L19409" s="7"/>
      <c r="M19409" s="7"/>
      <c r="N19409" s="7"/>
      <c r="O19409" s="7"/>
      <c r="P19409" s="7"/>
      <c r="Q19409" s="7"/>
      <c r="R19409" s="7"/>
      <c r="S19409" s="7"/>
      <c r="T19409" s="7"/>
      <c r="U19409" s="7"/>
      <c r="V19409" s="7"/>
      <c r="W19409" s="7"/>
      <c r="X19409" s="7"/>
      <c r="Y19409" s="7"/>
      <c r="Z19409" s="7"/>
      <c r="AA19409" s="7"/>
      <c r="AB19409" s="7"/>
      <c r="AC19409" s="7"/>
      <c r="AD19409" s="7"/>
      <c r="AE19409" s="7"/>
      <c r="AF19409" s="7"/>
      <c r="AG19409" s="10"/>
    </row>
    <row r="19410" spans="1:33">
      <c r="A19410" s="7"/>
      <c r="B19410" s="7"/>
      <c r="C19410" s="7"/>
      <c r="D19410" s="7"/>
      <c r="E19410" s="7"/>
      <c r="F19410" s="7"/>
      <c r="G19410" s="7"/>
      <c r="H19410" s="7"/>
      <c r="I19410" s="7"/>
      <c r="J19410" s="7"/>
      <c r="K19410" s="7"/>
      <c r="L19410" s="7"/>
      <c r="M19410" s="7"/>
      <c r="N19410" s="7"/>
      <c r="O19410" s="7"/>
      <c r="P19410" s="7"/>
      <c r="Q19410" s="7"/>
      <c r="R19410" s="7"/>
      <c r="S19410" s="7"/>
      <c r="T19410" s="7"/>
      <c r="U19410" s="7"/>
      <c r="V19410" s="7"/>
      <c r="W19410" s="7"/>
      <c r="X19410" s="7"/>
      <c r="Y19410" s="7"/>
      <c r="Z19410" s="7"/>
      <c r="AA19410" s="7"/>
      <c r="AB19410" s="7"/>
      <c r="AC19410" s="7"/>
      <c r="AD19410" s="7"/>
      <c r="AE19410" s="7"/>
      <c r="AF19410" s="7"/>
      <c r="AG19410" s="10"/>
    </row>
    <row r="19411" spans="1:33">
      <c r="A19411" s="7"/>
      <c r="B19411" s="7"/>
      <c r="C19411" s="7"/>
      <c r="D19411" s="7"/>
      <c r="E19411" s="7"/>
      <c r="F19411" s="7"/>
      <c r="G19411" s="7"/>
      <c r="H19411" s="7"/>
      <c r="I19411" s="7"/>
      <c r="J19411" s="7"/>
      <c r="K19411" s="7"/>
      <c r="L19411" s="7"/>
      <c r="M19411" s="7"/>
      <c r="N19411" s="7"/>
      <c r="O19411" s="7"/>
      <c r="P19411" s="7"/>
      <c r="Q19411" s="7"/>
      <c r="R19411" s="7"/>
      <c r="S19411" s="7"/>
      <c r="T19411" s="7"/>
      <c r="U19411" s="7"/>
      <c r="V19411" s="7"/>
      <c r="W19411" s="7"/>
      <c r="X19411" s="7"/>
      <c r="Y19411" s="7"/>
      <c r="Z19411" s="7"/>
      <c r="AA19411" s="7"/>
      <c r="AB19411" s="7"/>
      <c r="AC19411" s="7"/>
      <c r="AD19411" s="7"/>
      <c r="AE19411" s="7"/>
      <c r="AF19411" s="7"/>
      <c r="AG19411" s="10"/>
    </row>
    <row r="19412" spans="1:33">
      <c r="A19412" s="7"/>
      <c r="B19412" s="7"/>
      <c r="C19412" s="7"/>
      <c r="D19412" s="7"/>
      <c r="E19412" s="7"/>
      <c r="F19412" s="7"/>
      <c r="G19412" s="7"/>
      <c r="H19412" s="7"/>
      <c r="I19412" s="7"/>
      <c r="J19412" s="7"/>
      <c r="K19412" s="7"/>
      <c r="L19412" s="7"/>
      <c r="M19412" s="7"/>
      <c r="N19412" s="7"/>
      <c r="O19412" s="7"/>
      <c r="P19412" s="7"/>
      <c r="Q19412" s="7"/>
      <c r="R19412" s="7"/>
      <c r="S19412" s="7"/>
      <c r="T19412" s="7"/>
      <c r="U19412" s="7"/>
      <c r="V19412" s="7"/>
      <c r="W19412" s="7"/>
      <c r="X19412" s="7"/>
      <c r="Y19412" s="7"/>
      <c r="Z19412" s="7"/>
      <c r="AA19412" s="7"/>
      <c r="AB19412" s="7"/>
      <c r="AC19412" s="7"/>
      <c r="AD19412" s="7"/>
      <c r="AE19412" s="7"/>
      <c r="AF19412" s="7"/>
      <c r="AG19412" s="10"/>
    </row>
    <row r="19413" spans="1:33">
      <c r="A19413" s="7"/>
      <c r="B19413" s="7"/>
      <c r="C19413" s="7"/>
      <c r="D19413" s="7"/>
      <c r="E19413" s="7"/>
      <c r="F19413" s="7"/>
      <c r="G19413" s="7"/>
      <c r="H19413" s="7"/>
      <c r="I19413" s="7"/>
      <c r="J19413" s="7"/>
      <c r="K19413" s="7"/>
      <c r="L19413" s="7"/>
      <c r="M19413" s="7"/>
      <c r="N19413" s="7"/>
      <c r="O19413" s="7"/>
      <c r="P19413" s="7"/>
      <c r="Q19413" s="7"/>
      <c r="R19413" s="7"/>
      <c r="S19413" s="7"/>
      <c r="T19413" s="7"/>
      <c r="U19413" s="7"/>
      <c r="V19413" s="7"/>
      <c r="W19413" s="7"/>
      <c r="X19413" s="7"/>
      <c r="Y19413" s="7"/>
      <c r="Z19413" s="7"/>
      <c r="AA19413" s="7"/>
      <c r="AB19413" s="7"/>
      <c r="AC19413" s="7"/>
      <c r="AD19413" s="7"/>
      <c r="AE19413" s="7"/>
      <c r="AF19413" s="7"/>
      <c r="AG19413" s="10"/>
    </row>
    <row r="19414" spans="1:33">
      <c r="A19414" s="7"/>
      <c r="B19414" s="7"/>
      <c r="C19414" s="7"/>
      <c r="D19414" s="7"/>
      <c r="E19414" s="7"/>
      <c r="F19414" s="7"/>
      <c r="G19414" s="7"/>
      <c r="H19414" s="7"/>
      <c r="I19414" s="7"/>
      <c r="J19414" s="7"/>
      <c r="K19414" s="7"/>
      <c r="L19414" s="7"/>
      <c r="M19414" s="7"/>
      <c r="N19414" s="7"/>
      <c r="O19414" s="7"/>
      <c r="P19414" s="7"/>
      <c r="Q19414" s="7"/>
      <c r="R19414" s="7"/>
      <c r="S19414" s="7"/>
      <c r="T19414" s="7"/>
      <c r="U19414" s="7"/>
      <c r="V19414" s="7"/>
      <c r="W19414" s="7"/>
      <c r="X19414" s="7"/>
      <c r="Y19414" s="7"/>
      <c r="Z19414" s="7"/>
      <c r="AA19414" s="7"/>
      <c r="AB19414" s="7"/>
      <c r="AC19414" s="7"/>
      <c r="AD19414" s="7"/>
      <c r="AE19414" s="7"/>
      <c r="AF19414" s="7"/>
      <c r="AG19414" s="10"/>
    </row>
    <row r="19415" spans="1:33">
      <c r="A19415" s="7"/>
      <c r="B19415" s="7"/>
      <c r="C19415" s="7"/>
      <c r="D19415" s="7"/>
      <c r="E19415" s="7"/>
      <c r="F19415" s="7"/>
      <c r="G19415" s="7"/>
      <c r="H19415" s="7"/>
      <c r="I19415" s="7"/>
      <c r="J19415" s="7"/>
      <c r="K19415" s="7"/>
      <c r="L19415" s="7"/>
      <c r="M19415" s="7"/>
      <c r="N19415" s="7"/>
      <c r="O19415" s="7"/>
      <c r="P19415" s="7"/>
      <c r="Q19415" s="7"/>
      <c r="R19415" s="7"/>
      <c r="S19415" s="7"/>
      <c r="T19415" s="7"/>
      <c r="U19415" s="7"/>
      <c r="V19415" s="7"/>
      <c r="W19415" s="7"/>
      <c r="X19415" s="7"/>
      <c r="Y19415" s="7"/>
      <c r="Z19415" s="7"/>
      <c r="AA19415" s="7"/>
      <c r="AB19415" s="7"/>
      <c r="AC19415" s="7"/>
      <c r="AD19415" s="7"/>
      <c r="AE19415" s="7"/>
      <c r="AF19415" s="7"/>
      <c r="AG19415" s="10"/>
    </row>
    <row r="19416" spans="1:33">
      <c r="A19416" s="7"/>
      <c r="B19416" s="7"/>
      <c r="C19416" s="7"/>
      <c r="D19416" s="7"/>
      <c r="E19416" s="7"/>
      <c r="F19416" s="7"/>
      <c r="G19416" s="7"/>
      <c r="H19416" s="7"/>
      <c r="I19416" s="7"/>
      <c r="J19416" s="7"/>
      <c r="K19416" s="7"/>
      <c r="L19416" s="7"/>
      <c r="M19416" s="7"/>
      <c r="N19416" s="7"/>
      <c r="O19416" s="7"/>
      <c r="P19416" s="7"/>
      <c r="Q19416" s="7"/>
      <c r="R19416" s="7"/>
      <c r="S19416" s="7"/>
      <c r="T19416" s="7"/>
      <c r="U19416" s="7"/>
      <c r="V19416" s="7"/>
      <c r="W19416" s="7"/>
      <c r="X19416" s="7"/>
      <c r="Y19416" s="7"/>
      <c r="Z19416" s="7"/>
      <c r="AA19416" s="7"/>
      <c r="AB19416" s="7"/>
      <c r="AC19416" s="7"/>
      <c r="AD19416" s="7"/>
      <c r="AE19416" s="7"/>
      <c r="AF19416" s="7"/>
      <c r="AG19416" s="10"/>
    </row>
    <row r="19417" spans="1:33">
      <c r="A19417" s="7"/>
      <c r="B19417" s="7"/>
      <c r="C19417" s="7"/>
      <c r="D19417" s="7"/>
      <c r="E19417" s="7"/>
      <c r="F19417" s="7"/>
      <c r="G19417" s="7"/>
      <c r="H19417" s="7"/>
      <c r="I19417" s="7"/>
      <c r="J19417" s="7"/>
      <c r="K19417" s="7"/>
      <c r="L19417" s="7"/>
      <c r="M19417" s="7"/>
      <c r="N19417" s="7"/>
      <c r="O19417" s="7"/>
      <c r="P19417" s="7"/>
      <c r="Q19417" s="7"/>
      <c r="R19417" s="7"/>
      <c r="S19417" s="7"/>
      <c r="T19417" s="7"/>
      <c r="U19417" s="7"/>
      <c r="V19417" s="7"/>
      <c r="W19417" s="7"/>
      <c r="X19417" s="7"/>
      <c r="Y19417" s="7"/>
      <c r="Z19417" s="7"/>
      <c r="AA19417" s="7"/>
      <c r="AB19417" s="7"/>
      <c r="AC19417" s="7"/>
      <c r="AD19417" s="7"/>
      <c r="AE19417" s="7"/>
      <c r="AF19417" s="7"/>
      <c r="AG19417" s="10"/>
    </row>
    <row r="19418" spans="1:33">
      <c r="A19418" s="7"/>
      <c r="B19418" s="7"/>
      <c r="C19418" s="7"/>
      <c r="D19418" s="7"/>
      <c r="E19418" s="7"/>
      <c r="F19418" s="7"/>
      <c r="G19418" s="7"/>
      <c r="H19418" s="7"/>
      <c r="I19418" s="7"/>
      <c r="J19418" s="7"/>
      <c r="K19418" s="7"/>
      <c r="L19418" s="7"/>
      <c r="M19418" s="7"/>
      <c r="N19418" s="7"/>
      <c r="O19418" s="7"/>
      <c r="P19418" s="7"/>
      <c r="Q19418" s="7"/>
      <c r="R19418" s="7"/>
      <c r="S19418" s="7"/>
      <c r="T19418" s="7"/>
      <c r="U19418" s="7"/>
      <c r="V19418" s="7"/>
      <c r="W19418" s="7"/>
      <c r="X19418" s="7"/>
      <c r="Y19418" s="7"/>
      <c r="Z19418" s="7"/>
      <c r="AA19418" s="7"/>
      <c r="AB19418" s="7"/>
      <c r="AC19418" s="7"/>
      <c r="AD19418" s="7"/>
      <c r="AE19418" s="7"/>
      <c r="AF19418" s="7"/>
      <c r="AG19418" s="10"/>
    </row>
    <row r="19419" spans="1:33">
      <c r="A19419" s="7"/>
      <c r="B19419" s="7"/>
      <c r="C19419" s="7"/>
      <c r="D19419" s="7"/>
      <c r="E19419" s="7"/>
      <c r="F19419" s="7"/>
      <c r="G19419" s="7"/>
      <c r="H19419" s="7"/>
      <c r="I19419" s="7"/>
      <c r="J19419" s="7"/>
      <c r="K19419" s="7"/>
      <c r="L19419" s="7"/>
      <c r="M19419" s="7"/>
      <c r="N19419" s="7"/>
      <c r="O19419" s="7"/>
      <c r="P19419" s="7"/>
      <c r="Q19419" s="7"/>
      <c r="R19419" s="7"/>
      <c r="S19419" s="7"/>
      <c r="T19419" s="7"/>
      <c r="U19419" s="7"/>
      <c r="V19419" s="7"/>
      <c r="W19419" s="7"/>
      <c r="X19419" s="7"/>
      <c r="Y19419" s="7"/>
      <c r="Z19419" s="7"/>
      <c r="AA19419" s="7"/>
      <c r="AB19419" s="7"/>
      <c r="AC19419" s="7"/>
      <c r="AD19419" s="7"/>
      <c r="AE19419" s="7"/>
      <c r="AF19419" s="7"/>
      <c r="AG19419" s="10"/>
    </row>
    <row r="19420" spans="1:33">
      <c r="A19420" s="7"/>
      <c r="B19420" s="7"/>
      <c r="C19420" s="7"/>
      <c r="D19420" s="7"/>
      <c r="E19420" s="7"/>
      <c r="F19420" s="7"/>
      <c r="G19420" s="7"/>
      <c r="H19420" s="7"/>
      <c r="I19420" s="7"/>
      <c r="J19420" s="7"/>
      <c r="K19420" s="7"/>
      <c r="L19420" s="7"/>
      <c r="M19420" s="7"/>
      <c r="N19420" s="7"/>
      <c r="O19420" s="7"/>
      <c r="P19420" s="7"/>
      <c r="Q19420" s="7"/>
      <c r="R19420" s="7"/>
      <c r="S19420" s="7"/>
      <c r="T19420" s="7"/>
      <c r="U19420" s="7"/>
      <c r="V19420" s="7"/>
      <c r="W19420" s="7"/>
      <c r="X19420" s="7"/>
      <c r="Y19420" s="7"/>
      <c r="Z19420" s="7"/>
      <c r="AA19420" s="7"/>
      <c r="AB19420" s="7"/>
      <c r="AC19420" s="7"/>
      <c r="AD19420" s="7"/>
      <c r="AE19420" s="7"/>
      <c r="AF19420" s="7"/>
      <c r="AG19420" s="10"/>
    </row>
    <row r="19421" spans="1:33">
      <c r="A19421" s="7"/>
      <c r="B19421" s="7"/>
      <c r="C19421" s="7"/>
      <c r="D19421" s="7"/>
      <c r="E19421" s="7"/>
      <c r="F19421" s="7"/>
      <c r="G19421" s="7"/>
      <c r="H19421" s="7"/>
      <c r="I19421" s="7"/>
      <c r="J19421" s="7"/>
      <c r="K19421" s="7"/>
      <c r="L19421" s="7"/>
      <c r="M19421" s="7"/>
      <c r="N19421" s="7"/>
      <c r="O19421" s="7"/>
      <c r="P19421" s="7"/>
      <c r="Q19421" s="7"/>
      <c r="R19421" s="7"/>
      <c r="S19421" s="7"/>
      <c r="T19421" s="7"/>
      <c r="U19421" s="7"/>
      <c r="V19421" s="7"/>
      <c r="W19421" s="7"/>
      <c r="X19421" s="7"/>
      <c r="Y19421" s="7"/>
      <c r="Z19421" s="7"/>
      <c r="AA19421" s="7"/>
      <c r="AB19421" s="7"/>
      <c r="AC19421" s="7"/>
      <c r="AD19421" s="7"/>
      <c r="AE19421" s="7"/>
      <c r="AF19421" s="7"/>
      <c r="AG19421" s="10"/>
    </row>
    <row r="19422" spans="1:33">
      <c r="A19422" s="7"/>
      <c r="B19422" s="7"/>
      <c r="C19422" s="7"/>
      <c r="D19422" s="7"/>
      <c r="E19422" s="7"/>
      <c r="F19422" s="7"/>
      <c r="G19422" s="7"/>
      <c r="H19422" s="7"/>
      <c r="I19422" s="7"/>
      <c r="J19422" s="7"/>
      <c r="K19422" s="7"/>
      <c r="L19422" s="7"/>
      <c r="M19422" s="7"/>
      <c r="N19422" s="7"/>
      <c r="O19422" s="7"/>
      <c r="P19422" s="7"/>
      <c r="Q19422" s="7"/>
      <c r="R19422" s="7"/>
      <c r="S19422" s="7"/>
      <c r="T19422" s="7"/>
      <c r="U19422" s="7"/>
      <c r="V19422" s="7"/>
      <c r="W19422" s="7"/>
      <c r="X19422" s="7"/>
      <c r="Y19422" s="7"/>
      <c r="Z19422" s="7"/>
      <c r="AA19422" s="7"/>
      <c r="AB19422" s="7"/>
      <c r="AC19422" s="7"/>
      <c r="AD19422" s="7"/>
      <c r="AE19422" s="7"/>
      <c r="AF19422" s="7"/>
      <c r="AG19422" s="10"/>
    </row>
    <row r="19423" spans="1:33">
      <c r="A19423" s="7"/>
      <c r="B19423" s="7"/>
      <c r="C19423" s="7"/>
      <c r="D19423" s="7"/>
      <c r="E19423" s="7"/>
      <c r="F19423" s="7"/>
      <c r="G19423" s="7"/>
      <c r="H19423" s="7"/>
      <c r="I19423" s="7"/>
      <c r="J19423" s="7"/>
      <c r="K19423" s="7"/>
      <c r="L19423" s="7"/>
      <c r="M19423" s="7"/>
      <c r="N19423" s="7"/>
      <c r="O19423" s="7"/>
      <c r="P19423" s="7"/>
      <c r="Q19423" s="7"/>
      <c r="R19423" s="7"/>
      <c r="S19423" s="7"/>
      <c r="T19423" s="7"/>
      <c r="U19423" s="7"/>
      <c r="V19423" s="7"/>
      <c r="W19423" s="7"/>
      <c r="X19423" s="7"/>
      <c r="Y19423" s="7"/>
      <c r="Z19423" s="7"/>
      <c r="AA19423" s="7"/>
      <c r="AB19423" s="7"/>
      <c r="AC19423" s="7"/>
      <c r="AD19423" s="7"/>
      <c r="AE19423" s="7"/>
      <c r="AF19423" s="7"/>
      <c r="AG19423" s="10"/>
    </row>
    <row r="19424" spans="1:33">
      <c r="A19424" s="7"/>
      <c r="B19424" s="7"/>
      <c r="C19424" s="7"/>
      <c r="D19424" s="7"/>
      <c r="E19424" s="7"/>
      <c r="F19424" s="7"/>
      <c r="G19424" s="7"/>
      <c r="H19424" s="7"/>
      <c r="I19424" s="7"/>
      <c r="J19424" s="7"/>
      <c r="K19424" s="7"/>
      <c r="L19424" s="7"/>
      <c r="M19424" s="7"/>
      <c r="N19424" s="7"/>
      <c r="O19424" s="7"/>
      <c r="P19424" s="7"/>
      <c r="Q19424" s="7"/>
      <c r="R19424" s="7"/>
      <c r="S19424" s="7"/>
      <c r="T19424" s="7"/>
      <c r="U19424" s="7"/>
      <c r="V19424" s="7"/>
      <c r="W19424" s="7"/>
      <c r="X19424" s="7"/>
      <c r="Y19424" s="7"/>
      <c r="Z19424" s="7"/>
      <c r="AA19424" s="7"/>
      <c r="AB19424" s="7"/>
      <c r="AC19424" s="7"/>
      <c r="AD19424" s="7"/>
      <c r="AE19424" s="7"/>
      <c r="AF19424" s="7"/>
      <c r="AG19424" s="10"/>
    </row>
    <row r="19425" spans="1:33">
      <c r="A19425" s="7"/>
      <c r="B19425" s="7"/>
      <c r="C19425" s="7"/>
      <c r="D19425" s="7"/>
      <c r="E19425" s="7"/>
      <c r="F19425" s="7"/>
      <c r="G19425" s="7"/>
      <c r="H19425" s="7"/>
      <c r="I19425" s="7"/>
      <c r="J19425" s="7"/>
      <c r="K19425" s="7"/>
      <c r="L19425" s="7"/>
      <c r="M19425" s="7"/>
      <c r="N19425" s="7"/>
      <c r="O19425" s="7"/>
      <c r="P19425" s="7"/>
      <c r="Q19425" s="7"/>
      <c r="R19425" s="7"/>
      <c r="S19425" s="7"/>
      <c r="T19425" s="7"/>
      <c r="U19425" s="7"/>
      <c r="V19425" s="7"/>
      <c r="W19425" s="7"/>
      <c r="X19425" s="7"/>
      <c r="Y19425" s="7"/>
      <c r="Z19425" s="7"/>
      <c r="AA19425" s="7"/>
      <c r="AB19425" s="7"/>
      <c r="AC19425" s="7"/>
      <c r="AD19425" s="7"/>
      <c r="AE19425" s="7"/>
      <c r="AF19425" s="7"/>
      <c r="AG19425" s="10"/>
    </row>
    <row r="19426" spans="1:33">
      <c r="A19426" s="7"/>
      <c r="B19426" s="7"/>
      <c r="C19426" s="7"/>
      <c r="D19426" s="7"/>
      <c r="E19426" s="7"/>
      <c r="F19426" s="7"/>
      <c r="G19426" s="7"/>
      <c r="H19426" s="7"/>
      <c r="I19426" s="7"/>
      <c r="J19426" s="7"/>
      <c r="K19426" s="7"/>
      <c r="L19426" s="7"/>
      <c r="M19426" s="7"/>
      <c r="N19426" s="7"/>
      <c r="O19426" s="7"/>
      <c r="P19426" s="7"/>
      <c r="Q19426" s="7"/>
      <c r="R19426" s="7"/>
      <c r="S19426" s="7"/>
      <c r="T19426" s="7"/>
      <c r="U19426" s="7"/>
      <c r="V19426" s="7"/>
      <c r="W19426" s="7"/>
      <c r="X19426" s="7"/>
      <c r="Y19426" s="7"/>
      <c r="Z19426" s="7"/>
      <c r="AA19426" s="7"/>
      <c r="AB19426" s="7"/>
      <c r="AC19426" s="7"/>
      <c r="AD19426" s="7"/>
      <c r="AE19426" s="7"/>
      <c r="AF19426" s="7"/>
      <c r="AG19426" s="10"/>
    </row>
    <row r="19427" spans="1:33">
      <c r="A19427" s="7"/>
      <c r="B19427" s="7"/>
      <c r="C19427" s="7"/>
      <c r="D19427" s="7"/>
      <c r="E19427" s="7"/>
      <c r="F19427" s="7"/>
      <c r="G19427" s="7"/>
      <c r="H19427" s="7"/>
      <c r="I19427" s="7"/>
      <c r="J19427" s="7"/>
      <c r="K19427" s="7"/>
      <c r="L19427" s="7"/>
      <c r="M19427" s="7"/>
      <c r="N19427" s="7"/>
      <c r="O19427" s="7"/>
      <c r="P19427" s="7"/>
      <c r="Q19427" s="7"/>
      <c r="R19427" s="7"/>
      <c r="S19427" s="7"/>
      <c r="T19427" s="7"/>
      <c r="U19427" s="7"/>
      <c r="V19427" s="7"/>
      <c r="W19427" s="7"/>
      <c r="X19427" s="7"/>
      <c r="Y19427" s="7"/>
      <c r="Z19427" s="7"/>
      <c r="AA19427" s="7"/>
      <c r="AB19427" s="7"/>
      <c r="AC19427" s="7"/>
      <c r="AD19427" s="7"/>
      <c r="AE19427" s="7"/>
      <c r="AF19427" s="7"/>
      <c r="AG19427" s="10"/>
    </row>
    <row r="19428" spans="1:33">
      <c r="A19428" s="7"/>
      <c r="B19428" s="7"/>
      <c r="C19428" s="7"/>
      <c r="D19428" s="7"/>
      <c r="E19428" s="7"/>
      <c r="F19428" s="7"/>
      <c r="G19428" s="7"/>
      <c r="H19428" s="7"/>
      <c r="I19428" s="7"/>
      <c r="J19428" s="7"/>
      <c r="K19428" s="7"/>
      <c r="L19428" s="7"/>
      <c r="M19428" s="7"/>
      <c r="N19428" s="7"/>
      <c r="O19428" s="7"/>
      <c r="P19428" s="7"/>
      <c r="Q19428" s="7"/>
      <c r="R19428" s="7"/>
      <c r="S19428" s="7"/>
      <c r="T19428" s="7"/>
      <c r="U19428" s="7"/>
      <c r="V19428" s="7"/>
      <c r="W19428" s="7"/>
      <c r="X19428" s="7"/>
      <c r="Y19428" s="7"/>
      <c r="Z19428" s="7"/>
      <c r="AA19428" s="7"/>
      <c r="AB19428" s="7"/>
      <c r="AC19428" s="7"/>
      <c r="AD19428" s="7"/>
      <c r="AE19428" s="7"/>
      <c r="AF19428" s="7"/>
      <c r="AG19428" s="10"/>
    </row>
    <row r="19429" spans="1:33">
      <c r="A19429" s="7"/>
      <c r="B19429" s="7"/>
      <c r="C19429" s="7"/>
      <c r="D19429" s="7"/>
      <c r="E19429" s="7"/>
      <c r="F19429" s="7"/>
      <c r="G19429" s="7"/>
      <c r="H19429" s="7"/>
      <c r="I19429" s="7"/>
      <c r="J19429" s="7"/>
      <c r="K19429" s="7"/>
      <c r="L19429" s="7"/>
      <c r="M19429" s="7"/>
      <c r="N19429" s="7"/>
      <c r="O19429" s="7"/>
      <c r="P19429" s="7"/>
      <c r="Q19429" s="7"/>
      <c r="R19429" s="7"/>
      <c r="S19429" s="7"/>
      <c r="T19429" s="7"/>
      <c r="U19429" s="7"/>
      <c r="V19429" s="7"/>
      <c r="W19429" s="7"/>
      <c r="X19429" s="7"/>
      <c r="Y19429" s="7"/>
      <c r="Z19429" s="7"/>
      <c r="AA19429" s="7"/>
      <c r="AB19429" s="7"/>
      <c r="AC19429" s="7"/>
      <c r="AD19429" s="7"/>
      <c r="AE19429" s="7"/>
      <c r="AF19429" s="7"/>
      <c r="AG19429" s="10"/>
    </row>
    <row r="19430" spans="1:33">
      <c r="A19430" s="7"/>
      <c r="B19430" s="7"/>
      <c r="C19430" s="7"/>
      <c r="D19430" s="7"/>
      <c r="E19430" s="7"/>
      <c r="F19430" s="7"/>
      <c r="G19430" s="7"/>
      <c r="H19430" s="7"/>
      <c r="I19430" s="7"/>
      <c r="J19430" s="7"/>
      <c r="K19430" s="7"/>
      <c r="L19430" s="7"/>
      <c r="M19430" s="7"/>
      <c r="N19430" s="7"/>
      <c r="O19430" s="7"/>
      <c r="P19430" s="7"/>
      <c r="Q19430" s="7"/>
      <c r="R19430" s="7"/>
      <c r="S19430" s="7"/>
      <c r="T19430" s="7"/>
      <c r="U19430" s="7"/>
      <c r="V19430" s="7"/>
      <c r="W19430" s="7"/>
      <c r="X19430" s="7"/>
      <c r="Y19430" s="7"/>
      <c r="Z19430" s="7"/>
      <c r="AA19430" s="7"/>
      <c r="AB19430" s="7"/>
      <c r="AC19430" s="7"/>
      <c r="AD19430" s="7"/>
      <c r="AE19430" s="7"/>
      <c r="AF19430" s="7"/>
      <c r="AG19430" s="10"/>
    </row>
    <row r="19431" spans="1:33">
      <c r="A19431" s="7"/>
      <c r="B19431" s="7"/>
      <c r="C19431" s="7"/>
      <c r="D19431" s="7"/>
      <c r="E19431" s="7"/>
      <c r="F19431" s="7"/>
      <c r="G19431" s="7"/>
      <c r="H19431" s="7"/>
      <c r="I19431" s="7"/>
      <c r="J19431" s="7"/>
      <c r="K19431" s="7"/>
      <c r="L19431" s="7"/>
      <c r="M19431" s="7"/>
      <c r="N19431" s="7"/>
      <c r="O19431" s="7"/>
      <c r="P19431" s="7"/>
      <c r="Q19431" s="7"/>
      <c r="R19431" s="7"/>
      <c r="S19431" s="7"/>
      <c r="T19431" s="7"/>
      <c r="U19431" s="7"/>
      <c r="V19431" s="7"/>
      <c r="W19431" s="7"/>
      <c r="X19431" s="7"/>
      <c r="Y19431" s="7"/>
      <c r="Z19431" s="7"/>
      <c r="AA19431" s="7"/>
      <c r="AB19431" s="7"/>
      <c r="AC19431" s="7"/>
      <c r="AD19431" s="7"/>
      <c r="AE19431" s="7"/>
      <c r="AF19431" s="7"/>
      <c r="AG19431" s="10"/>
    </row>
    <row r="19432" spans="1:33">
      <c r="A19432" s="7"/>
      <c r="B19432" s="7"/>
      <c r="C19432" s="7"/>
      <c r="D19432" s="7"/>
      <c r="E19432" s="7"/>
      <c r="F19432" s="7"/>
      <c r="G19432" s="7"/>
      <c r="H19432" s="7"/>
      <c r="I19432" s="7"/>
      <c r="J19432" s="7"/>
      <c r="K19432" s="7"/>
      <c r="L19432" s="7"/>
      <c r="M19432" s="7"/>
      <c r="N19432" s="7"/>
      <c r="O19432" s="7"/>
      <c r="P19432" s="7"/>
      <c r="Q19432" s="7"/>
      <c r="R19432" s="7"/>
      <c r="S19432" s="7"/>
      <c r="T19432" s="7"/>
      <c r="U19432" s="7"/>
      <c r="V19432" s="7"/>
      <c r="W19432" s="7"/>
      <c r="X19432" s="7"/>
      <c r="Y19432" s="7"/>
      <c r="Z19432" s="7"/>
      <c r="AA19432" s="7"/>
      <c r="AB19432" s="7"/>
      <c r="AC19432" s="7"/>
      <c r="AD19432" s="7"/>
      <c r="AE19432" s="7"/>
      <c r="AF19432" s="7"/>
      <c r="AG19432" s="10"/>
    </row>
    <row r="19433" spans="1:33">
      <c r="A19433" s="7"/>
      <c r="B19433" s="7"/>
      <c r="C19433" s="7"/>
      <c r="D19433" s="7"/>
      <c r="E19433" s="7"/>
      <c r="F19433" s="7"/>
      <c r="G19433" s="7"/>
      <c r="H19433" s="7"/>
      <c r="I19433" s="7"/>
      <c r="J19433" s="7"/>
      <c r="K19433" s="7"/>
      <c r="L19433" s="7"/>
      <c r="M19433" s="7"/>
      <c r="N19433" s="7"/>
      <c r="O19433" s="7"/>
      <c r="P19433" s="7"/>
      <c r="Q19433" s="7"/>
      <c r="R19433" s="7"/>
      <c r="S19433" s="7"/>
      <c r="T19433" s="7"/>
      <c r="U19433" s="7"/>
      <c r="V19433" s="7"/>
      <c r="W19433" s="7"/>
      <c r="X19433" s="7"/>
      <c r="Y19433" s="7"/>
      <c r="Z19433" s="7"/>
      <c r="AA19433" s="7"/>
      <c r="AB19433" s="7"/>
      <c r="AC19433" s="7"/>
      <c r="AD19433" s="7"/>
      <c r="AE19433" s="7"/>
      <c r="AF19433" s="7"/>
      <c r="AG19433" s="10"/>
    </row>
    <row r="19434" spans="1:33">
      <c r="A19434" s="7"/>
      <c r="B19434" s="7"/>
      <c r="C19434" s="7"/>
      <c r="D19434" s="7"/>
      <c r="E19434" s="7"/>
      <c r="F19434" s="7"/>
      <c r="G19434" s="7"/>
      <c r="H19434" s="7"/>
      <c r="I19434" s="7"/>
      <c r="J19434" s="7"/>
      <c r="K19434" s="7"/>
      <c r="L19434" s="7"/>
      <c r="M19434" s="7"/>
      <c r="N19434" s="7"/>
      <c r="O19434" s="7"/>
      <c r="P19434" s="7"/>
      <c r="Q19434" s="7"/>
      <c r="R19434" s="7"/>
      <c r="S19434" s="7"/>
      <c r="T19434" s="7"/>
      <c r="U19434" s="7"/>
      <c r="V19434" s="7"/>
      <c r="W19434" s="7"/>
      <c r="X19434" s="7"/>
      <c r="Y19434" s="7"/>
      <c r="Z19434" s="7"/>
      <c r="AA19434" s="7"/>
      <c r="AB19434" s="7"/>
      <c r="AC19434" s="7"/>
      <c r="AD19434" s="7"/>
      <c r="AE19434" s="7"/>
      <c r="AF19434" s="7"/>
      <c r="AG19434" s="10"/>
    </row>
    <row r="19435" spans="1:33">
      <c r="A19435" s="7"/>
      <c r="B19435" s="7"/>
      <c r="C19435" s="7"/>
      <c r="D19435" s="7"/>
      <c r="E19435" s="7"/>
      <c r="F19435" s="7"/>
      <c r="G19435" s="7"/>
      <c r="H19435" s="7"/>
      <c r="I19435" s="7"/>
      <c r="J19435" s="7"/>
      <c r="K19435" s="7"/>
      <c r="L19435" s="7"/>
      <c r="M19435" s="7"/>
      <c r="N19435" s="7"/>
      <c r="O19435" s="7"/>
      <c r="P19435" s="7"/>
      <c r="Q19435" s="7"/>
      <c r="R19435" s="7"/>
      <c r="S19435" s="7"/>
      <c r="T19435" s="7"/>
      <c r="U19435" s="7"/>
      <c r="V19435" s="7"/>
      <c r="W19435" s="7"/>
      <c r="X19435" s="7"/>
      <c r="Y19435" s="7"/>
      <c r="Z19435" s="7"/>
      <c r="AA19435" s="7"/>
      <c r="AB19435" s="7"/>
      <c r="AC19435" s="7"/>
      <c r="AD19435" s="7"/>
      <c r="AE19435" s="7"/>
      <c r="AF19435" s="7"/>
      <c r="AG19435" s="10"/>
    </row>
    <row r="19436" spans="1:33">
      <c r="A19436" s="7"/>
      <c r="B19436" s="7"/>
      <c r="C19436" s="7"/>
      <c r="D19436" s="7"/>
      <c r="E19436" s="7"/>
      <c r="F19436" s="7"/>
      <c r="G19436" s="7"/>
      <c r="H19436" s="7"/>
      <c r="I19436" s="7"/>
      <c r="J19436" s="7"/>
      <c r="K19436" s="7"/>
      <c r="L19436" s="7"/>
      <c r="M19436" s="7"/>
      <c r="N19436" s="7"/>
      <c r="O19436" s="7"/>
      <c r="P19436" s="7"/>
      <c r="Q19436" s="7"/>
      <c r="R19436" s="7"/>
      <c r="S19436" s="7"/>
      <c r="T19436" s="7"/>
      <c r="U19436" s="7"/>
      <c r="V19436" s="7"/>
      <c r="W19436" s="7"/>
      <c r="X19436" s="7"/>
      <c r="Y19436" s="7"/>
      <c r="Z19436" s="7"/>
      <c r="AA19436" s="7"/>
      <c r="AB19436" s="7"/>
      <c r="AC19436" s="7"/>
      <c r="AD19436" s="7"/>
      <c r="AE19436" s="7"/>
      <c r="AF19436" s="7"/>
      <c r="AG19436" s="10"/>
    </row>
    <row r="19437" spans="1:33">
      <c r="A19437" s="7"/>
      <c r="B19437" s="7"/>
      <c r="C19437" s="7"/>
      <c r="D19437" s="7"/>
      <c r="E19437" s="7"/>
      <c r="F19437" s="7"/>
      <c r="G19437" s="7"/>
      <c r="H19437" s="7"/>
      <c r="I19437" s="7"/>
      <c r="J19437" s="7"/>
      <c r="K19437" s="7"/>
      <c r="L19437" s="7"/>
      <c r="M19437" s="7"/>
      <c r="N19437" s="7"/>
      <c r="O19437" s="7"/>
      <c r="P19437" s="7"/>
      <c r="Q19437" s="7"/>
      <c r="R19437" s="7"/>
      <c r="S19437" s="7"/>
      <c r="T19437" s="7"/>
      <c r="U19437" s="7"/>
      <c r="V19437" s="7"/>
      <c r="W19437" s="7"/>
      <c r="X19437" s="7"/>
      <c r="Y19437" s="7"/>
      <c r="Z19437" s="7"/>
      <c r="AA19437" s="7"/>
      <c r="AB19437" s="7"/>
      <c r="AC19437" s="7"/>
      <c r="AD19437" s="7"/>
      <c r="AE19437" s="7"/>
      <c r="AF19437" s="7"/>
      <c r="AG19437" s="10"/>
    </row>
    <row r="19438" spans="1:33">
      <c r="A19438" s="7"/>
      <c r="B19438" s="7"/>
      <c r="C19438" s="7"/>
      <c r="D19438" s="7"/>
      <c r="E19438" s="7"/>
      <c r="F19438" s="7"/>
      <c r="G19438" s="7"/>
      <c r="H19438" s="7"/>
      <c r="I19438" s="7"/>
      <c r="J19438" s="7"/>
      <c r="K19438" s="7"/>
      <c r="L19438" s="7"/>
      <c r="M19438" s="7"/>
      <c r="N19438" s="7"/>
      <c r="O19438" s="7"/>
      <c r="P19438" s="7"/>
      <c r="Q19438" s="7"/>
      <c r="R19438" s="7"/>
      <c r="S19438" s="7"/>
      <c r="T19438" s="7"/>
      <c r="U19438" s="7"/>
      <c r="V19438" s="7"/>
      <c r="W19438" s="7"/>
      <c r="X19438" s="7"/>
      <c r="Y19438" s="7"/>
      <c r="Z19438" s="7"/>
      <c r="AA19438" s="7"/>
      <c r="AB19438" s="7"/>
      <c r="AC19438" s="7"/>
      <c r="AD19438" s="7"/>
      <c r="AE19438" s="7"/>
      <c r="AF19438" s="7"/>
      <c r="AG19438" s="10"/>
    </row>
    <row r="19439" spans="1:33">
      <c r="A19439" s="7"/>
      <c r="B19439" s="7"/>
      <c r="C19439" s="7"/>
      <c r="D19439" s="7"/>
      <c r="E19439" s="7"/>
      <c r="F19439" s="7"/>
      <c r="G19439" s="7"/>
      <c r="H19439" s="7"/>
      <c r="I19439" s="7"/>
      <c r="J19439" s="7"/>
      <c r="K19439" s="7"/>
      <c r="L19439" s="7"/>
      <c r="M19439" s="7"/>
      <c r="N19439" s="7"/>
      <c r="O19439" s="7"/>
      <c r="P19439" s="7"/>
      <c r="Q19439" s="7"/>
      <c r="R19439" s="7"/>
      <c r="S19439" s="7"/>
      <c r="T19439" s="7"/>
      <c r="U19439" s="7"/>
      <c r="V19439" s="7"/>
      <c r="W19439" s="7"/>
      <c r="X19439" s="7"/>
      <c r="Y19439" s="7"/>
      <c r="Z19439" s="7"/>
      <c r="AA19439" s="7"/>
      <c r="AB19439" s="7"/>
      <c r="AC19439" s="7"/>
      <c r="AD19439" s="7"/>
      <c r="AE19439" s="7"/>
      <c r="AF19439" s="7"/>
      <c r="AG19439" s="10"/>
    </row>
    <row r="19440" spans="1:33">
      <c r="A19440" s="7"/>
      <c r="B19440" s="7"/>
      <c r="C19440" s="7"/>
      <c r="D19440" s="7"/>
      <c r="E19440" s="7"/>
      <c r="F19440" s="7"/>
      <c r="G19440" s="7"/>
      <c r="H19440" s="7"/>
      <c r="I19440" s="7"/>
      <c r="J19440" s="7"/>
      <c r="K19440" s="7"/>
      <c r="L19440" s="7"/>
      <c r="M19440" s="7"/>
      <c r="N19440" s="7"/>
      <c r="O19440" s="7"/>
      <c r="P19440" s="7"/>
      <c r="Q19440" s="7"/>
      <c r="R19440" s="7"/>
      <c r="S19440" s="7"/>
      <c r="T19440" s="7"/>
      <c r="U19440" s="7"/>
      <c r="V19440" s="7"/>
      <c r="W19440" s="7"/>
      <c r="X19440" s="7"/>
      <c r="Y19440" s="7"/>
      <c r="Z19440" s="7"/>
      <c r="AA19440" s="7"/>
      <c r="AB19440" s="7"/>
      <c r="AC19440" s="7"/>
      <c r="AD19440" s="7"/>
      <c r="AE19440" s="7"/>
      <c r="AF19440" s="7"/>
      <c r="AG19440" s="10"/>
    </row>
    <row r="19441" spans="1:33">
      <c r="A19441" s="7"/>
      <c r="B19441" s="7"/>
      <c r="C19441" s="7"/>
      <c r="D19441" s="7"/>
      <c r="E19441" s="7"/>
      <c r="F19441" s="7"/>
      <c r="G19441" s="7"/>
      <c r="H19441" s="7"/>
      <c r="I19441" s="7"/>
      <c r="J19441" s="7"/>
      <c r="K19441" s="7"/>
      <c r="L19441" s="7"/>
      <c r="M19441" s="7"/>
      <c r="N19441" s="7"/>
      <c r="O19441" s="7"/>
      <c r="P19441" s="7"/>
      <c r="Q19441" s="7"/>
      <c r="R19441" s="7"/>
      <c r="S19441" s="7"/>
      <c r="T19441" s="7"/>
      <c r="U19441" s="7"/>
      <c r="V19441" s="7"/>
      <c r="W19441" s="7"/>
      <c r="X19441" s="7"/>
      <c r="Y19441" s="7"/>
      <c r="Z19441" s="7"/>
      <c r="AA19441" s="7"/>
      <c r="AB19441" s="7"/>
      <c r="AC19441" s="7"/>
      <c r="AD19441" s="7"/>
      <c r="AE19441" s="7"/>
      <c r="AF19441" s="7"/>
      <c r="AG19441" s="10"/>
    </row>
    <row r="19442" spans="1:33">
      <c r="A19442" s="7"/>
      <c r="B19442" s="7"/>
      <c r="C19442" s="7"/>
      <c r="D19442" s="7"/>
      <c r="E19442" s="7"/>
      <c r="F19442" s="7"/>
      <c r="G19442" s="7"/>
      <c r="H19442" s="7"/>
      <c r="I19442" s="7"/>
      <c r="J19442" s="7"/>
      <c r="K19442" s="7"/>
      <c r="L19442" s="7"/>
      <c r="M19442" s="7"/>
      <c r="N19442" s="7"/>
      <c r="O19442" s="7"/>
      <c r="P19442" s="7"/>
      <c r="Q19442" s="7"/>
      <c r="R19442" s="7"/>
      <c r="S19442" s="7"/>
      <c r="T19442" s="7"/>
      <c r="U19442" s="7"/>
      <c r="V19442" s="7"/>
      <c r="W19442" s="7"/>
      <c r="X19442" s="7"/>
      <c r="Y19442" s="7"/>
      <c r="Z19442" s="7"/>
      <c r="AA19442" s="7"/>
      <c r="AB19442" s="7"/>
      <c r="AC19442" s="7"/>
      <c r="AD19442" s="7"/>
      <c r="AE19442" s="7"/>
      <c r="AF19442" s="7"/>
      <c r="AG19442" s="10"/>
    </row>
    <row r="19443" spans="1:33">
      <c r="A19443" s="7"/>
      <c r="B19443" s="7"/>
      <c r="C19443" s="7"/>
      <c r="D19443" s="7"/>
      <c r="E19443" s="7"/>
      <c r="F19443" s="7"/>
      <c r="G19443" s="7"/>
      <c r="H19443" s="7"/>
      <c r="I19443" s="7"/>
      <c r="J19443" s="7"/>
      <c r="K19443" s="7"/>
      <c r="L19443" s="7"/>
      <c r="M19443" s="7"/>
      <c r="N19443" s="7"/>
      <c r="O19443" s="7"/>
      <c r="P19443" s="7"/>
      <c r="Q19443" s="7"/>
      <c r="R19443" s="7"/>
      <c r="S19443" s="7"/>
      <c r="T19443" s="7"/>
      <c r="U19443" s="7"/>
      <c r="V19443" s="7"/>
      <c r="W19443" s="7"/>
      <c r="X19443" s="7"/>
      <c r="Y19443" s="7"/>
      <c r="Z19443" s="7"/>
      <c r="AA19443" s="7"/>
      <c r="AB19443" s="7"/>
      <c r="AC19443" s="7"/>
      <c r="AD19443" s="7"/>
      <c r="AE19443" s="7"/>
      <c r="AF19443" s="7"/>
      <c r="AG19443" s="10"/>
    </row>
    <row r="19444" spans="1:33">
      <c r="A19444" s="7"/>
      <c r="B19444" s="7"/>
      <c r="C19444" s="7"/>
      <c r="D19444" s="7"/>
      <c r="E19444" s="7"/>
      <c r="F19444" s="7"/>
      <c r="G19444" s="7"/>
      <c r="H19444" s="7"/>
      <c r="I19444" s="7"/>
      <c r="J19444" s="7"/>
      <c r="K19444" s="7"/>
      <c r="L19444" s="7"/>
      <c r="M19444" s="7"/>
      <c r="N19444" s="7"/>
      <c r="O19444" s="7"/>
      <c r="P19444" s="7"/>
      <c r="Q19444" s="7"/>
      <c r="R19444" s="7"/>
      <c r="S19444" s="7"/>
      <c r="T19444" s="7"/>
      <c r="U19444" s="7"/>
      <c r="V19444" s="7"/>
      <c r="W19444" s="7"/>
      <c r="X19444" s="7"/>
      <c r="Y19444" s="7"/>
      <c r="Z19444" s="7"/>
      <c r="AA19444" s="7"/>
      <c r="AB19444" s="7"/>
      <c r="AC19444" s="7"/>
      <c r="AD19444" s="7"/>
      <c r="AE19444" s="7"/>
      <c r="AF19444" s="7"/>
      <c r="AG19444" s="10"/>
    </row>
    <row r="19445" spans="1:33">
      <c r="A19445" s="7"/>
      <c r="B19445" s="7"/>
      <c r="C19445" s="7"/>
      <c r="D19445" s="7"/>
      <c r="E19445" s="7"/>
      <c r="F19445" s="7"/>
      <c r="G19445" s="7"/>
      <c r="H19445" s="7"/>
      <c r="I19445" s="7"/>
      <c r="J19445" s="7"/>
      <c r="K19445" s="7"/>
      <c r="L19445" s="7"/>
      <c r="M19445" s="7"/>
      <c r="N19445" s="7"/>
      <c r="O19445" s="7"/>
      <c r="P19445" s="7"/>
      <c r="Q19445" s="7"/>
      <c r="R19445" s="7"/>
      <c r="S19445" s="7"/>
      <c r="T19445" s="7"/>
      <c r="U19445" s="7"/>
      <c r="V19445" s="7"/>
      <c r="W19445" s="7"/>
      <c r="X19445" s="7"/>
      <c r="Y19445" s="7"/>
      <c r="Z19445" s="7"/>
      <c r="AA19445" s="7"/>
      <c r="AB19445" s="7"/>
      <c r="AC19445" s="7"/>
      <c r="AD19445" s="7"/>
      <c r="AE19445" s="7"/>
      <c r="AF19445" s="7"/>
      <c r="AG19445" s="10"/>
    </row>
    <row r="19446" spans="1:33">
      <c r="A19446" s="7"/>
      <c r="B19446" s="7"/>
      <c r="C19446" s="7"/>
      <c r="D19446" s="7"/>
      <c r="E19446" s="7"/>
      <c r="F19446" s="7"/>
      <c r="G19446" s="7"/>
      <c r="H19446" s="7"/>
      <c r="I19446" s="7"/>
      <c r="J19446" s="7"/>
      <c r="K19446" s="7"/>
      <c r="L19446" s="7"/>
      <c r="M19446" s="7"/>
      <c r="N19446" s="7"/>
      <c r="O19446" s="7"/>
      <c r="P19446" s="7"/>
      <c r="Q19446" s="7"/>
      <c r="R19446" s="7"/>
      <c r="S19446" s="7"/>
      <c r="T19446" s="7"/>
      <c r="U19446" s="7"/>
      <c r="V19446" s="7"/>
      <c r="W19446" s="7"/>
      <c r="X19446" s="7"/>
      <c r="Y19446" s="7"/>
      <c r="Z19446" s="7"/>
      <c r="AA19446" s="7"/>
      <c r="AB19446" s="7"/>
      <c r="AC19446" s="7"/>
      <c r="AD19446" s="7"/>
      <c r="AE19446" s="7"/>
      <c r="AF19446" s="7"/>
      <c r="AG19446" s="10"/>
    </row>
    <row r="19447" spans="1:33">
      <c r="A19447" s="7"/>
      <c r="B19447" s="7"/>
      <c r="C19447" s="7"/>
      <c r="D19447" s="7"/>
      <c r="E19447" s="7"/>
      <c r="F19447" s="7"/>
      <c r="G19447" s="7"/>
      <c r="H19447" s="7"/>
      <c r="I19447" s="7"/>
      <c r="J19447" s="7"/>
      <c r="K19447" s="7"/>
      <c r="L19447" s="7"/>
      <c r="M19447" s="7"/>
      <c r="N19447" s="7"/>
      <c r="O19447" s="7"/>
      <c r="P19447" s="7"/>
      <c r="Q19447" s="7"/>
      <c r="R19447" s="7"/>
      <c r="S19447" s="7"/>
      <c r="T19447" s="7"/>
      <c r="U19447" s="7"/>
      <c r="V19447" s="7"/>
      <c r="W19447" s="7"/>
      <c r="X19447" s="7"/>
      <c r="Y19447" s="7"/>
      <c r="Z19447" s="7"/>
      <c r="AA19447" s="7"/>
      <c r="AB19447" s="7"/>
      <c r="AC19447" s="7"/>
      <c r="AD19447" s="7"/>
      <c r="AE19447" s="7"/>
      <c r="AF19447" s="7"/>
      <c r="AG19447" s="10"/>
    </row>
    <row r="19448" spans="1:33">
      <c r="A19448" s="7"/>
      <c r="B19448" s="7"/>
      <c r="C19448" s="7"/>
      <c r="D19448" s="7"/>
      <c r="E19448" s="7"/>
      <c r="F19448" s="7"/>
      <c r="G19448" s="7"/>
      <c r="H19448" s="7"/>
      <c r="I19448" s="7"/>
      <c r="J19448" s="7"/>
      <c r="K19448" s="7"/>
      <c r="L19448" s="7"/>
      <c r="M19448" s="7"/>
      <c r="N19448" s="7"/>
      <c r="O19448" s="7"/>
      <c r="P19448" s="7"/>
      <c r="Q19448" s="7"/>
      <c r="R19448" s="7"/>
      <c r="S19448" s="7"/>
      <c r="T19448" s="7"/>
      <c r="U19448" s="7"/>
      <c r="V19448" s="7"/>
      <c r="W19448" s="7"/>
      <c r="X19448" s="7"/>
      <c r="Y19448" s="7"/>
      <c r="Z19448" s="7"/>
      <c r="AA19448" s="7"/>
      <c r="AB19448" s="7"/>
      <c r="AC19448" s="7"/>
      <c r="AD19448" s="7"/>
      <c r="AE19448" s="7"/>
      <c r="AF19448" s="7"/>
      <c r="AG19448" s="10"/>
    </row>
    <row r="19449" spans="1:33">
      <c r="A19449" s="7"/>
      <c r="B19449" s="7"/>
      <c r="C19449" s="7"/>
      <c r="D19449" s="7"/>
      <c r="E19449" s="7"/>
      <c r="F19449" s="7"/>
      <c r="G19449" s="7"/>
      <c r="H19449" s="7"/>
      <c r="I19449" s="7"/>
      <c r="J19449" s="7"/>
      <c r="K19449" s="7"/>
      <c r="L19449" s="7"/>
      <c r="M19449" s="7"/>
      <c r="N19449" s="7"/>
      <c r="O19449" s="7"/>
      <c r="P19449" s="7"/>
      <c r="Q19449" s="7"/>
      <c r="R19449" s="7"/>
      <c r="S19449" s="7"/>
      <c r="T19449" s="7"/>
      <c r="U19449" s="7"/>
      <c r="V19449" s="7"/>
      <c r="W19449" s="7"/>
      <c r="X19449" s="7"/>
      <c r="Y19449" s="7"/>
      <c r="Z19449" s="7"/>
      <c r="AA19449" s="7"/>
      <c r="AB19449" s="7"/>
      <c r="AC19449" s="7"/>
      <c r="AD19449" s="7"/>
      <c r="AE19449" s="7"/>
      <c r="AF19449" s="7"/>
      <c r="AG19449" s="10"/>
    </row>
    <row r="19450" spans="1:33">
      <c r="A19450" s="7"/>
      <c r="B19450" s="7"/>
      <c r="C19450" s="7"/>
      <c r="D19450" s="7"/>
      <c r="E19450" s="7"/>
      <c r="F19450" s="7"/>
      <c r="G19450" s="7"/>
      <c r="H19450" s="7"/>
      <c r="I19450" s="7"/>
      <c r="J19450" s="7"/>
      <c r="K19450" s="7"/>
      <c r="L19450" s="7"/>
      <c r="M19450" s="7"/>
      <c r="N19450" s="7"/>
      <c r="O19450" s="7"/>
      <c r="P19450" s="7"/>
      <c r="Q19450" s="7"/>
      <c r="R19450" s="7"/>
      <c r="S19450" s="7"/>
      <c r="T19450" s="7"/>
      <c r="U19450" s="7"/>
      <c r="V19450" s="7"/>
      <c r="W19450" s="7"/>
      <c r="X19450" s="7"/>
      <c r="Y19450" s="7"/>
      <c r="Z19450" s="7"/>
      <c r="AA19450" s="7"/>
      <c r="AB19450" s="7"/>
      <c r="AC19450" s="7"/>
      <c r="AD19450" s="7"/>
      <c r="AE19450" s="7"/>
      <c r="AF19450" s="7"/>
      <c r="AG19450" s="10"/>
    </row>
    <row r="19451" spans="1:33">
      <c r="A19451" s="7"/>
      <c r="B19451" s="7"/>
      <c r="C19451" s="7"/>
      <c r="D19451" s="7"/>
      <c r="E19451" s="7"/>
      <c r="F19451" s="7"/>
      <c r="G19451" s="7"/>
      <c r="H19451" s="7"/>
      <c r="I19451" s="7"/>
      <c r="J19451" s="7"/>
      <c r="K19451" s="7"/>
      <c r="L19451" s="7"/>
      <c r="M19451" s="7"/>
      <c r="N19451" s="7"/>
      <c r="O19451" s="7"/>
      <c r="P19451" s="7"/>
      <c r="Q19451" s="7"/>
      <c r="R19451" s="7"/>
      <c r="S19451" s="7"/>
      <c r="T19451" s="7"/>
      <c r="U19451" s="7"/>
      <c r="V19451" s="7"/>
      <c r="W19451" s="7"/>
      <c r="X19451" s="7"/>
      <c r="Y19451" s="7"/>
      <c r="Z19451" s="7"/>
      <c r="AA19451" s="7"/>
      <c r="AB19451" s="7"/>
      <c r="AC19451" s="7"/>
      <c r="AD19451" s="7"/>
      <c r="AE19451" s="7"/>
      <c r="AF19451" s="7"/>
      <c r="AG19451" s="10"/>
    </row>
    <row r="19452" spans="1:33">
      <c r="A19452" s="7"/>
      <c r="B19452" s="7"/>
      <c r="C19452" s="7"/>
      <c r="D19452" s="7"/>
      <c r="E19452" s="7"/>
      <c r="F19452" s="7"/>
      <c r="G19452" s="7"/>
      <c r="H19452" s="7"/>
      <c r="I19452" s="7"/>
      <c r="J19452" s="7"/>
      <c r="K19452" s="7"/>
      <c r="L19452" s="7"/>
      <c r="M19452" s="7"/>
      <c r="N19452" s="7"/>
      <c r="O19452" s="7"/>
      <c r="P19452" s="7"/>
      <c r="Q19452" s="7"/>
      <c r="R19452" s="7"/>
      <c r="S19452" s="7"/>
      <c r="T19452" s="7"/>
      <c r="U19452" s="7"/>
      <c r="V19452" s="7"/>
      <c r="W19452" s="7"/>
      <c r="X19452" s="7"/>
      <c r="Y19452" s="7"/>
      <c r="Z19452" s="7"/>
      <c r="AA19452" s="7"/>
      <c r="AB19452" s="7"/>
      <c r="AC19452" s="7"/>
      <c r="AD19452" s="7"/>
      <c r="AE19452" s="7"/>
      <c r="AF19452" s="7"/>
      <c r="AG19452" s="10"/>
    </row>
    <row r="19453" spans="1:33">
      <c r="A19453" s="7"/>
      <c r="B19453" s="7"/>
      <c r="C19453" s="7"/>
      <c r="D19453" s="7"/>
      <c r="E19453" s="7"/>
      <c r="F19453" s="7"/>
      <c r="G19453" s="7"/>
      <c r="H19453" s="7"/>
      <c r="I19453" s="7"/>
      <c r="J19453" s="7"/>
      <c r="K19453" s="7"/>
      <c r="L19453" s="7"/>
      <c r="M19453" s="7"/>
      <c r="N19453" s="7"/>
      <c r="O19453" s="7"/>
      <c r="P19453" s="7"/>
      <c r="Q19453" s="7"/>
      <c r="R19453" s="7"/>
      <c r="S19453" s="7"/>
      <c r="T19453" s="7"/>
      <c r="U19453" s="7"/>
      <c r="V19453" s="7"/>
      <c r="W19453" s="7"/>
      <c r="X19453" s="7"/>
      <c r="Y19453" s="7"/>
      <c r="Z19453" s="7"/>
      <c r="AA19453" s="7"/>
      <c r="AB19453" s="7"/>
      <c r="AC19453" s="7"/>
      <c r="AD19453" s="7"/>
      <c r="AE19453" s="7"/>
      <c r="AF19453" s="7"/>
      <c r="AG19453" s="10"/>
    </row>
    <row r="19454" spans="1:33">
      <c r="A19454" s="7"/>
      <c r="B19454" s="7"/>
      <c r="C19454" s="7"/>
      <c r="D19454" s="7"/>
      <c r="E19454" s="7"/>
      <c r="F19454" s="7"/>
      <c r="G19454" s="7"/>
      <c r="H19454" s="7"/>
      <c r="I19454" s="7"/>
      <c r="J19454" s="7"/>
      <c r="K19454" s="7"/>
      <c r="L19454" s="7"/>
      <c r="M19454" s="7"/>
      <c r="N19454" s="7"/>
      <c r="O19454" s="7"/>
      <c r="P19454" s="7"/>
      <c r="Q19454" s="7"/>
      <c r="R19454" s="7"/>
      <c r="S19454" s="7"/>
      <c r="T19454" s="7"/>
      <c r="U19454" s="7"/>
      <c r="V19454" s="7"/>
      <c r="W19454" s="7"/>
      <c r="X19454" s="7"/>
      <c r="Y19454" s="7"/>
      <c r="Z19454" s="7"/>
      <c r="AA19454" s="7"/>
      <c r="AB19454" s="7"/>
      <c r="AC19454" s="7"/>
      <c r="AD19454" s="7"/>
      <c r="AE19454" s="7"/>
      <c r="AF19454" s="7"/>
      <c r="AG19454" s="10"/>
    </row>
    <row r="19455" spans="1:33">
      <c r="A19455" s="7"/>
      <c r="B19455" s="7"/>
      <c r="C19455" s="7"/>
      <c r="D19455" s="7"/>
      <c r="E19455" s="7"/>
      <c r="F19455" s="7"/>
      <c r="G19455" s="7"/>
      <c r="H19455" s="7"/>
      <c r="I19455" s="7"/>
      <c r="J19455" s="7"/>
      <c r="K19455" s="7"/>
      <c r="L19455" s="7"/>
      <c r="M19455" s="7"/>
      <c r="N19455" s="7"/>
      <c r="O19455" s="7"/>
      <c r="P19455" s="7"/>
      <c r="Q19455" s="7"/>
      <c r="R19455" s="7"/>
      <c r="S19455" s="7"/>
      <c r="T19455" s="7"/>
      <c r="U19455" s="7"/>
      <c r="V19455" s="7"/>
      <c r="W19455" s="7"/>
      <c r="X19455" s="7"/>
      <c r="Y19455" s="7"/>
      <c r="Z19455" s="7"/>
      <c r="AA19455" s="7"/>
      <c r="AB19455" s="7"/>
      <c r="AC19455" s="7"/>
      <c r="AD19455" s="7"/>
      <c r="AE19455" s="7"/>
      <c r="AF19455" s="7"/>
      <c r="AG19455" s="10"/>
    </row>
    <row r="19456" spans="1:33">
      <c r="A19456" s="7"/>
      <c r="B19456" s="7"/>
      <c r="C19456" s="7"/>
      <c r="D19456" s="7"/>
      <c r="E19456" s="7"/>
      <c r="F19456" s="7"/>
      <c r="G19456" s="7"/>
      <c r="H19456" s="7"/>
      <c r="I19456" s="7"/>
      <c r="J19456" s="7"/>
      <c r="K19456" s="7"/>
      <c r="L19456" s="7"/>
      <c r="M19456" s="7"/>
      <c r="N19456" s="7"/>
      <c r="O19456" s="7"/>
      <c r="P19456" s="7"/>
      <c r="Q19456" s="7"/>
      <c r="R19456" s="7"/>
      <c r="S19456" s="7"/>
      <c r="T19456" s="7"/>
      <c r="U19456" s="7"/>
      <c r="V19456" s="7"/>
      <c r="W19456" s="7"/>
      <c r="X19456" s="7"/>
      <c r="Y19456" s="7"/>
      <c r="Z19456" s="7"/>
      <c r="AA19456" s="7"/>
      <c r="AB19456" s="7"/>
      <c r="AC19456" s="7"/>
      <c r="AD19456" s="7"/>
      <c r="AE19456" s="7"/>
      <c r="AF19456" s="7"/>
      <c r="AG19456" s="10"/>
    </row>
    <row r="19457" spans="1:33">
      <c r="A19457" s="7"/>
      <c r="B19457" s="7"/>
      <c r="C19457" s="7"/>
      <c r="D19457" s="7"/>
      <c r="E19457" s="7"/>
      <c r="F19457" s="7"/>
      <c r="G19457" s="7"/>
      <c r="H19457" s="7"/>
      <c r="I19457" s="7"/>
      <c r="J19457" s="7"/>
      <c r="K19457" s="7"/>
      <c r="L19457" s="7"/>
      <c r="M19457" s="7"/>
      <c r="N19457" s="7"/>
      <c r="O19457" s="7"/>
      <c r="P19457" s="7"/>
      <c r="Q19457" s="7"/>
      <c r="R19457" s="7"/>
      <c r="S19457" s="7"/>
      <c r="T19457" s="7"/>
      <c r="U19457" s="7"/>
      <c r="V19457" s="7"/>
      <c r="W19457" s="7"/>
      <c r="X19457" s="7"/>
      <c r="Y19457" s="7"/>
      <c r="Z19457" s="7"/>
      <c r="AA19457" s="7"/>
      <c r="AB19457" s="7"/>
      <c r="AC19457" s="7"/>
      <c r="AD19457" s="7"/>
      <c r="AE19457" s="7"/>
      <c r="AF19457" s="7"/>
      <c r="AG19457" s="10"/>
    </row>
    <row r="19458" spans="1:33">
      <c r="A19458" s="7"/>
      <c r="B19458" s="7"/>
      <c r="C19458" s="7"/>
      <c r="D19458" s="7"/>
      <c r="E19458" s="7"/>
      <c r="F19458" s="7"/>
      <c r="G19458" s="7"/>
      <c r="H19458" s="7"/>
      <c r="I19458" s="7"/>
      <c r="J19458" s="7"/>
      <c r="K19458" s="7"/>
      <c r="L19458" s="7"/>
      <c r="M19458" s="7"/>
      <c r="N19458" s="7"/>
      <c r="O19458" s="7"/>
      <c r="P19458" s="7"/>
      <c r="Q19458" s="7"/>
      <c r="R19458" s="7"/>
      <c r="S19458" s="7"/>
      <c r="T19458" s="7"/>
      <c r="U19458" s="7"/>
      <c r="V19458" s="7"/>
      <c r="W19458" s="7"/>
      <c r="X19458" s="7"/>
      <c r="Y19458" s="7"/>
      <c r="Z19458" s="7"/>
      <c r="AA19458" s="7"/>
      <c r="AB19458" s="7"/>
      <c r="AC19458" s="7"/>
      <c r="AD19458" s="7"/>
      <c r="AE19458" s="7"/>
      <c r="AF19458" s="7"/>
      <c r="AG19458" s="10"/>
    </row>
    <row r="19459" spans="1:33">
      <c r="A19459" s="7"/>
      <c r="B19459" s="7"/>
      <c r="C19459" s="7"/>
      <c r="D19459" s="7"/>
      <c r="E19459" s="7"/>
      <c r="F19459" s="7"/>
      <c r="G19459" s="7"/>
      <c r="H19459" s="7"/>
      <c r="I19459" s="7"/>
      <c r="J19459" s="7"/>
      <c r="K19459" s="7"/>
      <c r="L19459" s="7"/>
      <c r="M19459" s="7"/>
      <c r="N19459" s="7"/>
      <c r="O19459" s="7"/>
      <c r="P19459" s="7"/>
      <c r="Q19459" s="7"/>
      <c r="R19459" s="7"/>
      <c r="S19459" s="7"/>
      <c r="T19459" s="7"/>
      <c r="U19459" s="7"/>
      <c r="V19459" s="7"/>
      <c r="W19459" s="7"/>
      <c r="X19459" s="7"/>
      <c r="Y19459" s="7"/>
      <c r="Z19459" s="7"/>
      <c r="AA19459" s="7"/>
      <c r="AB19459" s="7"/>
      <c r="AC19459" s="7"/>
      <c r="AD19459" s="7"/>
      <c r="AE19459" s="7"/>
      <c r="AF19459" s="7"/>
      <c r="AG19459" s="10"/>
    </row>
  </sheetData>
  <autoFilter ref="A1:AG1101">
    <extLst/>
  </autoFilter>
  <sortState ref="A2:AG1101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1171575</xdr:colOff>
                <xdr:row>0</xdr:row>
                <xdr:rowOff>0</xdr:rowOff>
              </from>
              <to>
                <xdr:col>34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D32" sqref="D32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5760</v>
      </c>
      <c r="C1" t="s">
        <v>5761</v>
      </c>
    </row>
    <row r="2" spans="1:3">
      <c r="A2" t="s">
        <v>5762</v>
      </c>
      <c r="B2">
        <f>SUM(B3:B5000)</f>
        <v>3</v>
      </c>
      <c r="C2">
        <f>SUM(C3:C5000)</f>
        <v>0.107142857142857</v>
      </c>
    </row>
    <row r="3" spans="1:3">
      <c r="A3" t="s">
        <v>148</v>
      </c>
      <c r="B3">
        <f>SUMIFS(allorders!O:O,allorders!L:L,'数据处理(仓储使用)'!$A3,allorders!$AG:$AG,"&lt;="&amp;日期!$B$2,allorders!$AG:$AG,"&gt;="&amp;日期!$B$1)</f>
        <v>3</v>
      </c>
      <c r="C3">
        <f>B3/(日期!$B$2-日期!$B$1+1)</f>
        <v>0.107142857142857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7459"/>
  <sheetViews>
    <sheetView workbookViewId="0">
      <selection activeCell="B3" sqref="B3:I387"/>
    </sheetView>
  </sheetViews>
  <sheetFormatPr defaultColWidth="9" defaultRowHeight="14.25"/>
  <cols>
    <col min="1" max="1" width="22.5" customWidth="1"/>
    <col min="2" max="2" width="17.4916666666667" customWidth="1"/>
    <col min="7" max="7" width="15" customWidth="1"/>
    <col min="8" max="8" width="11.25" customWidth="1"/>
  </cols>
  <sheetData>
    <row r="1" spans="1:9">
      <c r="A1" t="s">
        <v>11</v>
      </c>
      <c r="B1" t="s">
        <v>5763</v>
      </c>
      <c r="C1" t="s">
        <v>5764</v>
      </c>
      <c r="D1" t="s">
        <v>5765</v>
      </c>
      <c r="E1" t="s">
        <v>5766</v>
      </c>
      <c r="F1" t="s">
        <v>5767</v>
      </c>
      <c r="G1" t="s">
        <v>5768</v>
      </c>
      <c r="H1" t="s">
        <v>5769</v>
      </c>
      <c r="I1" t="s">
        <v>5770</v>
      </c>
    </row>
    <row r="2" s="6" customFormat="1" spans="1:6">
      <c r="A2" s="6" t="s">
        <v>5762</v>
      </c>
      <c r="C2" s="6">
        <f>SUM(C3:C59759)</f>
        <v>170</v>
      </c>
      <c r="D2" s="6">
        <f>SUM(D3:D59759)</f>
        <v>190</v>
      </c>
      <c r="E2" s="6">
        <f>SUM(E3:E59759)</f>
        <v>252</v>
      </c>
      <c r="F2" s="6">
        <f>SUM(F3:F59759)</f>
        <v>221</v>
      </c>
    </row>
    <row r="3" spans="1:9">
      <c r="A3" s="7" t="s">
        <v>38</v>
      </c>
      <c r="B3" t="str">
        <f>VLOOKUP(A3,'[1]子sku-父sku'!$A$1:$B$65536,2,0)</f>
        <v>YZ-ZQFT1816</v>
      </c>
      <c r="C3">
        <f>SUMIFS(allorders!O:O,allorders!L:L,$A3,allorders!AG:AG,"&lt;="&amp;日期!$B$5,allorders!AG:AG,"&gt;="&amp;日期!$B$6,allorders!Q:Q,"&lt;&gt;"&amp;"",allorders!N:N,"Shipped")</f>
        <v>0</v>
      </c>
      <c r="D3">
        <f>SUMIFS(allorders!$O:$O,allorders!$L:$L,$A3,allorders!$AG:$AG,"&lt;="&amp;日期!$B$7,allorders!$AG:$AG,"&gt;="&amp;日期!$B$8,allorders!Q:Q,"&lt;&gt;"&amp;"",allorders!N:N,"Shipped")</f>
        <v>0</v>
      </c>
      <c r="E3">
        <f>SUMIFS(allorders!$O:$O,allorders!$L:$L,$A3,allorders!$AG:$AG,"&lt;="&amp;日期!$B$9,allorders!$AG:$AG,"&gt;="&amp;日期!$B$10,allorders!Q:Q,"&lt;&gt;"&amp;"",allorders!N:N,"Shipped")</f>
        <v>0</v>
      </c>
      <c r="F3">
        <f>SUMIFS(allorders!$O:$O,allorders!$L:$L,$A3,allorders!$AG:$AG,"&lt;="&amp;日期!$B$11,allorders!$AG:$AG,"&gt;="&amp;日期!$B$12,allorders!Q:Q,"&lt;&gt;"&amp;"",allorders!N:N,"Shipped")</f>
        <v>2</v>
      </c>
      <c r="G3">
        <f>SUMIFS(allorders!Q:Q,allorders!L:L,A3,allorders!AG:AG,"&lt;="&amp;日期!$B$5,allorders!AG:AG,"&gt;="&amp;日期!$B$12,allorders!N:N,"Shipped")/SUM(C3:F3)</f>
        <v>19.99</v>
      </c>
      <c r="H3">
        <f>SUMIFS(allorders!Q:Q,allorders!L:L,A3,allorders!AG:AG,"&gt;="&amp;日期!$B$12,allorders!AG:AG,"&lt;="&amp;日期!$B$5,allorders!N:N,"Shipped")</f>
        <v>39.98</v>
      </c>
      <c r="I3">
        <f t="shared" ref="I3:I66" si="0">SUM(C3:F3)</f>
        <v>2</v>
      </c>
    </row>
    <row r="4" spans="1:9">
      <c r="A4" s="7" t="s">
        <v>48</v>
      </c>
      <c r="B4" t="str">
        <f>VLOOKUP(A4,'[1]子sku-父sku'!$A$1:$B$65536,2,0)</f>
        <v>LYQ-ZQ3550</v>
      </c>
      <c r="C4">
        <f>SUMIFS(allorders!O:O,allorders!L:L,$A4,allorders!AG:AG,"&lt;="&amp;日期!$B$5,allorders!AG:AG,"&gt;="&amp;日期!$B$6,allorders!Q:Q,"&lt;&gt;"&amp;"",allorders!N:N,"Shipped")</f>
        <v>0</v>
      </c>
      <c r="D4">
        <f>SUMIFS(allorders!$O:$O,allorders!$L:$L,$A4,allorders!$AG:$AG,"&lt;="&amp;日期!$B$7,allorders!$AG:$AG,"&gt;="&amp;日期!$B$8,allorders!Q:Q,"&lt;&gt;"&amp;"",allorders!N:N,"Shipped")</f>
        <v>0</v>
      </c>
      <c r="E4">
        <f>SUMIFS(allorders!$O:$O,allorders!$L:$L,$A4,allorders!$AG:$AG,"&lt;="&amp;日期!$B$9,allorders!$AG:$AG,"&gt;="&amp;日期!$B$10,allorders!Q:Q,"&lt;&gt;"&amp;"",allorders!N:N,"Shipped")</f>
        <v>0</v>
      </c>
      <c r="F4">
        <f>SUMIFS(allorders!$O:$O,allorders!$L:$L,$A4,allorders!$AG:$AG,"&lt;="&amp;日期!$B$11,allorders!$AG:$AG,"&gt;="&amp;日期!$B$12,allorders!Q:Q,"&lt;&gt;"&amp;"",allorders!N:N,"Shipped")</f>
        <v>1</v>
      </c>
      <c r="G4">
        <f>SUMIFS(allorders!Q:Q,allorders!L:L,A4,allorders!AG:AG,"&lt;="&amp;日期!$B$5,allorders!AG:AG,"&gt;="&amp;日期!$B$12,allorders!N:N,"Shipped")/SUM(C4:F4)</f>
        <v>14.99</v>
      </c>
      <c r="H4">
        <f>SUMIFS(allorders!Q:Q,allorders!L:L,A4,allorders!AG:AG,"&gt;="&amp;日期!$B$12,allorders!AG:AG,"&lt;="&amp;日期!$B$5,allorders!N:N,"Shipped")</f>
        <v>14.99</v>
      </c>
      <c r="I4">
        <f t="shared" si="0"/>
        <v>1</v>
      </c>
    </row>
    <row r="5" spans="1:9">
      <c r="A5" s="7" t="s">
        <v>56</v>
      </c>
      <c r="B5" t="str">
        <f>VLOOKUP(A5,'[1]子sku-父sku'!$A$1:$B$65536,2,0)</f>
        <v>YZ-HMBKN17015</v>
      </c>
      <c r="C5">
        <f>SUMIFS(allorders!O:O,allorders!L:L,$A5,allorders!AG:AG,"&lt;="&amp;日期!$B$5,allorders!AG:AG,"&gt;="&amp;日期!$B$6,allorders!Q:Q,"&lt;&gt;"&amp;"",allorders!N:N,"Shipped")</f>
        <v>0</v>
      </c>
      <c r="D5">
        <f>SUMIFS(allorders!$O:$O,allorders!$L:$L,$A5,allorders!$AG:$AG,"&lt;="&amp;日期!$B$7,allorders!$AG:$AG,"&gt;="&amp;日期!$B$8,allorders!Q:Q,"&lt;&gt;"&amp;"",allorders!N:N,"Shipped")</f>
        <v>0</v>
      </c>
      <c r="E5">
        <f>SUMIFS(allorders!$O:$O,allorders!$L:$L,$A5,allorders!$AG:$AG,"&lt;="&amp;日期!$B$9,allorders!$AG:$AG,"&gt;="&amp;日期!$B$10,allorders!Q:Q,"&lt;&gt;"&amp;"",allorders!N:N,"Shipped")</f>
        <v>0</v>
      </c>
      <c r="F5">
        <f>SUMIFS(allorders!$O:$O,allorders!$L:$L,$A5,allorders!$AG:$AG,"&lt;="&amp;日期!$B$11,allorders!$AG:$AG,"&gt;="&amp;日期!$B$12,allorders!Q:Q,"&lt;&gt;"&amp;"",allorders!N:N,"Shipped")</f>
        <v>2</v>
      </c>
      <c r="G5">
        <f>SUMIFS(allorders!Q:Q,allorders!L:L,A5,allorders!AG:AG,"&lt;="&amp;日期!$B$5,allorders!AG:AG,"&gt;="&amp;日期!$B$12,allorders!N:N,"Shipped")/SUM(C5:F5)</f>
        <v>16.99</v>
      </c>
      <c r="H5">
        <f>SUMIFS(allorders!Q:Q,allorders!L:L,A5,allorders!AG:AG,"&gt;="&amp;日期!$B$12,allorders!AG:AG,"&lt;="&amp;日期!$B$5,allorders!N:N,"Shipped")</f>
        <v>33.98</v>
      </c>
      <c r="I5">
        <f t="shared" si="0"/>
        <v>2</v>
      </c>
    </row>
    <row r="6" spans="1:9">
      <c r="A6" s="7" t="s">
        <v>66</v>
      </c>
      <c r="B6" t="str">
        <f>VLOOKUP(A6,'[1]子sku-父sku'!$A$1:$B$65536,2,0)</f>
        <v>YZ-ZQBL03</v>
      </c>
      <c r="C6">
        <f>SUMIFS(allorders!O:O,allorders!L:L,$A6,allorders!AG:AG,"&lt;="&amp;日期!$B$5,allorders!AG:AG,"&gt;="&amp;日期!$B$6,allorders!Q:Q,"&lt;&gt;"&amp;"",allorders!N:N,"Shipped")</f>
        <v>1</v>
      </c>
      <c r="D6">
        <f>SUMIFS(allorders!$O:$O,allorders!$L:$L,$A6,allorders!$AG:$AG,"&lt;="&amp;日期!$B$7,allorders!$AG:$AG,"&gt;="&amp;日期!$B$8,allorders!Q:Q,"&lt;&gt;"&amp;"",allorders!N:N,"Shipped")</f>
        <v>0</v>
      </c>
      <c r="E6">
        <f>SUMIFS(allorders!$O:$O,allorders!$L:$L,$A6,allorders!$AG:$AG,"&lt;="&amp;日期!$B$9,allorders!$AG:$AG,"&gt;="&amp;日期!$B$10,allorders!Q:Q,"&lt;&gt;"&amp;"",allorders!N:N,"Shipped")</f>
        <v>0</v>
      </c>
      <c r="F6">
        <f>SUMIFS(allorders!$O:$O,allorders!$L:$L,$A6,allorders!$AG:$AG,"&lt;="&amp;日期!$B$11,allorders!$AG:$AG,"&gt;="&amp;日期!$B$12,allorders!Q:Q,"&lt;&gt;"&amp;"",allorders!N:N,"Shipped")</f>
        <v>2</v>
      </c>
      <c r="G6">
        <f>SUMIFS(allorders!Q:Q,allorders!L:L,A6,allorders!AG:AG,"&lt;="&amp;日期!$B$5,allorders!AG:AG,"&gt;="&amp;日期!$B$12,allorders!N:N,"Shipped")/SUM(C6:F6)</f>
        <v>21.99</v>
      </c>
      <c r="H6">
        <f>SUMIFS(allorders!Q:Q,allorders!L:L,A6,allorders!AG:AG,"&gt;="&amp;日期!$B$12,allorders!AG:AG,"&lt;="&amp;日期!$B$5,allorders!N:N,"Shipped")</f>
        <v>65.97</v>
      </c>
      <c r="I6">
        <f t="shared" si="0"/>
        <v>3</v>
      </c>
    </row>
    <row r="7" spans="1:9">
      <c r="A7" s="7" t="s">
        <v>74</v>
      </c>
      <c r="B7" t="str">
        <f>VLOOKUP(A7,'[1]子sku-父sku'!$A$1:$B$65536,2,0)</f>
        <v>LYQ-ZQ3550</v>
      </c>
      <c r="C7">
        <f>SUMIFS(allorders!O:O,allorders!L:L,$A7,allorders!AG:AG,"&lt;="&amp;日期!$B$5,allorders!AG:AG,"&gt;="&amp;日期!$B$6,allorders!Q:Q,"&lt;&gt;"&amp;"",allorders!N:N,"Shipped")</f>
        <v>0</v>
      </c>
      <c r="D7">
        <f>SUMIFS(allorders!$O:$O,allorders!$L:$L,$A7,allorders!$AG:$AG,"&lt;="&amp;日期!$B$7,allorders!$AG:$AG,"&gt;="&amp;日期!$B$8,allorders!Q:Q,"&lt;&gt;"&amp;"",allorders!N:N,"Shipped")</f>
        <v>0</v>
      </c>
      <c r="E7">
        <f>SUMIFS(allorders!$O:$O,allorders!$L:$L,$A7,allorders!$AG:$AG,"&lt;="&amp;日期!$B$9,allorders!$AG:$AG,"&gt;="&amp;日期!$B$10,allorders!Q:Q,"&lt;&gt;"&amp;"",allorders!N:N,"Shipped")</f>
        <v>1</v>
      </c>
      <c r="F7">
        <f>SUMIFS(allorders!$O:$O,allorders!$L:$L,$A7,allorders!$AG:$AG,"&lt;="&amp;日期!$B$11,allorders!$AG:$AG,"&gt;="&amp;日期!$B$12,allorders!Q:Q,"&lt;&gt;"&amp;"",allorders!N:N,"Shipped")</f>
        <v>2</v>
      </c>
      <c r="G7">
        <f>SUMIFS(allorders!Q:Q,allorders!L:L,A7,allorders!AG:AG,"&lt;="&amp;日期!$B$5,allorders!AG:AG,"&gt;="&amp;日期!$B$12,allorders!N:N,"Shipped")/SUM(C7:F7)</f>
        <v>14.99</v>
      </c>
      <c r="H7">
        <f>SUMIFS(allorders!Q:Q,allorders!L:L,A7,allorders!AG:AG,"&gt;="&amp;日期!$B$12,allorders!AG:AG,"&lt;="&amp;日期!$B$5,allorders!N:N,"Shipped")</f>
        <v>44.97</v>
      </c>
      <c r="I7">
        <f t="shared" si="0"/>
        <v>3</v>
      </c>
    </row>
    <row r="8" spans="1:9">
      <c r="A8" s="7" t="s">
        <v>82</v>
      </c>
      <c r="B8" t="str">
        <f>VLOOKUP(A8,'[1]子sku-父sku'!$A$1:$B$65536,2,0)</f>
        <v>YZ-ZQFT1816</v>
      </c>
      <c r="C8">
        <f>SUMIFS(allorders!O:O,allorders!L:L,$A8,allorders!AG:AG,"&lt;="&amp;日期!$B$5,allorders!AG:AG,"&gt;="&amp;日期!$B$6,allorders!Q:Q,"&lt;&gt;"&amp;"",allorders!N:N,"Shipped")</f>
        <v>0</v>
      </c>
      <c r="D8">
        <f>SUMIFS(allorders!$O:$O,allorders!$L:$L,$A8,allorders!$AG:$AG,"&lt;="&amp;日期!$B$7,allorders!$AG:$AG,"&gt;="&amp;日期!$B$8,allorders!Q:Q,"&lt;&gt;"&amp;"",allorders!N:N,"Shipped")</f>
        <v>4</v>
      </c>
      <c r="E8">
        <f>SUMIFS(allorders!$O:$O,allorders!$L:$L,$A8,allorders!$AG:$AG,"&lt;="&amp;日期!$B$9,allorders!$AG:$AG,"&gt;="&amp;日期!$B$10,allorders!Q:Q,"&lt;&gt;"&amp;"",allorders!N:N,"Shipped")</f>
        <v>3</v>
      </c>
      <c r="F8">
        <f>SUMIFS(allorders!$O:$O,allorders!$L:$L,$A8,allorders!$AG:$AG,"&lt;="&amp;日期!$B$11,allorders!$AG:$AG,"&gt;="&amp;日期!$B$12,allorders!Q:Q,"&lt;&gt;"&amp;"",allorders!N:N,"Shipped")</f>
        <v>4</v>
      </c>
      <c r="G8">
        <f>SUMIFS(allorders!Q:Q,allorders!L:L,A8,allorders!AG:AG,"&lt;="&amp;日期!$B$5,allorders!AG:AG,"&gt;="&amp;日期!$B$12,allorders!N:N,"Shipped")/SUM(C8:F8)</f>
        <v>19.99</v>
      </c>
      <c r="H8">
        <f>SUMIFS(allorders!Q:Q,allorders!L:L,A8,allorders!AG:AG,"&gt;="&amp;日期!$B$12,allorders!AG:AG,"&lt;="&amp;日期!$B$5,allorders!N:N,"Shipped")</f>
        <v>219.89</v>
      </c>
      <c r="I8">
        <f t="shared" si="0"/>
        <v>11</v>
      </c>
    </row>
    <row r="9" spans="1:9">
      <c r="A9" s="7" t="s">
        <v>91</v>
      </c>
      <c r="B9" t="str">
        <f>VLOOKUP(A9,'[1]子sku-父sku'!$A$1:$B$65536,2,0)</f>
        <v>YZ-SUZQ388</v>
      </c>
      <c r="C9">
        <f>SUMIFS(allorders!O:O,allorders!L:L,$A9,allorders!AG:AG,"&lt;="&amp;日期!$B$5,allorders!AG:AG,"&gt;="&amp;日期!$B$6,allorders!Q:Q,"&lt;&gt;"&amp;"",allorders!N:N,"Shipped")</f>
        <v>12</v>
      </c>
      <c r="D9">
        <f>SUMIFS(allorders!$O:$O,allorders!$L:$L,$A9,allorders!$AG:$AG,"&lt;="&amp;日期!$B$7,allorders!$AG:$AG,"&gt;="&amp;日期!$B$8,allorders!Q:Q,"&lt;&gt;"&amp;"",allorders!N:N,"Shipped")</f>
        <v>11</v>
      </c>
      <c r="E9">
        <f>SUMIFS(allorders!$O:$O,allorders!$L:$L,$A9,allorders!$AG:$AG,"&lt;="&amp;日期!$B$9,allorders!$AG:$AG,"&gt;="&amp;日期!$B$10,allorders!Q:Q,"&lt;&gt;"&amp;"",allorders!N:N,"Shipped")</f>
        <v>5</v>
      </c>
      <c r="F9">
        <f>SUMIFS(allorders!$O:$O,allorders!$L:$L,$A9,allorders!$AG:$AG,"&lt;="&amp;日期!$B$11,allorders!$AG:$AG,"&gt;="&amp;日期!$B$12,allorders!Q:Q,"&lt;&gt;"&amp;"",allorders!N:N,"Shipped")</f>
        <v>8</v>
      </c>
      <c r="G9">
        <f>SUMIFS(allorders!Q:Q,allorders!L:L,A9,allorders!AG:AG,"&lt;="&amp;日期!$B$5,allorders!AG:AG,"&gt;="&amp;日期!$B$12,allorders!N:N,"Shipped")/SUM(C9:F9)</f>
        <v>15.5177777777778</v>
      </c>
      <c r="H9">
        <f>SUMIFS(allorders!Q:Q,allorders!L:L,A9,allorders!AG:AG,"&gt;="&amp;日期!$B$12,allorders!AG:AG,"&lt;="&amp;日期!$B$5,allorders!N:N,"Shipped")</f>
        <v>558.64</v>
      </c>
      <c r="I9">
        <f t="shared" si="0"/>
        <v>36</v>
      </c>
    </row>
    <row r="10" spans="1:9">
      <c r="A10" s="7" t="s">
        <v>104</v>
      </c>
      <c r="B10" t="str">
        <f>VLOOKUP(A10,'[1]子sku-父sku'!$A$1:$B$65536,2,0)</f>
        <v>LYQ-ZQ2973</v>
      </c>
      <c r="C10">
        <f>SUMIFS(allorders!O:O,allorders!L:L,$A10,allorders!AG:AG,"&lt;="&amp;日期!$B$5,allorders!AG:AG,"&gt;="&amp;日期!$B$6,allorders!Q:Q,"&lt;&gt;"&amp;"",allorders!N:N,"Shipped")</f>
        <v>0</v>
      </c>
      <c r="D10">
        <f>SUMIFS(allorders!$O:$O,allorders!$L:$L,$A10,allorders!$AG:$AG,"&lt;="&amp;日期!$B$7,allorders!$AG:$AG,"&gt;="&amp;日期!$B$8,allorders!Q:Q,"&lt;&gt;"&amp;"",allorders!N:N,"Shipped")</f>
        <v>0</v>
      </c>
      <c r="E10">
        <f>SUMIFS(allorders!$O:$O,allorders!$L:$L,$A10,allorders!$AG:$AG,"&lt;="&amp;日期!$B$9,allorders!$AG:$AG,"&gt;="&amp;日期!$B$10,allorders!Q:Q,"&lt;&gt;"&amp;"",allorders!N:N,"Shipped")</f>
        <v>0</v>
      </c>
      <c r="F10">
        <f>SUMIFS(allorders!$O:$O,allorders!$L:$L,$A10,allorders!$AG:$AG,"&lt;="&amp;日期!$B$11,allorders!$AG:$AG,"&gt;="&amp;日期!$B$12,allorders!Q:Q,"&lt;&gt;"&amp;"",allorders!N:N,"Shipped")</f>
        <v>1</v>
      </c>
      <c r="G10">
        <f>SUMIFS(allorders!Q:Q,allorders!L:L,A10,allorders!AG:AG,"&lt;="&amp;日期!$B$5,allorders!AG:AG,"&gt;="&amp;日期!$B$12,allorders!N:N,"Shipped")/SUM(C10:F10)</f>
        <v>18.99</v>
      </c>
      <c r="H10">
        <f>SUMIFS(allorders!Q:Q,allorders!L:L,A10,allorders!AG:AG,"&gt;="&amp;日期!$B$12,allorders!AG:AG,"&lt;="&amp;日期!$B$5,allorders!N:N,"Shipped")</f>
        <v>18.99</v>
      </c>
      <c r="I10">
        <f t="shared" si="0"/>
        <v>1</v>
      </c>
    </row>
    <row r="11" spans="1:9">
      <c r="A11" s="7" t="s">
        <v>112</v>
      </c>
      <c r="B11" t="str">
        <f>VLOOKUP(A11,'[1]子sku-父sku'!$A$1:$B$65536,2,0)</f>
        <v>LYQ-ZQ456</v>
      </c>
      <c r="C11">
        <f>SUMIFS(allorders!O:O,allorders!L:L,$A11,allorders!AG:AG,"&lt;="&amp;日期!$B$5,allorders!AG:AG,"&gt;="&amp;日期!$B$6,allorders!Q:Q,"&lt;&gt;"&amp;"",allorders!N:N,"Shipped")</f>
        <v>0</v>
      </c>
      <c r="D11">
        <f>SUMIFS(allorders!$O:$O,allorders!$L:$L,$A11,allorders!$AG:$AG,"&lt;="&amp;日期!$B$7,allorders!$AG:$AG,"&gt;="&amp;日期!$B$8,allorders!Q:Q,"&lt;&gt;"&amp;"",allorders!N:N,"Shipped")</f>
        <v>0</v>
      </c>
      <c r="E11">
        <f>SUMIFS(allorders!$O:$O,allorders!$L:$L,$A11,allorders!$AG:$AG,"&lt;="&amp;日期!$B$9,allorders!$AG:$AG,"&gt;="&amp;日期!$B$10,allorders!Q:Q,"&lt;&gt;"&amp;"",allorders!N:N,"Shipped")</f>
        <v>0</v>
      </c>
      <c r="F11">
        <f>SUMIFS(allorders!$O:$O,allorders!$L:$L,$A11,allorders!$AG:$AG,"&lt;="&amp;日期!$B$11,allorders!$AG:$AG,"&gt;="&amp;日期!$B$12,allorders!Q:Q,"&lt;&gt;"&amp;"",allorders!N:N,"Shipped")</f>
        <v>0</v>
      </c>
      <c r="G11" t="e">
        <f>SUMIFS(allorders!Q:Q,allorders!L:L,A11,allorders!AG:AG,"&lt;="&amp;日期!$B$5,allorders!AG:AG,"&gt;="&amp;日期!$B$12,allorders!N:N,"Shipped")/SUM(C11:F11)</f>
        <v>#DIV/0!</v>
      </c>
      <c r="H11">
        <f>SUMIFS(allorders!Q:Q,allorders!L:L,A11,allorders!AG:AG,"&gt;="&amp;日期!$B$12,allorders!AG:AG,"&lt;="&amp;日期!$B$5,allorders!N:N,"Shipped")</f>
        <v>0</v>
      </c>
      <c r="I11">
        <f t="shared" si="0"/>
        <v>0</v>
      </c>
    </row>
    <row r="12" spans="1:9">
      <c r="A12" s="7" t="s">
        <v>121</v>
      </c>
      <c r="B12" t="str">
        <f>VLOOKUP(A12,'[1]子sku-父sku'!$A$1:$B$65536,2,0)</f>
        <v>YZ-HM1728</v>
      </c>
      <c r="C12">
        <f>SUMIFS(allorders!O:O,allorders!L:L,$A12,allorders!AG:AG,"&lt;="&amp;日期!$B$5,allorders!AG:AG,"&gt;="&amp;日期!$B$6,allorders!Q:Q,"&lt;&gt;"&amp;"",allorders!N:N,"Shipped")</f>
        <v>2</v>
      </c>
      <c r="D12">
        <f>SUMIFS(allorders!$O:$O,allorders!$L:$L,$A12,allorders!$AG:$AG,"&lt;="&amp;日期!$B$7,allorders!$AG:$AG,"&gt;="&amp;日期!$B$8,allorders!Q:Q,"&lt;&gt;"&amp;"",allorders!N:N,"Shipped")</f>
        <v>0</v>
      </c>
      <c r="E12">
        <f>SUMIFS(allorders!$O:$O,allorders!$L:$L,$A12,allorders!$AG:$AG,"&lt;="&amp;日期!$B$9,allorders!$AG:$AG,"&gt;="&amp;日期!$B$10,allorders!Q:Q,"&lt;&gt;"&amp;"",allorders!N:N,"Shipped")</f>
        <v>0</v>
      </c>
      <c r="F12">
        <f>SUMIFS(allorders!$O:$O,allorders!$L:$L,$A12,allorders!$AG:$AG,"&lt;="&amp;日期!$B$11,allorders!$AG:$AG,"&gt;="&amp;日期!$B$12,allorders!Q:Q,"&lt;&gt;"&amp;"",allorders!N:N,"Shipped")</f>
        <v>1</v>
      </c>
      <c r="G12">
        <f>SUMIFS(allorders!Q:Q,allorders!L:L,A12,allorders!AG:AG,"&lt;="&amp;日期!$B$5,allorders!AG:AG,"&gt;="&amp;日期!$B$12,allorders!N:N,"Shipped")/SUM(C12:F12)</f>
        <v>18.99</v>
      </c>
      <c r="H12">
        <f>SUMIFS(allorders!Q:Q,allorders!L:L,A12,allorders!AG:AG,"&gt;="&amp;日期!$B$12,allorders!AG:AG,"&lt;="&amp;日期!$B$5,allorders!N:N,"Shipped")</f>
        <v>56.97</v>
      </c>
      <c r="I12">
        <f t="shared" si="0"/>
        <v>3</v>
      </c>
    </row>
    <row r="13" spans="1:9">
      <c r="A13" s="7" t="s">
        <v>126</v>
      </c>
      <c r="B13" t="str">
        <f>VLOOKUP(A13,'[1]子sku-父sku'!$A$1:$B$65536,2,0)</f>
        <v>YZ-HM1727</v>
      </c>
      <c r="C13">
        <f>SUMIFS(allorders!O:O,allorders!L:L,$A13,allorders!AG:AG,"&lt;="&amp;日期!$B$5,allorders!AG:AG,"&gt;="&amp;日期!$B$6,allorders!Q:Q,"&lt;&gt;"&amp;"",allorders!N:N,"Shipped")</f>
        <v>6</v>
      </c>
      <c r="D13">
        <f>SUMIFS(allorders!$O:$O,allorders!$L:$L,$A13,allorders!$AG:$AG,"&lt;="&amp;日期!$B$7,allorders!$AG:$AG,"&gt;="&amp;日期!$B$8,allorders!Q:Q,"&lt;&gt;"&amp;"",allorders!N:N,"Shipped")</f>
        <v>8</v>
      </c>
      <c r="E13">
        <f>SUMIFS(allorders!$O:$O,allorders!$L:$L,$A13,allorders!$AG:$AG,"&lt;="&amp;日期!$B$9,allorders!$AG:$AG,"&gt;="&amp;日期!$B$10,allorders!Q:Q,"&lt;&gt;"&amp;"",allorders!N:N,"Shipped")</f>
        <v>13</v>
      </c>
      <c r="F13">
        <f>SUMIFS(allorders!$O:$O,allorders!$L:$L,$A13,allorders!$AG:$AG,"&lt;="&amp;日期!$B$11,allorders!$AG:$AG,"&gt;="&amp;日期!$B$12,allorders!Q:Q,"&lt;&gt;"&amp;"",allorders!N:N,"Shipped")</f>
        <v>14</v>
      </c>
      <c r="G13">
        <f>SUMIFS(allorders!Q:Q,allorders!L:L,A13,allorders!AG:AG,"&lt;="&amp;日期!$B$5,allorders!AG:AG,"&gt;="&amp;日期!$B$12,allorders!N:N,"Shipped")/SUM(C13:F13)</f>
        <v>18.99</v>
      </c>
      <c r="H13">
        <f>SUMIFS(allorders!Q:Q,allorders!L:L,A13,allorders!AG:AG,"&gt;="&amp;日期!$B$12,allorders!AG:AG,"&lt;="&amp;日期!$B$5,allorders!N:N,"Shipped")</f>
        <v>778.59</v>
      </c>
      <c r="I13">
        <f t="shared" si="0"/>
        <v>41</v>
      </c>
    </row>
    <row r="14" spans="1:9">
      <c r="A14" s="7" t="s">
        <v>132</v>
      </c>
      <c r="B14" t="str">
        <f>VLOOKUP(A14,'[1]子sku-父sku'!$A$1:$B$65536,2,0)</f>
        <v>YZ-HM1727</v>
      </c>
      <c r="C14">
        <f>SUMIFS(allorders!O:O,allorders!L:L,$A14,allorders!AG:AG,"&lt;="&amp;日期!$B$5,allorders!AG:AG,"&gt;="&amp;日期!$B$6,allorders!Q:Q,"&lt;&gt;"&amp;"",allorders!N:N,"Shipped")</f>
        <v>7</v>
      </c>
      <c r="D14">
        <f>SUMIFS(allorders!$O:$O,allorders!$L:$L,$A14,allorders!$AG:$AG,"&lt;="&amp;日期!$B$7,allorders!$AG:$AG,"&gt;="&amp;日期!$B$8,allorders!Q:Q,"&lt;&gt;"&amp;"",allorders!N:N,"Shipped")</f>
        <v>5</v>
      </c>
      <c r="E14">
        <f>SUMIFS(allorders!$O:$O,allorders!$L:$L,$A14,allorders!$AG:$AG,"&lt;="&amp;日期!$B$9,allorders!$AG:$AG,"&gt;="&amp;日期!$B$10,allorders!Q:Q,"&lt;&gt;"&amp;"",allorders!N:N,"Shipped")</f>
        <v>15</v>
      </c>
      <c r="F14">
        <f>SUMIFS(allorders!$O:$O,allorders!$L:$L,$A14,allorders!$AG:$AG,"&lt;="&amp;日期!$B$11,allorders!$AG:$AG,"&gt;="&amp;日期!$B$12,allorders!Q:Q,"&lt;&gt;"&amp;"",allorders!N:N,"Shipped")</f>
        <v>12</v>
      </c>
      <c r="G14">
        <f>SUMIFS(allorders!Q:Q,allorders!L:L,A14,allorders!AG:AG,"&lt;="&amp;日期!$B$5,allorders!AG:AG,"&gt;="&amp;日期!$B$12,allorders!N:N,"Shipped")/SUM(C14:F14)</f>
        <v>18.99</v>
      </c>
      <c r="H14">
        <f>SUMIFS(allorders!Q:Q,allorders!L:L,A14,allorders!AG:AG,"&gt;="&amp;日期!$B$12,allorders!AG:AG,"&lt;="&amp;日期!$B$5,allorders!N:N,"Shipped")</f>
        <v>740.61</v>
      </c>
      <c r="I14">
        <f t="shared" si="0"/>
        <v>39</v>
      </c>
    </row>
    <row r="15" spans="1:9">
      <c r="A15" s="7" t="s">
        <v>140</v>
      </c>
      <c r="B15" t="str">
        <f>VLOOKUP(A15,'[1]子sku-父sku'!$A$1:$B$65536,2,0)</f>
        <v>YZ-SUZQ388</v>
      </c>
      <c r="C15">
        <f>SUMIFS(allorders!O:O,allorders!L:L,$A15,allorders!AG:AG,"&lt;="&amp;日期!$B$5,allorders!AG:AG,"&gt;="&amp;日期!$B$6,allorders!Q:Q,"&lt;&gt;"&amp;"",allorders!N:N,"Shipped")</f>
        <v>9</v>
      </c>
      <c r="D15">
        <f>SUMIFS(allorders!$O:$O,allorders!$L:$L,$A15,allorders!$AG:$AG,"&lt;="&amp;日期!$B$7,allorders!$AG:$AG,"&gt;="&amp;日期!$B$8,allorders!Q:Q,"&lt;&gt;"&amp;"",allorders!N:N,"Shipped")</f>
        <v>7</v>
      </c>
      <c r="E15">
        <f>SUMIFS(allorders!$O:$O,allorders!$L:$L,$A15,allorders!$AG:$AG,"&lt;="&amp;日期!$B$9,allorders!$AG:$AG,"&gt;="&amp;日期!$B$10,allorders!Q:Q,"&lt;&gt;"&amp;"",allorders!N:N,"Shipped")</f>
        <v>6</v>
      </c>
      <c r="F15">
        <f>SUMIFS(allorders!$O:$O,allorders!$L:$L,$A15,allorders!$AG:$AG,"&lt;="&amp;日期!$B$11,allorders!$AG:$AG,"&gt;="&amp;日期!$B$12,allorders!Q:Q,"&lt;&gt;"&amp;"",allorders!N:N,"Shipped")</f>
        <v>4</v>
      </c>
      <c r="G15">
        <f>SUMIFS(allorders!Q:Q,allorders!L:L,A15,allorders!AG:AG,"&lt;="&amp;日期!$B$5,allorders!AG:AG,"&gt;="&amp;日期!$B$12,allorders!N:N,"Shipped")/SUM(C15:F15)</f>
        <v>15.6823076923077</v>
      </c>
      <c r="H15">
        <f>SUMIFS(allorders!Q:Q,allorders!L:L,A15,allorders!AG:AG,"&gt;="&amp;日期!$B$12,allorders!AG:AG,"&lt;="&amp;日期!$B$5,allorders!N:N,"Shipped")</f>
        <v>407.74</v>
      </c>
      <c r="I15">
        <f t="shared" si="0"/>
        <v>26</v>
      </c>
    </row>
    <row r="16" spans="1:9">
      <c r="A16" s="7" t="s">
        <v>148</v>
      </c>
      <c r="B16" t="str">
        <f>VLOOKUP(A16,'[1]子sku-父sku'!$A$1:$B$65536,2,0)</f>
        <v>YZ-ZQBL03</v>
      </c>
      <c r="C16">
        <f>SUMIFS(allorders!O:O,allorders!L:L,$A16,allorders!AG:AG,"&lt;="&amp;日期!$B$5,allorders!AG:AG,"&gt;="&amp;日期!$B$6,allorders!Q:Q,"&lt;&gt;"&amp;"",allorders!N:N,"Shipped")</f>
        <v>0</v>
      </c>
      <c r="D16">
        <f>SUMIFS(allorders!$O:$O,allorders!$L:$L,$A16,allorders!$AG:$AG,"&lt;="&amp;日期!$B$7,allorders!$AG:$AG,"&gt;="&amp;日期!$B$8,allorders!Q:Q,"&lt;&gt;"&amp;"",allorders!N:N,"Shipped")</f>
        <v>1</v>
      </c>
      <c r="E16">
        <f>SUMIFS(allorders!$O:$O,allorders!$L:$L,$A16,allorders!$AG:$AG,"&lt;="&amp;日期!$B$9,allorders!$AG:$AG,"&gt;="&amp;日期!$B$10,allorders!Q:Q,"&lt;&gt;"&amp;"",allorders!N:N,"Shipped")</f>
        <v>0</v>
      </c>
      <c r="F16">
        <f>SUMIFS(allorders!$O:$O,allorders!$L:$L,$A16,allorders!$AG:$AG,"&lt;="&amp;日期!$B$11,allorders!$AG:$AG,"&gt;="&amp;日期!$B$12,allorders!Q:Q,"&lt;&gt;"&amp;"",allorders!N:N,"Shipped")</f>
        <v>2</v>
      </c>
      <c r="G16">
        <f>SUMIFS(allorders!Q:Q,allorders!L:L,A16,allorders!AG:AG,"&lt;="&amp;日期!$B$5,allorders!AG:AG,"&gt;="&amp;日期!$B$12,allorders!N:N,"Shipped")/SUM(C16:F16)</f>
        <v>21.99</v>
      </c>
      <c r="H16">
        <f>SUMIFS(allorders!Q:Q,allorders!L:L,A16,allorders!AG:AG,"&gt;="&amp;日期!$B$12,allorders!AG:AG,"&lt;="&amp;日期!$B$5,allorders!N:N,"Shipped")</f>
        <v>65.97</v>
      </c>
      <c r="I16">
        <f t="shared" si="0"/>
        <v>3</v>
      </c>
    </row>
    <row r="17" spans="1:9">
      <c r="A17" s="7" t="s">
        <v>156</v>
      </c>
      <c r="B17" t="str">
        <f>VLOOKUP(A17,'[1]子sku-父sku'!$A$1:$B$65536,2,0)</f>
        <v>YZ-ZQBL03</v>
      </c>
      <c r="C17">
        <f>SUMIFS(allorders!O:O,allorders!L:L,$A17,allorders!AG:AG,"&lt;="&amp;日期!$B$5,allorders!AG:AG,"&gt;="&amp;日期!$B$6,allorders!Q:Q,"&lt;&gt;"&amp;"",allorders!N:N,"Shipped")</f>
        <v>0</v>
      </c>
      <c r="D17">
        <f>SUMIFS(allorders!$O:$O,allorders!$L:$L,$A17,allorders!$AG:$AG,"&lt;="&amp;日期!$B$7,allorders!$AG:$AG,"&gt;="&amp;日期!$B$8,allorders!Q:Q,"&lt;&gt;"&amp;"",allorders!N:N,"Shipped")</f>
        <v>1</v>
      </c>
      <c r="E17">
        <f>SUMIFS(allorders!$O:$O,allorders!$L:$L,$A17,allorders!$AG:$AG,"&lt;="&amp;日期!$B$9,allorders!$AG:$AG,"&gt;="&amp;日期!$B$10,allorders!Q:Q,"&lt;&gt;"&amp;"",allorders!N:N,"Shipped")</f>
        <v>0</v>
      </c>
      <c r="F17">
        <f>SUMIFS(allorders!$O:$O,allorders!$L:$L,$A17,allorders!$AG:$AG,"&lt;="&amp;日期!$B$11,allorders!$AG:$AG,"&gt;="&amp;日期!$B$12,allorders!Q:Q,"&lt;&gt;"&amp;"",allorders!N:N,"Shipped")</f>
        <v>2</v>
      </c>
      <c r="G17">
        <f>SUMIFS(allorders!Q:Q,allorders!L:L,A17,allorders!AG:AG,"&lt;="&amp;日期!$B$5,allorders!AG:AG,"&gt;="&amp;日期!$B$12,allorders!N:N,"Shipped")/SUM(C17:F17)</f>
        <v>19.99</v>
      </c>
      <c r="H17">
        <f>SUMIFS(allorders!Q:Q,allorders!L:L,A17,allorders!AG:AG,"&gt;="&amp;日期!$B$12,allorders!AG:AG,"&lt;="&amp;日期!$B$5,allorders!N:N,"Shipped")</f>
        <v>59.97</v>
      </c>
      <c r="I17">
        <f t="shared" si="0"/>
        <v>3</v>
      </c>
    </row>
    <row r="18" spans="1:9">
      <c r="A18" s="7" t="s">
        <v>162</v>
      </c>
      <c r="B18" t="str">
        <f>VLOOKUP(A18,'[1]子sku-父sku'!$A$1:$B$65536,2,0)</f>
        <v>YZ-ZQFT1816</v>
      </c>
      <c r="C18">
        <f>SUMIFS(allorders!O:O,allorders!L:L,$A18,allorders!AG:AG,"&lt;="&amp;日期!$B$5,allorders!AG:AG,"&gt;="&amp;日期!$B$6,allorders!Q:Q,"&lt;&gt;"&amp;"",allorders!N:N,"Shipped")</f>
        <v>0</v>
      </c>
      <c r="D18">
        <f>SUMIFS(allorders!$O:$O,allorders!$L:$L,$A18,allorders!$AG:$AG,"&lt;="&amp;日期!$B$7,allorders!$AG:$AG,"&gt;="&amp;日期!$B$8,allorders!Q:Q,"&lt;&gt;"&amp;"",allorders!N:N,"Shipped")</f>
        <v>1</v>
      </c>
      <c r="E18">
        <f>SUMIFS(allorders!$O:$O,allorders!$L:$L,$A18,allorders!$AG:$AG,"&lt;="&amp;日期!$B$9,allorders!$AG:$AG,"&gt;="&amp;日期!$B$10,allorders!Q:Q,"&lt;&gt;"&amp;"",allorders!N:N,"Shipped")</f>
        <v>1</v>
      </c>
      <c r="F18">
        <f>SUMIFS(allorders!$O:$O,allorders!$L:$L,$A18,allorders!$AG:$AG,"&lt;="&amp;日期!$B$11,allorders!$AG:$AG,"&gt;="&amp;日期!$B$12,allorders!Q:Q,"&lt;&gt;"&amp;"",allorders!N:N,"Shipped")</f>
        <v>2</v>
      </c>
      <c r="G18">
        <f>SUMIFS(allorders!Q:Q,allorders!L:L,A18,allorders!AG:AG,"&lt;="&amp;日期!$B$5,allorders!AG:AG,"&gt;="&amp;日期!$B$12,allorders!N:N,"Shipped")/SUM(C18:F18)</f>
        <v>19.99</v>
      </c>
      <c r="H18">
        <f>SUMIFS(allorders!Q:Q,allorders!L:L,A18,allorders!AG:AG,"&gt;="&amp;日期!$B$12,allorders!AG:AG,"&lt;="&amp;日期!$B$5,allorders!N:N,"Shipped")</f>
        <v>79.96</v>
      </c>
      <c r="I18">
        <f t="shared" si="0"/>
        <v>4</v>
      </c>
    </row>
    <row r="19" spans="1:9">
      <c r="A19" s="7" t="s">
        <v>171</v>
      </c>
      <c r="B19" t="str">
        <f>VLOOKUP(A19,'[1]子sku-父sku'!$A$1:$B$65536,2,0)</f>
        <v>YZ-ZQ1521</v>
      </c>
      <c r="C19">
        <f>SUMIFS(allorders!O:O,allorders!L:L,$A19,allorders!AG:AG,"&lt;="&amp;日期!$B$5,allorders!AG:AG,"&gt;="&amp;日期!$B$6,allorders!Q:Q,"&lt;&gt;"&amp;"",allorders!N:N,"Shipped")</f>
        <v>0</v>
      </c>
      <c r="D19">
        <f>SUMIFS(allorders!$O:$O,allorders!$L:$L,$A19,allorders!$AG:$AG,"&lt;="&amp;日期!$B$7,allorders!$AG:$AG,"&gt;="&amp;日期!$B$8,allorders!Q:Q,"&lt;&gt;"&amp;"",allorders!N:N,"Shipped")</f>
        <v>0</v>
      </c>
      <c r="E19">
        <f>SUMIFS(allorders!$O:$O,allorders!$L:$L,$A19,allorders!$AG:$AG,"&lt;="&amp;日期!$B$9,allorders!$AG:$AG,"&gt;="&amp;日期!$B$10,allorders!Q:Q,"&lt;&gt;"&amp;"",allorders!N:N,"Shipped")</f>
        <v>0</v>
      </c>
      <c r="F19">
        <f>SUMIFS(allorders!$O:$O,allorders!$L:$L,$A19,allorders!$AG:$AG,"&lt;="&amp;日期!$B$11,allorders!$AG:$AG,"&gt;="&amp;日期!$B$12,allorders!Q:Q,"&lt;&gt;"&amp;"",allorders!N:N,"Shipped")</f>
        <v>1</v>
      </c>
      <c r="G19">
        <f>SUMIFS(allorders!Q:Q,allorders!L:L,A19,allorders!AG:AG,"&lt;="&amp;日期!$B$5,allorders!AG:AG,"&gt;="&amp;日期!$B$12,allorders!N:N,"Shipped")/SUM(C19:F19)</f>
        <v>19.38</v>
      </c>
      <c r="H19">
        <f>SUMIFS(allorders!Q:Q,allorders!L:L,A19,allorders!AG:AG,"&gt;="&amp;日期!$B$12,allorders!AG:AG,"&lt;="&amp;日期!$B$5,allorders!N:N,"Shipped")</f>
        <v>19.38</v>
      </c>
      <c r="I19">
        <f t="shared" si="0"/>
        <v>1</v>
      </c>
    </row>
    <row r="20" spans="1:9">
      <c r="A20" s="7" t="s">
        <v>177</v>
      </c>
      <c r="B20" t="str">
        <f>VLOOKUP(A20,'[1]子sku-父sku'!$A$1:$B$65536,2,0)</f>
        <v>YZ-ZQ1521</v>
      </c>
      <c r="C20">
        <f>SUMIFS(allorders!O:O,allorders!L:L,$A20,allorders!AG:AG,"&lt;="&amp;日期!$B$5,allorders!AG:AG,"&gt;="&amp;日期!$B$6,allorders!Q:Q,"&lt;&gt;"&amp;"",allorders!N:N,"Shipped")</f>
        <v>1</v>
      </c>
      <c r="D20">
        <f>SUMIFS(allorders!$O:$O,allorders!$L:$L,$A20,allorders!$AG:$AG,"&lt;="&amp;日期!$B$7,allorders!$AG:$AG,"&gt;="&amp;日期!$B$8,allorders!Q:Q,"&lt;&gt;"&amp;"",allorders!N:N,"Shipped")</f>
        <v>0</v>
      </c>
      <c r="E20">
        <f>SUMIFS(allorders!$O:$O,allorders!$L:$L,$A20,allorders!$AG:$AG,"&lt;="&amp;日期!$B$9,allorders!$AG:$AG,"&gt;="&amp;日期!$B$10,allorders!Q:Q,"&lt;&gt;"&amp;"",allorders!N:N,"Shipped")</f>
        <v>5</v>
      </c>
      <c r="F20">
        <f>SUMIFS(allorders!$O:$O,allorders!$L:$L,$A20,allorders!$AG:$AG,"&lt;="&amp;日期!$B$11,allorders!$AG:$AG,"&gt;="&amp;日期!$B$12,allorders!Q:Q,"&lt;&gt;"&amp;"",allorders!N:N,"Shipped")</f>
        <v>4</v>
      </c>
      <c r="G20">
        <f>SUMIFS(allorders!Q:Q,allorders!L:L,A20,allorders!AG:AG,"&lt;="&amp;日期!$B$5,allorders!AG:AG,"&gt;="&amp;日期!$B$12,allorders!N:N,"Shipped")/SUM(C20:F20)</f>
        <v>19.99</v>
      </c>
      <c r="H20">
        <f>SUMIFS(allorders!Q:Q,allorders!L:L,A20,allorders!AG:AG,"&gt;="&amp;日期!$B$12,allorders!AG:AG,"&lt;="&amp;日期!$B$5,allorders!N:N,"Shipped")</f>
        <v>199.9</v>
      </c>
      <c r="I20">
        <f t="shared" si="0"/>
        <v>10</v>
      </c>
    </row>
    <row r="21" spans="1:9">
      <c r="A21" s="7" t="s">
        <v>191</v>
      </c>
      <c r="B21" t="str">
        <f>VLOOKUP(A21,'[1]子sku-父sku'!$A$1:$B$65536,2,0)</f>
        <v>YZ-SUZQ388</v>
      </c>
      <c r="C21">
        <f>SUMIFS(allorders!O:O,allorders!L:L,$A21,allorders!AG:AG,"&lt;="&amp;日期!$B$5,allorders!AG:AG,"&gt;="&amp;日期!$B$6,allorders!Q:Q,"&lt;&gt;"&amp;"",allorders!N:N,"Shipped")</f>
        <v>7</v>
      </c>
      <c r="D21">
        <f>SUMIFS(allorders!$O:$O,allorders!$L:$L,$A21,allorders!$AG:$AG,"&lt;="&amp;日期!$B$7,allorders!$AG:$AG,"&gt;="&amp;日期!$B$8,allorders!Q:Q,"&lt;&gt;"&amp;"",allorders!N:N,"Shipped")</f>
        <v>1</v>
      </c>
      <c r="E21">
        <f>SUMIFS(allorders!$O:$O,allorders!$L:$L,$A21,allorders!$AG:$AG,"&lt;="&amp;日期!$B$9,allorders!$AG:$AG,"&gt;="&amp;日期!$B$10,allorders!Q:Q,"&lt;&gt;"&amp;"",allorders!N:N,"Shipped")</f>
        <v>3</v>
      </c>
      <c r="F21">
        <f>SUMIFS(allorders!$O:$O,allorders!$L:$L,$A21,allorders!$AG:$AG,"&lt;="&amp;日期!$B$11,allorders!$AG:$AG,"&gt;="&amp;日期!$B$12,allorders!Q:Q,"&lt;&gt;"&amp;"",allorders!N:N,"Shipped")</f>
        <v>3</v>
      </c>
      <c r="G21">
        <f>SUMIFS(allorders!Q:Q,allorders!L:L,A21,allorders!AG:AG,"&lt;="&amp;日期!$B$5,allorders!AG:AG,"&gt;="&amp;日期!$B$12,allorders!N:N,"Shipped")/SUM(C21:F21)</f>
        <v>15.99</v>
      </c>
      <c r="H21">
        <f>SUMIFS(allorders!Q:Q,allorders!L:L,A21,allorders!AG:AG,"&gt;="&amp;日期!$B$12,allorders!AG:AG,"&lt;="&amp;日期!$B$5,allorders!N:N,"Shipped")</f>
        <v>223.86</v>
      </c>
      <c r="I21">
        <f t="shared" si="0"/>
        <v>14</v>
      </c>
    </row>
    <row r="22" spans="1:9">
      <c r="A22" s="7" t="s">
        <v>200</v>
      </c>
      <c r="B22" t="str">
        <f>VLOOKUP(A22,'[1]子sku-父sku'!$A$1:$B$65536,2,0)</f>
        <v>YZ-HM1727</v>
      </c>
      <c r="C22">
        <f>SUMIFS(allorders!O:O,allorders!L:L,$A22,allorders!AG:AG,"&lt;="&amp;日期!$B$5,allorders!AG:AG,"&gt;="&amp;日期!$B$6,allorders!Q:Q,"&lt;&gt;"&amp;"",allorders!N:N,"Shipped")</f>
        <v>6</v>
      </c>
      <c r="D22">
        <f>SUMIFS(allorders!$O:$O,allorders!$L:$L,$A22,allorders!$AG:$AG,"&lt;="&amp;日期!$B$7,allorders!$AG:$AG,"&gt;="&amp;日期!$B$8,allorders!Q:Q,"&lt;&gt;"&amp;"",allorders!N:N,"Shipped")</f>
        <v>3</v>
      </c>
      <c r="E22">
        <f>SUMIFS(allorders!$O:$O,allorders!$L:$L,$A22,allorders!$AG:$AG,"&lt;="&amp;日期!$B$9,allorders!$AG:$AG,"&gt;="&amp;日期!$B$10,allorders!Q:Q,"&lt;&gt;"&amp;"",allorders!N:N,"Shipped")</f>
        <v>6</v>
      </c>
      <c r="F22">
        <f>SUMIFS(allorders!$O:$O,allorders!$L:$L,$A22,allorders!$AG:$AG,"&lt;="&amp;日期!$B$11,allorders!$AG:$AG,"&gt;="&amp;日期!$B$12,allorders!Q:Q,"&lt;&gt;"&amp;"",allorders!N:N,"Shipped")</f>
        <v>4</v>
      </c>
      <c r="G22">
        <f>SUMIFS(allorders!Q:Q,allorders!L:L,A22,allorders!AG:AG,"&lt;="&amp;日期!$B$5,allorders!AG:AG,"&gt;="&amp;日期!$B$12,allorders!N:N,"Shipped")/SUM(C22:F22)</f>
        <v>18.99</v>
      </c>
      <c r="H22">
        <f>SUMIFS(allorders!Q:Q,allorders!L:L,A22,allorders!AG:AG,"&gt;="&amp;日期!$B$12,allorders!AG:AG,"&lt;="&amp;日期!$B$5,allorders!N:N,"Shipped")</f>
        <v>360.81</v>
      </c>
      <c r="I22">
        <f t="shared" si="0"/>
        <v>19</v>
      </c>
    </row>
    <row r="23" spans="1:9">
      <c r="A23" s="7" t="s">
        <v>208</v>
      </c>
      <c r="B23" t="str">
        <f>VLOOKUP(A23,'[1]子sku-父sku'!$A$1:$B$65536,2,0)</f>
        <v>YZ-ZQ1521</v>
      </c>
      <c r="C23">
        <f>SUMIFS(allorders!O:O,allorders!L:L,$A23,allorders!AG:AG,"&lt;="&amp;日期!$B$5,allorders!AG:AG,"&gt;="&amp;日期!$B$6,allorders!Q:Q,"&lt;&gt;"&amp;"",allorders!N:N,"Shipped")</f>
        <v>0</v>
      </c>
      <c r="D23">
        <f>SUMIFS(allorders!$O:$O,allorders!$L:$L,$A23,allorders!$AG:$AG,"&lt;="&amp;日期!$B$7,allorders!$AG:$AG,"&gt;="&amp;日期!$B$8,allorders!Q:Q,"&lt;&gt;"&amp;"",allorders!N:N,"Shipped")</f>
        <v>0</v>
      </c>
      <c r="E23">
        <f>SUMIFS(allorders!$O:$O,allorders!$L:$L,$A23,allorders!$AG:$AG,"&lt;="&amp;日期!$B$9,allorders!$AG:$AG,"&gt;="&amp;日期!$B$10,allorders!Q:Q,"&lt;&gt;"&amp;"",allorders!N:N,"Shipped")</f>
        <v>0</v>
      </c>
      <c r="F23">
        <f>SUMIFS(allorders!$O:$O,allorders!$L:$L,$A23,allorders!$AG:$AG,"&lt;="&amp;日期!$B$11,allorders!$AG:$AG,"&gt;="&amp;日期!$B$12,allorders!Q:Q,"&lt;&gt;"&amp;"",allorders!N:N,"Shipped")</f>
        <v>1</v>
      </c>
      <c r="G23">
        <f>SUMIFS(allorders!Q:Q,allorders!L:L,A23,allorders!AG:AG,"&lt;="&amp;日期!$B$5,allorders!AG:AG,"&gt;="&amp;日期!$B$12,allorders!N:N,"Shipped")/SUM(C23:F23)</f>
        <v>19.38</v>
      </c>
      <c r="H23">
        <f>SUMIFS(allorders!Q:Q,allorders!L:L,A23,allorders!AG:AG,"&gt;="&amp;日期!$B$12,allorders!AG:AG,"&lt;="&amp;日期!$B$5,allorders!N:N,"Shipped")</f>
        <v>19.38</v>
      </c>
      <c r="I23">
        <f t="shared" si="0"/>
        <v>1</v>
      </c>
    </row>
    <row r="24" spans="1:9">
      <c r="A24" s="7" t="s">
        <v>216</v>
      </c>
      <c r="B24" t="str">
        <f>VLOOKUP(A24,'[1]子sku-父sku'!$A$1:$B$65536,2,0)</f>
        <v>YZ-HM1727</v>
      </c>
      <c r="C24">
        <f>SUMIFS(allorders!O:O,allorders!L:L,$A24,allorders!AG:AG,"&lt;="&amp;日期!$B$5,allorders!AG:AG,"&gt;="&amp;日期!$B$6,allorders!Q:Q,"&lt;&gt;"&amp;"",allorders!N:N,"Shipped")</f>
        <v>1</v>
      </c>
      <c r="D24">
        <f>SUMIFS(allorders!$O:$O,allorders!$L:$L,$A24,allorders!$AG:$AG,"&lt;="&amp;日期!$B$7,allorders!$AG:$AG,"&gt;="&amp;日期!$B$8,allorders!Q:Q,"&lt;&gt;"&amp;"",allorders!N:N,"Shipped")</f>
        <v>1</v>
      </c>
      <c r="E24">
        <f>SUMIFS(allorders!$O:$O,allorders!$L:$L,$A24,allorders!$AG:$AG,"&lt;="&amp;日期!$B$9,allorders!$AG:$AG,"&gt;="&amp;日期!$B$10,allorders!Q:Q,"&lt;&gt;"&amp;"",allorders!N:N,"Shipped")</f>
        <v>4</v>
      </c>
      <c r="F24">
        <f>SUMIFS(allorders!$O:$O,allorders!$L:$L,$A24,allorders!$AG:$AG,"&lt;="&amp;日期!$B$11,allorders!$AG:$AG,"&gt;="&amp;日期!$B$12,allorders!Q:Q,"&lt;&gt;"&amp;"",allorders!N:N,"Shipped")</f>
        <v>3</v>
      </c>
      <c r="G24">
        <f>SUMIFS(allorders!Q:Q,allorders!L:L,A24,allorders!AG:AG,"&lt;="&amp;日期!$B$5,allorders!AG:AG,"&gt;="&amp;日期!$B$12,allorders!N:N,"Shipped")/SUM(C24:F24)</f>
        <v>18.99</v>
      </c>
      <c r="H24">
        <f>SUMIFS(allorders!Q:Q,allorders!L:L,A24,allorders!AG:AG,"&gt;="&amp;日期!$B$12,allorders!AG:AG,"&lt;="&amp;日期!$B$5,allorders!N:N,"Shipped")</f>
        <v>170.91</v>
      </c>
      <c r="I24">
        <f t="shared" si="0"/>
        <v>9</v>
      </c>
    </row>
    <row r="25" spans="1:9">
      <c r="A25" s="7" t="s">
        <v>224</v>
      </c>
      <c r="B25" t="str">
        <f>VLOOKUP(A25,'[1]子sku-父sku'!$A$1:$B$65536,2,0)</f>
        <v>YZ-ZQFT1816</v>
      </c>
      <c r="C25">
        <f>SUMIFS(allorders!O:O,allorders!L:L,$A25,allorders!AG:AG,"&lt;="&amp;日期!$B$5,allorders!AG:AG,"&gt;="&amp;日期!$B$6,allorders!Q:Q,"&lt;&gt;"&amp;"",allorders!N:N,"Shipped")</f>
        <v>1</v>
      </c>
      <c r="D25">
        <f>SUMIFS(allorders!$O:$O,allorders!$L:$L,$A25,allorders!$AG:$AG,"&lt;="&amp;日期!$B$7,allorders!$AG:$AG,"&gt;="&amp;日期!$B$8,allorders!Q:Q,"&lt;&gt;"&amp;"",allorders!N:N,"Shipped")</f>
        <v>1</v>
      </c>
      <c r="E25">
        <f>SUMIFS(allorders!$O:$O,allorders!$L:$L,$A25,allorders!$AG:$AG,"&lt;="&amp;日期!$B$9,allorders!$AG:$AG,"&gt;="&amp;日期!$B$10,allorders!Q:Q,"&lt;&gt;"&amp;"",allorders!N:N,"Shipped")</f>
        <v>1</v>
      </c>
      <c r="F25">
        <f>SUMIFS(allorders!$O:$O,allorders!$L:$L,$A25,allorders!$AG:$AG,"&lt;="&amp;日期!$B$11,allorders!$AG:$AG,"&gt;="&amp;日期!$B$12,allorders!Q:Q,"&lt;&gt;"&amp;"",allorders!N:N,"Shipped")</f>
        <v>2</v>
      </c>
      <c r="G25">
        <f>SUMIFS(allorders!Q:Q,allorders!L:L,A25,allorders!AG:AG,"&lt;="&amp;日期!$B$5,allorders!AG:AG,"&gt;="&amp;日期!$B$12,allorders!N:N,"Shipped")/SUM(C25:F25)</f>
        <v>19.99</v>
      </c>
      <c r="H25">
        <f>SUMIFS(allorders!Q:Q,allorders!L:L,A25,allorders!AG:AG,"&gt;="&amp;日期!$B$12,allorders!AG:AG,"&lt;="&amp;日期!$B$5,allorders!N:N,"Shipped")</f>
        <v>99.95</v>
      </c>
      <c r="I25">
        <f t="shared" si="0"/>
        <v>5</v>
      </c>
    </row>
    <row r="26" spans="1:9">
      <c r="A26" s="7" t="s">
        <v>233</v>
      </c>
      <c r="B26" t="str">
        <f>VLOOKUP(A26,'[1]子sku-父sku'!$A$1:$B$65536,2,0)</f>
        <v>YZ-ZQBL03</v>
      </c>
      <c r="C26">
        <f>SUMIFS(allorders!O:O,allorders!L:L,$A26,allorders!AG:AG,"&lt;="&amp;日期!$B$5,allorders!AG:AG,"&gt;="&amp;日期!$B$6,allorders!Q:Q,"&lt;&gt;"&amp;"",allorders!N:N,"Shipped")</f>
        <v>3</v>
      </c>
      <c r="D26">
        <f>SUMIFS(allorders!$O:$O,allorders!$L:$L,$A26,allorders!$AG:$AG,"&lt;="&amp;日期!$B$7,allorders!$AG:$AG,"&gt;="&amp;日期!$B$8,allorders!Q:Q,"&lt;&gt;"&amp;"",allorders!N:N,"Shipped")</f>
        <v>4</v>
      </c>
      <c r="E26">
        <f>SUMIFS(allorders!$O:$O,allorders!$L:$L,$A26,allorders!$AG:$AG,"&lt;="&amp;日期!$B$9,allorders!$AG:$AG,"&gt;="&amp;日期!$B$10,allorders!Q:Q,"&lt;&gt;"&amp;"",allorders!N:N,"Shipped")</f>
        <v>1</v>
      </c>
      <c r="F26">
        <f>SUMIFS(allorders!$O:$O,allorders!$L:$L,$A26,allorders!$AG:$AG,"&lt;="&amp;日期!$B$11,allorders!$AG:$AG,"&gt;="&amp;日期!$B$12,allorders!Q:Q,"&lt;&gt;"&amp;"",allorders!N:N,"Shipped")</f>
        <v>3</v>
      </c>
      <c r="G26">
        <f>SUMIFS(allorders!Q:Q,allorders!L:L,A26,allorders!AG:AG,"&lt;="&amp;日期!$B$5,allorders!AG:AG,"&gt;="&amp;日期!$B$12,allorders!N:N,"Shipped")/SUM(C26:F26)</f>
        <v>21.99</v>
      </c>
      <c r="H26">
        <f>SUMIFS(allorders!Q:Q,allorders!L:L,A26,allorders!AG:AG,"&gt;="&amp;日期!$B$12,allorders!AG:AG,"&lt;="&amp;日期!$B$5,allorders!N:N,"Shipped")</f>
        <v>241.89</v>
      </c>
      <c r="I26">
        <f t="shared" si="0"/>
        <v>11</v>
      </c>
    </row>
    <row r="27" spans="1:9">
      <c r="A27" s="7" t="s">
        <v>240</v>
      </c>
      <c r="B27" t="str">
        <f>VLOOKUP(A27,'[1]子sku-父sku'!$A$1:$B$65536,2,0)</f>
        <v>YZ-ZQFT1816</v>
      </c>
      <c r="C27">
        <f>SUMIFS(allorders!O:O,allorders!L:L,$A27,allorders!AG:AG,"&lt;="&amp;日期!$B$5,allorders!AG:AG,"&gt;="&amp;日期!$B$6,allorders!Q:Q,"&lt;&gt;"&amp;"",allorders!N:N,"Shipped")</f>
        <v>0</v>
      </c>
      <c r="D27">
        <f>SUMIFS(allorders!$O:$O,allorders!$L:$L,$A27,allorders!$AG:$AG,"&lt;="&amp;日期!$B$7,allorders!$AG:$AG,"&gt;="&amp;日期!$B$8,allorders!Q:Q,"&lt;&gt;"&amp;"",allorders!N:N,"Shipped")</f>
        <v>0</v>
      </c>
      <c r="E27">
        <f>SUMIFS(allorders!$O:$O,allorders!$L:$L,$A27,allorders!$AG:$AG,"&lt;="&amp;日期!$B$9,allorders!$AG:$AG,"&gt;="&amp;日期!$B$10,allorders!Q:Q,"&lt;&gt;"&amp;"",allorders!N:N,"Shipped")</f>
        <v>0</v>
      </c>
      <c r="F27">
        <f>SUMIFS(allorders!$O:$O,allorders!$L:$L,$A27,allorders!$AG:$AG,"&lt;="&amp;日期!$B$11,allorders!$AG:$AG,"&gt;="&amp;日期!$B$12,allorders!Q:Q,"&lt;&gt;"&amp;"",allorders!N:N,"Shipped")</f>
        <v>2</v>
      </c>
      <c r="G27">
        <f>SUMIFS(allorders!Q:Q,allorders!L:L,A27,allorders!AG:AG,"&lt;="&amp;日期!$B$5,allorders!AG:AG,"&gt;="&amp;日期!$B$12,allorders!N:N,"Shipped")/SUM(C27:F27)</f>
        <v>19.99</v>
      </c>
      <c r="H27">
        <f>SUMIFS(allorders!Q:Q,allorders!L:L,A27,allorders!AG:AG,"&gt;="&amp;日期!$B$12,allorders!AG:AG,"&lt;="&amp;日期!$B$5,allorders!N:N,"Shipped")</f>
        <v>39.98</v>
      </c>
      <c r="I27">
        <f t="shared" si="0"/>
        <v>2</v>
      </c>
    </row>
    <row r="28" spans="1:9">
      <c r="A28" s="7" t="s">
        <v>248</v>
      </c>
      <c r="B28" t="str">
        <f>VLOOKUP(A28,'[1]子sku-父sku'!$A$1:$B$65536,2,0)</f>
        <v>YZ-HM1727</v>
      </c>
      <c r="C28">
        <f>SUMIFS(allorders!O:O,allorders!L:L,$A28,allorders!AG:AG,"&lt;="&amp;日期!$B$5,allorders!AG:AG,"&gt;="&amp;日期!$B$6,allorders!Q:Q,"&lt;&gt;"&amp;"",allorders!N:N,"Shipped")</f>
        <v>13</v>
      </c>
      <c r="D28">
        <f>SUMIFS(allorders!$O:$O,allorders!$L:$L,$A28,allorders!$AG:$AG,"&lt;="&amp;日期!$B$7,allorders!$AG:$AG,"&gt;="&amp;日期!$B$8,allorders!Q:Q,"&lt;&gt;"&amp;"",allorders!N:N,"Shipped")</f>
        <v>7</v>
      </c>
      <c r="E28">
        <f>SUMIFS(allorders!$O:$O,allorders!$L:$L,$A28,allorders!$AG:$AG,"&lt;="&amp;日期!$B$9,allorders!$AG:$AG,"&gt;="&amp;日期!$B$10,allorders!Q:Q,"&lt;&gt;"&amp;"",allorders!N:N,"Shipped")</f>
        <v>9</v>
      </c>
      <c r="F28">
        <f>SUMIFS(allorders!$O:$O,allorders!$L:$L,$A28,allorders!$AG:$AG,"&lt;="&amp;日期!$B$11,allorders!$AG:$AG,"&gt;="&amp;日期!$B$12,allorders!Q:Q,"&lt;&gt;"&amp;"",allorders!N:N,"Shipped")</f>
        <v>13</v>
      </c>
      <c r="G28">
        <f>SUMIFS(allorders!Q:Q,allorders!L:L,A28,allorders!AG:AG,"&lt;="&amp;日期!$B$5,allorders!AG:AG,"&gt;="&amp;日期!$B$12,allorders!N:N,"Shipped")/SUM(C28:F28)</f>
        <v>18.99</v>
      </c>
      <c r="H28">
        <f>SUMIFS(allorders!Q:Q,allorders!L:L,A28,allorders!AG:AG,"&gt;="&amp;日期!$B$12,allorders!AG:AG,"&lt;="&amp;日期!$B$5,allorders!N:N,"Shipped")</f>
        <v>797.58</v>
      </c>
      <c r="I28">
        <f t="shared" si="0"/>
        <v>42</v>
      </c>
    </row>
    <row r="29" spans="1:9">
      <c r="A29" s="7" t="s">
        <v>256</v>
      </c>
      <c r="B29" t="str">
        <f>VLOOKUP(A29,'[1]子sku-父sku'!$A$1:$B$65536,2,0)</f>
        <v>YZ-SUBL03</v>
      </c>
      <c r="C29">
        <f>SUMIFS(allorders!O:O,allorders!L:L,$A29,allorders!AG:AG,"&lt;="&amp;日期!$B$5,allorders!AG:AG,"&gt;="&amp;日期!$B$6,allorders!Q:Q,"&lt;&gt;"&amp;"",allorders!N:N,"Shipped")</f>
        <v>14</v>
      </c>
      <c r="D29">
        <f>SUMIFS(allorders!$O:$O,allorders!$L:$L,$A29,allorders!$AG:$AG,"&lt;="&amp;日期!$B$7,allorders!$AG:$AG,"&gt;="&amp;日期!$B$8,allorders!Q:Q,"&lt;&gt;"&amp;"",allorders!N:N,"Shipped")</f>
        <v>13</v>
      </c>
      <c r="E29">
        <f>SUMIFS(allorders!$O:$O,allorders!$L:$L,$A29,allorders!$AG:$AG,"&lt;="&amp;日期!$B$9,allorders!$AG:$AG,"&gt;="&amp;日期!$B$10,allorders!Q:Q,"&lt;&gt;"&amp;"",allorders!N:N,"Shipped")</f>
        <v>17</v>
      </c>
      <c r="F29">
        <f>SUMIFS(allorders!$O:$O,allorders!$L:$L,$A29,allorders!$AG:$AG,"&lt;="&amp;日期!$B$11,allorders!$AG:$AG,"&gt;="&amp;日期!$B$12,allorders!Q:Q,"&lt;&gt;"&amp;"",allorders!N:N,"Shipped")</f>
        <v>7</v>
      </c>
      <c r="G29">
        <f>SUMIFS(allorders!Q:Q,allorders!L:L,A29,allorders!AG:AG,"&lt;="&amp;日期!$B$5,allorders!AG:AG,"&gt;="&amp;日期!$B$12,allorders!N:N,"Shipped")/SUM(C29:F29)</f>
        <v>19.99</v>
      </c>
      <c r="H29">
        <f>SUMIFS(allorders!Q:Q,allorders!L:L,A29,allorders!AG:AG,"&gt;="&amp;日期!$B$12,allorders!AG:AG,"&lt;="&amp;日期!$B$5,allorders!N:N,"Shipped")</f>
        <v>1019.49</v>
      </c>
      <c r="I29">
        <f t="shared" si="0"/>
        <v>51</v>
      </c>
    </row>
    <row r="30" spans="1:9">
      <c r="A30" s="7" t="s">
        <v>263</v>
      </c>
      <c r="B30" t="str">
        <f>VLOOKUP(A30,'[1]子sku-父sku'!$A$1:$B$65536,2,0)</f>
        <v>LYQ-ZQ1117</v>
      </c>
      <c r="C30">
        <f>SUMIFS(allorders!O:O,allorders!L:L,$A30,allorders!AG:AG,"&lt;="&amp;日期!$B$5,allorders!AG:AG,"&gt;="&amp;日期!$B$6,allorders!Q:Q,"&lt;&gt;"&amp;"",allorders!N:N,"Shipped")</f>
        <v>0</v>
      </c>
      <c r="D30">
        <f>SUMIFS(allorders!$O:$O,allorders!$L:$L,$A30,allorders!$AG:$AG,"&lt;="&amp;日期!$B$7,allorders!$AG:$AG,"&gt;="&amp;日期!$B$8,allorders!Q:Q,"&lt;&gt;"&amp;"",allorders!N:N,"Shipped")</f>
        <v>0</v>
      </c>
      <c r="E30">
        <f>SUMIFS(allorders!$O:$O,allorders!$L:$L,$A30,allorders!$AG:$AG,"&lt;="&amp;日期!$B$9,allorders!$AG:$AG,"&gt;="&amp;日期!$B$10,allorders!Q:Q,"&lt;&gt;"&amp;"",allorders!N:N,"Shipped")</f>
        <v>0</v>
      </c>
      <c r="F30">
        <f>SUMIFS(allorders!$O:$O,allorders!$L:$L,$A30,allorders!$AG:$AG,"&lt;="&amp;日期!$B$11,allorders!$AG:$AG,"&gt;="&amp;日期!$B$12,allorders!Q:Q,"&lt;&gt;"&amp;"",allorders!N:N,"Shipped")</f>
        <v>1</v>
      </c>
      <c r="G30">
        <f>SUMIFS(allorders!Q:Q,allorders!L:L,A30,allorders!AG:AG,"&lt;="&amp;日期!$B$5,allorders!AG:AG,"&gt;="&amp;日期!$B$12,allorders!N:N,"Shipped")/SUM(C30:F30)</f>
        <v>16.99</v>
      </c>
      <c r="H30">
        <f>SUMIFS(allorders!Q:Q,allorders!L:L,A30,allorders!AG:AG,"&gt;="&amp;日期!$B$12,allorders!AG:AG,"&lt;="&amp;日期!$B$5,allorders!N:N,"Shipped")</f>
        <v>16.99</v>
      </c>
      <c r="I30">
        <f t="shared" si="0"/>
        <v>1</v>
      </c>
    </row>
    <row r="31" spans="1:9">
      <c r="A31" s="7" t="s">
        <v>277</v>
      </c>
      <c r="B31" t="str">
        <f>VLOOKUP(A31,'[1]子sku-父sku'!$A$1:$B$65536,2,0)</f>
        <v>YZ-SUBL03</v>
      </c>
      <c r="C31">
        <f>SUMIFS(allorders!O:O,allorders!L:L,$A31,allorders!AG:AG,"&lt;="&amp;日期!$B$5,allorders!AG:AG,"&gt;="&amp;日期!$B$6,allorders!Q:Q,"&lt;&gt;"&amp;"",allorders!N:N,"Shipped")</f>
        <v>1</v>
      </c>
      <c r="D31">
        <f>SUMIFS(allorders!$O:$O,allorders!$L:$L,$A31,allorders!$AG:$AG,"&lt;="&amp;日期!$B$7,allorders!$AG:$AG,"&gt;="&amp;日期!$B$8,allorders!Q:Q,"&lt;&gt;"&amp;"",allorders!N:N,"Shipped")</f>
        <v>4</v>
      </c>
      <c r="E31">
        <f>SUMIFS(allorders!$O:$O,allorders!$L:$L,$A31,allorders!$AG:$AG,"&lt;="&amp;日期!$B$9,allorders!$AG:$AG,"&gt;="&amp;日期!$B$10,allorders!Q:Q,"&lt;&gt;"&amp;"",allorders!N:N,"Shipped")</f>
        <v>14</v>
      </c>
      <c r="F31">
        <f>SUMIFS(allorders!$O:$O,allorders!$L:$L,$A31,allorders!$AG:$AG,"&lt;="&amp;日期!$B$11,allorders!$AG:$AG,"&gt;="&amp;日期!$B$12,allorders!Q:Q,"&lt;&gt;"&amp;"",allorders!N:N,"Shipped")</f>
        <v>11</v>
      </c>
      <c r="G31">
        <f>SUMIFS(allorders!Q:Q,allorders!L:L,A31,allorders!AG:AG,"&lt;="&amp;日期!$B$5,allorders!AG:AG,"&gt;="&amp;日期!$B$12,allorders!N:N,"Shipped")/SUM(C31:F31)</f>
        <v>19.99</v>
      </c>
      <c r="H31">
        <f>SUMIFS(allorders!Q:Q,allorders!L:L,A31,allorders!AG:AG,"&gt;="&amp;日期!$B$12,allorders!AG:AG,"&lt;="&amp;日期!$B$5,allorders!N:N,"Shipped")</f>
        <v>599.7</v>
      </c>
      <c r="I31">
        <f t="shared" si="0"/>
        <v>30</v>
      </c>
    </row>
    <row r="32" spans="1:9">
      <c r="A32" s="7" t="s">
        <v>284</v>
      </c>
      <c r="B32" t="str">
        <f>VLOOKUP(A32,'[1]子sku-父sku'!$A$1:$B$65536,2,0)</f>
        <v>YZ-SUZQ388</v>
      </c>
      <c r="C32">
        <f>SUMIFS(allorders!O:O,allorders!L:L,$A32,allorders!AG:AG,"&lt;="&amp;日期!$B$5,allorders!AG:AG,"&gt;="&amp;日期!$B$6,allorders!Q:Q,"&lt;&gt;"&amp;"",allorders!N:N,"Shipped")</f>
        <v>7</v>
      </c>
      <c r="D32">
        <f>SUMIFS(allorders!$O:$O,allorders!$L:$L,$A32,allorders!$AG:$AG,"&lt;="&amp;日期!$B$7,allorders!$AG:$AG,"&gt;="&amp;日期!$B$8,allorders!Q:Q,"&lt;&gt;"&amp;"",allorders!N:N,"Shipped")</f>
        <v>14</v>
      </c>
      <c r="E32">
        <f>SUMIFS(allorders!$O:$O,allorders!$L:$L,$A32,allorders!$AG:$AG,"&lt;="&amp;日期!$B$9,allorders!$AG:$AG,"&gt;="&amp;日期!$B$10,allorders!Q:Q,"&lt;&gt;"&amp;"",allorders!N:N,"Shipped")</f>
        <v>9</v>
      </c>
      <c r="F32">
        <f>SUMIFS(allorders!$O:$O,allorders!$L:$L,$A32,allorders!$AG:$AG,"&lt;="&amp;日期!$B$11,allorders!$AG:$AG,"&gt;="&amp;日期!$B$12,allorders!Q:Q,"&lt;&gt;"&amp;"",allorders!N:N,"Shipped")</f>
        <v>7</v>
      </c>
      <c r="G32">
        <f>SUMIFS(allorders!Q:Q,allorders!L:L,A32,allorders!AG:AG,"&lt;="&amp;日期!$B$5,allorders!AG:AG,"&gt;="&amp;日期!$B$12,allorders!N:N,"Shipped")/SUM(C32:F32)</f>
        <v>16.017027027027</v>
      </c>
      <c r="H32">
        <f>SUMIFS(allorders!Q:Q,allorders!L:L,A32,allorders!AG:AG,"&gt;="&amp;日期!$B$12,allorders!AG:AG,"&lt;="&amp;日期!$B$5,allorders!N:N,"Shipped")</f>
        <v>592.63</v>
      </c>
      <c r="I32">
        <f t="shared" si="0"/>
        <v>37</v>
      </c>
    </row>
    <row r="33" spans="1:9">
      <c r="A33" s="7" t="s">
        <v>293</v>
      </c>
      <c r="B33" t="str">
        <f>VLOOKUP(A33,'[1]子sku-父sku'!$A$1:$B$65536,2,0)</f>
        <v>YZ-HM1728</v>
      </c>
      <c r="C33">
        <f>SUMIFS(allorders!O:O,allorders!L:L,$A33,allorders!AG:AG,"&lt;="&amp;日期!$B$5,allorders!AG:AG,"&gt;="&amp;日期!$B$6,allorders!Q:Q,"&lt;&gt;"&amp;"",allorders!N:N,"Shipped")</f>
        <v>0</v>
      </c>
      <c r="D33">
        <f>SUMIFS(allorders!$O:$O,allorders!$L:$L,$A33,allorders!$AG:$AG,"&lt;="&amp;日期!$B$7,allorders!$AG:$AG,"&gt;="&amp;日期!$B$8,allorders!Q:Q,"&lt;&gt;"&amp;"",allorders!N:N,"Shipped")</f>
        <v>3</v>
      </c>
      <c r="E33">
        <f>SUMIFS(allorders!$O:$O,allorders!$L:$L,$A33,allorders!$AG:$AG,"&lt;="&amp;日期!$B$9,allorders!$AG:$AG,"&gt;="&amp;日期!$B$10,allorders!Q:Q,"&lt;&gt;"&amp;"",allorders!N:N,"Shipped")</f>
        <v>0</v>
      </c>
      <c r="F33">
        <f>SUMIFS(allorders!$O:$O,allorders!$L:$L,$A33,allorders!$AG:$AG,"&lt;="&amp;日期!$B$11,allorders!$AG:$AG,"&gt;="&amp;日期!$B$12,allorders!Q:Q,"&lt;&gt;"&amp;"",allorders!N:N,"Shipped")</f>
        <v>1</v>
      </c>
      <c r="G33">
        <f>SUMIFS(allorders!Q:Q,allorders!L:L,A33,allorders!AG:AG,"&lt;="&amp;日期!$B$5,allorders!AG:AG,"&gt;="&amp;日期!$B$12,allorders!N:N,"Shipped")/SUM(C33:F33)</f>
        <v>18.99</v>
      </c>
      <c r="H33">
        <f>SUMIFS(allorders!Q:Q,allorders!L:L,A33,allorders!AG:AG,"&gt;="&amp;日期!$B$12,allorders!AG:AG,"&lt;="&amp;日期!$B$5,allorders!N:N,"Shipped")</f>
        <v>75.96</v>
      </c>
      <c r="I33">
        <f t="shared" si="0"/>
        <v>4</v>
      </c>
    </row>
    <row r="34" spans="1:9">
      <c r="A34" s="7" t="s">
        <v>300</v>
      </c>
      <c r="B34" t="str">
        <f>VLOOKUP(A34,'[1]子sku-父sku'!$A$1:$B$65536,2,0)</f>
        <v>YZ-SUBL03</v>
      </c>
      <c r="C34">
        <f>SUMIFS(allorders!O:O,allorders!L:L,$A34,allorders!AG:AG,"&lt;="&amp;日期!$B$5,allorders!AG:AG,"&gt;="&amp;日期!$B$6,allorders!Q:Q,"&lt;&gt;"&amp;"",allorders!N:N,"Shipped")</f>
        <v>4</v>
      </c>
      <c r="D34">
        <f>SUMIFS(allorders!$O:$O,allorders!$L:$L,$A34,allorders!$AG:$AG,"&lt;="&amp;日期!$B$7,allorders!$AG:$AG,"&gt;="&amp;日期!$B$8,allorders!Q:Q,"&lt;&gt;"&amp;"",allorders!N:N,"Shipped")</f>
        <v>5</v>
      </c>
      <c r="E34">
        <f>SUMIFS(allorders!$O:$O,allorders!$L:$L,$A34,allorders!$AG:$AG,"&lt;="&amp;日期!$B$9,allorders!$AG:$AG,"&gt;="&amp;日期!$B$10,allorders!Q:Q,"&lt;&gt;"&amp;"",allorders!N:N,"Shipped")</f>
        <v>6</v>
      </c>
      <c r="F34">
        <f>SUMIFS(allorders!$O:$O,allorders!$L:$L,$A34,allorders!$AG:$AG,"&lt;="&amp;日期!$B$11,allorders!$AG:$AG,"&gt;="&amp;日期!$B$12,allorders!Q:Q,"&lt;&gt;"&amp;"",allorders!N:N,"Shipped")</f>
        <v>7</v>
      </c>
      <c r="G34">
        <f>SUMIFS(allorders!Q:Q,allorders!L:L,A34,allorders!AG:AG,"&lt;="&amp;日期!$B$5,allorders!AG:AG,"&gt;="&amp;日期!$B$12,allorders!N:N,"Shipped")/SUM(C34:F34)</f>
        <v>19.99</v>
      </c>
      <c r="H34">
        <f>SUMIFS(allorders!Q:Q,allorders!L:L,A34,allorders!AG:AG,"&gt;="&amp;日期!$B$12,allorders!AG:AG,"&lt;="&amp;日期!$B$5,allorders!N:N,"Shipped")</f>
        <v>439.78</v>
      </c>
      <c r="I34">
        <f t="shared" si="0"/>
        <v>22</v>
      </c>
    </row>
    <row r="35" spans="1:9">
      <c r="A35" s="7" t="s">
        <v>308</v>
      </c>
      <c r="B35" t="str">
        <f>VLOOKUP(A35,'[1]子sku-父sku'!$A$1:$B$65536,2,0)</f>
        <v>YZ-ZQQ9217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0</v>
      </c>
      <c r="E35">
        <f>SUMIFS(allorders!$O:$O,allorders!$L:$L,$A35,allorders!$AG:$AG,"&lt;="&amp;日期!$B$9,allorders!$AG:$AG,"&gt;="&amp;日期!$B$10,allorders!Q:Q,"&lt;&gt;"&amp;"",allorders!N:N,"Shipped")</f>
        <v>0</v>
      </c>
      <c r="F35">
        <f>SUMIFS(allorders!$O:$O,allorders!$L:$L,$A35,allorders!$AG:$AG,"&lt;="&amp;日期!$B$11,allorders!$AG:$AG,"&gt;="&amp;日期!$B$12,allorders!Q:Q,"&lt;&gt;"&amp;"",allorders!N:N,"Shipped")</f>
        <v>1</v>
      </c>
      <c r="G35">
        <f>SUMIFS(allorders!Q:Q,allorders!L:L,A35,allorders!AG:AG,"&lt;="&amp;日期!$B$5,allorders!AG:AG,"&gt;="&amp;日期!$B$12,allorders!N:N,"Shipped")/SUM(C35:F35)</f>
        <v>19.99</v>
      </c>
      <c r="H35">
        <f>SUMIFS(allorders!Q:Q,allorders!L:L,A35,allorders!AG:AG,"&gt;="&amp;日期!$B$12,allorders!AG:AG,"&lt;="&amp;日期!$B$5,allorders!N:N,"Shipped")</f>
        <v>19.99</v>
      </c>
      <c r="I35">
        <f t="shared" si="0"/>
        <v>1</v>
      </c>
    </row>
    <row r="36" spans="1:9">
      <c r="A36" s="7" t="s">
        <v>315</v>
      </c>
      <c r="B36" t="str">
        <f>VLOOKUP(A36,'[1]子sku-父sku'!$A$1:$B$65536,2,0)</f>
        <v>YZ-ZQ1521</v>
      </c>
      <c r="C36">
        <f>SUMIFS(allorders!O:O,allorders!L:L,$A36,allorders!AG:AG,"&lt;="&amp;日期!$B$5,allorders!AG:AG,"&gt;="&amp;日期!$B$6,allorders!Q:Q,"&lt;&gt;"&amp;"",allorders!N:N,"Shipped")</f>
        <v>1</v>
      </c>
      <c r="D36">
        <f>SUMIFS(allorders!$O:$O,allorders!$L:$L,$A36,allorders!$AG:$AG,"&lt;="&amp;日期!$B$7,allorders!$AG:$AG,"&gt;="&amp;日期!$B$8,allorders!Q:Q,"&lt;&gt;"&amp;"",allorders!N:N,"Shipped")</f>
        <v>1</v>
      </c>
      <c r="E36">
        <f>SUMIFS(allorders!$O:$O,allorders!$L:$L,$A36,allorders!$AG:$AG,"&lt;="&amp;日期!$B$9,allorders!$AG:$AG,"&gt;="&amp;日期!$B$10,allorders!Q:Q,"&lt;&gt;"&amp;"",allorders!N:N,"Shipped")</f>
        <v>2</v>
      </c>
      <c r="F36">
        <f>SUMIFS(allorders!$O:$O,allorders!$L:$L,$A36,allorders!$AG:$AG,"&lt;="&amp;日期!$B$11,allorders!$AG:$AG,"&gt;="&amp;日期!$B$12,allorders!Q:Q,"&lt;&gt;"&amp;"",allorders!N:N,"Shipped")</f>
        <v>3</v>
      </c>
      <c r="G36">
        <f>SUMIFS(allorders!Q:Q,allorders!L:L,A36,allorders!AG:AG,"&lt;="&amp;日期!$B$5,allorders!AG:AG,"&gt;="&amp;日期!$B$12,allorders!N:N,"Shipped")/SUM(C36:F36)</f>
        <v>19.38</v>
      </c>
      <c r="H36">
        <f>SUMIFS(allorders!Q:Q,allorders!L:L,A36,allorders!AG:AG,"&gt;="&amp;日期!$B$12,allorders!AG:AG,"&lt;="&amp;日期!$B$5,allorders!N:N,"Shipped")</f>
        <v>135.66</v>
      </c>
      <c r="I36">
        <f t="shared" si="0"/>
        <v>7</v>
      </c>
    </row>
    <row r="37" spans="1:9">
      <c r="A37" s="7" t="s">
        <v>329</v>
      </c>
      <c r="B37" t="str">
        <f>VLOOKUP(A37,'[1]子sku-父sku'!$A$1:$B$65536,2,0)</f>
        <v>YZ-ZQ1521</v>
      </c>
      <c r="C37">
        <f>SUMIFS(allorders!O:O,allorders!L:L,$A37,allorders!AG:AG,"&lt;="&amp;日期!$B$5,allorders!AG:AG,"&gt;="&amp;日期!$B$6,allorders!Q:Q,"&lt;&gt;"&amp;"",allorders!N:N,"Shipped")</f>
        <v>0</v>
      </c>
      <c r="D37">
        <f>SUMIFS(allorders!$O:$O,allorders!$L:$L,$A37,allorders!$AG:$AG,"&lt;="&amp;日期!$B$7,allorders!$AG:$AG,"&gt;="&amp;日期!$B$8,allorders!Q:Q,"&lt;&gt;"&amp;"",allorders!N:N,"Shipped")</f>
        <v>0</v>
      </c>
      <c r="E37">
        <f>SUMIFS(allorders!$O:$O,allorders!$L:$L,$A37,allorders!$AG:$AG,"&lt;="&amp;日期!$B$9,allorders!$AG:$AG,"&gt;="&amp;日期!$B$10,allorders!Q:Q,"&lt;&gt;"&amp;"",allorders!N:N,"Shipped")</f>
        <v>0</v>
      </c>
      <c r="F37">
        <f>SUMIFS(allorders!$O:$O,allorders!$L:$L,$A37,allorders!$AG:$AG,"&lt;="&amp;日期!$B$11,allorders!$AG:$AG,"&gt;="&amp;日期!$B$12,allorders!Q:Q,"&lt;&gt;"&amp;"",allorders!N:N,"Shipped")</f>
        <v>2</v>
      </c>
      <c r="G37">
        <f>SUMIFS(allorders!Q:Q,allorders!L:L,A37,allorders!AG:AG,"&lt;="&amp;日期!$B$5,allorders!AG:AG,"&gt;="&amp;日期!$B$12,allorders!N:N,"Shipped")/SUM(C37:F37)</f>
        <v>19.38</v>
      </c>
      <c r="H37">
        <f>SUMIFS(allorders!Q:Q,allorders!L:L,A37,allorders!AG:AG,"&gt;="&amp;日期!$B$12,allorders!AG:AG,"&lt;="&amp;日期!$B$5,allorders!N:N,"Shipped")</f>
        <v>38.76</v>
      </c>
      <c r="I37">
        <f t="shared" si="0"/>
        <v>2</v>
      </c>
    </row>
    <row r="38" spans="1:9">
      <c r="A38" s="7" t="s">
        <v>337</v>
      </c>
      <c r="B38" t="str">
        <f>VLOOKUP(A38,'[1]子sku-父sku'!$A$1:$B$65536,2,0)</f>
        <v>LYQ-ZQ3550</v>
      </c>
      <c r="C38">
        <f>SUMIFS(allorders!O:O,allorders!L:L,$A38,allorders!AG:AG,"&lt;="&amp;日期!$B$5,allorders!AG:AG,"&gt;="&amp;日期!$B$6,allorders!Q:Q,"&lt;&gt;"&amp;"",allorders!N:N,"Shipped")</f>
        <v>0</v>
      </c>
      <c r="D38">
        <f>SUMIFS(allorders!$O:$O,allorders!$L:$L,$A38,allorders!$AG:$AG,"&lt;="&amp;日期!$B$7,allorders!$AG:$AG,"&gt;="&amp;日期!$B$8,allorders!Q:Q,"&lt;&gt;"&amp;"",allorders!N:N,"Shipped")</f>
        <v>0</v>
      </c>
      <c r="E38">
        <f>SUMIFS(allorders!$O:$O,allorders!$L:$L,$A38,allorders!$AG:$AG,"&lt;="&amp;日期!$B$9,allorders!$AG:$AG,"&gt;="&amp;日期!$B$10,allorders!Q:Q,"&lt;&gt;"&amp;"",allorders!N:N,"Shipped")</f>
        <v>0</v>
      </c>
      <c r="F38">
        <f>SUMIFS(allorders!$O:$O,allorders!$L:$L,$A38,allorders!$AG:$AG,"&lt;="&amp;日期!$B$11,allorders!$AG:$AG,"&gt;="&amp;日期!$B$12,allorders!Q:Q,"&lt;&gt;"&amp;"",allorders!N:N,"Shipped")</f>
        <v>1</v>
      </c>
      <c r="G38">
        <f>SUMIFS(allorders!Q:Q,allorders!L:L,A38,allorders!AG:AG,"&lt;="&amp;日期!$B$5,allorders!AG:AG,"&gt;="&amp;日期!$B$12,allorders!N:N,"Shipped")/SUM(C38:F38)</f>
        <v>16.99</v>
      </c>
      <c r="H38">
        <f>SUMIFS(allorders!Q:Q,allorders!L:L,A38,allorders!AG:AG,"&gt;="&amp;日期!$B$12,allorders!AG:AG,"&lt;="&amp;日期!$B$5,allorders!N:N,"Shipped")</f>
        <v>16.99</v>
      </c>
      <c r="I38">
        <f t="shared" si="0"/>
        <v>1</v>
      </c>
    </row>
    <row r="39" spans="1:9">
      <c r="A39" s="7" t="s">
        <v>354</v>
      </c>
      <c r="B39" t="str">
        <f>VLOOKUP(A39,'[1]子sku-父sku'!$A$1:$B$65536,2,0)</f>
        <v>YZ-ZQ1521</v>
      </c>
      <c r="C39">
        <f>SUMIFS(allorders!O:O,allorders!L:L,$A39,allorders!AG:AG,"&lt;="&amp;日期!$B$5,allorders!AG:AG,"&gt;="&amp;日期!$B$6,allorders!Q:Q,"&lt;&gt;"&amp;"",allorders!N:N,"Shipped")</f>
        <v>0</v>
      </c>
      <c r="D39">
        <f>SUMIFS(allorders!$O:$O,allorders!$L:$L,$A39,allorders!$AG:$AG,"&lt;="&amp;日期!$B$7,allorders!$AG:$AG,"&gt;="&amp;日期!$B$8,allorders!Q:Q,"&lt;&gt;"&amp;"",allorders!N:N,"Shipped")</f>
        <v>0</v>
      </c>
      <c r="E39">
        <f>SUMIFS(allorders!$O:$O,allorders!$L:$L,$A39,allorders!$AG:$AG,"&lt;="&amp;日期!$B$9,allorders!$AG:$AG,"&gt;="&amp;日期!$B$10,allorders!Q:Q,"&lt;&gt;"&amp;"",allorders!N:N,"Shipped")</f>
        <v>1</v>
      </c>
      <c r="F39">
        <f>SUMIFS(allorders!$O:$O,allorders!$L:$L,$A39,allorders!$AG:$AG,"&lt;="&amp;日期!$B$11,allorders!$AG:$AG,"&gt;="&amp;日期!$B$12,allorders!Q:Q,"&lt;&gt;"&amp;"",allorders!N:N,"Shipped")</f>
        <v>2</v>
      </c>
      <c r="G39">
        <f>SUMIFS(allorders!Q:Q,allorders!L:L,A39,allorders!AG:AG,"&lt;="&amp;日期!$B$5,allorders!AG:AG,"&gt;="&amp;日期!$B$12,allorders!N:N,"Shipped")/SUM(C39:F39)</f>
        <v>19.38</v>
      </c>
      <c r="H39">
        <f>SUMIFS(allorders!Q:Q,allorders!L:L,A39,allorders!AG:AG,"&gt;="&amp;日期!$B$12,allorders!AG:AG,"&lt;="&amp;日期!$B$5,allorders!N:N,"Shipped")</f>
        <v>58.14</v>
      </c>
      <c r="I39">
        <f t="shared" si="0"/>
        <v>3</v>
      </c>
    </row>
    <row r="40" spans="1:9">
      <c r="A40" s="7" t="s">
        <v>389</v>
      </c>
      <c r="B40" t="str">
        <f>VLOOKUP(A40,'[1]子sku-父sku'!$A$1:$B$65536,2,0)</f>
        <v>YZ-ZQ1521</v>
      </c>
      <c r="C40">
        <f>SUMIFS(allorders!O:O,allorders!L:L,$A40,allorders!AG:AG,"&lt;="&amp;日期!$B$5,allorders!AG:AG,"&gt;="&amp;日期!$B$6,allorders!Q:Q,"&lt;&gt;"&amp;"",allorders!N:N,"Shipped")</f>
        <v>3</v>
      </c>
      <c r="D40">
        <f>SUMIFS(allorders!$O:$O,allorders!$L:$L,$A40,allorders!$AG:$AG,"&lt;="&amp;日期!$B$7,allorders!$AG:$AG,"&gt;="&amp;日期!$B$8,allorders!Q:Q,"&lt;&gt;"&amp;"",allorders!N:N,"Shipped")</f>
        <v>2</v>
      </c>
      <c r="E40">
        <f>SUMIFS(allorders!$O:$O,allorders!$L:$L,$A40,allorders!$AG:$AG,"&lt;="&amp;日期!$B$9,allorders!$AG:$AG,"&gt;="&amp;日期!$B$10,allorders!Q:Q,"&lt;&gt;"&amp;"",allorders!N:N,"Shipped")</f>
        <v>1</v>
      </c>
      <c r="F40">
        <f>SUMIFS(allorders!$O:$O,allorders!$L:$L,$A40,allorders!$AG:$AG,"&lt;="&amp;日期!$B$11,allorders!$AG:$AG,"&gt;="&amp;日期!$B$12,allorders!Q:Q,"&lt;&gt;"&amp;"",allorders!N:N,"Shipped")</f>
        <v>2</v>
      </c>
      <c r="G40">
        <f>SUMIFS(allorders!Q:Q,allorders!L:L,A40,allorders!AG:AG,"&lt;="&amp;日期!$B$5,allorders!AG:AG,"&gt;="&amp;日期!$B$12,allorders!N:N,"Shipped")/SUM(C40:F40)</f>
        <v>19.38</v>
      </c>
      <c r="H40">
        <f>SUMIFS(allorders!Q:Q,allorders!L:L,A40,allorders!AG:AG,"&gt;="&amp;日期!$B$12,allorders!AG:AG,"&lt;="&amp;日期!$B$5,allorders!N:N,"Shipped")</f>
        <v>155.04</v>
      </c>
      <c r="I40">
        <f t="shared" si="0"/>
        <v>8</v>
      </c>
    </row>
    <row r="41" spans="1:9">
      <c r="A41" s="7" t="s">
        <v>408</v>
      </c>
      <c r="B41" t="str">
        <f>VLOOKUP(A41,'[1]子sku-父sku'!$A$1:$B$65536,2,0)</f>
        <v>YZ-HM1728</v>
      </c>
      <c r="C41">
        <f>SUMIFS(allorders!O:O,allorders!L:L,$A41,allorders!AG:AG,"&lt;="&amp;日期!$B$5,allorders!AG:AG,"&gt;="&amp;日期!$B$6,allorders!Q:Q,"&lt;&gt;"&amp;"",allorders!N:N,"Shipped")</f>
        <v>0</v>
      </c>
      <c r="D41">
        <f>SUMIFS(allorders!$O:$O,allorders!$L:$L,$A41,allorders!$AG:$AG,"&lt;="&amp;日期!$B$7,allorders!$AG:$AG,"&gt;="&amp;日期!$B$8,allorders!Q:Q,"&lt;&gt;"&amp;"",allorders!N:N,"Shipped")</f>
        <v>0</v>
      </c>
      <c r="E41">
        <f>SUMIFS(allorders!$O:$O,allorders!$L:$L,$A41,allorders!$AG:$AG,"&lt;="&amp;日期!$B$9,allorders!$AG:$AG,"&gt;="&amp;日期!$B$10,allorders!Q:Q,"&lt;&gt;"&amp;"",allorders!N:N,"Shipped")</f>
        <v>0</v>
      </c>
      <c r="F41">
        <f>SUMIFS(allorders!$O:$O,allorders!$L:$L,$A41,allorders!$AG:$AG,"&lt;="&amp;日期!$B$11,allorders!$AG:$AG,"&gt;="&amp;日期!$B$12,allorders!Q:Q,"&lt;&gt;"&amp;"",allorders!N:N,"Shipped")</f>
        <v>3</v>
      </c>
      <c r="G41">
        <f>SUMIFS(allorders!Q:Q,allorders!L:L,A41,allorders!AG:AG,"&lt;="&amp;日期!$B$5,allorders!AG:AG,"&gt;="&amp;日期!$B$12,allorders!N:N,"Shipped")/SUM(C41:F41)</f>
        <v>18.99</v>
      </c>
      <c r="H41">
        <f>SUMIFS(allorders!Q:Q,allorders!L:L,A41,allorders!AG:AG,"&gt;="&amp;日期!$B$12,allorders!AG:AG,"&lt;="&amp;日期!$B$5,allorders!N:N,"Shipped")</f>
        <v>56.97</v>
      </c>
      <c r="I41">
        <f t="shared" si="0"/>
        <v>3</v>
      </c>
    </row>
    <row r="42" spans="1:9">
      <c r="A42" s="7" t="s">
        <v>420</v>
      </c>
      <c r="B42" t="str">
        <f>VLOOKUP(A42,'[1]子sku-父sku'!$A$1:$B$65536,2,0)</f>
        <v>YZ-ZQBL03</v>
      </c>
      <c r="C42">
        <f>SUMIFS(allorders!O:O,allorders!L:L,$A42,allorders!AG:AG,"&lt;="&amp;日期!$B$5,allorders!AG:AG,"&gt;="&amp;日期!$B$6,allorders!Q:Q,"&lt;&gt;"&amp;"",allorders!N:N,"Shipped")</f>
        <v>0</v>
      </c>
      <c r="D42">
        <f>SUMIFS(allorders!$O:$O,allorders!$L:$L,$A42,allorders!$AG:$AG,"&lt;="&amp;日期!$B$7,allorders!$AG:$AG,"&gt;="&amp;日期!$B$8,allorders!Q:Q,"&lt;&gt;"&amp;"",allorders!N:N,"Shipped")</f>
        <v>0</v>
      </c>
      <c r="E42">
        <f>SUMIFS(allorders!$O:$O,allorders!$L:$L,$A42,allorders!$AG:$AG,"&lt;="&amp;日期!$B$9,allorders!$AG:$AG,"&gt;="&amp;日期!$B$10,allorders!Q:Q,"&lt;&gt;"&amp;"",allorders!N:N,"Shipped")</f>
        <v>0</v>
      </c>
      <c r="F42">
        <f>SUMIFS(allorders!$O:$O,allorders!$L:$L,$A42,allorders!$AG:$AG,"&lt;="&amp;日期!$B$11,allorders!$AG:$AG,"&gt;="&amp;日期!$B$12,allorders!Q:Q,"&lt;&gt;"&amp;"",allorders!N:N,"Shipped")</f>
        <v>1</v>
      </c>
      <c r="G42">
        <f>SUMIFS(allorders!Q:Q,allorders!L:L,A42,allorders!AG:AG,"&lt;="&amp;日期!$B$5,allorders!AG:AG,"&gt;="&amp;日期!$B$12,allorders!N:N,"Shipped")/SUM(C42:F42)</f>
        <v>19.99</v>
      </c>
      <c r="H42">
        <f>SUMIFS(allorders!Q:Q,allorders!L:L,A42,allorders!AG:AG,"&gt;="&amp;日期!$B$12,allorders!AG:AG,"&lt;="&amp;日期!$B$5,allorders!N:N,"Shipped")</f>
        <v>19.99</v>
      </c>
      <c r="I42">
        <f t="shared" si="0"/>
        <v>1</v>
      </c>
    </row>
    <row r="43" spans="1:9">
      <c r="A43" s="7" t="s">
        <v>427</v>
      </c>
      <c r="B43" t="str">
        <f>VLOOKUP(A43,'[1]子sku-父sku'!$A$1:$B$65536,2,0)</f>
        <v>YZ-SUBL03</v>
      </c>
      <c r="C43">
        <f>SUMIFS(allorders!O:O,allorders!L:L,$A43,allorders!AG:AG,"&lt;="&amp;日期!$B$5,allorders!AG:AG,"&gt;="&amp;日期!$B$6,allorders!Q:Q,"&lt;&gt;"&amp;"",allorders!N:N,"Shipped")</f>
        <v>0</v>
      </c>
      <c r="D43">
        <f>SUMIFS(allorders!$O:$O,allorders!$L:$L,$A43,allorders!$AG:$AG,"&lt;="&amp;日期!$B$7,allorders!$AG:$AG,"&gt;="&amp;日期!$B$8,allorders!Q:Q,"&lt;&gt;"&amp;"",allorders!N:N,"Shipped")</f>
        <v>1</v>
      </c>
      <c r="E43">
        <f>SUMIFS(allorders!$O:$O,allorders!$L:$L,$A43,allorders!$AG:$AG,"&lt;="&amp;日期!$B$9,allorders!$AG:$AG,"&gt;="&amp;日期!$B$10,allorders!Q:Q,"&lt;&gt;"&amp;"",allorders!N:N,"Shipped")</f>
        <v>1</v>
      </c>
      <c r="F43">
        <f>SUMIFS(allorders!$O:$O,allorders!$L:$L,$A43,allorders!$AG:$AG,"&lt;="&amp;日期!$B$11,allorders!$AG:$AG,"&gt;="&amp;日期!$B$12,allorders!Q:Q,"&lt;&gt;"&amp;"",allorders!N:N,"Shipped")</f>
        <v>2</v>
      </c>
      <c r="G43">
        <f>SUMIFS(allorders!Q:Q,allorders!L:L,A43,allorders!AG:AG,"&lt;="&amp;日期!$B$5,allorders!AG:AG,"&gt;="&amp;日期!$B$12,allorders!N:N,"Shipped")/SUM(C43:F43)</f>
        <v>19.99</v>
      </c>
      <c r="H43">
        <f>SUMIFS(allorders!Q:Q,allorders!L:L,A43,allorders!AG:AG,"&gt;="&amp;日期!$B$12,allorders!AG:AG,"&lt;="&amp;日期!$B$5,allorders!N:N,"Shipped")</f>
        <v>79.96</v>
      </c>
      <c r="I43">
        <f t="shared" si="0"/>
        <v>4</v>
      </c>
    </row>
    <row r="44" spans="1:9">
      <c r="A44" s="7" t="s">
        <v>434</v>
      </c>
      <c r="B44" t="str">
        <f>VLOOKUP(A44,'[1]子sku-父sku'!$A$1:$B$65536,2,0)</f>
        <v>YZ-ZQ1521</v>
      </c>
      <c r="C44">
        <f>SUMIFS(allorders!O:O,allorders!L:L,$A44,allorders!AG:AG,"&lt;="&amp;日期!$B$5,allorders!AG:AG,"&gt;="&amp;日期!$B$6,allorders!Q:Q,"&lt;&gt;"&amp;"",allorders!N:N,"Shipped")</f>
        <v>0</v>
      </c>
      <c r="D44">
        <f>SUMIFS(allorders!$O:$O,allorders!$L:$L,$A44,allorders!$AG:$AG,"&lt;="&amp;日期!$B$7,allorders!$AG:$AG,"&gt;="&amp;日期!$B$8,allorders!Q:Q,"&lt;&gt;"&amp;"",allorders!N:N,"Shipped")</f>
        <v>0</v>
      </c>
      <c r="E44">
        <f>SUMIFS(allorders!$O:$O,allorders!$L:$L,$A44,allorders!$AG:$AG,"&lt;="&amp;日期!$B$9,allorders!$AG:$AG,"&gt;="&amp;日期!$B$10,allorders!Q:Q,"&lt;&gt;"&amp;"",allorders!N:N,"Shipped")</f>
        <v>0</v>
      </c>
      <c r="F44">
        <f>SUMIFS(allorders!$O:$O,allorders!$L:$L,$A44,allorders!$AG:$AG,"&lt;="&amp;日期!$B$11,allorders!$AG:$AG,"&gt;="&amp;日期!$B$12,allorders!Q:Q,"&lt;&gt;"&amp;"",allorders!N:N,"Shipped")</f>
        <v>1</v>
      </c>
      <c r="G44">
        <f>SUMIFS(allorders!Q:Q,allorders!L:L,A44,allorders!AG:AG,"&lt;="&amp;日期!$B$5,allorders!AG:AG,"&gt;="&amp;日期!$B$12,allorders!N:N,"Shipped")/SUM(C44:F44)</f>
        <v>19.38</v>
      </c>
      <c r="H44">
        <f>SUMIFS(allorders!Q:Q,allorders!L:L,A44,allorders!AG:AG,"&gt;="&amp;日期!$B$12,allorders!AG:AG,"&lt;="&amp;日期!$B$5,allorders!N:N,"Shipped")</f>
        <v>19.38</v>
      </c>
      <c r="I44">
        <f t="shared" si="0"/>
        <v>1</v>
      </c>
    </row>
    <row r="45" spans="1:9">
      <c r="A45" s="7" t="s">
        <v>457</v>
      </c>
      <c r="B45" t="str">
        <f>VLOOKUP(A45,'[1]子sku-父sku'!$A$1:$B$65536,2,0)</f>
        <v>YZ-SUZQ388</v>
      </c>
      <c r="C45">
        <f>SUMIFS(allorders!O:O,allorders!L:L,$A45,allorders!AG:AG,"&lt;="&amp;日期!$B$5,allorders!AG:AG,"&gt;="&amp;日期!$B$6,allorders!Q:Q,"&lt;&gt;"&amp;"",allorders!N:N,"Shipped")</f>
        <v>3</v>
      </c>
      <c r="D45">
        <f>SUMIFS(allorders!$O:$O,allorders!$L:$L,$A45,allorders!$AG:$AG,"&lt;="&amp;日期!$B$7,allorders!$AG:$AG,"&gt;="&amp;日期!$B$8,allorders!Q:Q,"&lt;&gt;"&amp;"",allorders!N:N,"Shipped")</f>
        <v>1</v>
      </c>
      <c r="E45">
        <f>SUMIFS(allorders!$O:$O,allorders!$L:$L,$A45,allorders!$AG:$AG,"&lt;="&amp;日期!$B$9,allorders!$AG:$AG,"&gt;="&amp;日期!$B$10,allorders!Q:Q,"&lt;&gt;"&amp;"",allorders!N:N,"Shipped")</f>
        <v>1</v>
      </c>
      <c r="F45">
        <f>SUMIFS(allorders!$O:$O,allorders!$L:$L,$A45,allorders!$AG:$AG,"&lt;="&amp;日期!$B$11,allorders!$AG:$AG,"&gt;="&amp;日期!$B$12,allorders!Q:Q,"&lt;&gt;"&amp;"",allorders!N:N,"Shipped")</f>
        <v>1</v>
      </c>
      <c r="G45">
        <f>SUMIFS(allorders!Q:Q,allorders!L:L,A45,allorders!AG:AG,"&lt;="&amp;日期!$B$5,allorders!AG:AG,"&gt;="&amp;日期!$B$12,allorders!N:N,"Shipped")/SUM(C45:F45)</f>
        <v>14.6566666666667</v>
      </c>
      <c r="H45">
        <f>SUMIFS(allorders!Q:Q,allorders!L:L,A45,allorders!AG:AG,"&gt;="&amp;日期!$B$12,allorders!AG:AG,"&lt;="&amp;日期!$B$5,allorders!N:N,"Shipped")</f>
        <v>87.94</v>
      </c>
      <c r="I45">
        <f t="shared" si="0"/>
        <v>6</v>
      </c>
    </row>
    <row r="46" spans="1:9">
      <c r="A46" s="7" t="s">
        <v>465</v>
      </c>
      <c r="B46" t="str">
        <f>VLOOKUP(A46,'[1]子sku-父sku'!$A$1:$B$65536,2,0)</f>
        <v>YZ-HM1728</v>
      </c>
      <c r="C46">
        <f>SUMIFS(allorders!O:O,allorders!L:L,$A46,allorders!AG:AG,"&lt;="&amp;日期!$B$5,allorders!AG:AG,"&gt;="&amp;日期!$B$6,allorders!Q:Q,"&lt;&gt;"&amp;"",allorders!N:N,"Shipped")</f>
        <v>0</v>
      </c>
      <c r="D46">
        <f>SUMIFS(allorders!$O:$O,allorders!$L:$L,$A46,allorders!$AG:$AG,"&lt;="&amp;日期!$B$7,allorders!$AG:$AG,"&gt;="&amp;日期!$B$8,allorders!Q:Q,"&lt;&gt;"&amp;"",allorders!N:N,"Shipped")</f>
        <v>1</v>
      </c>
      <c r="E46">
        <f>SUMIFS(allorders!$O:$O,allorders!$L:$L,$A46,allorders!$AG:$AG,"&lt;="&amp;日期!$B$9,allorders!$AG:$AG,"&gt;="&amp;日期!$B$10,allorders!Q:Q,"&lt;&gt;"&amp;"",allorders!N:N,"Shipped")</f>
        <v>1</v>
      </c>
      <c r="F46">
        <f>SUMIFS(allorders!$O:$O,allorders!$L:$L,$A46,allorders!$AG:$AG,"&lt;="&amp;日期!$B$11,allorders!$AG:$AG,"&gt;="&amp;日期!$B$12,allorders!Q:Q,"&lt;&gt;"&amp;"",allorders!N:N,"Shipped")</f>
        <v>4</v>
      </c>
      <c r="G46">
        <f>SUMIFS(allorders!Q:Q,allorders!L:L,A46,allorders!AG:AG,"&lt;="&amp;日期!$B$5,allorders!AG:AG,"&gt;="&amp;日期!$B$12,allorders!N:N,"Shipped")/SUM(C46:F46)</f>
        <v>16.99</v>
      </c>
      <c r="H46">
        <f>SUMIFS(allorders!Q:Q,allorders!L:L,A46,allorders!AG:AG,"&gt;="&amp;日期!$B$12,allorders!AG:AG,"&lt;="&amp;日期!$B$5,allorders!N:N,"Shipped")</f>
        <v>101.94</v>
      </c>
      <c r="I46">
        <f t="shared" si="0"/>
        <v>6</v>
      </c>
    </row>
    <row r="47" spans="1:9">
      <c r="A47" s="7" t="s">
        <v>473</v>
      </c>
      <c r="B47" t="str">
        <f>VLOOKUP(A47,'[1]子sku-父sku'!$A$1:$B$65536,2,0)</f>
        <v>YZ-HMBKN17015</v>
      </c>
      <c r="C47">
        <f>SUMIFS(allorders!O:O,allorders!L:L,$A47,allorders!AG:AG,"&lt;="&amp;日期!$B$5,allorders!AG:AG,"&gt;="&amp;日期!$B$6,allorders!Q:Q,"&lt;&gt;"&amp;"",allorders!N:N,"Shipped")</f>
        <v>1</v>
      </c>
      <c r="D47">
        <f>SUMIFS(allorders!$O:$O,allorders!$L:$L,$A47,allorders!$AG:$AG,"&lt;="&amp;日期!$B$7,allorders!$AG:$AG,"&gt;="&amp;日期!$B$8,allorders!Q:Q,"&lt;&gt;"&amp;"",allorders!N:N,"Shipped")</f>
        <v>0</v>
      </c>
      <c r="E47">
        <f>SUMIFS(allorders!$O:$O,allorders!$L:$L,$A47,allorders!$AG:$AG,"&lt;="&amp;日期!$B$9,allorders!$AG:$AG,"&gt;="&amp;日期!$B$10,allorders!Q:Q,"&lt;&gt;"&amp;"",allorders!N:N,"Shipped")</f>
        <v>1</v>
      </c>
      <c r="F47">
        <f>SUMIFS(allorders!$O:$O,allorders!$L:$L,$A47,allorders!$AG:$AG,"&lt;="&amp;日期!$B$11,allorders!$AG:$AG,"&gt;="&amp;日期!$B$12,allorders!Q:Q,"&lt;&gt;"&amp;"",allorders!N:N,"Shipped")</f>
        <v>1</v>
      </c>
      <c r="G47">
        <f>SUMIFS(allorders!Q:Q,allorders!L:L,A47,allorders!AG:AG,"&lt;="&amp;日期!$B$5,allorders!AG:AG,"&gt;="&amp;日期!$B$12,allorders!N:N,"Shipped")/SUM(C47:F47)</f>
        <v>16.99</v>
      </c>
      <c r="H47">
        <f>SUMIFS(allorders!Q:Q,allorders!L:L,A47,allorders!AG:AG,"&gt;="&amp;日期!$B$12,allorders!AG:AG,"&lt;="&amp;日期!$B$5,allorders!N:N,"Shipped")</f>
        <v>50.97</v>
      </c>
      <c r="I47">
        <f t="shared" si="0"/>
        <v>3</v>
      </c>
    </row>
    <row r="48" spans="1:9">
      <c r="A48" s="7" t="s">
        <v>498</v>
      </c>
      <c r="B48" t="str">
        <f>VLOOKUP(A48,'[1]子sku-父sku'!$A$1:$B$65536,2,0)</f>
        <v>YZ-SUZQBL03</v>
      </c>
      <c r="C48">
        <f>SUMIFS(allorders!O:O,allorders!L:L,$A48,allorders!AG:AG,"&lt;="&amp;日期!$B$5,allorders!AG:AG,"&gt;="&amp;日期!$B$6,allorders!Q:Q,"&lt;&gt;"&amp;"",allorders!N:N,"Shipped")</f>
        <v>0</v>
      </c>
      <c r="D48">
        <f>SUMIFS(allorders!$O:$O,allorders!$L:$L,$A48,allorders!$AG:$AG,"&lt;="&amp;日期!$B$7,allorders!$AG:$AG,"&gt;="&amp;日期!$B$8,allorders!Q:Q,"&lt;&gt;"&amp;"",allorders!N:N,"Shipped")</f>
        <v>0</v>
      </c>
      <c r="E48">
        <f>SUMIFS(allorders!$O:$O,allorders!$L:$L,$A48,allorders!$AG:$AG,"&lt;="&amp;日期!$B$9,allorders!$AG:$AG,"&gt;="&amp;日期!$B$10,allorders!Q:Q,"&lt;&gt;"&amp;"",allorders!N:N,"Shipped")</f>
        <v>0</v>
      </c>
      <c r="F48">
        <f>SUMIFS(allorders!$O:$O,allorders!$L:$L,$A48,allorders!$AG:$AG,"&lt;="&amp;日期!$B$11,allorders!$AG:$AG,"&gt;="&amp;日期!$B$12,allorders!Q:Q,"&lt;&gt;"&amp;"",allorders!N:N,"Shipped")</f>
        <v>1</v>
      </c>
      <c r="G48">
        <f>SUMIFS(allorders!Q:Q,allorders!L:L,A48,allorders!AG:AG,"&lt;="&amp;日期!$B$5,allorders!AG:AG,"&gt;="&amp;日期!$B$12,allorders!N:N,"Shipped")/SUM(C48:F48)</f>
        <v>19.99</v>
      </c>
      <c r="H48">
        <f>SUMIFS(allorders!Q:Q,allorders!L:L,A48,allorders!AG:AG,"&gt;="&amp;日期!$B$12,allorders!AG:AG,"&lt;="&amp;日期!$B$5,allorders!N:N,"Shipped")</f>
        <v>19.99</v>
      </c>
      <c r="I48">
        <f t="shared" si="0"/>
        <v>1</v>
      </c>
    </row>
    <row r="49" spans="1:9">
      <c r="A49" s="7" t="s">
        <v>505</v>
      </c>
      <c r="B49" t="str">
        <f>VLOOKUP(A49,'[1]子sku-父sku'!$A$1:$B$65536,2,0)</f>
        <v>YZ-ZQ1521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1</v>
      </c>
      <c r="E49">
        <f>SUMIFS(allorders!$O:$O,allorders!$L:$L,$A49,allorders!$AG:$AG,"&lt;="&amp;日期!$B$9,allorders!$AG:$AG,"&gt;="&amp;日期!$B$10,allorders!Q:Q,"&lt;&gt;"&amp;"",allorders!N:N,"Shipped")</f>
        <v>1</v>
      </c>
      <c r="F49">
        <f>SUMIFS(allorders!$O:$O,allorders!$L:$L,$A49,allorders!$AG:$AG,"&lt;="&amp;日期!$B$11,allorders!$AG:$AG,"&gt;="&amp;日期!$B$12,allorders!Q:Q,"&lt;&gt;"&amp;"",allorders!N:N,"Shipped")</f>
        <v>3</v>
      </c>
      <c r="G49">
        <f>SUMIFS(allorders!Q:Q,allorders!L:L,A49,allorders!AG:AG,"&lt;="&amp;日期!$B$5,allorders!AG:AG,"&gt;="&amp;日期!$B$12,allorders!N:N,"Shipped")/SUM(C49:F49)</f>
        <v>19.38</v>
      </c>
      <c r="H49">
        <f>SUMIFS(allorders!Q:Q,allorders!L:L,A49,allorders!AG:AG,"&gt;="&amp;日期!$B$12,allorders!AG:AG,"&lt;="&amp;日期!$B$5,allorders!N:N,"Shipped")</f>
        <v>96.9</v>
      </c>
      <c r="I49">
        <f t="shared" si="0"/>
        <v>5</v>
      </c>
    </row>
    <row r="50" spans="1:9">
      <c r="A50" s="7" t="s">
        <v>523</v>
      </c>
      <c r="B50" t="str">
        <f>VLOOKUP(A50,'[1]子sku-父sku'!$A$1:$B$65536,2,0)</f>
        <v>YZ-ZQFT1816</v>
      </c>
      <c r="C50">
        <f>SUMIFS(allorders!O:O,allorders!L:L,$A50,allorders!AG:AG,"&lt;="&amp;日期!$B$5,allorders!AG:AG,"&gt;="&amp;日期!$B$6,allorders!Q:Q,"&lt;&gt;"&amp;"",allorders!N:N,"Shipped")</f>
        <v>0</v>
      </c>
      <c r="D50">
        <f>SUMIFS(allorders!$O:$O,allorders!$L:$L,$A50,allorders!$AG:$AG,"&lt;="&amp;日期!$B$7,allorders!$AG:$AG,"&gt;="&amp;日期!$B$8,allorders!Q:Q,"&lt;&gt;"&amp;"",allorders!N:N,"Shipped")</f>
        <v>0</v>
      </c>
      <c r="E50">
        <f>SUMIFS(allorders!$O:$O,allorders!$L:$L,$A50,allorders!$AG:$AG,"&lt;="&amp;日期!$B$9,allorders!$AG:$AG,"&gt;="&amp;日期!$B$10,allorders!Q:Q,"&lt;&gt;"&amp;"",allorders!N:N,"Shipped")</f>
        <v>1</v>
      </c>
      <c r="F50">
        <f>SUMIFS(allorders!$O:$O,allorders!$L:$L,$A50,allorders!$AG:$AG,"&lt;="&amp;日期!$B$11,allorders!$AG:$AG,"&gt;="&amp;日期!$B$12,allorders!Q:Q,"&lt;&gt;"&amp;"",allorders!N:N,"Shipped")</f>
        <v>4</v>
      </c>
      <c r="G50">
        <f>SUMIFS(allorders!Q:Q,allorders!L:L,A50,allorders!AG:AG,"&lt;="&amp;日期!$B$5,allorders!AG:AG,"&gt;="&amp;日期!$B$12,allorders!N:N,"Shipped")/SUM(C50:F50)</f>
        <v>19.99</v>
      </c>
      <c r="H50">
        <f>SUMIFS(allorders!Q:Q,allorders!L:L,A50,allorders!AG:AG,"&gt;="&amp;日期!$B$12,allorders!AG:AG,"&lt;="&amp;日期!$B$5,allorders!N:N,"Shipped")</f>
        <v>99.95</v>
      </c>
      <c r="I50">
        <f t="shared" si="0"/>
        <v>5</v>
      </c>
    </row>
    <row r="51" spans="1:9">
      <c r="A51" s="7" t="s">
        <v>540</v>
      </c>
      <c r="B51" t="str">
        <f>VLOOKUP(A51,'[1]子sku-父sku'!$A$1:$B$65536,2,0)</f>
        <v>YZ-SUZQ388</v>
      </c>
      <c r="C51">
        <f>SUMIFS(allorders!O:O,allorders!L:L,$A51,allorders!AG:AG,"&lt;="&amp;日期!$B$5,allorders!AG:AG,"&gt;="&amp;日期!$B$6,allorders!Q:Q,"&lt;&gt;"&amp;"",allorders!N:N,"Shipped")</f>
        <v>2</v>
      </c>
      <c r="D51">
        <f>SUMIFS(allorders!$O:$O,allorders!$L:$L,$A51,allorders!$AG:$AG,"&lt;="&amp;日期!$B$7,allorders!$AG:$AG,"&gt;="&amp;日期!$B$8,allorders!Q:Q,"&lt;&gt;"&amp;"",allorders!N:N,"Shipped")</f>
        <v>7</v>
      </c>
      <c r="E51">
        <f>SUMIFS(allorders!$O:$O,allorders!$L:$L,$A51,allorders!$AG:$AG,"&lt;="&amp;日期!$B$9,allorders!$AG:$AG,"&gt;="&amp;日期!$B$10,allorders!Q:Q,"&lt;&gt;"&amp;"",allorders!N:N,"Shipped")</f>
        <v>4</v>
      </c>
      <c r="F51">
        <f>SUMIFS(allorders!$O:$O,allorders!$L:$L,$A51,allorders!$AG:$AG,"&lt;="&amp;日期!$B$11,allorders!$AG:$AG,"&gt;="&amp;日期!$B$12,allorders!Q:Q,"&lt;&gt;"&amp;"",allorders!N:N,"Shipped")</f>
        <v>4</v>
      </c>
      <c r="G51">
        <f>SUMIFS(allorders!Q:Q,allorders!L:L,A51,allorders!AG:AG,"&lt;="&amp;日期!$B$5,allorders!AG:AG,"&gt;="&amp;日期!$B$12,allorders!N:N,"Shipped")/SUM(C51:F51)</f>
        <v>16.2841176470588</v>
      </c>
      <c r="H51">
        <f>SUMIFS(allorders!Q:Q,allorders!L:L,A51,allorders!AG:AG,"&gt;="&amp;日期!$B$12,allorders!AG:AG,"&lt;="&amp;日期!$B$5,allorders!N:N,"Shipped")</f>
        <v>276.83</v>
      </c>
      <c r="I51">
        <f t="shared" si="0"/>
        <v>17</v>
      </c>
    </row>
    <row r="52" spans="1:9">
      <c r="A52" s="7" t="s">
        <v>567</v>
      </c>
      <c r="B52" t="str">
        <f>VLOOKUP(A52,'[1]子sku-父sku'!$A$1:$B$65536,2,0)</f>
        <v>YZ-HM111</v>
      </c>
      <c r="C52">
        <f>SUMIFS(allorders!O:O,allorders!L:L,$A52,allorders!AG:AG,"&lt;="&amp;日期!$B$5,allorders!AG:AG,"&gt;="&amp;日期!$B$6,allorders!Q:Q,"&lt;&gt;"&amp;"",allorders!N:N,"Shipped")</f>
        <v>0</v>
      </c>
      <c r="D52">
        <f>SUMIFS(allorders!$O:$O,allorders!$L:$L,$A52,allorders!$AG:$AG,"&lt;="&amp;日期!$B$7,allorders!$AG:$AG,"&gt;="&amp;日期!$B$8,allorders!Q:Q,"&lt;&gt;"&amp;"",allorders!N:N,"Shipped")</f>
        <v>0</v>
      </c>
      <c r="E52">
        <f>SUMIFS(allorders!$O:$O,allorders!$L:$L,$A52,allorders!$AG:$AG,"&lt;="&amp;日期!$B$9,allorders!$AG:$AG,"&gt;="&amp;日期!$B$10,allorders!Q:Q,"&lt;&gt;"&amp;"",allorders!N:N,"Shipped")</f>
        <v>0</v>
      </c>
      <c r="F52">
        <f>SUMIFS(allorders!$O:$O,allorders!$L:$L,$A52,allorders!$AG:$AG,"&lt;="&amp;日期!$B$11,allorders!$AG:$AG,"&gt;="&amp;日期!$B$12,allorders!Q:Q,"&lt;&gt;"&amp;"",allorders!N:N,"Shipped")</f>
        <v>1</v>
      </c>
      <c r="G52">
        <f>SUMIFS(allorders!Q:Q,allorders!L:L,A52,allorders!AG:AG,"&lt;="&amp;日期!$B$5,allorders!AG:AG,"&gt;="&amp;日期!$B$12,allorders!N:N,"Shipped")/SUM(C52:F52)</f>
        <v>12.98</v>
      </c>
      <c r="H52">
        <f>SUMIFS(allorders!Q:Q,allorders!L:L,A52,allorders!AG:AG,"&gt;="&amp;日期!$B$12,allorders!AG:AG,"&lt;="&amp;日期!$B$5,allorders!N:N,"Shipped")</f>
        <v>12.98</v>
      </c>
      <c r="I52">
        <f t="shared" si="0"/>
        <v>1</v>
      </c>
    </row>
    <row r="53" spans="1:9">
      <c r="A53" s="7" t="s">
        <v>590</v>
      </c>
      <c r="B53" t="str">
        <f>VLOOKUP(A53,'[1]子sku-父sku'!$A$1:$B$65536,2,0)</f>
        <v>YZ-HM7035</v>
      </c>
      <c r="C53">
        <f>SUMIFS(allorders!O:O,allorders!L:L,$A53,allorders!AG:AG,"&lt;="&amp;日期!$B$5,allorders!AG:AG,"&gt;="&amp;日期!$B$6,allorders!Q:Q,"&lt;&gt;"&amp;"",allorders!N:N,"Shipped")</f>
        <v>0</v>
      </c>
      <c r="D53">
        <f>SUMIFS(allorders!$O:$O,allorders!$L:$L,$A53,allorders!$AG:$AG,"&lt;="&amp;日期!$B$7,allorders!$AG:$AG,"&gt;="&amp;日期!$B$8,allorders!Q:Q,"&lt;&gt;"&amp;"",allorders!N:N,"Shipped")</f>
        <v>0</v>
      </c>
      <c r="E53">
        <f>SUMIFS(allorders!$O:$O,allorders!$L:$L,$A53,allorders!$AG:$AG,"&lt;="&amp;日期!$B$9,allorders!$AG:$AG,"&gt;="&amp;日期!$B$10,allorders!Q:Q,"&lt;&gt;"&amp;"",allorders!N:N,"Shipped")</f>
        <v>0</v>
      </c>
      <c r="F53">
        <f>SUMIFS(allorders!$O:$O,allorders!$L:$L,$A53,allorders!$AG:$AG,"&lt;="&amp;日期!$B$11,allorders!$AG:$AG,"&gt;="&amp;日期!$B$12,allorders!Q:Q,"&lt;&gt;"&amp;"",allorders!N:N,"Shipped")</f>
        <v>1</v>
      </c>
      <c r="G53">
        <f>SUMIFS(allorders!Q:Q,allorders!L:L,A53,allorders!AG:AG,"&lt;="&amp;日期!$B$5,allorders!AG:AG,"&gt;="&amp;日期!$B$12,allorders!N:N,"Shipped")/SUM(C53:F53)</f>
        <v>16.99</v>
      </c>
      <c r="H53">
        <f>SUMIFS(allorders!Q:Q,allorders!L:L,A53,allorders!AG:AG,"&gt;="&amp;日期!$B$12,allorders!AG:AG,"&lt;="&amp;日期!$B$5,allorders!N:N,"Shipped")</f>
        <v>16.99</v>
      </c>
      <c r="I53">
        <f t="shared" si="0"/>
        <v>1</v>
      </c>
    </row>
    <row r="54" spans="1:9">
      <c r="A54" s="7" t="s">
        <v>602</v>
      </c>
      <c r="B54" t="str">
        <f>VLOOKUP(A54,'[1]子sku-父sku'!$A$1:$B$65536,2,0)</f>
        <v>YZ-ZQFT1816</v>
      </c>
      <c r="C54">
        <f>SUMIFS(allorders!O:O,allorders!L:L,$A54,allorders!AG:AG,"&lt;="&amp;日期!$B$5,allorders!AG:AG,"&gt;="&amp;日期!$B$6,allorders!Q:Q,"&lt;&gt;"&amp;"",allorders!N:N,"Shipped")</f>
        <v>1</v>
      </c>
      <c r="D54">
        <f>SUMIFS(allorders!$O:$O,allorders!$L:$L,$A54,allorders!$AG:$AG,"&lt;="&amp;日期!$B$7,allorders!$AG:$AG,"&gt;="&amp;日期!$B$8,allorders!Q:Q,"&lt;&gt;"&amp;"",allorders!N:N,"Shipped")</f>
        <v>2</v>
      </c>
      <c r="E54">
        <f>SUMIFS(allorders!$O:$O,allorders!$L:$L,$A54,allorders!$AG:$AG,"&lt;="&amp;日期!$B$9,allorders!$AG:$AG,"&gt;="&amp;日期!$B$10,allorders!Q:Q,"&lt;&gt;"&amp;"",allorders!N:N,"Shipped")</f>
        <v>1</v>
      </c>
      <c r="F54">
        <f>SUMIFS(allorders!$O:$O,allorders!$L:$L,$A54,allorders!$AG:$AG,"&lt;="&amp;日期!$B$11,allorders!$AG:$AG,"&gt;="&amp;日期!$B$12,allorders!Q:Q,"&lt;&gt;"&amp;"",allorders!N:N,"Shipped")</f>
        <v>2</v>
      </c>
      <c r="G54">
        <f>SUMIFS(allorders!Q:Q,allorders!L:L,A54,allorders!AG:AG,"&lt;="&amp;日期!$B$5,allorders!AG:AG,"&gt;="&amp;日期!$B$12,allorders!N:N,"Shipped")/SUM(C54:F54)</f>
        <v>19.99</v>
      </c>
      <c r="H54">
        <f>SUMIFS(allorders!Q:Q,allorders!L:L,A54,allorders!AG:AG,"&gt;="&amp;日期!$B$12,allorders!AG:AG,"&lt;="&amp;日期!$B$5,allorders!N:N,"Shipped")</f>
        <v>119.94</v>
      </c>
      <c r="I54">
        <f t="shared" si="0"/>
        <v>6</v>
      </c>
    </row>
    <row r="55" spans="1:9">
      <c r="A55" s="7" t="s">
        <v>609</v>
      </c>
      <c r="B55" t="str">
        <f>VLOOKUP(A55,'[1]子sku-父sku'!$A$1:$B$65536,2,0)</f>
        <v>YZ-HMBKN17015</v>
      </c>
      <c r="C55">
        <f>SUMIFS(allorders!O:O,allorders!L:L,$A55,allorders!AG:AG,"&lt;="&amp;日期!$B$5,allorders!AG:AG,"&gt;="&amp;日期!$B$6,allorders!Q:Q,"&lt;&gt;"&amp;"",allorders!N:N,"Shipped")</f>
        <v>0</v>
      </c>
      <c r="D55">
        <f>SUMIFS(allorders!$O:$O,allorders!$L:$L,$A55,allorders!$AG:$AG,"&lt;="&amp;日期!$B$7,allorders!$AG:$AG,"&gt;="&amp;日期!$B$8,allorders!Q:Q,"&lt;&gt;"&amp;"",allorders!N:N,"Shipped")</f>
        <v>0</v>
      </c>
      <c r="E55">
        <f>SUMIFS(allorders!$O:$O,allorders!$L:$L,$A55,allorders!$AG:$AG,"&lt;="&amp;日期!$B$9,allorders!$AG:$AG,"&gt;="&amp;日期!$B$10,allorders!Q:Q,"&lt;&gt;"&amp;"",allorders!N:N,"Shipped")</f>
        <v>0</v>
      </c>
      <c r="F55">
        <f>SUMIFS(allorders!$O:$O,allorders!$L:$L,$A55,allorders!$AG:$AG,"&lt;="&amp;日期!$B$11,allorders!$AG:$AG,"&gt;="&amp;日期!$B$12,allorders!Q:Q,"&lt;&gt;"&amp;"",allorders!N:N,"Shipped")</f>
        <v>1</v>
      </c>
      <c r="G55">
        <f>SUMIFS(allorders!Q:Q,allorders!L:L,A55,allorders!AG:AG,"&lt;="&amp;日期!$B$5,allorders!AG:AG,"&gt;="&amp;日期!$B$12,allorders!N:N,"Shipped")/SUM(C55:F55)</f>
        <v>16.99</v>
      </c>
      <c r="H55">
        <f>SUMIFS(allorders!Q:Q,allorders!L:L,A55,allorders!AG:AG,"&gt;="&amp;日期!$B$12,allorders!AG:AG,"&lt;="&amp;日期!$B$5,allorders!N:N,"Shipped")</f>
        <v>16.99</v>
      </c>
      <c r="I55">
        <f t="shared" si="0"/>
        <v>1</v>
      </c>
    </row>
    <row r="56" spans="1:9">
      <c r="A56" s="7" t="s">
        <v>618</v>
      </c>
      <c r="B56" t="str">
        <f>VLOOKUP(A56,'[1]子sku-父sku'!$A$1:$B$65536,2,0)</f>
        <v>YZ-HM1727</v>
      </c>
      <c r="C56">
        <f>SUMIFS(allorders!O:O,allorders!L:L,$A56,allorders!AG:AG,"&lt;="&amp;日期!$B$5,allorders!AG:AG,"&gt;="&amp;日期!$B$6,allorders!Q:Q,"&lt;&gt;"&amp;"",allorders!N:N,"Shipped")</f>
        <v>3</v>
      </c>
      <c r="D56">
        <f>SUMIFS(allorders!$O:$O,allorders!$L:$L,$A56,allorders!$AG:$AG,"&lt;="&amp;日期!$B$7,allorders!$AG:$AG,"&gt;="&amp;日期!$B$8,allorders!Q:Q,"&lt;&gt;"&amp;"",allorders!N:N,"Shipped")</f>
        <v>3</v>
      </c>
      <c r="E56">
        <f>SUMIFS(allorders!$O:$O,allorders!$L:$L,$A56,allorders!$AG:$AG,"&lt;="&amp;日期!$B$9,allorders!$AG:$AG,"&gt;="&amp;日期!$B$10,allorders!Q:Q,"&lt;&gt;"&amp;"",allorders!N:N,"Shipped")</f>
        <v>7</v>
      </c>
      <c r="F56">
        <f>SUMIFS(allorders!$O:$O,allorders!$L:$L,$A56,allorders!$AG:$AG,"&lt;="&amp;日期!$B$11,allorders!$AG:$AG,"&gt;="&amp;日期!$B$12,allorders!Q:Q,"&lt;&gt;"&amp;"",allorders!N:N,"Shipped")</f>
        <v>4</v>
      </c>
      <c r="G56">
        <f>SUMIFS(allorders!Q:Q,allorders!L:L,A56,allorders!AG:AG,"&lt;="&amp;日期!$B$5,allorders!AG:AG,"&gt;="&amp;日期!$B$12,allorders!N:N,"Shipped")/SUM(C56:F56)</f>
        <v>18.99</v>
      </c>
      <c r="H56">
        <f>SUMIFS(allorders!Q:Q,allorders!L:L,A56,allorders!AG:AG,"&gt;="&amp;日期!$B$12,allorders!AG:AG,"&lt;="&amp;日期!$B$5,allorders!N:N,"Shipped")</f>
        <v>322.83</v>
      </c>
      <c r="I56">
        <f t="shared" si="0"/>
        <v>17</v>
      </c>
    </row>
    <row r="57" spans="1:9">
      <c r="A57" s="7" t="s">
        <v>664</v>
      </c>
      <c r="B57" t="str">
        <f>VLOOKUP(A57,'[1]子sku-父sku'!$A$1:$B$65536,2,0)</f>
        <v>YZ-ZQBL03</v>
      </c>
      <c r="C57">
        <f>SUMIFS(allorders!O:O,allorders!L:L,$A57,allorders!AG:AG,"&lt;="&amp;日期!$B$5,allorders!AG:AG,"&gt;="&amp;日期!$B$6,allorders!Q:Q,"&lt;&gt;"&amp;"",allorders!N:N,"Shipped")</f>
        <v>0</v>
      </c>
      <c r="D57">
        <f>SUMIFS(allorders!$O:$O,allorders!$L:$L,$A57,allorders!$AG:$AG,"&lt;="&amp;日期!$B$7,allorders!$AG:$AG,"&gt;="&amp;日期!$B$8,allorders!Q:Q,"&lt;&gt;"&amp;"",allorders!N:N,"Shipped")</f>
        <v>0</v>
      </c>
      <c r="E57">
        <f>SUMIFS(allorders!$O:$O,allorders!$L:$L,$A57,allorders!$AG:$AG,"&lt;="&amp;日期!$B$9,allorders!$AG:$AG,"&gt;="&amp;日期!$B$10,allorders!Q:Q,"&lt;&gt;"&amp;"",allorders!N:N,"Shipped")</f>
        <v>0</v>
      </c>
      <c r="F57">
        <f>SUMIFS(allorders!$O:$O,allorders!$L:$L,$A57,allorders!$AG:$AG,"&lt;="&amp;日期!$B$11,allorders!$AG:$AG,"&gt;="&amp;日期!$B$12,allorders!Q:Q,"&lt;&gt;"&amp;"",allorders!N:N,"Shipped")</f>
        <v>1</v>
      </c>
      <c r="G57">
        <f>SUMIFS(allorders!Q:Q,allorders!L:L,A57,allorders!AG:AG,"&lt;="&amp;日期!$B$5,allorders!AG:AG,"&gt;="&amp;日期!$B$12,allorders!N:N,"Shipped")/SUM(C57:F57)</f>
        <v>19.99</v>
      </c>
      <c r="H57">
        <f>SUMIFS(allorders!Q:Q,allorders!L:L,A57,allorders!AG:AG,"&gt;="&amp;日期!$B$12,allorders!AG:AG,"&lt;="&amp;日期!$B$5,allorders!N:N,"Shipped")</f>
        <v>19.99</v>
      </c>
      <c r="I57">
        <f t="shared" si="0"/>
        <v>1</v>
      </c>
    </row>
    <row r="58" spans="1:9">
      <c r="A58" s="7" t="s">
        <v>700</v>
      </c>
      <c r="B58" t="str">
        <f>VLOOKUP(A58,'[1]子sku-父sku'!$A$1:$B$65536,2,0)</f>
        <v>YZ-ZQ1521</v>
      </c>
      <c r="C58">
        <f>SUMIFS(allorders!O:O,allorders!L:L,$A58,allorders!AG:AG,"&lt;="&amp;日期!$B$5,allorders!AG:AG,"&gt;="&amp;日期!$B$6,allorders!Q:Q,"&lt;&gt;"&amp;"",allorders!N:N,"Shipped")</f>
        <v>0</v>
      </c>
      <c r="D58">
        <f>SUMIFS(allorders!$O:$O,allorders!$L:$L,$A58,allorders!$AG:$AG,"&lt;="&amp;日期!$B$7,allorders!$AG:$AG,"&gt;="&amp;日期!$B$8,allorders!Q:Q,"&lt;&gt;"&amp;"",allorders!N:N,"Shipped")</f>
        <v>0</v>
      </c>
      <c r="E58">
        <f>SUMIFS(allorders!$O:$O,allorders!$L:$L,$A58,allorders!$AG:$AG,"&lt;="&amp;日期!$B$9,allorders!$AG:$AG,"&gt;="&amp;日期!$B$10,allorders!Q:Q,"&lt;&gt;"&amp;"",allorders!N:N,"Shipped")</f>
        <v>1</v>
      </c>
      <c r="F58">
        <f>SUMIFS(allorders!$O:$O,allorders!$L:$L,$A58,allorders!$AG:$AG,"&lt;="&amp;日期!$B$11,allorders!$AG:$AG,"&gt;="&amp;日期!$B$12,allorders!Q:Q,"&lt;&gt;"&amp;"",allorders!N:N,"Shipped")</f>
        <v>1</v>
      </c>
      <c r="G58">
        <f>SUMIFS(allorders!Q:Q,allorders!L:L,A58,allorders!AG:AG,"&lt;="&amp;日期!$B$5,allorders!AG:AG,"&gt;="&amp;日期!$B$12,allorders!N:N,"Shipped")/SUM(C58:F58)</f>
        <v>19.38</v>
      </c>
      <c r="H58">
        <f>SUMIFS(allorders!Q:Q,allorders!L:L,A58,allorders!AG:AG,"&gt;="&amp;日期!$B$12,allorders!AG:AG,"&lt;="&amp;日期!$B$5,allorders!N:N,"Shipped")</f>
        <v>38.76</v>
      </c>
      <c r="I58">
        <f t="shared" si="0"/>
        <v>2</v>
      </c>
    </row>
    <row r="59" spans="1:9">
      <c r="A59" s="7" t="s">
        <v>725</v>
      </c>
      <c r="B59" t="str">
        <f>VLOOKUP(A59,'[1]子sku-父sku'!$A$1:$B$65536,2,0)</f>
        <v>LYQ-ZQ3550</v>
      </c>
      <c r="C59">
        <f>SUMIFS(allorders!O:O,allorders!L:L,$A59,allorders!AG:AG,"&lt;="&amp;日期!$B$5,allorders!AG:AG,"&gt;="&amp;日期!$B$6,allorders!Q:Q,"&lt;&gt;"&amp;"",allorders!N:N,"Shipped")</f>
        <v>1</v>
      </c>
      <c r="D59">
        <f>SUMIFS(allorders!$O:$O,allorders!$L:$L,$A59,allorders!$AG:$AG,"&lt;="&amp;日期!$B$7,allorders!$AG:$AG,"&gt;="&amp;日期!$B$8,allorders!Q:Q,"&lt;&gt;"&amp;"",allorders!N:N,"Shipped")</f>
        <v>2</v>
      </c>
      <c r="E59">
        <f>SUMIFS(allorders!$O:$O,allorders!$L:$L,$A59,allorders!$AG:$AG,"&lt;="&amp;日期!$B$9,allorders!$AG:$AG,"&gt;="&amp;日期!$B$10,allorders!Q:Q,"&lt;&gt;"&amp;"",allorders!N:N,"Shipped")</f>
        <v>0</v>
      </c>
      <c r="F59">
        <f>SUMIFS(allorders!$O:$O,allorders!$L:$L,$A59,allorders!$AG:$AG,"&lt;="&amp;日期!$B$11,allorders!$AG:$AG,"&gt;="&amp;日期!$B$12,allorders!Q:Q,"&lt;&gt;"&amp;"",allorders!N:N,"Shipped")</f>
        <v>1</v>
      </c>
      <c r="G59">
        <f>SUMIFS(allorders!Q:Q,allorders!L:L,A59,allorders!AG:AG,"&lt;="&amp;日期!$B$5,allorders!AG:AG,"&gt;="&amp;日期!$B$12,allorders!N:N,"Shipped")/SUM(C59:F59)</f>
        <v>15.99</v>
      </c>
      <c r="H59">
        <f>SUMIFS(allorders!Q:Q,allorders!L:L,A59,allorders!AG:AG,"&gt;="&amp;日期!$B$12,allorders!AG:AG,"&lt;="&amp;日期!$B$5,allorders!N:N,"Shipped")</f>
        <v>63.96</v>
      </c>
      <c r="I59">
        <f t="shared" si="0"/>
        <v>4</v>
      </c>
    </row>
    <row r="60" spans="1:9">
      <c r="A60" s="7" t="s">
        <v>744</v>
      </c>
      <c r="B60" t="str">
        <f>VLOOKUP(A60,'[1]子sku-父sku'!$A$1:$B$65536,2,0)</f>
        <v>YZ-ZQSG16121</v>
      </c>
      <c r="C60">
        <f>SUMIFS(allorders!O:O,allorders!L:L,$A60,allorders!AG:AG,"&lt;="&amp;日期!$B$5,allorders!AG:AG,"&gt;="&amp;日期!$B$6,allorders!Q:Q,"&lt;&gt;"&amp;"",allorders!N:N,"Shipped")</f>
        <v>0</v>
      </c>
      <c r="D60">
        <f>SUMIFS(allorders!$O:$O,allorders!$L:$L,$A60,allorders!$AG:$AG,"&lt;="&amp;日期!$B$7,allorders!$AG:$AG,"&gt;="&amp;日期!$B$8,allorders!Q:Q,"&lt;&gt;"&amp;"",allorders!N:N,"Shipped")</f>
        <v>0</v>
      </c>
      <c r="E60">
        <f>SUMIFS(allorders!$O:$O,allorders!$L:$L,$A60,allorders!$AG:$AG,"&lt;="&amp;日期!$B$9,allorders!$AG:$AG,"&gt;="&amp;日期!$B$10,allorders!Q:Q,"&lt;&gt;"&amp;"",allorders!N:N,"Shipped")</f>
        <v>0</v>
      </c>
      <c r="F60">
        <f>SUMIFS(allorders!$O:$O,allorders!$L:$L,$A60,allorders!$AG:$AG,"&lt;="&amp;日期!$B$11,allorders!$AG:$AG,"&gt;="&amp;日期!$B$12,allorders!Q:Q,"&lt;&gt;"&amp;"",allorders!N:N,"Shipped")</f>
        <v>1</v>
      </c>
      <c r="G60">
        <f>SUMIFS(allorders!Q:Q,allorders!L:L,A60,allorders!AG:AG,"&lt;="&amp;日期!$B$5,allorders!AG:AG,"&gt;="&amp;日期!$B$12,allorders!N:N,"Shipped")/SUM(C60:F60)</f>
        <v>19.99</v>
      </c>
      <c r="H60">
        <f>SUMIFS(allorders!Q:Q,allorders!L:L,A60,allorders!AG:AG,"&gt;="&amp;日期!$B$12,allorders!AG:AG,"&lt;="&amp;日期!$B$5,allorders!N:N,"Shipped")</f>
        <v>19.99</v>
      </c>
      <c r="I60">
        <f t="shared" si="0"/>
        <v>1</v>
      </c>
    </row>
    <row r="61" spans="1:9">
      <c r="A61" s="7" t="s">
        <v>771</v>
      </c>
      <c r="B61" t="str">
        <f>VLOOKUP(A61,'[1]子sku-父sku'!$A$1:$B$65536,2,0)</f>
        <v>YZ-ZQBL03</v>
      </c>
      <c r="C61">
        <f>SUMIFS(allorders!O:O,allorders!L:L,$A61,allorders!AG:AG,"&lt;="&amp;日期!$B$5,allorders!AG:AG,"&gt;="&amp;日期!$B$6,allorders!Q:Q,"&lt;&gt;"&amp;"",allorders!N:N,"Shipped")</f>
        <v>0</v>
      </c>
      <c r="D61">
        <f>SUMIFS(allorders!$O:$O,allorders!$L:$L,$A61,allorders!$AG:$AG,"&lt;="&amp;日期!$B$7,allorders!$AG:$AG,"&gt;="&amp;日期!$B$8,allorders!Q:Q,"&lt;&gt;"&amp;"",allorders!N:N,"Shipped")</f>
        <v>0</v>
      </c>
      <c r="E61">
        <f>SUMIFS(allorders!$O:$O,allorders!$L:$L,$A61,allorders!$AG:$AG,"&lt;="&amp;日期!$B$9,allorders!$AG:$AG,"&gt;="&amp;日期!$B$10,allorders!Q:Q,"&lt;&gt;"&amp;"",allorders!N:N,"Shipped")</f>
        <v>2</v>
      </c>
      <c r="F61">
        <f>SUMIFS(allorders!$O:$O,allorders!$L:$L,$A61,allorders!$AG:$AG,"&lt;="&amp;日期!$B$11,allorders!$AG:$AG,"&gt;="&amp;日期!$B$12,allorders!Q:Q,"&lt;&gt;"&amp;"",allorders!N:N,"Shipped")</f>
        <v>2</v>
      </c>
      <c r="G61">
        <f>SUMIFS(allorders!Q:Q,allorders!L:L,A61,allorders!AG:AG,"&lt;="&amp;日期!$B$5,allorders!AG:AG,"&gt;="&amp;日期!$B$12,allorders!N:N,"Shipped")/SUM(C61:F61)</f>
        <v>19.99</v>
      </c>
      <c r="H61">
        <f>SUMIFS(allorders!Q:Q,allorders!L:L,A61,allorders!AG:AG,"&gt;="&amp;日期!$B$12,allorders!AG:AG,"&lt;="&amp;日期!$B$5,allorders!N:N,"Shipped")</f>
        <v>79.96</v>
      </c>
      <c r="I61">
        <f t="shared" si="0"/>
        <v>4</v>
      </c>
    </row>
    <row r="62" spans="1:9">
      <c r="A62" s="7" t="s">
        <v>784</v>
      </c>
      <c r="B62" t="str">
        <f>VLOOKUP(A62,'[1]子sku-父sku'!$A$1:$B$65536,2,0)</f>
        <v>YZ-ZQFT1816</v>
      </c>
      <c r="C62">
        <f>SUMIFS(allorders!O:O,allorders!L:L,$A62,allorders!AG:AG,"&lt;="&amp;日期!$B$5,allorders!AG:AG,"&gt;="&amp;日期!$B$6,allorders!Q:Q,"&lt;&gt;"&amp;"",allorders!N:N,"Shipped")</f>
        <v>0</v>
      </c>
      <c r="D62">
        <f>SUMIFS(allorders!$O:$O,allorders!$L:$L,$A62,allorders!$AG:$AG,"&lt;="&amp;日期!$B$7,allorders!$AG:$AG,"&gt;="&amp;日期!$B$8,allorders!Q:Q,"&lt;&gt;"&amp;"",allorders!N:N,"Shipped")</f>
        <v>0</v>
      </c>
      <c r="E62">
        <f>SUMIFS(allorders!$O:$O,allorders!$L:$L,$A62,allorders!$AG:$AG,"&lt;="&amp;日期!$B$9,allorders!$AG:$AG,"&gt;="&amp;日期!$B$10,allorders!Q:Q,"&lt;&gt;"&amp;"",allorders!N:N,"Shipped")</f>
        <v>2</v>
      </c>
      <c r="F62">
        <f>SUMIFS(allorders!$O:$O,allorders!$L:$L,$A62,allorders!$AG:$AG,"&lt;="&amp;日期!$B$11,allorders!$AG:$AG,"&gt;="&amp;日期!$B$12,allorders!Q:Q,"&lt;&gt;"&amp;"",allorders!N:N,"Shipped")</f>
        <v>2</v>
      </c>
      <c r="G62">
        <f>SUMIFS(allorders!Q:Q,allorders!L:L,A62,allorders!AG:AG,"&lt;="&amp;日期!$B$5,allorders!AG:AG,"&gt;="&amp;日期!$B$12,allorders!N:N,"Shipped")/SUM(C62:F62)</f>
        <v>19.99</v>
      </c>
      <c r="H62">
        <f>SUMIFS(allorders!Q:Q,allorders!L:L,A62,allorders!AG:AG,"&gt;="&amp;日期!$B$12,allorders!AG:AG,"&lt;="&amp;日期!$B$5,allorders!N:N,"Shipped")</f>
        <v>79.96</v>
      </c>
      <c r="I62">
        <f t="shared" si="0"/>
        <v>4</v>
      </c>
    </row>
    <row r="63" spans="1:9">
      <c r="A63" s="7" t="s">
        <v>806</v>
      </c>
      <c r="B63" t="str">
        <f>VLOOKUP(A63,'[1]子sku-父sku'!$A$1:$B$65536,2,0)</f>
        <v>YZ-HM111</v>
      </c>
      <c r="C63">
        <f>SUMIFS(allorders!O:O,allorders!L:L,$A63,allorders!AG:AG,"&lt;="&amp;日期!$B$5,allorders!AG:AG,"&gt;="&amp;日期!$B$6,allorders!Q:Q,"&lt;&gt;"&amp;"",allorders!N:N,"Shipped")</f>
        <v>0</v>
      </c>
      <c r="D63">
        <f>SUMIFS(allorders!$O:$O,allorders!$L:$L,$A63,allorders!$AG:$AG,"&lt;="&amp;日期!$B$7,allorders!$AG:$AG,"&gt;="&amp;日期!$B$8,allorders!Q:Q,"&lt;&gt;"&amp;"",allorders!N:N,"Shipped")</f>
        <v>0</v>
      </c>
      <c r="E63">
        <f>SUMIFS(allorders!$O:$O,allorders!$L:$L,$A63,allorders!$AG:$AG,"&lt;="&amp;日期!$B$9,allorders!$AG:$AG,"&gt;="&amp;日期!$B$10,allorders!Q:Q,"&lt;&gt;"&amp;"",allorders!N:N,"Shipped")</f>
        <v>0</v>
      </c>
      <c r="F63">
        <f>SUMIFS(allorders!$O:$O,allorders!$L:$L,$A63,allorders!$AG:$AG,"&lt;="&amp;日期!$B$11,allorders!$AG:$AG,"&gt;="&amp;日期!$B$12,allorders!Q:Q,"&lt;&gt;"&amp;"",allorders!N:N,"Shipped")</f>
        <v>2</v>
      </c>
      <c r="G63">
        <f>SUMIFS(allorders!Q:Q,allorders!L:L,A63,allorders!AG:AG,"&lt;="&amp;日期!$B$5,allorders!AG:AG,"&gt;="&amp;日期!$B$12,allorders!N:N,"Shipped")/SUM(C63:F63)</f>
        <v>18.98</v>
      </c>
      <c r="H63">
        <f>SUMIFS(allorders!Q:Q,allorders!L:L,A63,allorders!AG:AG,"&gt;="&amp;日期!$B$12,allorders!AG:AG,"&lt;="&amp;日期!$B$5,allorders!N:N,"Shipped")</f>
        <v>37.96</v>
      </c>
      <c r="I63">
        <f t="shared" si="0"/>
        <v>2</v>
      </c>
    </row>
    <row r="64" spans="1:9">
      <c r="A64" s="7" t="s">
        <v>813</v>
      </c>
      <c r="B64" t="str">
        <f>VLOOKUP(A64,'[1]子sku-父sku'!$A$1:$B$65536,2,0)</f>
        <v>YZ-ZQBL03</v>
      </c>
      <c r="C64">
        <f>SUMIFS(allorders!O:O,allorders!L:L,$A64,allorders!AG:AG,"&lt;="&amp;日期!$B$5,allorders!AG:AG,"&gt;="&amp;日期!$B$6,allorders!Q:Q,"&lt;&gt;"&amp;"",allorders!N:N,"Shipped")</f>
        <v>0</v>
      </c>
      <c r="D64">
        <f>SUMIFS(allorders!$O:$O,allorders!$L:$L,$A64,allorders!$AG:$AG,"&lt;="&amp;日期!$B$7,allorders!$AG:$AG,"&gt;="&amp;日期!$B$8,allorders!Q:Q,"&lt;&gt;"&amp;"",allorders!N:N,"Shipped")</f>
        <v>1</v>
      </c>
      <c r="E64">
        <f>SUMIFS(allorders!$O:$O,allorders!$L:$L,$A64,allorders!$AG:$AG,"&lt;="&amp;日期!$B$9,allorders!$AG:$AG,"&gt;="&amp;日期!$B$10,allorders!Q:Q,"&lt;&gt;"&amp;"",allorders!N:N,"Shipped")</f>
        <v>1</v>
      </c>
      <c r="F64">
        <f>SUMIFS(allorders!$O:$O,allorders!$L:$L,$A64,allorders!$AG:$AG,"&lt;="&amp;日期!$B$11,allorders!$AG:$AG,"&gt;="&amp;日期!$B$12,allorders!Q:Q,"&lt;&gt;"&amp;"",allorders!N:N,"Shipped")</f>
        <v>1</v>
      </c>
      <c r="G64">
        <f>SUMIFS(allorders!Q:Q,allorders!L:L,A64,allorders!AG:AG,"&lt;="&amp;日期!$B$5,allorders!AG:AG,"&gt;="&amp;日期!$B$12,allorders!N:N,"Shipped")/SUM(C64:F64)</f>
        <v>19.99</v>
      </c>
      <c r="H64">
        <f>SUMIFS(allorders!Q:Q,allorders!L:L,A64,allorders!AG:AG,"&gt;="&amp;日期!$B$12,allorders!AG:AG,"&lt;="&amp;日期!$B$5,allorders!N:N,"Shipped")</f>
        <v>59.97</v>
      </c>
      <c r="I64">
        <f t="shared" si="0"/>
        <v>3</v>
      </c>
    </row>
    <row r="65" spans="1:9">
      <c r="A65" s="7" t="s">
        <v>839</v>
      </c>
      <c r="B65" t="str">
        <f>VLOOKUP(A65,'[1]子sku-父sku'!$A$1:$B$65536,2,0)</f>
        <v>YZ-SUZQBL03</v>
      </c>
      <c r="C65">
        <f>SUMIFS(allorders!O:O,allorders!L:L,$A65,allorders!AG:AG,"&lt;="&amp;日期!$B$5,allorders!AG:AG,"&gt;="&amp;日期!$B$6,allorders!Q:Q,"&lt;&gt;"&amp;"",allorders!N:N,"Shipped")</f>
        <v>0</v>
      </c>
      <c r="D65">
        <f>SUMIFS(allorders!$O:$O,allorders!$L:$L,$A65,allorders!$AG:$AG,"&lt;="&amp;日期!$B$7,allorders!$AG:$AG,"&gt;="&amp;日期!$B$8,allorders!Q:Q,"&lt;&gt;"&amp;"",allorders!N:N,"Shipped")</f>
        <v>0</v>
      </c>
      <c r="E65">
        <f>SUMIFS(allorders!$O:$O,allorders!$L:$L,$A65,allorders!$AG:$AG,"&lt;="&amp;日期!$B$9,allorders!$AG:$AG,"&gt;="&amp;日期!$B$10,allorders!Q:Q,"&lt;&gt;"&amp;"",allorders!N:N,"Shipped")</f>
        <v>0</v>
      </c>
      <c r="F65">
        <f>SUMIFS(allorders!$O:$O,allorders!$L:$L,$A65,allorders!$AG:$AG,"&lt;="&amp;日期!$B$11,allorders!$AG:$AG,"&gt;="&amp;日期!$B$12,allorders!Q:Q,"&lt;&gt;"&amp;"",allorders!N:N,"Shipped")</f>
        <v>1</v>
      </c>
      <c r="G65">
        <f>SUMIFS(allorders!Q:Q,allorders!L:L,A65,allorders!AG:AG,"&lt;="&amp;日期!$B$5,allorders!AG:AG,"&gt;="&amp;日期!$B$12,allorders!N:N,"Shipped")/SUM(C65:F65)</f>
        <v>19.99</v>
      </c>
      <c r="H65">
        <f>SUMIFS(allorders!Q:Q,allorders!L:L,A65,allorders!AG:AG,"&gt;="&amp;日期!$B$12,allorders!AG:AG,"&lt;="&amp;日期!$B$5,allorders!N:N,"Shipped")</f>
        <v>19.99</v>
      </c>
      <c r="I65">
        <f t="shared" si="0"/>
        <v>1</v>
      </c>
    </row>
    <row r="66" spans="1:9">
      <c r="A66" s="7" t="s">
        <v>863</v>
      </c>
      <c r="B66" t="str">
        <f>VLOOKUP(A66,'[1]子sku-父sku'!$A$1:$B$65536,2,0)</f>
        <v>LYQ-ZQ2973</v>
      </c>
      <c r="C66">
        <f>SUMIFS(allorders!O:O,allorders!L:L,$A66,allorders!AG:AG,"&lt;="&amp;日期!$B$5,allorders!AG:AG,"&gt;="&amp;日期!$B$6,allorders!Q:Q,"&lt;&gt;"&amp;"",allorders!N:N,"Shipped")</f>
        <v>0</v>
      </c>
      <c r="D66">
        <f>SUMIFS(allorders!$O:$O,allorders!$L:$L,$A66,allorders!$AG:$AG,"&lt;="&amp;日期!$B$7,allorders!$AG:$AG,"&gt;="&amp;日期!$B$8,allorders!Q:Q,"&lt;&gt;"&amp;"",allorders!N:N,"Shipped")</f>
        <v>0</v>
      </c>
      <c r="E66">
        <f>SUMIFS(allorders!$O:$O,allorders!$L:$L,$A66,allorders!$AG:$AG,"&lt;="&amp;日期!$B$9,allorders!$AG:$AG,"&gt;="&amp;日期!$B$10,allorders!Q:Q,"&lt;&gt;"&amp;"",allorders!N:N,"Shipped")</f>
        <v>0</v>
      </c>
      <c r="F66">
        <f>SUMIFS(allorders!$O:$O,allorders!$L:$L,$A66,allorders!$AG:$AG,"&lt;="&amp;日期!$B$11,allorders!$AG:$AG,"&gt;="&amp;日期!$B$12,allorders!Q:Q,"&lt;&gt;"&amp;"",allorders!N:N,"Shipped")</f>
        <v>1</v>
      </c>
      <c r="G66">
        <f>SUMIFS(allorders!Q:Q,allorders!L:L,A66,allorders!AG:AG,"&lt;="&amp;日期!$B$5,allorders!AG:AG,"&gt;="&amp;日期!$B$12,allorders!N:N,"Shipped")/SUM(C66:F66)</f>
        <v>18.99</v>
      </c>
      <c r="H66">
        <f>SUMIFS(allorders!Q:Q,allorders!L:L,A66,allorders!AG:AG,"&gt;="&amp;日期!$B$12,allorders!AG:AG,"&lt;="&amp;日期!$B$5,allorders!N:N,"Shipped")</f>
        <v>18.99</v>
      </c>
      <c r="I66">
        <f t="shared" si="0"/>
        <v>1</v>
      </c>
    </row>
    <row r="67" spans="1:9">
      <c r="A67" s="7" t="s">
        <v>901</v>
      </c>
      <c r="B67" t="str">
        <f>VLOOKUP(A67,'[1]子sku-父sku'!$A$1:$B$65536,2,0)</f>
        <v>YZ-SM-HM30CH</v>
      </c>
      <c r="C67">
        <f>SUMIFS(allorders!O:O,allorders!L:L,$A67,allorders!AG:AG,"&lt;="&amp;日期!$B$5,allorders!AG:AG,"&gt;="&amp;日期!$B$6,allorders!Q:Q,"&lt;&gt;"&amp;"",allorders!N:N,"Shipped")</f>
        <v>0</v>
      </c>
      <c r="D67">
        <f>SUMIFS(allorders!$O:$O,allorders!$L:$L,$A67,allorders!$AG:$AG,"&lt;="&amp;日期!$B$7,allorders!$AG:$AG,"&gt;="&amp;日期!$B$8,allorders!Q:Q,"&lt;&gt;"&amp;"",allorders!N:N,"Shipped")</f>
        <v>0</v>
      </c>
      <c r="E67">
        <f>SUMIFS(allorders!$O:$O,allorders!$L:$L,$A67,allorders!$AG:$AG,"&lt;="&amp;日期!$B$9,allorders!$AG:$AG,"&gt;="&amp;日期!$B$10,allorders!Q:Q,"&lt;&gt;"&amp;"",allorders!N:N,"Shipped")</f>
        <v>0</v>
      </c>
      <c r="F67">
        <f>SUMIFS(allorders!$O:$O,allorders!$L:$L,$A67,allorders!$AG:$AG,"&lt;="&amp;日期!$B$11,allorders!$AG:$AG,"&gt;="&amp;日期!$B$12,allorders!Q:Q,"&lt;&gt;"&amp;"",allorders!N:N,"Shipped")</f>
        <v>1</v>
      </c>
      <c r="G67">
        <f>SUMIFS(allorders!Q:Q,allorders!L:L,A67,allorders!AG:AG,"&lt;="&amp;日期!$B$5,allorders!AG:AG,"&gt;="&amp;日期!$B$12,allorders!N:N,"Shipped")/SUM(C67:F67)</f>
        <v>15.09</v>
      </c>
      <c r="H67">
        <f>SUMIFS(allorders!Q:Q,allorders!L:L,A67,allorders!AG:AG,"&gt;="&amp;日期!$B$12,allorders!AG:AG,"&lt;="&amp;日期!$B$5,allorders!N:N,"Shipped")</f>
        <v>15.09</v>
      </c>
      <c r="I67">
        <f t="shared" ref="I67:I130" si="1">SUM(C67:F67)</f>
        <v>1</v>
      </c>
    </row>
    <row r="68" spans="1:9">
      <c r="A68" s="7" t="s">
        <v>919</v>
      </c>
      <c r="B68" t="str">
        <f>VLOOKUP(A68,'[1]子sku-父sku'!$A$1:$B$65536,2,0)</f>
        <v>YZ-ZQ1521</v>
      </c>
      <c r="C68">
        <f>SUMIFS(allorders!O:O,allorders!L:L,$A68,allorders!AG:AG,"&lt;="&amp;日期!$B$5,allorders!AG:AG,"&gt;="&amp;日期!$B$6,allorders!Q:Q,"&lt;&gt;"&amp;"",allorders!N:N,"Shipped")</f>
        <v>0</v>
      </c>
      <c r="D68">
        <f>SUMIFS(allorders!$O:$O,allorders!$L:$L,$A68,allorders!$AG:$AG,"&lt;="&amp;日期!$B$7,allorders!$AG:$AG,"&gt;="&amp;日期!$B$8,allorders!Q:Q,"&lt;&gt;"&amp;"",allorders!N:N,"Shipped")</f>
        <v>0</v>
      </c>
      <c r="E68">
        <f>SUMIFS(allorders!$O:$O,allorders!$L:$L,$A68,allorders!$AG:$AG,"&lt;="&amp;日期!$B$9,allorders!$AG:$AG,"&gt;="&amp;日期!$B$10,allorders!Q:Q,"&lt;&gt;"&amp;"",allorders!N:N,"Shipped")</f>
        <v>0</v>
      </c>
      <c r="F68">
        <f>SUMIFS(allorders!$O:$O,allorders!$L:$L,$A68,allorders!$AG:$AG,"&lt;="&amp;日期!$B$11,allorders!$AG:$AG,"&gt;="&amp;日期!$B$12,allorders!Q:Q,"&lt;&gt;"&amp;"",allorders!N:N,"Shipped")</f>
        <v>1</v>
      </c>
      <c r="G68">
        <f>SUMIFS(allorders!Q:Q,allorders!L:L,A68,allorders!AG:AG,"&lt;="&amp;日期!$B$5,allorders!AG:AG,"&gt;="&amp;日期!$B$12,allorders!N:N,"Shipped")/SUM(C68:F68)</f>
        <v>19.38</v>
      </c>
      <c r="H68">
        <f>SUMIFS(allorders!Q:Q,allorders!L:L,A68,allorders!AG:AG,"&gt;="&amp;日期!$B$12,allorders!AG:AG,"&lt;="&amp;日期!$B$5,allorders!N:N,"Shipped")</f>
        <v>19.38</v>
      </c>
      <c r="I68">
        <f t="shared" si="1"/>
        <v>1</v>
      </c>
    </row>
    <row r="69" spans="1:9">
      <c r="A69" s="7" t="s">
        <v>948</v>
      </c>
      <c r="B69" t="str">
        <f>VLOOKUP(A69,'[1]子sku-父sku'!$A$1:$B$65536,2,0)</f>
        <v>YZ-ZQ112</v>
      </c>
      <c r="C69">
        <f>SUMIFS(allorders!O:O,allorders!L:L,$A69,allorders!AG:AG,"&lt;="&amp;日期!$B$5,allorders!AG:AG,"&gt;="&amp;日期!$B$6,allorders!Q:Q,"&lt;&gt;"&amp;"",allorders!N:N,"Shipped")</f>
        <v>0</v>
      </c>
      <c r="D69">
        <f>SUMIFS(allorders!$O:$O,allorders!$L:$L,$A69,allorders!$AG:$AG,"&lt;="&amp;日期!$B$7,allorders!$AG:$AG,"&gt;="&amp;日期!$B$8,allorders!Q:Q,"&lt;&gt;"&amp;"",allorders!N:N,"Shipped")</f>
        <v>0</v>
      </c>
      <c r="E69">
        <f>SUMIFS(allorders!$O:$O,allorders!$L:$L,$A69,allorders!$AG:$AG,"&lt;="&amp;日期!$B$9,allorders!$AG:$AG,"&gt;="&amp;日期!$B$10,allorders!Q:Q,"&lt;&gt;"&amp;"",allorders!N:N,"Shipped")</f>
        <v>0</v>
      </c>
      <c r="F69">
        <f>SUMIFS(allorders!$O:$O,allorders!$L:$L,$A69,allorders!$AG:$AG,"&lt;="&amp;日期!$B$11,allorders!$AG:$AG,"&gt;="&amp;日期!$B$12,allorders!Q:Q,"&lt;&gt;"&amp;"",allorders!N:N,"Shipped")</f>
        <v>0</v>
      </c>
      <c r="G69" t="e">
        <f>SUMIFS(allorders!Q:Q,allorders!L:L,A69,allorders!AG:AG,"&lt;="&amp;日期!$B$5,allorders!AG:AG,"&gt;="&amp;日期!$B$12,allorders!N:N,"Shipped")/SUM(C69:F69)</f>
        <v>#DIV/0!</v>
      </c>
      <c r="H69">
        <f>SUMIFS(allorders!Q:Q,allorders!L:L,A69,allorders!AG:AG,"&gt;="&amp;日期!$B$12,allorders!AG:AG,"&lt;="&amp;日期!$B$5,allorders!N:N,"Shipped")</f>
        <v>0</v>
      </c>
      <c r="I69">
        <f t="shared" si="1"/>
        <v>0</v>
      </c>
    </row>
    <row r="70" spans="1:9">
      <c r="A70" s="7" t="s">
        <v>959</v>
      </c>
      <c r="B70" t="str">
        <f>VLOOKUP(A70,'[1]子sku-父sku'!$A$1:$B$65536,2,0)</f>
        <v>YZ-SUZQ388</v>
      </c>
      <c r="C70">
        <f>SUMIFS(allorders!O:O,allorders!L:L,$A70,allorders!AG:AG,"&lt;="&amp;日期!$B$5,allorders!AG:AG,"&gt;="&amp;日期!$B$6,allorders!Q:Q,"&lt;&gt;"&amp;"",allorders!N:N,"Shipped")</f>
        <v>6</v>
      </c>
      <c r="D70">
        <f>SUMIFS(allorders!$O:$O,allorders!$L:$L,$A70,allorders!$AG:$AG,"&lt;="&amp;日期!$B$7,allorders!$AG:$AG,"&gt;="&amp;日期!$B$8,allorders!Q:Q,"&lt;&gt;"&amp;"",allorders!N:N,"Shipped")</f>
        <v>3</v>
      </c>
      <c r="E70">
        <f>SUMIFS(allorders!$O:$O,allorders!$L:$L,$A70,allorders!$AG:$AG,"&lt;="&amp;日期!$B$9,allorders!$AG:$AG,"&gt;="&amp;日期!$B$10,allorders!Q:Q,"&lt;&gt;"&amp;"",allorders!N:N,"Shipped")</f>
        <v>3</v>
      </c>
      <c r="F70">
        <f>SUMIFS(allorders!$O:$O,allorders!$L:$L,$A70,allorders!$AG:$AG,"&lt;="&amp;日期!$B$11,allorders!$AG:$AG,"&gt;="&amp;日期!$B$12,allorders!Q:Q,"&lt;&gt;"&amp;"",allorders!N:N,"Shipped")</f>
        <v>1</v>
      </c>
      <c r="G70">
        <f>SUMIFS(allorders!Q:Q,allorders!L:L,A70,allorders!AG:AG,"&lt;="&amp;日期!$B$5,allorders!AG:AG,"&gt;="&amp;日期!$B$12,allorders!N:N,"Shipped")/SUM(C70:F70)</f>
        <v>15.6823076923077</v>
      </c>
      <c r="H70">
        <f>SUMIFS(allorders!Q:Q,allorders!L:L,A70,allorders!AG:AG,"&gt;="&amp;日期!$B$12,allorders!AG:AG,"&lt;="&amp;日期!$B$5,allorders!N:N,"Shipped")</f>
        <v>203.87</v>
      </c>
      <c r="I70">
        <f t="shared" si="1"/>
        <v>13</v>
      </c>
    </row>
    <row r="71" spans="1:9">
      <c r="A71" s="7" t="s">
        <v>966</v>
      </c>
      <c r="B71" t="str">
        <f>VLOOKUP(A71,'[1]子sku-父sku'!$A$1:$B$65536,2,0)</f>
        <v>LYQ-ZQPC01</v>
      </c>
      <c r="C71">
        <f>SUMIFS(allorders!O:O,allorders!L:L,$A71,allorders!AG:AG,"&lt;="&amp;日期!$B$5,allorders!AG:AG,"&gt;="&amp;日期!$B$6,allorders!Q:Q,"&lt;&gt;"&amp;"",allorders!N:N,"Shipped")</f>
        <v>0</v>
      </c>
      <c r="D71">
        <f>SUMIFS(allorders!$O:$O,allorders!$L:$L,$A71,allorders!$AG:$AG,"&lt;="&amp;日期!$B$7,allorders!$AG:$AG,"&gt;="&amp;日期!$B$8,allorders!Q:Q,"&lt;&gt;"&amp;"",allorders!N:N,"Shipped")</f>
        <v>0</v>
      </c>
      <c r="E71">
        <f>SUMIFS(allorders!$O:$O,allorders!$L:$L,$A71,allorders!$AG:$AG,"&lt;="&amp;日期!$B$9,allorders!$AG:$AG,"&gt;="&amp;日期!$B$10,allorders!Q:Q,"&lt;&gt;"&amp;"",allorders!N:N,"Shipped")</f>
        <v>1</v>
      </c>
      <c r="F71">
        <f>SUMIFS(allorders!$O:$O,allorders!$L:$L,$A71,allorders!$AG:$AG,"&lt;="&amp;日期!$B$11,allorders!$AG:$AG,"&gt;="&amp;日期!$B$12,allorders!Q:Q,"&lt;&gt;"&amp;"",allorders!N:N,"Shipped")</f>
        <v>1</v>
      </c>
      <c r="G71">
        <f>SUMIFS(allorders!Q:Q,allorders!L:L,A71,allorders!AG:AG,"&lt;="&amp;日期!$B$5,allorders!AG:AG,"&gt;="&amp;日期!$B$12,allorders!N:N,"Shipped")/SUM(C71:F71)</f>
        <v>17.99</v>
      </c>
      <c r="H71">
        <f>SUMIFS(allorders!Q:Q,allorders!L:L,A71,allorders!AG:AG,"&gt;="&amp;日期!$B$12,allorders!AG:AG,"&lt;="&amp;日期!$B$5,allorders!N:N,"Shipped")</f>
        <v>35.98</v>
      </c>
      <c r="I71">
        <f t="shared" si="1"/>
        <v>2</v>
      </c>
    </row>
    <row r="72" spans="1:9">
      <c r="A72" s="7" t="s">
        <v>1022</v>
      </c>
      <c r="B72" t="str">
        <f>VLOOKUP(A72,'[1]子sku-父sku'!$A$1:$B$65536,2,0)</f>
        <v>YZ-ZQ1521</v>
      </c>
      <c r="C72">
        <f>SUMIFS(allorders!O:O,allorders!L:L,$A72,allorders!AG:AG,"&lt;="&amp;日期!$B$5,allorders!AG:AG,"&gt;="&amp;日期!$B$6,allorders!Q:Q,"&lt;&gt;"&amp;"",allorders!N:N,"Shipped")</f>
        <v>0</v>
      </c>
      <c r="D72">
        <f>SUMIFS(allorders!$O:$O,allorders!$L:$L,$A72,allorders!$AG:$AG,"&lt;="&amp;日期!$B$7,allorders!$AG:$AG,"&gt;="&amp;日期!$B$8,allorders!Q:Q,"&lt;&gt;"&amp;"",allorders!N:N,"Shipped")</f>
        <v>0</v>
      </c>
      <c r="E72">
        <f>SUMIFS(allorders!$O:$O,allorders!$L:$L,$A72,allorders!$AG:$AG,"&lt;="&amp;日期!$B$9,allorders!$AG:$AG,"&gt;="&amp;日期!$B$10,allorders!Q:Q,"&lt;&gt;"&amp;"",allorders!N:N,"Shipped")</f>
        <v>1</v>
      </c>
      <c r="F72">
        <f>SUMIFS(allorders!$O:$O,allorders!$L:$L,$A72,allorders!$AG:$AG,"&lt;="&amp;日期!$B$11,allorders!$AG:$AG,"&gt;="&amp;日期!$B$12,allorders!Q:Q,"&lt;&gt;"&amp;"",allorders!N:N,"Shipped")</f>
        <v>2</v>
      </c>
      <c r="G72">
        <f>SUMIFS(allorders!Q:Q,allorders!L:L,A72,allorders!AG:AG,"&lt;="&amp;日期!$B$5,allorders!AG:AG,"&gt;="&amp;日期!$B$12,allorders!N:N,"Shipped")/SUM(C72:F72)</f>
        <v>19.38</v>
      </c>
      <c r="H72">
        <f>SUMIFS(allorders!Q:Q,allorders!L:L,A72,allorders!AG:AG,"&gt;="&amp;日期!$B$12,allorders!AG:AG,"&lt;="&amp;日期!$B$5,allorders!N:N,"Shipped")</f>
        <v>58.14</v>
      </c>
      <c r="I72">
        <f t="shared" si="1"/>
        <v>3</v>
      </c>
    </row>
    <row r="73" spans="1:9">
      <c r="A73" s="7" t="s">
        <v>1030</v>
      </c>
      <c r="B73" t="str">
        <f>VLOOKUP(A73,'[1]子sku-父sku'!$A$1:$B$65536,2,0)</f>
        <v>SHJ-ZQLS12</v>
      </c>
      <c r="C73">
        <f>SUMIFS(allorders!O:O,allorders!L:L,$A73,allorders!AG:AG,"&lt;="&amp;日期!$B$5,allorders!AG:AG,"&gt;="&amp;日期!$B$6,allorders!Q:Q,"&lt;&gt;"&amp;"",allorders!N:N,"Shipped")</f>
        <v>0</v>
      </c>
      <c r="D73">
        <f>SUMIFS(allorders!$O:$O,allorders!$L:$L,$A73,allorders!$AG:$AG,"&lt;="&amp;日期!$B$7,allorders!$AG:$AG,"&gt;="&amp;日期!$B$8,allorders!Q:Q,"&lt;&gt;"&amp;"",allorders!N:N,"Shipped")</f>
        <v>0</v>
      </c>
      <c r="E73">
        <f>SUMIFS(allorders!$O:$O,allorders!$L:$L,$A73,allorders!$AG:$AG,"&lt;="&amp;日期!$B$9,allorders!$AG:$AG,"&gt;="&amp;日期!$B$10,allorders!Q:Q,"&lt;&gt;"&amp;"",allorders!N:N,"Shipped")</f>
        <v>1</v>
      </c>
      <c r="F73">
        <f>SUMIFS(allorders!$O:$O,allorders!$L:$L,$A73,allorders!$AG:$AG,"&lt;="&amp;日期!$B$11,allorders!$AG:$AG,"&gt;="&amp;日期!$B$12,allorders!Q:Q,"&lt;&gt;"&amp;"",allorders!N:N,"Shipped")</f>
        <v>1</v>
      </c>
      <c r="G73">
        <f>SUMIFS(allorders!Q:Q,allorders!L:L,A73,allorders!AG:AG,"&lt;="&amp;日期!$B$5,allorders!AG:AG,"&gt;="&amp;日期!$B$12,allorders!N:N,"Shipped")/SUM(C73:F73)</f>
        <v>19.99</v>
      </c>
      <c r="H73">
        <f>SUMIFS(allorders!Q:Q,allorders!L:L,A73,allorders!AG:AG,"&gt;="&amp;日期!$B$12,allorders!AG:AG,"&lt;="&amp;日期!$B$5,allorders!N:N,"Shipped")</f>
        <v>39.98</v>
      </c>
      <c r="I73">
        <f t="shared" si="1"/>
        <v>2</v>
      </c>
    </row>
    <row r="74" spans="1:9">
      <c r="A74" s="7" t="s">
        <v>1050</v>
      </c>
      <c r="B74" t="str">
        <f>VLOOKUP(A74,'[1]子sku-父sku'!$A$1:$B$65536,2,0)</f>
        <v>YZ-ZQFT1816</v>
      </c>
      <c r="C74">
        <f>SUMIFS(allorders!O:O,allorders!L:L,$A74,allorders!AG:AG,"&lt;="&amp;日期!$B$5,allorders!AG:AG,"&gt;="&amp;日期!$B$6,allorders!Q:Q,"&lt;&gt;"&amp;"",allorders!N:N,"Shipped")</f>
        <v>1</v>
      </c>
      <c r="D74">
        <f>SUMIFS(allorders!$O:$O,allorders!$L:$L,$A74,allorders!$AG:$AG,"&lt;="&amp;日期!$B$7,allorders!$AG:$AG,"&gt;="&amp;日期!$B$8,allorders!Q:Q,"&lt;&gt;"&amp;"",allorders!N:N,"Shipped")</f>
        <v>0</v>
      </c>
      <c r="E74">
        <f>SUMIFS(allorders!$O:$O,allorders!$L:$L,$A74,allorders!$AG:$AG,"&lt;="&amp;日期!$B$9,allorders!$AG:$AG,"&gt;="&amp;日期!$B$10,allorders!Q:Q,"&lt;&gt;"&amp;"",allorders!N:N,"Shipped")</f>
        <v>0</v>
      </c>
      <c r="F74">
        <f>SUMIFS(allorders!$O:$O,allorders!$L:$L,$A74,allorders!$AG:$AG,"&lt;="&amp;日期!$B$11,allorders!$AG:$AG,"&gt;="&amp;日期!$B$12,allorders!Q:Q,"&lt;&gt;"&amp;"",allorders!N:N,"Shipped")</f>
        <v>1</v>
      </c>
      <c r="G74">
        <f>SUMIFS(allorders!Q:Q,allorders!L:L,A74,allorders!AG:AG,"&lt;="&amp;日期!$B$5,allorders!AG:AG,"&gt;="&amp;日期!$B$12,allorders!N:N,"Shipped")/SUM(C74:F74)</f>
        <v>19.99</v>
      </c>
      <c r="H74">
        <f>SUMIFS(allorders!Q:Q,allorders!L:L,A74,allorders!AG:AG,"&gt;="&amp;日期!$B$12,allorders!AG:AG,"&lt;="&amp;日期!$B$5,allorders!N:N,"Shipped")</f>
        <v>39.98</v>
      </c>
      <c r="I74">
        <f t="shared" si="1"/>
        <v>2</v>
      </c>
    </row>
    <row r="75" spans="1:9">
      <c r="A75" s="7" t="s">
        <v>1072</v>
      </c>
      <c r="B75" t="str">
        <f>VLOOKUP(A75,'[1]子sku-父sku'!$A$1:$B$65536,2,0)</f>
        <v>LYQ-HM1205</v>
      </c>
      <c r="C75">
        <f>SUMIFS(allorders!O:O,allorders!L:L,$A75,allorders!AG:AG,"&lt;="&amp;日期!$B$5,allorders!AG:AG,"&gt;="&amp;日期!$B$6,allorders!Q:Q,"&lt;&gt;"&amp;"",allorders!N:N,"Shipped")</f>
        <v>0</v>
      </c>
      <c r="D75">
        <f>SUMIFS(allorders!$O:$O,allorders!$L:$L,$A75,allorders!$AG:$AG,"&lt;="&amp;日期!$B$7,allorders!$AG:$AG,"&gt;="&amp;日期!$B$8,allorders!Q:Q,"&lt;&gt;"&amp;"",allorders!N:N,"Shipped")</f>
        <v>0</v>
      </c>
      <c r="E75">
        <f>SUMIFS(allorders!$O:$O,allorders!$L:$L,$A75,allorders!$AG:$AG,"&lt;="&amp;日期!$B$9,allorders!$AG:$AG,"&gt;="&amp;日期!$B$10,allorders!Q:Q,"&lt;&gt;"&amp;"",allorders!N:N,"Shipped")</f>
        <v>0</v>
      </c>
      <c r="F75">
        <f>SUMIFS(allorders!$O:$O,allorders!$L:$L,$A75,allorders!$AG:$AG,"&lt;="&amp;日期!$B$11,allorders!$AG:$AG,"&gt;="&amp;日期!$B$12,allorders!Q:Q,"&lt;&gt;"&amp;"",allorders!N:N,"Shipped")</f>
        <v>1</v>
      </c>
      <c r="G75">
        <f>SUMIFS(allorders!Q:Q,allorders!L:L,A75,allorders!AG:AG,"&lt;="&amp;日期!$B$5,allorders!AG:AG,"&gt;="&amp;日期!$B$12,allorders!N:N,"Shipped")/SUM(C75:F75)</f>
        <v>25.99</v>
      </c>
      <c r="H75">
        <f>SUMIFS(allorders!Q:Q,allorders!L:L,A75,allorders!AG:AG,"&gt;="&amp;日期!$B$12,allorders!AG:AG,"&lt;="&amp;日期!$B$5,allorders!N:N,"Shipped")</f>
        <v>25.99</v>
      </c>
      <c r="I75">
        <f t="shared" si="1"/>
        <v>1</v>
      </c>
    </row>
    <row r="76" spans="1:9">
      <c r="A76" s="7" t="s">
        <v>1080</v>
      </c>
      <c r="B76" t="str">
        <f>VLOOKUP(A76,'[1]子sku-父sku'!$A$1:$B$65536,2,0)</f>
        <v>WJ-ZQ650</v>
      </c>
      <c r="C76">
        <f>SUMIFS(allorders!O:O,allorders!L:L,$A76,allorders!AG:AG,"&lt;="&amp;日期!$B$5,allorders!AG:AG,"&gt;="&amp;日期!$B$6,allorders!Q:Q,"&lt;&gt;"&amp;"",allorders!N:N,"Shipped")</f>
        <v>0</v>
      </c>
      <c r="D76">
        <f>SUMIFS(allorders!$O:$O,allorders!$L:$L,$A76,allorders!$AG:$AG,"&lt;="&amp;日期!$B$7,allorders!$AG:$AG,"&gt;="&amp;日期!$B$8,allorders!Q:Q,"&lt;&gt;"&amp;"",allorders!N:N,"Shipped")</f>
        <v>0</v>
      </c>
      <c r="E76">
        <f>SUMIFS(allorders!$O:$O,allorders!$L:$L,$A76,allorders!$AG:$AG,"&lt;="&amp;日期!$B$9,allorders!$AG:$AG,"&gt;="&amp;日期!$B$10,allorders!Q:Q,"&lt;&gt;"&amp;"",allorders!N:N,"Shipped")</f>
        <v>1</v>
      </c>
      <c r="F76">
        <f>SUMIFS(allorders!$O:$O,allorders!$L:$L,$A76,allorders!$AG:$AG,"&lt;="&amp;日期!$B$11,allorders!$AG:$AG,"&gt;="&amp;日期!$B$12,allorders!Q:Q,"&lt;&gt;"&amp;"",allorders!N:N,"Shipped")</f>
        <v>2</v>
      </c>
      <c r="G76">
        <f>SUMIFS(allorders!Q:Q,allorders!L:L,A76,allorders!AG:AG,"&lt;="&amp;日期!$B$5,allorders!AG:AG,"&gt;="&amp;日期!$B$12,allorders!N:N,"Shipped")/SUM(C76:F76)</f>
        <v>12.99</v>
      </c>
      <c r="H76">
        <f>SUMIFS(allorders!Q:Q,allorders!L:L,A76,allorders!AG:AG,"&gt;="&amp;日期!$B$12,allorders!AG:AG,"&lt;="&amp;日期!$B$5,allorders!N:N,"Shipped")</f>
        <v>38.97</v>
      </c>
      <c r="I76">
        <f t="shared" si="1"/>
        <v>3</v>
      </c>
    </row>
    <row r="77" spans="1:9">
      <c r="A77" s="7" t="s">
        <v>1092</v>
      </c>
      <c r="B77" t="str">
        <f>VLOOKUP(A77,'[1]子sku-父sku'!$A$1:$B$65536,2,0)</f>
        <v>YZ-ZQFT1816</v>
      </c>
      <c r="C77">
        <f>SUMIFS(allorders!O:O,allorders!L:L,$A77,allorders!AG:AG,"&lt;="&amp;日期!$B$5,allorders!AG:AG,"&gt;="&amp;日期!$B$6,allorders!Q:Q,"&lt;&gt;"&amp;"",allorders!N:N,"Shipped")</f>
        <v>2</v>
      </c>
      <c r="D77">
        <f>SUMIFS(allorders!$O:$O,allorders!$L:$L,$A77,allorders!$AG:$AG,"&lt;="&amp;日期!$B$7,allorders!$AG:$AG,"&gt;="&amp;日期!$B$8,allorders!Q:Q,"&lt;&gt;"&amp;"",allorders!N:N,"Shipped")</f>
        <v>2</v>
      </c>
      <c r="E77">
        <f>SUMIFS(allorders!$O:$O,allorders!$L:$L,$A77,allorders!$AG:$AG,"&lt;="&amp;日期!$B$9,allorders!$AG:$AG,"&gt;="&amp;日期!$B$10,allorders!Q:Q,"&lt;&gt;"&amp;"",allorders!N:N,"Shipped")</f>
        <v>1</v>
      </c>
      <c r="F77">
        <f>SUMIFS(allorders!$O:$O,allorders!$L:$L,$A77,allorders!$AG:$AG,"&lt;="&amp;日期!$B$11,allorders!$AG:$AG,"&gt;="&amp;日期!$B$12,allorders!Q:Q,"&lt;&gt;"&amp;"",allorders!N:N,"Shipped")</f>
        <v>1</v>
      </c>
      <c r="G77">
        <f>SUMIFS(allorders!Q:Q,allorders!L:L,A77,allorders!AG:AG,"&lt;="&amp;日期!$B$5,allorders!AG:AG,"&gt;="&amp;日期!$B$12,allorders!N:N,"Shipped")/SUM(C77:F77)</f>
        <v>19.99</v>
      </c>
      <c r="H77">
        <f>SUMIFS(allorders!Q:Q,allorders!L:L,A77,allorders!AG:AG,"&gt;="&amp;日期!$B$12,allorders!AG:AG,"&lt;="&amp;日期!$B$5,allorders!N:N,"Shipped")</f>
        <v>119.94</v>
      </c>
      <c r="I77">
        <f t="shared" si="1"/>
        <v>6</v>
      </c>
    </row>
    <row r="78" spans="1:9">
      <c r="A78" s="7" t="s">
        <v>1118</v>
      </c>
      <c r="B78" t="str">
        <f>VLOOKUP(A78,'[1]子sku-父sku'!$A$1:$B$65536,2,0)</f>
        <v>LYQ-ZQ3550</v>
      </c>
      <c r="C78">
        <f>SUMIFS(allorders!O:O,allorders!L:L,$A78,allorders!AG:AG,"&lt;="&amp;日期!$B$5,allorders!AG:AG,"&gt;="&amp;日期!$B$6,allorders!Q:Q,"&lt;&gt;"&amp;"",allorders!N:N,"Shipped")</f>
        <v>0</v>
      </c>
      <c r="D78">
        <f>SUMIFS(allorders!$O:$O,allorders!$L:$L,$A78,allorders!$AG:$AG,"&lt;="&amp;日期!$B$7,allorders!$AG:$AG,"&gt;="&amp;日期!$B$8,allorders!Q:Q,"&lt;&gt;"&amp;"",allorders!N:N,"Shipped")</f>
        <v>0</v>
      </c>
      <c r="E78">
        <f>SUMIFS(allorders!$O:$O,allorders!$L:$L,$A78,allorders!$AG:$AG,"&lt;="&amp;日期!$B$9,allorders!$AG:$AG,"&gt;="&amp;日期!$B$10,allorders!Q:Q,"&lt;&gt;"&amp;"",allorders!N:N,"Shipped")</f>
        <v>0</v>
      </c>
      <c r="F78">
        <f>SUMIFS(allorders!$O:$O,allorders!$L:$L,$A78,allorders!$AG:$AG,"&lt;="&amp;日期!$B$11,allorders!$AG:$AG,"&gt;="&amp;日期!$B$12,allorders!Q:Q,"&lt;&gt;"&amp;"",allorders!N:N,"Shipped")</f>
        <v>1</v>
      </c>
      <c r="G78">
        <f>SUMIFS(allorders!Q:Q,allorders!L:L,A78,allorders!AG:AG,"&lt;="&amp;日期!$B$5,allorders!AG:AG,"&gt;="&amp;日期!$B$12,allorders!N:N,"Shipped")/SUM(C78:F78)</f>
        <v>16.99</v>
      </c>
      <c r="H78">
        <f>SUMIFS(allorders!Q:Q,allorders!L:L,A78,allorders!AG:AG,"&gt;="&amp;日期!$B$12,allorders!AG:AG,"&lt;="&amp;日期!$B$5,allorders!N:N,"Shipped")</f>
        <v>16.99</v>
      </c>
      <c r="I78">
        <f t="shared" si="1"/>
        <v>1</v>
      </c>
    </row>
    <row r="79" spans="1:9">
      <c r="A79" s="7" t="s">
        <v>1132</v>
      </c>
      <c r="B79" t="str">
        <f>VLOOKUP(A79,'[1]子sku-父sku'!$A$1:$B$65536,2,0)</f>
        <v>YZ-ZQZY456</v>
      </c>
      <c r="C79">
        <f>SUMIFS(allorders!O:O,allorders!L:L,$A79,allorders!AG:AG,"&lt;="&amp;日期!$B$5,allorders!AG:AG,"&gt;="&amp;日期!$B$6,allorders!Q:Q,"&lt;&gt;"&amp;"",allorders!N:N,"Shipped")</f>
        <v>0</v>
      </c>
      <c r="D79">
        <f>SUMIFS(allorders!$O:$O,allorders!$L:$L,$A79,allorders!$AG:$AG,"&lt;="&amp;日期!$B$7,allorders!$AG:$AG,"&gt;="&amp;日期!$B$8,allorders!Q:Q,"&lt;&gt;"&amp;"",allorders!N:N,"Shipped")</f>
        <v>0</v>
      </c>
      <c r="E79">
        <f>SUMIFS(allorders!$O:$O,allorders!$L:$L,$A79,allorders!$AG:$AG,"&lt;="&amp;日期!$B$9,allorders!$AG:$AG,"&gt;="&amp;日期!$B$10,allorders!Q:Q,"&lt;&gt;"&amp;"",allorders!N:N,"Shipped")</f>
        <v>0</v>
      </c>
      <c r="F79">
        <f>SUMIFS(allorders!$O:$O,allorders!$L:$L,$A79,allorders!$AG:$AG,"&lt;="&amp;日期!$B$11,allorders!$AG:$AG,"&gt;="&amp;日期!$B$12,allorders!Q:Q,"&lt;&gt;"&amp;"",allorders!N:N,"Shipped")</f>
        <v>1</v>
      </c>
      <c r="G79">
        <f>SUMIFS(allorders!Q:Q,allorders!L:L,A79,allorders!AG:AG,"&lt;="&amp;日期!$B$5,allorders!AG:AG,"&gt;="&amp;日期!$B$12,allorders!N:N,"Shipped")/SUM(C79:F79)</f>
        <v>16.99</v>
      </c>
      <c r="H79">
        <f>SUMIFS(allorders!Q:Q,allorders!L:L,A79,allorders!AG:AG,"&gt;="&amp;日期!$B$12,allorders!AG:AG,"&lt;="&amp;日期!$B$5,allorders!N:N,"Shipped")</f>
        <v>16.99</v>
      </c>
      <c r="I79">
        <f t="shared" si="1"/>
        <v>1</v>
      </c>
    </row>
    <row r="80" spans="1:9">
      <c r="A80" s="7" t="s">
        <v>1140</v>
      </c>
      <c r="B80" t="str">
        <f>VLOOKUP(A80,'[1]子sku-父sku'!$A$1:$B$65536,2,0)</f>
        <v>YZ-ZQ15827</v>
      </c>
      <c r="C80">
        <f>SUMIFS(allorders!O:O,allorders!L:L,$A80,allorders!AG:AG,"&lt;="&amp;日期!$B$5,allorders!AG:AG,"&gt;="&amp;日期!$B$6,allorders!Q:Q,"&lt;&gt;"&amp;"",allorders!N:N,"Shipped")</f>
        <v>0</v>
      </c>
      <c r="D80">
        <f>SUMIFS(allorders!$O:$O,allorders!$L:$L,$A80,allorders!$AG:$AG,"&lt;="&amp;日期!$B$7,allorders!$AG:$AG,"&gt;="&amp;日期!$B$8,allorders!Q:Q,"&lt;&gt;"&amp;"",allorders!N:N,"Shipped")</f>
        <v>0</v>
      </c>
      <c r="E80">
        <f>SUMIFS(allorders!$O:$O,allorders!$L:$L,$A80,allorders!$AG:$AG,"&lt;="&amp;日期!$B$9,allorders!$AG:$AG,"&gt;="&amp;日期!$B$10,allorders!Q:Q,"&lt;&gt;"&amp;"",allorders!N:N,"Shipped")</f>
        <v>0</v>
      </c>
      <c r="F80">
        <f>SUMIFS(allorders!$O:$O,allorders!$L:$L,$A80,allorders!$AG:$AG,"&lt;="&amp;日期!$B$11,allorders!$AG:$AG,"&gt;="&amp;日期!$B$12,allorders!Q:Q,"&lt;&gt;"&amp;"",allorders!N:N,"Shipped")</f>
        <v>1</v>
      </c>
      <c r="G80">
        <f>SUMIFS(allorders!Q:Q,allorders!L:L,A80,allorders!AG:AG,"&lt;="&amp;日期!$B$5,allorders!AG:AG,"&gt;="&amp;日期!$B$12,allorders!N:N,"Shipped")/SUM(C80:F80)</f>
        <v>20.99</v>
      </c>
      <c r="H80">
        <f>SUMIFS(allorders!Q:Q,allorders!L:L,A80,allorders!AG:AG,"&gt;="&amp;日期!$B$12,allorders!AG:AG,"&lt;="&amp;日期!$B$5,allorders!N:N,"Shipped")</f>
        <v>20.99</v>
      </c>
      <c r="I80">
        <f t="shared" si="1"/>
        <v>1</v>
      </c>
    </row>
    <row r="81" spans="1:9">
      <c r="A81" s="7" t="s">
        <v>1170</v>
      </c>
      <c r="B81" t="str">
        <f>VLOOKUP(A81,'[1]子sku-父sku'!$A$1:$B$65536,2,0)</f>
        <v>YZ-SUBL03</v>
      </c>
      <c r="C81">
        <f>SUMIFS(allorders!O:O,allorders!L:L,$A81,allorders!AG:AG,"&lt;="&amp;日期!$B$5,allorders!AG:AG,"&gt;="&amp;日期!$B$6,allorders!Q:Q,"&lt;&gt;"&amp;"",allorders!N:N,"Shipped")</f>
        <v>0</v>
      </c>
      <c r="D81">
        <f>SUMIFS(allorders!$O:$O,allorders!$L:$L,$A81,allorders!$AG:$AG,"&lt;="&amp;日期!$B$7,allorders!$AG:$AG,"&gt;="&amp;日期!$B$8,allorders!Q:Q,"&lt;&gt;"&amp;"",allorders!N:N,"Shipped")</f>
        <v>1</v>
      </c>
      <c r="E81">
        <f>SUMIFS(allorders!$O:$O,allorders!$L:$L,$A81,allorders!$AG:$AG,"&lt;="&amp;日期!$B$9,allorders!$AG:$AG,"&gt;="&amp;日期!$B$10,allorders!Q:Q,"&lt;&gt;"&amp;"",allorders!N:N,"Shipped")</f>
        <v>2</v>
      </c>
      <c r="F81">
        <f>SUMIFS(allorders!$O:$O,allorders!$L:$L,$A81,allorders!$AG:$AG,"&lt;="&amp;日期!$B$11,allorders!$AG:$AG,"&gt;="&amp;日期!$B$12,allorders!Q:Q,"&lt;&gt;"&amp;"",allorders!N:N,"Shipped")</f>
        <v>1</v>
      </c>
      <c r="G81">
        <f>SUMIFS(allorders!Q:Q,allorders!L:L,A81,allorders!AG:AG,"&lt;="&amp;日期!$B$5,allorders!AG:AG,"&gt;="&amp;日期!$B$12,allorders!N:N,"Shipped")/SUM(C81:F81)</f>
        <v>19.99</v>
      </c>
      <c r="H81">
        <f>SUMIFS(allorders!Q:Q,allorders!L:L,A81,allorders!AG:AG,"&gt;="&amp;日期!$B$12,allorders!AG:AG,"&lt;="&amp;日期!$B$5,allorders!N:N,"Shipped")</f>
        <v>79.96</v>
      </c>
      <c r="I81">
        <f t="shared" si="1"/>
        <v>4</v>
      </c>
    </row>
    <row r="82" spans="1:9">
      <c r="A82" s="7" t="s">
        <v>1182</v>
      </c>
      <c r="B82" t="str">
        <f>VLOOKUP(A82,'[1]子sku-父sku'!$A$1:$B$65536,2,0)</f>
        <v>LYQ-ZQ3550</v>
      </c>
      <c r="C82">
        <f>SUMIFS(allorders!O:O,allorders!L:L,$A82,allorders!AG:AG,"&lt;="&amp;日期!$B$5,allorders!AG:AG,"&gt;="&amp;日期!$B$6,allorders!Q:Q,"&lt;&gt;"&amp;"",allorders!N:N,"Shipped")</f>
        <v>0</v>
      </c>
      <c r="D82">
        <f>SUMIFS(allorders!$O:$O,allorders!$L:$L,$A82,allorders!$AG:$AG,"&lt;="&amp;日期!$B$7,allorders!$AG:$AG,"&gt;="&amp;日期!$B$8,allorders!Q:Q,"&lt;&gt;"&amp;"",allorders!N:N,"Shipped")</f>
        <v>0</v>
      </c>
      <c r="E82">
        <f>SUMIFS(allorders!$O:$O,allorders!$L:$L,$A82,allorders!$AG:$AG,"&lt;="&amp;日期!$B$9,allorders!$AG:$AG,"&gt;="&amp;日期!$B$10,allorders!Q:Q,"&lt;&gt;"&amp;"",allorders!N:N,"Shipped")</f>
        <v>0</v>
      </c>
      <c r="F82">
        <f>SUMIFS(allorders!$O:$O,allorders!$L:$L,$A82,allorders!$AG:$AG,"&lt;="&amp;日期!$B$11,allorders!$AG:$AG,"&gt;="&amp;日期!$B$12,allorders!Q:Q,"&lt;&gt;"&amp;"",allorders!N:N,"Shipped")</f>
        <v>1</v>
      </c>
      <c r="G82">
        <f>SUMIFS(allorders!Q:Q,allorders!L:L,A82,allorders!AG:AG,"&lt;="&amp;日期!$B$5,allorders!AG:AG,"&gt;="&amp;日期!$B$12,allorders!N:N,"Shipped")/SUM(C82:F82)</f>
        <v>15.99</v>
      </c>
      <c r="H82">
        <f>SUMIFS(allorders!Q:Q,allorders!L:L,A82,allorders!AG:AG,"&gt;="&amp;日期!$B$12,allorders!AG:AG,"&lt;="&amp;日期!$B$5,allorders!N:N,"Shipped")</f>
        <v>15.99</v>
      </c>
      <c r="I82">
        <f t="shared" si="1"/>
        <v>1</v>
      </c>
    </row>
    <row r="83" spans="1:9">
      <c r="A83" s="7" t="s">
        <v>1199</v>
      </c>
      <c r="B83" t="str">
        <f>VLOOKUP(A83,'[1]子sku-父sku'!$A$1:$B$65536,2,0)</f>
        <v>YZ-HM1727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1</v>
      </c>
      <c r="E83">
        <f>SUMIFS(allorders!$O:$O,allorders!$L:$L,$A83,allorders!$AG:$AG,"&lt;="&amp;日期!$B$9,allorders!$AG:$AG,"&gt;="&amp;日期!$B$10,allorders!Q:Q,"&lt;&gt;"&amp;"",allorders!N:N,"Shipped")</f>
        <v>2</v>
      </c>
      <c r="F83">
        <f>SUMIFS(allorders!$O:$O,allorders!$L:$L,$A83,allorders!$AG:$AG,"&lt;="&amp;日期!$B$11,allorders!$AG:$AG,"&gt;="&amp;日期!$B$12,allorders!Q:Q,"&lt;&gt;"&amp;"",allorders!N:N,"Shipped")</f>
        <v>1</v>
      </c>
      <c r="G83">
        <f>SUMIFS(allorders!Q:Q,allorders!L:L,A83,allorders!AG:AG,"&lt;="&amp;日期!$B$5,allorders!AG:AG,"&gt;="&amp;日期!$B$12,allorders!N:N,"Shipped")/SUM(C83:F83)</f>
        <v>18.99</v>
      </c>
      <c r="H83">
        <f>SUMIFS(allorders!Q:Q,allorders!L:L,A83,allorders!AG:AG,"&gt;="&amp;日期!$B$12,allorders!AG:AG,"&lt;="&amp;日期!$B$5,allorders!N:N,"Shipped")</f>
        <v>75.96</v>
      </c>
      <c r="I83">
        <f t="shared" si="1"/>
        <v>4</v>
      </c>
    </row>
    <row r="84" spans="1:9">
      <c r="A84" s="7" t="s">
        <v>1206</v>
      </c>
      <c r="B84" t="str">
        <f>VLOOKUP(A84,'[1]子sku-父sku'!$A$1:$B$65536,2,0)</f>
        <v>LYQ-ZQ3550</v>
      </c>
      <c r="C84">
        <f>SUMIFS(allorders!O:O,allorders!L:L,$A84,allorders!AG:AG,"&lt;="&amp;日期!$B$5,allorders!AG:AG,"&gt;="&amp;日期!$B$6,allorders!Q:Q,"&lt;&gt;"&amp;"",allorders!N:N,"Shipped")</f>
        <v>2</v>
      </c>
      <c r="D84">
        <f>SUMIFS(allorders!$O:$O,allorders!$L:$L,$A84,allorders!$AG:$AG,"&lt;="&amp;日期!$B$7,allorders!$AG:$AG,"&gt;="&amp;日期!$B$8,allorders!Q:Q,"&lt;&gt;"&amp;"",allorders!N:N,"Shipped")</f>
        <v>5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1</v>
      </c>
      <c r="G84">
        <f>SUMIFS(allorders!Q:Q,allorders!L:L,A84,allorders!AG:AG,"&lt;="&amp;日期!$B$5,allorders!AG:AG,"&gt;="&amp;日期!$B$12,allorders!N:N,"Shipped")/SUM(C84:F84)</f>
        <v>16.99</v>
      </c>
      <c r="H84">
        <f>SUMIFS(allorders!Q:Q,allorders!L:L,A84,allorders!AG:AG,"&gt;="&amp;日期!$B$12,allorders!AG:AG,"&lt;="&amp;日期!$B$5,allorders!N:N,"Shipped")</f>
        <v>135.92</v>
      </c>
      <c r="I84">
        <f t="shared" si="1"/>
        <v>8</v>
      </c>
    </row>
    <row r="85" spans="1:9">
      <c r="A85" s="7" t="s">
        <v>1224</v>
      </c>
      <c r="B85" t="str">
        <f>VLOOKUP(A85,'[1]子sku-父sku'!$A$1:$B$65536,2,0)</f>
        <v>YZ-ZQ1521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0</v>
      </c>
      <c r="E85">
        <f>SUMIFS(allorders!$O:$O,allorders!$L:$L,$A85,allorders!$AG:$AG,"&lt;="&amp;日期!$B$9,allorders!$AG:$AG,"&gt;="&amp;日期!$B$10,allorders!Q:Q,"&lt;&gt;"&amp;"",allorders!N:N,"Shipped")</f>
        <v>0</v>
      </c>
      <c r="F85">
        <f>SUMIFS(allorders!$O:$O,allorders!$L:$L,$A85,allorders!$AG:$AG,"&lt;="&amp;日期!$B$11,allorders!$AG:$AG,"&gt;="&amp;日期!$B$12,allorders!Q:Q,"&lt;&gt;"&amp;"",allorders!N:N,"Shipped")</f>
        <v>1</v>
      </c>
      <c r="G85">
        <f>SUMIFS(allorders!Q:Q,allorders!L:L,A85,allorders!AG:AG,"&lt;="&amp;日期!$B$5,allorders!AG:AG,"&gt;="&amp;日期!$B$12,allorders!N:N,"Shipped")/SUM(C85:F85)</f>
        <v>19.38</v>
      </c>
      <c r="H85">
        <f>SUMIFS(allorders!Q:Q,allorders!L:L,A85,allorders!AG:AG,"&gt;="&amp;日期!$B$12,allorders!AG:AG,"&lt;="&amp;日期!$B$5,allorders!N:N,"Shipped")</f>
        <v>19.38</v>
      </c>
      <c r="I85">
        <f t="shared" si="1"/>
        <v>1</v>
      </c>
    </row>
    <row r="86" spans="1:9">
      <c r="A86" s="7" t="s">
        <v>1236</v>
      </c>
      <c r="B86" t="str">
        <f>VLOOKUP(A86,'[1]子sku-父sku'!$A$1:$B$65536,2,0)</f>
        <v>YZ-SUBL03</v>
      </c>
      <c r="C86">
        <f>SUMIFS(allorders!O:O,allorders!L:L,$A86,allorders!AG:AG,"&lt;="&amp;日期!$B$5,allorders!AG:AG,"&gt;="&amp;日期!$B$6,allorders!Q:Q,"&lt;&gt;"&amp;"",allorders!N:N,"Shipped")</f>
        <v>3</v>
      </c>
      <c r="D86">
        <f>SUMIFS(allorders!$O:$O,allorders!$L:$L,$A86,allorders!$AG:$AG,"&lt;="&amp;日期!$B$7,allorders!$AG:$AG,"&gt;="&amp;日期!$B$8,allorders!Q:Q,"&lt;&gt;"&amp;"",allorders!N:N,"Shipped")</f>
        <v>4</v>
      </c>
      <c r="E86">
        <f>SUMIFS(allorders!$O:$O,allorders!$L:$L,$A86,allorders!$AG:$AG,"&lt;="&amp;日期!$B$9,allorders!$AG:$AG,"&gt;="&amp;日期!$B$10,allorders!Q:Q,"&lt;&gt;"&amp;"",allorders!N:N,"Shipped")</f>
        <v>1</v>
      </c>
      <c r="F86">
        <f>SUMIFS(allorders!$O:$O,allorders!$L:$L,$A86,allorders!$AG:$AG,"&lt;="&amp;日期!$B$11,allorders!$AG:$AG,"&gt;="&amp;日期!$B$12,allorders!Q:Q,"&lt;&gt;"&amp;"",allorders!N:N,"Shipped")</f>
        <v>3</v>
      </c>
      <c r="G86">
        <f>SUMIFS(allorders!Q:Q,allorders!L:L,A86,allorders!AG:AG,"&lt;="&amp;日期!$B$5,allorders!AG:AG,"&gt;="&amp;日期!$B$12,allorders!N:N,"Shipped")/SUM(C86:F86)</f>
        <v>19.99</v>
      </c>
      <c r="H86">
        <f>SUMIFS(allorders!Q:Q,allorders!L:L,A86,allorders!AG:AG,"&gt;="&amp;日期!$B$12,allorders!AG:AG,"&lt;="&amp;日期!$B$5,allorders!N:N,"Shipped")</f>
        <v>219.89</v>
      </c>
      <c r="I86">
        <f t="shared" si="1"/>
        <v>11</v>
      </c>
    </row>
    <row r="87" spans="1:9">
      <c r="A87" s="7" t="s">
        <v>1248</v>
      </c>
      <c r="B87" t="str">
        <f>VLOOKUP(A87,'[1]子sku-父sku'!$A$1:$B$65536,2,0)</f>
        <v>YZ-SUZQ388</v>
      </c>
      <c r="C87">
        <f>SUMIFS(allorders!O:O,allorders!L:L,$A87,allorders!AG:AG,"&lt;="&amp;日期!$B$5,allorders!AG:AG,"&gt;="&amp;日期!$B$6,allorders!Q:Q,"&lt;&gt;"&amp;"",allorders!N:N,"Shipped")</f>
        <v>12</v>
      </c>
      <c r="D87">
        <f>SUMIFS(allorders!$O:$O,allorders!$L:$L,$A87,allorders!$AG:$AG,"&lt;="&amp;日期!$B$7,allorders!$AG:$AG,"&gt;="&amp;日期!$B$8,allorders!Q:Q,"&lt;&gt;"&amp;"",allorders!N:N,"Shipped")</f>
        <v>4</v>
      </c>
      <c r="E87">
        <f>SUMIFS(allorders!$O:$O,allorders!$L:$L,$A87,allorders!$AG:$AG,"&lt;="&amp;日期!$B$9,allorders!$AG:$AG,"&gt;="&amp;日期!$B$10,allorders!Q:Q,"&lt;&gt;"&amp;"",allorders!N:N,"Shipped")</f>
        <v>3</v>
      </c>
      <c r="F87">
        <f>SUMIFS(allorders!$O:$O,allorders!$L:$L,$A87,allorders!$AG:$AG,"&lt;="&amp;日期!$B$11,allorders!$AG:$AG,"&gt;="&amp;日期!$B$12,allorders!Q:Q,"&lt;&gt;"&amp;"",allorders!N:N,"Shipped")</f>
        <v>1</v>
      </c>
      <c r="G87">
        <f>SUMIFS(allorders!Q:Q,allorders!L:L,A87,allorders!AG:AG,"&lt;="&amp;日期!$B$5,allorders!AG:AG,"&gt;="&amp;日期!$B$12,allorders!N:N,"Shipped")/SUM(C87:F87)</f>
        <v>14.39</v>
      </c>
      <c r="H87">
        <f>SUMIFS(allorders!Q:Q,allorders!L:L,A87,allorders!AG:AG,"&gt;="&amp;日期!$B$12,allorders!AG:AG,"&lt;="&amp;日期!$B$5,allorders!N:N,"Shipped")</f>
        <v>287.8</v>
      </c>
      <c r="I87">
        <f t="shared" si="1"/>
        <v>20</v>
      </c>
    </row>
    <row r="88" spans="1:9">
      <c r="A88" s="7" t="s">
        <v>1269</v>
      </c>
      <c r="B88" t="str">
        <f>VLOOKUP(A88,'[1]子sku-父sku'!$A$1:$B$65536,2,0)</f>
        <v>LYQ-ZQ3550</v>
      </c>
      <c r="C88">
        <f>SUMIFS(allorders!O:O,allorders!L:L,$A88,allorders!AG:AG,"&lt;="&amp;日期!$B$5,allorders!AG:AG,"&gt;="&amp;日期!$B$6,allorders!Q:Q,"&lt;&gt;"&amp;"",allorders!N:N,"Shipped")</f>
        <v>0</v>
      </c>
      <c r="D88">
        <f>SUMIFS(allorders!$O:$O,allorders!$L:$L,$A88,allorders!$AG:$AG,"&lt;="&amp;日期!$B$7,allorders!$AG:$AG,"&gt;="&amp;日期!$B$8,allorders!Q:Q,"&lt;&gt;"&amp;"",allorders!N:N,"Shipped")</f>
        <v>1</v>
      </c>
      <c r="E88">
        <f>SUMIFS(allorders!$O:$O,allorders!$L:$L,$A88,allorders!$AG:$AG,"&lt;="&amp;日期!$B$9,allorders!$AG:$AG,"&gt;="&amp;日期!$B$10,allorders!Q:Q,"&lt;&gt;"&amp;"",allorders!N:N,"Shipped")</f>
        <v>0</v>
      </c>
      <c r="F88">
        <f>SUMIFS(allorders!$O:$O,allorders!$L:$L,$A88,allorders!$AG:$AG,"&lt;="&amp;日期!$B$11,allorders!$AG:$AG,"&gt;="&amp;日期!$B$12,allorders!Q:Q,"&lt;&gt;"&amp;"",allorders!N:N,"Shipped")</f>
        <v>1</v>
      </c>
      <c r="G88">
        <f>SUMIFS(allorders!Q:Q,allorders!L:L,A88,allorders!AG:AG,"&lt;="&amp;日期!$B$5,allorders!AG:AG,"&gt;="&amp;日期!$B$12,allorders!N:N,"Shipped")/SUM(C88:F88)</f>
        <v>15.99</v>
      </c>
      <c r="H88">
        <f>SUMIFS(allorders!Q:Q,allorders!L:L,A88,allorders!AG:AG,"&gt;="&amp;日期!$B$12,allorders!AG:AG,"&lt;="&amp;日期!$B$5,allorders!N:N,"Shipped")</f>
        <v>31.98</v>
      </c>
      <c r="I88">
        <f t="shared" si="1"/>
        <v>2</v>
      </c>
    </row>
    <row r="89" spans="1:9">
      <c r="A89" s="7" t="s">
        <v>1280</v>
      </c>
      <c r="B89" t="str">
        <f>VLOOKUP(A89,'[1]子sku-父sku'!$A$1:$B$65536,2,0)</f>
        <v>YZ-SUZQ388</v>
      </c>
      <c r="C89">
        <f>SUMIFS(allorders!O:O,allorders!L:L,$A89,allorders!AG:AG,"&lt;="&amp;日期!$B$5,allorders!AG:AG,"&gt;="&amp;日期!$B$6,allorders!Q:Q,"&lt;&gt;"&amp;"",allorders!N:N,"Shipped")</f>
        <v>5</v>
      </c>
      <c r="D89">
        <f>SUMIFS(allorders!$O:$O,allorders!$L:$L,$A89,allorders!$AG:$AG,"&lt;="&amp;日期!$B$7,allorders!$AG:$AG,"&gt;="&amp;日期!$B$8,allorders!Q:Q,"&lt;&gt;"&amp;"",allorders!N:N,"Shipped")</f>
        <v>13</v>
      </c>
      <c r="E89">
        <f>SUMIFS(allorders!$O:$O,allorders!$L:$L,$A89,allorders!$AG:$AG,"&lt;="&amp;日期!$B$9,allorders!$AG:$AG,"&gt;="&amp;日期!$B$10,allorders!Q:Q,"&lt;&gt;"&amp;"",allorders!N:N,"Shipped")</f>
        <v>3</v>
      </c>
      <c r="F89">
        <f>SUMIFS(allorders!$O:$O,allorders!$L:$L,$A89,allorders!$AG:$AG,"&lt;="&amp;日期!$B$11,allorders!$AG:$AG,"&gt;="&amp;日期!$B$12,allorders!Q:Q,"&lt;&gt;"&amp;"",allorders!N:N,"Shipped")</f>
        <v>1</v>
      </c>
      <c r="G89">
        <f>SUMIFS(allorders!Q:Q,allorders!L:L,A89,allorders!AG:AG,"&lt;="&amp;日期!$B$5,allorders!AG:AG,"&gt;="&amp;日期!$B$12,allorders!N:N,"Shipped")/SUM(C89:F89)</f>
        <v>14.2627272727273</v>
      </c>
      <c r="H89">
        <f>SUMIFS(allorders!Q:Q,allorders!L:L,A89,allorders!AG:AG,"&gt;="&amp;日期!$B$12,allorders!AG:AG,"&lt;="&amp;日期!$B$5,allorders!N:N,"Shipped")</f>
        <v>313.78</v>
      </c>
      <c r="I89">
        <f t="shared" si="1"/>
        <v>22</v>
      </c>
    </row>
    <row r="90" spans="1:9">
      <c r="A90" s="7" t="s">
        <v>1288</v>
      </c>
      <c r="B90" t="str">
        <f>VLOOKUP(A90,'[1]子sku-父sku'!$A$1:$B$65536,2,0)</f>
        <v>YZ-ZQFT1816</v>
      </c>
      <c r="C90">
        <f>SUMIFS(allorders!O:O,allorders!L:L,$A90,allorders!AG:AG,"&lt;="&amp;日期!$B$5,allorders!AG:AG,"&gt;="&amp;日期!$B$6,allorders!Q:Q,"&lt;&gt;"&amp;"",allorders!N:N,"Shipped")</f>
        <v>0</v>
      </c>
      <c r="D90">
        <f>SUMIFS(allorders!$O:$O,allorders!$L:$L,$A90,allorders!$AG:$AG,"&lt;="&amp;日期!$B$7,allorders!$AG:$AG,"&gt;="&amp;日期!$B$8,allorders!Q:Q,"&lt;&gt;"&amp;"",allorders!N:N,"Shipped")</f>
        <v>1</v>
      </c>
      <c r="E90">
        <f>SUMIFS(allorders!$O:$O,allorders!$L:$L,$A90,allorders!$AG:$AG,"&lt;="&amp;日期!$B$9,allorders!$AG:$AG,"&gt;="&amp;日期!$B$10,allorders!Q:Q,"&lt;&gt;"&amp;"",allorders!N:N,"Shipped")</f>
        <v>0</v>
      </c>
      <c r="F90">
        <f>SUMIFS(allorders!$O:$O,allorders!$L:$L,$A90,allorders!$AG:$AG,"&lt;="&amp;日期!$B$11,allorders!$AG:$AG,"&gt;="&amp;日期!$B$12,allorders!Q:Q,"&lt;&gt;"&amp;"",allorders!N:N,"Shipped")</f>
        <v>1</v>
      </c>
      <c r="G90">
        <f>SUMIFS(allorders!Q:Q,allorders!L:L,A90,allorders!AG:AG,"&lt;="&amp;日期!$B$5,allorders!AG:AG,"&gt;="&amp;日期!$B$12,allorders!N:N,"Shipped")/SUM(C90:F90)</f>
        <v>19.99</v>
      </c>
      <c r="H90">
        <f>SUMIFS(allorders!Q:Q,allorders!L:L,A90,allorders!AG:AG,"&gt;="&amp;日期!$B$12,allorders!AG:AG,"&lt;="&amp;日期!$B$5,allorders!N:N,"Shipped")</f>
        <v>39.98</v>
      </c>
      <c r="I90">
        <f t="shared" si="1"/>
        <v>2</v>
      </c>
    </row>
    <row r="91" spans="1:9">
      <c r="A91" s="7" t="s">
        <v>1296</v>
      </c>
      <c r="B91" t="str">
        <f>VLOOKUP(A91,'[1]子sku-父sku'!$A$1:$B$65536,2,0)</f>
        <v>YZ-ZQadn1601</v>
      </c>
      <c r="C91">
        <f>SUMIFS(allorders!O:O,allorders!L:L,$A91,allorders!AG:AG,"&lt;="&amp;日期!$B$5,allorders!AG:AG,"&gt;="&amp;日期!$B$6,allorders!Q:Q,"&lt;&gt;"&amp;"",allorders!N:N,"Shipped")</f>
        <v>0</v>
      </c>
      <c r="D91">
        <f>SUMIFS(allorders!$O:$O,allorders!$L:$L,$A91,allorders!$AG:$AG,"&lt;="&amp;日期!$B$7,allorders!$AG:$AG,"&gt;="&amp;日期!$B$8,allorders!Q:Q,"&lt;&gt;"&amp;"",allorders!N:N,"Shipped")</f>
        <v>0</v>
      </c>
      <c r="E91">
        <f>SUMIFS(allorders!$O:$O,allorders!$L:$L,$A91,allorders!$AG:$AG,"&lt;="&amp;日期!$B$9,allorders!$AG:$AG,"&gt;="&amp;日期!$B$10,allorders!Q:Q,"&lt;&gt;"&amp;"",allorders!N:N,"Shipped")</f>
        <v>0</v>
      </c>
      <c r="F91">
        <f>SUMIFS(allorders!$O:$O,allorders!$L:$L,$A91,allorders!$AG:$AG,"&lt;="&amp;日期!$B$11,allorders!$AG:$AG,"&gt;="&amp;日期!$B$12,allorders!Q:Q,"&lt;&gt;"&amp;"",allorders!N:N,"Shipped")</f>
        <v>1</v>
      </c>
      <c r="G91">
        <f>SUMIFS(allorders!Q:Q,allorders!L:L,A91,allorders!AG:AG,"&lt;="&amp;日期!$B$5,allorders!AG:AG,"&gt;="&amp;日期!$B$12,allorders!N:N,"Shipped")/SUM(C91:F91)</f>
        <v>18.99</v>
      </c>
      <c r="H91">
        <f>SUMIFS(allorders!Q:Q,allorders!L:L,A91,allorders!AG:AG,"&gt;="&amp;日期!$B$12,allorders!AG:AG,"&lt;="&amp;日期!$B$5,allorders!N:N,"Shipped")</f>
        <v>18.99</v>
      </c>
      <c r="I91">
        <f t="shared" si="1"/>
        <v>1</v>
      </c>
    </row>
    <row r="92" spans="1:9">
      <c r="A92" s="7" t="s">
        <v>1312</v>
      </c>
      <c r="B92" t="str">
        <f>VLOOKUP(A92,'[1]子sku-父sku'!$A$1:$B$65536,2,0)</f>
        <v>YZ-ZQ1521</v>
      </c>
      <c r="C92">
        <f>SUMIFS(allorders!O:O,allorders!L:L,$A92,allorders!AG:AG,"&lt;="&amp;日期!$B$5,allorders!AG:AG,"&gt;="&amp;日期!$B$6,allorders!Q:Q,"&lt;&gt;"&amp;"",allorders!N:N,"Shipped")</f>
        <v>0</v>
      </c>
      <c r="D92">
        <f>SUMIFS(allorders!$O:$O,allorders!$L:$L,$A92,allorders!$AG:$AG,"&lt;="&amp;日期!$B$7,allorders!$AG:$AG,"&gt;="&amp;日期!$B$8,allorders!Q:Q,"&lt;&gt;"&amp;"",allorders!N:N,"Shipped")</f>
        <v>0</v>
      </c>
      <c r="E92">
        <f>SUMIFS(allorders!$O:$O,allorders!$L:$L,$A92,allorders!$AG:$AG,"&lt;="&amp;日期!$B$9,allorders!$AG:$AG,"&gt;="&amp;日期!$B$10,allorders!Q:Q,"&lt;&gt;"&amp;"",allorders!N:N,"Shipped")</f>
        <v>0</v>
      </c>
      <c r="F92">
        <f>SUMIFS(allorders!$O:$O,allorders!$L:$L,$A92,allorders!$AG:$AG,"&lt;="&amp;日期!$B$11,allorders!$AG:$AG,"&gt;="&amp;日期!$B$12,allorders!Q:Q,"&lt;&gt;"&amp;"",allorders!N:N,"Shipped")</f>
        <v>1</v>
      </c>
      <c r="G92">
        <f>SUMIFS(allorders!Q:Q,allorders!L:L,A92,allorders!AG:AG,"&lt;="&amp;日期!$B$5,allorders!AG:AG,"&gt;="&amp;日期!$B$12,allorders!N:N,"Shipped")/SUM(C92:F92)</f>
        <v>19.38</v>
      </c>
      <c r="H92">
        <f>SUMIFS(allorders!Q:Q,allorders!L:L,A92,allorders!AG:AG,"&gt;="&amp;日期!$B$12,allorders!AG:AG,"&lt;="&amp;日期!$B$5,allorders!N:N,"Shipped")</f>
        <v>19.38</v>
      </c>
      <c r="I92">
        <f t="shared" si="1"/>
        <v>1</v>
      </c>
    </row>
    <row r="93" spans="1:9">
      <c r="A93" s="7" t="s">
        <v>1333</v>
      </c>
      <c r="B93" t="str">
        <f>VLOOKUP(A93,'[1]子sku-父sku'!$A$1:$B$65536,2,0)</f>
        <v>SJ-HM1995</v>
      </c>
      <c r="C93">
        <f>SUMIFS(allorders!O:O,allorders!L:L,$A93,allorders!AG:AG,"&lt;="&amp;日期!$B$5,allorders!AG:AG,"&gt;="&amp;日期!$B$6,allorders!Q:Q,"&lt;&gt;"&amp;"",allorders!N:N,"Shipped")</f>
        <v>0</v>
      </c>
      <c r="D93">
        <f>SUMIFS(allorders!$O:$O,allorders!$L:$L,$A93,allorders!$AG:$AG,"&lt;="&amp;日期!$B$7,allorders!$AG:$AG,"&gt;="&amp;日期!$B$8,allorders!Q:Q,"&lt;&gt;"&amp;"",allorders!N:N,"Shipped")</f>
        <v>0</v>
      </c>
      <c r="E93">
        <f>SUMIFS(allorders!$O:$O,allorders!$L:$L,$A93,allorders!$AG:$AG,"&lt;="&amp;日期!$B$9,allorders!$AG:$AG,"&gt;="&amp;日期!$B$10,allorders!Q:Q,"&lt;&gt;"&amp;"",allorders!N:N,"Shipped")</f>
        <v>0</v>
      </c>
      <c r="F93">
        <f>SUMIFS(allorders!$O:$O,allorders!$L:$L,$A93,allorders!$AG:$AG,"&lt;="&amp;日期!$B$11,allorders!$AG:$AG,"&gt;="&amp;日期!$B$12,allorders!Q:Q,"&lt;&gt;"&amp;"",allorders!N:N,"Shipped")</f>
        <v>1</v>
      </c>
      <c r="G93">
        <f>SUMIFS(allorders!Q:Q,allorders!L:L,A93,allorders!AG:AG,"&lt;="&amp;日期!$B$5,allorders!AG:AG,"&gt;="&amp;日期!$B$12,allorders!N:N,"Shipped")/SUM(C93:F93)</f>
        <v>13.88</v>
      </c>
      <c r="H93">
        <f>SUMIFS(allorders!Q:Q,allorders!L:L,A93,allorders!AG:AG,"&gt;="&amp;日期!$B$12,allorders!AG:AG,"&lt;="&amp;日期!$B$5,allorders!N:N,"Shipped")</f>
        <v>13.88</v>
      </c>
      <c r="I93">
        <f t="shared" si="1"/>
        <v>1</v>
      </c>
    </row>
    <row r="94" spans="1:9">
      <c r="A94" s="7" t="s">
        <v>1347</v>
      </c>
      <c r="B94" t="str">
        <f>VLOOKUP(A94,'[1]子sku-父sku'!$A$1:$B$65536,2,0)</f>
        <v>LYQ-ZQ2973</v>
      </c>
      <c r="C94">
        <f>SUMIFS(allorders!O:O,allorders!L:L,$A94,allorders!AG:AG,"&lt;="&amp;日期!$B$5,allorders!AG:AG,"&gt;="&amp;日期!$B$6,allorders!Q:Q,"&lt;&gt;"&amp;"",allorders!N:N,"Shipped")</f>
        <v>0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0</v>
      </c>
      <c r="F94">
        <f>SUMIFS(allorders!$O:$O,allorders!$L:$L,$A94,allorders!$AG:$AG,"&lt;="&amp;日期!$B$11,allorders!$AG:$AG,"&gt;="&amp;日期!$B$12,allorders!Q:Q,"&lt;&gt;"&amp;"",allorders!N:N,"Shipped")</f>
        <v>1</v>
      </c>
      <c r="G94">
        <f>SUMIFS(allorders!Q:Q,allorders!L:L,A94,allorders!AG:AG,"&lt;="&amp;日期!$B$5,allorders!AG:AG,"&gt;="&amp;日期!$B$12,allorders!N:N,"Shipped")/SUM(C94:F94)</f>
        <v>17.99</v>
      </c>
      <c r="H94">
        <f>SUMIFS(allorders!Q:Q,allorders!L:L,A94,allorders!AG:AG,"&gt;="&amp;日期!$B$12,allorders!AG:AG,"&lt;="&amp;日期!$B$5,allorders!N:N,"Shipped")</f>
        <v>17.99</v>
      </c>
      <c r="I94">
        <f t="shared" si="1"/>
        <v>1</v>
      </c>
    </row>
    <row r="95" spans="1:9">
      <c r="A95" s="7" t="s">
        <v>1353</v>
      </c>
      <c r="B95" t="str">
        <f>VLOOKUP(A95,'[1]子sku-父sku'!$A$1:$B$65536,2,0)</f>
        <v>LYQ-ZQ2973</v>
      </c>
      <c r="C95">
        <f>SUMIFS(allorders!O:O,allorders!L:L,$A95,allorders!AG:AG,"&lt;="&amp;日期!$B$5,allorders!AG:AG,"&gt;="&amp;日期!$B$6,allorders!Q:Q,"&lt;&gt;"&amp;"",allorders!N:N,"Shipped")</f>
        <v>0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1</v>
      </c>
      <c r="G95">
        <f>SUMIFS(allorders!Q:Q,allorders!L:L,A95,allorders!AG:AG,"&lt;="&amp;日期!$B$5,allorders!AG:AG,"&gt;="&amp;日期!$B$12,allorders!N:N,"Shipped")/SUM(C95:F95)</f>
        <v>17.99</v>
      </c>
      <c r="H95">
        <f>SUMIFS(allorders!Q:Q,allorders!L:L,A95,allorders!AG:AG,"&gt;="&amp;日期!$B$12,allorders!AG:AG,"&lt;="&amp;日期!$B$5,allorders!N:N,"Shipped")</f>
        <v>17.99</v>
      </c>
      <c r="I95">
        <f t="shared" si="1"/>
        <v>1</v>
      </c>
    </row>
    <row r="96" spans="1:9">
      <c r="A96" s="7" t="s">
        <v>1367</v>
      </c>
      <c r="B96" t="str">
        <f>VLOOKUP(A96,'[1]子sku-父sku'!$A$1:$B$65536,2,0)</f>
        <v>SHJ-ZQLS12</v>
      </c>
      <c r="C96">
        <f>SUMIFS(allorders!O:O,allorders!L:L,$A96,allorders!AG:AG,"&lt;="&amp;日期!$B$5,allorders!AG:AG,"&gt;="&amp;日期!$B$6,allorders!Q:Q,"&lt;&gt;"&amp;"",allorders!N:N,"Shipped")</f>
        <v>1</v>
      </c>
      <c r="D96">
        <f>SUMIFS(allorders!$O:$O,allorders!$L:$L,$A96,allorders!$AG:$AG,"&lt;="&amp;日期!$B$7,allorders!$AG:$AG,"&gt;="&amp;日期!$B$8,allorders!Q:Q,"&lt;&gt;"&amp;"",allorders!N:N,"Shipped")</f>
        <v>0</v>
      </c>
      <c r="E96">
        <f>SUMIFS(allorders!$O:$O,allorders!$L:$L,$A96,allorders!$AG:$AG,"&lt;="&amp;日期!$B$9,allorders!$AG:$AG,"&gt;="&amp;日期!$B$10,allorders!Q:Q,"&lt;&gt;"&amp;"",allorders!N:N,"Shipped")</f>
        <v>1</v>
      </c>
      <c r="F96">
        <f>SUMIFS(allorders!$O:$O,allorders!$L:$L,$A96,allorders!$AG:$AG,"&lt;="&amp;日期!$B$11,allorders!$AG:$AG,"&gt;="&amp;日期!$B$12,allorders!Q:Q,"&lt;&gt;"&amp;"",allorders!N:N,"Shipped")</f>
        <v>1</v>
      </c>
      <c r="G96">
        <f>SUMIFS(allorders!Q:Q,allorders!L:L,A96,allorders!AG:AG,"&lt;="&amp;日期!$B$5,allorders!AG:AG,"&gt;="&amp;日期!$B$12,allorders!N:N,"Shipped")/SUM(C96:F96)</f>
        <v>18.99</v>
      </c>
      <c r="H96">
        <f>SUMIFS(allorders!Q:Q,allorders!L:L,A96,allorders!AG:AG,"&gt;="&amp;日期!$B$12,allorders!AG:AG,"&lt;="&amp;日期!$B$5,allorders!N:N,"Shipped")</f>
        <v>56.97</v>
      </c>
      <c r="I96">
        <f t="shared" si="1"/>
        <v>3</v>
      </c>
    </row>
    <row r="97" spans="1:9">
      <c r="A97" s="7" t="s">
        <v>1374</v>
      </c>
      <c r="B97" t="str">
        <f>VLOOKUP(A97,'[1]子sku-父sku'!$A$1:$B$65536,2,0)</f>
        <v>LYQ-ZQ2973</v>
      </c>
      <c r="C97">
        <f>SUMIFS(allorders!O:O,allorders!L:L,$A97,allorders!AG:AG,"&lt;="&amp;日期!$B$5,allorders!AG:AG,"&gt;="&amp;日期!$B$6,allorders!Q:Q,"&lt;&gt;"&amp;"",allorders!N:N,"Shipped")</f>
        <v>1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1</v>
      </c>
      <c r="F97">
        <f>SUMIFS(allorders!$O:$O,allorders!$L:$L,$A97,allorders!$AG:$AG,"&lt;="&amp;日期!$B$11,allorders!$AG:$AG,"&gt;="&amp;日期!$B$12,allorders!Q:Q,"&lt;&gt;"&amp;"",allorders!N:N,"Shipped")</f>
        <v>1</v>
      </c>
      <c r="G97">
        <f>SUMIFS(allorders!Q:Q,allorders!L:L,A97,allorders!AG:AG,"&lt;="&amp;日期!$B$5,allorders!AG:AG,"&gt;="&amp;日期!$B$12,allorders!N:N,"Shipped")/SUM(C97:F97)</f>
        <v>18.99</v>
      </c>
      <c r="H97">
        <f>SUMIFS(allorders!Q:Q,allorders!L:L,A97,allorders!AG:AG,"&gt;="&amp;日期!$B$12,allorders!AG:AG,"&lt;="&amp;日期!$B$5,allorders!N:N,"Shipped")</f>
        <v>56.97</v>
      </c>
      <c r="I97">
        <f t="shared" si="1"/>
        <v>3</v>
      </c>
    </row>
    <row r="98" spans="1:9">
      <c r="A98" s="7" t="s">
        <v>1396</v>
      </c>
      <c r="B98" t="str">
        <f>VLOOKUP(A98,'[1]子sku-父sku'!$A$1:$B$65536,2,0)</f>
        <v>LYQ-ZQPC01</v>
      </c>
      <c r="C98">
        <f>SUMIFS(allorders!O:O,allorders!L:L,$A98,allorders!AG:AG,"&lt;="&amp;日期!$B$5,allorders!AG:AG,"&gt;="&amp;日期!$B$6,allorders!Q:Q,"&lt;&gt;"&amp;"",allorders!N:N,"Shipped")</f>
        <v>0</v>
      </c>
      <c r="D98">
        <f>SUMIFS(allorders!$O:$O,allorders!$L:$L,$A98,allorders!$AG:$AG,"&lt;="&amp;日期!$B$7,allorders!$AG:$AG,"&gt;="&amp;日期!$B$8,allorders!Q:Q,"&lt;&gt;"&amp;"",allorders!N:N,"Shipped")</f>
        <v>0</v>
      </c>
      <c r="E98">
        <f>SUMIFS(allorders!$O:$O,allorders!$L:$L,$A98,allorders!$AG:$AG,"&lt;="&amp;日期!$B$9,allorders!$AG:$AG,"&gt;="&amp;日期!$B$10,allorders!Q:Q,"&lt;&gt;"&amp;"",allorders!N:N,"Shipped")</f>
        <v>0</v>
      </c>
      <c r="F98">
        <f>SUMIFS(allorders!$O:$O,allorders!$L:$L,$A98,allorders!$AG:$AG,"&lt;="&amp;日期!$B$11,allorders!$AG:$AG,"&gt;="&amp;日期!$B$12,allorders!Q:Q,"&lt;&gt;"&amp;"",allorders!N:N,"Shipped")</f>
        <v>0</v>
      </c>
      <c r="G98" t="e">
        <f>SUMIFS(allorders!Q:Q,allorders!L:L,A98,allorders!AG:AG,"&lt;="&amp;日期!$B$5,allorders!AG:AG,"&gt;="&amp;日期!$B$12,allorders!N:N,"Shipped")/SUM(C98:F98)</f>
        <v>#DIV/0!</v>
      </c>
      <c r="H98">
        <f>SUMIFS(allorders!Q:Q,allorders!L:L,A98,allorders!AG:AG,"&gt;="&amp;日期!$B$12,allorders!AG:AG,"&lt;="&amp;日期!$B$5,allorders!N:N,"Shipped")</f>
        <v>0</v>
      </c>
      <c r="I98">
        <f t="shared" si="1"/>
        <v>0</v>
      </c>
    </row>
    <row r="99" spans="1:9">
      <c r="A99" s="7" t="s">
        <v>1433</v>
      </c>
      <c r="B99" t="str">
        <f>VLOOKUP(A99,'[1]子sku-父sku'!$A$1:$B$65536,2,0)</f>
        <v>YZ-ZQ789</v>
      </c>
      <c r="C99">
        <f>SUMIFS(allorders!O:O,allorders!L:L,$A99,allorders!AG:AG,"&lt;="&amp;日期!$B$5,allorders!AG:AG,"&gt;="&amp;日期!$B$6,allorders!Q:Q,"&lt;&gt;"&amp;"",allorders!N:N,"Shipped")</f>
        <v>1</v>
      </c>
      <c r="D99">
        <f>SUMIFS(allorders!$O:$O,allorders!$L:$L,$A99,allorders!$AG:$AG,"&lt;="&amp;日期!$B$7,allorders!$AG:$AG,"&gt;="&amp;日期!$B$8,allorders!Q:Q,"&lt;&gt;"&amp;"",allorders!N:N,"Shipped")</f>
        <v>0</v>
      </c>
      <c r="E99">
        <f>SUMIFS(allorders!$O:$O,allorders!$L:$L,$A99,allorders!$AG:$AG,"&lt;="&amp;日期!$B$9,allorders!$AG:$AG,"&gt;="&amp;日期!$B$10,allorders!Q:Q,"&lt;&gt;"&amp;"",allorders!N:N,"Shipped")</f>
        <v>2</v>
      </c>
      <c r="F99">
        <f>SUMIFS(allorders!$O:$O,allorders!$L:$L,$A99,allorders!$AG:$AG,"&lt;="&amp;日期!$B$11,allorders!$AG:$AG,"&gt;="&amp;日期!$B$12,allorders!Q:Q,"&lt;&gt;"&amp;"",allorders!N:N,"Shipped")</f>
        <v>0</v>
      </c>
      <c r="G99">
        <f>SUMIFS(allorders!Q:Q,allorders!L:L,A99,allorders!AG:AG,"&lt;="&amp;日期!$B$5,allorders!AG:AG,"&gt;="&amp;日期!$B$12,allorders!N:N,"Shipped")/SUM(C99:F99)</f>
        <v>11.99</v>
      </c>
      <c r="H99">
        <f>SUMIFS(allorders!Q:Q,allorders!L:L,A99,allorders!AG:AG,"&gt;="&amp;日期!$B$12,allorders!AG:AG,"&lt;="&amp;日期!$B$5,allorders!N:N,"Shipped")</f>
        <v>35.97</v>
      </c>
      <c r="I99">
        <f t="shared" si="1"/>
        <v>3</v>
      </c>
    </row>
    <row r="100" spans="1:9">
      <c r="A100" s="7" t="s">
        <v>1451</v>
      </c>
      <c r="B100" t="str">
        <f>VLOOKUP(A100,'[1]子sku-父sku'!$A$1:$B$65536,2,0)</f>
        <v>YZ-ZQ1521</v>
      </c>
      <c r="C100">
        <f>SUMIFS(allorders!O:O,allorders!L:L,$A100,allorders!AG:AG,"&lt;="&amp;日期!$B$5,allorders!AG:AG,"&gt;="&amp;日期!$B$6,allorders!Q:Q,"&lt;&gt;"&amp;"",allorders!N:N,"Shipped")</f>
        <v>0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1</v>
      </c>
      <c r="F100">
        <f>SUMIFS(allorders!$O:$O,allorders!$L:$L,$A100,allorders!$AG:$AG,"&lt;="&amp;日期!$B$11,allorders!$AG:$AG,"&gt;="&amp;日期!$B$12,allorders!Q:Q,"&lt;&gt;"&amp;"",allorders!N:N,"Shipped")</f>
        <v>0</v>
      </c>
      <c r="G100">
        <f>SUMIFS(allorders!Q:Q,allorders!L:L,A100,allorders!AG:AG,"&lt;="&amp;日期!$B$5,allorders!AG:AG,"&gt;="&amp;日期!$B$12,allorders!N:N,"Shipped")/SUM(C100:F100)</f>
        <v>19.38</v>
      </c>
      <c r="H100">
        <f>SUMIFS(allorders!Q:Q,allorders!L:L,A100,allorders!AG:AG,"&gt;="&amp;日期!$B$12,allorders!AG:AG,"&lt;="&amp;日期!$B$5,allorders!N:N,"Shipped")</f>
        <v>19.38</v>
      </c>
      <c r="I100">
        <f t="shared" si="1"/>
        <v>1</v>
      </c>
    </row>
    <row r="101" spans="1:9">
      <c r="A101" s="7" t="s">
        <v>1481</v>
      </c>
      <c r="B101" t="str">
        <f>VLOOKUP(A101,'[1]子sku-父sku'!$A$1:$B$65536,2,0)</f>
        <v>YZ-SUZQ388</v>
      </c>
      <c r="C101">
        <f>SUMIFS(allorders!O:O,allorders!L:L,$A101,allorders!AG:AG,"&lt;="&amp;日期!$B$5,allorders!AG:AG,"&gt;="&amp;日期!$B$6,allorders!Q:Q,"&lt;&gt;"&amp;"",allorders!N:N,"Shipped")</f>
        <v>0</v>
      </c>
      <c r="D101">
        <f>SUMIFS(allorders!$O:$O,allorders!$L:$L,$A101,allorders!$AG:$AG,"&lt;="&amp;日期!$B$7,allorders!$AG:$AG,"&gt;="&amp;日期!$B$8,allorders!Q:Q,"&lt;&gt;"&amp;"",allorders!N:N,"Shipped")</f>
        <v>1</v>
      </c>
      <c r="E101">
        <f>SUMIFS(allorders!$O:$O,allorders!$L:$L,$A101,allorders!$AG:$AG,"&lt;="&amp;日期!$B$9,allorders!$AG:$AG,"&gt;="&amp;日期!$B$10,allorders!Q:Q,"&lt;&gt;"&amp;"",allorders!N:N,"Shipped")</f>
        <v>4</v>
      </c>
      <c r="F101">
        <f>SUMIFS(allorders!$O:$O,allorders!$L:$L,$A101,allorders!$AG:$AG,"&lt;="&amp;日期!$B$11,allorders!$AG:$AG,"&gt;="&amp;日期!$B$12,allorders!Q:Q,"&lt;&gt;"&amp;"",allorders!N:N,"Shipped")</f>
        <v>0</v>
      </c>
      <c r="G101">
        <f>SUMIFS(allorders!Q:Q,allorders!L:L,A101,allorders!AG:AG,"&lt;="&amp;日期!$B$5,allorders!AG:AG,"&gt;="&amp;日期!$B$12,allorders!N:N,"Shipped")/SUM(C101:F101)</f>
        <v>18.59</v>
      </c>
      <c r="H101">
        <f>SUMIFS(allorders!Q:Q,allorders!L:L,A101,allorders!AG:AG,"&gt;="&amp;日期!$B$12,allorders!AG:AG,"&lt;="&amp;日期!$B$5,allorders!N:N,"Shipped")</f>
        <v>92.95</v>
      </c>
      <c r="I101">
        <f t="shared" si="1"/>
        <v>5</v>
      </c>
    </row>
    <row r="102" spans="1:9">
      <c r="A102" s="7" t="s">
        <v>1488</v>
      </c>
      <c r="B102" t="str">
        <f>VLOOKUP(A102,'[1]子sku-父sku'!$A$1:$B$65536,2,0)</f>
        <v>YZ-ZQ1521</v>
      </c>
      <c r="C102">
        <f>SUMIFS(allorders!O:O,allorders!L:L,$A102,allorders!AG:AG,"&lt;="&amp;日期!$B$5,allorders!AG:AG,"&gt;="&amp;日期!$B$6,allorders!Q:Q,"&lt;&gt;"&amp;"",allorders!N:N,"Shipped")</f>
        <v>1</v>
      </c>
      <c r="D102">
        <f>SUMIFS(allorders!$O:$O,allorders!$L:$L,$A102,allorders!$AG:$AG,"&lt;="&amp;日期!$B$7,allorders!$AG:$AG,"&gt;="&amp;日期!$B$8,allorders!Q:Q,"&lt;&gt;"&amp;"",allorders!N:N,"Shipped")</f>
        <v>1</v>
      </c>
      <c r="E102">
        <f>SUMIFS(allorders!$O:$O,allorders!$L:$L,$A102,allorders!$AG:$AG,"&lt;="&amp;日期!$B$9,allorders!$AG:$AG,"&gt;="&amp;日期!$B$10,allorders!Q:Q,"&lt;&gt;"&amp;"",allorders!N:N,"Shipped")</f>
        <v>3</v>
      </c>
      <c r="F102">
        <f>SUMIFS(allorders!$O:$O,allorders!$L:$L,$A102,allorders!$AG:$AG,"&lt;="&amp;日期!$B$11,allorders!$AG:$AG,"&gt;="&amp;日期!$B$12,allorders!Q:Q,"&lt;&gt;"&amp;"",allorders!N:N,"Shipped")</f>
        <v>0</v>
      </c>
      <c r="G102">
        <f>SUMIFS(allorders!Q:Q,allorders!L:L,A102,allorders!AG:AG,"&lt;="&amp;日期!$B$5,allorders!AG:AG,"&gt;="&amp;日期!$B$12,allorders!N:N,"Shipped")/SUM(C102:F102)</f>
        <v>19.38</v>
      </c>
      <c r="H102">
        <f>SUMIFS(allorders!Q:Q,allorders!L:L,A102,allorders!AG:AG,"&gt;="&amp;日期!$B$12,allorders!AG:AG,"&lt;="&amp;日期!$B$5,allorders!N:N,"Shipped")</f>
        <v>96.9</v>
      </c>
      <c r="I102">
        <f t="shared" si="1"/>
        <v>5</v>
      </c>
    </row>
    <row r="103" spans="1:9">
      <c r="A103" s="7" t="s">
        <v>1494</v>
      </c>
      <c r="B103" t="str">
        <f>VLOOKUP(A103,'[1]子sku-父sku'!$A$1:$B$65536,2,0)</f>
        <v>YZ-ZQ1521</v>
      </c>
      <c r="C103">
        <f>SUMIFS(allorders!O:O,allorders!L:L,$A103,allorders!AG:AG,"&lt;="&amp;日期!$B$5,allorders!AG:AG,"&gt;="&amp;日期!$B$6,allorders!Q:Q,"&lt;&gt;"&amp;"",allorders!N:N,"Shipped")</f>
        <v>0</v>
      </c>
      <c r="D103">
        <f>SUMIFS(allorders!$O:$O,allorders!$L:$L,$A103,allorders!$AG:$AG,"&lt;="&amp;日期!$B$7,allorders!$AG:$AG,"&gt;="&amp;日期!$B$8,allorders!Q:Q,"&lt;&gt;"&amp;"",allorders!N:N,"Shipped")</f>
        <v>0</v>
      </c>
      <c r="E103">
        <f>SUMIFS(allorders!$O:$O,allorders!$L:$L,$A103,allorders!$AG:$AG,"&lt;="&amp;日期!$B$9,allorders!$AG:$AG,"&gt;="&amp;日期!$B$10,allorders!Q:Q,"&lt;&gt;"&amp;"",allorders!N:N,"Shipped")</f>
        <v>7</v>
      </c>
      <c r="F103">
        <f>SUMIFS(allorders!$O:$O,allorders!$L:$L,$A103,allorders!$AG:$AG,"&lt;="&amp;日期!$B$11,allorders!$AG:$AG,"&gt;="&amp;日期!$B$12,allorders!Q:Q,"&lt;&gt;"&amp;"",allorders!N:N,"Shipped")</f>
        <v>0</v>
      </c>
      <c r="G103">
        <f>SUMIFS(allorders!Q:Q,allorders!L:L,A103,allorders!AG:AG,"&lt;="&amp;日期!$B$5,allorders!AG:AG,"&gt;="&amp;日期!$B$12,allorders!N:N,"Shipped")/SUM(C103:F103)</f>
        <v>19.38</v>
      </c>
      <c r="H103">
        <f>SUMIFS(allorders!Q:Q,allorders!L:L,A103,allorders!AG:AG,"&gt;="&amp;日期!$B$12,allorders!AG:AG,"&lt;="&amp;日期!$B$5,allorders!N:N,"Shipped")</f>
        <v>135.66</v>
      </c>
      <c r="I103">
        <f t="shared" si="1"/>
        <v>7</v>
      </c>
    </row>
    <row r="104" spans="1:9">
      <c r="A104" s="7" t="s">
        <v>1565</v>
      </c>
      <c r="B104" t="str">
        <f>VLOOKUP(A104,'[1]子sku-父sku'!$A$1:$B$65536,2,0)</f>
        <v>LYQ-ZQPC01</v>
      </c>
      <c r="C104">
        <f>SUMIFS(allorders!O:O,allorders!L:L,$A104,allorders!AG:AG,"&lt;="&amp;日期!$B$5,allorders!AG:AG,"&gt;="&amp;日期!$B$6,allorders!Q:Q,"&lt;&gt;"&amp;"",allorders!N:N,"Shipped")</f>
        <v>0</v>
      </c>
      <c r="D104">
        <f>SUMIFS(allorders!$O:$O,allorders!$L:$L,$A104,allorders!$AG:$AG,"&lt;="&amp;日期!$B$7,allorders!$AG:$AG,"&gt;="&amp;日期!$B$8,allorders!Q:Q,"&lt;&gt;"&amp;"",allorders!N:N,"Shipped")</f>
        <v>0</v>
      </c>
      <c r="E104">
        <f>SUMIFS(allorders!$O:$O,allorders!$L:$L,$A104,allorders!$AG:$AG,"&lt;="&amp;日期!$B$9,allorders!$AG:$AG,"&gt;="&amp;日期!$B$10,allorders!Q:Q,"&lt;&gt;"&amp;"",allorders!N:N,"Shipped")</f>
        <v>1</v>
      </c>
      <c r="F104">
        <f>SUMIFS(allorders!$O:$O,allorders!$L:$L,$A104,allorders!$AG:$AG,"&lt;="&amp;日期!$B$11,allorders!$AG:$AG,"&gt;="&amp;日期!$B$12,allorders!Q:Q,"&lt;&gt;"&amp;"",allorders!N:N,"Shipped")</f>
        <v>0</v>
      </c>
      <c r="G104">
        <f>SUMIFS(allorders!Q:Q,allorders!L:L,A104,allorders!AG:AG,"&lt;="&amp;日期!$B$5,allorders!AG:AG,"&gt;="&amp;日期!$B$12,allorders!N:N,"Shipped")/SUM(C104:F104)</f>
        <v>17.99</v>
      </c>
      <c r="H104">
        <f>SUMIFS(allorders!Q:Q,allorders!L:L,A104,allorders!AG:AG,"&gt;="&amp;日期!$B$12,allorders!AG:AG,"&lt;="&amp;日期!$B$5,allorders!N:N,"Shipped")</f>
        <v>17.99</v>
      </c>
      <c r="I104">
        <f t="shared" si="1"/>
        <v>1</v>
      </c>
    </row>
    <row r="105" spans="1:9">
      <c r="A105" s="7" t="s">
        <v>1614</v>
      </c>
      <c r="B105" t="str">
        <f>VLOOKUP(A105,'[1]子sku-父sku'!$A$1:$B$65536,2,0)</f>
        <v>YZ-ZQ1521</v>
      </c>
      <c r="C105">
        <f>SUMIFS(allorders!O:O,allorders!L:L,$A105,allorders!AG:AG,"&lt;="&amp;日期!$B$5,allorders!AG:AG,"&gt;="&amp;日期!$B$6,allorders!Q:Q,"&lt;&gt;"&amp;"",allorders!N:N,"Shipped")</f>
        <v>0</v>
      </c>
      <c r="D105">
        <f>SUMIFS(allorders!$O:$O,allorders!$L:$L,$A105,allorders!$AG:$AG,"&lt;="&amp;日期!$B$7,allorders!$AG:$AG,"&gt;="&amp;日期!$B$8,allorders!Q:Q,"&lt;&gt;"&amp;"",allorders!N:N,"Shipped")</f>
        <v>1</v>
      </c>
      <c r="E105">
        <f>SUMIFS(allorders!$O:$O,allorders!$L:$L,$A105,allorders!$AG:$AG,"&lt;="&amp;日期!$B$9,allorders!$AG:$AG,"&gt;="&amp;日期!$B$10,allorders!Q:Q,"&lt;&gt;"&amp;"",allorders!N:N,"Shipped")</f>
        <v>1</v>
      </c>
      <c r="F105">
        <f>SUMIFS(allorders!$O:$O,allorders!$L:$L,$A105,allorders!$AG:$AG,"&lt;="&amp;日期!$B$11,allorders!$AG:$AG,"&gt;="&amp;日期!$B$12,allorders!Q:Q,"&lt;&gt;"&amp;"",allorders!N:N,"Shipped")</f>
        <v>0</v>
      </c>
      <c r="G105">
        <f>SUMIFS(allorders!Q:Q,allorders!L:L,A105,allorders!AG:AG,"&lt;="&amp;日期!$B$5,allorders!AG:AG,"&gt;="&amp;日期!$B$12,allorders!N:N,"Shipped")/SUM(C105:F105)</f>
        <v>19.38</v>
      </c>
      <c r="H105">
        <f>SUMIFS(allorders!Q:Q,allorders!L:L,A105,allorders!AG:AG,"&gt;="&amp;日期!$B$12,allorders!AG:AG,"&lt;="&amp;日期!$B$5,allorders!N:N,"Shipped")</f>
        <v>38.76</v>
      </c>
      <c r="I105">
        <f t="shared" si="1"/>
        <v>2</v>
      </c>
    </row>
    <row r="106" spans="1:9">
      <c r="A106" s="7" t="s">
        <v>1631</v>
      </c>
      <c r="B106" t="str">
        <f>VLOOKUP(A106,'[1]子sku-父sku'!$A$1:$B$65536,2,0)</f>
        <v>YZ-ZQQ9227</v>
      </c>
      <c r="C106">
        <f>SUMIFS(allorders!O:O,allorders!L:L,$A106,allorders!AG:AG,"&lt;="&amp;日期!$B$5,allorders!AG:AG,"&gt;="&amp;日期!$B$6,allorders!Q:Q,"&lt;&gt;"&amp;"",allorders!N:N,"Shipped")</f>
        <v>0</v>
      </c>
      <c r="D106">
        <f>SUMIFS(allorders!$O:$O,allorders!$L:$L,$A106,allorders!$AG:$AG,"&lt;="&amp;日期!$B$7,allorders!$AG:$AG,"&gt;="&amp;日期!$B$8,allorders!Q:Q,"&lt;&gt;"&amp;"",allorders!N:N,"Shipped")</f>
        <v>0</v>
      </c>
      <c r="E106">
        <f>SUMIFS(allorders!$O:$O,allorders!$L:$L,$A106,allorders!$AG:$AG,"&lt;="&amp;日期!$B$9,allorders!$AG:$AG,"&gt;="&amp;日期!$B$10,allorders!Q:Q,"&lt;&gt;"&amp;"",allorders!N:N,"Shipped")</f>
        <v>1</v>
      </c>
      <c r="F106">
        <f>SUMIFS(allorders!$O:$O,allorders!$L:$L,$A106,allorders!$AG:$AG,"&lt;="&amp;日期!$B$11,allorders!$AG:$AG,"&gt;="&amp;日期!$B$12,allorders!Q:Q,"&lt;&gt;"&amp;"",allorders!N:N,"Shipped")</f>
        <v>0</v>
      </c>
      <c r="G106">
        <f>SUMIFS(allorders!Q:Q,allorders!L:L,A106,allorders!AG:AG,"&lt;="&amp;日期!$B$5,allorders!AG:AG,"&gt;="&amp;日期!$B$12,allorders!N:N,"Shipped")/SUM(C106:F106)</f>
        <v>19.99</v>
      </c>
      <c r="H106">
        <f>SUMIFS(allorders!Q:Q,allorders!L:L,A106,allorders!AG:AG,"&gt;="&amp;日期!$B$12,allorders!AG:AG,"&lt;="&amp;日期!$B$5,allorders!N:N,"Shipped")</f>
        <v>19.99</v>
      </c>
      <c r="I106">
        <f t="shared" si="1"/>
        <v>1</v>
      </c>
    </row>
    <row r="107" spans="1:9">
      <c r="A107" s="7" t="s">
        <v>1640</v>
      </c>
      <c r="B107" t="str">
        <f>VLOOKUP(A107,'[1]子sku-父sku'!$A$1:$B$65536,2,0)</f>
        <v>LYQ-ZQ1117</v>
      </c>
      <c r="C107">
        <f>SUMIFS(allorders!O:O,allorders!L:L,$A107,allorders!AG:AG,"&lt;="&amp;日期!$B$5,allorders!AG:AG,"&gt;="&amp;日期!$B$6,allorders!Q:Q,"&lt;&gt;"&amp;"",allorders!N:N,"Shipped")</f>
        <v>0</v>
      </c>
      <c r="D107">
        <f>SUMIFS(allorders!$O:$O,allorders!$L:$L,$A107,allorders!$AG:$AG,"&lt;="&amp;日期!$B$7,allorders!$AG:$AG,"&gt;="&amp;日期!$B$8,allorders!Q:Q,"&lt;&gt;"&amp;"",allorders!N:N,"Shipped")</f>
        <v>0</v>
      </c>
      <c r="E107">
        <f>SUMIFS(allorders!$O:$O,allorders!$L:$L,$A107,allorders!$AG:$AG,"&lt;="&amp;日期!$B$9,allorders!$AG:$AG,"&gt;="&amp;日期!$B$10,allorders!Q:Q,"&lt;&gt;"&amp;"",allorders!N:N,"Shipped")</f>
        <v>1</v>
      </c>
      <c r="F107">
        <f>SUMIFS(allorders!$O:$O,allorders!$L:$L,$A107,allorders!$AG:$AG,"&lt;="&amp;日期!$B$11,allorders!$AG:$AG,"&gt;="&amp;日期!$B$12,allorders!Q:Q,"&lt;&gt;"&amp;"",allorders!N:N,"Shipped")</f>
        <v>0</v>
      </c>
      <c r="G107">
        <f>SUMIFS(allorders!Q:Q,allorders!L:L,A107,allorders!AG:AG,"&lt;="&amp;日期!$B$5,allorders!AG:AG,"&gt;="&amp;日期!$B$12,allorders!N:N,"Shipped")/SUM(C107:F107)</f>
        <v>17.99</v>
      </c>
      <c r="H107">
        <f>SUMIFS(allorders!Q:Q,allorders!L:L,A107,allorders!AG:AG,"&gt;="&amp;日期!$B$12,allorders!AG:AG,"&lt;="&amp;日期!$B$5,allorders!N:N,"Shipped")</f>
        <v>17.99</v>
      </c>
      <c r="I107">
        <f t="shared" si="1"/>
        <v>1</v>
      </c>
    </row>
    <row r="108" spans="1:9">
      <c r="A108" s="7" t="s">
        <v>1647</v>
      </c>
      <c r="B108" t="str">
        <f>VLOOKUP(A108,'[1]子sku-父sku'!$A$1:$B$65536,2,0)</f>
        <v>YZ-SUBL03</v>
      </c>
      <c r="C108">
        <f>SUMIFS(allorders!O:O,allorders!L:L,$A108,allorders!AG:AG,"&lt;="&amp;日期!$B$5,allorders!AG:AG,"&gt;="&amp;日期!$B$6,allorders!Q:Q,"&lt;&gt;"&amp;"",allorders!N:N,"Shipped")</f>
        <v>1</v>
      </c>
      <c r="D108">
        <f>SUMIFS(allorders!$O:$O,allorders!$L:$L,$A108,allorders!$AG:$AG,"&lt;="&amp;日期!$B$7,allorders!$AG:$AG,"&gt;="&amp;日期!$B$8,allorders!Q:Q,"&lt;&gt;"&amp;"",allorders!N:N,"Shipped")</f>
        <v>3</v>
      </c>
      <c r="E108">
        <f>SUMIFS(allorders!$O:$O,allorders!$L:$L,$A108,allorders!$AG:$AG,"&lt;="&amp;日期!$B$9,allorders!$AG:$AG,"&gt;="&amp;日期!$B$10,allorders!Q:Q,"&lt;&gt;"&amp;"",allorders!N:N,"Shipped")</f>
        <v>7</v>
      </c>
      <c r="F108">
        <f>SUMIFS(allorders!$O:$O,allorders!$L:$L,$A108,allorders!$AG:$AG,"&lt;="&amp;日期!$B$11,allorders!$AG:$AG,"&gt;="&amp;日期!$B$12,allorders!Q:Q,"&lt;&gt;"&amp;"",allorders!N:N,"Shipped")</f>
        <v>0</v>
      </c>
      <c r="G108">
        <f>SUMIFS(allorders!Q:Q,allorders!L:L,A108,allorders!AG:AG,"&lt;="&amp;日期!$B$5,allorders!AG:AG,"&gt;="&amp;日期!$B$12,allorders!N:N,"Shipped")/SUM(C108:F108)</f>
        <v>19.99</v>
      </c>
      <c r="H108">
        <f>SUMIFS(allorders!Q:Q,allorders!L:L,A108,allorders!AG:AG,"&gt;="&amp;日期!$B$12,allorders!AG:AG,"&lt;="&amp;日期!$B$5,allorders!N:N,"Shipped")</f>
        <v>219.89</v>
      </c>
      <c r="I108">
        <f t="shared" si="1"/>
        <v>11</v>
      </c>
    </row>
    <row r="109" spans="1:9">
      <c r="A109" s="7" t="s">
        <v>1697</v>
      </c>
      <c r="B109" t="str">
        <f>VLOOKUP(A109,'[1]子sku-父sku'!$A$1:$B$65536,2,0)</f>
        <v>YZ-ZQFT1816</v>
      </c>
      <c r="C109">
        <f>SUMIFS(allorders!O:O,allorders!L:L,$A109,allorders!AG:AG,"&lt;="&amp;日期!$B$5,allorders!AG:AG,"&gt;="&amp;日期!$B$6,allorders!Q:Q,"&lt;&gt;"&amp;"",allorders!N:N,"Shipped")</f>
        <v>0</v>
      </c>
      <c r="D109">
        <f>SUMIFS(allorders!$O:$O,allorders!$L:$L,$A109,allorders!$AG:$AG,"&lt;="&amp;日期!$B$7,allorders!$AG:$AG,"&gt;="&amp;日期!$B$8,allorders!Q:Q,"&lt;&gt;"&amp;"",allorders!N:N,"Shipped")</f>
        <v>0</v>
      </c>
      <c r="E109">
        <f>SUMIFS(allorders!$O:$O,allorders!$L:$L,$A109,allorders!$AG:$AG,"&lt;="&amp;日期!$B$9,allorders!$AG:$AG,"&gt;="&amp;日期!$B$10,allorders!Q:Q,"&lt;&gt;"&amp;"",allorders!N:N,"Shipped")</f>
        <v>1</v>
      </c>
      <c r="F109">
        <f>SUMIFS(allorders!$O:$O,allorders!$L:$L,$A109,allorders!$AG:$AG,"&lt;="&amp;日期!$B$11,allorders!$AG:$AG,"&gt;="&amp;日期!$B$12,allorders!Q:Q,"&lt;&gt;"&amp;"",allorders!N:N,"Shipped")</f>
        <v>0</v>
      </c>
      <c r="G109">
        <f>SUMIFS(allorders!Q:Q,allorders!L:L,A109,allorders!AG:AG,"&lt;="&amp;日期!$B$5,allorders!AG:AG,"&gt;="&amp;日期!$B$12,allorders!N:N,"Shipped")/SUM(C109:F109)</f>
        <v>19.99</v>
      </c>
      <c r="H109">
        <f>SUMIFS(allorders!Q:Q,allorders!L:L,A109,allorders!AG:AG,"&gt;="&amp;日期!$B$12,allorders!AG:AG,"&lt;="&amp;日期!$B$5,allorders!N:N,"Shipped")</f>
        <v>19.99</v>
      </c>
      <c r="I109">
        <f t="shared" si="1"/>
        <v>1</v>
      </c>
    </row>
    <row r="110" spans="1:9">
      <c r="A110" s="7" t="s">
        <v>1722</v>
      </c>
      <c r="B110" t="str">
        <f>VLOOKUP(A110,'[1]子sku-父sku'!$A$1:$B$65536,2,0)</f>
        <v>LYQ-LY064</v>
      </c>
      <c r="C110">
        <f>SUMIFS(allorders!O:O,allorders!L:L,$A110,allorders!AG:AG,"&lt;="&amp;日期!$B$5,allorders!AG:AG,"&gt;="&amp;日期!$B$6,allorders!Q:Q,"&lt;&gt;"&amp;"",allorders!N:N,"Shipped")</f>
        <v>0</v>
      </c>
      <c r="D110">
        <f>SUMIFS(allorders!$O:$O,allorders!$L:$L,$A110,allorders!$AG:$AG,"&lt;="&amp;日期!$B$7,allorders!$AG:$AG,"&gt;="&amp;日期!$B$8,allorders!Q:Q,"&lt;&gt;"&amp;"",allorders!N:N,"Shipped")</f>
        <v>0</v>
      </c>
      <c r="E110">
        <f>SUMIFS(allorders!$O:$O,allorders!$L:$L,$A110,allorders!$AG:$AG,"&lt;="&amp;日期!$B$9,allorders!$AG:$AG,"&gt;="&amp;日期!$B$10,allorders!Q:Q,"&lt;&gt;"&amp;"",allorders!N:N,"Shipped")</f>
        <v>1</v>
      </c>
      <c r="F110">
        <f>SUMIFS(allorders!$O:$O,allorders!$L:$L,$A110,allorders!$AG:$AG,"&lt;="&amp;日期!$B$11,allorders!$AG:$AG,"&gt;="&amp;日期!$B$12,allorders!Q:Q,"&lt;&gt;"&amp;"",allorders!N:N,"Shipped")</f>
        <v>0</v>
      </c>
      <c r="G110">
        <f>SUMIFS(allorders!Q:Q,allorders!L:L,A110,allorders!AG:AG,"&lt;="&amp;日期!$B$5,allorders!AG:AG,"&gt;="&amp;日期!$B$12,allorders!N:N,"Shipped")/SUM(C110:F110)</f>
        <v>18.96</v>
      </c>
      <c r="H110">
        <f>SUMIFS(allorders!Q:Q,allorders!L:L,A110,allorders!AG:AG,"&gt;="&amp;日期!$B$12,allorders!AG:AG,"&lt;="&amp;日期!$B$5,allorders!N:N,"Shipped")</f>
        <v>18.96</v>
      </c>
      <c r="I110">
        <f t="shared" si="1"/>
        <v>1</v>
      </c>
    </row>
    <row r="111" spans="1:9">
      <c r="A111" s="7" t="s">
        <v>1741</v>
      </c>
      <c r="B111" t="str">
        <f>VLOOKUP(A111,'[1]子sku-父sku'!$A$1:$B$65536,2,0)</f>
        <v>YZ-SUBL03</v>
      </c>
      <c r="C111">
        <f>SUMIFS(allorders!O:O,allorders!L:L,$A111,allorders!AG:AG,"&lt;="&amp;日期!$B$5,allorders!AG:AG,"&gt;="&amp;日期!$B$6,allorders!Q:Q,"&lt;&gt;"&amp;"",allorders!N:N,"Shipped")</f>
        <v>0</v>
      </c>
      <c r="D111">
        <f>SUMIFS(allorders!$O:$O,allorders!$L:$L,$A111,allorders!$AG:$AG,"&lt;="&amp;日期!$B$7,allorders!$AG:$AG,"&gt;="&amp;日期!$B$8,allorders!Q:Q,"&lt;&gt;"&amp;"",allorders!N:N,"Shipped")</f>
        <v>4</v>
      </c>
      <c r="E111">
        <f>SUMIFS(allorders!$O:$O,allorders!$L:$L,$A111,allorders!$AG:$AG,"&lt;="&amp;日期!$B$9,allorders!$AG:$AG,"&gt;="&amp;日期!$B$10,allorders!Q:Q,"&lt;&gt;"&amp;"",allorders!N:N,"Shipped")</f>
        <v>6</v>
      </c>
      <c r="F111">
        <f>SUMIFS(allorders!$O:$O,allorders!$L:$L,$A111,allorders!$AG:$AG,"&lt;="&amp;日期!$B$11,allorders!$AG:$AG,"&gt;="&amp;日期!$B$12,allorders!Q:Q,"&lt;&gt;"&amp;"",allorders!N:N,"Shipped")</f>
        <v>0</v>
      </c>
      <c r="G111">
        <f>SUMIFS(allorders!Q:Q,allorders!L:L,A111,allorders!AG:AG,"&lt;="&amp;日期!$B$5,allorders!AG:AG,"&gt;="&amp;日期!$B$12,allorders!N:N,"Shipped")/SUM(C111:F111)</f>
        <v>19.99</v>
      </c>
      <c r="H111">
        <f>SUMIFS(allorders!Q:Q,allorders!L:L,A111,allorders!AG:AG,"&gt;="&amp;日期!$B$12,allorders!AG:AG,"&lt;="&amp;日期!$B$5,allorders!N:N,"Shipped")</f>
        <v>199.9</v>
      </c>
      <c r="I111">
        <f t="shared" si="1"/>
        <v>10</v>
      </c>
    </row>
    <row r="112" spans="1:9">
      <c r="A112" s="7" t="s">
        <v>1771</v>
      </c>
      <c r="B112" t="str">
        <f>VLOOKUP(A112,'[1]子sku-父sku'!$A$1:$B$65536,2,0)</f>
        <v>LYQ-ZQ2973</v>
      </c>
      <c r="C112">
        <f>SUMIFS(allorders!O:O,allorders!L:L,$A112,allorders!AG:AG,"&lt;="&amp;日期!$B$5,allorders!AG:AG,"&gt;="&amp;日期!$B$6,allorders!Q:Q,"&lt;&gt;"&amp;"",allorders!N:N,"Shipped")</f>
        <v>0</v>
      </c>
      <c r="D112">
        <f>SUMIFS(allorders!$O:$O,allorders!$L:$L,$A112,allorders!$AG:$AG,"&lt;="&amp;日期!$B$7,allorders!$AG:$AG,"&gt;="&amp;日期!$B$8,allorders!Q:Q,"&lt;&gt;"&amp;"",allorders!N:N,"Shipped")</f>
        <v>0</v>
      </c>
      <c r="E112">
        <f>SUMIFS(allorders!$O:$O,allorders!$L:$L,$A112,allorders!$AG:$AG,"&lt;="&amp;日期!$B$9,allorders!$AG:$AG,"&gt;="&amp;日期!$B$10,allorders!Q:Q,"&lt;&gt;"&amp;"",allorders!N:N,"Shipped")</f>
        <v>1</v>
      </c>
      <c r="F112">
        <f>SUMIFS(allorders!$O:$O,allorders!$L:$L,$A112,allorders!$AG:$AG,"&lt;="&amp;日期!$B$11,allorders!$AG:$AG,"&gt;="&amp;日期!$B$12,allorders!Q:Q,"&lt;&gt;"&amp;"",allorders!N:N,"Shipped")</f>
        <v>0</v>
      </c>
      <c r="G112">
        <f>SUMIFS(allorders!Q:Q,allorders!L:L,A112,allorders!AG:AG,"&lt;="&amp;日期!$B$5,allorders!AG:AG,"&gt;="&amp;日期!$B$12,allorders!N:N,"Shipped")/SUM(C112:F112)</f>
        <v>19.99</v>
      </c>
      <c r="H112">
        <f>SUMIFS(allorders!Q:Q,allorders!L:L,A112,allorders!AG:AG,"&gt;="&amp;日期!$B$12,allorders!AG:AG,"&lt;="&amp;日期!$B$5,allorders!N:N,"Shipped")</f>
        <v>19.99</v>
      </c>
      <c r="I112">
        <f t="shared" si="1"/>
        <v>1</v>
      </c>
    </row>
    <row r="113" spans="1:9">
      <c r="A113" s="7" t="s">
        <v>1788</v>
      </c>
      <c r="B113" t="str">
        <f>VLOOKUP(A113,'[1]子sku-父sku'!$A$1:$B$65536,2,0)</f>
        <v>YZ-SUBL03</v>
      </c>
      <c r="C113">
        <f>SUMIFS(allorders!O:O,allorders!L:L,$A113,allorders!AG:AG,"&lt;="&amp;日期!$B$5,allorders!AG:AG,"&gt;="&amp;日期!$B$6,allorders!Q:Q,"&lt;&gt;"&amp;"",allorders!N:N,"Shipped")</f>
        <v>1</v>
      </c>
      <c r="D113">
        <f>SUMIFS(allorders!$O:$O,allorders!$L:$L,$A113,allorders!$AG:$AG,"&lt;="&amp;日期!$B$7,allorders!$AG:$AG,"&gt;="&amp;日期!$B$8,allorders!Q:Q,"&lt;&gt;"&amp;"",allorders!N:N,"Shipped")</f>
        <v>2</v>
      </c>
      <c r="E113">
        <f>SUMIFS(allorders!$O:$O,allorders!$L:$L,$A113,allorders!$AG:$AG,"&lt;="&amp;日期!$B$9,allorders!$AG:$AG,"&gt;="&amp;日期!$B$10,allorders!Q:Q,"&lt;&gt;"&amp;"",allorders!N:N,"Shipped")</f>
        <v>2</v>
      </c>
      <c r="F113">
        <f>SUMIFS(allorders!$O:$O,allorders!$L:$L,$A113,allorders!$AG:$AG,"&lt;="&amp;日期!$B$11,allorders!$AG:$AG,"&gt;="&amp;日期!$B$12,allorders!Q:Q,"&lt;&gt;"&amp;"",allorders!N:N,"Shipped")</f>
        <v>0</v>
      </c>
      <c r="G113">
        <f>SUMIFS(allorders!Q:Q,allorders!L:L,A113,allorders!AG:AG,"&lt;="&amp;日期!$B$5,allorders!AG:AG,"&gt;="&amp;日期!$B$12,allorders!N:N,"Shipped")/SUM(C113:F113)</f>
        <v>19.99</v>
      </c>
      <c r="H113">
        <f>SUMIFS(allorders!Q:Q,allorders!L:L,A113,allorders!AG:AG,"&gt;="&amp;日期!$B$12,allorders!AG:AG,"&lt;="&amp;日期!$B$5,allorders!N:N,"Shipped")</f>
        <v>99.95</v>
      </c>
      <c r="I113">
        <f t="shared" si="1"/>
        <v>5</v>
      </c>
    </row>
    <row r="114" spans="1:9">
      <c r="A114" s="7" t="s">
        <v>1806</v>
      </c>
      <c r="B114" t="str">
        <f>VLOOKUP(A114,'[1]子sku-父sku'!$A$1:$B$65536,2,0)</f>
        <v>LYQ-LY064</v>
      </c>
      <c r="C114">
        <f>SUMIFS(allorders!O:O,allorders!L:L,$A114,allorders!AG:AG,"&lt;="&amp;日期!$B$5,allorders!AG:AG,"&gt;="&amp;日期!$B$6,allorders!Q:Q,"&lt;&gt;"&amp;"",allorders!N:N,"Shipped")</f>
        <v>0</v>
      </c>
      <c r="D114">
        <f>SUMIFS(allorders!$O:$O,allorders!$L:$L,$A114,allorders!$AG:$AG,"&lt;="&amp;日期!$B$7,allorders!$AG:$AG,"&gt;="&amp;日期!$B$8,allorders!Q:Q,"&lt;&gt;"&amp;"",allorders!N:N,"Shipped")</f>
        <v>0</v>
      </c>
      <c r="E114">
        <f>SUMIFS(allorders!$O:$O,allorders!$L:$L,$A114,allorders!$AG:$AG,"&lt;="&amp;日期!$B$9,allorders!$AG:$AG,"&gt;="&amp;日期!$B$10,allorders!Q:Q,"&lt;&gt;"&amp;"",allorders!N:N,"Shipped")</f>
        <v>1</v>
      </c>
      <c r="F114">
        <f>SUMIFS(allorders!$O:$O,allorders!$L:$L,$A114,allorders!$AG:$AG,"&lt;="&amp;日期!$B$11,allorders!$AG:$AG,"&gt;="&amp;日期!$B$12,allorders!Q:Q,"&lt;&gt;"&amp;"",allorders!N:N,"Shipped")</f>
        <v>0</v>
      </c>
      <c r="G114">
        <f>SUMIFS(allorders!Q:Q,allorders!L:L,A114,allorders!AG:AG,"&lt;="&amp;日期!$B$5,allorders!AG:AG,"&gt;="&amp;日期!$B$12,allorders!N:N,"Shipped")/SUM(C114:F114)</f>
        <v>18.96</v>
      </c>
      <c r="H114">
        <f>SUMIFS(allorders!Q:Q,allorders!L:L,A114,allorders!AG:AG,"&gt;="&amp;日期!$B$12,allorders!AG:AG,"&lt;="&amp;日期!$B$5,allorders!N:N,"Shipped")</f>
        <v>18.96</v>
      </c>
      <c r="I114">
        <f t="shared" si="1"/>
        <v>1</v>
      </c>
    </row>
    <row r="115" spans="1:9">
      <c r="A115" s="7" t="s">
        <v>1868</v>
      </c>
      <c r="B115" t="str">
        <f>VLOOKUP(A115,'[1]子sku-父sku'!$A$1:$B$65536,2,0)</f>
        <v>LYQ-ZQPC01</v>
      </c>
      <c r="C115">
        <f>SUMIFS(allorders!O:O,allorders!L:L,$A115,allorders!AG:AG,"&lt;="&amp;日期!$B$5,allorders!AG:AG,"&gt;="&amp;日期!$B$6,allorders!Q:Q,"&lt;&gt;"&amp;"",allorders!N:N,"Shipped")</f>
        <v>0</v>
      </c>
      <c r="D115">
        <f>SUMIFS(allorders!$O:$O,allorders!$L:$L,$A115,allorders!$AG:$AG,"&lt;="&amp;日期!$B$7,allorders!$AG:$AG,"&gt;="&amp;日期!$B$8,allorders!Q:Q,"&lt;&gt;"&amp;"",allorders!N:N,"Shipped")</f>
        <v>0</v>
      </c>
      <c r="E115">
        <f>SUMIFS(allorders!$O:$O,allorders!$L:$L,$A115,allorders!$AG:$AG,"&lt;="&amp;日期!$B$9,allorders!$AG:$AG,"&gt;="&amp;日期!$B$10,allorders!Q:Q,"&lt;&gt;"&amp;"",allorders!N:N,"Shipped")</f>
        <v>1</v>
      </c>
      <c r="F115">
        <f>SUMIFS(allorders!$O:$O,allorders!$L:$L,$A115,allorders!$AG:$AG,"&lt;="&amp;日期!$B$11,allorders!$AG:$AG,"&gt;="&amp;日期!$B$12,allorders!Q:Q,"&lt;&gt;"&amp;"",allorders!N:N,"Shipped")</f>
        <v>0</v>
      </c>
      <c r="G115">
        <f>SUMIFS(allorders!Q:Q,allorders!L:L,A115,allorders!AG:AG,"&lt;="&amp;日期!$B$5,allorders!AG:AG,"&gt;="&amp;日期!$B$12,allorders!N:N,"Shipped")/SUM(C115:F115)</f>
        <v>17.99</v>
      </c>
      <c r="H115">
        <f>SUMIFS(allorders!Q:Q,allorders!L:L,A115,allorders!AG:AG,"&gt;="&amp;日期!$B$12,allorders!AG:AG,"&lt;="&amp;日期!$B$5,allorders!N:N,"Shipped")</f>
        <v>17.99</v>
      </c>
      <c r="I115">
        <f t="shared" si="1"/>
        <v>1</v>
      </c>
    </row>
    <row r="116" spans="1:9">
      <c r="A116" s="7" t="s">
        <v>1920</v>
      </c>
      <c r="B116" t="str">
        <f>VLOOKUP(A116,'[1]子sku-父sku'!$A$1:$B$65536,2,0)</f>
        <v>YZ-ZQBL03</v>
      </c>
      <c r="C116">
        <f>SUMIFS(allorders!O:O,allorders!L:L,$A116,allorders!AG:AG,"&lt;="&amp;日期!$B$5,allorders!AG:AG,"&gt;="&amp;日期!$B$6,allorders!Q:Q,"&lt;&gt;"&amp;"",allorders!N:N,"Shipped")</f>
        <v>0</v>
      </c>
      <c r="D116">
        <f>SUMIFS(allorders!$O:$O,allorders!$L:$L,$A116,allorders!$AG:$AG,"&lt;="&amp;日期!$B$7,allorders!$AG:$AG,"&gt;="&amp;日期!$B$8,allorders!Q:Q,"&lt;&gt;"&amp;"",allorders!N:N,"Shipped")</f>
        <v>0</v>
      </c>
      <c r="E116">
        <f>SUMIFS(allorders!$O:$O,allorders!$L:$L,$A116,allorders!$AG:$AG,"&lt;="&amp;日期!$B$9,allorders!$AG:$AG,"&gt;="&amp;日期!$B$10,allorders!Q:Q,"&lt;&gt;"&amp;"",allorders!N:N,"Shipped")</f>
        <v>1</v>
      </c>
      <c r="F116">
        <f>SUMIFS(allorders!$O:$O,allorders!$L:$L,$A116,allorders!$AG:$AG,"&lt;="&amp;日期!$B$11,allorders!$AG:$AG,"&gt;="&amp;日期!$B$12,allorders!Q:Q,"&lt;&gt;"&amp;"",allorders!N:N,"Shipped")</f>
        <v>0</v>
      </c>
      <c r="G116">
        <f>SUMIFS(allorders!Q:Q,allorders!L:L,A116,allorders!AG:AG,"&lt;="&amp;日期!$B$5,allorders!AG:AG,"&gt;="&amp;日期!$B$12,allorders!N:N,"Shipped")/SUM(C116:F116)</f>
        <v>21.99</v>
      </c>
      <c r="H116">
        <f>SUMIFS(allorders!Q:Q,allorders!L:L,A116,allorders!AG:AG,"&gt;="&amp;日期!$B$12,allorders!AG:AG,"&lt;="&amp;日期!$B$5,allorders!N:N,"Shipped")</f>
        <v>21.99</v>
      </c>
      <c r="I116">
        <f t="shared" si="1"/>
        <v>1</v>
      </c>
    </row>
    <row r="117" spans="1:9">
      <c r="A117" s="7" t="s">
        <v>1950</v>
      </c>
      <c r="B117" t="str">
        <f>VLOOKUP(A117,'[1]子sku-父sku'!$A$1:$B$65536,2,0)</f>
        <v>LYQ-ZQ2973</v>
      </c>
      <c r="C117">
        <f>SUMIFS(allorders!O:O,allorders!L:L,$A117,allorders!AG:AG,"&lt;="&amp;日期!$B$5,allorders!AG:AG,"&gt;="&amp;日期!$B$6,allorders!Q:Q,"&lt;&gt;"&amp;"",allorders!N:N,"Shipped")</f>
        <v>0</v>
      </c>
      <c r="D117">
        <f>SUMIFS(allorders!$O:$O,allorders!$L:$L,$A117,allorders!$AG:$AG,"&lt;="&amp;日期!$B$7,allorders!$AG:$AG,"&gt;="&amp;日期!$B$8,allorders!Q:Q,"&lt;&gt;"&amp;"",allorders!N:N,"Shipped")</f>
        <v>0</v>
      </c>
      <c r="E117">
        <f>SUMIFS(allorders!$O:$O,allorders!$L:$L,$A117,allorders!$AG:$AG,"&lt;="&amp;日期!$B$9,allorders!$AG:$AG,"&gt;="&amp;日期!$B$10,allorders!Q:Q,"&lt;&gt;"&amp;"",allorders!N:N,"Shipped")</f>
        <v>1</v>
      </c>
      <c r="F117">
        <f>SUMIFS(allorders!$O:$O,allorders!$L:$L,$A117,allorders!$AG:$AG,"&lt;="&amp;日期!$B$11,allorders!$AG:$AG,"&gt;="&amp;日期!$B$12,allorders!Q:Q,"&lt;&gt;"&amp;"",allorders!N:N,"Shipped")</f>
        <v>0</v>
      </c>
      <c r="G117">
        <f>SUMIFS(allorders!Q:Q,allorders!L:L,A117,allorders!AG:AG,"&lt;="&amp;日期!$B$5,allorders!AG:AG,"&gt;="&amp;日期!$B$12,allorders!N:N,"Shipped")/SUM(C117:F117)</f>
        <v>17.99</v>
      </c>
      <c r="H117">
        <f>SUMIFS(allorders!Q:Q,allorders!L:L,A117,allorders!AG:AG,"&gt;="&amp;日期!$B$12,allorders!AG:AG,"&lt;="&amp;日期!$B$5,allorders!N:N,"Shipped")</f>
        <v>17.99</v>
      </c>
      <c r="I117">
        <f t="shared" si="1"/>
        <v>1</v>
      </c>
    </row>
    <row r="118" spans="1:9">
      <c r="A118" s="7" t="s">
        <v>1957</v>
      </c>
      <c r="B118" t="str">
        <f>VLOOKUP(A118,'[1]子sku-父sku'!$A$1:$B$65536,2,0)</f>
        <v>YZ-ZQQ9227</v>
      </c>
      <c r="C118">
        <f>SUMIFS(allorders!O:O,allorders!L:L,$A118,allorders!AG:AG,"&lt;="&amp;日期!$B$5,allorders!AG:AG,"&gt;="&amp;日期!$B$6,allorders!Q:Q,"&lt;&gt;"&amp;"",allorders!N:N,"Shipped")</f>
        <v>0</v>
      </c>
      <c r="D118">
        <f>SUMIFS(allorders!$O:$O,allorders!$L:$L,$A118,allorders!$AG:$AG,"&lt;="&amp;日期!$B$7,allorders!$AG:$AG,"&gt;="&amp;日期!$B$8,allorders!Q:Q,"&lt;&gt;"&amp;"",allorders!N:N,"Shipped")</f>
        <v>0</v>
      </c>
      <c r="E118">
        <f>SUMIFS(allorders!$O:$O,allorders!$L:$L,$A118,allorders!$AG:$AG,"&lt;="&amp;日期!$B$9,allorders!$AG:$AG,"&gt;="&amp;日期!$B$10,allorders!Q:Q,"&lt;&gt;"&amp;"",allorders!N:N,"Shipped")</f>
        <v>1</v>
      </c>
      <c r="F118">
        <f>SUMIFS(allorders!$O:$O,allorders!$L:$L,$A118,allorders!$AG:$AG,"&lt;="&amp;日期!$B$11,allorders!$AG:$AG,"&gt;="&amp;日期!$B$12,allorders!Q:Q,"&lt;&gt;"&amp;"",allorders!N:N,"Shipped")</f>
        <v>0</v>
      </c>
      <c r="G118">
        <f>SUMIFS(allorders!Q:Q,allorders!L:L,A118,allorders!AG:AG,"&lt;="&amp;日期!$B$5,allorders!AG:AG,"&gt;="&amp;日期!$B$12,allorders!N:N,"Shipped")/SUM(C118:F118)</f>
        <v>19.99</v>
      </c>
      <c r="H118">
        <f>SUMIFS(allorders!Q:Q,allorders!L:L,A118,allorders!AG:AG,"&gt;="&amp;日期!$B$12,allorders!AG:AG,"&lt;="&amp;日期!$B$5,allorders!N:N,"Shipped")</f>
        <v>19.99</v>
      </c>
      <c r="I118">
        <f t="shared" si="1"/>
        <v>1</v>
      </c>
    </row>
    <row r="119" spans="1:9">
      <c r="A119" s="7" t="s">
        <v>1998</v>
      </c>
      <c r="B119" t="str">
        <f>VLOOKUP(A119,'[1]子sku-父sku'!$A$1:$B$65536,2,0)</f>
        <v>YZ-ZQ1521</v>
      </c>
      <c r="C119">
        <f>SUMIFS(allorders!O:O,allorders!L:L,$A119,allorders!AG:AG,"&lt;="&amp;日期!$B$5,allorders!AG:AG,"&gt;="&amp;日期!$B$6,allorders!Q:Q,"&lt;&gt;"&amp;"",allorders!N:N,"Shipped")</f>
        <v>0</v>
      </c>
      <c r="D119">
        <f>SUMIFS(allorders!$O:$O,allorders!$L:$L,$A119,allorders!$AG:$AG,"&lt;="&amp;日期!$B$7,allorders!$AG:$AG,"&gt;="&amp;日期!$B$8,allorders!Q:Q,"&lt;&gt;"&amp;"",allorders!N:N,"Shipped")</f>
        <v>0</v>
      </c>
      <c r="E119">
        <f>SUMIFS(allorders!$O:$O,allorders!$L:$L,$A119,allorders!$AG:$AG,"&lt;="&amp;日期!$B$9,allorders!$AG:$AG,"&gt;="&amp;日期!$B$10,allorders!Q:Q,"&lt;&gt;"&amp;"",allorders!N:N,"Shipped")</f>
        <v>3</v>
      </c>
      <c r="F119">
        <f>SUMIFS(allorders!$O:$O,allorders!$L:$L,$A119,allorders!$AG:$AG,"&lt;="&amp;日期!$B$11,allorders!$AG:$AG,"&gt;="&amp;日期!$B$12,allorders!Q:Q,"&lt;&gt;"&amp;"",allorders!N:N,"Shipped")</f>
        <v>0</v>
      </c>
      <c r="G119">
        <f>SUMIFS(allorders!Q:Q,allorders!L:L,A119,allorders!AG:AG,"&lt;="&amp;日期!$B$5,allorders!AG:AG,"&gt;="&amp;日期!$B$12,allorders!N:N,"Shipped")/SUM(C119:F119)</f>
        <v>19.38</v>
      </c>
      <c r="H119">
        <f>SUMIFS(allorders!Q:Q,allorders!L:L,A119,allorders!AG:AG,"&gt;="&amp;日期!$B$12,allorders!AG:AG,"&lt;="&amp;日期!$B$5,allorders!N:N,"Shipped")</f>
        <v>58.14</v>
      </c>
      <c r="I119">
        <f t="shared" si="1"/>
        <v>3</v>
      </c>
    </row>
    <row r="120" spans="1:9">
      <c r="A120" s="7" t="s">
        <v>2001</v>
      </c>
      <c r="B120" t="str">
        <f>VLOOKUP(A120,'[1]子sku-父sku'!$A$1:$B$65536,2,0)</f>
        <v>YZ-ZQ1521</v>
      </c>
      <c r="C120">
        <f>SUMIFS(allorders!O:O,allorders!L:L,$A120,allorders!AG:AG,"&lt;="&amp;日期!$B$5,allorders!AG:AG,"&gt;="&amp;日期!$B$6,allorders!Q:Q,"&lt;&gt;"&amp;"",allorders!N:N,"Shipped")</f>
        <v>0</v>
      </c>
      <c r="D120">
        <f>SUMIFS(allorders!$O:$O,allorders!$L:$L,$A120,allorders!$AG:$AG,"&lt;="&amp;日期!$B$7,allorders!$AG:$AG,"&gt;="&amp;日期!$B$8,allorders!Q:Q,"&lt;&gt;"&amp;"",allorders!N:N,"Shipped")</f>
        <v>0</v>
      </c>
      <c r="E120">
        <f>SUMIFS(allorders!$O:$O,allorders!$L:$L,$A120,allorders!$AG:$AG,"&lt;="&amp;日期!$B$9,allorders!$AG:$AG,"&gt;="&amp;日期!$B$10,allorders!Q:Q,"&lt;&gt;"&amp;"",allorders!N:N,"Shipped")</f>
        <v>1</v>
      </c>
      <c r="F120">
        <f>SUMIFS(allorders!$O:$O,allorders!$L:$L,$A120,allorders!$AG:$AG,"&lt;="&amp;日期!$B$11,allorders!$AG:$AG,"&gt;="&amp;日期!$B$12,allorders!Q:Q,"&lt;&gt;"&amp;"",allorders!N:N,"Shipped")</f>
        <v>0</v>
      </c>
      <c r="G120">
        <f>SUMIFS(allorders!Q:Q,allorders!L:L,A120,allorders!AG:AG,"&lt;="&amp;日期!$B$5,allorders!AG:AG,"&gt;="&amp;日期!$B$12,allorders!N:N,"Shipped")/SUM(C120:F120)</f>
        <v>19.38</v>
      </c>
      <c r="H120">
        <f>SUMIFS(allorders!Q:Q,allorders!L:L,A120,allorders!AG:AG,"&gt;="&amp;日期!$B$12,allorders!AG:AG,"&lt;="&amp;日期!$B$5,allorders!N:N,"Shipped")</f>
        <v>19.38</v>
      </c>
      <c r="I120">
        <f t="shared" si="1"/>
        <v>1</v>
      </c>
    </row>
    <row r="121" spans="1:9">
      <c r="A121" s="7" t="s">
        <v>2009</v>
      </c>
      <c r="B121" t="str">
        <f>VLOOKUP(A121,'[1]子sku-父sku'!$A$1:$B$65536,2,0)</f>
        <v>LYQ-ZQ3550</v>
      </c>
      <c r="C121">
        <f>SUMIFS(allorders!O:O,allorders!L:L,$A121,allorders!AG:AG,"&lt;="&amp;日期!$B$5,allorders!AG:AG,"&gt;="&amp;日期!$B$6,allorders!Q:Q,"&lt;&gt;"&amp;"",allorders!N:N,"Shipped")</f>
        <v>0</v>
      </c>
      <c r="D121">
        <f>SUMIFS(allorders!$O:$O,allorders!$L:$L,$A121,allorders!$AG:$AG,"&lt;="&amp;日期!$B$7,allorders!$AG:$AG,"&gt;="&amp;日期!$B$8,allorders!Q:Q,"&lt;&gt;"&amp;"",allorders!N:N,"Shipped")</f>
        <v>0</v>
      </c>
      <c r="E121">
        <f>SUMIFS(allorders!$O:$O,allorders!$L:$L,$A121,allorders!$AG:$AG,"&lt;="&amp;日期!$B$9,allorders!$AG:$AG,"&gt;="&amp;日期!$B$10,allorders!Q:Q,"&lt;&gt;"&amp;"",allorders!N:N,"Shipped")</f>
        <v>1</v>
      </c>
      <c r="F121">
        <f>SUMIFS(allorders!$O:$O,allorders!$L:$L,$A121,allorders!$AG:$AG,"&lt;="&amp;日期!$B$11,allorders!$AG:$AG,"&gt;="&amp;日期!$B$12,allorders!Q:Q,"&lt;&gt;"&amp;"",allorders!N:N,"Shipped")</f>
        <v>0</v>
      </c>
      <c r="G121">
        <f>SUMIFS(allorders!Q:Q,allorders!L:L,A121,allorders!AG:AG,"&lt;="&amp;日期!$B$5,allorders!AG:AG,"&gt;="&amp;日期!$B$12,allorders!N:N,"Shipped")/SUM(C121:F121)</f>
        <v>14.99</v>
      </c>
      <c r="H121">
        <f>SUMIFS(allorders!Q:Q,allorders!L:L,A121,allorders!AG:AG,"&gt;="&amp;日期!$B$12,allorders!AG:AG,"&lt;="&amp;日期!$B$5,allorders!N:N,"Shipped")</f>
        <v>14.99</v>
      </c>
      <c r="I121">
        <f t="shared" si="1"/>
        <v>1</v>
      </c>
    </row>
    <row r="122" spans="1:9">
      <c r="A122" s="7" t="s">
        <v>2030</v>
      </c>
      <c r="B122" t="str">
        <f>VLOOKUP(A122,'[1]子sku-父sku'!$A$1:$B$65536,2,0)</f>
        <v>YZ-ZQ1521</v>
      </c>
      <c r="C122">
        <f>SUMIFS(allorders!O:O,allorders!L:L,$A122,allorders!AG:AG,"&lt;="&amp;日期!$B$5,allorders!AG:AG,"&gt;="&amp;日期!$B$6,allorders!Q:Q,"&lt;&gt;"&amp;"",allorders!N:N,"Shipped")</f>
        <v>0</v>
      </c>
      <c r="D122">
        <f>SUMIFS(allorders!$O:$O,allorders!$L:$L,$A122,allorders!$AG:$AG,"&lt;="&amp;日期!$B$7,allorders!$AG:$AG,"&gt;="&amp;日期!$B$8,allorders!Q:Q,"&lt;&gt;"&amp;"",allorders!N:N,"Shipped")</f>
        <v>0</v>
      </c>
      <c r="E122">
        <f>SUMIFS(allorders!$O:$O,allorders!$L:$L,$A122,allorders!$AG:$AG,"&lt;="&amp;日期!$B$9,allorders!$AG:$AG,"&gt;="&amp;日期!$B$10,allorders!Q:Q,"&lt;&gt;"&amp;"",allorders!N:N,"Shipped")</f>
        <v>1</v>
      </c>
      <c r="F122">
        <f>SUMIFS(allorders!$O:$O,allorders!$L:$L,$A122,allorders!$AG:$AG,"&lt;="&amp;日期!$B$11,allorders!$AG:$AG,"&gt;="&amp;日期!$B$12,allorders!Q:Q,"&lt;&gt;"&amp;"",allorders!N:N,"Shipped")</f>
        <v>0</v>
      </c>
      <c r="G122">
        <f>SUMIFS(allorders!Q:Q,allorders!L:L,A122,allorders!AG:AG,"&lt;="&amp;日期!$B$5,allorders!AG:AG,"&gt;="&amp;日期!$B$12,allorders!N:N,"Shipped")/SUM(C122:F122)</f>
        <v>19.99</v>
      </c>
      <c r="H122">
        <f>SUMIFS(allorders!Q:Q,allorders!L:L,A122,allorders!AG:AG,"&gt;="&amp;日期!$B$12,allorders!AG:AG,"&lt;="&amp;日期!$B$5,allorders!N:N,"Shipped")</f>
        <v>19.99</v>
      </c>
      <c r="I122">
        <f t="shared" si="1"/>
        <v>1</v>
      </c>
    </row>
    <row r="123" spans="1:9">
      <c r="A123" s="7" t="s">
        <v>2059</v>
      </c>
      <c r="B123" t="str">
        <f>VLOOKUP(A123,'[1]子sku-父sku'!$A$1:$B$65536,2,0)</f>
        <v>YZ-SUZQBL03</v>
      </c>
      <c r="C123">
        <f>SUMIFS(allorders!O:O,allorders!L:L,$A123,allorders!AG:AG,"&lt;="&amp;日期!$B$5,allorders!AG:AG,"&gt;="&amp;日期!$B$6,allorders!Q:Q,"&lt;&gt;"&amp;"",allorders!N:N,"Shipped")</f>
        <v>0</v>
      </c>
      <c r="D123">
        <f>SUMIFS(allorders!$O:$O,allorders!$L:$L,$A123,allorders!$AG:$AG,"&lt;="&amp;日期!$B$7,allorders!$AG:$AG,"&gt;="&amp;日期!$B$8,allorders!Q:Q,"&lt;&gt;"&amp;"",allorders!N:N,"Shipped")</f>
        <v>0</v>
      </c>
      <c r="E123">
        <f>SUMIFS(allorders!$O:$O,allorders!$L:$L,$A123,allorders!$AG:$AG,"&lt;="&amp;日期!$B$9,allorders!$AG:$AG,"&gt;="&amp;日期!$B$10,allorders!Q:Q,"&lt;&gt;"&amp;"",allorders!N:N,"Shipped")</f>
        <v>1</v>
      </c>
      <c r="F123">
        <f>SUMIFS(allorders!$O:$O,allorders!$L:$L,$A123,allorders!$AG:$AG,"&lt;="&amp;日期!$B$11,allorders!$AG:$AG,"&gt;="&amp;日期!$B$12,allorders!Q:Q,"&lt;&gt;"&amp;"",allorders!N:N,"Shipped")</f>
        <v>0</v>
      </c>
      <c r="G123">
        <f>SUMIFS(allorders!Q:Q,allorders!L:L,A123,allorders!AG:AG,"&lt;="&amp;日期!$B$5,allorders!AG:AG,"&gt;="&amp;日期!$B$12,allorders!N:N,"Shipped")/SUM(C123:F123)</f>
        <v>19.99</v>
      </c>
      <c r="H123">
        <f>SUMIFS(allorders!Q:Q,allorders!L:L,A123,allorders!AG:AG,"&gt;="&amp;日期!$B$12,allorders!AG:AG,"&lt;="&amp;日期!$B$5,allorders!N:N,"Shipped")</f>
        <v>19.99</v>
      </c>
      <c r="I123">
        <f t="shared" si="1"/>
        <v>1</v>
      </c>
    </row>
    <row r="124" spans="1:9">
      <c r="A124" s="7" t="s">
        <v>2076</v>
      </c>
      <c r="B124" t="str">
        <f>VLOOKUP(A124,'[1]子sku-父sku'!$A$1:$B$65536,2,0)</f>
        <v>YZ-JY5694</v>
      </c>
      <c r="C124">
        <f>SUMIFS(allorders!O:O,allorders!L:L,$A124,allorders!AG:AG,"&lt;="&amp;日期!$B$5,allorders!AG:AG,"&gt;="&amp;日期!$B$6,allorders!Q:Q,"&lt;&gt;"&amp;"",allorders!N:N,"Shipped")</f>
        <v>0</v>
      </c>
      <c r="D124">
        <f>SUMIFS(allorders!$O:$O,allorders!$L:$L,$A124,allorders!$AG:$AG,"&lt;="&amp;日期!$B$7,allorders!$AG:$AG,"&gt;="&amp;日期!$B$8,allorders!Q:Q,"&lt;&gt;"&amp;"",allorders!N:N,"Shipped")</f>
        <v>0</v>
      </c>
      <c r="E124">
        <f>SUMIFS(allorders!$O:$O,allorders!$L:$L,$A124,allorders!$AG:$AG,"&lt;="&amp;日期!$B$9,allorders!$AG:$AG,"&gt;="&amp;日期!$B$10,allorders!Q:Q,"&lt;&gt;"&amp;"",allorders!N:N,"Shipped")</f>
        <v>1</v>
      </c>
      <c r="F124">
        <f>SUMIFS(allorders!$O:$O,allorders!$L:$L,$A124,allorders!$AG:$AG,"&lt;="&amp;日期!$B$11,allorders!$AG:$AG,"&gt;="&amp;日期!$B$12,allorders!Q:Q,"&lt;&gt;"&amp;"",allorders!N:N,"Shipped")</f>
        <v>0</v>
      </c>
      <c r="G124">
        <f>SUMIFS(allorders!Q:Q,allorders!L:L,A124,allorders!AG:AG,"&lt;="&amp;日期!$B$5,allorders!AG:AG,"&gt;="&amp;日期!$B$12,allorders!N:N,"Shipped")/SUM(C124:F124)</f>
        <v>18.98</v>
      </c>
      <c r="H124">
        <f>SUMIFS(allorders!Q:Q,allorders!L:L,A124,allorders!AG:AG,"&gt;="&amp;日期!$B$12,allorders!AG:AG,"&lt;="&amp;日期!$B$5,allorders!N:N,"Shipped")</f>
        <v>18.98</v>
      </c>
      <c r="I124">
        <f t="shared" si="1"/>
        <v>1</v>
      </c>
    </row>
    <row r="125" spans="1:9">
      <c r="A125" s="7" t="s">
        <v>2093</v>
      </c>
      <c r="B125" t="str">
        <f>VLOOKUP(A125,'[1]子sku-父sku'!$A$1:$B$65536,2,0)</f>
        <v>YZ-HM1727</v>
      </c>
      <c r="C125">
        <f>SUMIFS(allorders!O:O,allorders!L:L,$A125,allorders!AG:AG,"&lt;="&amp;日期!$B$5,allorders!AG:AG,"&gt;="&amp;日期!$B$6,allorders!Q:Q,"&lt;&gt;"&amp;"",allorders!N:N,"Shipped")</f>
        <v>0</v>
      </c>
      <c r="D125">
        <f>SUMIFS(allorders!$O:$O,allorders!$L:$L,$A125,allorders!$AG:$AG,"&lt;="&amp;日期!$B$7,allorders!$AG:$AG,"&gt;="&amp;日期!$B$8,allorders!Q:Q,"&lt;&gt;"&amp;"",allorders!N:N,"Shipped")</f>
        <v>0</v>
      </c>
      <c r="E125">
        <f>SUMIFS(allorders!$O:$O,allorders!$L:$L,$A125,allorders!$AG:$AG,"&lt;="&amp;日期!$B$9,allorders!$AG:$AG,"&gt;="&amp;日期!$B$10,allorders!Q:Q,"&lt;&gt;"&amp;"",allorders!N:N,"Shipped")</f>
        <v>4</v>
      </c>
      <c r="F125">
        <f>SUMIFS(allorders!$O:$O,allorders!$L:$L,$A125,allorders!$AG:$AG,"&lt;="&amp;日期!$B$11,allorders!$AG:$AG,"&gt;="&amp;日期!$B$12,allorders!Q:Q,"&lt;&gt;"&amp;"",allorders!N:N,"Shipped")</f>
        <v>0</v>
      </c>
      <c r="G125">
        <f>SUMIFS(allorders!Q:Q,allorders!L:L,A125,allorders!AG:AG,"&lt;="&amp;日期!$B$5,allorders!AG:AG,"&gt;="&amp;日期!$B$12,allorders!N:N,"Shipped")/SUM(C125:F125)</f>
        <v>18.99</v>
      </c>
      <c r="H125">
        <f>SUMIFS(allorders!Q:Q,allorders!L:L,A125,allorders!AG:AG,"&gt;="&amp;日期!$B$12,allorders!AG:AG,"&lt;="&amp;日期!$B$5,allorders!N:N,"Shipped")</f>
        <v>75.96</v>
      </c>
      <c r="I125">
        <f t="shared" si="1"/>
        <v>4</v>
      </c>
    </row>
    <row r="126" spans="1:9">
      <c r="A126" s="7" t="s">
        <v>2103</v>
      </c>
      <c r="B126" t="str">
        <f>VLOOKUP(A126,'[1]子sku-父sku'!$A$1:$B$65536,2,0)</f>
        <v>YZ-ZQBL03</v>
      </c>
      <c r="C126">
        <f>SUMIFS(allorders!O:O,allorders!L:L,$A126,allorders!AG:AG,"&lt;="&amp;日期!$B$5,allorders!AG:AG,"&gt;="&amp;日期!$B$6,allorders!Q:Q,"&lt;&gt;"&amp;"",allorders!N:N,"Shipped")</f>
        <v>0</v>
      </c>
      <c r="D126">
        <f>SUMIFS(allorders!$O:$O,allorders!$L:$L,$A126,allorders!$AG:$AG,"&lt;="&amp;日期!$B$7,allorders!$AG:$AG,"&gt;="&amp;日期!$B$8,allorders!Q:Q,"&lt;&gt;"&amp;"",allorders!N:N,"Shipped")</f>
        <v>1</v>
      </c>
      <c r="E126">
        <f>SUMIFS(allorders!$O:$O,allorders!$L:$L,$A126,allorders!$AG:$AG,"&lt;="&amp;日期!$B$9,allorders!$AG:$AG,"&gt;="&amp;日期!$B$10,allorders!Q:Q,"&lt;&gt;"&amp;"",allorders!N:N,"Shipped")</f>
        <v>1</v>
      </c>
      <c r="F126">
        <f>SUMIFS(allorders!$O:$O,allorders!$L:$L,$A126,allorders!$AG:$AG,"&lt;="&amp;日期!$B$11,allorders!$AG:$AG,"&gt;="&amp;日期!$B$12,allorders!Q:Q,"&lt;&gt;"&amp;"",allorders!N:N,"Shipped")</f>
        <v>0</v>
      </c>
      <c r="G126">
        <f>SUMIFS(allorders!Q:Q,allorders!L:L,A126,allorders!AG:AG,"&lt;="&amp;日期!$B$5,allorders!AG:AG,"&gt;="&amp;日期!$B$12,allorders!N:N,"Shipped")/SUM(C126:F126)</f>
        <v>19.99</v>
      </c>
      <c r="H126">
        <f>SUMIFS(allorders!Q:Q,allorders!L:L,A126,allorders!AG:AG,"&gt;="&amp;日期!$B$12,allorders!AG:AG,"&lt;="&amp;日期!$B$5,allorders!N:N,"Shipped")</f>
        <v>39.98</v>
      </c>
      <c r="I126">
        <f t="shared" si="1"/>
        <v>2</v>
      </c>
    </row>
    <row r="127" spans="1:9">
      <c r="A127" s="7" t="s">
        <v>2114</v>
      </c>
      <c r="B127" t="str">
        <f>VLOOKUP(A127,'[1]子sku-父sku'!$A$1:$B$65536,2,0)</f>
        <v>LYQ-ZQ2973</v>
      </c>
      <c r="C127">
        <f>SUMIFS(allorders!O:O,allorders!L:L,$A127,allorders!AG:AG,"&lt;="&amp;日期!$B$5,allorders!AG:AG,"&gt;="&amp;日期!$B$6,allorders!Q:Q,"&lt;&gt;"&amp;"",allorders!N:N,"Shipped")</f>
        <v>0</v>
      </c>
      <c r="D127">
        <f>SUMIFS(allorders!$O:$O,allorders!$L:$L,$A127,allorders!$AG:$AG,"&lt;="&amp;日期!$B$7,allorders!$AG:$AG,"&gt;="&amp;日期!$B$8,allorders!Q:Q,"&lt;&gt;"&amp;"",allorders!N:N,"Shipped")</f>
        <v>0</v>
      </c>
      <c r="E127">
        <f>SUMIFS(allorders!$O:$O,allorders!$L:$L,$A127,allorders!$AG:$AG,"&lt;="&amp;日期!$B$9,allorders!$AG:$AG,"&gt;="&amp;日期!$B$10,allorders!Q:Q,"&lt;&gt;"&amp;"",allorders!N:N,"Shipped")</f>
        <v>1</v>
      </c>
      <c r="F127">
        <f>SUMIFS(allorders!$O:$O,allorders!$L:$L,$A127,allorders!$AG:$AG,"&lt;="&amp;日期!$B$11,allorders!$AG:$AG,"&gt;="&amp;日期!$B$12,allorders!Q:Q,"&lt;&gt;"&amp;"",allorders!N:N,"Shipped")</f>
        <v>0</v>
      </c>
      <c r="G127">
        <f>SUMIFS(allorders!Q:Q,allorders!L:L,A127,allorders!AG:AG,"&lt;="&amp;日期!$B$5,allorders!AG:AG,"&gt;="&amp;日期!$B$12,allorders!N:N,"Shipped")/SUM(C127:F127)</f>
        <v>16.99</v>
      </c>
      <c r="H127">
        <f>SUMIFS(allorders!Q:Q,allorders!L:L,A127,allorders!AG:AG,"&gt;="&amp;日期!$B$12,allorders!AG:AG,"&lt;="&amp;日期!$B$5,allorders!N:N,"Shipped")</f>
        <v>16.99</v>
      </c>
      <c r="I127">
        <f t="shared" si="1"/>
        <v>1</v>
      </c>
    </row>
    <row r="128" spans="1:9">
      <c r="A128" s="7" t="s">
        <v>2208</v>
      </c>
      <c r="B128" t="str">
        <f>VLOOKUP(A128,'[1]子sku-父sku'!$A$1:$B$65536,2,0)</f>
        <v>YZ-HM1757</v>
      </c>
      <c r="C128">
        <f>SUMIFS(allorders!O:O,allorders!L:L,$A128,allorders!AG:AG,"&lt;="&amp;日期!$B$5,allorders!AG:AG,"&gt;="&amp;日期!$B$6,allorders!Q:Q,"&lt;&gt;"&amp;"",allorders!N:N,"Shipped")</f>
        <v>0</v>
      </c>
      <c r="D128">
        <f>SUMIFS(allorders!$O:$O,allorders!$L:$L,$A128,allorders!$AG:$AG,"&lt;="&amp;日期!$B$7,allorders!$AG:$AG,"&gt;="&amp;日期!$B$8,allorders!Q:Q,"&lt;&gt;"&amp;"",allorders!N:N,"Shipped")</f>
        <v>0</v>
      </c>
      <c r="E128">
        <f>SUMIFS(allorders!$O:$O,allorders!$L:$L,$A128,allorders!$AG:$AG,"&lt;="&amp;日期!$B$9,allorders!$AG:$AG,"&gt;="&amp;日期!$B$10,allorders!Q:Q,"&lt;&gt;"&amp;"",allorders!N:N,"Shipped")</f>
        <v>1</v>
      </c>
      <c r="F128">
        <f>SUMIFS(allorders!$O:$O,allorders!$L:$L,$A128,allorders!$AG:$AG,"&lt;="&amp;日期!$B$11,allorders!$AG:$AG,"&gt;="&amp;日期!$B$12,allorders!Q:Q,"&lt;&gt;"&amp;"",allorders!N:N,"Shipped")</f>
        <v>0</v>
      </c>
      <c r="G128">
        <f>SUMIFS(allorders!Q:Q,allorders!L:L,A128,allorders!AG:AG,"&lt;="&amp;日期!$B$5,allorders!AG:AG,"&gt;="&amp;日期!$B$12,allorders!N:N,"Shipped")/SUM(C128:F128)</f>
        <v>16.99</v>
      </c>
      <c r="H128">
        <f>SUMIFS(allorders!Q:Q,allorders!L:L,A128,allorders!AG:AG,"&gt;="&amp;日期!$B$12,allorders!AG:AG,"&lt;="&amp;日期!$B$5,allorders!N:N,"Shipped")</f>
        <v>16.99</v>
      </c>
      <c r="I128">
        <f t="shared" si="1"/>
        <v>1</v>
      </c>
    </row>
    <row r="129" spans="1:9">
      <c r="A129" s="7" t="s">
        <v>2214</v>
      </c>
      <c r="B129" t="str">
        <f>VLOOKUP(A129,'[1]子sku-父sku'!$A$1:$B$65536,2,0)</f>
        <v>YZ-ZQ1521</v>
      </c>
      <c r="C129">
        <f>SUMIFS(allorders!O:O,allorders!L:L,$A129,allorders!AG:AG,"&lt;="&amp;日期!$B$5,allorders!AG:AG,"&gt;="&amp;日期!$B$6,allorders!Q:Q,"&lt;&gt;"&amp;"",allorders!N:N,"Shipped")</f>
        <v>0</v>
      </c>
      <c r="D129">
        <f>SUMIFS(allorders!$O:$O,allorders!$L:$L,$A129,allorders!$AG:$AG,"&lt;="&amp;日期!$B$7,allorders!$AG:$AG,"&gt;="&amp;日期!$B$8,allorders!Q:Q,"&lt;&gt;"&amp;"",allorders!N:N,"Shipped")</f>
        <v>1</v>
      </c>
      <c r="E129">
        <f>SUMIFS(allorders!$O:$O,allorders!$L:$L,$A129,allorders!$AG:$AG,"&lt;="&amp;日期!$B$9,allorders!$AG:$AG,"&gt;="&amp;日期!$B$10,allorders!Q:Q,"&lt;&gt;"&amp;"",allorders!N:N,"Shipped")</f>
        <v>1</v>
      </c>
      <c r="F129">
        <f>SUMIFS(allorders!$O:$O,allorders!$L:$L,$A129,allorders!$AG:$AG,"&lt;="&amp;日期!$B$11,allorders!$AG:$AG,"&gt;="&amp;日期!$B$12,allorders!Q:Q,"&lt;&gt;"&amp;"",allorders!N:N,"Shipped")</f>
        <v>0</v>
      </c>
      <c r="G129">
        <f>SUMIFS(allorders!Q:Q,allorders!L:L,A129,allorders!AG:AG,"&lt;="&amp;日期!$B$5,allorders!AG:AG,"&gt;="&amp;日期!$B$12,allorders!N:N,"Shipped")/SUM(C129:F129)</f>
        <v>19.38</v>
      </c>
      <c r="H129">
        <f>SUMIFS(allorders!Q:Q,allorders!L:L,A129,allorders!AG:AG,"&gt;="&amp;日期!$B$12,allorders!AG:AG,"&lt;="&amp;日期!$B$5,allorders!N:N,"Shipped")</f>
        <v>38.76</v>
      </c>
      <c r="I129">
        <f t="shared" si="1"/>
        <v>2</v>
      </c>
    </row>
    <row r="130" spans="1:9">
      <c r="A130" s="7" t="s">
        <v>2245</v>
      </c>
      <c r="B130" t="str">
        <f>VLOOKUP(A130,'[1]子sku-父sku'!$A$1:$B$65536,2,0)</f>
        <v>LYQ-ZQ2973</v>
      </c>
      <c r="C130">
        <f>SUMIFS(allorders!O:O,allorders!L:L,$A130,allorders!AG:AG,"&lt;="&amp;日期!$B$5,allorders!AG:AG,"&gt;="&amp;日期!$B$6,allorders!Q:Q,"&lt;&gt;"&amp;"",allorders!N:N,"Shipped")</f>
        <v>0</v>
      </c>
      <c r="D130">
        <f>SUMIFS(allorders!$O:$O,allorders!$L:$L,$A130,allorders!$AG:$AG,"&lt;="&amp;日期!$B$7,allorders!$AG:$AG,"&gt;="&amp;日期!$B$8,allorders!Q:Q,"&lt;&gt;"&amp;"",allorders!N:N,"Shipped")</f>
        <v>0</v>
      </c>
      <c r="E130">
        <f>SUMIFS(allorders!$O:$O,allorders!$L:$L,$A130,allorders!$AG:$AG,"&lt;="&amp;日期!$B$9,allorders!$AG:$AG,"&gt;="&amp;日期!$B$10,allorders!Q:Q,"&lt;&gt;"&amp;"",allorders!N:N,"Shipped")</f>
        <v>1</v>
      </c>
      <c r="F130">
        <f>SUMIFS(allorders!$O:$O,allorders!$L:$L,$A130,allorders!$AG:$AG,"&lt;="&amp;日期!$B$11,allorders!$AG:$AG,"&gt;="&amp;日期!$B$12,allorders!Q:Q,"&lt;&gt;"&amp;"",allorders!N:N,"Shipped")</f>
        <v>0</v>
      </c>
      <c r="G130">
        <f>SUMIFS(allorders!Q:Q,allorders!L:L,A130,allorders!AG:AG,"&lt;="&amp;日期!$B$5,allorders!AG:AG,"&gt;="&amp;日期!$B$12,allorders!N:N,"Shipped")/SUM(C130:F130)</f>
        <v>17.99</v>
      </c>
      <c r="H130">
        <f>SUMIFS(allorders!Q:Q,allorders!L:L,A130,allorders!AG:AG,"&gt;="&amp;日期!$B$12,allorders!AG:AG,"&lt;="&amp;日期!$B$5,allorders!N:N,"Shipped")</f>
        <v>17.99</v>
      </c>
      <c r="I130">
        <f t="shared" si="1"/>
        <v>1</v>
      </c>
    </row>
    <row r="131" spans="1:9">
      <c r="A131" s="7" t="s">
        <v>2272</v>
      </c>
      <c r="B131" t="str">
        <f>VLOOKUP(A131,'[1]子sku-父sku'!$A$1:$B$65536,2,0)</f>
        <v>YZ-ZQ1617</v>
      </c>
      <c r="C131">
        <f>SUMIFS(allorders!O:O,allorders!L:L,$A131,allorders!AG:AG,"&lt;="&amp;日期!$B$5,allorders!AG:AG,"&gt;="&amp;日期!$B$6,allorders!Q:Q,"&lt;&gt;"&amp;"",allorders!N:N,"Shipped")</f>
        <v>0</v>
      </c>
      <c r="D131">
        <f>SUMIFS(allorders!$O:$O,allorders!$L:$L,$A131,allorders!$AG:$AG,"&lt;="&amp;日期!$B$7,allorders!$AG:$AG,"&gt;="&amp;日期!$B$8,allorders!Q:Q,"&lt;&gt;"&amp;"",allorders!N:N,"Shipped")</f>
        <v>0</v>
      </c>
      <c r="E131">
        <f>SUMIFS(allorders!$O:$O,allorders!$L:$L,$A131,allorders!$AG:$AG,"&lt;="&amp;日期!$B$9,allorders!$AG:$AG,"&gt;="&amp;日期!$B$10,allorders!Q:Q,"&lt;&gt;"&amp;"",allorders!N:N,"Shipped")</f>
        <v>1</v>
      </c>
      <c r="F131">
        <f>SUMIFS(allorders!$O:$O,allorders!$L:$L,$A131,allorders!$AG:$AG,"&lt;="&amp;日期!$B$11,allorders!$AG:$AG,"&gt;="&amp;日期!$B$12,allorders!Q:Q,"&lt;&gt;"&amp;"",allorders!N:N,"Shipped")</f>
        <v>0</v>
      </c>
      <c r="G131">
        <f>SUMIFS(allorders!Q:Q,allorders!L:L,A131,allorders!AG:AG,"&lt;="&amp;日期!$B$5,allorders!AG:AG,"&gt;="&amp;日期!$B$12,allorders!N:N,"Shipped")/SUM(C131:F131)</f>
        <v>15.99</v>
      </c>
      <c r="H131">
        <f>SUMIFS(allorders!Q:Q,allorders!L:L,A131,allorders!AG:AG,"&gt;="&amp;日期!$B$12,allorders!AG:AG,"&lt;="&amp;日期!$B$5,allorders!N:N,"Shipped")</f>
        <v>15.99</v>
      </c>
      <c r="I131">
        <f t="shared" ref="I131:I194" si="2">SUM(C131:F131)</f>
        <v>1</v>
      </c>
    </row>
    <row r="132" spans="1:9">
      <c r="A132" s="7" t="s">
        <v>2294</v>
      </c>
      <c r="B132" t="str">
        <f>VLOOKUP(A132,'[1]子sku-父sku'!$A$1:$B$65536,2,0)</f>
        <v>LYQ-ZQ2973</v>
      </c>
      <c r="C132">
        <f>SUMIFS(allorders!O:O,allorders!L:L,$A132,allorders!AG:AG,"&lt;="&amp;日期!$B$5,allorders!AG:AG,"&gt;="&amp;日期!$B$6,allorders!Q:Q,"&lt;&gt;"&amp;"",allorders!N:N,"Shipped")</f>
        <v>0</v>
      </c>
      <c r="D132">
        <f>SUMIFS(allorders!$O:$O,allorders!$L:$L,$A132,allorders!$AG:$AG,"&lt;="&amp;日期!$B$7,allorders!$AG:$AG,"&gt;="&amp;日期!$B$8,allorders!Q:Q,"&lt;&gt;"&amp;"",allorders!N:N,"Shipped")</f>
        <v>0</v>
      </c>
      <c r="E132">
        <f>SUMIFS(allorders!$O:$O,allorders!$L:$L,$A132,allorders!$AG:$AG,"&lt;="&amp;日期!$B$9,allorders!$AG:$AG,"&gt;="&amp;日期!$B$10,allorders!Q:Q,"&lt;&gt;"&amp;"",allorders!N:N,"Shipped")</f>
        <v>2</v>
      </c>
      <c r="F132">
        <f>SUMIFS(allorders!$O:$O,allorders!$L:$L,$A132,allorders!$AG:$AG,"&lt;="&amp;日期!$B$11,allorders!$AG:$AG,"&gt;="&amp;日期!$B$12,allorders!Q:Q,"&lt;&gt;"&amp;"",allorders!N:N,"Shipped")</f>
        <v>0</v>
      </c>
      <c r="G132">
        <f>SUMIFS(allorders!Q:Q,allorders!L:L,A132,allorders!AG:AG,"&lt;="&amp;日期!$B$5,allorders!AG:AG,"&gt;="&amp;日期!$B$12,allorders!N:N,"Shipped")/SUM(C132:F132)</f>
        <v>17.99</v>
      </c>
      <c r="H132">
        <f>SUMIFS(allorders!Q:Q,allorders!L:L,A132,allorders!AG:AG,"&gt;="&amp;日期!$B$12,allorders!AG:AG,"&lt;="&amp;日期!$B$5,allorders!N:N,"Shipped")</f>
        <v>35.98</v>
      </c>
      <c r="I132">
        <f t="shared" si="2"/>
        <v>2</v>
      </c>
    </row>
    <row r="133" spans="1:9">
      <c r="A133" s="7" t="s">
        <v>2329</v>
      </c>
      <c r="B133" t="str">
        <f>VLOOKUP(A133,'[1]子sku-父sku'!$A$1:$B$65536,2,0)</f>
        <v>LYQ-ZQ2973</v>
      </c>
      <c r="C133">
        <f>SUMIFS(allorders!O:O,allorders!L:L,$A133,allorders!AG:AG,"&lt;="&amp;日期!$B$5,allorders!AG:AG,"&gt;="&amp;日期!$B$6,allorders!Q:Q,"&lt;&gt;"&amp;"",allorders!N:N,"Shipped")</f>
        <v>0</v>
      </c>
      <c r="D133">
        <f>SUMIFS(allorders!$O:$O,allorders!$L:$L,$A133,allorders!$AG:$AG,"&lt;="&amp;日期!$B$7,allorders!$AG:$AG,"&gt;="&amp;日期!$B$8,allorders!Q:Q,"&lt;&gt;"&amp;"",allorders!N:N,"Shipped")</f>
        <v>1</v>
      </c>
      <c r="E133">
        <f>SUMIFS(allorders!$O:$O,allorders!$L:$L,$A133,allorders!$AG:$AG,"&lt;="&amp;日期!$B$9,allorders!$AG:$AG,"&gt;="&amp;日期!$B$10,allorders!Q:Q,"&lt;&gt;"&amp;"",allorders!N:N,"Shipped")</f>
        <v>1</v>
      </c>
      <c r="F133">
        <f>SUMIFS(allorders!$O:$O,allorders!$L:$L,$A133,allorders!$AG:$AG,"&lt;="&amp;日期!$B$11,allorders!$AG:$AG,"&gt;="&amp;日期!$B$12,allorders!Q:Q,"&lt;&gt;"&amp;"",allorders!N:N,"Shipped")</f>
        <v>0</v>
      </c>
      <c r="G133">
        <f>SUMIFS(allorders!Q:Q,allorders!L:L,A133,allorders!AG:AG,"&lt;="&amp;日期!$B$5,allorders!AG:AG,"&gt;="&amp;日期!$B$12,allorders!N:N,"Shipped")/SUM(C133:F133)</f>
        <v>17.99</v>
      </c>
      <c r="H133">
        <f>SUMIFS(allorders!Q:Q,allorders!L:L,A133,allorders!AG:AG,"&gt;="&amp;日期!$B$12,allorders!AG:AG,"&lt;="&amp;日期!$B$5,allorders!N:N,"Shipped")</f>
        <v>35.98</v>
      </c>
      <c r="I133">
        <f t="shared" si="2"/>
        <v>2</v>
      </c>
    </row>
    <row r="134" spans="1:9">
      <c r="A134" s="7" t="s">
        <v>2334</v>
      </c>
      <c r="B134" t="str">
        <f>VLOOKUP(A134,'[1]子sku-父sku'!$A$1:$B$65536,2,0)</f>
        <v>LYQ-ZQ2973</v>
      </c>
      <c r="C134">
        <f>SUMIFS(allorders!O:O,allorders!L:L,$A134,allorders!AG:AG,"&lt;="&amp;日期!$B$5,allorders!AG:AG,"&gt;="&amp;日期!$B$6,allorders!Q:Q,"&lt;&gt;"&amp;"",allorders!N:N,"Shipped")</f>
        <v>0</v>
      </c>
      <c r="D134">
        <f>SUMIFS(allorders!$O:$O,allorders!$L:$L,$A134,allorders!$AG:$AG,"&lt;="&amp;日期!$B$7,allorders!$AG:$AG,"&gt;="&amp;日期!$B$8,allorders!Q:Q,"&lt;&gt;"&amp;"",allorders!N:N,"Shipped")</f>
        <v>0</v>
      </c>
      <c r="E134">
        <f>SUMIFS(allorders!$O:$O,allorders!$L:$L,$A134,allorders!$AG:$AG,"&lt;="&amp;日期!$B$9,allorders!$AG:$AG,"&gt;="&amp;日期!$B$10,allorders!Q:Q,"&lt;&gt;"&amp;"",allorders!N:N,"Shipped")</f>
        <v>1</v>
      </c>
      <c r="F134">
        <f>SUMIFS(allorders!$O:$O,allorders!$L:$L,$A134,allorders!$AG:$AG,"&lt;="&amp;日期!$B$11,allorders!$AG:$AG,"&gt;="&amp;日期!$B$12,allorders!Q:Q,"&lt;&gt;"&amp;"",allorders!N:N,"Shipped")</f>
        <v>0</v>
      </c>
      <c r="G134">
        <f>SUMIFS(allorders!Q:Q,allorders!L:L,A134,allorders!AG:AG,"&lt;="&amp;日期!$B$5,allorders!AG:AG,"&gt;="&amp;日期!$B$12,allorders!N:N,"Shipped")/SUM(C134:F134)</f>
        <v>18.99</v>
      </c>
      <c r="H134">
        <f>SUMIFS(allorders!Q:Q,allorders!L:L,A134,allorders!AG:AG,"&gt;="&amp;日期!$B$12,allorders!AG:AG,"&lt;="&amp;日期!$B$5,allorders!N:N,"Shipped")</f>
        <v>18.99</v>
      </c>
      <c r="I134">
        <f t="shared" si="2"/>
        <v>1</v>
      </c>
    </row>
    <row r="135" spans="1:9">
      <c r="A135" s="7" t="s">
        <v>2337</v>
      </c>
      <c r="B135" t="str">
        <f>VLOOKUP(A135,'[1]子sku-父sku'!$A$1:$B$65536,2,0)</f>
        <v>LYQ-ZQ2973</v>
      </c>
      <c r="C135">
        <f>SUMIFS(allorders!O:O,allorders!L:L,$A135,allorders!AG:AG,"&lt;="&amp;日期!$B$5,allorders!AG:AG,"&gt;="&amp;日期!$B$6,allorders!Q:Q,"&lt;&gt;"&amp;"",allorders!N:N,"Shipped")</f>
        <v>0</v>
      </c>
      <c r="D135">
        <f>SUMIFS(allorders!$O:$O,allorders!$L:$L,$A135,allorders!$AG:$AG,"&lt;="&amp;日期!$B$7,allorders!$AG:$AG,"&gt;="&amp;日期!$B$8,allorders!Q:Q,"&lt;&gt;"&amp;"",allorders!N:N,"Shipped")</f>
        <v>0</v>
      </c>
      <c r="E135">
        <f>SUMIFS(allorders!$O:$O,allorders!$L:$L,$A135,allorders!$AG:$AG,"&lt;="&amp;日期!$B$9,allorders!$AG:$AG,"&gt;="&amp;日期!$B$10,allorders!Q:Q,"&lt;&gt;"&amp;"",allorders!N:N,"Shipped")</f>
        <v>1</v>
      </c>
      <c r="F135">
        <f>SUMIFS(allorders!$O:$O,allorders!$L:$L,$A135,allorders!$AG:$AG,"&lt;="&amp;日期!$B$11,allorders!$AG:$AG,"&gt;="&amp;日期!$B$12,allorders!Q:Q,"&lt;&gt;"&amp;"",allorders!N:N,"Shipped")</f>
        <v>0</v>
      </c>
      <c r="G135">
        <f>SUMIFS(allorders!Q:Q,allorders!L:L,A135,allorders!AG:AG,"&lt;="&amp;日期!$B$5,allorders!AG:AG,"&gt;="&amp;日期!$B$12,allorders!N:N,"Shipped")/SUM(C135:F135)</f>
        <v>18.99</v>
      </c>
      <c r="H135">
        <f>SUMIFS(allorders!Q:Q,allorders!L:L,A135,allorders!AG:AG,"&gt;="&amp;日期!$B$12,allorders!AG:AG,"&lt;="&amp;日期!$B$5,allorders!N:N,"Shipped")</f>
        <v>18.99</v>
      </c>
      <c r="I135">
        <f t="shared" si="2"/>
        <v>1</v>
      </c>
    </row>
    <row r="136" spans="1:9">
      <c r="A136" s="7" t="s">
        <v>2354</v>
      </c>
      <c r="B136" t="str">
        <f>VLOOKUP(A136,'[1]子sku-父sku'!$A$1:$B$65536,2,0)</f>
        <v>YZ-JY2526</v>
      </c>
      <c r="C136">
        <f>SUMIFS(allorders!O:O,allorders!L:L,$A136,allorders!AG:AG,"&lt;="&amp;日期!$B$5,allorders!AG:AG,"&gt;="&amp;日期!$B$6,allorders!Q:Q,"&lt;&gt;"&amp;"",allorders!N:N,"Shipped")</f>
        <v>0</v>
      </c>
      <c r="D136">
        <f>SUMIFS(allorders!$O:$O,allorders!$L:$L,$A136,allorders!$AG:$AG,"&lt;="&amp;日期!$B$7,allorders!$AG:$AG,"&gt;="&amp;日期!$B$8,allorders!Q:Q,"&lt;&gt;"&amp;"",allorders!N:N,"Shipped")</f>
        <v>0</v>
      </c>
      <c r="E136">
        <f>SUMIFS(allorders!$O:$O,allorders!$L:$L,$A136,allorders!$AG:$AG,"&lt;="&amp;日期!$B$9,allorders!$AG:$AG,"&gt;="&amp;日期!$B$10,allorders!Q:Q,"&lt;&gt;"&amp;"",allorders!N:N,"Shipped")</f>
        <v>1</v>
      </c>
      <c r="F136">
        <f>SUMIFS(allorders!$O:$O,allorders!$L:$L,$A136,allorders!$AG:$AG,"&lt;="&amp;日期!$B$11,allorders!$AG:$AG,"&gt;="&amp;日期!$B$12,allorders!Q:Q,"&lt;&gt;"&amp;"",allorders!N:N,"Shipped")</f>
        <v>0</v>
      </c>
      <c r="G136">
        <f>SUMIFS(allorders!Q:Q,allorders!L:L,A136,allorders!AG:AG,"&lt;="&amp;日期!$B$5,allorders!AG:AG,"&gt;="&amp;日期!$B$12,allorders!N:N,"Shipped")/SUM(C136:F136)</f>
        <v>18.98</v>
      </c>
      <c r="H136">
        <f>SUMIFS(allorders!Q:Q,allorders!L:L,A136,allorders!AG:AG,"&gt;="&amp;日期!$B$12,allorders!AG:AG,"&lt;="&amp;日期!$B$5,allorders!N:N,"Shipped")</f>
        <v>18.98</v>
      </c>
      <c r="I136">
        <f t="shared" si="2"/>
        <v>1</v>
      </c>
    </row>
    <row r="137" spans="1:9">
      <c r="A137" s="7" t="s">
        <v>2391</v>
      </c>
      <c r="B137" t="str">
        <f>VLOOKUP(A137,'[1]子sku-父sku'!$A$1:$B$65536,2,0)</f>
        <v>YZ-SUZQBL03</v>
      </c>
      <c r="C137">
        <f>SUMIFS(allorders!O:O,allorders!L:L,$A137,allorders!AG:AG,"&lt;="&amp;日期!$B$5,allorders!AG:AG,"&gt;="&amp;日期!$B$6,allorders!Q:Q,"&lt;&gt;"&amp;"",allorders!N:N,"Shipped")</f>
        <v>0</v>
      </c>
      <c r="D137">
        <f>SUMIFS(allorders!$O:$O,allorders!$L:$L,$A137,allorders!$AG:$AG,"&lt;="&amp;日期!$B$7,allorders!$AG:$AG,"&gt;="&amp;日期!$B$8,allorders!Q:Q,"&lt;&gt;"&amp;"",allorders!N:N,"Shipped")</f>
        <v>0</v>
      </c>
      <c r="E137">
        <f>SUMIFS(allorders!$O:$O,allorders!$L:$L,$A137,allorders!$AG:$AG,"&lt;="&amp;日期!$B$9,allorders!$AG:$AG,"&gt;="&amp;日期!$B$10,allorders!Q:Q,"&lt;&gt;"&amp;"",allorders!N:N,"Shipped")</f>
        <v>1</v>
      </c>
      <c r="F137">
        <f>SUMIFS(allorders!$O:$O,allorders!$L:$L,$A137,allorders!$AG:$AG,"&lt;="&amp;日期!$B$11,allorders!$AG:$AG,"&gt;="&amp;日期!$B$12,allorders!Q:Q,"&lt;&gt;"&amp;"",allorders!N:N,"Shipped")</f>
        <v>0</v>
      </c>
      <c r="G137">
        <f>SUMIFS(allorders!Q:Q,allorders!L:L,A137,allorders!AG:AG,"&lt;="&amp;日期!$B$5,allorders!AG:AG,"&gt;="&amp;日期!$B$12,allorders!N:N,"Shipped")/SUM(C137:F137)</f>
        <v>19.99</v>
      </c>
      <c r="H137">
        <f>SUMIFS(allorders!Q:Q,allorders!L:L,A137,allorders!AG:AG,"&gt;="&amp;日期!$B$12,allorders!AG:AG,"&lt;="&amp;日期!$B$5,allorders!N:N,"Shipped")</f>
        <v>19.99</v>
      </c>
      <c r="I137">
        <f t="shared" si="2"/>
        <v>1</v>
      </c>
    </row>
    <row r="138" spans="1:9">
      <c r="A138" s="7" t="s">
        <v>2416</v>
      </c>
      <c r="B138" t="str">
        <f>VLOOKUP(A138,'[1]子sku-父sku'!$A$1:$B$65536,2,0)</f>
        <v>LYQ-ZQ2973</v>
      </c>
      <c r="C138">
        <f>SUMIFS(allorders!O:O,allorders!L:L,$A138,allorders!AG:AG,"&lt;="&amp;日期!$B$5,allorders!AG:AG,"&gt;="&amp;日期!$B$6,allorders!Q:Q,"&lt;&gt;"&amp;"",allorders!N:N,"Shipped")</f>
        <v>1</v>
      </c>
      <c r="D138">
        <f>SUMIFS(allorders!$O:$O,allorders!$L:$L,$A138,allorders!$AG:$AG,"&lt;="&amp;日期!$B$7,allorders!$AG:$AG,"&gt;="&amp;日期!$B$8,allorders!Q:Q,"&lt;&gt;"&amp;"",allorders!N:N,"Shipped")</f>
        <v>1</v>
      </c>
      <c r="E138">
        <f>SUMIFS(allorders!$O:$O,allorders!$L:$L,$A138,allorders!$AG:$AG,"&lt;="&amp;日期!$B$9,allorders!$AG:$AG,"&gt;="&amp;日期!$B$10,allorders!Q:Q,"&lt;&gt;"&amp;"",allorders!N:N,"Shipped")</f>
        <v>1</v>
      </c>
      <c r="F138">
        <f>SUMIFS(allorders!$O:$O,allorders!$L:$L,$A138,allorders!$AG:$AG,"&lt;="&amp;日期!$B$11,allorders!$AG:$AG,"&gt;="&amp;日期!$B$12,allorders!Q:Q,"&lt;&gt;"&amp;"",allorders!N:N,"Shipped")</f>
        <v>0</v>
      </c>
      <c r="G138">
        <f>SUMIFS(allorders!Q:Q,allorders!L:L,A138,allorders!AG:AG,"&lt;="&amp;日期!$B$5,allorders!AG:AG,"&gt;="&amp;日期!$B$12,allorders!N:N,"Shipped")/SUM(C138:F138)</f>
        <v>16.99</v>
      </c>
      <c r="H138">
        <f>SUMIFS(allorders!Q:Q,allorders!L:L,A138,allorders!AG:AG,"&gt;="&amp;日期!$B$12,allorders!AG:AG,"&lt;="&amp;日期!$B$5,allorders!N:N,"Shipped")</f>
        <v>50.97</v>
      </c>
      <c r="I138">
        <f t="shared" si="2"/>
        <v>3</v>
      </c>
    </row>
    <row r="139" spans="1:9">
      <c r="A139" s="7" t="s">
        <v>2421</v>
      </c>
      <c r="B139" t="str">
        <f>VLOOKUP(A139,'[1]子sku-父sku'!$A$1:$B$65536,2,0)</f>
        <v>LYQ-ZQ2973</v>
      </c>
      <c r="C139">
        <f>SUMIFS(allorders!O:O,allorders!L:L,$A139,allorders!AG:AG,"&lt;="&amp;日期!$B$5,allorders!AG:AG,"&gt;="&amp;日期!$B$6,allorders!Q:Q,"&lt;&gt;"&amp;"",allorders!N:N,"Shipped")</f>
        <v>0</v>
      </c>
      <c r="D139">
        <f>SUMIFS(allorders!$O:$O,allorders!$L:$L,$A139,allorders!$AG:$AG,"&lt;="&amp;日期!$B$7,allorders!$AG:$AG,"&gt;="&amp;日期!$B$8,allorders!Q:Q,"&lt;&gt;"&amp;"",allorders!N:N,"Shipped")</f>
        <v>0</v>
      </c>
      <c r="E139">
        <f>SUMIFS(allorders!$O:$O,allorders!$L:$L,$A139,allorders!$AG:$AG,"&lt;="&amp;日期!$B$9,allorders!$AG:$AG,"&gt;="&amp;日期!$B$10,allorders!Q:Q,"&lt;&gt;"&amp;"",allorders!N:N,"Shipped")</f>
        <v>1</v>
      </c>
      <c r="F139">
        <f>SUMIFS(allorders!$O:$O,allorders!$L:$L,$A139,allorders!$AG:$AG,"&lt;="&amp;日期!$B$11,allorders!$AG:$AG,"&gt;="&amp;日期!$B$12,allorders!Q:Q,"&lt;&gt;"&amp;"",allorders!N:N,"Shipped")</f>
        <v>0</v>
      </c>
      <c r="G139">
        <f>SUMIFS(allorders!Q:Q,allorders!L:L,A139,allorders!AG:AG,"&lt;="&amp;日期!$B$5,allorders!AG:AG,"&gt;="&amp;日期!$B$12,allorders!N:N,"Shipped")/SUM(C139:F139)</f>
        <v>16.99</v>
      </c>
      <c r="H139">
        <f>SUMIFS(allorders!Q:Q,allorders!L:L,A139,allorders!AG:AG,"&gt;="&amp;日期!$B$12,allorders!AG:AG,"&lt;="&amp;日期!$B$5,allorders!N:N,"Shipped")</f>
        <v>16.99</v>
      </c>
      <c r="I139">
        <f t="shared" si="2"/>
        <v>1</v>
      </c>
    </row>
    <row r="140" spans="1:9">
      <c r="A140" s="7" t="s">
        <v>2469</v>
      </c>
      <c r="B140" t="str">
        <f>VLOOKUP(A140,'[1]子sku-父sku'!$A$1:$B$65536,2,0)</f>
        <v>YZ-HM111</v>
      </c>
      <c r="C140">
        <f>SUMIFS(allorders!O:O,allorders!L:L,$A140,allorders!AG:AG,"&lt;="&amp;日期!$B$5,allorders!AG:AG,"&gt;="&amp;日期!$B$6,allorders!Q:Q,"&lt;&gt;"&amp;"",allorders!N:N,"Shipped")</f>
        <v>0</v>
      </c>
      <c r="D140">
        <f>SUMIFS(allorders!$O:$O,allorders!$L:$L,$A140,allorders!$AG:$AG,"&lt;="&amp;日期!$B$7,allorders!$AG:$AG,"&gt;="&amp;日期!$B$8,allorders!Q:Q,"&lt;&gt;"&amp;"",allorders!N:N,"Shipped")</f>
        <v>0</v>
      </c>
      <c r="E140">
        <f>SUMIFS(allorders!$O:$O,allorders!$L:$L,$A140,allorders!$AG:$AG,"&lt;="&amp;日期!$B$9,allorders!$AG:$AG,"&gt;="&amp;日期!$B$10,allorders!Q:Q,"&lt;&gt;"&amp;"",allorders!N:N,"Shipped")</f>
        <v>1</v>
      </c>
      <c r="F140">
        <f>SUMIFS(allorders!$O:$O,allorders!$L:$L,$A140,allorders!$AG:$AG,"&lt;="&amp;日期!$B$11,allorders!$AG:$AG,"&gt;="&amp;日期!$B$12,allorders!Q:Q,"&lt;&gt;"&amp;"",allorders!N:N,"Shipped")</f>
        <v>0</v>
      </c>
      <c r="G140">
        <f>SUMIFS(allorders!Q:Q,allorders!L:L,A140,allorders!AG:AG,"&lt;="&amp;日期!$B$5,allorders!AG:AG,"&gt;="&amp;日期!$B$12,allorders!N:N,"Shipped")/SUM(C140:F140)</f>
        <v>18.98</v>
      </c>
      <c r="H140">
        <f>SUMIFS(allorders!Q:Q,allorders!L:L,A140,allorders!AG:AG,"&gt;="&amp;日期!$B$12,allorders!AG:AG,"&lt;="&amp;日期!$B$5,allorders!N:N,"Shipped")</f>
        <v>18.98</v>
      </c>
      <c r="I140">
        <f t="shared" si="2"/>
        <v>1</v>
      </c>
    </row>
    <row r="141" spans="1:9">
      <c r="A141" s="7" t="s">
        <v>2499</v>
      </c>
      <c r="B141" t="str">
        <f>VLOOKUP(A141,'[1]子sku-父sku'!$A$1:$B$65536,2,0)</f>
        <v>LYQ-ZQ2973</v>
      </c>
      <c r="C141">
        <f>SUMIFS(allorders!O:O,allorders!L:L,$A141,allorders!AG:AG,"&lt;="&amp;日期!$B$5,allorders!AG:AG,"&gt;="&amp;日期!$B$6,allorders!Q:Q,"&lt;&gt;"&amp;"",allorders!N:N,"Shipped")</f>
        <v>0</v>
      </c>
      <c r="D141">
        <f>SUMIFS(allorders!$O:$O,allorders!$L:$L,$A141,allorders!$AG:$AG,"&lt;="&amp;日期!$B$7,allorders!$AG:$AG,"&gt;="&amp;日期!$B$8,allorders!Q:Q,"&lt;&gt;"&amp;"",allorders!N:N,"Shipped")</f>
        <v>0</v>
      </c>
      <c r="E141">
        <f>SUMIFS(allorders!$O:$O,allorders!$L:$L,$A141,allorders!$AG:$AG,"&lt;="&amp;日期!$B$9,allorders!$AG:$AG,"&gt;="&amp;日期!$B$10,allorders!Q:Q,"&lt;&gt;"&amp;"",allorders!N:N,"Shipped")</f>
        <v>1</v>
      </c>
      <c r="F141">
        <f>SUMIFS(allorders!$O:$O,allorders!$L:$L,$A141,allorders!$AG:$AG,"&lt;="&amp;日期!$B$11,allorders!$AG:$AG,"&gt;="&amp;日期!$B$12,allorders!Q:Q,"&lt;&gt;"&amp;"",allorders!N:N,"Shipped")</f>
        <v>0</v>
      </c>
      <c r="G141">
        <f>SUMIFS(allorders!Q:Q,allorders!L:L,A141,allorders!AG:AG,"&lt;="&amp;日期!$B$5,allorders!AG:AG,"&gt;="&amp;日期!$B$12,allorders!N:N,"Shipped")/SUM(C141:F141)</f>
        <v>18.99</v>
      </c>
      <c r="H141">
        <f>SUMIFS(allorders!Q:Q,allorders!L:L,A141,allorders!AG:AG,"&gt;="&amp;日期!$B$12,allorders!AG:AG,"&lt;="&amp;日期!$B$5,allorders!N:N,"Shipped")</f>
        <v>18.99</v>
      </c>
      <c r="I141">
        <f t="shared" si="2"/>
        <v>1</v>
      </c>
    </row>
    <row r="142" spans="1:9">
      <c r="A142" s="7" t="s">
        <v>2519</v>
      </c>
      <c r="B142" t="str">
        <f>VLOOKUP(A142,'[1]子sku-父sku'!$A$1:$B$65536,2,0)</f>
        <v>LYQ-HM1205</v>
      </c>
      <c r="C142">
        <f>SUMIFS(allorders!O:O,allorders!L:L,$A142,allorders!AG:AG,"&lt;="&amp;日期!$B$5,allorders!AG:AG,"&gt;="&amp;日期!$B$6,allorders!Q:Q,"&lt;&gt;"&amp;"",allorders!N:N,"Shipped")</f>
        <v>0</v>
      </c>
      <c r="D142">
        <f>SUMIFS(allorders!$O:$O,allorders!$L:$L,$A142,allorders!$AG:$AG,"&lt;="&amp;日期!$B$7,allorders!$AG:$AG,"&gt;="&amp;日期!$B$8,allorders!Q:Q,"&lt;&gt;"&amp;"",allorders!N:N,"Shipped")</f>
        <v>0</v>
      </c>
      <c r="E142">
        <f>SUMIFS(allorders!$O:$O,allorders!$L:$L,$A142,allorders!$AG:$AG,"&lt;="&amp;日期!$B$9,allorders!$AG:$AG,"&gt;="&amp;日期!$B$10,allorders!Q:Q,"&lt;&gt;"&amp;"",allorders!N:N,"Shipped")</f>
        <v>1</v>
      </c>
      <c r="F142">
        <f>SUMIFS(allorders!$O:$O,allorders!$L:$L,$A142,allorders!$AG:$AG,"&lt;="&amp;日期!$B$11,allorders!$AG:$AG,"&gt;="&amp;日期!$B$12,allorders!Q:Q,"&lt;&gt;"&amp;"",allorders!N:N,"Shipped")</f>
        <v>0</v>
      </c>
      <c r="G142">
        <f>SUMIFS(allorders!Q:Q,allorders!L:L,A142,allorders!AG:AG,"&lt;="&amp;日期!$B$5,allorders!AG:AG,"&gt;="&amp;日期!$B$12,allorders!N:N,"Shipped")/SUM(C142:F142)</f>
        <v>25.99</v>
      </c>
      <c r="H142">
        <f>SUMIFS(allorders!Q:Q,allorders!L:L,A142,allorders!AG:AG,"&gt;="&amp;日期!$B$12,allorders!AG:AG,"&lt;="&amp;日期!$B$5,allorders!N:N,"Shipped")</f>
        <v>25.99</v>
      </c>
      <c r="I142">
        <f t="shared" si="2"/>
        <v>1</v>
      </c>
    </row>
    <row r="143" spans="1:9">
      <c r="A143" s="7" t="s">
        <v>2536</v>
      </c>
      <c r="B143" t="str">
        <f>VLOOKUP(A143,'[1]子sku-父sku'!$A$1:$B$65536,2,0)</f>
        <v>LYQ-ZQ1117</v>
      </c>
      <c r="C143">
        <f>SUMIFS(allorders!O:O,allorders!L:L,$A143,allorders!AG:AG,"&lt;="&amp;日期!$B$5,allorders!AG:AG,"&gt;="&amp;日期!$B$6,allorders!Q:Q,"&lt;&gt;"&amp;"",allorders!N:N,"Shipped")</f>
        <v>0</v>
      </c>
      <c r="D143">
        <f>SUMIFS(allorders!$O:$O,allorders!$L:$L,$A143,allorders!$AG:$AG,"&lt;="&amp;日期!$B$7,allorders!$AG:$AG,"&gt;="&amp;日期!$B$8,allorders!Q:Q,"&lt;&gt;"&amp;"",allorders!N:N,"Shipped")</f>
        <v>0</v>
      </c>
      <c r="E143">
        <f>SUMIFS(allorders!$O:$O,allorders!$L:$L,$A143,allorders!$AG:$AG,"&lt;="&amp;日期!$B$9,allorders!$AG:$AG,"&gt;="&amp;日期!$B$10,allorders!Q:Q,"&lt;&gt;"&amp;"",allorders!N:N,"Shipped")</f>
        <v>1</v>
      </c>
      <c r="F143">
        <f>SUMIFS(allorders!$O:$O,allorders!$L:$L,$A143,allorders!$AG:$AG,"&lt;="&amp;日期!$B$11,allorders!$AG:$AG,"&gt;="&amp;日期!$B$12,allorders!Q:Q,"&lt;&gt;"&amp;"",allorders!N:N,"Shipped")</f>
        <v>0</v>
      </c>
      <c r="G143">
        <f>SUMIFS(allorders!Q:Q,allorders!L:L,A143,allorders!AG:AG,"&lt;="&amp;日期!$B$5,allorders!AG:AG,"&gt;="&amp;日期!$B$12,allorders!N:N,"Shipped")/SUM(C143:F143)</f>
        <v>17.99</v>
      </c>
      <c r="H143">
        <f>SUMIFS(allorders!Q:Q,allorders!L:L,A143,allorders!AG:AG,"&gt;="&amp;日期!$B$12,allorders!AG:AG,"&lt;="&amp;日期!$B$5,allorders!N:N,"Shipped")</f>
        <v>17.99</v>
      </c>
      <c r="I143">
        <f t="shared" si="2"/>
        <v>1</v>
      </c>
    </row>
    <row r="144" spans="1:9">
      <c r="A144" s="7" t="s">
        <v>2569</v>
      </c>
      <c r="B144" t="str">
        <f>VLOOKUP(A144,'[1]子sku-父sku'!$A$1:$B$65536,2,0)</f>
        <v>YZ-ZQ1521</v>
      </c>
      <c r="C144">
        <f>SUMIFS(allorders!O:O,allorders!L:L,$A144,allorders!AG:AG,"&lt;="&amp;日期!$B$5,allorders!AG:AG,"&gt;="&amp;日期!$B$6,allorders!Q:Q,"&lt;&gt;"&amp;"",allorders!N:N,"Shipped")</f>
        <v>0</v>
      </c>
      <c r="D144">
        <f>SUMIFS(allorders!$O:$O,allorders!$L:$L,$A144,allorders!$AG:$AG,"&lt;="&amp;日期!$B$7,allorders!$AG:$AG,"&gt;="&amp;日期!$B$8,allorders!Q:Q,"&lt;&gt;"&amp;"",allorders!N:N,"Shipped")</f>
        <v>0</v>
      </c>
      <c r="E144">
        <f>SUMIFS(allorders!$O:$O,allorders!$L:$L,$A144,allorders!$AG:$AG,"&lt;="&amp;日期!$B$9,allorders!$AG:$AG,"&gt;="&amp;日期!$B$10,allorders!Q:Q,"&lt;&gt;"&amp;"",allorders!N:N,"Shipped")</f>
        <v>1</v>
      </c>
      <c r="F144">
        <f>SUMIFS(allorders!$O:$O,allorders!$L:$L,$A144,allorders!$AG:$AG,"&lt;="&amp;日期!$B$11,allorders!$AG:$AG,"&gt;="&amp;日期!$B$12,allorders!Q:Q,"&lt;&gt;"&amp;"",allorders!N:N,"Shipped")</f>
        <v>0</v>
      </c>
      <c r="G144">
        <f>SUMIFS(allorders!Q:Q,allorders!L:L,A144,allorders!AG:AG,"&lt;="&amp;日期!$B$5,allorders!AG:AG,"&gt;="&amp;日期!$B$12,allorders!N:N,"Shipped")/SUM(C144:F144)</f>
        <v>19.38</v>
      </c>
      <c r="H144">
        <f>SUMIFS(allorders!Q:Q,allorders!L:L,A144,allorders!AG:AG,"&gt;="&amp;日期!$B$12,allorders!AG:AG,"&lt;="&amp;日期!$B$5,allorders!N:N,"Shipped")</f>
        <v>19.38</v>
      </c>
      <c r="I144">
        <f t="shared" si="2"/>
        <v>1</v>
      </c>
    </row>
    <row r="145" spans="1:9">
      <c r="A145" s="7" t="s">
        <v>2575</v>
      </c>
      <c r="B145" t="str">
        <f>VLOOKUP(A145,'[1]子sku-父sku'!$A$1:$B$65536,2,0)</f>
        <v>YZ-ZQ17958</v>
      </c>
      <c r="C145">
        <f>SUMIFS(allorders!O:O,allorders!L:L,$A145,allorders!AG:AG,"&lt;="&amp;日期!$B$5,allorders!AG:AG,"&gt;="&amp;日期!$B$6,allorders!Q:Q,"&lt;&gt;"&amp;"",allorders!N:N,"Shipped")</f>
        <v>0</v>
      </c>
      <c r="D145">
        <f>SUMIFS(allorders!$O:$O,allorders!$L:$L,$A145,allorders!$AG:$AG,"&lt;="&amp;日期!$B$7,allorders!$AG:$AG,"&gt;="&amp;日期!$B$8,allorders!Q:Q,"&lt;&gt;"&amp;"",allorders!N:N,"Shipped")</f>
        <v>0</v>
      </c>
      <c r="E145">
        <f>SUMIFS(allorders!$O:$O,allorders!$L:$L,$A145,allorders!$AG:$AG,"&lt;="&amp;日期!$B$9,allorders!$AG:$AG,"&gt;="&amp;日期!$B$10,allorders!Q:Q,"&lt;&gt;"&amp;"",allorders!N:N,"Shipped")</f>
        <v>1</v>
      </c>
      <c r="F145">
        <f>SUMIFS(allorders!$O:$O,allorders!$L:$L,$A145,allorders!$AG:$AG,"&lt;="&amp;日期!$B$11,allorders!$AG:$AG,"&gt;="&amp;日期!$B$12,allorders!Q:Q,"&lt;&gt;"&amp;"",allorders!N:N,"Shipped")</f>
        <v>0</v>
      </c>
      <c r="G145">
        <f>SUMIFS(allorders!Q:Q,allorders!L:L,A145,allorders!AG:AG,"&lt;="&amp;日期!$B$5,allorders!AG:AG,"&gt;="&amp;日期!$B$12,allorders!N:N,"Shipped")/SUM(C145:F145)</f>
        <v>16.99</v>
      </c>
      <c r="H145">
        <f>SUMIFS(allorders!Q:Q,allorders!L:L,A145,allorders!AG:AG,"&gt;="&amp;日期!$B$12,allorders!AG:AG,"&lt;="&amp;日期!$B$5,allorders!N:N,"Shipped")</f>
        <v>16.99</v>
      </c>
      <c r="I145">
        <f t="shared" si="2"/>
        <v>1</v>
      </c>
    </row>
    <row r="146" spans="1:9">
      <c r="A146" s="7" t="s">
        <v>2586</v>
      </c>
      <c r="B146" t="str">
        <f>VLOOKUP(A146,'[1]子sku-父sku'!$A$1:$B$65536,2,0)</f>
        <v>YZ-ZQBL03</v>
      </c>
      <c r="C146">
        <f>SUMIFS(allorders!O:O,allorders!L:L,$A146,allorders!AG:AG,"&lt;="&amp;日期!$B$5,allorders!AG:AG,"&gt;="&amp;日期!$B$6,allorders!Q:Q,"&lt;&gt;"&amp;"",allorders!N:N,"Shipped")</f>
        <v>0</v>
      </c>
      <c r="D146">
        <f>SUMIFS(allorders!$O:$O,allorders!$L:$L,$A146,allorders!$AG:$AG,"&lt;="&amp;日期!$B$7,allorders!$AG:$AG,"&gt;="&amp;日期!$B$8,allorders!Q:Q,"&lt;&gt;"&amp;"",allorders!N:N,"Shipped")</f>
        <v>1</v>
      </c>
      <c r="E146">
        <f>SUMIFS(allorders!$O:$O,allorders!$L:$L,$A146,allorders!$AG:$AG,"&lt;="&amp;日期!$B$9,allorders!$AG:$AG,"&gt;="&amp;日期!$B$10,allorders!Q:Q,"&lt;&gt;"&amp;"",allorders!N:N,"Shipped")</f>
        <v>1</v>
      </c>
      <c r="F146">
        <f>SUMIFS(allorders!$O:$O,allorders!$L:$L,$A146,allorders!$AG:$AG,"&lt;="&amp;日期!$B$11,allorders!$AG:$AG,"&gt;="&amp;日期!$B$12,allorders!Q:Q,"&lt;&gt;"&amp;"",allorders!N:N,"Shipped")</f>
        <v>0</v>
      </c>
      <c r="G146">
        <f>SUMIFS(allorders!Q:Q,allorders!L:L,A146,allorders!AG:AG,"&lt;="&amp;日期!$B$5,allorders!AG:AG,"&gt;="&amp;日期!$B$12,allorders!N:N,"Shipped")/SUM(C146:F146)</f>
        <v>19.99</v>
      </c>
      <c r="H146">
        <f>SUMIFS(allorders!Q:Q,allorders!L:L,A146,allorders!AG:AG,"&gt;="&amp;日期!$B$12,allorders!AG:AG,"&lt;="&amp;日期!$B$5,allorders!N:N,"Shipped")</f>
        <v>39.98</v>
      </c>
      <c r="I146">
        <f t="shared" si="2"/>
        <v>2</v>
      </c>
    </row>
    <row r="147" spans="1:9">
      <c r="A147" s="7" t="s">
        <v>2601</v>
      </c>
      <c r="B147" t="str">
        <f>VLOOKUP(A147,'[1]子sku-父sku'!$A$1:$B$65536,2,0)</f>
        <v>YZ-ZQ1521</v>
      </c>
      <c r="C147">
        <f>SUMIFS(allorders!O:O,allorders!L:L,$A147,allorders!AG:AG,"&lt;="&amp;日期!$B$5,allorders!AG:AG,"&gt;="&amp;日期!$B$6,allorders!Q:Q,"&lt;&gt;"&amp;"",allorders!N:N,"Shipped")</f>
        <v>0</v>
      </c>
      <c r="D147">
        <f>SUMIFS(allorders!$O:$O,allorders!$L:$L,$A147,allorders!$AG:$AG,"&lt;="&amp;日期!$B$7,allorders!$AG:$AG,"&gt;="&amp;日期!$B$8,allorders!Q:Q,"&lt;&gt;"&amp;"",allorders!N:N,"Shipped")</f>
        <v>0</v>
      </c>
      <c r="E147">
        <f>SUMIFS(allorders!$O:$O,allorders!$L:$L,$A147,allorders!$AG:$AG,"&lt;="&amp;日期!$B$9,allorders!$AG:$AG,"&gt;="&amp;日期!$B$10,allorders!Q:Q,"&lt;&gt;"&amp;"",allorders!N:N,"Shipped")</f>
        <v>1</v>
      </c>
      <c r="F147">
        <f>SUMIFS(allorders!$O:$O,allorders!$L:$L,$A147,allorders!$AG:$AG,"&lt;="&amp;日期!$B$11,allorders!$AG:$AG,"&gt;="&amp;日期!$B$12,allorders!Q:Q,"&lt;&gt;"&amp;"",allorders!N:N,"Shipped")</f>
        <v>0</v>
      </c>
      <c r="G147">
        <f>SUMIFS(allorders!Q:Q,allorders!L:L,A147,allorders!AG:AG,"&lt;="&amp;日期!$B$5,allorders!AG:AG,"&gt;="&amp;日期!$B$12,allorders!N:N,"Shipped")/SUM(C147:F147)</f>
        <v>19.38</v>
      </c>
      <c r="H147">
        <f>SUMIFS(allorders!Q:Q,allorders!L:L,A147,allorders!AG:AG,"&gt;="&amp;日期!$B$12,allorders!AG:AG,"&lt;="&amp;日期!$B$5,allorders!N:N,"Shipped")</f>
        <v>19.38</v>
      </c>
      <c r="I147">
        <f t="shared" si="2"/>
        <v>1</v>
      </c>
    </row>
    <row r="148" spans="1:9">
      <c r="A148" s="7" t="s">
        <v>2612</v>
      </c>
      <c r="B148" t="str">
        <f>VLOOKUP(A148,'[1]子sku-父sku'!$A$1:$B$65536,2,0)</f>
        <v>LYQ-ZQD390</v>
      </c>
      <c r="C148">
        <f>SUMIFS(allorders!O:O,allorders!L:L,$A148,allorders!AG:AG,"&lt;="&amp;日期!$B$5,allorders!AG:AG,"&gt;="&amp;日期!$B$6,allorders!Q:Q,"&lt;&gt;"&amp;"",allorders!N:N,"Shipped")</f>
        <v>0</v>
      </c>
      <c r="D148">
        <f>SUMIFS(allorders!$O:$O,allorders!$L:$L,$A148,allorders!$AG:$AG,"&lt;="&amp;日期!$B$7,allorders!$AG:$AG,"&gt;="&amp;日期!$B$8,allorders!Q:Q,"&lt;&gt;"&amp;"",allorders!N:N,"Shipped")</f>
        <v>0</v>
      </c>
      <c r="E148">
        <f>SUMIFS(allorders!$O:$O,allorders!$L:$L,$A148,allorders!$AG:$AG,"&lt;="&amp;日期!$B$9,allorders!$AG:$AG,"&gt;="&amp;日期!$B$10,allorders!Q:Q,"&lt;&gt;"&amp;"",allorders!N:N,"Shipped")</f>
        <v>1</v>
      </c>
      <c r="F148">
        <f>SUMIFS(allorders!$O:$O,allorders!$L:$L,$A148,allorders!$AG:$AG,"&lt;="&amp;日期!$B$11,allorders!$AG:$AG,"&gt;="&amp;日期!$B$12,allorders!Q:Q,"&lt;&gt;"&amp;"",allorders!N:N,"Shipped")</f>
        <v>0</v>
      </c>
      <c r="G148">
        <f>SUMIFS(allorders!Q:Q,allorders!L:L,A148,allorders!AG:AG,"&lt;="&amp;日期!$B$5,allorders!AG:AG,"&gt;="&amp;日期!$B$12,allorders!N:N,"Shipped")/SUM(C148:F148)</f>
        <v>16.99</v>
      </c>
      <c r="H148">
        <f>SUMIFS(allorders!Q:Q,allorders!L:L,A148,allorders!AG:AG,"&gt;="&amp;日期!$B$12,allorders!AG:AG,"&lt;="&amp;日期!$B$5,allorders!N:N,"Shipped")</f>
        <v>16.99</v>
      </c>
      <c r="I148">
        <f t="shared" si="2"/>
        <v>1</v>
      </c>
    </row>
    <row r="149" spans="1:9">
      <c r="A149" s="7" t="s">
        <v>2617</v>
      </c>
      <c r="B149" t="str">
        <f>VLOOKUP(A149,'[1]子sku-父sku'!$A$1:$B$65536,2,0)</f>
        <v>YZ-ZQ1617</v>
      </c>
      <c r="C149">
        <f>SUMIFS(allorders!O:O,allorders!L:L,$A149,allorders!AG:AG,"&lt;="&amp;日期!$B$5,allorders!AG:AG,"&gt;="&amp;日期!$B$6,allorders!Q:Q,"&lt;&gt;"&amp;"",allorders!N:N,"Shipped")</f>
        <v>0</v>
      </c>
      <c r="D149">
        <f>SUMIFS(allorders!$O:$O,allorders!$L:$L,$A149,allorders!$AG:$AG,"&lt;="&amp;日期!$B$7,allorders!$AG:$AG,"&gt;="&amp;日期!$B$8,allorders!Q:Q,"&lt;&gt;"&amp;"",allorders!N:N,"Shipped")</f>
        <v>0</v>
      </c>
      <c r="E149">
        <f>SUMIFS(allorders!$O:$O,allorders!$L:$L,$A149,allorders!$AG:$AG,"&lt;="&amp;日期!$B$9,allorders!$AG:$AG,"&gt;="&amp;日期!$B$10,allorders!Q:Q,"&lt;&gt;"&amp;"",allorders!N:N,"Shipped")</f>
        <v>1</v>
      </c>
      <c r="F149">
        <f>SUMIFS(allorders!$O:$O,allorders!$L:$L,$A149,allorders!$AG:$AG,"&lt;="&amp;日期!$B$11,allorders!$AG:$AG,"&gt;="&amp;日期!$B$12,allorders!Q:Q,"&lt;&gt;"&amp;"",allorders!N:N,"Shipped")</f>
        <v>0</v>
      </c>
      <c r="G149">
        <f>SUMIFS(allorders!Q:Q,allorders!L:L,A149,allorders!AG:AG,"&lt;="&amp;日期!$B$5,allorders!AG:AG,"&gt;="&amp;日期!$B$12,allorders!N:N,"Shipped")/SUM(C149:F149)</f>
        <v>17.99</v>
      </c>
      <c r="H149">
        <f>SUMIFS(allorders!Q:Q,allorders!L:L,A149,allorders!AG:AG,"&gt;="&amp;日期!$B$12,allorders!AG:AG,"&lt;="&amp;日期!$B$5,allorders!N:N,"Shipped")</f>
        <v>17.99</v>
      </c>
      <c r="I149">
        <f t="shared" si="2"/>
        <v>1</v>
      </c>
    </row>
    <row r="150" spans="1:9">
      <c r="A150" s="7" t="s">
        <v>2636</v>
      </c>
      <c r="B150" t="str">
        <f>VLOOKUP(A150,'[1]子sku-父sku'!$A$1:$B$65536,2,0)</f>
        <v>YZ-ZQBL03</v>
      </c>
      <c r="C150">
        <f>SUMIFS(allorders!O:O,allorders!L:L,$A150,allorders!AG:AG,"&lt;="&amp;日期!$B$5,allorders!AG:AG,"&gt;="&amp;日期!$B$6,allorders!Q:Q,"&lt;&gt;"&amp;"",allorders!N:N,"Shipped")</f>
        <v>0</v>
      </c>
      <c r="D150">
        <f>SUMIFS(allorders!$O:$O,allorders!$L:$L,$A150,allorders!$AG:$AG,"&lt;="&amp;日期!$B$7,allorders!$AG:$AG,"&gt;="&amp;日期!$B$8,allorders!Q:Q,"&lt;&gt;"&amp;"",allorders!N:N,"Shipped")</f>
        <v>0</v>
      </c>
      <c r="E150">
        <f>SUMIFS(allorders!$O:$O,allorders!$L:$L,$A150,allorders!$AG:$AG,"&lt;="&amp;日期!$B$9,allorders!$AG:$AG,"&gt;="&amp;日期!$B$10,allorders!Q:Q,"&lt;&gt;"&amp;"",allorders!N:N,"Shipped")</f>
        <v>2</v>
      </c>
      <c r="F150">
        <f>SUMIFS(allorders!$O:$O,allorders!$L:$L,$A150,allorders!$AG:$AG,"&lt;="&amp;日期!$B$11,allorders!$AG:$AG,"&gt;="&amp;日期!$B$12,allorders!Q:Q,"&lt;&gt;"&amp;"",allorders!N:N,"Shipped")</f>
        <v>0</v>
      </c>
      <c r="G150">
        <f>SUMIFS(allorders!Q:Q,allorders!L:L,A150,allorders!AG:AG,"&lt;="&amp;日期!$B$5,allorders!AG:AG,"&gt;="&amp;日期!$B$12,allorders!N:N,"Shipped")/SUM(C150:F150)</f>
        <v>19.99</v>
      </c>
      <c r="H150">
        <f>SUMIFS(allorders!Q:Q,allorders!L:L,A150,allorders!AG:AG,"&gt;="&amp;日期!$B$12,allorders!AG:AG,"&lt;="&amp;日期!$B$5,allorders!N:N,"Shipped")</f>
        <v>39.98</v>
      </c>
      <c r="I150">
        <f t="shared" si="2"/>
        <v>2</v>
      </c>
    </row>
    <row r="151" spans="1:9">
      <c r="A151" s="7" t="s">
        <v>2654</v>
      </c>
      <c r="B151" t="str">
        <f>VLOOKUP(A151,'[1]子sku-父sku'!$A$1:$B$65536,2,0)</f>
        <v>LYQ-ZQ1669</v>
      </c>
      <c r="C151">
        <f>SUMIFS(allorders!O:O,allorders!L:L,$A151,allorders!AG:AG,"&lt;="&amp;日期!$B$5,allorders!AG:AG,"&gt;="&amp;日期!$B$6,allorders!Q:Q,"&lt;&gt;"&amp;"",allorders!N:N,"Shipped")</f>
        <v>0</v>
      </c>
      <c r="D151">
        <f>SUMIFS(allorders!$O:$O,allorders!$L:$L,$A151,allorders!$AG:$AG,"&lt;="&amp;日期!$B$7,allorders!$AG:$AG,"&gt;="&amp;日期!$B$8,allorders!Q:Q,"&lt;&gt;"&amp;"",allorders!N:N,"Shipped")</f>
        <v>2</v>
      </c>
      <c r="E151">
        <f>SUMIFS(allorders!$O:$O,allorders!$L:$L,$A151,allorders!$AG:$AG,"&lt;="&amp;日期!$B$9,allorders!$AG:$AG,"&gt;="&amp;日期!$B$10,allorders!Q:Q,"&lt;&gt;"&amp;"",allorders!N:N,"Shipped")</f>
        <v>1</v>
      </c>
      <c r="F151">
        <f>SUMIFS(allorders!$O:$O,allorders!$L:$L,$A151,allorders!$AG:$AG,"&lt;="&amp;日期!$B$11,allorders!$AG:$AG,"&gt;="&amp;日期!$B$12,allorders!Q:Q,"&lt;&gt;"&amp;"",allorders!N:N,"Shipped")</f>
        <v>0</v>
      </c>
      <c r="G151">
        <f>SUMIFS(allorders!Q:Q,allorders!L:L,A151,allorders!AG:AG,"&lt;="&amp;日期!$B$5,allorders!AG:AG,"&gt;="&amp;日期!$B$12,allorders!N:N,"Shipped")/SUM(C151:F151)</f>
        <v>17.99</v>
      </c>
      <c r="H151">
        <f>SUMIFS(allorders!Q:Q,allorders!L:L,A151,allorders!AG:AG,"&gt;="&amp;日期!$B$12,allorders!AG:AG,"&lt;="&amp;日期!$B$5,allorders!N:N,"Shipped")</f>
        <v>53.97</v>
      </c>
      <c r="I151">
        <f t="shared" si="2"/>
        <v>3</v>
      </c>
    </row>
    <row r="152" spans="1:9">
      <c r="A152" s="7" t="s">
        <v>2685</v>
      </c>
      <c r="B152" t="str">
        <f>VLOOKUP(A152,'[1]子sku-父sku'!$A$1:$B$65536,2,0)</f>
        <v>LYQ-ZQ1117</v>
      </c>
      <c r="C152">
        <f>SUMIFS(allorders!O:O,allorders!L:L,$A152,allorders!AG:AG,"&lt;="&amp;日期!$B$5,allorders!AG:AG,"&gt;="&amp;日期!$B$6,allorders!Q:Q,"&lt;&gt;"&amp;"",allorders!N:N,"Shipped")</f>
        <v>0</v>
      </c>
      <c r="D152">
        <f>SUMIFS(allorders!$O:$O,allorders!$L:$L,$A152,allorders!$AG:$AG,"&lt;="&amp;日期!$B$7,allorders!$AG:$AG,"&gt;="&amp;日期!$B$8,allorders!Q:Q,"&lt;&gt;"&amp;"",allorders!N:N,"Shipped")</f>
        <v>1</v>
      </c>
      <c r="E152">
        <f>SUMIFS(allorders!$O:$O,allorders!$L:$L,$A152,allorders!$AG:$AG,"&lt;="&amp;日期!$B$9,allorders!$AG:$AG,"&gt;="&amp;日期!$B$10,allorders!Q:Q,"&lt;&gt;"&amp;"",allorders!N:N,"Shipped")</f>
        <v>0</v>
      </c>
      <c r="F152">
        <f>SUMIFS(allorders!$O:$O,allorders!$L:$L,$A152,allorders!$AG:$AG,"&lt;="&amp;日期!$B$11,allorders!$AG:$AG,"&gt;="&amp;日期!$B$12,allorders!Q:Q,"&lt;&gt;"&amp;"",allorders!N:N,"Shipped")</f>
        <v>0</v>
      </c>
      <c r="G152">
        <f>SUMIFS(allorders!Q:Q,allorders!L:L,A152,allorders!AG:AG,"&lt;="&amp;日期!$B$5,allorders!AG:AG,"&gt;="&amp;日期!$B$12,allorders!N:N,"Shipped")/SUM(C152:F152)</f>
        <v>17.99</v>
      </c>
      <c r="H152">
        <f>SUMIFS(allorders!Q:Q,allorders!L:L,A152,allorders!AG:AG,"&gt;="&amp;日期!$B$12,allorders!AG:AG,"&lt;="&amp;日期!$B$5,allorders!N:N,"Shipped")</f>
        <v>17.99</v>
      </c>
      <c r="I152">
        <f t="shared" si="2"/>
        <v>1</v>
      </c>
    </row>
    <row r="153" spans="1:9">
      <c r="A153" s="7" t="s">
        <v>2718</v>
      </c>
      <c r="B153" t="str">
        <f>VLOOKUP(A153,'[1]子sku-父sku'!$A$1:$B$65536,2,0)</f>
        <v>LYQ-ZQ2973</v>
      </c>
      <c r="C153">
        <f>SUMIFS(allorders!O:O,allorders!L:L,$A153,allorders!AG:AG,"&lt;="&amp;日期!$B$5,allorders!AG:AG,"&gt;="&amp;日期!$B$6,allorders!Q:Q,"&lt;&gt;"&amp;"",allorders!N:N,"Shipped")</f>
        <v>1</v>
      </c>
      <c r="D153">
        <f>SUMIFS(allorders!$O:$O,allorders!$L:$L,$A153,allorders!$AG:$AG,"&lt;="&amp;日期!$B$7,allorders!$AG:$AG,"&gt;="&amp;日期!$B$8,allorders!Q:Q,"&lt;&gt;"&amp;"",allorders!N:N,"Shipped")</f>
        <v>1</v>
      </c>
      <c r="E153">
        <f>SUMIFS(allorders!$O:$O,allorders!$L:$L,$A153,allorders!$AG:$AG,"&lt;="&amp;日期!$B$9,allorders!$AG:$AG,"&gt;="&amp;日期!$B$10,allorders!Q:Q,"&lt;&gt;"&amp;"",allorders!N:N,"Shipped")</f>
        <v>0</v>
      </c>
      <c r="F153">
        <f>SUMIFS(allorders!$O:$O,allorders!$L:$L,$A153,allorders!$AG:$AG,"&lt;="&amp;日期!$B$11,allorders!$AG:$AG,"&gt;="&amp;日期!$B$12,allorders!Q:Q,"&lt;&gt;"&amp;"",allorders!N:N,"Shipped")</f>
        <v>0</v>
      </c>
      <c r="G153">
        <f>SUMIFS(allorders!Q:Q,allorders!L:L,A153,allorders!AG:AG,"&lt;="&amp;日期!$B$5,allorders!AG:AG,"&gt;="&amp;日期!$B$12,allorders!N:N,"Shipped")/SUM(C153:F153)</f>
        <v>16.99</v>
      </c>
      <c r="H153">
        <f>SUMIFS(allorders!Q:Q,allorders!L:L,A153,allorders!AG:AG,"&gt;="&amp;日期!$B$12,allorders!AG:AG,"&lt;="&amp;日期!$B$5,allorders!N:N,"Shipped")</f>
        <v>33.98</v>
      </c>
      <c r="I153">
        <f t="shared" si="2"/>
        <v>2</v>
      </c>
    </row>
    <row r="154" spans="1:9">
      <c r="A154" s="7" t="s">
        <v>2723</v>
      </c>
      <c r="B154" t="str">
        <f>VLOOKUP(A154,'[1]子sku-父sku'!$A$1:$B$65536,2,0)</f>
        <v>LYQ-ZQ2973</v>
      </c>
      <c r="C154">
        <f>SUMIFS(allorders!O:O,allorders!L:L,$A154,allorders!AG:AG,"&lt;="&amp;日期!$B$5,allorders!AG:AG,"&gt;="&amp;日期!$B$6,allorders!Q:Q,"&lt;&gt;"&amp;"",allorders!N:N,"Shipped")</f>
        <v>0</v>
      </c>
      <c r="D154">
        <f>SUMIFS(allorders!$O:$O,allorders!$L:$L,$A154,allorders!$AG:$AG,"&lt;="&amp;日期!$B$7,allorders!$AG:$AG,"&gt;="&amp;日期!$B$8,allorders!Q:Q,"&lt;&gt;"&amp;"",allorders!N:N,"Shipped")</f>
        <v>1</v>
      </c>
      <c r="E154">
        <f>SUMIFS(allorders!$O:$O,allorders!$L:$L,$A154,allorders!$AG:$AG,"&lt;="&amp;日期!$B$9,allorders!$AG:$AG,"&gt;="&amp;日期!$B$10,allorders!Q:Q,"&lt;&gt;"&amp;"",allorders!N:N,"Shipped")</f>
        <v>0</v>
      </c>
      <c r="F154">
        <f>SUMIFS(allorders!$O:$O,allorders!$L:$L,$A154,allorders!$AG:$AG,"&lt;="&amp;日期!$B$11,allorders!$AG:$AG,"&gt;="&amp;日期!$B$12,allorders!Q:Q,"&lt;&gt;"&amp;"",allorders!N:N,"Shipped")</f>
        <v>0</v>
      </c>
      <c r="G154">
        <f>SUMIFS(allorders!Q:Q,allorders!L:L,A154,allorders!AG:AG,"&lt;="&amp;日期!$B$5,allorders!AG:AG,"&gt;="&amp;日期!$B$12,allorders!N:N,"Shipped")/SUM(C154:F154)</f>
        <v>16.99</v>
      </c>
      <c r="H154">
        <f>SUMIFS(allorders!Q:Q,allorders!L:L,A154,allorders!AG:AG,"&gt;="&amp;日期!$B$12,allorders!AG:AG,"&lt;="&amp;日期!$B$5,allorders!N:N,"Shipped")</f>
        <v>16.99</v>
      </c>
      <c r="I154">
        <f t="shared" si="2"/>
        <v>1</v>
      </c>
    </row>
    <row r="155" spans="1:9">
      <c r="A155" s="7" t="s">
        <v>2739</v>
      </c>
      <c r="B155" t="str">
        <f>VLOOKUP(A155,'[1]子sku-父sku'!$A$1:$B$65536,2,0)</f>
        <v>LYQ-ZQ2973</v>
      </c>
      <c r="C155">
        <f>SUMIFS(allorders!O:O,allorders!L:L,$A155,allorders!AG:AG,"&lt;="&amp;日期!$B$5,allorders!AG:AG,"&gt;="&amp;日期!$B$6,allorders!Q:Q,"&lt;&gt;"&amp;"",allorders!N:N,"Shipped")</f>
        <v>0</v>
      </c>
      <c r="D155">
        <f>SUMIFS(allorders!$O:$O,allorders!$L:$L,$A155,allorders!$AG:$AG,"&lt;="&amp;日期!$B$7,allorders!$AG:$AG,"&gt;="&amp;日期!$B$8,allorders!Q:Q,"&lt;&gt;"&amp;"",allorders!N:N,"Shipped")</f>
        <v>1</v>
      </c>
      <c r="E155">
        <f>SUMIFS(allorders!$O:$O,allorders!$L:$L,$A155,allorders!$AG:$AG,"&lt;="&amp;日期!$B$9,allorders!$AG:$AG,"&gt;="&amp;日期!$B$10,allorders!Q:Q,"&lt;&gt;"&amp;"",allorders!N:N,"Shipped")</f>
        <v>0</v>
      </c>
      <c r="F155">
        <f>SUMIFS(allorders!$O:$O,allorders!$L:$L,$A155,allorders!$AG:$AG,"&lt;="&amp;日期!$B$11,allorders!$AG:$AG,"&gt;="&amp;日期!$B$12,allorders!Q:Q,"&lt;&gt;"&amp;"",allorders!N:N,"Shipped")</f>
        <v>0</v>
      </c>
      <c r="G155">
        <f>SUMIFS(allorders!Q:Q,allorders!L:L,A155,allorders!AG:AG,"&lt;="&amp;日期!$B$5,allorders!AG:AG,"&gt;="&amp;日期!$B$12,allorders!N:N,"Shipped")/SUM(C155:F155)</f>
        <v>17.99</v>
      </c>
      <c r="H155">
        <f>SUMIFS(allorders!Q:Q,allorders!L:L,A155,allorders!AG:AG,"&gt;="&amp;日期!$B$12,allorders!AG:AG,"&lt;="&amp;日期!$B$5,allorders!N:N,"Shipped")</f>
        <v>17.99</v>
      </c>
      <c r="I155">
        <f t="shared" si="2"/>
        <v>1</v>
      </c>
    </row>
    <row r="156" spans="1:9">
      <c r="A156" s="7" t="s">
        <v>2789</v>
      </c>
      <c r="B156" t="str">
        <f>VLOOKUP(A156,'[1]子sku-父sku'!$A$1:$B$65536,2,0)</f>
        <v>LYQ-ZQTN2611</v>
      </c>
      <c r="C156">
        <f>SUMIFS(allorders!O:O,allorders!L:L,$A156,allorders!AG:AG,"&lt;="&amp;日期!$B$5,allorders!AG:AG,"&gt;="&amp;日期!$B$6,allorders!Q:Q,"&lt;&gt;"&amp;"",allorders!N:N,"Shipped")</f>
        <v>0</v>
      </c>
      <c r="D156">
        <f>SUMIFS(allorders!$O:$O,allorders!$L:$L,$A156,allorders!$AG:$AG,"&lt;="&amp;日期!$B$7,allorders!$AG:$AG,"&gt;="&amp;日期!$B$8,allorders!Q:Q,"&lt;&gt;"&amp;"",allorders!N:N,"Shipped")</f>
        <v>0</v>
      </c>
      <c r="E156">
        <f>SUMIFS(allorders!$O:$O,allorders!$L:$L,$A156,allorders!$AG:$AG,"&lt;="&amp;日期!$B$9,allorders!$AG:$AG,"&gt;="&amp;日期!$B$10,allorders!Q:Q,"&lt;&gt;"&amp;"",allorders!N:N,"Shipped")</f>
        <v>0</v>
      </c>
      <c r="F156">
        <f>SUMIFS(allorders!$O:$O,allorders!$L:$L,$A156,allorders!$AG:$AG,"&lt;="&amp;日期!$B$11,allorders!$AG:$AG,"&gt;="&amp;日期!$B$12,allorders!Q:Q,"&lt;&gt;"&amp;"",allorders!N:N,"Shipped")</f>
        <v>0</v>
      </c>
      <c r="G156" t="e">
        <f>SUMIFS(allorders!Q:Q,allorders!L:L,A156,allorders!AG:AG,"&lt;="&amp;日期!$B$5,allorders!AG:AG,"&gt;="&amp;日期!$B$12,allorders!N:N,"Shipped")/SUM(C156:F156)</f>
        <v>#DIV/0!</v>
      </c>
      <c r="H156">
        <f>SUMIFS(allorders!Q:Q,allorders!L:L,A156,allorders!AG:AG,"&gt;="&amp;日期!$B$12,allorders!AG:AG,"&lt;="&amp;日期!$B$5,allorders!N:N,"Shipped")</f>
        <v>0</v>
      </c>
      <c r="I156">
        <f t="shared" si="2"/>
        <v>0</v>
      </c>
    </row>
    <row r="157" spans="1:9">
      <c r="A157" s="7" t="s">
        <v>2796</v>
      </c>
      <c r="B157" t="str">
        <f>VLOOKUP(A157,'[1]子sku-父sku'!$A$1:$B$65536,2,0)</f>
        <v>LYQ-ZQTN2611</v>
      </c>
      <c r="C157">
        <f>SUMIFS(allorders!O:O,allorders!L:L,$A157,allorders!AG:AG,"&lt;="&amp;日期!$B$5,allorders!AG:AG,"&gt;="&amp;日期!$B$6,allorders!Q:Q,"&lt;&gt;"&amp;"",allorders!N:N,"Shipped")</f>
        <v>0</v>
      </c>
      <c r="D157">
        <f>SUMIFS(allorders!$O:$O,allorders!$L:$L,$A157,allorders!$AG:$AG,"&lt;="&amp;日期!$B$7,allorders!$AG:$AG,"&gt;="&amp;日期!$B$8,allorders!Q:Q,"&lt;&gt;"&amp;"",allorders!N:N,"Shipped")</f>
        <v>0</v>
      </c>
      <c r="E157">
        <f>SUMIFS(allorders!$O:$O,allorders!$L:$L,$A157,allorders!$AG:$AG,"&lt;="&amp;日期!$B$9,allorders!$AG:$AG,"&gt;="&amp;日期!$B$10,allorders!Q:Q,"&lt;&gt;"&amp;"",allorders!N:N,"Shipped")</f>
        <v>0</v>
      </c>
      <c r="F157">
        <f>SUMIFS(allorders!$O:$O,allorders!$L:$L,$A157,allorders!$AG:$AG,"&lt;="&amp;日期!$B$11,allorders!$AG:$AG,"&gt;="&amp;日期!$B$12,allorders!Q:Q,"&lt;&gt;"&amp;"",allorders!N:N,"Shipped")</f>
        <v>0</v>
      </c>
      <c r="G157" t="e">
        <f>SUMIFS(allorders!Q:Q,allorders!L:L,A157,allorders!AG:AG,"&lt;="&amp;日期!$B$5,allorders!AG:AG,"&gt;="&amp;日期!$B$12,allorders!N:N,"Shipped")/SUM(C157:F157)</f>
        <v>#DIV/0!</v>
      </c>
      <c r="H157">
        <f>SUMIFS(allorders!Q:Q,allorders!L:L,A157,allorders!AG:AG,"&gt;="&amp;日期!$B$12,allorders!AG:AG,"&lt;="&amp;日期!$B$5,allorders!N:N,"Shipped")</f>
        <v>0</v>
      </c>
      <c r="I157">
        <f t="shared" si="2"/>
        <v>0</v>
      </c>
    </row>
    <row r="158" spans="1:9">
      <c r="A158" s="7" t="s">
        <v>2803</v>
      </c>
      <c r="B158" t="str">
        <f>VLOOKUP(A158,'[1]子sku-父sku'!$A$1:$B$65536,2,0)</f>
        <v>LYQ-ZQTN2611</v>
      </c>
      <c r="C158">
        <f>SUMIFS(allorders!O:O,allorders!L:L,$A158,allorders!AG:AG,"&lt;="&amp;日期!$B$5,allorders!AG:AG,"&gt;="&amp;日期!$B$6,allorders!Q:Q,"&lt;&gt;"&amp;"",allorders!N:N,"Shipped")</f>
        <v>0</v>
      </c>
      <c r="D158">
        <f>SUMIFS(allorders!$O:$O,allorders!$L:$L,$A158,allorders!$AG:$AG,"&lt;="&amp;日期!$B$7,allorders!$AG:$AG,"&gt;="&amp;日期!$B$8,allorders!Q:Q,"&lt;&gt;"&amp;"",allorders!N:N,"Shipped")</f>
        <v>0</v>
      </c>
      <c r="E158">
        <f>SUMIFS(allorders!$O:$O,allorders!$L:$L,$A158,allorders!$AG:$AG,"&lt;="&amp;日期!$B$9,allorders!$AG:$AG,"&gt;="&amp;日期!$B$10,allorders!Q:Q,"&lt;&gt;"&amp;"",allorders!N:N,"Shipped")</f>
        <v>0</v>
      </c>
      <c r="F158">
        <f>SUMIFS(allorders!$O:$O,allorders!$L:$L,$A158,allorders!$AG:$AG,"&lt;="&amp;日期!$B$11,allorders!$AG:$AG,"&gt;="&amp;日期!$B$12,allorders!Q:Q,"&lt;&gt;"&amp;"",allorders!N:N,"Shipped")</f>
        <v>0</v>
      </c>
      <c r="G158" t="e">
        <f>SUMIFS(allorders!Q:Q,allorders!L:L,A158,allorders!AG:AG,"&lt;="&amp;日期!$B$5,allorders!AG:AG,"&gt;="&amp;日期!$B$12,allorders!N:N,"Shipped")/SUM(C158:F158)</f>
        <v>#DIV/0!</v>
      </c>
      <c r="H158">
        <f>SUMIFS(allorders!Q:Q,allorders!L:L,A158,allorders!AG:AG,"&gt;="&amp;日期!$B$12,allorders!AG:AG,"&lt;="&amp;日期!$B$5,allorders!N:N,"Shipped")</f>
        <v>0</v>
      </c>
      <c r="I158">
        <f t="shared" si="2"/>
        <v>0</v>
      </c>
    </row>
    <row r="159" spans="1:9">
      <c r="A159" s="7" t="s">
        <v>2809</v>
      </c>
      <c r="B159" t="str">
        <f>VLOOKUP(A159,'[1]子sku-父sku'!$A$1:$B$65536,2,0)</f>
        <v>LYQ-ZQTN2611</v>
      </c>
      <c r="C159">
        <f>SUMIFS(allorders!O:O,allorders!L:L,$A159,allorders!AG:AG,"&lt;="&amp;日期!$B$5,allorders!AG:AG,"&gt;="&amp;日期!$B$6,allorders!Q:Q,"&lt;&gt;"&amp;"",allorders!N:N,"Shipped")</f>
        <v>0</v>
      </c>
      <c r="D159">
        <f>SUMIFS(allorders!$O:$O,allorders!$L:$L,$A159,allorders!$AG:$AG,"&lt;="&amp;日期!$B$7,allorders!$AG:$AG,"&gt;="&amp;日期!$B$8,allorders!Q:Q,"&lt;&gt;"&amp;"",allorders!N:N,"Shipped")</f>
        <v>0</v>
      </c>
      <c r="E159">
        <f>SUMIFS(allorders!$O:$O,allorders!$L:$L,$A159,allorders!$AG:$AG,"&lt;="&amp;日期!$B$9,allorders!$AG:$AG,"&gt;="&amp;日期!$B$10,allorders!Q:Q,"&lt;&gt;"&amp;"",allorders!N:N,"Shipped")</f>
        <v>0</v>
      </c>
      <c r="F159">
        <f>SUMIFS(allorders!$O:$O,allorders!$L:$L,$A159,allorders!$AG:$AG,"&lt;="&amp;日期!$B$11,allorders!$AG:$AG,"&gt;="&amp;日期!$B$12,allorders!Q:Q,"&lt;&gt;"&amp;"",allorders!N:N,"Shipped")</f>
        <v>0</v>
      </c>
      <c r="G159" t="e">
        <f>SUMIFS(allorders!Q:Q,allorders!L:L,A159,allorders!AG:AG,"&lt;="&amp;日期!$B$5,allorders!AG:AG,"&gt;="&amp;日期!$B$12,allorders!N:N,"Shipped")/SUM(C159:F159)</f>
        <v>#DIV/0!</v>
      </c>
      <c r="H159">
        <f>SUMIFS(allorders!Q:Q,allorders!L:L,A159,allorders!AG:AG,"&gt;="&amp;日期!$B$12,allorders!AG:AG,"&lt;="&amp;日期!$B$5,allorders!N:N,"Shipped")</f>
        <v>0</v>
      </c>
      <c r="I159">
        <f t="shared" si="2"/>
        <v>0</v>
      </c>
    </row>
    <row r="160" spans="1:9">
      <c r="A160" s="7" t="s">
        <v>2815</v>
      </c>
      <c r="B160" t="str">
        <f>VLOOKUP(A160,'[1]子sku-父sku'!$A$1:$B$65536,2,0)</f>
        <v>LYQ-ZQTN2611</v>
      </c>
      <c r="C160">
        <f>SUMIFS(allorders!O:O,allorders!L:L,$A160,allorders!AG:AG,"&lt;="&amp;日期!$B$5,allorders!AG:AG,"&gt;="&amp;日期!$B$6,allorders!Q:Q,"&lt;&gt;"&amp;"",allorders!N:N,"Shipped")</f>
        <v>0</v>
      </c>
      <c r="D160">
        <f>SUMIFS(allorders!$O:$O,allorders!$L:$L,$A160,allorders!$AG:$AG,"&lt;="&amp;日期!$B$7,allorders!$AG:$AG,"&gt;="&amp;日期!$B$8,allorders!Q:Q,"&lt;&gt;"&amp;"",allorders!N:N,"Shipped")</f>
        <v>0</v>
      </c>
      <c r="E160">
        <f>SUMIFS(allorders!$O:$O,allorders!$L:$L,$A160,allorders!$AG:$AG,"&lt;="&amp;日期!$B$9,allorders!$AG:$AG,"&gt;="&amp;日期!$B$10,allorders!Q:Q,"&lt;&gt;"&amp;"",allorders!N:N,"Shipped")</f>
        <v>0</v>
      </c>
      <c r="F160">
        <f>SUMIFS(allorders!$O:$O,allorders!$L:$L,$A160,allorders!$AG:$AG,"&lt;="&amp;日期!$B$11,allorders!$AG:$AG,"&gt;="&amp;日期!$B$12,allorders!Q:Q,"&lt;&gt;"&amp;"",allorders!N:N,"Shipped")</f>
        <v>0</v>
      </c>
      <c r="G160" t="e">
        <f>SUMIFS(allorders!Q:Q,allorders!L:L,A160,allorders!AG:AG,"&lt;="&amp;日期!$B$5,allorders!AG:AG,"&gt;="&amp;日期!$B$12,allorders!N:N,"Shipped")/SUM(C160:F160)</f>
        <v>#DIV/0!</v>
      </c>
      <c r="H160">
        <f>SUMIFS(allorders!Q:Q,allorders!L:L,A160,allorders!AG:AG,"&gt;="&amp;日期!$B$12,allorders!AG:AG,"&lt;="&amp;日期!$B$5,allorders!N:N,"Shipped")</f>
        <v>0</v>
      </c>
      <c r="I160">
        <f t="shared" si="2"/>
        <v>0</v>
      </c>
    </row>
    <row r="161" spans="1:9">
      <c r="A161" s="7" t="s">
        <v>2822</v>
      </c>
      <c r="B161" t="str">
        <f>VLOOKUP(A161,'[1]子sku-父sku'!$A$1:$B$65536,2,0)</f>
        <v>LYQ-1001</v>
      </c>
      <c r="C161">
        <f>SUMIFS(allorders!O:O,allorders!L:L,$A161,allorders!AG:AG,"&lt;="&amp;日期!$B$5,allorders!AG:AG,"&gt;="&amp;日期!$B$6,allorders!Q:Q,"&lt;&gt;"&amp;"",allorders!N:N,"Shipped")</f>
        <v>0</v>
      </c>
      <c r="D161">
        <f>SUMIFS(allorders!$O:$O,allorders!$L:$L,$A161,allorders!$AG:$AG,"&lt;="&amp;日期!$B$7,allorders!$AG:$AG,"&gt;="&amp;日期!$B$8,allorders!Q:Q,"&lt;&gt;"&amp;"",allorders!N:N,"Shipped")</f>
        <v>0</v>
      </c>
      <c r="E161">
        <f>SUMIFS(allorders!$O:$O,allorders!$L:$L,$A161,allorders!$AG:$AG,"&lt;="&amp;日期!$B$9,allorders!$AG:$AG,"&gt;="&amp;日期!$B$10,allorders!Q:Q,"&lt;&gt;"&amp;"",allorders!N:N,"Shipped")</f>
        <v>0</v>
      </c>
      <c r="F161">
        <f>SUMIFS(allorders!$O:$O,allorders!$L:$L,$A161,allorders!$AG:$AG,"&lt;="&amp;日期!$B$11,allorders!$AG:$AG,"&gt;="&amp;日期!$B$12,allorders!Q:Q,"&lt;&gt;"&amp;"",allorders!N:N,"Shipped")</f>
        <v>0</v>
      </c>
      <c r="G161" t="e">
        <f>SUMIFS(allorders!Q:Q,allorders!L:L,A161,allorders!AG:AG,"&lt;="&amp;日期!$B$5,allorders!AG:AG,"&gt;="&amp;日期!$B$12,allorders!N:N,"Shipped")/SUM(C161:F161)</f>
        <v>#DIV/0!</v>
      </c>
      <c r="H161">
        <f>SUMIFS(allorders!Q:Q,allorders!L:L,A161,allorders!AG:AG,"&gt;="&amp;日期!$B$12,allorders!AG:AG,"&lt;="&amp;日期!$B$5,allorders!N:N,"Shipped")</f>
        <v>0</v>
      </c>
      <c r="I161">
        <f t="shared" si="2"/>
        <v>0</v>
      </c>
    </row>
    <row r="162" spans="1:9">
      <c r="A162" s="7" t="s">
        <v>2829</v>
      </c>
      <c r="B162" t="str">
        <f>VLOOKUP(A162,'[1]子sku-父sku'!$A$1:$B$65536,2,0)</f>
        <v>LYQ-1001</v>
      </c>
      <c r="C162">
        <f>SUMIFS(allorders!O:O,allorders!L:L,$A162,allorders!AG:AG,"&lt;="&amp;日期!$B$5,allorders!AG:AG,"&gt;="&amp;日期!$B$6,allorders!Q:Q,"&lt;&gt;"&amp;"",allorders!N:N,"Shipped")</f>
        <v>0</v>
      </c>
      <c r="D162">
        <f>SUMIFS(allorders!$O:$O,allorders!$L:$L,$A162,allorders!$AG:$AG,"&lt;="&amp;日期!$B$7,allorders!$AG:$AG,"&gt;="&amp;日期!$B$8,allorders!Q:Q,"&lt;&gt;"&amp;"",allorders!N:N,"Shipped")</f>
        <v>0</v>
      </c>
      <c r="E162">
        <f>SUMIFS(allorders!$O:$O,allorders!$L:$L,$A162,allorders!$AG:$AG,"&lt;="&amp;日期!$B$9,allorders!$AG:$AG,"&gt;="&amp;日期!$B$10,allorders!Q:Q,"&lt;&gt;"&amp;"",allorders!N:N,"Shipped")</f>
        <v>0</v>
      </c>
      <c r="F162">
        <f>SUMIFS(allorders!$O:$O,allorders!$L:$L,$A162,allorders!$AG:$AG,"&lt;="&amp;日期!$B$11,allorders!$AG:$AG,"&gt;="&amp;日期!$B$12,allorders!Q:Q,"&lt;&gt;"&amp;"",allorders!N:N,"Shipped")</f>
        <v>0</v>
      </c>
      <c r="G162" t="e">
        <f>SUMIFS(allorders!Q:Q,allorders!L:L,A162,allorders!AG:AG,"&lt;="&amp;日期!$B$5,allorders!AG:AG,"&gt;="&amp;日期!$B$12,allorders!N:N,"Shipped")/SUM(C162:F162)</f>
        <v>#DIV/0!</v>
      </c>
      <c r="H162">
        <f>SUMIFS(allorders!Q:Q,allorders!L:L,A162,allorders!AG:AG,"&gt;="&amp;日期!$B$12,allorders!AG:AG,"&lt;="&amp;日期!$B$5,allorders!N:N,"Shipped")</f>
        <v>0</v>
      </c>
      <c r="I162">
        <f t="shared" si="2"/>
        <v>0</v>
      </c>
    </row>
    <row r="163" spans="1:9">
      <c r="A163" s="7" t="s">
        <v>2836</v>
      </c>
      <c r="B163" t="str">
        <f>VLOOKUP(A163,'[1]子sku-父sku'!$A$1:$B$65536,2,0)</f>
        <v>LYQ-1001</v>
      </c>
      <c r="C163">
        <f>SUMIFS(allorders!O:O,allorders!L:L,$A163,allorders!AG:AG,"&lt;="&amp;日期!$B$5,allorders!AG:AG,"&gt;="&amp;日期!$B$6,allorders!Q:Q,"&lt;&gt;"&amp;"",allorders!N:N,"Shipped")</f>
        <v>0</v>
      </c>
      <c r="D163">
        <f>SUMIFS(allorders!$O:$O,allorders!$L:$L,$A163,allorders!$AG:$AG,"&lt;="&amp;日期!$B$7,allorders!$AG:$AG,"&gt;="&amp;日期!$B$8,allorders!Q:Q,"&lt;&gt;"&amp;"",allorders!N:N,"Shipped")</f>
        <v>0</v>
      </c>
      <c r="E163">
        <f>SUMIFS(allorders!$O:$O,allorders!$L:$L,$A163,allorders!$AG:$AG,"&lt;="&amp;日期!$B$9,allorders!$AG:$AG,"&gt;="&amp;日期!$B$10,allorders!Q:Q,"&lt;&gt;"&amp;"",allorders!N:N,"Shipped")</f>
        <v>0</v>
      </c>
      <c r="F163">
        <f>SUMIFS(allorders!$O:$O,allorders!$L:$L,$A163,allorders!$AG:$AG,"&lt;="&amp;日期!$B$11,allorders!$AG:$AG,"&gt;="&amp;日期!$B$12,allorders!Q:Q,"&lt;&gt;"&amp;"",allorders!N:N,"Shipped")</f>
        <v>0</v>
      </c>
      <c r="G163" t="e">
        <f>SUMIFS(allorders!Q:Q,allorders!L:L,A163,allorders!AG:AG,"&lt;="&amp;日期!$B$5,allorders!AG:AG,"&gt;="&amp;日期!$B$12,allorders!N:N,"Shipped")/SUM(C163:F163)</f>
        <v>#DIV/0!</v>
      </c>
      <c r="H163">
        <f>SUMIFS(allorders!Q:Q,allorders!L:L,A163,allorders!AG:AG,"&gt;="&amp;日期!$B$12,allorders!AG:AG,"&lt;="&amp;日期!$B$5,allorders!N:N,"Shipped")</f>
        <v>0</v>
      </c>
      <c r="I163">
        <f t="shared" si="2"/>
        <v>0</v>
      </c>
    </row>
    <row r="164" spans="1:9">
      <c r="A164" s="7" t="s">
        <v>2843</v>
      </c>
      <c r="B164" t="str">
        <f>VLOOKUP(A164,'[1]子sku-父sku'!$A$1:$B$65536,2,0)</f>
        <v>LYQ-1001</v>
      </c>
      <c r="C164">
        <f>SUMIFS(allorders!O:O,allorders!L:L,$A164,allorders!AG:AG,"&lt;="&amp;日期!$B$5,allorders!AG:AG,"&gt;="&amp;日期!$B$6,allorders!Q:Q,"&lt;&gt;"&amp;"",allorders!N:N,"Shipped")</f>
        <v>0</v>
      </c>
      <c r="D164">
        <f>SUMIFS(allorders!$O:$O,allorders!$L:$L,$A164,allorders!$AG:$AG,"&lt;="&amp;日期!$B$7,allorders!$AG:$AG,"&gt;="&amp;日期!$B$8,allorders!Q:Q,"&lt;&gt;"&amp;"",allorders!N:N,"Shipped")</f>
        <v>0</v>
      </c>
      <c r="E164">
        <f>SUMIFS(allorders!$O:$O,allorders!$L:$L,$A164,allorders!$AG:$AG,"&lt;="&amp;日期!$B$9,allorders!$AG:$AG,"&gt;="&amp;日期!$B$10,allorders!Q:Q,"&lt;&gt;"&amp;"",allorders!N:N,"Shipped")</f>
        <v>0</v>
      </c>
      <c r="F164">
        <f>SUMIFS(allorders!$O:$O,allorders!$L:$L,$A164,allorders!$AG:$AG,"&lt;="&amp;日期!$B$11,allorders!$AG:$AG,"&gt;="&amp;日期!$B$12,allorders!Q:Q,"&lt;&gt;"&amp;"",allorders!N:N,"Shipped")</f>
        <v>0</v>
      </c>
      <c r="G164" t="e">
        <f>SUMIFS(allorders!Q:Q,allorders!L:L,A164,allorders!AG:AG,"&lt;="&amp;日期!$B$5,allorders!AG:AG,"&gt;="&amp;日期!$B$12,allorders!N:N,"Shipped")/SUM(C164:F164)</f>
        <v>#DIV/0!</v>
      </c>
      <c r="H164">
        <f>SUMIFS(allorders!Q:Q,allorders!L:L,A164,allorders!AG:AG,"&gt;="&amp;日期!$B$12,allorders!AG:AG,"&lt;="&amp;日期!$B$5,allorders!N:N,"Shipped")</f>
        <v>0</v>
      </c>
      <c r="I164">
        <f t="shared" si="2"/>
        <v>0</v>
      </c>
    </row>
    <row r="165" spans="1:9">
      <c r="A165" s="7" t="s">
        <v>2850</v>
      </c>
      <c r="B165" t="str">
        <f>VLOOKUP(A165,'[1]子sku-父sku'!$A$1:$B$65536,2,0)</f>
        <v>LYQ-1001</v>
      </c>
      <c r="C165">
        <f>SUMIFS(allorders!O:O,allorders!L:L,$A165,allorders!AG:AG,"&lt;="&amp;日期!$B$5,allorders!AG:AG,"&gt;="&amp;日期!$B$6,allorders!Q:Q,"&lt;&gt;"&amp;"",allorders!N:N,"Shipped")</f>
        <v>0</v>
      </c>
      <c r="D165">
        <f>SUMIFS(allorders!$O:$O,allorders!$L:$L,$A165,allorders!$AG:$AG,"&lt;="&amp;日期!$B$7,allorders!$AG:$AG,"&gt;="&amp;日期!$B$8,allorders!Q:Q,"&lt;&gt;"&amp;"",allorders!N:N,"Shipped")</f>
        <v>0</v>
      </c>
      <c r="E165">
        <f>SUMIFS(allorders!$O:$O,allorders!$L:$L,$A165,allorders!$AG:$AG,"&lt;="&amp;日期!$B$9,allorders!$AG:$AG,"&gt;="&amp;日期!$B$10,allorders!Q:Q,"&lt;&gt;"&amp;"",allorders!N:N,"Shipped")</f>
        <v>0</v>
      </c>
      <c r="F165">
        <f>SUMIFS(allorders!$O:$O,allorders!$L:$L,$A165,allorders!$AG:$AG,"&lt;="&amp;日期!$B$11,allorders!$AG:$AG,"&gt;="&amp;日期!$B$12,allorders!Q:Q,"&lt;&gt;"&amp;"",allorders!N:N,"Shipped")</f>
        <v>0</v>
      </c>
      <c r="G165" t="e">
        <f>SUMIFS(allorders!Q:Q,allorders!L:L,A165,allorders!AG:AG,"&lt;="&amp;日期!$B$5,allorders!AG:AG,"&gt;="&amp;日期!$B$12,allorders!N:N,"Shipped")/SUM(C165:F165)</f>
        <v>#DIV/0!</v>
      </c>
      <c r="H165">
        <f>SUMIFS(allorders!Q:Q,allorders!L:L,A165,allorders!AG:AG,"&gt;="&amp;日期!$B$12,allorders!AG:AG,"&lt;="&amp;日期!$B$5,allorders!N:N,"Shipped")</f>
        <v>0</v>
      </c>
      <c r="I165">
        <f t="shared" si="2"/>
        <v>0</v>
      </c>
    </row>
    <row r="166" spans="1:9">
      <c r="A166" s="7" t="s">
        <v>2857</v>
      </c>
      <c r="B166" t="str">
        <f>VLOOKUP(A166,'[1]子sku-父sku'!$A$1:$B$65536,2,0)</f>
        <v>LYQ-1001</v>
      </c>
      <c r="C166">
        <f>SUMIFS(allorders!O:O,allorders!L:L,$A166,allorders!AG:AG,"&lt;="&amp;日期!$B$5,allorders!AG:AG,"&gt;="&amp;日期!$B$6,allorders!Q:Q,"&lt;&gt;"&amp;"",allorders!N:N,"Shipped")</f>
        <v>0</v>
      </c>
      <c r="D166">
        <f>SUMIFS(allorders!$O:$O,allorders!$L:$L,$A166,allorders!$AG:$AG,"&lt;="&amp;日期!$B$7,allorders!$AG:$AG,"&gt;="&amp;日期!$B$8,allorders!Q:Q,"&lt;&gt;"&amp;"",allorders!N:N,"Shipped")</f>
        <v>0</v>
      </c>
      <c r="E166">
        <f>SUMIFS(allorders!$O:$O,allorders!$L:$L,$A166,allorders!$AG:$AG,"&lt;="&amp;日期!$B$9,allorders!$AG:$AG,"&gt;="&amp;日期!$B$10,allorders!Q:Q,"&lt;&gt;"&amp;"",allorders!N:N,"Shipped")</f>
        <v>0</v>
      </c>
      <c r="F166">
        <f>SUMIFS(allorders!$O:$O,allorders!$L:$L,$A166,allorders!$AG:$AG,"&lt;="&amp;日期!$B$11,allorders!$AG:$AG,"&gt;="&amp;日期!$B$12,allorders!Q:Q,"&lt;&gt;"&amp;"",allorders!N:N,"Shipped")</f>
        <v>0</v>
      </c>
      <c r="G166" t="e">
        <f>SUMIFS(allorders!Q:Q,allorders!L:L,A166,allorders!AG:AG,"&lt;="&amp;日期!$B$5,allorders!AG:AG,"&gt;="&amp;日期!$B$12,allorders!N:N,"Shipped")/SUM(C166:F166)</f>
        <v>#DIV/0!</v>
      </c>
      <c r="H166">
        <f>SUMIFS(allorders!Q:Q,allorders!L:L,A166,allorders!AG:AG,"&gt;="&amp;日期!$B$12,allorders!AG:AG,"&lt;="&amp;日期!$B$5,allorders!N:N,"Shipped")</f>
        <v>0</v>
      </c>
      <c r="I166">
        <f t="shared" si="2"/>
        <v>0</v>
      </c>
    </row>
    <row r="167" spans="1:9">
      <c r="A167" s="7" t="s">
        <v>2864</v>
      </c>
      <c r="B167" t="str">
        <f>VLOOKUP(A167,'[1]子sku-父sku'!$A$1:$B$65536,2,0)</f>
        <v>LYQ-1001</v>
      </c>
      <c r="C167">
        <f>SUMIFS(allorders!O:O,allorders!L:L,$A167,allorders!AG:AG,"&lt;="&amp;日期!$B$5,allorders!AG:AG,"&gt;="&amp;日期!$B$6,allorders!Q:Q,"&lt;&gt;"&amp;"",allorders!N:N,"Shipped")</f>
        <v>0</v>
      </c>
      <c r="D167">
        <f>SUMIFS(allorders!$O:$O,allorders!$L:$L,$A167,allorders!$AG:$AG,"&lt;="&amp;日期!$B$7,allorders!$AG:$AG,"&gt;="&amp;日期!$B$8,allorders!Q:Q,"&lt;&gt;"&amp;"",allorders!N:N,"Shipped")</f>
        <v>0</v>
      </c>
      <c r="E167">
        <f>SUMIFS(allorders!$O:$O,allorders!$L:$L,$A167,allorders!$AG:$AG,"&lt;="&amp;日期!$B$9,allorders!$AG:$AG,"&gt;="&amp;日期!$B$10,allorders!Q:Q,"&lt;&gt;"&amp;"",allorders!N:N,"Shipped")</f>
        <v>0</v>
      </c>
      <c r="F167">
        <f>SUMIFS(allorders!$O:$O,allorders!$L:$L,$A167,allorders!$AG:$AG,"&lt;="&amp;日期!$B$11,allorders!$AG:$AG,"&gt;="&amp;日期!$B$12,allorders!Q:Q,"&lt;&gt;"&amp;"",allorders!N:N,"Shipped")</f>
        <v>0</v>
      </c>
      <c r="G167" t="e">
        <f>SUMIFS(allorders!Q:Q,allorders!L:L,A167,allorders!AG:AG,"&lt;="&amp;日期!$B$5,allorders!AG:AG,"&gt;="&amp;日期!$B$12,allorders!N:N,"Shipped")/SUM(C167:F167)</f>
        <v>#DIV/0!</v>
      </c>
      <c r="H167">
        <f>SUMIFS(allorders!Q:Q,allorders!L:L,A167,allorders!AG:AG,"&gt;="&amp;日期!$B$12,allorders!AG:AG,"&lt;="&amp;日期!$B$5,allorders!N:N,"Shipped")</f>
        <v>0</v>
      </c>
      <c r="I167">
        <f t="shared" si="2"/>
        <v>0</v>
      </c>
    </row>
    <row r="168" spans="1:9">
      <c r="A168" s="7" t="s">
        <v>2871</v>
      </c>
      <c r="B168" t="str">
        <f>VLOOKUP(A168,'[1]子sku-父sku'!$A$1:$B$65536,2,0)</f>
        <v>LYQ-1001</v>
      </c>
      <c r="C168">
        <f>SUMIFS(allorders!O:O,allorders!L:L,$A168,allorders!AG:AG,"&lt;="&amp;日期!$B$5,allorders!AG:AG,"&gt;="&amp;日期!$B$6,allorders!Q:Q,"&lt;&gt;"&amp;"",allorders!N:N,"Shipped")</f>
        <v>0</v>
      </c>
      <c r="D168">
        <f>SUMIFS(allorders!$O:$O,allorders!$L:$L,$A168,allorders!$AG:$AG,"&lt;="&amp;日期!$B$7,allorders!$AG:$AG,"&gt;="&amp;日期!$B$8,allorders!Q:Q,"&lt;&gt;"&amp;"",allorders!N:N,"Shipped")</f>
        <v>0</v>
      </c>
      <c r="E168">
        <f>SUMIFS(allorders!$O:$O,allorders!$L:$L,$A168,allorders!$AG:$AG,"&lt;="&amp;日期!$B$9,allorders!$AG:$AG,"&gt;="&amp;日期!$B$10,allorders!Q:Q,"&lt;&gt;"&amp;"",allorders!N:N,"Shipped")</f>
        <v>0</v>
      </c>
      <c r="F168">
        <f>SUMIFS(allorders!$O:$O,allorders!$L:$L,$A168,allorders!$AG:$AG,"&lt;="&amp;日期!$B$11,allorders!$AG:$AG,"&gt;="&amp;日期!$B$12,allorders!Q:Q,"&lt;&gt;"&amp;"",allorders!N:N,"Shipped")</f>
        <v>0</v>
      </c>
      <c r="G168" t="e">
        <f>SUMIFS(allorders!Q:Q,allorders!L:L,A168,allorders!AG:AG,"&lt;="&amp;日期!$B$5,allorders!AG:AG,"&gt;="&amp;日期!$B$12,allorders!N:N,"Shipped")/SUM(C168:F168)</f>
        <v>#DIV/0!</v>
      </c>
      <c r="H168">
        <f>SUMIFS(allorders!Q:Q,allorders!L:L,A168,allorders!AG:AG,"&gt;="&amp;日期!$B$12,allorders!AG:AG,"&lt;="&amp;日期!$B$5,allorders!N:N,"Shipped")</f>
        <v>0</v>
      </c>
      <c r="I168">
        <f t="shared" si="2"/>
        <v>0</v>
      </c>
    </row>
    <row r="169" spans="1:9">
      <c r="A169" s="7" t="s">
        <v>2878</v>
      </c>
      <c r="B169" t="str">
        <f>VLOOKUP(A169,'[1]子sku-父sku'!$A$1:$B$65536,2,0)</f>
        <v>LYQ-1001</v>
      </c>
      <c r="C169">
        <f>SUMIFS(allorders!O:O,allorders!L:L,$A169,allorders!AG:AG,"&lt;="&amp;日期!$B$5,allorders!AG:AG,"&gt;="&amp;日期!$B$6,allorders!Q:Q,"&lt;&gt;"&amp;"",allorders!N:N,"Shipped")</f>
        <v>0</v>
      </c>
      <c r="D169">
        <f>SUMIFS(allorders!$O:$O,allorders!$L:$L,$A169,allorders!$AG:$AG,"&lt;="&amp;日期!$B$7,allorders!$AG:$AG,"&gt;="&amp;日期!$B$8,allorders!Q:Q,"&lt;&gt;"&amp;"",allorders!N:N,"Shipped")</f>
        <v>0</v>
      </c>
      <c r="E169">
        <f>SUMIFS(allorders!$O:$O,allorders!$L:$L,$A169,allorders!$AG:$AG,"&lt;="&amp;日期!$B$9,allorders!$AG:$AG,"&gt;="&amp;日期!$B$10,allorders!Q:Q,"&lt;&gt;"&amp;"",allorders!N:N,"Shipped")</f>
        <v>0</v>
      </c>
      <c r="F169">
        <f>SUMIFS(allorders!$O:$O,allorders!$L:$L,$A169,allorders!$AG:$AG,"&lt;="&amp;日期!$B$11,allorders!$AG:$AG,"&gt;="&amp;日期!$B$12,allorders!Q:Q,"&lt;&gt;"&amp;"",allorders!N:N,"Shipped")</f>
        <v>0</v>
      </c>
      <c r="G169" t="e">
        <f>SUMIFS(allorders!Q:Q,allorders!L:L,A169,allorders!AG:AG,"&lt;="&amp;日期!$B$5,allorders!AG:AG,"&gt;="&amp;日期!$B$12,allorders!N:N,"Shipped")/SUM(C169:F169)</f>
        <v>#DIV/0!</v>
      </c>
      <c r="H169">
        <f>SUMIFS(allorders!Q:Q,allorders!L:L,A169,allorders!AG:AG,"&gt;="&amp;日期!$B$12,allorders!AG:AG,"&lt;="&amp;日期!$B$5,allorders!N:N,"Shipped")</f>
        <v>0</v>
      </c>
      <c r="I169">
        <f t="shared" si="2"/>
        <v>0</v>
      </c>
    </row>
    <row r="170" spans="1:9">
      <c r="A170" s="7" t="s">
        <v>2885</v>
      </c>
      <c r="B170" t="str">
        <f>VLOOKUP(A170,'[1]子sku-父sku'!$A$1:$B$65536,2,0)</f>
        <v>LYQ-1001</v>
      </c>
      <c r="C170">
        <f>SUMIFS(allorders!O:O,allorders!L:L,$A170,allorders!AG:AG,"&lt;="&amp;日期!$B$5,allorders!AG:AG,"&gt;="&amp;日期!$B$6,allorders!Q:Q,"&lt;&gt;"&amp;"",allorders!N:N,"Shipped")</f>
        <v>0</v>
      </c>
      <c r="D170">
        <f>SUMIFS(allorders!$O:$O,allorders!$L:$L,$A170,allorders!$AG:$AG,"&lt;="&amp;日期!$B$7,allorders!$AG:$AG,"&gt;="&amp;日期!$B$8,allorders!Q:Q,"&lt;&gt;"&amp;"",allorders!N:N,"Shipped")</f>
        <v>0</v>
      </c>
      <c r="E170">
        <f>SUMIFS(allorders!$O:$O,allorders!$L:$L,$A170,allorders!$AG:$AG,"&lt;="&amp;日期!$B$9,allorders!$AG:$AG,"&gt;="&amp;日期!$B$10,allorders!Q:Q,"&lt;&gt;"&amp;"",allorders!N:N,"Shipped")</f>
        <v>0</v>
      </c>
      <c r="F170">
        <f>SUMIFS(allorders!$O:$O,allorders!$L:$L,$A170,allorders!$AG:$AG,"&lt;="&amp;日期!$B$11,allorders!$AG:$AG,"&gt;="&amp;日期!$B$12,allorders!Q:Q,"&lt;&gt;"&amp;"",allorders!N:N,"Shipped")</f>
        <v>0</v>
      </c>
      <c r="G170" t="e">
        <f>SUMIFS(allorders!Q:Q,allorders!L:L,A170,allorders!AG:AG,"&lt;="&amp;日期!$B$5,allorders!AG:AG,"&gt;="&amp;日期!$B$12,allorders!N:N,"Shipped")/SUM(C170:F170)</f>
        <v>#DIV/0!</v>
      </c>
      <c r="H170">
        <f>SUMIFS(allorders!Q:Q,allorders!L:L,A170,allorders!AG:AG,"&gt;="&amp;日期!$B$12,allorders!AG:AG,"&lt;="&amp;日期!$B$5,allorders!N:N,"Shipped")</f>
        <v>0</v>
      </c>
      <c r="I170">
        <f t="shared" si="2"/>
        <v>0</v>
      </c>
    </row>
    <row r="171" spans="1:9">
      <c r="A171" s="7" t="s">
        <v>2892</v>
      </c>
      <c r="B171" t="str">
        <f>VLOOKUP(A171,'[1]子sku-父sku'!$A$1:$B$65536,2,0)</f>
        <v>LYQ-1001</v>
      </c>
      <c r="C171">
        <f>SUMIFS(allorders!O:O,allorders!L:L,$A171,allorders!AG:AG,"&lt;="&amp;日期!$B$5,allorders!AG:AG,"&gt;="&amp;日期!$B$6,allorders!Q:Q,"&lt;&gt;"&amp;"",allorders!N:N,"Shipped")</f>
        <v>0</v>
      </c>
      <c r="D171">
        <f>SUMIFS(allorders!$O:$O,allorders!$L:$L,$A171,allorders!$AG:$AG,"&lt;="&amp;日期!$B$7,allorders!$AG:$AG,"&gt;="&amp;日期!$B$8,allorders!Q:Q,"&lt;&gt;"&amp;"",allorders!N:N,"Shipped")</f>
        <v>0</v>
      </c>
      <c r="E171">
        <f>SUMIFS(allorders!$O:$O,allorders!$L:$L,$A171,allorders!$AG:$AG,"&lt;="&amp;日期!$B$9,allorders!$AG:$AG,"&gt;="&amp;日期!$B$10,allorders!Q:Q,"&lt;&gt;"&amp;"",allorders!N:N,"Shipped")</f>
        <v>0</v>
      </c>
      <c r="F171">
        <f>SUMIFS(allorders!$O:$O,allorders!$L:$L,$A171,allorders!$AG:$AG,"&lt;="&amp;日期!$B$11,allorders!$AG:$AG,"&gt;="&amp;日期!$B$12,allorders!Q:Q,"&lt;&gt;"&amp;"",allorders!N:N,"Shipped")</f>
        <v>0</v>
      </c>
      <c r="G171" t="e">
        <f>SUMIFS(allorders!Q:Q,allorders!L:L,A171,allorders!AG:AG,"&lt;="&amp;日期!$B$5,allorders!AG:AG,"&gt;="&amp;日期!$B$12,allorders!N:N,"Shipped")/SUM(C171:F171)</f>
        <v>#DIV/0!</v>
      </c>
      <c r="H171">
        <f>SUMIFS(allorders!Q:Q,allorders!L:L,A171,allorders!AG:AG,"&gt;="&amp;日期!$B$12,allorders!AG:AG,"&lt;="&amp;日期!$B$5,allorders!N:N,"Shipped")</f>
        <v>0</v>
      </c>
      <c r="I171">
        <f t="shared" si="2"/>
        <v>0</v>
      </c>
    </row>
    <row r="172" spans="1:9">
      <c r="A172" s="7" t="s">
        <v>2899</v>
      </c>
      <c r="B172" t="str">
        <f>VLOOKUP(A172,'[1]子sku-父sku'!$A$1:$B$65536,2,0)</f>
        <v>LYQ-1001</v>
      </c>
      <c r="C172">
        <f>SUMIFS(allorders!O:O,allorders!L:L,$A172,allorders!AG:AG,"&lt;="&amp;日期!$B$5,allorders!AG:AG,"&gt;="&amp;日期!$B$6,allorders!Q:Q,"&lt;&gt;"&amp;"",allorders!N:N,"Shipped")</f>
        <v>0</v>
      </c>
      <c r="D172">
        <f>SUMIFS(allorders!$O:$O,allorders!$L:$L,$A172,allorders!$AG:$AG,"&lt;="&amp;日期!$B$7,allorders!$AG:$AG,"&gt;="&amp;日期!$B$8,allorders!Q:Q,"&lt;&gt;"&amp;"",allorders!N:N,"Shipped")</f>
        <v>0</v>
      </c>
      <c r="E172">
        <f>SUMIFS(allorders!$O:$O,allorders!$L:$L,$A172,allorders!$AG:$AG,"&lt;="&amp;日期!$B$9,allorders!$AG:$AG,"&gt;="&amp;日期!$B$10,allorders!Q:Q,"&lt;&gt;"&amp;"",allorders!N:N,"Shipped")</f>
        <v>0</v>
      </c>
      <c r="F172">
        <f>SUMIFS(allorders!$O:$O,allorders!$L:$L,$A172,allorders!$AG:$AG,"&lt;="&amp;日期!$B$11,allorders!$AG:$AG,"&gt;="&amp;日期!$B$12,allorders!Q:Q,"&lt;&gt;"&amp;"",allorders!N:N,"Shipped")</f>
        <v>0</v>
      </c>
      <c r="G172" t="e">
        <f>SUMIFS(allorders!Q:Q,allorders!L:L,A172,allorders!AG:AG,"&lt;="&amp;日期!$B$5,allorders!AG:AG,"&gt;="&amp;日期!$B$12,allorders!N:N,"Shipped")/SUM(C172:F172)</f>
        <v>#DIV/0!</v>
      </c>
      <c r="H172">
        <f>SUMIFS(allorders!Q:Q,allorders!L:L,A172,allorders!AG:AG,"&gt;="&amp;日期!$B$12,allorders!AG:AG,"&lt;="&amp;日期!$B$5,allorders!N:N,"Shipped")</f>
        <v>0</v>
      </c>
      <c r="I172">
        <f t="shared" si="2"/>
        <v>0</v>
      </c>
    </row>
    <row r="173" spans="1:9">
      <c r="A173" s="7" t="s">
        <v>2906</v>
      </c>
      <c r="B173" t="str">
        <f>VLOOKUP(A173,'[1]子sku-父sku'!$A$1:$B$65536,2,0)</f>
        <v>LYQ-1001</v>
      </c>
      <c r="C173">
        <f>SUMIFS(allorders!O:O,allorders!L:L,$A173,allorders!AG:AG,"&lt;="&amp;日期!$B$5,allorders!AG:AG,"&gt;="&amp;日期!$B$6,allorders!Q:Q,"&lt;&gt;"&amp;"",allorders!N:N,"Shipped")</f>
        <v>0</v>
      </c>
      <c r="D173">
        <f>SUMIFS(allorders!$O:$O,allorders!$L:$L,$A173,allorders!$AG:$AG,"&lt;="&amp;日期!$B$7,allorders!$AG:$AG,"&gt;="&amp;日期!$B$8,allorders!Q:Q,"&lt;&gt;"&amp;"",allorders!N:N,"Shipped")</f>
        <v>0</v>
      </c>
      <c r="E173">
        <f>SUMIFS(allorders!$O:$O,allorders!$L:$L,$A173,allorders!$AG:$AG,"&lt;="&amp;日期!$B$9,allorders!$AG:$AG,"&gt;="&amp;日期!$B$10,allorders!Q:Q,"&lt;&gt;"&amp;"",allorders!N:N,"Shipped")</f>
        <v>0</v>
      </c>
      <c r="F173">
        <f>SUMIFS(allorders!$O:$O,allorders!$L:$L,$A173,allorders!$AG:$AG,"&lt;="&amp;日期!$B$11,allorders!$AG:$AG,"&gt;="&amp;日期!$B$12,allorders!Q:Q,"&lt;&gt;"&amp;"",allorders!N:N,"Shipped")</f>
        <v>0</v>
      </c>
      <c r="G173" t="e">
        <f>SUMIFS(allorders!Q:Q,allorders!L:L,A173,allorders!AG:AG,"&lt;="&amp;日期!$B$5,allorders!AG:AG,"&gt;="&amp;日期!$B$12,allorders!N:N,"Shipped")/SUM(C173:F173)</f>
        <v>#DIV/0!</v>
      </c>
      <c r="H173">
        <f>SUMIFS(allorders!Q:Q,allorders!L:L,A173,allorders!AG:AG,"&gt;="&amp;日期!$B$12,allorders!AG:AG,"&lt;="&amp;日期!$B$5,allorders!N:N,"Shipped")</f>
        <v>0</v>
      </c>
      <c r="I173">
        <f t="shared" si="2"/>
        <v>0</v>
      </c>
    </row>
    <row r="174" spans="1:9">
      <c r="A174" s="7" t="s">
        <v>2913</v>
      </c>
      <c r="B174" t="str">
        <f>VLOOKUP(A174,'[1]子sku-父sku'!$A$1:$B$65536,2,0)</f>
        <v>LYQ-1001</v>
      </c>
      <c r="C174">
        <f>SUMIFS(allorders!O:O,allorders!L:L,$A174,allorders!AG:AG,"&lt;="&amp;日期!$B$5,allorders!AG:AG,"&gt;="&amp;日期!$B$6,allorders!Q:Q,"&lt;&gt;"&amp;"",allorders!N:N,"Shipped")</f>
        <v>0</v>
      </c>
      <c r="D174">
        <f>SUMIFS(allorders!$O:$O,allorders!$L:$L,$A174,allorders!$AG:$AG,"&lt;="&amp;日期!$B$7,allorders!$AG:$AG,"&gt;="&amp;日期!$B$8,allorders!Q:Q,"&lt;&gt;"&amp;"",allorders!N:N,"Shipped")</f>
        <v>0</v>
      </c>
      <c r="E174">
        <f>SUMIFS(allorders!$O:$O,allorders!$L:$L,$A174,allorders!$AG:$AG,"&lt;="&amp;日期!$B$9,allorders!$AG:$AG,"&gt;="&amp;日期!$B$10,allorders!Q:Q,"&lt;&gt;"&amp;"",allorders!N:N,"Shipped")</f>
        <v>0</v>
      </c>
      <c r="F174">
        <f>SUMIFS(allorders!$O:$O,allorders!$L:$L,$A174,allorders!$AG:$AG,"&lt;="&amp;日期!$B$11,allorders!$AG:$AG,"&gt;="&amp;日期!$B$12,allorders!Q:Q,"&lt;&gt;"&amp;"",allorders!N:N,"Shipped")</f>
        <v>0</v>
      </c>
      <c r="G174" t="e">
        <f>SUMIFS(allorders!Q:Q,allorders!L:L,A174,allorders!AG:AG,"&lt;="&amp;日期!$B$5,allorders!AG:AG,"&gt;="&amp;日期!$B$12,allorders!N:N,"Shipped")/SUM(C174:F174)</f>
        <v>#DIV/0!</v>
      </c>
      <c r="H174">
        <f>SUMIFS(allorders!Q:Q,allorders!L:L,A174,allorders!AG:AG,"&gt;="&amp;日期!$B$12,allorders!AG:AG,"&lt;="&amp;日期!$B$5,allorders!N:N,"Shipped")</f>
        <v>0</v>
      </c>
      <c r="I174">
        <f t="shared" si="2"/>
        <v>0</v>
      </c>
    </row>
    <row r="175" spans="1:9">
      <c r="A175" s="7" t="s">
        <v>2920</v>
      </c>
      <c r="B175" t="str">
        <f>VLOOKUP(A175,'[1]子sku-父sku'!$A$1:$B$65536,2,0)</f>
        <v>LYQ-1001</v>
      </c>
      <c r="C175">
        <f>SUMIFS(allorders!O:O,allorders!L:L,$A175,allorders!AG:AG,"&lt;="&amp;日期!$B$5,allorders!AG:AG,"&gt;="&amp;日期!$B$6,allorders!Q:Q,"&lt;&gt;"&amp;"",allorders!N:N,"Shipped")</f>
        <v>0</v>
      </c>
      <c r="D175">
        <f>SUMIFS(allorders!$O:$O,allorders!$L:$L,$A175,allorders!$AG:$AG,"&lt;="&amp;日期!$B$7,allorders!$AG:$AG,"&gt;="&amp;日期!$B$8,allorders!Q:Q,"&lt;&gt;"&amp;"",allorders!N:N,"Shipped")</f>
        <v>0</v>
      </c>
      <c r="E175">
        <f>SUMIFS(allorders!$O:$O,allorders!$L:$L,$A175,allorders!$AG:$AG,"&lt;="&amp;日期!$B$9,allorders!$AG:$AG,"&gt;="&amp;日期!$B$10,allorders!Q:Q,"&lt;&gt;"&amp;"",allorders!N:N,"Shipped")</f>
        <v>0</v>
      </c>
      <c r="F175">
        <f>SUMIFS(allorders!$O:$O,allorders!$L:$L,$A175,allorders!$AG:$AG,"&lt;="&amp;日期!$B$11,allorders!$AG:$AG,"&gt;="&amp;日期!$B$12,allorders!Q:Q,"&lt;&gt;"&amp;"",allorders!N:N,"Shipped")</f>
        <v>0</v>
      </c>
      <c r="G175" t="e">
        <f>SUMIFS(allorders!Q:Q,allorders!L:L,A175,allorders!AG:AG,"&lt;="&amp;日期!$B$5,allorders!AG:AG,"&gt;="&amp;日期!$B$12,allorders!N:N,"Shipped")/SUM(C175:F175)</f>
        <v>#DIV/0!</v>
      </c>
      <c r="H175">
        <f>SUMIFS(allorders!Q:Q,allorders!L:L,A175,allorders!AG:AG,"&gt;="&amp;日期!$B$12,allorders!AG:AG,"&lt;="&amp;日期!$B$5,allorders!N:N,"Shipped")</f>
        <v>0</v>
      </c>
      <c r="I175">
        <f t="shared" si="2"/>
        <v>0</v>
      </c>
    </row>
    <row r="176" spans="1:9">
      <c r="A176" s="7" t="s">
        <v>2927</v>
      </c>
      <c r="B176" t="str">
        <f>VLOOKUP(A176,'[1]子sku-父sku'!$A$1:$B$65536,2,0)</f>
        <v>LYQ-1001</v>
      </c>
      <c r="C176">
        <f>SUMIFS(allorders!O:O,allorders!L:L,$A176,allorders!AG:AG,"&lt;="&amp;日期!$B$5,allorders!AG:AG,"&gt;="&amp;日期!$B$6,allorders!Q:Q,"&lt;&gt;"&amp;"",allorders!N:N,"Shipped")</f>
        <v>0</v>
      </c>
      <c r="D176">
        <f>SUMIFS(allorders!$O:$O,allorders!$L:$L,$A176,allorders!$AG:$AG,"&lt;="&amp;日期!$B$7,allorders!$AG:$AG,"&gt;="&amp;日期!$B$8,allorders!Q:Q,"&lt;&gt;"&amp;"",allorders!N:N,"Shipped")</f>
        <v>0</v>
      </c>
      <c r="E176">
        <f>SUMIFS(allorders!$O:$O,allorders!$L:$L,$A176,allorders!$AG:$AG,"&lt;="&amp;日期!$B$9,allorders!$AG:$AG,"&gt;="&amp;日期!$B$10,allorders!Q:Q,"&lt;&gt;"&amp;"",allorders!N:N,"Shipped")</f>
        <v>0</v>
      </c>
      <c r="F176">
        <f>SUMIFS(allorders!$O:$O,allorders!$L:$L,$A176,allorders!$AG:$AG,"&lt;="&amp;日期!$B$11,allorders!$AG:$AG,"&gt;="&amp;日期!$B$12,allorders!Q:Q,"&lt;&gt;"&amp;"",allorders!N:N,"Shipped")</f>
        <v>0</v>
      </c>
      <c r="G176" t="e">
        <f>SUMIFS(allorders!Q:Q,allorders!L:L,A176,allorders!AG:AG,"&lt;="&amp;日期!$B$5,allorders!AG:AG,"&gt;="&amp;日期!$B$12,allorders!N:N,"Shipped")/SUM(C176:F176)</f>
        <v>#DIV/0!</v>
      </c>
      <c r="H176">
        <f>SUMIFS(allorders!Q:Q,allorders!L:L,A176,allorders!AG:AG,"&gt;="&amp;日期!$B$12,allorders!AG:AG,"&lt;="&amp;日期!$B$5,allorders!N:N,"Shipped")</f>
        <v>0</v>
      </c>
      <c r="I176">
        <f t="shared" si="2"/>
        <v>0</v>
      </c>
    </row>
    <row r="177" spans="1:9">
      <c r="A177" s="7" t="s">
        <v>2934</v>
      </c>
      <c r="B177" t="str">
        <f>VLOOKUP(A177,'[1]子sku-父sku'!$A$1:$B$65536,2,0)</f>
        <v>LYQ-1001</v>
      </c>
      <c r="C177">
        <f>SUMIFS(allorders!O:O,allorders!L:L,$A177,allorders!AG:AG,"&lt;="&amp;日期!$B$5,allorders!AG:AG,"&gt;="&amp;日期!$B$6,allorders!Q:Q,"&lt;&gt;"&amp;"",allorders!N:N,"Shipped")</f>
        <v>0</v>
      </c>
      <c r="D177">
        <f>SUMIFS(allorders!$O:$O,allorders!$L:$L,$A177,allorders!$AG:$AG,"&lt;="&amp;日期!$B$7,allorders!$AG:$AG,"&gt;="&amp;日期!$B$8,allorders!Q:Q,"&lt;&gt;"&amp;"",allorders!N:N,"Shipped")</f>
        <v>0</v>
      </c>
      <c r="E177">
        <f>SUMIFS(allorders!$O:$O,allorders!$L:$L,$A177,allorders!$AG:$AG,"&lt;="&amp;日期!$B$9,allorders!$AG:$AG,"&gt;="&amp;日期!$B$10,allorders!Q:Q,"&lt;&gt;"&amp;"",allorders!N:N,"Shipped")</f>
        <v>0</v>
      </c>
      <c r="F177">
        <f>SUMIFS(allorders!$O:$O,allorders!$L:$L,$A177,allorders!$AG:$AG,"&lt;="&amp;日期!$B$11,allorders!$AG:$AG,"&gt;="&amp;日期!$B$12,allorders!Q:Q,"&lt;&gt;"&amp;"",allorders!N:N,"Shipped")</f>
        <v>0</v>
      </c>
      <c r="G177" t="e">
        <f>SUMIFS(allorders!Q:Q,allorders!L:L,A177,allorders!AG:AG,"&lt;="&amp;日期!$B$5,allorders!AG:AG,"&gt;="&amp;日期!$B$12,allorders!N:N,"Shipped")/SUM(C177:F177)</f>
        <v>#DIV/0!</v>
      </c>
      <c r="H177">
        <f>SUMIFS(allorders!Q:Q,allorders!L:L,A177,allorders!AG:AG,"&gt;="&amp;日期!$B$12,allorders!AG:AG,"&lt;="&amp;日期!$B$5,allorders!N:N,"Shipped")</f>
        <v>0</v>
      </c>
      <c r="I177">
        <f t="shared" si="2"/>
        <v>0</v>
      </c>
    </row>
    <row r="178" spans="1:9">
      <c r="A178" s="7" t="s">
        <v>2941</v>
      </c>
      <c r="B178" t="str">
        <f>VLOOKUP(A178,'[1]子sku-父sku'!$A$1:$B$65536,2,0)</f>
        <v>LYQ-1001</v>
      </c>
      <c r="C178">
        <f>SUMIFS(allorders!O:O,allorders!L:L,$A178,allorders!AG:AG,"&lt;="&amp;日期!$B$5,allorders!AG:AG,"&gt;="&amp;日期!$B$6,allorders!Q:Q,"&lt;&gt;"&amp;"",allorders!N:N,"Shipped")</f>
        <v>0</v>
      </c>
      <c r="D178">
        <f>SUMIFS(allorders!$O:$O,allorders!$L:$L,$A178,allorders!$AG:$AG,"&lt;="&amp;日期!$B$7,allorders!$AG:$AG,"&gt;="&amp;日期!$B$8,allorders!Q:Q,"&lt;&gt;"&amp;"",allorders!N:N,"Shipped")</f>
        <v>0</v>
      </c>
      <c r="E178">
        <f>SUMIFS(allorders!$O:$O,allorders!$L:$L,$A178,allorders!$AG:$AG,"&lt;="&amp;日期!$B$9,allorders!$AG:$AG,"&gt;="&amp;日期!$B$10,allorders!Q:Q,"&lt;&gt;"&amp;"",allorders!N:N,"Shipped")</f>
        <v>0</v>
      </c>
      <c r="F178">
        <f>SUMIFS(allorders!$O:$O,allorders!$L:$L,$A178,allorders!$AG:$AG,"&lt;="&amp;日期!$B$11,allorders!$AG:$AG,"&gt;="&amp;日期!$B$12,allorders!Q:Q,"&lt;&gt;"&amp;"",allorders!N:N,"Shipped")</f>
        <v>0</v>
      </c>
      <c r="G178" t="e">
        <f>SUMIFS(allorders!Q:Q,allorders!L:L,A178,allorders!AG:AG,"&lt;="&amp;日期!$B$5,allorders!AG:AG,"&gt;="&amp;日期!$B$12,allorders!N:N,"Shipped")/SUM(C178:F178)</f>
        <v>#DIV/0!</v>
      </c>
      <c r="H178">
        <f>SUMIFS(allorders!Q:Q,allorders!L:L,A178,allorders!AG:AG,"&gt;="&amp;日期!$B$12,allorders!AG:AG,"&lt;="&amp;日期!$B$5,allorders!N:N,"Shipped")</f>
        <v>0</v>
      </c>
      <c r="I178">
        <f t="shared" si="2"/>
        <v>0</v>
      </c>
    </row>
    <row r="179" spans="1:9">
      <c r="A179" s="7" t="s">
        <v>2948</v>
      </c>
      <c r="B179" t="str">
        <f>VLOOKUP(A179,'[1]子sku-父sku'!$A$1:$B$65536,2,0)</f>
        <v>LYQ-1001</v>
      </c>
      <c r="C179">
        <f>SUMIFS(allorders!O:O,allorders!L:L,$A179,allorders!AG:AG,"&lt;="&amp;日期!$B$5,allorders!AG:AG,"&gt;="&amp;日期!$B$6,allorders!Q:Q,"&lt;&gt;"&amp;"",allorders!N:N,"Shipped")</f>
        <v>0</v>
      </c>
      <c r="D179">
        <f>SUMIFS(allorders!$O:$O,allorders!$L:$L,$A179,allorders!$AG:$AG,"&lt;="&amp;日期!$B$7,allorders!$AG:$AG,"&gt;="&amp;日期!$B$8,allorders!Q:Q,"&lt;&gt;"&amp;"",allorders!N:N,"Shipped")</f>
        <v>0</v>
      </c>
      <c r="E179">
        <f>SUMIFS(allorders!$O:$O,allorders!$L:$L,$A179,allorders!$AG:$AG,"&lt;="&amp;日期!$B$9,allorders!$AG:$AG,"&gt;="&amp;日期!$B$10,allorders!Q:Q,"&lt;&gt;"&amp;"",allorders!N:N,"Shipped")</f>
        <v>0</v>
      </c>
      <c r="F179">
        <f>SUMIFS(allorders!$O:$O,allorders!$L:$L,$A179,allorders!$AG:$AG,"&lt;="&amp;日期!$B$11,allorders!$AG:$AG,"&gt;="&amp;日期!$B$12,allorders!Q:Q,"&lt;&gt;"&amp;"",allorders!N:N,"Shipped")</f>
        <v>0</v>
      </c>
      <c r="G179" t="e">
        <f>SUMIFS(allorders!Q:Q,allorders!L:L,A179,allorders!AG:AG,"&lt;="&amp;日期!$B$5,allorders!AG:AG,"&gt;="&amp;日期!$B$12,allorders!N:N,"Shipped")/SUM(C179:F179)</f>
        <v>#DIV/0!</v>
      </c>
      <c r="H179">
        <f>SUMIFS(allorders!Q:Q,allorders!L:L,A179,allorders!AG:AG,"&gt;="&amp;日期!$B$12,allorders!AG:AG,"&lt;="&amp;日期!$B$5,allorders!N:N,"Shipped")</f>
        <v>0</v>
      </c>
      <c r="I179">
        <f t="shared" si="2"/>
        <v>0</v>
      </c>
    </row>
    <row r="180" spans="1:9">
      <c r="A180" s="7" t="s">
        <v>2955</v>
      </c>
      <c r="B180" t="str">
        <f>VLOOKUP(A180,'[1]子sku-父sku'!$A$1:$B$65536,2,0)</f>
        <v>LYQ-1001</v>
      </c>
      <c r="C180">
        <f>SUMIFS(allorders!O:O,allorders!L:L,$A180,allorders!AG:AG,"&lt;="&amp;日期!$B$5,allorders!AG:AG,"&gt;="&amp;日期!$B$6,allorders!Q:Q,"&lt;&gt;"&amp;"",allorders!N:N,"Shipped")</f>
        <v>0</v>
      </c>
      <c r="D180">
        <f>SUMIFS(allorders!$O:$O,allorders!$L:$L,$A180,allorders!$AG:$AG,"&lt;="&amp;日期!$B$7,allorders!$AG:$AG,"&gt;="&amp;日期!$B$8,allorders!Q:Q,"&lt;&gt;"&amp;"",allorders!N:N,"Shipped")</f>
        <v>0</v>
      </c>
      <c r="E180">
        <f>SUMIFS(allorders!$O:$O,allorders!$L:$L,$A180,allorders!$AG:$AG,"&lt;="&amp;日期!$B$9,allorders!$AG:$AG,"&gt;="&amp;日期!$B$10,allorders!Q:Q,"&lt;&gt;"&amp;"",allorders!N:N,"Shipped")</f>
        <v>0</v>
      </c>
      <c r="F180">
        <f>SUMIFS(allorders!$O:$O,allorders!$L:$L,$A180,allorders!$AG:$AG,"&lt;="&amp;日期!$B$11,allorders!$AG:$AG,"&gt;="&amp;日期!$B$12,allorders!Q:Q,"&lt;&gt;"&amp;"",allorders!N:N,"Shipped")</f>
        <v>0</v>
      </c>
      <c r="G180" t="e">
        <f>SUMIFS(allorders!Q:Q,allorders!L:L,A180,allorders!AG:AG,"&lt;="&amp;日期!$B$5,allorders!AG:AG,"&gt;="&amp;日期!$B$12,allorders!N:N,"Shipped")/SUM(C180:F180)</f>
        <v>#DIV/0!</v>
      </c>
      <c r="H180">
        <f>SUMIFS(allorders!Q:Q,allorders!L:L,A180,allorders!AG:AG,"&gt;="&amp;日期!$B$12,allorders!AG:AG,"&lt;="&amp;日期!$B$5,allorders!N:N,"Shipped")</f>
        <v>0</v>
      </c>
      <c r="I180">
        <f t="shared" si="2"/>
        <v>0</v>
      </c>
    </row>
    <row r="181" spans="1:9">
      <c r="A181" s="7" t="s">
        <v>2962</v>
      </c>
      <c r="B181" t="str">
        <f>VLOOKUP(A181,'[1]子sku-父sku'!$A$1:$B$65536,2,0)</f>
        <v>LYQ-1001</v>
      </c>
      <c r="C181">
        <f>SUMIFS(allorders!O:O,allorders!L:L,$A181,allorders!AG:AG,"&lt;="&amp;日期!$B$5,allorders!AG:AG,"&gt;="&amp;日期!$B$6,allorders!Q:Q,"&lt;&gt;"&amp;"",allorders!N:N,"Shipped")</f>
        <v>0</v>
      </c>
      <c r="D181">
        <f>SUMIFS(allorders!$O:$O,allorders!$L:$L,$A181,allorders!$AG:$AG,"&lt;="&amp;日期!$B$7,allorders!$AG:$AG,"&gt;="&amp;日期!$B$8,allorders!Q:Q,"&lt;&gt;"&amp;"",allorders!N:N,"Shipped")</f>
        <v>0</v>
      </c>
      <c r="E181">
        <f>SUMIFS(allorders!$O:$O,allorders!$L:$L,$A181,allorders!$AG:$AG,"&lt;="&amp;日期!$B$9,allorders!$AG:$AG,"&gt;="&amp;日期!$B$10,allorders!Q:Q,"&lt;&gt;"&amp;"",allorders!N:N,"Shipped")</f>
        <v>0</v>
      </c>
      <c r="F181">
        <f>SUMIFS(allorders!$O:$O,allorders!$L:$L,$A181,allorders!$AG:$AG,"&lt;="&amp;日期!$B$11,allorders!$AG:$AG,"&gt;="&amp;日期!$B$12,allorders!Q:Q,"&lt;&gt;"&amp;"",allorders!N:N,"Shipped")</f>
        <v>0</v>
      </c>
      <c r="G181" t="e">
        <f>SUMIFS(allorders!Q:Q,allorders!L:L,A181,allorders!AG:AG,"&lt;="&amp;日期!$B$5,allorders!AG:AG,"&gt;="&amp;日期!$B$12,allorders!N:N,"Shipped")/SUM(C181:F181)</f>
        <v>#DIV/0!</v>
      </c>
      <c r="H181">
        <f>SUMIFS(allorders!Q:Q,allorders!L:L,A181,allorders!AG:AG,"&gt;="&amp;日期!$B$12,allorders!AG:AG,"&lt;="&amp;日期!$B$5,allorders!N:N,"Shipped")</f>
        <v>0</v>
      </c>
      <c r="I181">
        <f t="shared" si="2"/>
        <v>0</v>
      </c>
    </row>
    <row r="182" spans="1:9">
      <c r="A182" s="7" t="s">
        <v>2969</v>
      </c>
      <c r="B182" t="str">
        <f>VLOOKUP(A182,'[1]子sku-父sku'!$A$1:$B$65536,2,0)</f>
        <v>LYQ-1001</v>
      </c>
      <c r="C182">
        <f>SUMIFS(allorders!O:O,allorders!L:L,$A182,allorders!AG:AG,"&lt;="&amp;日期!$B$5,allorders!AG:AG,"&gt;="&amp;日期!$B$6,allorders!Q:Q,"&lt;&gt;"&amp;"",allorders!N:N,"Shipped")</f>
        <v>0</v>
      </c>
      <c r="D182">
        <f>SUMIFS(allorders!$O:$O,allorders!$L:$L,$A182,allorders!$AG:$AG,"&lt;="&amp;日期!$B$7,allorders!$AG:$AG,"&gt;="&amp;日期!$B$8,allorders!Q:Q,"&lt;&gt;"&amp;"",allorders!N:N,"Shipped")</f>
        <v>0</v>
      </c>
      <c r="E182">
        <f>SUMIFS(allorders!$O:$O,allorders!$L:$L,$A182,allorders!$AG:$AG,"&lt;="&amp;日期!$B$9,allorders!$AG:$AG,"&gt;="&amp;日期!$B$10,allorders!Q:Q,"&lt;&gt;"&amp;"",allorders!N:N,"Shipped")</f>
        <v>0</v>
      </c>
      <c r="F182">
        <f>SUMIFS(allorders!$O:$O,allorders!$L:$L,$A182,allorders!$AG:$AG,"&lt;="&amp;日期!$B$11,allorders!$AG:$AG,"&gt;="&amp;日期!$B$12,allorders!Q:Q,"&lt;&gt;"&amp;"",allorders!N:N,"Shipped")</f>
        <v>0</v>
      </c>
      <c r="G182" t="e">
        <f>SUMIFS(allorders!Q:Q,allorders!L:L,A182,allorders!AG:AG,"&lt;="&amp;日期!$B$5,allorders!AG:AG,"&gt;="&amp;日期!$B$12,allorders!N:N,"Shipped")/SUM(C182:F182)</f>
        <v>#DIV/0!</v>
      </c>
      <c r="H182">
        <f>SUMIFS(allorders!Q:Q,allorders!L:L,A182,allorders!AG:AG,"&gt;="&amp;日期!$B$12,allorders!AG:AG,"&lt;="&amp;日期!$B$5,allorders!N:N,"Shipped")</f>
        <v>0</v>
      </c>
      <c r="I182">
        <f t="shared" si="2"/>
        <v>0</v>
      </c>
    </row>
    <row r="183" spans="1:9">
      <c r="A183" s="7" t="s">
        <v>2976</v>
      </c>
      <c r="B183" t="str">
        <f>VLOOKUP(A183,'[1]子sku-父sku'!$A$1:$B$65536,2,0)</f>
        <v>LYQ-1001</v>
      </c>
      <c r="C183">
        <f>SUMIFS(allorders!O:O,allorders!L:L,$A183,allorders!AG:AG,"&lt;="&amp;日期!$B$5,allorders!AG:AG,"&gt;="&amp;日期!$B$6,allorders!Q:Q,"&lt;&gt;"&amp;"",allorders!N:N,"Shipped")</f>
        <v>0</v>
      </c>
      <c r="D183">
        <f>SUMIFS(allorders!$O:$O,allorders!$L:$L,$A183,allorders!$AG:$AG,"&lt;="&amp;日期!$B$7,allorders!$AG:$AG,"&gt;="&amp;日期!$B$8,allorders!Q:Q,"&lt;&gt;"&amp;"",allorders!N:N,"Shipped")</f>
        <v>0</v>
      </c>
      <c r="E183">
        <f>SUMIFS(allorders!$O:$O,allorders!$L:$L,$A183,allorders!$AG:$AG,"&lt;="&amp;日期!$B$9,allorders!$AG:$AG,"&gt;="&amp;日期!$B$10,allorders!Q:Q,"&lt;&gt;"&amp;"",allorders!N:N,"Shipped")</f>
        <v>0</v>
      </c>
      <c r="F183">
        <f>SUMIFS(allorders!$O:$O,allorders!$L:$L,$A183,allorders!$AG:$AG,"&lt;="&amp;日期!$B$11,allorders!$AG:$AG,"&gt;="&amp;日期!$B$12,allorders!Q:Q,"&lt;&gt;"&amp;"",allorders!N:N,"Shipped")</f>
        <v>0</v>
      </c>
      <c r="G183" t="e">
        <f>SUMIFS(allorders!Q:Q,allorders!L:L,A183,allorders!AG:AG,"&lt;="&amp;日期!$B$5,allorders!AG:AG,"&gt;="&amp;日期!$B$12,allorders!N:N,"Shipped")/SUM(C183:F183)</f>
        <v>#DIV/0!</v>
      </c>
      <c r="H183">
        <f>SUMIFS(allorders!Q:Q,allorders!L:L,A183,allorders!AG:AG,"&gt;="&amp;日期!$B$12,allorders!AG:AG,"&lt;="&amp;日期!$B$5,allorders!N:N,"Shipped")</f>
        <v>0</v>
      </c>
      <c r="I183">
        <f t="shared" si="2"/>
        <v>0</v>
      </c>
    </row>
    <row r="184" spans="1:9">
      <c r="A184" s="7" t="s">
        <v>2983</v>
      </c>
      <c r="B184" t="str">
        <f>VLOOKUP(A184,'[1]子sku-父sku'!$A$1:$B$65536,2,0)</f>
        <v>LYQ-1001</v>
      </c>
      <c r="C184">
        <f>SUMIFS(allorders!O:O,allorders!L:L,$A184,allorders!AG:AG,"&lt;="&amp;日期!$B$5,allorders!AG:AG,"&gt;="&amp;日期!$B$6,allorders!Q:Q,"&lt;&gt;"&amp;"",allorders!N:N,"Shipped")</f>
        <v>0</v>
      </c>
      <c r="D184">
        <f>SUMIFS(allorders!$O:$O,allorders!$L:$L,$A184,allorders!$AG:$AG,"&lt;="&amp;日期!$B$7,allorders!$AG:$AG,"&gt;="&amp;日期!$B$8,allorders!Q:Q,"&lt;&gt;"&amp;"",allorders!N:N,"Shipped")</f>
        <v>0</v>
      </c>
      <c r="E184">
        <f>SUMIFS(allorders!$O:$O,allorders!$L:$L,$A184,allorders!$AG:$AG,"&lt;="&amp;日期!$B$9,allorders!$AG:$AG,"&gt;="&amp;日期!$B$10,allorders!Q:Q,"&lt;&gt;"&amp;"",allorders!N:N,"Shipped")</f>
        <v>0</v>
      </c>
      <c r="F184">
        <f>SUMIFS(allorders!$O:$O,allorders!$L:$L,$A184,allorders!$AG:$AG,"&lt;="&amp;日期!$B$11,allorders!$AG:$AG,"&gt;="&amp;日期!$B$12,allorders!Q:Q,"&lt;&gt;"&amp;"",allorders!N:N,"Shipped")</f>
        <v>0</v>
      </c>
      <c r="G184" t="e">
        <f>SUMIFS(allorders!Q:Q,allorders!L:L,A184,allorders!AG:AG,"&lt;="&amp;日期!$B$5,allorders!AG:AG,"&gt;="&amp;日期!$B$12,allorders!N:N,"Shipped")/SUM(C184:F184)</f>
        <v>#DIV/0!</v>
      </c>
      <c r="H184">
        <f>SUMIFS(allorders!Q:Q,allorders!L:L,A184,allorders!AG:AG,"&gt;="&amp;日期!$B$12,allorders!AG:AG,"&lt;="&amp;日期!$B$5,allorders!N:N,"Shipped")</f>
        <v>0</v>
      </c>
      <c r="I184">
        <f t="shared" si="2"/>
        <v>0</v>
      </c>
    </row>
    <row r="185" spans="1:9">
      <c r="A185" s="7" t="s">
        <v>2990</v>
      </c>
      <c r="B185" t="str">
        <f>VLOOKUP(A185,'[1]子sku-父sku'!$A$1:$B$65536,2,0)</f>
        <v>LYQ-1001</v>
      </c>
      <c r="C185">
        <f>SUMIFS(allorders!O:O,allorders!L:L,$A185,allorders!AG:AG,"&lt;="&amp;日期!$B$5,allorders!AG:AG,"&gt;="&amp;日期!$B$6,allorders!Q:Q,"&lt;&gt;"&amp;"",allorders!N:N,"Shipped")</f>
        <v>0</v>
      </c>
      <c r="D185">
        <f>SUMIFS(allorders!$O:$O,allorders!$L:$L,$A185,allorders!$AG:$AG,"&lt;="&amp;日期!$B$7,allorders!$AG:$AG,"&gt;="&amp;日期!$B$8,allorders!Q:Q,"&lt;&gt;"&amp;"",allorders!N:N,"Shipped")</f>
        <v>0</v>
      </c>
      <c r="E185">
        <f>SUMIFS(allorders!$O:$O,allorders!$L:$L,$A185,allorders!$AG:$AG,"&lt;="&amp;日期!$B$9,allorders!$AG:$AG,"&gt;="&amp;日期!$B$10,allorders!Q:Q,"&lt;&gt;"&amp;"",allorders!N:N,"Shipped")</f>
        <v>0</v>
      </c>
      <c r="F185">
        <f>SUMIFS(allorders!$O:$O,allorders!$L:$L,$A185,allorders!$AG:$AG,"&lt;="&amp;日期!$B$11,allorders!$AG:$AG,"&gt;="&amp;日期!$B$12,allorders!Q:Q,"&lt;&gt;"&amp;"",allorders!N:N,"Shipped")</f>
        <v>0</v>
      </c>
      <c r="G185" t="e">
        <f>SUMIFS(allorders!Q:Q,allorders!L:L,A185,allorders!AG:AG,"&lt;="&amp;日期!$B$5,allorders!AG:AG,"&gt;="&amp;日期!$B$12,allorders!N:N,"Shipped")/SUM(C185:F185)</f>
        <v>#DIV/0!</v>
      </c>
      <c r="H185">
        <f>SUMIFS(allorders!Q:Q,allorders!L:L,A185,allorders!AG:AG,"&gt;="&amp;日期!$B$12,allorders!AG:AG,"&lt;="&amp;日期!$B$5,allorders!N:N,"Shipped")</f>
        <v>0</v>
      </c>
      <c r="I185">
        <f t="shared" si="2"/>
        <v>0</v>
      </c>
    </row>
    <row r="186" spans="1:9">
      <c r="A186" s="7" t="s">
        <v>2997</v>
      </c>
      <c r="B186" t="str">
        <f>VLOOKUP(A186,'[1]子sku-父sku'!$A$1:$B$65536,2,0)</f>
        <v>LYQ-1001</v>
      </c>
      <c r="C186">
        <f>SUMIFS(allorders!O:O,allorders!L:L,$A186,allorders!AG:AG,"&lt;="&amp;日期!$B$5,allorders!AG:AG,"&gt;="&amp;日期!$B$6,allorders!Q:Q,"&lt;&gt;"&amp;"",allorders!N:N,"Shipped")</f>
        <v>0</v>
      </c>
      <c r="D186">
        <f>SUMIFS(allorders!$O:$O,allorders!$L:$L,$A186,allorders!$AG:$AG,"&lt;="&amp;日期!$B$7,allorders!$AG:$AG,"&gt;="&amp;日期!$B$8,allorders!Q:Q,"&lt;&gt;"&amp;"",allorders!N:N,"Shipped")</f>
        <v>0</v>
      </c>
      <c r="E186">
        <f>SUMIFS(allorders!$O:$O,allorders!$L:$L,$A186,allorders!$AG:$AG,"&lt;="&amp;日期!$B$9,allorders!$AG:$AG,"&gt;="&amp;日期!$B$10,allorders!Q:Q,"&lt;&gt;"&amp;"",allorders!N:N,"Shipped")</f>
        <v>0</v>
      </c>
      <c r="F186">
        <f>SUMIFS(allorders!$O:$O,allorders!$L:$L,$A186,allorders!$AG:$AG,"&lt;="&amp;日期!$B$11,allorders!$AG:$AG,"&gt;="&amp;日期!$B$12,allorders!Q:Q,"&lt;&gt;"&amp;"",allorders!N:N,"Shipped")</f>
        <v>0</v>
      </c>
      <c r="G186" t="e">
        <f>SUMIFS(allorders!Q:Q,allorders!L:L,A186,allorders!AG:AG,"&lt;="&amp;日期!$B$5,allorders!AG:AG,"&gt;="&amp;日期!$B$12,allorders!N:N,"Shipped")/SUM(C186:F186)</f>
        <v>#DIV/0!</v>
      </c>
      <c r="H186">
        <f>SUMIFS(allorders!Q:Q,allorders!L:L,A186,allorders!AG:AG,"&gt;="&amp;日期!$B$12,allorders!AG:AG,"&lt;="&amp;日期!$B$5,allorders!N:N,"Shipped")</f>
        <v>0</v>
      </c>
      <c r="I186">
        <f t="shared" si="2"/>
        <v>0</v>
      </c>
    </row>
    <row r="187" spans="1:9">
      <c r="A187" s="7" t="s">
        <v>3004</v>
      </c>
      <c r="B187" t="str">
        <f>VLOOKUP(A187,'[1]子sku-父sku'!$A$1:$B$65536,2,0)</f>
        <v>LYQ-1001</v>
      </c>
      <c r="C187">
        <f>SUMIFS(allorders!O:O,allorders!L:L,$A187,allorders!AG:AG,"&lt;="&amp;日期!$B$5,allorders!AG:AG,"&gt;="&amp;日期!$B$6,allorders!Q:Q,"&lt;&gt;"&amp;"",allorders!N:N,"Shipped")</f>
        <v>0</v>
      </c>
      <c r="D187">
        <f>SUMIFS(allorders!$O:$O,allorders!$L:$L,$A187,allorders!$AG:$AG,"&lt;="&amp;日期!$B$7,allorders!$AG:$AG,"&gt;="&amp;日期!$B$8,allorders!Q:Q,"&lt;&gt;"&amp;"",allorders!N:N,"Shipped")</f>
        <v>0</v>
      </c>
      <c r="E187">
        <f>SUMIFS(allorders!$O:$O,allorders!$L:$L,$A187,allorders!$AG:$AG,"&lt;="&amp;日期!$B$9,allorders!$AG:$AG,"&gt;="&amp;日期!$B$10,allorders!Q:Q,"&lt;&gt;"&amp;"",allorders!N:N,"Shipped")</f>
        <v>0</v>
      </c>
      <c r="F187">
        <f>SUMIFS(allorders!$O:$O,allorders!$L:$L,$A187,allorders!$AG:$AG,"&lt;="&amp;日期!$B$11,allorders!$AG:$AG,"&gt;="&amp;日期!$B$12,allorders!Q:Q,"&lt;&gt;"&amp;"",allorders!N:N,"Shipped")</f>
        <v>0</v>
      </c>
      <c r="G187" t="e">
        <f>SUMIFS(allorders!Q:Q,allorders!L:L,A187,allorders!AG:AG,"&lt;="&amp;日期!$B$5,allorders!AG:AG,"&gt;="&amp;日期!$B$12,allorders!N:N,"Shipped")/SUM(C187:F187)</f>
        <v>#DIV/0!</v>
      </c>
      <c r="H187">
        <f>SUMIFS(allorders!Q:Q,allorders!L:L,A187,allorders!AG:AG,"&gt;="&amp;日期!$B$12,allorders!AG:AG,"&lt;="&amp;日期!$B$5,allorders!N:N,"Shipped")</f>
        <v>0</v>
      </c>
      <c r="I187">
        <f t="shared" si="2"/>
        <v>0</v>
      </c>
    </row>
    <row r="188" spans="1:9">
      <c r="A188" s="7" t="s">
        <v>3011</v>
      </c>
      <c r="B188" t="str">
        <f>VLOOKUP(A188,'[1]子sku-父sku'!$A$1:$B$65536,2,0)</f>
        <v>LYQ-1001</v>
      </c>
      <c r="C188">
        <f>SUMIFS(allorders!O:O,allorders!L:L,$A188,allorders!AG:AG,"&lt;="&amp;日期!$B$5,allorders!AG:AG,"&gt;="&amp;日期!$B$6,allorders!Q:Q,"&lt;&gt;"&amp;"",allorders!N:N,"Shipped")</f>
        <v>0</v>
      </c>
      <c r="D188">
        <f>SUMIFS(allorders!$O:$O,allorders!$L:$L,$A188,allorders!$AG:$AG,"&lt;="&amp;日期!$B$7,allorders!$AG:$AG,"&gt;="&amp;日期!$B$8,allorders!Q:Q,"&lt;&gt;"&amp;"",allorders!N:N,"Shipped")</f>
        <v>0</v>
      </c>
      <c r="E188">
        <f>SUMIFS(allorders!$O:$O,allorders!$L:$L,$A188,allorders!$AG:$AG,"&lt;="&amp;日期!$B$9,allorders!$AG:$AG,"&gt;="&amp;日期!$B$10,allorders!Q:Q,"&lt;&gt;"&amp;"",allorders!N:N,"Shipped")</f>
        <v>0</v>
      </c>
      <c r="F188">
        <f>SUMIFS(allorders!$O:$O,allorders!$L:$L,$A188,allorders!$AG:$AG,"&lt;="&amp;日期!$B$11,allorders!$AG:$AG,"&gt;="&amp;日期!$B$12,allorders!Q:Q,"&lt;&gt;"&amp;"",allorders!N:N,"Shipped")</f>
        <v>0</v>
      </c>
      <c r="G188" t="e">
        <f>SUMIFS(allorders!Q:Q,allorders!L:L,A188,allorders!AG:AG,"&lt;="&amp;日期!$B$5,allorders!AG:AG,"&gt;="&amp;日期!$B$12,allorders!N:N,"Shipped")/SUM(C188:F188)</f>
        <v>#DIV/0!</v>
      </c>
      <c r="H188">
        <f>SUMIFS(allorders!Q:Q,allorders!L:L,A188,allorders!AG:AG,"&gt;="&amp;日期!$B$12,allorders!AG:AG,"&lt;="&amp;日期!$B$5,allorders!N:N,"Shipped")</f>
        <v>0</v>
      </c>
      <c r="I188">
        <f t="shared" si="2"/>
        <v>0</v>
      </c>
    </row>
    <row r="189" spans="1:9">
      <c r="A189" s="7" t="s">
        <v>3018</v>
      </c>
      <c r="B189" t="str">
        <f>VLOOKUP(A189,'[1]子sku-父sku'!$A$1:$B$65536,2,0)</f>
        <v>LYQ-1001</v>
      </c>
      <c r="C189">
        <f>SUMIFS(allorders!O:O,allorders!L:L,$A189,allorders!AG:AG,"&lt;="&amp;日期!$B$5,allorders!AG:AG,"&gt;="&amp;日期!$B$6,allorders!Q:Q,"&lt;&gt;"&amp;"",allorders!N:N,"Shipped")</f>
        <v>0</v>
      </c>
      <c r="D189">
        <f>SUMIFS(allorders!$O:$O,allorders!$L:$L,$A189,allorders!$AG:$AG,"&lt;="&amp;日期!$B$7,allorders!$AG:$AG,"&gt;="&amp;日期!$B$8,allorders!Q:Q,"&lt;&gt;"&amp;"",allorders!N:N,"Shipped")</f>
        <v>0</v>
      </c>
      <c r="E189">
        <f>SUMIFS(allorders!$O:$O,allorders!$L:$L,$A189,allorders!$AG:$AG,"&lt;="&amp;日期!$B$9,allorders!$AG:$AG,"&gt;="&amp;日期!$B$10,allorders!Q:Q,"&lt;&gt;"&amp;"",allorders!N:N,"Shipped")</f>
        <v>0</v>
      </c>
      <c r="F189">
        <f>SUMIFS(allorders!$O:$O,allorders!$L:$L,$A189,allorders!$AG:$AG,"&lt;="&amp;日期!$B$11,allorders!$AG:$AG,"&gt;="&amp;日期!$B$12,allorders!Q:Q,"&lt;&gt;"&amp;"",allorders!N:N,"Shipped")</f>
        <v>0</v>
      </c>
      <c r="G189" t="e">
        <f>SUMIFS(allorders!Q:Q,allorders!L:L,A189,allorders!AG:AG,"&lt;="&amp;日期!$B$5,allorders!AG:AG,"&gt;="&amp;日期!$B$12,allorders!N:N,"Shipped")/SUM(C189:F189)</f>
        <v>#DIV/0!</v>
      </c>
      <c r="H189">
        <f>SUMIFS(allorders!Q:Q,allorders!L:L,A189,allorders!AG:AG,"&gt;="&amp;日期!$B$12,allorders!AG:AG,"&lt;="&amp;日期!$B$5,allorders!N:N,"Shipped")</f>
        <v>0</v>
      </c>
      <c r="I189">
        <f t="shared" si="2"/>
        <v>0</v>
      </c>
    </row>
    <row r="190" spans="1:9">
      <c r="A190" s="7" t="s">
        <v>3025</v>
      </c>
      <c r="B190" t="str">
        <f>VLOOKUP(A190,'[1]子sku-父sku'!$A$1:$B$65536,2,0)</f>
        <v>LYQ-1001</v>
      </c>
      <c r="C190">
        <f>SUMIFS(allorders!O:O,allorders!L:L,$A190,allorders!AG:AG,"&lt;="&amp;日期!$B$5,allorders!AG:AG,"&gt;="&amp;日期!$B$6,allorders!Q:Q,"&lt;&gt;"&amp;"",allorders!N:N,"Shipped")</f>
        <v>0</v>
      </c>
      <c r="D190">
        <f>SUMIFS(allorders!$O:$O,allorders!$L:$L,$A190,allorders!$AG:$AG,"&lt;="&amp;日期!$B$7,allorders!$AG:$AG,"&gt;="&amp;日期!$B$8,allorders!Q:Q,"&lt;&gt;"&amp;"",allorders!N:N,"Shipped")</f>
        <v>0</v>
      </c>
      <c r="E190">
        <f>SUMIFS(allorders!$O:$O,allorders!$L:$L,$A190,allorders!$AG:$AG,"&lt;="&amp;日期!$B$9,allorders!$AG:$AG,"&gt;="&amp;日期!$B$10,allorders!Q:Q,"&lt;&gt;"&amp;"",allorders!N:N,"Shipped")</f>
        <v>0</v>
      </c>
      <c r="F190">
        <f>SUMIFS(allorders!$O:$O,allorders!$L:$L,$A190,allorders!$AG:$AG,"&lt;="&amp;日期!$B$11,allorders!$AG:$AG,"&gt;="&amp;日期!$B$12,allorders!Q:Q,"&lt;&gt;"&amp;"",allorders!N:N,"Shipped")</f>
        <v>0</v>
      </c>
      <c r="G190" t="e">
        <f>SUMIFS(allorders!Q:Q,allorders!L:L,A190,allorders!AG:AG,"&lt;="&amp;日期!$B$5,allorders!AG:AG,"&gt;="&amp;日期!$B$12,allorders!N:N,"Shipped")/SUM(C190:F190)</f>
        <v>#DIV/0!</v>
      </c>
      <c r="H190">
        <f>SUMIFS(allorders!Q:Q,allorders!L:L,A190,allorders!AG:AG,"&gt;="&amp;日期!$B$12,allorders!AG:AG,"&lt;="&amp;日期!$B$5,allorders!N:N,"Shipped")</f>
        <v>0</v>
      </c>
      <c r="I190">
        <f t="shared" si="2"/>
        <v>0</v>
      </c>
    </row>
    <row r="191" spans="1:9">
      <c r="A191" s="7" t="s">
        <v>3032</v>
      </c>
      <c r="B191" t="str">
        <f>VLOOKUP(A191,'[1]子sku-父sku'!$A$1:$B$65536,2,0)</f>
        <v>LYQ-1001</v>
      </c>
      <c r="C191">
        <f>SUMIFS(allorders!O:O,allorders!L:L,$A191,allorders!AG:AG,"&lt;="&amp;日期!$B$5,allorders!AG:AG,"&gt;="&amp;日期!$B$6,allorders!Q:Q,"&lt;&gt;"&amp;"",allorders!N:N,"Shipped")</f>
        <v>0</v>
      </c>
      <c r="D191">
        <f>SUMIFS(allorders!$O:$O,allorders!$L:$L,$A191,allorders!$AG:$AG,"&lt;="&amp;日期!$B$7,allorders!$AG:$AG,"&gt;="&amp;日期!$B$8,allorders!Q:Q,"&lt;&gt;"&amp;"",allorders!N:N,"Shipped")</f>
        <v>0</v>
      </c>
      <c r="E191">
        <f>SUMIFS(allorders!$O:$O,allorders!$L:$L,$A191,allorders!$AG:$AG,"&lt;="&amp;日期!$B$9,allorders!$AG:$AG,"&gt;="&amp;日期!$B$10,allorders!Q:Q,"&lt;&gt;"&amp;"",allorders!N:N,"Shipped")</f>
        <v>0</v>
      </c>
      <c r="F191">
        <f>SUMIFS(allorders!$O:$O,allorders!$L:$L,$A191,allorders!$AG:$AG,"&lt;="&amp;日期!$B$11,allorders!$AG:$AG,"&gt;="&amp;日期!$B$12,allorders!Q:Q,"&lt;&gt;"&amp;"",allorders!N:N,"Shipped")</f>
        <v>0</v>
      </c>
      <c r="G191" t="e">
        <f>SUMIFS(allorders!Q:Q,allorders!L:L,A191,allorders!AG:AG,"&lt;="&amp;日期!$B$5,allorders!AG:AG,"&gt;="&amp;日期!$B$12,allorders!N:N,"Shipped")/SUM(C191:F191)</f>
        <v>#DIV/0!</v>
      </c>
      <c r="H191">
        <f>SUMIFS(allorders!Q:Q,allorders!L:L,A191,allorders!AG:AG,"&gt;="&amp;日期!$B$12,allorders!AG:AG,"&lt;="&amp;日期!$B$5,allorders!N:N,"Shipped")</f>
        <v>0</v>
      </c>
      <c r="I191">
        <f t="shared" si="2"/>
        <v>0</v>
      </c>
    </row>
    <row r="192" spans="1:9">
      <c r="A192" s="7" t="s">
        <v>3043</v>
      </c>
      <c r="B192" t="str">
        <f>VLOOKUP(A192,'[1]子sku-父sku'!$A$1:$B$65536,2,0)</f>
        <v>LYQ-1001</v>
      </c>
      <c r="C192">
        <f>SUMIFS(allorders!O:O,allorders!L:L,$A192,allorders!AG:AG,"&lt;="&amp;日期!$B$5,allorders!AG:AG,"&gt;="&amp;日期!$B$6,allorders!Q:Q,"&lt;&gt;"&amp;"",allorders!N:N,"Shipped")</f>
        <v>0</v>
      </c>
      <c r="D192">
        <f>SUMIFS(allorders!$O:$O,allorders!$L:$L,$A192,allorders!$AG:$AG,"&lt;="&amp;日期!$B$7,allorders!$AG:$AG,"&gt;="&amp;日期!$B$8,allorders!Q:Q,"&lt;&gt;"&amp;"",allorders!N:N,"Shipped")</f>
        <v>0</v>
      </c>
      <c r="E192">
        <f>SUMIFS(allorders!$O:$O,allorders!$L:$L,$A192,allorders!$AG:$AG,"&lt;="&amp;日期!$B$9,allorders!$AG:$AG,"&gt;="&amp;日期!$B$10,allorders!Q:Q,"&lt;&gt;"&amp;"",allorders!N:N,"Shipped")</f>
        <v>0</v>
      </c>
      <c r="F192">
        <f>SUMIFS(allorders!$O:$O,allorders!$L:$L,$A192,allorders!$AG:$AG,"&lt;="&amp;日期!$B$11,allorders!$AG:$AG,"&gt;="&amp;日期!$B$12,allorders!Q:Q,"&lt;&gt;"&amp;"",allorders!N:N,"Shipped")</f>
        <v>0</v>
      </c>
      <c r="G192" t="e">
        <f>SUMIFS(allorders!Q:Q,allorders!L:L,A192,allorders!AG:AG,"&lt;="&amp;日期!$B$5,allorders!AG:AG,"&gt;="&amp;日期!$B$12,allorders!N:N,"Shipped")/SUM(C192:F192)</f>
        <v>#DIV/0!</v>
      </c>
      <c r="H192">
        <f>SUMIFS(allorders!Q:Q,allorders!L:L,A192,allorders!AG:AG,"&gt;="&amp;日期!$B$12,allorders!AG:AG,"&lt;="&amp;日期!$B$5,allorders!N:N,"Shipped")</f>
        <v>0</v>
      </c>
      <c r="I192">
        <f t="shared" si="2"/>
        <v>0</v>
      </c>
    </row>
    <row r="193" spans="1:9">
      <c r="A193" s="7" t="s">
        <v>3050</v>
      </c>
      <c r="B193" t="str">
        <f>VLOOKUP(A193,'[1]子sku-父sku'!$A$1:$B$65536,2,0)</f>
        <v>LYQ-1001</v>
      </c>
      <c r="C193">
        <f>SUMIFS(allorders!O:O,allorders!L:L,$A193,allorders!AG:AG,"&lt;="&amp;日期!$B$5,allorders!AG:AG,"&gt;="&amp;日期!$B$6,allorders!Q:Q,"&lt;&gt;"&amp;"",allorders!N:N,"Shipped")</f>
        <v>0</v>
      </c>
      <c r="D193">
        <f>SUMIFS(allorders!$O:$O,allorders!$L:$L,$A193,allorders!$AG:$AG,"&lt;="&amp;日期!$B$7,allorders!$AG:$AG,"&gt;="&amp;日期!$B$8,allorders!Q:Q,"&lt;&gt;"&amp;"",allorders!N:N,"Shipped")</f>
        <v>0</v>
      </c>
      <c r="E193">
        <f>SUMIFS(allorders!$O:$O,allorders!$L:$L,$A193,allorders!$AG:$AG,"&lt;="&amp;日期!$B$9,allorders!$AG:$AG,"&gt;="&amp;日期!$B$10,allorders!Q:Q,"&lt;&gt;"&amp;"",allorders!N:N,"Shipped")</f>
        <v>0</v>
      </c>
      <c r="F193">
        <f>SUMIFS(allorders!$O:$O,allorders!$L:$L,$A193,allorders!$AG:$AG,"&lt;="&amp;日期!$B$11,allorders!$AG:$AG,"&gt;="&amp;日期!$B$12,allorders!Q:Q,"&lt;&gt;"&amp;"",allorders!N:N,"Shipped")</f>
        <v>0</v>
      </c>
      <c r="G193" t="e">
        <f>SUMIFS(allorders!Q:Q,allorders!L:L,A193,allorders!AG:AG,"&lt;="&amp;日期!$B$5,allorders!AG:AG,"&gt;="&amp;日期!$B$12,allorders!N:N,"Shipped")/SUM(C193:F193)</f>
        <v>#DIV/0!</v>
      </c>
      <c r="H193">
        <f>SUMIFS(allorders!Q:Q,allorders!L:L,A193,allorders!AG:AG,"&gt;="&amp;日期!$B$12,allorders!AG:AG,"&lt;="&amp;日期!$B$5,allorders!N:N,"Shipped")</f>
        <v>0</v>
      </c>
      <c r="I193">
        <f t="shared" si="2"/>
        <v>0</v>
      </c>
    </row>
    <row r="194" spans="1:9">
      <c r="A194" s="7" t="s">
        <v>3057</v>
      </c>
      <c r="B194" t="str">
        <f>VLOOKUP(A194,'[1]子sku-父sku'!$A$1:$B$65536,2,0)</f>
        <v>LYQ-1001</v>
      </c>
      <c r="C194">
        <f>SUMIFS(allorders!O:O,allorders!L:L,$A194,allorders!AG:AG,"&lt;="&amp;日期!$B$5,allorders!AG:AG,"&gt;="&amp;日期!$B$6,allorders!Q:Q,"&lt;&gt;"&amp;"",allorders!N:N,"Shipped")</f>
        <v>0</v>
      </c>
      <c r="D194">
        <f>SUMIFS(allorders!$O:$O,allorders!$L:$L,$A194,allorders!$AG:$AG,"&lt;="&amp;日期!$B$7,allorders!$AG:$AG,"&gt;="&amp;日期!$B$8,allorders!Q:Q,"&lt;&gt;"&amp;"",allorders!N:N,"Shipped")</f>
        <v>0</v>
      </c>
      <c r="E194">
        <f>SUMIFS(allorders!$O:$O,allorders!$L:$L,$A194,allorders!$AG:$AG,"&lt;="&amp;日期!$B$9,allorders!$AG:$AG,"&gt;="&amp;日期!$B$10,allorders!Q:Q,"&lt;&gt;"&amp;"",allorders!N:N,"Shipped")</f>
        <v>0</v>
      </c>
      <c r="F194">
        <f>SUMIFS(allorders!$O:$O,allorders!$L:$L,$A194,allorders!$AG:$AG,"&lt;="&amp;日期!$B$11,allorders!$AG:$AG,"&gt;="&amp;日期!$B$12,allorders!Q:Q,"&lt;&gt;"&amp;"",allorders!N:N,"Shipped")</f>
        <v>0</v>
      </c>
      <c r="G194" t="e">
        <f>SUMIFS(allorders!Q:Q,allorders!L:L,A194,allorders!AG:AG,"&lt;="&amp;日期!$B$5,allorders!AG:AG,"&gt;="&amp;日期!$B$12,allorders!N:N,"Shipped")/SUM(C194:F194)</f>
        <v>#DIV/0!</v>
      </c>
      <c r="H194">
        <f>SUMIFS(allorders!Q:Q,allorders!L:L,A194,allorders!AG:AG,"&gt;="&amp;日期!$B$12,allorders!AG:AG,"&lt;="&amp;日期!$B$5,allorders!N:N,"Shipped")</f>
        <v>0</v>
      </c>
      <c r="I194">
        <f t="shared" si="2"/>
        <v>0</v>
      </c>
    </row>
    <row r="195" spans="1:9">
      <c r="A195" s="7" t="s">
        <v>3064</v>
      </c>
      <c r="B195" t="str">
        <f>VLOOKUP(A195,'[1]子sku-父sku'!$A$1:$B$65536,2,0)</f>
        <v>LYQ-1001</v>
      </c>
      <c r="C195">
        <f>SUMIFS(allorders!O:O,allorders!L:L,$A195,allorders!AG:AG,"&lt;="&amp;日期!$B$5,allorders!AG:AG,"&gt;="&amp;日期!$B$6,allorders!Q:Q,"&lt;&gt;"&amp;"",allorders!N:N,"Shipped")</f>
        <v>0</v>
      </c>
      <c r="D195">
        <f>SUMIFS(allorders!$O:$O,allorders!$L:$L,$A195,allorders!$AG:$AG,"&lt;="&amp;日期!$B$7,allorders!$AG:$AG,"&gt;="&amp;日期!$B$8,allorders!Q:Q,"&lt;&gt;"&amp;"",allorders!N:N,"Shipped")</f>
        <v>0</v>
      </c>
      <c r="E195">
        <f>SUMIFS(allorders!$O:$O,allorders!$L:$L,$A195,allorders!$AG:$AG,"&lt;="&amp;日期!$B$9,allorders!$AG:$AG,"&gt;="&amp;日期!$B$10,allorders!Q:Q,"&lt;&gt;"&amp;"",allorders!N:N,"Shipped")</f>
        <v>0</v>
      </c>
      <c r="F195">
        <f>SUMIFS(allorders!$O:$O,allorders!$L:$L,$A195,allorders!$AG:$AG,"&lt;="&amp;日期!$B$11,allorders!$AG:$AG,"&gt;="&amp;日期!$B$12,allorders!Q:Q,"&lt;&gt;"&amp;"",allorders!N:N,"Shipped")</f>
        <v>0</v>
      </c>
      <c r="G195" t="e">
        <f>SUMIFS(allorders!Q:Q,allorders!L:L,A195,allorders!AG:AG,"&lt;="&amp;日期!$B$5,allorders!AG:AG,"&gt;="&amp;日期!$B$12,allorders!N:N,"Shipped")/SUM(C195:F195)</f>
        <v>#DIV/0!</v>
      </c>
      <c r="H195">
        <f>SUMIFS(allorders!Q:Q,allorders!L:L,A195,allorders!AG:AG,"&gt;="&amp;日期!$B$12,allorders!AG:AG,"&lt;="&amp;日期!$B$5,allorders!N:N,"Shipped")</f>
        <v>0</v>
      </c>
      <c r="I195">
        <f t="shared" ref="I195:I258" si="3">SUM(C195:F195)</f>
        <v>0</v>
      </c>
    </row>
    <row r="196" spans="1:9">
      <c r="A196" s="7" t="s">
        <v>3071</v>
      </c>
      <c r="B196" t="str">
        <f>VLOOKUP(A196,'[1]子sku-父sku'!$A$1:$B$65536,2,0)</f>
        <v>LYQ-1001</v>
      </c>
      <c r="C196">
        <f>SUMIFS(allorders!O:O,allorders!L:L,$A196,allorders!AG:AG,"&lt;="&amp;日期!$B$5,allorders!AG:AG,"&gt;="&amp;日期!$B$6,allorders!Q:Q,"&lt;&gt;"&amp;"",allorders!N:N,"Shipped")</f>
        <v>0</v>
      </c>
      <c r="D196">
        <f>SUMIFS(allorders!$O:$O,allorders!$L:$L,$A196,allorders!$AG:$AG,"&lt;="&amp;日期!$B$7,allorders!$AG:$AG,"&gt;="&amp;日期!$B$8,allorders!Q:Q,"&lt;&gt;"&amp;"",allorders!N:N,"Shipped")</f>
        <v>0</v>
      </c>
      <c r="E196">
        <f>SUMIFS(allorders!$O:$O,allorders!$L:$L,$A196,allorders!$AG:$AG,"&lt;="&amp;日期!$B$9,allorders!$AG:$AG,"&gt;="&amp;日期!$B$10,allorders!Q:Q,"&lt;&gt;"&amp;"",allorders!N:N,"Shipped")</f>
        <v>0</v>
      </c>
      <c r="F196">
        <f>SUMIFS(allorders!$O:$O,allorders!$L:$L,$A196,allorders!$AG:$AG,"&lt;="&amp;日期!$B$11,allorders!$AG:$AG,"&gt;="&amp;日期!$B$12,allorders!Q:Q,"&lt;&gt;"&amp;"",allorders!N:N,"Shipped")</f>
        <v>0</v>
      </c>
      <c r="G196" t="e">
        <f>SUMIFS(allorders!Q:Q,allorders!L:L,A196,allorders!AG:AG,"&lt;="&amp;日期!$B$5,allorders!AG:AG,"&gt;="&amp;日期!$B$12,allorders!N:N,"Shipped")/SUM(C196:F196)</f>
        <v>#DIV/0!</v>
      </c>
      <c r="H196">
        <f>SUMIFS(allorders!Q:Q,allorders!L:L,A196,allorders!AG:AG,"&gt;="&amp;日期!$B$12,allorders!AG:AG,"&lt;="&amp;日期!$B$5,allorders!N:N,"Shipped")</f>
        <v>0</v>
      </c>
      <c r="I196">
        <f t="shared" si="3"/>
        <v>0</v>
      </c>
    </row>
    <row r="197" spans="1:9">
      <c r="A197" s="7" t="s">
        <v>3078</v>
      </c>
      <c r="B197" t="str">
        <f>VLOOKUP(A197,'[1]子sku-父sku'!$A$1:$B$65536,2,0)</f>
        <v>LYQ-1001</v>
      </c>
      <c r="C197">
        <f>SUMIFS(allorders!O:O,allorders!L:L,$A197,allorders!AG:AG,"&lt;="&amp;日期!$B$5,allorders!AG:AG,"&gt;="&amp;日期!$B$6,allorders!Q:Q,"&lt;&gt;"&amp;"",allorders!N:N,"Shipped")</f>
        <v>0</v>
      </c>
      <c r="D197">
        <f>SUMIFS(allorders!$O:$O,allorders!$L:$L,$A197,allorders!$AG:$AG,"&lt;="&amp;日期!$B$7,allorders!$AG:$AG,"&gt;="&amp;日期!$B$8,allorders!Q:Q,"&lt;&gt;"&amp;"",allorders!N:N,"Shipped")</f>
        <v>0</v>
      </c>
      <c r="E197">
        <f>SUMIFS(allorders!$O:$O,allorders!$L:$L,$A197,allorders!$AG:$AG,"&lt;="&amp;日期!$B$9,allorders!$AG:$AG,"&gt;="&amp;日期!$B$10,allorders!Q:Q,"&lt;&gt;"&amp;"",allorders!N:N,"Shipped")</f>
        <v>0</v>
      </c>
      <c r="F197">
        <f>SUMIFS(allorders!$O:$O,allorders!$L:$L,$A197,allorders!$AG:$AG,"&lt;="&amp;日期!$B$11,allorders!$AG:$AG,"&gt;="&amp;日期!$B$12,allorders!Q:Q,"&lt;&gt;"&amp;"",allorders!N:N,"Shipped")</f>
        <v>0</v>
      </c>
      <c r="G197" t="e">
        <f>SUMIFS(allorders!Q:Q,allorders!L:L,A197,allorders!AG:AG,"&lt;="&amp;日期!$B$5,allorders!AG:AG,"&gt;="&amp;日期!$B$12,allorders!N:N,"Shipped")/SUM(C197:F197)</f>
        <v>#DIV/0!</v>
      </c>
      <c r="H197">
        <f>SUMIFS(allorders!Q:Q,allorders!L:L,A197,allorders!AG:AG,"&gt;="&amp;日期!$B$12,allorders!AG:AG,"&lt;="&amp;日期!$B$5,allorders!N:N,"Shipped")</f>
        <v>0</v>
      </c>
      <c r="I197">
        <f t="shared" si="3"/>
        <v>0</v>
      </c>
    </row>
    <row r="198" spans="1:9">
      <c r="A198" s="7" t="s">
        <v>3088</v>
      </c>
      <c r="B198" t="str">
        <f>VLOOKUP(A198,'[1]子sku-父sku'!$A$1:$B$65536,2,0)</f>
        <v>LYQ-HM1205</v>
      </c>
      <c r="C198">
        <f>SUMIFS(allorders!O:O,allorders!L:L,$A198,allorders!AG:AG,"&lt;="&amp;日期!$B$5,allorders!AG:AG,"&gt;="&amp;日期!$B$6,allorders!Q:Q,"&lt;&gt;"&amp;"",allorders!N:N,"Shipped")</f>
        <v>0</v>
      </c>
      <c r="D198">
        <f>SUMIFS(allorders!$O:$O,allorders!$L:$L,$A198,allorders!$AG:$AG,"&lt;="&amp;日期!$B$7,allorders!$AG:$AG,"&gt;="&amp;日期!$B$8,allorders!Q:Q,"&lt;&gt;"&amp;"",allorders!N:N,"Shipped")</f>
        <v>0</v>
      </c>
      <c r="E198">
        <f>SUMIFS(allorders!$O:$O,allorders!$L:$L,$A198,allorders!$AG:$AG,"&lt;="&amp;日期!$B$9,allorders!$AG:$AG,"&gt;="&amp;日期!$B$10,allorders!Q:Q,"&lt;&gt;"&amp;"",allorders!N:N,"Shipped")</f>
        <v>0</v>
      </c>
      <c r="F198">
        <f>SUMIFS(allorders!$O:$O,allorders!$L:$L,$A198,allorders!$AG:$AG,"&lt;="&amp;日期!$B$11,allorders!$AG:$AG,"&gt;="&amp;日期!$B$12,allorders!Q:Q,"&lt;&gt;"&amp;"",allorders!N:N,"Shipped")</f>
        <v>0</v>
      </c>
      <c r="G198" t="e">
        <f>SUMIFS(allorders!Q:Q,allorders!L:L,A198,allorders!AG:AG,"&lt;="&amp;日期!$B$5,allorders!AG:AG,"&gt;="&amp;日期!$B$12,allorders!N:N,"Shipped")/SUM(C198:F198)</f>
        <v>#DIV/0!</v>
      </c>
      <c r="H198">
        <f>SUMIFS(allorders!Q:Q,allorders!L:L,A198,allorders!AG:AG,"&gt;="&amp;日期!$B$12,allorders!AG:AG,"&lt;="&amp;日期!$B$5,allorders!N:N,"Shipped")</f>
        <v>0</v>
      </c>
      <c r="I198">
        <f t="shared" si="3"/>
        <v>0</v>
      </c>
    </row>
    <row r="199" spans="1:9">
      <c r="A199" s="7" t="s">
        <v>3098</v>
      </c>
      <c r="B199" t="str">
        <f>VLOOKUP(A199,'[1]子sku-父sku'!$A$1:$B$65536,2,0)</f>
        <v>LYQ-HM1205</v>
      </c>
      <c r="C199">
        <f>SUMIFS(allorders!O:O,allorders!L:L,$A199,allorders!AG:AG,"&lt;="&amp;日期!$B$5,allorders!AG:AG,"&gt;="&amp;日期!$B$6,allorders!Q:Q,"&lt;&gt;"&amp;"",allorders!N:N,"Shipped")</f>
        <v>0</v>
      </c>
      <c r="D199">
        <f>SUMIFS(allorders!$O:$O,allorders!$L:$L,$A199,allorders!$AG:$AG,"&lt;="&amp;日期!$B$7,allorders!$AG:$AG,"&gt;="&amp;日期!$B$8,allorders!Q:Q,"&lt;&gt;"&amp;"",allorders!N:N,"Shipped")</f>
        <v>0</v>
      </c>
      <c r="E199">
        <f>SUMIFS(allorders!$O:$O,allorders!$L:$L,$A199,allorders!$AG:$AG,"&lt;="&amp;日期!$B$9,allorders!$AG:$AG,"&gt;="&amp;日期!$B$10,allorders!Q:Q,"&lt;&gt;"&amp;"",allorders!N:N,"Shipped")</f>
        <v>0</v>
      </c>
      <c r="F199">
        <f>SUMIFS(allorders!$O:$O,allorders!$L:$L,$A199,allorders!$AG:$AG,"&lt;="&amp;日期!$B$11,allorders!$AG:$AG,"&gt;="&amp;日期!$B$12,allorders!Q:Q,"&lt;&gt;"&amp;"",allorders!N:N,"Shipped")</f>
        <v>0</v>
      </c>
      <c r="G199" t="e">
        <f>SUMIFS(allorders!Q:Q,allorders!L:L,A199,allorders!AG:AG,"&lt;="&amp;日期!$B$5,allorders!AG:AG,"&gt;="&amp;日期!$B$12,allorders!N:N,"Shipped")/SUM(C199:F199)</f>
        <v>#DIV/0!</v>
      </c>
      <c r="H199">
        <f>SUMIFS(allorders!Q:Q,allorders!L:L,A199,allorders!AG:AG,"&gt;="&amp;日期!$B$12,allorders!AG:AG,"&lt;="&amp;日期!$B$5,allorders!N:N,"Shipped")</f>
        <v>0</v>
      </c>
      <c r="I199">
        <f t="shared" si="3"/>
        <v>0</v>
      </c>
    </row>
    <row r="200" spans="1:9">
      <c r="A200" s="7" t="s">
        <v>3104</v>
      </c>
      <c r="B200" t="str">
        <f>VLOOKUP(A200,'[1]子sku-父sku'!$A$1:$B$65536,2,0)</f>
        <v>LYQ-HM1205</v>
      </c>
      <c r="C200">
        <f>SUMIFS(allorders!O:O,allorders!L:L,$A200,allorders!AG:AG,"&lt;="&amp;日期!$B$5,allorders!AG:AG,"&gt;="&amp;日期!$B$6,allorders!Q:Q,"&lt;&gt;"&amp;"",allorders!N:N,"Shipped")</f>
        <v>0</v>
      </c>
      <c r="D200">
        <f>SUMIFS(allorders!$O:$O,allorders!$L:$L,$A200,allorders!$AG:$AG,"&lt;="&amp;日期!$B$7,allorders!$AG:$AG,"&gt;="&amp;日期!$B$8,allorders!Q:Q,"&lt;&gt;"&amp;"",allorders!N:N,"Shipped")</f>
        <v>0</v>
      </c>
      <c r="E200">
        <f>SUMIFS(allorders!$O:$O,allorders!$L:$L,$A200,allorders!$AG:$AG,"&lt;="&amp;日期!$B$9,allorders!$AG:$AG,"&gt;="&amp;日期!$B$10,allorders!Q:Q,"&lt;&gt;"&amp;"",allorders!N:N,"Shipped")</f>
        <v>0</v>
      </c>
      <c r="F200">
        <f>SUMIFS(allorders!$O:$O,allorders!$L:$L,$A200,allorders!$AG:$AG,"&lt;="&amp;日期!$B$11,allorders!$AG:$AG,"&gt;="&amp;日期!$B$12,allorders!Q:Q,"&lt;&gt;"&amp;"",allorders!N:N,"Shipped")</f>
        <v>0</v>
      </c>
      <c r="G200" t="e">
        <f>SUMIFS(allorders!Q:Q,allorders!L:L,A200,allorders!AG:AG,"&lt;="&amp;日期!$B$5,allorders!AG:AG,"&gt;="&amp;日期!$B$12,allorders!N:N,"Shipped")/SUM(C200:F200)</f>
        <v>#DIV/0!</v>
      </c>
      <c r="H200">
        <f>SUMIFS(allorders!Q:Q,allorders!L:L,A200,allorders!AG:AG,"&gt;="&amp;日期!$B$12,allorders!AG:AG,"&lt;="&amp;日期!$B$5,allorders!N:N,"Shipped")</f>
        <v>0</v>
      </c>
      <c r="I200">
        <f t="shared" si="3"/>
        <v>0</v>
      </c>
    </row>
    <row r="201" spans="1:9">
      <c r="A201" s="7" t="s">
        <v>3110</v>
      </c>
      <c r="B201" t="str">
        <f>VLOOKUP(A201,'[1]子sku-父sku'!$A$1:$B$65536,2,0)</f>
        <v>LYQ-HM1205</v>
      </c>
      <c r="C201">
        <f>SUMIFS(allorders!O:O,allorders!L:L,$A201,allorders!AG:AG,"&lt;="&amp;日期!$B$5,allorders!AG:AG,"&gt;="&amp;日期!$B$6,allorders!Q:Q,"&lt;&gt;"&amp;"",allorders!N:N,"Shipped")</f>
        <v>0</v>
      </c>
      <c r="D201">
        <f>SUMIFS(allorders!$O:$O,allorders!$L:$L,$A201,allorders!$AG:$AG,"&lt;="&amp;日期!$B$7,allorders!$AG:$AG,"&gt;="&amp;日期!$B$8,allorders!Q:Q,"&lt;&gt;"&amp;"",allorders!N:N,"Shipped")</f>
        <v>0</v>
      </c>
      <c r="E201">
        <f>SUMIFS(allorders!$O:$O,allorders!$L:$L,$A201,allorders!$AG:$AG,"&lt;="&amp;日期!$B$9,allorders!$AG:$AG,"&gt;="&amp;日期!$B$10,allorders!Q:Q,"&lt;&gt;"&amp;"",allorders!N:N,"Shipped")</f>
        <v>0</v>
      </c>
      <c r="F201">
        <f>SUMIFS(allorders!$O:$O,allorders!$L:$L,$A201,allorders!$AG:$AG,"&lt;="&amp;日期!$B$11,allorders!$AG:$AG,"&gt;="&amp;日期!$B$12,allorders!Q:Q,"&lt;&gt;"&amp;"",allorders!N:N,"Shipped")</f>
        <v>0</v>
      </c>
      <c r="G201" t="e">
        <f>SUMIFS(allorders!Q:Q,allorders!L:L,A201,allorders!AG:AG,"&lt;="&amp;日期!$B$5,allorders!AG:AG,"&gt;="&amp;日期!$B$12,allorders!N:N,"Shipped")/SUM(C201:F201)</f>
        <v>#DIV/0!</v>
      </c>
      <c r="H201">
        <f>SUMIFS(allorders!Q:Q,allorders!L:L,A201,allorders!AG:AG,"&gt;="&amp;日期!$B$12,allorders!AG:AG,"&lt;="&amp;日期!$B$5,allorders!N:N,"Shipped")</f>
        <v>0</v>
      </c>
      <c r="I201">
        <f t="shared" si="3"/>
        <v>0</v>
      </c>
    </row>
    <row r="202" spans="1:9">
      <c r="A202" s="7" t="s">
        <v>3116</v>
      </c>
      <c r="B202" t="str">
        <f>VLOOKUP(A202,'[1]子sku-父sku'!$A$1:$B$65536,2,0)</f>
        <v>LYQ-HM1205</v>
      </c>
      <c r="C202">
        <f>SUMIFS(allorders!O:O,allorders!L:L,$A202,allorders!AG:AG,"&lt;="&amp;日期!$B$5,allorders!AG:AG,"&gt;="&amp;日期!$B$6,allorders!Q:Q,"&lt;&gt;"&amp;"",allorders!N:N,"Shipped")</f>
        <v>0</v>
      </c>
      <c r="D202">
        <f>SUMIFS(allorders!$O:$O,allorders!$L:$L,$A202,allorders!$AG:$AG,"&lt;="&amp;日期!$B$7,allorders!$AG:$AG,"&gt;="&amp;日期!$B$8,allorders!Q:Q,"&lt;&gt;"&amp;"",allorders!N:N,"Shipped")</f>
        <v>0</v>
      </c>
      <c r="E202">
        <f>SUMIFS(allorders!$O:$O,allorders!$L:$L,$A202,allorders!$AG:$AG,"&lt;="&amp;日期!$B$9,allorders!$AG:$AG,"&gt;="&amp;日期!$B$10,allorders!Q:Q,"&lt;&gt;"&amp;"",allorders!N:N,"Shipped")</f>
        <v>0</v>
      </c>
      <c r="F202">
        <f>SUMIFS(allorders!$O:$O,allorders!$L:$L,$A202,allorders!$AG:$AG,"&lt;="&amp;日期!$B$11,allorders!$AG:$AG,"&gt;="&amp;日期!$B$12,allorders!Q:Q,"&lt;&gt;"&amp;"",allorders!N:N,"Shipped")</f>
        <v>0</v>
      </c>
      <c r="G202" t="e">
        <f>SUMIFS(allorders!Q:Q,allorders!L:L,A202,allorders!AG:AG,"&lt;="&amp;日期!$B$5,allorders!AG:AG,"&gt;="&amp;日期!$B$12,allorders!N:N,"Shipped")/SUM(C202:F202)</f>
        <v>#DIV/0!</v>
      </c>
      <c r="H202">
        <f>SUMIFS(allorders!Q:Q,allorders!L:L,A202,allorders!AG:AG,"&gt;="&amp;日期!$B$12,allorders!AG:AG,"&lt;="&amp;日期!$B$5,allorders!N:N,"Shipped")</f>
        <v>0</v>
      </c>
      <c r="I202">
        <f t="shared" si="3"/>
        <v>0</v>
      </c>
    </row>
    <row r="203" spans="1:9">
      <c r="A203" s="7" t="s">
        <v>3122</v>
      </c>
      <c r="B203" t="str">
        <f>VLOOKUP(A203,'[1]子sku-父sku'!$A$1:$B$65536,2,0)</f>
        <v>LYQ-HM1205</v>
      </c>
      <c r="C203">
        <f>SUMIFS(allorders!O:O,allorders!L:L,$A203,allorders!AG:AG,"&lt;="&amp;日期!$B$5,allorders!AG:AG,"&gt;="&amp;日期!$B$6,allorders!Q:Q,"&lt;&gt;"&amp;"",allorders!N:N,"Shipped")</f>
        <v>0</v>
      </c>
      <c r="D203">
        <f>SUMIFS(allorders!$O:$O,allorders!$L:$L,$A203,allorders!$AG:$AG,"&lt;="&amp;日期!$B$7,allorders!$AG:$AG,"&gt;="&amp;日期!$B$8,allorders!Q:Q,"&lt;&gt;"&amp;"",allorders!N:N,"Shipped")</f>
        <v>0</v>
      </c>
      <c r="E203">
        <f>SUMIFS(allorders!$O:$O,allorders!$L:$L,$A203,allorders!$AG:$AG,"&lt;="&amp;日期!$B$9,allorders!$AG:$AG,"&gt;="&amp;日期!$B$10,allorders!Q:Q,"&lt;&gt;"&amp;"",allorders!N:N,"Shipped")</f>
        <v>0</v>
      </c>
      <c r="F203">
        <f>SUMIFS(allorders!$O:$O,allorders!$L:$L,$A203,allorders!$AG:$AG,"&lt;="&amp;日期!$B$11,allorders!$AG:$AG,"&gt;="&amp;日期!$B$12,allorders!Q:Q,"&lt;&gt;"&amp;"",allorders!N:N,"Shipped")</f>
        <v>0</v>
      </c>
      <c r="G203" t="e">
        <f>SUMIFS(allorders!Q:Q,allorders!L:L,A203,allorders!AG:AG,"&lt;="&amp;日期!$B$5,allorders!AG:AG,"&gt;="&amp;日期!$B$12,allorders!N:N,"Shipped")/SUM(C203:F203)</f>
        <v>#DIV/0!</v>
      </c>
      <c r="H203">
        <f>SUMIFS(allorders!Q:Q,allorders!L:L,A203,allorders!AG:AG,"&gt;="&amp;日期!$B$12,allorders!AG:AG,"&lt;="&amp;日期!$B$5,allorders!N:N,"Shipped")</f>
        <v>0</v>
      </c>
      <c r="I203">
        <f t="shared" si="3"/>
        <v>0</v>
      </c>
    </row>
    <row r="204" spans="1:9">
      <c r="A204" s="7" t="s">
        <v>3129</v>
      </c>
      <c r="B204" t="str">
        <f>VLOOKUP(A204,'[1]子sku-父sku'!$A$1:$B$65536,2,0)</f>
        <v>LYQ-ZQS1741</v>
      </c>
      <c r="C204">
        <f>SUMIFS(allorders!O:O,allorders!L:L,$A204,allorders!AG:AG,"&lt;="&amp;日期!$B$5,allorders!AG:AG,"&gt;="&amp;日期!$B$6,allorders!Q:Q,"&lt;&gt;"&amp;"",allorders!N:N,"Shipped")</f>
        <v>0</v>
      </c>
      <c r="D204">
        <f>SUMIFS(allorders!$O:$O,allorders!$L:$L,$A204,allorders!$AG:$AG,"&lt;="&amp;日期!$B$7,allorders!$AG:$AG,"&gt;="&amp;日期!$B$8,allorders!Q:Q,"&lt;&gt;"&amp;"",allorders!N:N,"Shipped")</f>
        <v>0</v>
      </c>
      <c r="E204">
        <f>SUMIFS(allorders!$O:$O,allorders!$L:$L,$A204,allorders!$AG:$AG,"&lt;="&amp;日期!$B$9,allorders!$AG:$AG,"&gt;="&amp;日期!$B$10,allorders!Q:Q,"&lt;&gt;"&amp;"",allorders!N:N,"Shipped")</f>
        <v>0</v>
      </c>
      <c r="F204">
        <f>SUMIFS(allorders!$O:$O,allorders!$L:$L,$A204,allorders!$AG:$AG,"&lt;="&amp;日期!$B$11,allorders!$AG:$AG,"&gt;="&amp;日期!$B$12,allorders!Q:Q,"&lt;&gt;"&amp;"",allorders!N:N,"Shipped")</f>
        <v>0</v>
      </c>
      <c r="G204" t="e">
        <f>SUMIFS(allorders!Q:Q,allorders!L:L,A204,allorders!AG:AG,"&lt;="&amp;日期!$B$5,allorders!AG:AG,"&gt;="&amp;日期!$B$12,allorders!N:N,"Shipped")/SUM(C204:F204)</f>
        <v>#DIV/0!</v>
      </c>
      <c r="H204">
        <f>SUMIFS(allorders!Q:Q,allorders!L:L,A204,allorders!AG:AG,"&gt;="&amp;日期!$B$12,allorders!AG:AG,"&lt;="&amp;日期!$B$5,allorders!N:N,"Shipped")</f>
        <v>0</v>
      </c>
      <c r="I204">
        <f t="shared" si="3"/>
        <v>0</v>
      </c>
    </row>
    <row r="205" spans="1:9">
      <c r="A205" s="7" t="s">
        <v>3135</v>
      </c>
      <c r="B205" t="str">
        <f>VLOOKUP(A205,'[1]子sku-父sku'!$A$1:$B$65536,2,0)</f>
        <v>LYQ-ZQS1741</v>
      </c>
      <c r="C205">
        <f>SUMIFS(allorders!O:O,allorders!L:L,$A205,allorders!AG:AG,"&lt;="&amp;日期!$B$5,allorders!AG:AG,"&gt;="&amp;日期!$B$6,allorders!Q:Q,"&lt;&gt;"&amp;"",allorders!N:N,"Shipped")</f>
        <v>0</v>
      </c>
      <c r="D205">
        <f>SUMIFS(allorders!$O:$O,allorders!$L:$L,$A205,allorders!$AG:$AG,"&lt;="&amp;日期!$B$7,allorders!$AG:$AG,"&gt;="&amp;日期!$B$8,allorders!Q:Q,"&lt;&gt;"&amp;"",allorders!N:N,"Shipped")</f>
        <v>0</v>
      </c>
      <c r="E205">
        <f>SUMIFS(allorders!$O:$O,allorders!$L:$L,$A205,allorders!$AG:$AG,"&lt;="&amp;日期!$B$9,allorders!$AG:$AG,"&gt;="&amp;日期!$B$10,allorders!Q:Q,"&lt;&gt;"&amp;"",allorders!N:N,"Shipped")</f>
        <v>0</v>
      </c>
      <c r="F205">
        <f>SUMIFS(allorders!$O:$O,allorders!$L:$L,$A205,allorders!$AG:$AG,"&lt;="&amp;日期!$B$11,allorders!$AG:$AG,"&gt;="&amp;日期!$B$12,allorders!Q:Q,"&lt;&gt;"&amp;"",allorders!N:N,"Shipped")</f>
        <v>0</v>
      </c>
      <c r="G205" t="e">
        <f>SUMIFS(allorders!Q:Q,allorders!L:L,A205,allorders!AG:AG,"&lt;="&amp;日期!$B$5,allorders!AG:AG,"&gt;="&amp;日期!$B$12,allorders!N:N,"Shipped")/SUM(C205:F205)</f>
        <v>#DIV/0!</v>
      </c>
      <c r="H205">
        <f>SUMIFS(allorders!Q:Q,allorders!L:L,A205,allorders!AG:AG,"&gt;="&amp;日期!$B$12,allorders!AG:AG,"&lt;="&amp;日期!$B$5,allorders!N:N,"Shipped")</f>
        <v>0</v>
      </c>
      <c r="I205">
        <f t="shared" si="3"/>
        <v>0</v>
      </c>
    </row>
    <row r="206" spans="1:9">
      <c r="A206" s="7" t="s">
        <v>3141</v>
      </c>
      <c r="B206" t="str">
        <f>VLOOKUP(A206,'[1]子sku-父sku'!$A$1:$B$65536,2,0)</f>
        <v>LYQ-ZQS1741</v>
      </c>
      <c r="C206">
        <f>SUMIFS(allorders!O:O,allorders!L:L,$A206,allorders!AG:AG,"&lt;="&amp;日期!$B$5,allorders!AG:AG,"&gt;="&amp;日期!$B$6,allorders!Q:Q,"&lt;&gt;"&amp;"",allorders!N:N,"Shipped")</f>
        <v>0</v>
      </c>
      <c r="D206">
        <f>SUMIFS(allorders!$O:$O,allorders!$L:$L,$A206,allorders!$AG:$AG,"&lt;="&amp;日期!$B$7,allorders!$AG:$AG,"&gt;="&amp;日期!$B$8,allorders!Q:Q,"&lt;&gt;"&amp;"",allorders!N:N,"Shipped")</f>
        <v>0</v>
      </c>
      <c r="E206">
        <f>SUMIFS(allorders!$O:$O,allorders!$L:$L,$A206,allorders!$AG:$AG,"&lt;="&amp;日期!$B$9,allorders!$AG:$AG,"&gt;="&amp;日期!$B$10,allorders!Q:Q,"&lt;&gt;"&amp;"",allorders!N:N,"Shipped")</f>
        <v>0</v>
      </c>
      <c r="F206">
        <f>SUMIFS(allorders!$O:$O,allorders!$L:$L,$A206,allorders!$AG:$AG,"&lt;="&amp;日期!$B$11,allorders!$AG:$AG,"&gt;="&amp;日期!$B$12,allorders!Q:Q,"&lt;&gt;"&amp;"",allorders!N:N,"Shipped")</f>
        <v>0</v>
      </c>
      <c r="G206" t="e">
        <f>SUMIFS(allorders!Q:Q,allorders!L:L,A206,allorders!AG:AG,"&lt;="&amp;日期!$B$5,allorders!AG:AG,"&gt;="&amp;日期!$B$12,allorders!N:N,"Shipped")/SUM(C206:F206)</f>
        <v>#DIV/0!</v>
      </c>
      <c r="H206">
        <f>SUMIFS(allorders!Q:Q,allorders!L:L,A206,allorders!AG:AG,"&gt;="&amp;日期!$B$12,allorders!AG:AG,"&lt;="&amp;日期!$B$5,allorders!N:N,"Shipped")</f>
        <v>0</v>
      </c>
      <c r="I206">
        <f t="shared" si="3"/>
        <v>0</v>
      </c>
    </row>
    <row r="207" spans="1:9">
      <c r="A207" s="7" t="s">
        <v>3147</v>
      </c>
      <c r="B207" t="str">
        <f>VLOOKUP(A207,'[1]子sku-父sku'!$A$1:$B$65536,2,0)</f>
        <v>LYQ-ZQS1741</v>
      </c>
      <c r="C207">
        <f>SUMIFS(allorders!O:O,allorders!L:L,$A207,allorders!AG:AG,"&lt;="&amp;日期!$B$5,allorders!AG:AG,"&gt;="&amp;日期!$B$6,allorders!Q:Q,"&lt;&gt;"&amp;"",allorders!N:N,"Shipped")</f>
        <v>0</v>
      </c>
      <c r="D207">
        <f>SUMIFS(allorders!$O:$O,allorders!$L:$L,$A207,allorders!$AG:$AG,"&lt;="&amp;日期!$B$7,allorders!$AG:$AG,"&gt;="&amp;日期!$B$8,allorders!Q:Q,"&lt;&gt;"&amp;"",allorders!N:N,"Shipped")</f>
        <v>0</v>
      </c>
      <c r="E207">
        <f>SUMIFS(allorders!$O:$O,allorders!$L:$L,$A207,allorders!$AG:$AG,"&lt;="&amp;日期!$B$9,allorders!$AG:$AG,"&gt;="&amp;日期!$B$10,allorders!Q:Q,"&lt;&gt;"&amp;"",allorders!N:N,"Shipped")</f>
        <v>0</v>
      </c>
      <c r="F207">
        <f>SUMIFS(allorders!$O:$O,allorders!$L:$L,$A207,allorders!$AG:$AG,"&lt;="&amp;日期!$B$11,allorders!$AG:$AG,"&gt;="&amp;日期!$B$12,allorders!Q:Q,"&lt;&gt;"&amp;"",allorders!N:N,"Shipped")</f>
        <v>0</v>
      </c>
      <c r="G207" t="e">
        <f>SUMIFS(allorders!Q:Q,allorders!L:L,A207,allorders!AG:AG,"&lt;="&amp;日期!$B$5,allorders!AG:AG,"&gt;="&amp;日期!$B$12,allorders!N:N,"Shipped")/SUM(C207:F207)</f>
        <v>#DIV/0!</v>
      </c>
      <c r="H207">
        <f>SUMIFS(allorders!Q:Q,allorders!L:L,A207,allorders!AG:AG,"&gt;="&amp;日期!$B$12,allorders!AG:AG,"&lt;="&amp;日期!$B$5,allorders!N:N,"Shipped")</f>
        <v>0</v>
      </c>
      <c r="I207">
        <f t="shared" si="3"/>
        <v>0</v>
      </c>
    </row>
    <row r="208" spans="1:9">
      <c r="A208" s="7" t="s">
        <v>3153</v>
      </c>
      <c r="B208" t="str">
        <f>VLOOKUP(A208,'[1]子sku-父sku'!$A$1:$B$65536,2,0)</f>
        <v>LYQ-ZQS1741</v>
      </c>
      <c r="C208">
        <f>SUMIFS(allorders!O:O,allorders!L:L,$A208,allorders!AG:AG,"&lt;="&amp;日期!$B$5,allorders!AG:AG,"&gt;="&amp;日期!$B$6,allorders!Q:Q,"&lt;&gt;"&amp;"",allorders!N:N,"Shipped")</f>
        <v>0</v>
      </c>
      <c r="D208">
        <f>SUMIFS(allorders!$O:$O,allorders!$L:$L,$A208,allorders!$AG:$AG,"&lt;="&amp;日期!$B$7,allorders!$AG:$AG,"&gt;="&amp;日期!$B$8,allorders!Q:Q,"&lt;&gt;"&amp;"",allorders!N:N,"Shipped")</f>
        <v>0</v>
      </c>
      <c r="E208">
        <f>SUMIFS(allorders!$O:$O,allorders!$L:$L,$A208,allorders!$AG:$AG,"&lt;="&amp;日期!$B$9,allorders!$AG:$AG,"&gt;="&amp;日期!$B$10,allorders!Q:Q,"&lt;&gt;"&amp;"",allorders!N:N,"Shipped")</f>
        <v>0</v>
      </c>
      <c r="F208">
        <f>SUMIFS(allorders!$O:$O,allorders!$L:$L,$A208,allorders!$AG:$AG,"&lt;="&amp;日期!$B$11,allorders!$AG:$AG,"&gt;="&amp;日期!$B$12,allorders!Q:Q,"&lt;&gt;"&amp;"",allorders!N:N,"Shipped")</f>
        <v>0</v>
      </c>
      <c r="G208" t="e">
        <f>SUMIFS(allorders!Q:Q,allorders!L:L,A208,allorders!AG:AG,"&lt;="&amp;日期!$B$5,allorders!AG:AG,"&gt;="&amp;日期!$B$12,allorders!N:N,"Shipped")/SUM(C208:F208)</f>
        <v>#DIV/0!</v>
      </c>
      <c r="H208">
        <f>SUMIFS(allorders!Q:Q,allorders!L:L,A208,allorders!AG:AG,"&gt;="&amp;日期!$B$12,allorders!AG:AG,"&lt;="&amp;日期!$B$5,allorders!N:N,"Shipped")</f>
        <v>0</v>
      </c>
      <c r="I208">
        <f t="shared" si="3"/>
        <v>0</v>
      </c>
    </row>
    <row r="209" spans="1:9">
      <c r="A209" s="7" t="s">
        <v>3159</v>
      </c>
      <c r="B209" t="str">
        <f>VLOOKUP(A209,'[1]子sku-父sku'!$A$1:$B$65536,2,0)</f>
        <v>LYQ-ZQS1741</v>
      </c>
      <c r="C209">
        <f>SUMIFS(allorders!O:O,allorders!L:L,$A209,allorders!AG:AG,"&lt;="&amp;日期!$B$5,allorders!AG:AG,"&gt;="&amp;日期!$B$6,allorders!Q:Q,"&lt;&gt;"&amp;"",allorders!N:N,"Shipped")</f>
        <v>0</v>
      </c>
      <c r="D209">
        <f>SUMIFS(allorders!$O:$O,allorders!$L:$L,$A209,allorders!$AG:$AG,"&lt;="&amp;日期!$B$7,allorders!$AG:$AG,"&gt;="&amp;日期!$B$8,allorders!Q:Q,"&lt;&gt;"&amp;"",allorders!N:N,"Shipped")</f>
        <v>0</v>
      </c>
      <c r="E209">
        <f>SUMIFS(allorders!$O:$O,allorders!$L:$L,$A209,allorders!$AG:$AG,"&lt;="&amp;日期!$B$9,allorders!$AG:$AG,"&gt;="&amp;日期!$B$10,allorders!Q:Q,"&lt;&gt;"&amp;"",allorders!N:N,"Shipped")</f>
        <v>0</v>
      </c>
      <c r="F209">
        <f>SUMIFS(allorders!$O:$O,allorders!$L:$L,$A209,allorders!$AG:$AG,"&lt;="&amp;日期!$B$11,allorders!$AG:$AG,"&gt;="&amp;日期!$B$12,allorders!Q:Q,"&lt;&gt;"&amp;"",allorders!N:N,"Shipped")</f>
        <v>0</v>
      </c>
      <c r="G209" t="e">
        <f>SUMIFS(allorders!Q:Q,allorders!L:L,A209,allorders!AG:AG,"&lt;="&amp;日期!$B$5,allorders!AG:AG,"&gt;="&amp;日期!$B$12,allorders!N:N,"Shipped")/SUM(C209:F209)</f>
        <v>#DIV/0!</v>
      </c>
      <c r="H209">
        <f>SUMIFS(allorders!Q:Q,allorders!L:L,A209,allorders!AG:AG,"&gt;="&amp;日期!$B$12,allorders!AG:AG,"&lt;="&amp;日期!$B$5,allorders!N:N,"Shipped")</f>
        <v>0</v>
      </c>
      <c r="I209">
        <f t="shared" si="3"/>
        <v>0</v>
      </c>
    </row>
    <row r="210" spans="1:9">
      <c r="A210" s="7" t="s">
        <v>3165</v>
      </c>
      <c r="B210" t="str">
        <f>VLOOKUP(A210,'[1]子sku-父sku'!$A$1:$B$65536,2,0)</f>
        <v>LYQ-ZQS1741</v>
      </c>
      <c r="C210">
        <f>SUMIFS(allorders!O:O,allorders!L:L,$A210,allorders!AG:AG,"&lt;="&amp;日期!$B$5,allorders!AG:AG,"&gt;="&amp;日期!$B$6,allorders!Q:Q,"&lt;&gt;"&amp;"",allorders!N:N,"Shipped")</f>
        <v>0</v>
      </c>
      <c r="D210">
        <f>SUMIFS(allorders!$O:$O,allorders!$L:$L,$A210,allorders!$AG:$AG,"&lt;="&amp;日期!$B$7,allorders!$AG:$AG,"&gt;="&amp;日期!$B$8,allorders!Q:Q,"&lt;&gt;"&amp;"",allorders!N:N,"Shipped")</f>
        <v>0</v>
      </c>
      <c r="E210">
        <f>SUMIFS(allorders!$O:$O,allorders!$L:$L,$A210,allorders!$AG:$AG,"&lt;="&amp;日期!$B$9,allorders!$AG:$AG,"&gt;="&amp;日期!$B$10,allorders!Q:Q,"&lt;&gt;"&amp;"",allorders!N:N,"Shipped")</f>
        <v>0</v>
      </c>
      <c r="F210">
        <f>SUMIFS(allorders!$O:$O,allorders!$L:$L,$A210,allorders!$AG:$AG,"&lt;="&amp;日期!$B$11,allorders!$AG:$AG,"&gt;="&amp;日期!$B$12,allorders!Q:Q,"&lt;&gt;"&amp;"",allorders!N:N,"Shipped")</f>
        <v>0</v>
      </c>
      <c r="G210" t="e">
        <f>SUMIFS(allorders!Q:Q,allorders!L:L,A210,allorders!AG:AG,"&lt;="&amp;日期!$B$5,allorders!AG:AG,"&gt;="&amp;日期!$B$12,allorders!N:N,"Shipped")/SUM(C210:F210)</f>
        <v>#DIV/0!</v>
      </c>
      <c r="H210">
        <f>SUMIFS(allorders!Q:Q,allorders!L:L,A210,allorders!AG:AG,"&gt;="&amp;日期!$B$12,allorders!AG:AG,"&lt;="&amp;日期!$B$5,allorders!N:N,"Shipped")</f>
        <v>0</v>
      </c>
      <c r="I210">
        <f t="shared" si="3"/>
        <v>0</v>
      </c>
    </row>
    <row r="211" spans="1:9">
      <c r="A211" s="7" t="s">
        <v>3171</v>
      </c>
      <c r="B211" t="str">
        <f>VLOOKUP(A211,'[1]子sku-父sku'!$A$1:$B$65536,2,0)</f>
        <v>LYQ-ZQS1741</v>
      </c>
      <c r="C211">
        <f>SUMIFS(allorders!O:O,allorders!L:L,$A211,allorders!AG:AG,"&lt;="&amp;日期!$B$5,allorders!AG:AG,"&gt;="&amp;日期!$B$6,allorders!Q:Q,"&lt;&gt;"&amp;"",allorders!N:N,"Shipped")</f>
        <v>0</v>
      </c>
      <c r="D211">
        <f>SUMIFS(allorders!$O:$O,allorders!$L:$L,$A211,allorders!$AG:$AG,"&lt;="&amp;日期!$B$7,allorders!$AG:$AG,"&gt;="&amp;日期!$B$8,allorders!Q:Q,"&lt;&gt;"&amp;"",allorders!N:N,"Shipped")</f>
        <v>0</v>
      </c>
      <c r="E211">
        <f>SUMIFS(allorders!$O:$O,allorders!$L:$L,$A211,allorders!$AG:$AG,"&lt;="&amp;日期!$B$9,allorders!$AG:$AG,"&gt;="&amp;日期!$B$10,allorders!Q:Q,"&lt;&gt;"&amp;"",allorders!N:N,"Shipped")</f>
        <v>0</v>
      </c>
      <c r="F211">
        <f>SUMIFS(allorders!$O:$O,allorders!$L:$L,$A211,allorders!$AG:$AG,"&lt;="&amp;日期!$B$11,allorders!$AG:$AG,"&gt;="&amp;日期!$B$12,allorders!Q:Q,"&lt;&gt;"&amp;"",allorders!N:N,"Shipped")</f>
        <v>0</v>
      </c>
      <c r="G211" t="e">
        <f>SUMIFS(allorders!Q:Q,allorders!L:L,A211,allorders!AG:AG,"&lt;="&amp;日期!$B$5,allorders!AG:AG,"&gt;="&amp;日期!$B$12,allorders!N:N,"Shipped")/SUM(C211:F211)</f>
        <v>#DIV/0!</v>
      </c>
      <c r="H211">
        <f>SUMIFS(allorders!Q:Q,allorders!L:L,A211,allorders!AG:AG,"&gt;="&amp;日期!$B$12,allorders!AG:AG,"&lt;="&amp;日期!$B$5,allorders!N:N,"Shipped")</f>
        <v>0</v>
      </c>
      <c r="I211">
        <f t="shared" si="3"/>
        <v>0</v>
      </c>
    </row>
    <row r="212" spans="1:9">
      <c r="A212" s="7" t="s">
        <v>3181</v>
      </c>
      <c r="B212" t="str">
        <f>VLOOKUP(A212,'[1]子sku-父sku'!$A$1:$B$65536,2,0)</f>
        <v>WJ-ZQ650</v>
      </c>
      <c r="C212">
        <f>SUMIFS(allorders!O:O,allorders!L:L,$A212,allorders!AG:AG,"&lt;="&amp;日期!$B$5,allorders!AG:AG,"&gt;="&amp;日期!$B$6,allorders!Q:Q,"&lt;&gt;"&amp;"",allorders!N:N,"Shipped")</f>
        <v>0</v>
      </c>
      <c r="D212">
        <f>SUMIFS(allorders!$O:$O,allorders!$L:$L,$A212,allorders!$AG:$AG,"&lt;="&amp;日期!$B$7,allorders!$AG:$AG,"&gt;="&amp;日期!$B$8,allorders!Q:Q,"&lt;&gt;"&amp;"",allorders!N:N,"Shipped")</f>
        <v>0</v>
      </c>
      <c r="E212">
        <f>SUMIFS(allorders!$O:$O,allorders!$L:$L,$A212,allorders!$AG:$AG,"&lt;="&amp;日期!$B$9,allorders!$AG:$AG,"&gt;="&amp;日期!$B$10,allorders!Q:Q,"&lt;&gt;"&amp;"",allorders!N:N,"Shipped")</f>
        <v>0</v>
      </c>
      <c r="F212">
        <f>SUMIFS(allorders!$O:$O,allorders!$L:$L,$A212,allorders!$AG:$AG,"&lt;="&amp;日期!$B$11,allorders!$AG:$AG,"&gt;="&amp;日期!$B$12,allorders!Q:Q,"&lt;&gt;"&amp;"",allorders!N:N,"Shipped")</f>
        <v>0</v>
      </c>
      <c r="G212" t="e">
        <f>SUMIFS(allorders!Q:Q,allorders!L:L,A212,allorders!AG:AG,"&lt;="&amp;日期!$B$5,allorders!AG:AG,"&gt;="&amp;日期!$B$12,allorders!N:N,"Shipped")/SUM(C212:F212)</f>
        <v>#DIV/0!</v>
      </c>
      <c r="H212">
        <f>SUMIFS(allorders!Q:Q,allorders!L:L,A212,allorders!AG:AG,"&gt;="&amp;日期!$B$12,allorders!AG:AG,"&lt;="&amp;日期!$B$5,allorders!N:N,"Shipped")</f>
        <v>0</v>
      </c>
      <c r="I212">
        <f t="shared" si="3"/>
        <v>0</v>
      </c>
    </row>
    <row r="213" spans="1:9">
      <c r="A213" s="7" t="s">
        <v>3187</v>
      </c>
      <c r="B213" t="str">
        <f>VLOOKUP(A213,'[1]子sku-父sku'!$A$1:$B$65536,2,0)</f>
        <v>WJ-ZQ650</v>
      </c>
      <c r="C213">
        <f>SUMIFS(allorders!O:O,allorders!L:L,$A213,allorders!AG:AG,"&lt;="&amp;日期!$B$5,allorders!AG:AG,"&gt;="&amp;日期!$B$6,allorders!Q:Q,"&lt;&gt;"&amp;"",allorders!N:N,"Shipped")</f>
        <v>0</v>
      </c>
      <c r="D213">
        <f>SUMIFS(allorders!$O:$O,allorders!$L:$L,$A213,allorders!$AG:$AG,"&lt;="&amp;日期!$B$7,allorders!$AG:$AG,"&gt;="&amp;日期!$B$8,allorders!Q:Q,"&lt;&gt;"&amp;"",allorders!N:N,"Shipped")</f>
        <v>0</v>
      </c>
      <c r="E213">
        <f>SUMIFS(allorders!$O:$O,allorders!$L:$L,$A213,allorders!$AG:$AG,"&lt;="&amp;日期!$B$9,allorders!$AG:$AG,"&gt;="&amp;日期!$B$10,allorders!Q:Q,"&lt;&gt;"&amp;"",allorders!N:N,"Shipped")</f>
        <v>0</v>
      </c>
      <c r="F213">
        <f>SUMIFS(allorders!$O:$O,allorders!$L:$L,$A213,allorders!$AG:$AG,"&lt;="&amp;日期!$B$11,allorders!$AG:$AG,"&gt;="&amp;日期!$B$12,allorders!Q:Q,"&lt;&gt;"&amp;"",allorders!N:N,"Shipped")</f>
        <v>0</v>
      </c>
      <c r="G213" t="e">
        <f>SUMIFS(allorders!Q:Q,allorders!L:L,A213,allorders!AG:AG,"&lt;="&amp;日期!$B$5,allorders!AG:AG,"&gt;="&amp;日期!$B$12,allorders!N:N,"Shipped")/SUM(C213:F213)</f>
        <v>#DIV/0!</v>
      </c>
      <c r="H213">
        <f>SUMIFS(allorders!Q:Q,allorders!L:L,A213,allorders!AG:AG,"&gt;="&amp;日期!$B$12,allorders!AG:AG,"&lt;="&amp;日期!$B$5,allorders!N:N,"Shipped")</f>
        <v>0</v>
      </c>
      <c r="I213">
        <f t="shared" si="3"/>
        <v>0</v>
      </c>
    </row>
    <row r="214" spans="1:9">
      <c r="A214" s="7" t="s">
        <v>3193</v>
      </c>
      <c r="B214" t="str">
        <f>VLOOKUP(A214,'[1]子sku-父sku'!$A$1:$B$65536,2,0)</f>
        <v>WJ-ZQ650</v>
      </c>
      <c r="C214">
        <f>SUMIFS(allorders!O:O,allorders!L:L,$A214,allorders!AG:AG,"&lt;="&amp;日期!$B$5,allorders!AG:AG,"&gt;="&amp;日期!$B$6,allorders!Q:Q,"&lt;&gt;"&amp;"",allorders!N:N,"Shipped")</f>
        <v>0</v>
      </c>
      <c r="D214">
        <f>SUMIFS(allorders!$O:$O,allorders!$L:$L,$A214,allorders!$AG:$AG,"&lt;="&amp;日期!$B$7,allorders!$AG:$AG,"&gt;="&amp;日期!$B$8,allorders!Q:Q,"&lt;&gt;"&amp;"",allorders!N:N,"Shipped")</f>
        <v>0</v>
      </c>
      <c r="E214">
        <f>SUMIFS(allorders!$O:$O,allorders!$L:$L,$A214,allorders!$AG:$AG,"&lt;="&amp;日期!$B$9,allorders!$AG:$AG,"&gt;="&amp;日期!$B$10,allorders!Q:Q,"&lt;&gt;"&amp;"",allorders!N:N,"Shipped")</f>
        <v>0</v>
      </c>
      <c r="F214">
        <f>SUMIFS(allorders!$O:$O,allorders!$L:$L,$A214,allorders!$AG:$AG,"&lt;="&amp;日期!$B$11,allorders!$AG:$AG,"&gt;="&amp;日期!$B$12,allorders!Q:Q,"&lt;&gt;"&amp;"",allorders!N:N,"Shipped")</f>
        <v>0</v>
      </c>
      <c r="G214" t="e">
        <f>SUMIFS(allorders!Q:Q,allorders!L:L,A214,allorders!AG:AG,"&lt;="&amp;日期!$B$5,allorders!AG:AG,"&gt;="&amp;日期!$B$12,allorders!N:N,"Shipped")/SUM(C214:F214)</f>
        <v>#DIV/0!</v>
      </c>
      <c r="H214">
        <f>SUMIFS(allorders!Q:Q,allorders!L:L,A214,allorders!AG:AG,"&gt;="&amp;日期!$B$12,allorders!AG:AG,"&lt;="&amp;日期!$B$5,allorders!N:N,"Shipped")</f>
        <v>0</v>
      </c>
      <c r="I214">
        <f t="shared" si="3"/>
        <v>0</v>
      </c>
    </row>
    <row r="215" spans="1:9">
      <c r="A215" s="7" t="s">
        <v>3199</v>
      </c>
      <c r="B215" t="str">
        <f>VLOOKUP(A215,'[1]子sku-父sku'!$A$1:$B$65536,2,0)</f>
        <v>WJ-ZQ650</v>
      </c>
      <c r="C215">
        <f>SUMIFS(allorders!O:O,allorders!L:L,$A215,allorders!AG:AG,"&lt;="&amp;日期!$B$5,allorders!AG:AG,"&gt;="&amp;日期!$B$6,allorders!Q:Q,"&lt;&gt;"&amp;"",allorders!N:N,"Shipped")</f>
        <v>0</v>
      </c>
      <c r="D215">
        <f>SUMIFS(allorders!$O:$O,allorders!$L:$L,$A215,allorders!$AG:$AG,"&lt;="&amp;日期!$B$7,allorders!$AG:$AG,"&gt;="&amp;日期!$B$8,allorders!Q:Q,"&lt;&gt;"&amp;"",allorders!N:N,"Shipped")</f>
        <v>0</v>
      </c>
      <c r="E215">
        <f>SUMIFS(allorders!$O:$O,allorders!$L:$L,$A215,allorders!$AG:$AG,"&lt;="&amp;日期!$B$9,allorders!$AG:$AG,"&gt;="&amp;日期!$B$10,allorders!Q:Q,"&lt;&gt;"&amp;"",allorders!N:N,"Shipped")</f>
        <v>0</v>
      </c>
      <c r="F215">
        <f>SUMIFS(allorders!$O:$O,allorders!$L:$L,$A215,allorders!$AG:$AG,"&lt;="&amp;日期!$B$11,allorders!$AG:$AG,"&gt;="&amp;日期!$B$12,allorders!Q:Q,"&lt;&gt;"&amp;"",allorders!N:N,"Shipped")</f>
        <v>0</v>
      </c>
      <c r="G215" t="e">
        <f>SUMIFS(allorders!Q:Q,allorders!L:L,A215,allorders!AG:AG,"&lt;="&amp;日期!$B$5,allorders!AG:AG,"&gt;="&amp;日期!$B$12,allorders!N:N,"Shipped")/SUM(C215:F215)</f>
        <v>#DIV/0!</v>
      </c>
      <c r="H215">
        <f>SUMIFS(allorders!Q:Q,allorders!L:L,A215,allorders!AG:AG,"&gt;="&amp;日期!$B$12,allorders!AG:AG,"&lt;="&amp;日期!$B$5,allorders!N:N,"Shipped")</f>
        <v>0</v>
      </c>
      <c r="I215">
        <f t="shared" si="3"/>
        <v>0</v>
      </c>
    </row>
    <row r="216" spans="1:9">
      <c r="A216" s="7" t="s">
        <v>3205</v>
      </c>
      <c r="B216" t="str">
        <f>VLOOKUP(A216,'[1]子sku-父sku'!$A$1:$B$65536,2,0)</f>
        <v>WJ-ZQ650</v>
      </c>
      <c r="C216">
        <f>SUMIFS(allorders!O:O,allorders!L:L,$A216,allorders!AG:AG,"&lt;="&amp;日期!$B$5,allorders!AG:AG,"&gt;="&amp;日期!$B$6,allorders!Q:Q,"&lt;&gt;"&amp;"",allorders!N:N,"Shipped")</f>
        <v>0</v>
      </c>
      <c r="D216">
        <f>SUMIFS(allorders!$O:$O,allorders!$L:$L,$A216,allorders!$AG:$AG,"&lt;="&amp;日期!$B$7,allorders!$AG:$AG,"&gt;="&amp;日期!$B$8,allorders!Q:Q,"&lt;&gt;"&amp;"",allorders!N:N,"Shipped")</f>
        <v>0</v>
      </c>
      <c r="E216">
        <f>SUMIFS(allorders!$O:$O,allorders!$L:$L,$A216,allorders!$AG:$AG,"&lt;="&amp;日期!$B$9,allorders!$AG:$AG,"&gt;="&amp;日期!$B$10,allorders!Q:Q,"&lt;&gt;"&amp;"",allorders!N:N,"Shipped")</f>
        <v>0</v>
      </c>
      <c r="F216">
        <f>SUMIFS(allorders!$O:$O,allorders!$L:$L,$A216,allorders!$AG:$AG,"&lt;="&amp;日期!$B$11,allorders!$AG:$AG,"&gt;="&amp;日期!$B$12,allorders!Q:Q,"&lt;&gt;"&amp;"",allorders!N:N,"Shipped")</f>
        <v>0</v>
      </c>
      <c r="G216" t="e">
        <f>SUMIFS(allorders!Q:Q,allorders!L:L,A216,allorders!AG:AG,"&lt;="&amp;日期!$B$5,allorders!AG:AG,"&gt;="&amp;日期!$B$12,allorders!N:N,"Shipped")/SUM(C216:F216)</f>
        <v>#DIV/0!</v>
      </c>
      <c r="H216">
        <f>SUMIFS(allorders!Q:Q,allorders!L:L,A216,allorders!AG:AG,"&gt;="&amp;日期!$B$12,allorders!AG:AG,"&lt;="&amp;日期!$B$5,allorders!N:N,"Shipped")</f>
        <v>0</v>
      </c>
      <c r="I216">
        <f t="shared" si="3"/>
        <v>0</v>
      </c>
    </row>
    <row r="217" spans="1:9">
      <c r="A217" s="7" t="s">
        <v>3211</v>
      </c>
      <c r="B217" t="str">
        <f>VLOOKUP(A217,'[1]子sku-父sku'!$A$1:$B$65536,2,0)</f>
        <v>WJ-ZQ650</v>
      </c>
      <c r="C217">
        <f>SUMIFS(allorders!O:O,allorders!L:L,$A217,allorders!AG:AG,"&lt;="&amp;日期!$B$5,allorders!AG:AG,"&gt;="&amp;日期!$B$6,allorders!Q:Q,"&lt;&gt;"&amp;"",allorders!N:N,"Shipped")</f>
        <v>0</v>
      </c>
      <c r="D217">
        <f>SUMIFS(allorders!$O:$O,allorders!$L:$L,$A217,allorders!$AG:$AG,"&lt;="&amp;日期!$B$7,allorders!$AG:$AG,"&gt;="&amp;日期!$B$8,allorders!Q:Q,"&lt;&gt;"&amp;"",allorders!N:N,"Shipped")</f>
        <v>0</v>
      </c>
      <c r="E217">
        <f>SUMIFS(allorders!$O:$O,allorders!$L:$L,$A217,allorders!$AG:$AG,"&lt;="&amp;日期!$B$9,allorders!$AG:$AG,"&gt;="&amp;日期!$B$10,allorders!Q:Q,"&lt;&gt;"&amp;"",allorders!N:N,"Shipped")</f>
        <v>0</v>
      </c>
      <c r="F217">
        <f>SUMIFS(allorders!$O:$O,allorders!$L:$L,$A217,allorders!$AG:$AG,"&lt;="&amp;日期!$B$11,allorders!$AG:$AG,"&gt;="&amp;日期!$B$12,allorders!Q:Q,"&lt;&gt;"&amp;"",allorders!N:N,"Shipped")</f>
        <v>0</v>
      </c>
      <c r="G217" t="e">
        <f>SUMIFS(allorders!Q:Q,allorders!L:L,A217,allorders!AG:AG,"&lt;="&amp;日期!$B$5,allorders!AG:AG,"&gt;="&amp;日期!$B$12,allorders!N:N,"Shipped")/SUM(C217:F217)</f>
        <v>#DIV/0!</v>
      </c>
      <c r="H217">
        <f>SUMIFS(allorders!Q:Q,allorders!L:L,A217,allorders!AG:AG,"&gt;="&amp;日期!$B$12,allorders!AG:AG,"&lt;="&amp;日期!$B$5,allorders!N:N,"Shipped")</f>
        <v>0</v>
      </c>
      <c r="I217">
        <f t="shared" si="3"/>
        <v>0</v>
      </c>
    </row>
    <row r="218" spans="1:9">
      <c r="A218" s="7" t="s">
        <v>3217</v>
      </c>
      <c r="B218" t="str">
        <f>VLOOKUP(A218,'[1]子sku-父sku'!$A$1:$B$65536,2,0)</f>
        <v>WJ-ZQ650</v>
      </c>
      <c r="C218">
        <f>SUMIFS(allorders!O:O,allorders!L:L,$A218,allorders!AG:AG,"&lt;="&amp;日期!$B$5,allorders!AG:AG,"&gt;="&amp;日期!$B$6,allorders!Q:Q,"&lt;&gt;"&amp;"",allorders!N:N,"Shipped")</f>
        <v>0</v>
      </c>
      <c r="D218">
        <f>SUMIFS(allorders!$O:$O,allorders!$L:$L,$A218,allorders!$AG:$AG,"&lt;="&amp;日期!$B$7,allorders!$AG:$AG,"&gt;="&amp;日期!$B$8,allorders!Q:Q,"&lt;&gt;"&amp;"",allorders!N:N,"Shipped")</f>
        <v>0</v>
      </c>
      <c r="E218">
        <f>SUMIFS(allorders!$O:$O,allorders!$L:$L,$A218,allorders!$AG:$AG,"&lt;="&amp;日期!$B$9,allorders!$AG:$AG,"&gt;="&amp;日期!$B$10,allorders!Q:Q,"&lt;&gt;"&amp;"",allorders!N:N,"Shipped")</f>
        <v>0</v>
      </c>
      <c r="F218">
        <f>SUMIFS(allorders!$O:$O,allorders!$L:$L,$A218,allorders!$AG:$AG,"&lt;="&amp;日期!$B$11,allorders!$AG:$AG,"&gt;="&amp;日期!$B$12,allorders!Q:Q,"&lt;&gt;"&amp;"",allorders!N:N,"Shipped")</f>
        <v>0</v>
      </c>
      <c r="G218" t="e">
        <f>SUMIFS(allorders!Q:Q,allorders!L:L,A218,allorders!AG:AG,"&lt;="&amp;日期!$B$5,allorders!AG:AG,"&gt;="&amp;日期!$B$12,allorders!N:N,"Shipped")/SUM(C218:F218)</f>
        <v>#DIV/0!</v>
      </c>
      <c r="H218">
        <f>SUMIFS(allorders!Q:Q,allorders!L:L,A218,allorders!AG:AG,"&gt;="&amp;日期!$B$12,allorders!AG:AG,"&lt;="&amp;日期!$B$5,allorders!N:N,"Shipped")</f>
        <v>0</v>
      </c>
      <c r="I218">
        <f t="shared" si="3"/>
        <v>0</v>
      </c>
    </row>
    <row r="219" spans="1:9">
      <c r="A219" s="7" t="s">
        <v>3223</v>
      </c>
      <c r="B219" t="str">
        <f>VLOOKUP(A219,'[1]子sku-父sku'!$A$1:$B$65536,2,0)</f>
        <v>WJ-ZQ650</v>
      </c>
      <c r="C219">
        <f>SUMIFS(allorders!O:O,allorders!L:L,$A219,allorders!AG:AG,"&lt;="&amp;日期!$B$5,allorders!AG:AG,"&gt;="&amp;日期!$B$6,allorders!Q:Q,"&lt;&gt;"&amp;"",allorders!N:N,"Shipped")</f>
        <v>0</v>
      </c>
      <c r="D219">
        <f>SUMIFS(allorders!$O:$O,allorders!$L:$L,$A219,allorders!$AG:$AG,"&lt;="&amp;日期!$B$7,allorders!$AG:$AG,"&gt;="&amp;日期!$B$8,allorders!Q:Q,"&lt;&gt;"&amp;"",allorders!N:N,"Shipped")</f>
        <v>0</v>
      </c>
      <c r="E219">
        <f>SUMIFS(allorders!$O:$O,allorders!$L:$L,$A219,allorders!$AG:$AG,"&lt;="&amp;日期!$B$9,allorders!$AG:$AG,"&gt;="&amp;日期!$B$10,allorders!Q:Q,"&lt;&gt;"&amp;"",allorders!N:N,"Shipped")</f>
        <v>0</v>
      </c>
      <c r="F219">
        <f>SUMIFS(allorders!$O:$O,allorders!$L:$L,$A219,allorders!$AG:$AG,"&lt;="&amp;日期!$B$11,allorders!$AG:$AG,"&gt;="&amp;日期!$B$12,allorders!Q:Q,"&lt;&gt;"&amp;"",allorders!N:N,"Shipped")</f>
        <v>0</v>
      </c>
      <c r="G219" t="e">
        <f>SUMIFS(allorders!Q:Q,allorders!L:L,A219,allorders!AG:AG,"&lt;="&amp;日期!$B$5,allorders!AG:AG,"&gt;="&amp;日期!$B$12,allorders!N:N,"Shipped")/SUM(C219:F219)</f>
        <v>#DIV/0!</v>
      </c>
      <c r="H219">
        <f>SUMIFS(allorders!Q:Q,allorders!L:L,A219,allorders!AG:AG,"&gt;="&amp;日期!$B$12,allorders!AG:AG,"&lt;="&amp;日期!$B$5,allorders!N:N,"Shipped")</f>
        <v>0</v>
      </c>
      <c r="I219">
        <f t="shared" si="3"/>
        <v>0</v>
      </c>
    </row>
    <row r="220" spans="1:9">
      <c r="A220" s="7" t="s">
        <v>3229</v>
      </c>
      <c r="B220" t="str">
        <f>VLOOKUP(A220,'[1]子sku-父sku'!$A$1:$B$65536,2,0)</f>
        <v>WJ-ZQ650</v>
      </c>
      <c r="C220">
        <f>SUMIFS(allorders!O:O,allorders!L:L,$A220,allorders!AG:AG,"&lt;="&amp;日期!$B$5,allorders!AG:AG,"&gt;="&amp;日期!$B$6,allorders!Q:Q,"&lt;&gt;"&amp;"",allorders!N:N,"Shipped")</f>
        <v>0</v>
      </c>
      <c r="D220">
        <f>SUMIFS(allorders!$O:$O,allorders!$L:$L,$A220,allorders!$AG:$AG,"&lt;="&amp;日期!$B$7,allorders!$AG:$AG,"&gt;="&amp;日期!$B$8,allorders!Q:Q,"&lt;&gt;"&amp;"",allorders!N:N,"Shipped")</f>
        <v>0</v>
      </c>
      <c r="E220">
        <f>SUMIFS(allorders!$O:$O,allorders!$L:$L,$A220,allorders!$AG:$AG,"&lt;="&amp;日期!$B$9,allorders!$AG:$AG,"&gt;="&amp;日期!$B$10,allorders!Q:Q,"&lt;&gt;"&amp;"",allorders!N:N,"Shipped")</f>
        <v>0</v>
      </c>
      <c r="F220">
        <f>SUMIFS(allorders!$O:$O,allorders!$L:$L,$A220,allorders!$AG:$AG,"&lt;="&amp;日期!$B$11,allorders!$AG:$AG,"&gt;="&amp;日期!$B$12,allorders!Q:Q,"&lt;&gt;"&amp;"",allorders!N:N,"Shipped")</f>
        <v>0</v>
      </c>
      <c r="G220" t="e">
        <f>SUMIFS(allorders!Q:Q,allorders!L:L,A220,allorders!AG:AG,"&lt;="&amp;日期!$B$5,allorders!AG:AG,"&gt;="&amp;日期!$B$12,allorders!N:N,"Shipped")/SUM(C220:F220)</f>
        <v>#DIV/0!</v>
      </c>
      <c r="H220">
        <f>SUMIFS(allorders!Q:Q,allorders!L:L,A220,allorders!AG:AG,"&gt;="&amp;日期!$B$12,allorders!AG:AG,"&lt;="&amp;日期!$B$5,allorders!N:N,"Shipped")</f>
        <v>0</v>
      </c>
      <c r="I220">
        <f t="shared" si="3"/>
        <v>0</v>
      </c>
    </row>
    <row r="221" spans="1:9">
      <c r="A221" s="7" t="s">
        <v>3236</v>
      </c>
      <c r="B221" t="str">
        <f>VLOOKUP(A221,'[1]子sku-父sku'!$A$1:$B$65536,2,0)</f>
        <v>LYQ-ZQ8200</v>
      </c>
      <c r="C221">
        <f>SUMIFS(allorders!O:O,allorders!L:L,$A221,allorders!AG:AG,"&lt;="&amp;日期!$B$5,allorders!AG:AG,"&gt;="&amp;日期!$B$6,allorders!Q:Q,"&lt;&gt;"&amp;"",allorders!N:N,"Shipped")</f>
        <v>0</v>
      </c>
      <c r="D221">
        <f>SUMIFS(allorders!$O:$O,allorders!$L:$L,$A221,allorders!$AG:$AG,"&lt;="&amp;日期!$B$7,allorders!$AG:$AG,"&gt;="&amp;日期!$B$8,allorders!Q:Q,"&lt;&gt;"&amp;"",allorders!N:N,"Shipped")</f>
        <v>0</v>
      </c>
      <c r="E221">
        <f>SUMIFS(allorders!$O:$O,allorders!$L:$L,$A221,allorders!$AG:$AG,"&lt;="&amp;日期!$B$9,allorders!$AG:$AG,"&gt;="&amp;日期!$B$10,allorders!Q:Q,"&lt;&gt;"&amp;"",allorders!N:N,"Shipped")</f>
        <v>0</v>
      </c>
      <c r="F221">
        <f>SUMIFS(allorders!$O:$O,allorders!$L:$L,$A221,allorders!$AG:$AG,"&lt;="&amp;日期!$B$11,allorders!$AG:$AG,"&gt;="&amp;日期!$B$12,allorders!Q:Q,"&lt;&gt;"&amp;"",allorders!N:N,"Shipped")</f>
        <v>0</v>
      </c>
      <c r="G221" t="e">
        <f>SUMIFS(allorders!Q:Q,allorders!L:L,A221,allorders!AG:AG,"&lt;="&amp;日期!$B$5,allorders!AG:AG,"&gt;="&amp;日期!$B$12,allorders!N:N,"Shipped")/SUM(C221:F221)</f>
        <v>#DIV/0!</v>
      </c>
      <c r="H221">
        <f>SUMIFS(allorders!Q:Q,allorders!L:L,A221,allorders!AG:AG,"&gt;="&amp;日期!$B$12,allorders!AG:AG,"&lt;="&amp;日期!$B$5,allorders!N:N,"Shipped")</f>
        <v>0</v>
      </c>
      <c r="I221">
        <f t="shared" si="3"/>
        <v>0</v>
      </c>
    </row>
    <row r="222" spans="1:9">
      <c r="A222" s="7" t="s">
        <v>3243</v>
      </c>
      <c r="B222" t="str">
        <f>VLOOKUP(A222,'[1]子sku-父sku'!$A$1:$B$65536,2,0)</f>
        <v>LYQ-ZQ8200</v>
      </c>
      <c r="C222">
        <f>SUMIFS(allorders!O:O,allorders!L:L,$A222,allorders!AG:AG,"&lt;="&amp;日期!$B$5,allorders!AG:AG,"&gt;="&amp;日期!$B$6,allorders!Q:Q,"&lt;&gt;"&amp;"",allorders!N:N,"Shipped")</f>
        <v>0</v>
      </c>
      <c r="D222">
        <f>SUMIFS(allorders!$O:$O,allorders!$L:$L,$A222,allorders!$AG:$AG,"&lt;="&amp;日期!$B$7,allorders!$AG:$AG,"&gt;="&amp;日期!$B$8,allorders!Q:Q,"&lt;&gt;"&amp;"",allorders!N:N,"Shipped")</f>
        <v>0</v>
      </c>
      <c r="E222">
        <f>SUMIFS(allorders!$O:$O,allorders!$L:$L,$A222,allorders!$AG:$AG,"&lt;="&amp;日期!$B$9,allorders!$AG:$AG,"&gt;="&amp;日期!$B$10,allorders!Q:Q,"&lt;&gt;"&amp;"",allorders!N:N,"Shipped")</f>
        <v>0</v>
      </c>
      <c r="F222">
        <f>SUMIFS(allorders!$O:$O,allorders!$L:$L,$A222,allorders!$AG:$AG,"&lt;="&amp;日期!$B$11,allorders!$AG:$AG,"&gt;="&amp;日期!$B$12,allorders!Q:Q,"&lt;&gt;"&amp;"",allorders!N:N,"Shipped")</f>
        <v>0</v>
      </c>
      <c r="G222" t="e">
        <f>SUMIFS(allorders!Q:Q,allorders!L:L,A222,allorders!AG:AG,"&lt;="&amp;日期!$B$5,allorders!AG:AG,"&gt;="&amp;日期!$B$12,allorders!N:N,"Shipped")/SUM(C222:F222)</f>
        <v>#DIV/0!</v>
      </c>
      <c r="H222">
        <f>SUMIFS(allorders!Q:Q,allorders!L:L,A222,allorders!AG:AG,"&gt;="&amp;日期!$B$12,allorders!AG:AG,"&lt;="&amp;日期!$B$5,allorders!N:N,"Shipped")</f>
        <v>0</v>
      </c>
      <c r="I222">
        <f t="shared" si="3"/>
        <v>0</v>
      </c>
    </row>
    <row r="223" spans="1:9">
      <c r="A223" s="7" t="s">
        <v>3250</v>
      </c>
      <c r="B223" t="str">
        <f>VLOOKUP(A223,'[1]子sku-父sku'!$A$1:$B$65536,2,0)</f>
        <v>LYQ-ZQ8200</v>
      </c>
      <c r="C223">
        <f>SUMIFS(allorders!O:O,allorders!L:L,$A223,allorders!AG:AG,"&lt;="&amp;日期!$B$5,allorders!AG:AG,"&gt;="&amp;日期!$B$6,allorders!Q:Q,"&lt;&gt;"&amp;"",allorders!N:N,"Shipped")</f>
        <v>0</v>
      </c>
      <c r="D223">
        <f>SUMIFS(allorders!$O:$O,allorders!$L:$L,$A223,allorders!$AG:$AG,"&lt;="&amp;日期!$B$7,allorders!$AG:$AG,"&gt;="&amp;日期!$B$8,allorders!Q:Q,"&lt;&gt;"&amp;"",allorders!N:N,"Shipped")</f>
        <v>0</v>
      </c>
      <c r="E223">
        <f>SUMIFS(allorders!$O:$O,allorders!$L:$L,$A223,allorders!$AG:$AG,"&lt;="&amp;日期!$B$9,allorders!$AG:$AG,"&gt;="&amp;日期!$B$10,allorders!Q:Q,"&lt;&gt;"&amp;"",allorders!N:N,"Shipped")</f>
        <v>0</v>
      </c>
      <c r="F223">
        <f>SUMIFS(allorders!$O:$O,allorders!$L:$L,$A223,allorders!$AG:$AG,"&lt;="&amp;日期!$B$11,allorders!$AG:$AG,"&gt;="&amp;日期!$B$12,allorders!Q:Q,"&lt;&gt;"&amp;"",allorders!N:N,"Shipped")</f>
        <v>0</v>
      </c>
      <c r="G223" t="e">
        <f>SUMIFS(allorders!Q:Q,allorders!L:L,A223,allorders!AG:AG,"&lt;="&amp;日期!$B$5,allorders!AG:AG,"&gt;="&amp;日期!$B$12,allorders!N:N,"Shipped")/SUM(C223:F223)</f>
        <v>#DIV/0!</v>
      </c>
      <c r="H223">
        <f>SUMIFS(allorders!Q:Q,allorders!L:L,A223,allorders!AG:AG,"&gt;="&amp;日期!$B$12,allorders!AG:AG,"&lt;="&amp;日期!$B$5,allorders!N:N,"Shipped")</f>
        <v>0</v>
      </c>
      <c r="I223">
        <f t="shared" si="3"/>
        <v>0</v>
      </c>
    </row>
    <row r="224" spans="1:9">
      <c r="A224" s="7" t="s">
        <v>3257</v>
      </c>
      <c r="B224" t="str">
        <f>VLOOKUP(A224,'[1]子sku-父sku'!$A$1:$B$65536,2,0)</f>
        <v>LYQ-ZQ8200</v>
      </c>
      <c r="C224">
        <f>SUMIFS(allorders!O:O,allorders!L:L,$A224,allorders!AG:AG,"&lt;="&amp;日期!$B$5,allorders!AG:AG,"&gt;="&amp;日期!$B$6,allorders!Q:Q,"&lt;&gt;"&amp;"",allorders!N:N,"Shipped")</f>
        <v>0</v>
      </c>
      <c r="D224">
        <f>SUMIFS(allorders!$O:$O,allorders!$L:$L,$A224,allorders!$AG:$AG,"&lt;="&amp;日期!$B$7,allorders!$AG:$AG,"&gt;="&amp;日期!$B$8,allorders!Q:Q,"&lt;&gt;"&amp;"",allorders!N:N,"Shipped")</f>
        <v>0</v>
      </c>
      <c r="E224">
        <f>SUMIFS(allorders!$O:$O,allorders!$L:$L,$A224,allorders!$AG:$AG,"&lt;="&amp;日期!$B$9,allorders!$AG:$AG,"&gt;="&amp;日期!$B$10,allorders!Q:Q,"&lt;&gt;"&amp;"",allorders!N:N,"Shipped")</f>
        <v>0</v>
      </c>
      <c r="F224">
        <f>SUMIFS(allorders!$O:$O,allorders!$L:$L,$A224,allorders!$AG:$AG,"&lt;="&amp;日期!$B$11,allorders!$AG:$AG,"&gt;="&amp;日期!$B$12,allorders!Q:Q,"&lt;&gt;"&amp;"",allorders!N:N,"Shipped")</f>
        <v>0</v>
      </c>
      <c r="G224" t="e">
        <f>SUMIFS(allorders!Q:Q,allorders!L:L,A224,allorders!AG:AG,"&lt;="&amp;日期!$B$5,allorders!AG:AG,"&gt;="&amp;日期!$B$12,allorders!N:N,"Shipped")/SUM(C224:F224)</f>
        <v>#DIV/0!</v>
      </c>
      <c r="H224">
        <f>SUMIFS(allorders!Q:Q,allorders!L:L,A224,allorders!AG:AG,"&gt;="&amp;日期!$B$12,allorders!AG:AG,"&lt;="&amp;日期!$B$5,allorders!N:N,"Shipped")</f>
        <v>0</v>
      </c>
      <c r="I224">
        <f t="shared" si="3"/>
        <v>0</v>
      </c>
    </row>
    <row r="225" spans="1:9">
      <c r="A225" s="7" t="s">
        <v>3264</v>
      </c>
      <c r="B225" t="str">
        <f>VLOOKUP(A225,'[1]子sku-父sku'!$A$1:$B$65536,2,0)</f>
        <v>LYQ-ZQ8200</v>
      </c>
      <c r="C225">
        <f>SUMIFS(allorders!O:O,allorders!L:L,$A225,allorders!AG:AG,"&lt;="&amp;日期!$B$5,allorders!AG:AG,"&gt;="&amp;日期!$B$6,allorders!Q:Q,"&lt;&gt;"&amp;"",allorders!N:N,"Shipped")</f>
        <v>0</v>
      </c>
      <c r="D225">
        <f>SUMIFS(allorders!$O:$O,allorders!$L:$L,$A225,allorders!$AG:$AG,"&lt;="&amp;日期!$B$7,allorders!$AG:$AG,"&gt;="&amp;日期!$B$8,allorders!Q:Q,"&lt;&gt;"&amp;"",allorders!N:N,"Shipped")</f>
        <v>0</v>
      </c>
      <c r="E225">
        <f>SUMIFS(allorders!$O:$O,allorders!$L:$L,$A225,allorders!$AG:$AG,"&lt;="&amp;日期!$B$9,allorders!$AG:$AG,"&gt;="&amp;日期!$B$10,allorders!Q:Q,"&lt;&gt;"&amp;"",allorders!N:N,"Shipped")</f>
        <v>0</v>
      </c>
      <c r="F225">
        <f>SUMIFS(allorders!$O:$O,allorders!$L:$L,$A225,allorders!$AG:$AG,"&lt;="&amp;日期!$B$11,allorders!$AG:$AG,"&gt;="&amp;日期!$B$12,allorders!Q:Q,"&lt;&gt;"&amp;"",allorders!N:N,"Shipped")</f>
        <v>0</v>
      </c>
      <c r="G225" t="e">
        <f>SUMIFS(allorders!Q:Q,allorders!L:L,A225,allorders!AG:AG,"&lt;="&amp;日期!$B$5,allorders!AG:AG,"&gt;="&amp;日期!$B$12,allorders!N:N,"Shipped")/SUM(C225:F225)</f>
        <v>#DIV/0!</v>
      </c>
      <c r="H225">
        <f>SUMIFS(allorders!Q:Q,allorders!L:L,A225,allorders!AG:AG,"&gt;="&amp;日期!$B$12,allorders!AG:AG,"&lt;="&amp;日期!$B$5,allorders!N:N,"Shipped")</f>
        <v>0</v>
      </c>
      <c r="I225">
        <f t="shared" si="3"/>
        <v>0</v>
      </c>
    </row>
    <row r="226" spans="1:9">
      <c r="A226" s="7" t="s">
        <v>3271</v>
      </c>
      <c r="B226" t="str">
        <f>VLOOKUP(A226,'[1]子sku-父sku'!$A$1:$B$65536,2,0)</f>
        <v>LYQ-ZQ8200</v>
      </c>
      <c r="C226">
        <f>SUMIFS(allorders!O:O,allorders!L:L,$A226,allorders!AG:AG,"&lt;="&amp;日期!$B$5,allorders!AG:AG,"&gt;="&amp;日期!$B$6,allorders!Q:Q,"&lt;&gt;"&amp;"",allorders!N:N,"Shipped")</f>
        <v>0</v>
      </c>
      <c r="D226">
        <f>SUMIFS(allorders!$O:$O,allorders!$L:$L,$A226,allorders!$AG:$AG,"&lt;="&amp;日期!$B$7,allorders!$AG:$AG,"&gt;="&amp;日期!$B$8,allorders!Q:Q,"&lt;&gt;"&amp;"",allorders!N:N,"Shipped")</f>
        <v>0</v>
      </c>
      <c r="E226">
        <f>SUMIFS(allorders!$O:$O,allorders!$L:$L,$A226,allorders!$AG:$AG,"&lt;="&amp;日期!$B$9,allorders!$AG:$AG,"&gt;="&amp;日期!$B$10,allorders!Q:Q,"&lt;&gt;"&amp;"",allorders!N:N,"Shipped")</f>
        <v>0</v>
      </c>
      <c r="F226">
        <f>SUMIFS(allorders!$O:$O,allorders!$L:$L,$A226,allorders!$AG:$AG,"&lt;="&amp;日期!$B$11,allorders!$AG:$AG,"&gt;="&amp;日期!$B$12,allorders!Q:Q,"&lt;&gt;"&amp;"",allorders!N:N,"Shipped")</f>
        <v>0</v>
      </c>
      <c r="G226" t="e">
        <f>SUMIFS(allorders!Q:Q,allorders!L:L,A226,allorders!AG:AG,"&lt;="&amp;日期!$B$5,allorders!AG:AG,"&gt;="&amp;日期!$B$12,allorders!N:N,"Shipped")/SUM(C226:F226)</f>
        <v>#DIV/0!</v>
      </c>
      <c r="H226">
        <f>SUMIFS(allorders!Q:Q,allorders!L:L,A226,allorders!AG:AG,"&gt;="&amp;日期!$B$12,allorders!AG:AG,"&lt;="&amp;日期!$B$5,allorders!N:N,"Shipped")</f>
        <v>0</v>
      </c>
      <c r="I226">
        <f t="shared" si="3"/>
        <v>0</v>
      </c>
    </row>
    <row r="227" spans="1:9">
      <c r="A227" s="7" t="s">
        <v>3278</v>
      </c>
      <c r="B227" t="str">
        <f>VLOOKUP(A227,'[1]子sku-父sku'!$A$1:$B$65536,2,0)</f>
        <v>LYQ-ZQ8200</v>
      </c>
      <c r="C227">
        <f>SUMIFS(allorders!O:O,allorders!L:L,$A227,allorders!AG:AG,"&lt;="&amp;日期!$B$5,allorders!AG:AG,"&gt;="&amp;日期!$B$6,allorders!Q:Q,"&lt;&gt;"&amp;"",allorders!N:N,"Shipped")</f>
        <v>0</v>
      </c>
      <c r="D227">
        <f>SUMIFS(allorders!$O:$O,allorders!$L:$L,$A227,allorders!$AG:$AG,"&lt;="&amp;日期!$B$7,allorders!$AG:$AG,"&gt;="&amp;日期!$B$8,allorders!Q:Q,"&lt;&gt;"&amp;"",allorders!N:N,"Shipped")</f>
        <v>0</v>
      </c>
      <c r="E227">
        <f>SUMIFS(allorders!$O:$O,allorders!$L:$L,$A227,allorders!$AG:$AG,"&lt;="&amp;日期!$B$9,allorders!$AG:$AG,"&gt;="&amp;日期!$B$10,allorders!Q:Q,"&lt;&gt;"&amp;"",allorders!N:N,"Shipped")</f>
        <v>0</v>
      </c>
      <c r="F227">
        <f>SUMIFS(allorders!$O:$O,allorders!$L:$L,$A227,allorders!$AG:$AG,"&lt;="&amp;日期!$B$11,allorders!$AG:$AG,"&gt;="&amp;日期!$B$12,allorders!Q:Q,"&lt;&gt;"&amp;"",allorders!N:N,"Shipped")</f>
        <v>0</v>
      </c>
      <c r="G227" t="e">
        <f>SUMIFS(allorders!Q:Q,allorders!L:L,A227,allorders!AG:AG,"&lt;="&amp;日期!$B$5,allorders!AG:AG,"&gt;="&amp;日期!$B$12,allorders!N:N,"Shipped")/SUM(C227:F227)</f>
        <v>#DIV/0!</v>
      </c>
      <c r="H227">
        <f>SUMIFS(allorders!Q:Q,allorders!L:L,A227,allorders!AG:AG,"&gt;="&amp;日期!$B$12,allorders!AG:AG,"&lt;="&amp;日期!$B$5,allorders!N:N,"Shipped")</f>
        <v>0</v>
      </c>
      <c r="I227">
        <f t="shared" si="3"/>
        <v>0</v>
      </c>
    </row>
    <row r="228" spans="1:9">
      <c r="A228" s="7" t="s">
        <v>3284</v>
      </c>
      <c r="B228" t="str">
        <f>VLOOKUP(A228,'[1]子sku-父sku'!$A$1:$B$65536,2,0)</f>
        <v>LYQ-ZQ1117</v>
      </c>
      <c r="C228">
        <f>SUMIFS(allorders!O:O,allorders!L:L,$A228,allorders!AG:AG,"&lt;="&amp;日期!$B$5,allorders!AG:AG,"&gt;="&amp;日期!$B$6,allorders!Q:Q,"&lt;&gt;"&amp;"",allorders!N:N,"Shipped")</f>
        <v>0</v>
      </c>
      <c r="D228">
        <f>SUMIFS(allorders!$O:$O,allorders!$L:$L,$A228,allorders!$AG:$AG,"&lt;="&amp;日期!$B$7,allorders!$AG:$AG,"&gt;="&amp;日期!$B$8,allorders!Q:Q,"&lt;&gt;"&amp;"",allorders!N:N,"Shipped")</f>
        <v>0</v>
      </c>
      <c r="E228">
        <f>SUMIFS(allorders!$O:$O,allorders!$L:$L,$A228,allorders!$AG:$AG,"&lt;="&amp;日期!$B$9,allorders!$AG:$AG,"&gt;="&amp;日期!$B$10,allorders!Q:Q,"&lt;&gt;"&amp;"",allorders!N:N,"Shipped")</f>
        <v>0</v>
      </c>
      <c r="F228">
        <f>SUMIFS(allorders!$O:$O,allorders!$L:$L,$A228,allorders!$AG:$AG,"&lt;="&amp;日期!$B$11,allorders!$AG:$AG,"&gt;="&amp;日期!$B$12,allorders!Q:Q,"&lt;&gt;"&amp;"",allorders!N:N,"Shipped")</f>
        <v>0</v>
      </c>
      <c r="G228" t="e">
        <f>SUMIFS(allorders!Q:Q,allorders!L:L,A228,allorders!AG:AG,"&lt;="&amp;日期!$B$5,allorders!AG:AG,"&gt;="&amp;日期!$B$12,allorders!N:N,"Shipped")/SUM(C228:F228)</f>
        <v>#DIV/0!</v>
      </c>
      <c r="H228">
        <f>SUMIFS(allorders!Q:Q,allorders!L:L,A228,allorders!AG:AG,"&gt;="&amp;日期!$B$12,allorders!AG:AG,"&lt;="&amp;日期!$B$5,allorders!N:N,"Shipped")</f>
        <v>0</v>
      </c>
      <c r="I228">
        <f t="shared" si="3"/>
        <v>0</v>
      </c>
    </row>
    <row r="229" spans="1:9">
      <c r="A229" s="7" t="s">
        <v>3290</v>
      </c>
      <c r="B229" t="str">
        <f>VLOOKUP(A229,'[1]子sku-父sku'!$A$1:$B$65536,2,0)</f>
        <v>LYQ-ZQ1117</v>
      </c>
      <c r="C229">
        <f>SUMIFS(allorders!O:O,allorders!L:L,$A229,allorders!AG:AG,"&lt;="&amp;日期!$B$5,allorders!AG:AG,"&gt;="&amp;日期!$B$6,allorders!Q:Q,"&lt;&gt;"&amp;"",allorders!N:N,"Shipped")</f>
        <v>0</v>
      </c>
      <c r="D229">
        <f>SUMIFS(allorders!$O:$O,allorders!$L:$L,$A229,allorders!$AG:$AG,"&lt;="&amp;日期!$B$7,allorders!$AG:$AG,"&gt;="&amp;日期!$B$8,allorders!Q:Q,"&lt;&gt;"&amp;"",allorders!N:N,"Shipped")</f>
        <v>0</v>
      </c>
      <c r="E229">
        <f>SUMIFS(allorders!$O:$O,allorders!$L:$L,$A229,allorders!$AG:$AG,"&lt;="&amp;日期!$B$9,allorders!$AG:$AG,"&gt;="&amp;日期!$B$10,allorders!Q:Q,"&lt;&gt;"&amp;"",allorders!N:N,"Shipped")</f>
        <v>0</v>
      </c>
      <c r="F229">
        <f>SUMIFS(allorders!$O:$O,allorders!$L:$L,$A229,allorders!$AG:$AG,"&lt;="&amp;日期!$B$11,allorders!$AG:$AG,"&gt;="&amp;日期!$B$12,allorders!Q:Q,"&lt;&gt;"&amp;"",allorders!N:N,"Shipped")</f>
        <v>0</v>
      </c>
      <c r="G229" t="e">
        <f>SUMIFS(allorders!Q:Q,allorders!L:L,A229,allorders!AG:AG,"&lt;="&amp;日期!$B$5,allorders!AG:AG,"&gt;="&amp;日期!$B$12,allorders!N:N,"Shipped")/SUM(C229:F229)</f>
        <v>#DIV/0!</v>
      </c>
      <c r="H229">
        <f>SUMIFS(allorders!Q:Q,allorders!L:L,A229,allorders!AG:AG,"&gt;="&amp;日期!$B$12,allorders!AG:AG,"&lt;="&amp;日期!$B$5,allorders!N:N,"Shipped")</f>
        <v>0</v>
      </c>
      <c r="I229">
        <f t="shared" si="3"/>
        <v>0</v>
      </c>
    </row>
    <row r="230" spans="1:9">
      <c r="A230" s="7" t="s">
        <v>3296</v>
      </c>
      <c r="B230" t="str">
        <f>VLOOKUP(A230,'[1]子sku-父sku'!$A$1:$B$65536,2,0)</f>
        <v>LYQ-ZQ1117</v>
      </c>
      <c r="C230">
        <f>SUMIFS(allorders!O:O,allorders!L:L,$A230,allorders!AG:AG,"&lt;="&amp;日期!$B$5,allorders!AG:AG,"&gt;="&amp;日期!$B$6,allorders!Q:Q,"&lt;&gt;"&amp;"",allorders!N:N,"Shipped")</f>
        <v>0</v>
      </c>
      <c r="D230">
        <f>SUMIFS(allorders!$O:$O,allorders!$L:$L,$A230,allorders!$AG:$AG,"&lt;="&amp;日期!$B$7,allorders!$AG:$AG,"&gt;="&amp;日期!$B$8,allorders!Q:Q,"&lt;&gt;"&amp;"",allorders!N:N,"Shipped")</f>
        <v>0</v>
      </c>
      <c r="E230">
        <f>SUMIFS(allorders!$O:$O,allorders!$L:$L,$A230,allorders!$AG:$AG,"&lt;="&amp;日期!$B$9,allorders!$AG:$AG,"&gt;="&amp;日期!$B$10,allorders!Q:Q,"&lt;&gt;"&amp;"",allorders!N:N,"Shipped")</f>
        <v>0</v>
      </c>
      <c r="F230">
        <f>SUMIFS(allorders!$O:$O,allorders!$L:$L,$A230,allorders!$AG:$AG,"&lt;="&amp;日期!$B$11,allorders!$AG:$AG,"&gt;="&amp;日期!$B$12,allorders!Q:Q,"&lt;&gt;"&amp;"",allorders!N:N,"Shipped")</f>
        <v>0</v>
      </c>
      <c r="G230" t="e">
        <f>SUMIFS(allorders!Q:Q,allorders!L:L,A230,allorders!AG:AG,"&lt;="&amp;日期!$B$5,allorders!AG:AG,"&gt;="&amp;日期!$B$12,allorders!N:N,"Shipped")/SUM(C230:F230)</f>
        <v>#DIV/0!</v>
      </c>
      <c r="H230">
        <f>SUMIFS(allorders!Q:Q,allorders!L:L,A230,allorders!AG:AG,"&gt;="&amp;日期!$B$12,allorders!AG:AG,"&lt;="&amp;日期!$B$5,allorders!N:N,"Shipped")</f>
        <v>0</v>
      </c>
      <c r="I230">
        <f t="shared" si="3"/>
        <v>0</v>
      </c>
    </row>
    <row r="231" spans="1:9">
      <c r="A231" s="7" t="s">
        <v>3302</v>
      </c>
      <c r="B231" t="str">
        <f>VLOOKUP(A231,'[1]子sku-父sku'!$A$1:$B$65536,2,0)</f>
        <v>LYQ-ZQ1117</v>
      </c>
      <c r="C231">
        <f>SUMIFS(allorders!O:O,allorders!L:L,$A231,allorders!AG:AG,"&lt;="&amp;日期!$B$5,allorders!AG:AG,"&gt;="&amp;日期!$B$6,allorders!Q:Q,"&lt;&gt;"&amp;"",allorders!N:N,"Shipped")</f>
        <v>0</v>
      </c>
      <c r="D231">
        <f>SUMIFS(allorders!$O:$O,allorders!$L:$L,$A231,allorders!$AG:$AG,"&lt;="&amp;日期!$B$7,allorders!$AG:$AG,"&gt;="&amp;日期!$B$8,allorders!Q:Q,"&lt;&gt;"&amp;"",allorders!N:N,"Shipped")</f>
        <v>0</v>
      </c>
      <c r="E231">
        <f>SUMIFS(allorders!$O:$O,allorders!$L:$L,$A231,allorders!$AG:$AG,"&lt;="&amp;日期!$B$9,allorders!$AG:$AG,"&gt;="&amp;日期!$B$10,allorders!Q:Q,"&lt;&gt;"&amp;"",allorders!N:N,"Shipped")</f>
        <v>0</v>
      </c>
      <c r="F231">
        <f>SUMIFS(allorders!$O:$O,allorders!$L:$L,$A231,allorders!$AG:$AG,"&lt;="&amp;日期!$B$11,allorders!$AG:$AG,"&gt;="&amp;日期!$B$12,allorders!Q:Q,"&lt;&gt;"&amp;"",allorders!N:N,"Shipped")</f>
        <v>0</v>
      </c>
      <c r="G231" t="e">
        <f>SUMIFS(allorders!Q:Q,allorders!L:L,A231,allorders!AG:AG,"&lt;="&amp;日期!$B$5,allorders!AG:AG,"&gt;="&amp;日期!$B$12,allorders!N:N,"Shipped")/SUM(C231:F231)</f>
        <v>#DIV/0!</v>
      </c>
      <c r="H231">
        <f>SUMIFS(allorders!Q:Q,allorders!L:L,A231,allorders!AG:AG,"&gt;="&amp;日期!$B$12,allorders!AG:AG,"&lt;="&amp;日期!$B$5,allorders!N:N,"Shipped")</f>
        <v>0</v>
      </c>
      <c r="I231">
        <f t="shared" si="3"/>
        <v>0</v>
      </c>
    </row>
    <row r="232" spans="1:9">
      <c r="A232" s="7" t="s">
        <v>3312</v>
      </c>
      <c r="B232" t="str">
        <f>VLOOKUP(A232,'[1]子sku-父sku'!$A$1:$B$65536,2,0)</f>
        <v>LYQ-ZQ1117</v>
      </c>
      <c r="C232">
        <f>SUMIFS(allorders!O:O,allorders!L:L,$A232,allorders!AG:AG,"&lt;="&amp;日期!$B$5,allorders!AG:AG,"&gt;="&amp;日期!$B$6,allorders!Q:Q,"&lt;&gt;"&amp;"",allorders!N:N,"Shipped")</f>
        <v>0</v>
      </c>
      <c r="D232">
        <f>SUMIFS(allorders!$O:$O,allorders!$L:$L,$A232,allorders!$AG:$AG,"&lt;="&amp;日期!$B$7,allorders!$AG:$AG,"&gt;="&amp;日期!$B$8,allorders!Q:Q,"&lt;&gt;"&amp;"",allorders!N:N,"Shipped")</f>
        <v>0</v>
      </c>
      <c r="E232">
        <f>SUMIFS(allorders!$O:$O,allorders!$L:$L,$A232,allorders!$AG:$AG,"&lt;="&amp;日期!$B$9,allorders!$AG:$AG,"&gt;="&amp;日期!$B$10,allorders!Q:Q,"&lt;&gt;"&amp;"",allorders!N:N,"Shipped")</f>
        <v>0</v>
      </c>
      <c r="F232">
        <f>SUMIFS(allorders!$O:$O,allorders!$L:$L,$A232,allorders!$AG:$AG,"&lt;="&amp;日期!$B$11,allorders!$AG:$AG,"&gt;="&amp;日期!$B$12,allorders!Q:Q,"&lt;&gt;"&amp;"",allorders!N:N,"Shipped")</f>
        <v>0</v>
      </c>
      <c r="G232" t="e">
        <f>SUMIFS(allorders!Q:Q,allorders!L:L,A232,allorders!AG:AG,"&lt;="&amp;日期!$B$5,allorders!AG:AG,"&gt;="&amp;日期!$B$12,allorders!N:N,"Shipped")/SUM(C232:F232)</f>
        <v>#DIV/0!</v>
      </c>
      <c r="H232">
        <f>SUMIFS(allorders!Q:Q,allorders!L:L,A232,allorders!AG:AG,"&gt;="&amp;日期!$B$12,allorders!AG:AG,"&lt;="&amp;日期!$B$5,allorders!N:N,"Shipped")</f>
        <v>0</v>
      </c>
      <c r="I232">
        <f t="shared" si="3"/>
        <v>0</v>
      </c>
    </row>
    <row r="233" spans="1:9">
      <c r="A233" s="7" t="s">
        <v>3318</v>
      </c>
      <c r="B233" t="str">
        <f>VLOOKUP(A233,'[1]子sku-父sku'!$A$1:$B$65536,2,0)</f>
        <v>LYQ-ZQ1117</v>
      </c>
      <c r="C233">
        <f>SUMIFS(allorders!O:O,allorders!L:L,$A233,allorders!AG:AG,"&lt;="&amp;日期!$B$5,allorders!AG:AG,"&gt;="&amp;日期!$B$6,allorders!Q:Q,"&lt;&gt;"&amp;"",allorders!N:N,"Shipped")</f>
        <v>0</v>
      </c>
      <c r="D233">
        <f>SUMIFS(allorders!$O:$O,allorders!$L:$L,$A233,allorders!$AG:$AG,"&lt;="&amp;日期!$B$7,allorders!$AG:$AG,"&gt;="&amp;日期!$B$8,allorders!Q:Q,"&lt;&gt;"&amp;"",allorders!N:N,"Shipped")</f>
        <v>0</v>
      </c>
      <c r="E233">
        <f>SUMIFS(allorders!$O:$O,allorders!$L:$L,$A233,allorders!$AG:$AG,"&lt;="&amp;日期!$B$9,allorders!$AG:$AG,"&gt;="&amp;日期!$B$10,allorders!Q:Q,"&lt;&gt;"&amp;"",allorders!N:N,"Shipped")</f>
        <v>0</v>
      </c>
      <c r="F233">
        <f>SUMIFS(allorders!$O:$O,allorders!$L:$L,$A233,allorders!$AG:$AG,"&lt;="&amp;日期!$B$11,allorders!$AG:$AG,"&gt;="&amp;日期!$B$12,allorders!Q:Q,"&lt;&gt;"&amp;"",allorders!N:N,"Shipped")</f>
        <v>0</v>
      </c>
      <c r="G233" t="e">
        <f>SUMIFS(allorders!Q:Q,allorders!L:L,A233,allorders!AG:AG,"&lt;="&amp;日期!$B$5,allorders!AG:AG,"&gt;="&amp;日期!$B$12,allorders!N:N,"Shipped")/SUM(C233:F233)</f>
        <v>#DIV/0!</v>
      </c>
      <c r="H233">
        <f>SUMIFS(allorders!Q:Q,allorders!L:L,A233,allorders!AG:AG,"&gt;="&amp;日期!$B$12,allorders!AG:AG,"&lt;="&amp;日期!$B$5,allorders!N:N,"Shipped")</f>
        <v>0</v>
      </c>
      <c r="I233">
        <f t="shared" si="3"/>
        <v>0</v>
      </c>
    </row>
    <row r="234" spans="1:9">
      <c r="A234" s="7" t="s">
        <v>3324</v>
      </c>
      <c r="B234" t="str">
        <f>VLOOKUP(A234,'[1]子sku-父sku'!$A$1:$B$65536,2,0)</f>
        <v>LYQ-ZQ1117</v>
      </c>
      <c r="C234">
        <f>SUMIFS(allorders!O:O,allorders!L:L,$A234,allorders!AG:AG,"&lt;="&amp;日期!$B$5,allorders!AG:AG,"&gt;="&amp;日期!$B$6,allorders!Q:Q,"&lt;&gt;"&amp;"",allorders!N:N,"Shipped")</f>
        <v>0</v>
      </c>
      <c r="D234">
        <f>SUMIFS(allorders!$O:$O,allorders!$L:$L,$A234,allorders!$AG:$AG,"&lt;="&amp;日期!$B$7,allorders!$AG:$AG,"&gt;="&amp;日期!$B$8,allorders!Q:Q,"&lt;&gt;"&amp;"",allorders!N:N,"Shipped")</f>
        <v>0</v>
      </c>
      <c r="E234">
        <f>SUMIFS(allorders!$O:$O,allorders!$L:$L,$A234,allorders!$AG:$AG,"&lt;="&amp;日期!$B$9,allorders!$AG:$AG,"&gt;="&amp;日期!$B$10,allorders!Q:Q,"&lt;&gt;"&amp;"",allorders!N:N,"Shipped")</f>
        <v>0</v>
      </c>
      <c r="F234">
        <f>SUMIFS(allorders!$O:$O,allorders!$L:$L,$A234,allorders!$AG:$AG,"&lt;="&amp;日期!$B$11,allorders!$AG:$AG,"&gt;="&amp;日期!$B$12,allorders!Q:Q,"&lt;&gt;"&amp;"",allorders!N:N,"Shipped")</f>
        <v>0</v>
      </c>
      <c r="G234" t="e">
        <f>SUMIFS(allorders!Q:Q,allorders!L:L,A234,allorders!AG:AG,"&lt;="&amp;日期!$B$5,allorders!AG:AG,"&gt;="&amp;日期!$B$12,allorders!N:N,"Shipped")/SUM(C234:F234)</f>
        <v>#DIV/0!</v>
      </c>
      <c r="H234">
        <f>SUMIFS(allorders!Q:Q,allorders!L:L,A234,allorders!AG:AG,"&gt;="&amp;日期!$B$12,allorders!AG:AG,"&lt;="&amp;日期!$B$5,allorders!N:N,"Shipped")</f>
        <v>0</v>
      </c>
      <c r="I234">
        <f t="shared" si="3"/>
        <v>0</v>
      </c>
    </row>
    <row r="235" spans="1:9">
      <c r="A235" s="7" t="s">
        <v>3330</v>
      </c>
      <c r="B235" t="str">
        <f>VLOOKUP(A235,'[1]子sku-父sku'!$A$1:$B$65536,2,0)</f>
        <v>LYQ-ZQ1117</v>
      </c>
      <c r="C235">
        <f>SUMIFS(allorders!O:O,allorders!L:L,$A235,allorders!AG:AG,"&lt;="&amp;日期!$B$5,allorders!AG:AG,"&gt;="&amp;日期!$B$6,allorders!Q:Q,"&lt;&gt;"&amp;"",allorders!N:N,"Shipped")</f>
        <v>0</v>
      </c>
      <c r="D235">
        <f>SUMIFS(allorders!$O:$O,allorders!$L:$L,$A235,allorders!$AG:$AG,"&lt;="&amp;日期!$B$7,allorders!$AG:$AG,"&gt;="&amp;日期!$B$8,allorders!Q:Q,"&lt;&gt;"&amp;"",allorders!N:N,"Shipped")</f>
        <v>0</v>
      </c>
      <c r="E235">
        <f>SUMIFS(allorders!$O:$O,allorders!$L:$L,$A235,allorders!$AG:$AG,"&lt;="&amp;日期!$B$9,allorders!$AG:$AG,"&gt;="&amp;日期!$B$10,allorders!Q:Q,"&lt;&gt;"&amp;"",allorders!N:N,"Shipped")</f>
        <v>0</v>
      </c>
      <c r="F235">
        <f>SUMIFS(allorders!$O:$O,allorders!$L:$L,$A235,allorders!$AG:$AG,"&lt;="&amp;日期!$B$11,allorders!$AG:$AG,"&gt;="&amp;日期!$B$12,allorders!Q:Q,"&lt;&gt;"&amp;"",allorders!N:N,"Shipped")</f>
        <v>0</v>
      </c>
      <c r="G235" t="e">
        <f>SUMIFS(allorders!Q:Q,allorders!L:L,A235,allorders!AG:AG,"&lt;="&amp;日期!$B$5,allorders!AG:AG,"&gt;="&amp;日期!$B$12,allorders!N:N,"Shipped")/SUM(C235:F235)</f>
        <v>#DIV/0!</v>
      </c>
      <c r="H235">
        <f>SUMIFS(allorders!Q:Q,allorders!L:L,A235,allorders!AG:AG,"&gt;="&amp;日期!$B$12,allorders!AG:AG,"&lt;="&amp;日期!$B$5,allorders!N:N,"Shipped")</f>
        <v>0</v>
      </c>
      <c r="I235">
        <f t="shared" si="3"/>
        <v>0</v>
      </c>
    </row>
    <row r="236" spans="1:9">
      <c r="A236" s="7" t="s">
        <v>3340</v>
      </c>
      <c r="B236" t="str">
        <f>VLOOKUP(A236,'[1]子sku-父sku'!$A$1:$B$65536,2,0)</f>
        <v>LYQ-ZQ1117</v>
      </c>
      <c r="C236">
        <f>SUMIFS(allorders!O:O,allorders!L:L,$A236,allorders!AG:AG,"&lt;="&amp;日期!$B$5,allorders!AG:AG,"&gt;="&amp;日期!$B$6,allorders!Q:Q,"&lt;&gt;"&amp;"",allorders!N:N,"Shipped")</f>
        <v>0</v>
      </c>
      <c r="D236">
        <f>SUMIFS(allorders!$O:$O,allorders!$L:$L,$A236,allorders!$AG:$AG,"&lt;="&amp;日期!$B$7,allorders!$AG:$AG,"&gt;="&amp;日期!$B$8,allorders!Q:Q,"&lt;&gt;"&amp;"",allorders!N:N,"Shipped")</f>
        <v>0</v>
      </c>
      <c r="E236">
        <f>SUMIFS(allorders!$O:$O,allorders!$L:$L,$A236,allorders!$AG:$AG,"&lt;="&amp;日期!$B$9,allorders!$AG:$AG,"&gt;="&amp;日期!$B$10,allorders!Q:Q,"&lt;&gt;"&amp;"",allorders!N:N,"Shipped")</f>
        <v>0</v>
      </c>
      <c r="F236">
        <f>SUMIFS(allorders!$O:$O,allorders!$L:$L,$A236,allorders!$AG:$AG,"&lt;="&amp;日期!$B$11,allorders!$AG:$AG,"&gt;="&amp;日期!$B$12,allorders!Q:Q,"&lt;&gt;"&amp;"",allorders!N:N,"Shipped")</f>
        <v>0</v>
      </c>
      <c r="G236" t="e">
        <f>SUMIFS(allorders!Q:Q,allorders!L:L,A236,allorders!AG:AG,"&lt;="&amp;日期!$B$5,allorders!AG:AG,"&gt;="&amp;日期!$B$12,allorders!N:N,"Shipped")/SUM(C236:F236)</f>
        <v>#DIV/0!</v>
      </c>
      <c r="H236">
        <f>SUMIFS(allorders!Q:Q,allorders!L:L,A236,allorders!AG:AG,"&gt;="&amp;日期!$B$12,allorders!AG:AG,"&lt;="&amp;日期!$B$5,allorders!N:N,"Shipped")</f>
        <v>0</v>
      </c>
      <c r="I236">
        <f t="shared" si="3"/>
        <v>0</v>
      </c>
    </row>
    <row r="237" spans="1:9">
      <c r="A237" s="7" t="s">
        <v>3346</v>
      </c>
      <c r="B237" t="str">
        <f>VLOOKUP(A237,'[1]子sku-父sku'!$A$1:$B$65536,2,0)</f>
        <v>LYQ-ZQ1117</v>
      </c>
      <c r="C237">
        <f>SUMIFS(allorders!O:O,allorders!L:L,$A237,allorders!AG:AG,"&lt;="&amp;日期!$B$5,allorders!AG:AG,"&gt;="&amp;日期!$B$6,allorders!Q:Q,"&lt;&gt;"&amp;"",allorders!N:N,"Shipped")</f>
        <v>0</v>
      </c>
      <c r="D237">
        <f>SUMIFS(allorders!$O:$O,allorders!$L:$L,$A237,allorders!$AG:$AG,"&lt;="&amp;日期!$B$7,allorders!$AG:$AG,"&gt;="&amp;日期!$B$8,allorders!Q:Q,"&lt;&gt;"&amp;"",allorders!N:N,"Shipped")</f>
        <v>0</v>
      </c>
      <c r="E237">
        <f>SUMIFS(allorders!$O:$O,allorders!$L:$L,$A237,allorders!$AG:$AG,"&lt;="&amp;日期!$B$9,allorders!$AG:$AG,"&gt;="&amp;日期!$B$10,allorders!Q:Q,"&lt;&gt;"&amp;"",allorders!N:N,"Shipped")</f>
        <v>0</v>
      </c>
      <c r="F237">
        <f>SUMIFS(allorders!$O:$O,allorders!$L:$L,$A237,allorders!$AG:$AG,"&lt;="&amp;日期!$B$11,allorders!$AG:$AG,"&gt;="&amp;日期!$B$12,allorders!Q:Q,"&lt;&gt;"&amp;"",allorders!N:N,"Shipped")</f>
        <v>0</v>
      </c>
      <c r="G237" t="e">
        <f>SUMIFS(allorders!Q:Q,allorders!L:L,A237,allorders!AG:AG,"&lt;="&amp;日期!$B$5,allorders!AG:AG,"&gt;="&amp;日期!$B$12,allorders!N:N,"Shipped")/SUM(C237:F237)</f>
        <v>#DIV/0!</v>
      </c>
      <c r="H237">
        <f>SUMIFS(allorders!Q:Q,allorders!L:L,A237,allorders!AG:AG,"&gt;="&amp;日期!$B$12,allorders!AG:AG,"&lt;="&amp;日期!$B$5,allorders!N:N,"Shipped")</f>
        <v>0</v>
      </c>
      <c r="I237">
        <f t="shared" si="3"/>
        <v>0</v>
      </c>
    </row>
    <row r="238" spans="1:9">
      <c r="A238" s="7" t="s">
        <v>3352</v>
      </c>
      <c r="B238" t="str">
        <f>VLOOKUP(A238,'[1]子sku-父sku'!$A$1:$B$65536,2,0)</f>
        <v>LYQ-ZQ1117</v>
      </c>
      <c r="C238">
        <f>SUMIFS(allorders!O:O,allorders!L:L,$A238,allorders!AG:AG,"&lt;="&amp;日期!$B$5,allorders!AG:AG,"&gt;="&amp;日期!$B$6,allorders!Q:Q,"&lt;&gt;"&amp;"",allorders!N:N,"Shipped")</f>
        <v>0</v>
      </c>
      <c r="D238">
        <f>SUMIFS(allorders!$O:$O,allorders!$L:$L,$A238,allorders!$AG:$AG,"&lt;="&amp;日期!$B$7,allorders!$AG:$AG,"&gt;="&amp;日期!$B$8,allorders!Q:Q,"&lt;&gt;"&amp;"",allorders!N:N,"Shipped")</f>
        <v>0</v>
      </c>
      <c r="E238">
        <f>SUMIFS(allorders!$O:$O,allorders!$L:$L,$A238,allorders!$AG:$AG,"&lt;="&amp;日期!$B$9,allorders!$AG:$AG,"&gt;="&amp;日期!$B$10,allorders!Q:Q,"&lt;&gt;"&amp;"",allorders!N:N,"Shipped")</f>
        <v>0</v>
      </c>
      <c r="F238">
        <f>SUMIFS(allorders!$O:$O,allorders!$L:$L,$A238,allorders!$AG:$AG,"&lt;="&amp;日期!$B$11,allorders!$AG:$AG,"&gt;="&amp;日期!$B$12,allorders!Q:Q,"&lt;&gt;"&amp;"",allorders!N:N,"Shipped")</f>
        <v>0</v>
      </c>
      <c r="G238" t="e">
        <f>SUMIFS(allorders!Q:Q,allorders!L:L,A238,allorders!AG:AG,"&lt;="&amp;日期!$B$5,allorders!AG:AG,"&gt;="&amp;日期!$B$12,allorders!N:N,"Shipped")/SUM(C238:F238)</f>
        <v>#DIV/0!</v>
      </c>
      <c r="H238">
        <f>SUMIFS(allorders!Q:Q,allorders!L:L,A238,allorders!AG:AG,"&gt;="&amp;日期!$B$12,allorders!AG:AG,"&lt;="&amp;日期!$B$5,allorders!N:N,"Shipped")</f>
        <v>0</v>
      </c>
      <c r="I238">
        <f t="shared" si="3"/>
        <v>0</v>
      </c>
    </row>
    <row r="239" spans="1:9">
      <c r="A239" s="7" t="s">
        <v>3358</v>
      </c>
      <c r="B239" t="str">
        <f>VLOOKUP(A239,'[1]子sku-父sku'!$A$1:$B$65536,2,0)</f>
        <v>LYQ-ZQ1117</v>
      </c>
      <c r="C239">
        <f>SUMIFS(allorders!O:O,allorders!L:L,$A239,allorders!AG:AG,"&lt;="&amp;日期!$B$5,allorders!AG:AG,"&gt;="&amp;日期!$B$6,allorders!Q:Q,"&lt;&gt;"&amp;"",allorders!N:N,"Shipped")</f>
        <v>0</v>
      </c>
      <c r="D239">
        <f>SUMIFS(allorders!$O:$O,allorders!$L:$L,$A239,allorders!$AG:$AG,"&lt;="&amp;日期!$B$7,allorders!$AG:$AG,"&gt;="&amp;日期!$B$8,allorders!Q:Q,"&lt;&gt;"&amp;"",allorders!N:N,"Shipped")</f>
        <v>0</v>
      </c>
      <c r="E239">
        <f>SUMIFS(allorders!$O:$O,allorders!$L:$L,$A239,allorders!$AG:$AG,"&lt;="&amp;日期!$B$9,allorders!$AG:$AG,"&gt;="&amp;日期!$B$10,allorders!Q:Q,"&lt;&gt;"&amp;"",allorders!N:N,"Shipped")</f>
        <v>0</v>
      </c>
      <c r="F239">
        <f>SUMIFS(allorders!$O:$O,allorders!$L:$L,$A239,allorders!$AG:$AG,"&lt;="&amp;日期!$B$11,allorders!$AG:$AG,"&gt;="&amp;日期!$B$12,allorders!Q:Q,"&lt;&gt;"&amp;"",allorders!N:N,"Shipped")</f>
        <v>0</v>
      </c>
      <c r="G239" t="e">
        <f>SUMIFS(allorders!Q:Q,allorders!L:L,A239,allorders!AG:AG,"&lt;="&amp;日期!$B$5,allorders!AG:AG,"&gt;="&amp;日期!$B$12,allorders!N:N,"Shipped")/SUM(C239:F239)</f>
        <v>#DIV/0!</v>
      </c>
      <c r="H239">
        <f>SUMIFS(allorders!Q:Q,allorders!L:L,A239,allorders!AG:AG,"&gt;="&amp;日期!$B$12,allorders!AG:AG,"&lt;="&amp;日期!$B$5,allorders!N:N,"Shipped")</f>
        <v>0</v>
      </c>
      <c r="I239">
        <f t="shared" si="3"/>
        <v>0</v>
      </c>
    </row>
    <row r="240" spans="1:9">
      <c r="A240" s="7" t="s">
        <v>3364</v>
      </c>
      <c r="B240" t="str">
        <f>VLOOKUP(A240,'[1]子sku-父sku'!$A$1:$B$65536,2,0)</f>
        <v>LYQ-ZQ1117</v>
      </c>
      <c r="C240">
        <f>SUMIFS(allorders!O:O,allorders!L:L,$A240,allorders!AG:AG,"&lt;="&amp;日期!$B$5,allorders!AG:AG,"&gt;="&amp;日期!$B$6,allorders!Q:Q,"&lt;&gt;"&amp;"",allorders!N:N,"Shipped")</f>
        <v>0</v>
      </c>
      <c r="D240">
        <f>SUMIFS(allorders!$O:$O,allorders!$L:$L,$A240,allorders!$AG:$AG,"&lt;="&amp;日期!$B$7,allorders!$AG:$AG,"&gt;="&amp;日期!$B$8,allorders!Q:Q,"&lt;&gt;"&amp;"",allorders!N:N,"Shipped")</f>
        <v>0</v>
      </c>
      <c r="E240">
        <f>SUMIFS(allorders!$O:$O,allorders!$L:$L,$A240,allorders!$AG:$AG,"&lt;="&amp;日期!$B$9,allorders!$AG:$AG,"&gt;="&amp;日期!$B$10,allorders!Q:Q,"&lt;&gt;"&amp;"",allorders!N:N,"Shipped")</f>
        <v>0</v>
      </c>
      <c r="F240">
        <f>SUMIFS(allorders!$O:$O,allorders!$L:$L,$A240,allorders!$AG:$AG,"&lt;="&amp;日期!$B$11,allorders!$AG:$AG,"&gt;="&amp;日期!$B$12,allorders!Q:Q,"&lt;&gt;"&amp;"",allorders!N:N,"Shipped")</f>
        <v>0</v>
      </c>
      <c r="G240" t="e">
        <f>SUMIFS(allorders!Q:Q,allorders!L:L,A240,allorders!AG:AG,"&lt;="&amp;日期!$B$5,allorders!AG:AG,"&gt;="&amp;日期!$B$12,allorders!N:N,"Shipped")/SUM(C240:F240)</f>
        <v>#DIV/0!</v>
      </c>
      <c r="H240">
        <f>SUMIFS(allorders!Q:Q,allorders!L:L,A240,allorders!AG:AG,"&gt;="&amp;日期!$B$12,allorders!AG:AG,"&lt;="&amp;日期!$B$5,allorders!N:N,"Shipped")</f>
        <v>0</v>
      </c>
      <c r="I240">
        <f t="shared" si="3"/>
        <v>0</v>
      </c>
    </row>
    <row r="241" spans="1:9">
      <c r="A241" s="7" t="s">
        <v>3370</v>
      </c>
      <c r="B241" t="str">
        <f>VLOOKUP(A241,'[1]子sku-父sku'!$A$1:$B$65536,2,0)</f>
        <v>LYQ-ZQ1117</v>
      </c>
      <c r="C241">
        <f>SUMIFS(allorders!O:O,allorders!L:L,$A241,allorders!AG:AG,"&lt;="&amp;日期!$B$5,allorders!AG:AG,"&gt;="&amp;日期!$B$6,allorders!Q:Q,"&lt;&gt;"&amp;"",allorders!N:N,"Shipped")</f>
        <v>0</v>
      </c>
      <c r="D241">
        <f>SUMIFS(allorders!$O:$O,allorders!$L:$L,$A241,allorders!$AG:$AG,"&lt;="&amp;日期!$B$7,allorders!$AG:$AG,"&gt;="&amp;日期!$B$8,allorders!Q:Q,"&lt;&gt;"&amp;"",allorders!N:N,"Shipped")</f>
        <v>0</v>
      </c>
      <c r="E241">
        <f>SUMIFS(allorders!$O:$O,allorders!$L:$L,$A241,allorders!$AG:$AG,"&lt;="&amp;日期!$B$9,allorders!$AG:$AG,"&gt;="&amp;日期!$B$10,allorders!Q:Q,"&lt;&gt;"&amp;"",allorders!N:N,"Shipped")</f>
        <v>0</v>
      </c>
      <c r="F241">
        <f>SUMIFS(allorders!$O:$O,allorders!$L:$L,$A241,allorders!$AG:$AG,"&lt;="&amp;日期!$B$11,allorders!$AG:$AG,"&gt;="&amp;日期!$B$12,allorders!Q:Q,"&lt;&gt;"&amp;"",allorders!N:N,"Shipped")</f>
        <v>0</v>
      </c>
      <c r="G241" t="e">
        <f>SUMIFS(allorders!Q:Q,allorders!L:L,A241,allorders!AG:AG,"&lt;="&amp;日期!$B$5,allorders!AG:AG,"&gt;="&amp;日期!$B$12,allorders!N:N,"Shipped")/SUM(C241:F241)</f>
        <v>#DIV/0!</v>
      </c>
      <c r="H241">
        <f>SUMIFS(allorders!Q:Q,allorders!L:L,A241,allorders!AG:AG,"&gt;="&amp;日期!$B$12,allorders!AG:AG,"&lt;="&amp;日期!$B$5,allorders!N:N,"Shipped")</f>
        <v>0</v>
      </c>
      <c r="I241">
        <f t="shared" si="3"/>
        <v>0</v>
      </c>
    </row>
    <row r="242" spans="1:9">
      <c r="A242" s="7" t="s">
        <v>3380</v>
      </c>
      <c r="B242" t="str">
        <f>VLOOKUP(A242,'[1]子sku-父sku'!$A$1:$B$65536,2,0)</f>
        <v>LYQ-ZQ1117</v>
      </c>
      <c r="C242">
        <f>SUMIFS(allorders!O:O,allorders!L:L,$A242,allorders!AG:AG,"&lt;="&amp;日期!$B$5,allorders!AG:AG,"&gt;="&amp;日期!$B$6,allorders!Q:Q,"&lt;&gt;"&amp;"",allorders!N:N,"Shipped")</f>
        <v>0</v>
      </c>
      <c r="D242">
        <f>SUMIFS(allorders!$O:$O,allorders!$L:$L,$A242,allorders!$AG:$AG,"&lt;="&amp;日期!$B$7,allorders!$AG:$AG,"&gt;="&amp;日期!$B$8,allorders!Q:Q,"&lt;&gt;"&amp;"",allorders!N:N,"Shipped")</f>
        <v>0</v>
      </c>
      <c r="E242">
        <f>SUMIFS(allorders!$O:$O,allorders!$L:$L,$A242,allorders!$AG:$AG,"&lt;="&amp;日期!$B$9,allorders!$AG:$AG,"&gt;="&amp;日期!$B$10,allorders!Q:Q,"&lt;&gt;"&amp;"",allorders!N:N,"Shipped")</f>
        <v>0</v>
      </c>
      <c r="F242">
        <f>SUMIFS(allorders!$O:$O,allorders!$L:$L,$A242,allorders!$AG:$AG,"&lt;="&amp;日期!$B$11,allorders!$AG:$AG,"&gt;="&amp;日期!$B$12,allorders!Q:Q,"&lt;&gt;"&amp;"",allorders!N:N,"Shipped")</f>
        <v>0</v>
      </c>
      <c r="G242" t="e">
        <f>SUMIFS(allorders!Q:Q,allorders!L:L,A242,allorders!AG:AG,"&lt;="&amp;日期!$B$5,allorders!AG:AG,"&gt;="&amp;日期!$B$12,allorders!N:N,"Shipped")/SUM(C242:F242)</f>
        <v>#DIV/0!</v>
      </c>
      <c r="H242">
        <f>SUMIFS(allorders!Q:Q,allorders!L:L,A242,allorders!AG:AG,"&gt;="&amp;日期!$B$12,allorders!AG:AG,"&lt;="&amp;日期!$B$5,allorders!N:N,"Shipped")</f>
        <v>0</v>
      </c>
      <c r="I242">
        <f t="shared" si="3"/>
        <v>0</v>
      </c>
    </row>
    <row r="243" spans="1:9">
      <c r="A243" s="7" t="s">
        <v>3386</v>
      </c>
      <c r="B243" t="str">
        <f>VLOOKUP(A243,'[1]子sku-父sku'!$A$1:$B$65536,2,0)</f>
        <v>LYQ-ZQ1117</v>
      </c>
      <c r="C243">
        <f>SUMIFS(allorders!O:O,allorders!L:L,$A243,allorders!AG:AG,"&lt;="&amp;日期!$B$5,allorders!AG:AG,"&gt;="&amp;日期!$B$6,allorders!Q:Q,"&lt;&gt;"&amp;"",allorders!N:N,"Shipped")</f>
        <v>0</v>
      </c>
      <c r="D243">
        <f>SUMIFS(allorders!$O:$O,allorders!$L:$L,$A243,allorders!$AG:$AG,"&lt;="&amp;日期!$B$7,allorders!$AG:$AG,"&gt;="&amp;日期!$B$8,allorders!Q:Q,"&lt;&gt;"&amp;"",allorders!N:N,"Shipped")</f>
        <v>0</v>
      </c>
      <c r="E243">
        <f>SUMIFS(allorders!$O:$O,allorders!$L:$L,$A243,allorders!$AG:$AG,"&lt;="&amp;日期!$B$9,allorders!$AG:$AG,"&gt;="&amp;日期!$B$10,allorders!Q:Q,"&lt;&gt;"&amp;"",allorders!N:N,"Shipped")</f>
        <v>0</v>
      </c>
      <c r="F243">
        <f>SUMIFS(allorders!$O:$O,allorders!$L:$L,$A243,allorders!$AG:$AG,"&lt;="&amp;日期!$B$11,allorders!$AG:$AG,"&gt;="&amp;日期!$B$12,allorders!Q:Q,"&lt;&gt;"&amp;"",allorders!N:N,"Shipped")</f>
        <v>0</v>
      </c>
      <c r="G243" t="e">
        <f>SUMIFS(allorders!Q:Q,allorders!L:L,A243,allorders!AG:AG,"&lt;="&amp;日期!$B$5,allorders!AG:AG,"&gt;="&amp;日期!$B$12,allorders!N:N,"Shipped")/SUM(C243:F243)</f>
        <v>#DIV/0!</v>
      </c>
      <c r="H243">
        <f>SUMIFS(allorders!Q:Q,allorders!L:L,A243,allorders!AG:AG,"&gt;="&amp;日期!$B$12,allorders!AG:AG,"&lt;="&amp;日期!$B$5,allorders!N:N,"Shipped")</f>
        <v>0</v>
      </c>
      <c r="I243">
        <f t="shared" si="3"/>
        <v>0</v>
      </c>
    </row>
    <row r="244" spans="1:9">
      <c r="A244" s="7" t="s">
        <v>3392</v>
      </c>
      <c r="B244" t="str">
        <f>VLOOKUP(A244,'[1]子sku-父sku'!$A$1:$B$65536,2,0)</f>
        <v>LYQ-ZQ1117</v>
      </c>
      <c r="C244">
        <f>SUMIFS(allorders!O:O,allorders!L:L,$A244,allorders!AG:AG,"&lt;="&amp;日期!$B$5,allorders!AG:AG,"&gt;="&amp;日期!$B$6,allorders!Q:Q,"&lt;&gt;"&amp;"",allorders!N:N,"Shipped")</f>
        <v>0</v>
      </c>
      <c r="D244">
        <f>SUMIFS(allorders!$O:$O,allorders!$L:$L,$A244,allorders!$AG:$AG,"&lt;="&amp;日期!$B$7,allorders!$AG:$AG,"&gt;="&amp;日期!$B$8,allorders!Q:Q,"&lt;&gt;"&amp;"",allorders!N:N,"Shipped")</f>
        <v>0</v>
      </c>
      <c r="E244">
        <f>SUMIFS(allorders!$O:$O,allorders!$L:$L,$A244,allorders!$AG:$AG,"&lt;="&amp;日期!$B$9,allorders!$AG:$AG,"&gt;="&amp;日期!$B$10,allorders!Q:Q,"&lt;&gt;"&amp;"",allorders!N:N,"Shipped")</f>
        <v>0</v>
      </c>
      <c r="F244">
        <f>SUMIFS(allorders!$O:$O,allorders!$L:$L,$A244,allorders!$AG:$AG,"&lt;="&amp;日期!$B$11,allorders!$AG:$AG,"&gt;="&amp;日期!$B$12,allorders!Q:Q,"&lt;&gt;"&amp;"",allorders!N:N,"Shipped")</f>
        <v>0</v>
      </c>
      <c r="G244" t="e">
        <f>SUMIFS(allorders!Q:Q,allorders!L:L,A244,allorders!AG:AG,"&lt;="&amp;日期!$B$5,allorders!AG:AG,"&gt;="&amp;日期!$B$12,allorders!N:N,"Shipped")/SUM(C244:F244)</f>
        <v>#DIV/0!</v>
      </c>
      <c r="H244">
        <f>SUMIFS(allorders!Q:Q,allorders!L:L,A244,allorders!AG:AG,"&gt;="&amp;日期!$B$12,allorders!AG:AG,"&lt;="&amp;日期!$B$5,allorders!N:N,"Shipped")</f>
        <v>0</v>
      </c>
      <c r="I244">
        <f t="shared" si="3"/>
        <v>0</v>
      </c>
    </row>
    <row r="245" spans="1:9">
      <c r="A245" s="7" t="s">
        <v>3398</v>
      </c>
      <c r="B245" t="str">
        <f>VLOOKUP(A245,'[1]子sku-父sku'!$A$1:$B$65536,2,0)</f>
        <v>LYQ-ZQ1117</v>
      </c>
      <c r="C245">
        <f>SUMIFS(allorders!O:O,allorders!L:L,$A245,allorders!AG:AG,"&lt;="&amp;日期!$B$5,allorders!AG:AG,"&gt;="&amp;日期!$B$6,allorders!Q:Q,"&lt;&gt;"&amp;"",allorders!N:N,"Shipped")</f>
        <v>0</v>
      </c>
      <c r="D245">
        <f>SUMIFS(allorders!$O:$O,allorders!$L:$L,$A245,allorders!$AG:$AG,"&lt;="&amp;日期!$B$7,allorders!$AG:$AG,"&gt;="&amp;日期!$B$8,allorders!Q:Q,"&lt;&gt;"&amp;"",allorders!N:N,"Shipped")</f>
        <v>0</v>
      </c>
      <c r="E245">
        <f>SUMIFS(allorders!$O:$O,allorders!$L:$L,$A245,allorders!$AG:$AG,"&lt;="&amp;日期!$B$9,allorders!$AG:$AG,"&gt;="&amp;日期!$B$10,allorders!Q:Q,"&lt;&gt;"&amp;"",allorders!N:N,"Shipped")</f>
        <v>0</v>
      </c>
      <c r="F245">
        <f>SUMIFS(allorders!$O:$O,allorders!$L:$L,$A245,allorders!$AG:$AG,"&lt;="&amp;日期!$B$11,allorders!$AG:$AG,"&gt;="&amp;日期!$B$12,allorders!Q:Q,"&lt;&gt;"&amp;"",allorders!N:N,"Shipped")</f>
        <v>0</v>
      </c>
      <c r="G245" t="e">
        <f>SUMIFS(allorders!Q:Q,allorders!L:L,A245,allorders!AG:AG,"&lt;="&amp;日期!$B$5,allorders!AG:AG,"&gt;="&amp;日期!$B$12,allorders!N:N,"Shipped")/SUM(C245:F245)</f>
        <v>#DIV/0!</v>
      </c>
      <c r="H245">
        <f>SUMIFS(allorders!Q:Q,allorders!L:L,A245,allorders!AG:AG,"&gt;="&amp;日期!$B$12,allorders!AG:AG,"&lt;="&amp;日期!$B$5,allorders!N:N,"Shipped")</f>
        <v>0</v>
      </c>
      <c r="I245">
        <f t="shared" si="3"/>
        <v>0</v>
      </c>
    </row>
    <row r="246" spans="1:9">
      <c r="A246" s="7" t="s">
        <v>3404</v>
      </c>
      <c r="B246" t="str">
        <f>VLOOKUP(A246,'[1]子sku-父sku'!$A$1:$B$65536,2,0)</f>
        <v>LYQ-ZQ1117</v>
      </c>
      <c r="C246">
        <f>SUMIFS(allorders!O:O,allorders!L:L,$A246,allorders!AG:AG,"&lt;="&amp;日期!$B$5,allorders!AG:AG,"&gt;="&amp;日期!$B$6,allorders!Q:Q,"&lt;&gt;"&amp;"",allorders!N:N,"Shipped")</f>
        <v>0</v>
      </c>
      <c r="D246">
        <f>SUMIFS(allorders!$O:$O,allorders!$L:$L,$A246,allorders!$AG:$AG,"&lt;="&amp;日期!$B$7,allorders!$AG:$AG,"&gt;="&amp;日期!$B$8,allorders!Q:Q,"&lt;&gt;"&amp;"",allorders!N:N,"Shipped")</f>
        <v>0</v>
      </c>
      <c r="E246">
        <f>SUMIFS(allorders!$O:$O,allorders!$L:$L,$A246,allorders!$AG:$AG,"&lt;="&amp;日期!$B$9,allorders!$AG:$AG,"&gt;="&amp;日期!$B$10,allorders!Q:Q,"&lt;&gt;"&amp;"",allorders!N:N,"Shipped")</f>
        <v>0</v>
      </c>
      <c r="F246">
        <f>SUMIFS(allorders!$O:$O,allorders!$L:$L,$A246,allorders!$AG:$AG,"&lt;="&amp;日期!$B$11,allorders!$AG:$AG,"&gt;="&amp;日期!$B$12,allorders!Q:Q,"&lt;&gt;"&amp;"",allorders!N:N,"Shipped")</f>
        <v>0</v>
      </c>
      <c r="G246" t="e">
        <f>SUMIFS(allorders!Q:Q,allorders!L:L,A246,allorders!AG:AG,"&lt;="&amp;日期!$B$5,allorders!AG:AG,"&gt;="&amp;日期!$B$12,allorders!N:N,"Shipped")/SUM(C246:F246)</f>
        <v>#DIV/0!</v>
      </c>
      <c r="H246">
        <f>SUMIFS(allorders!Q:Q,allorders!L:L,A246,allorders!AG:AG,"&gt;="&amp;日期!$B$12,allorders!AG:AG,"&lt;="&amp;日期!$B$5,allorders!N:N,"Shipped")</f>
        <v>0</v>
      </c>
      <c r="I246">
        <f t="shared" si="3"/>
        <v>0</v>
      </c>
    </row>
    <row r="247" spans="1:9">
      <c r="A247" s="7" t="s">
        <v>3410</v>
      </c>
      <c r="B247" t="str">
        <f>VLOOKUP(A247,'[1]子sku-父sku'!$A$1:$B$65536,2,0)</f>
        <v>LYQ-ZQ1117</v>
      </c>
      <c r="C247">
        <f>SUMIFS(allorders!O:O,allorders!L:L,$A247,allorders!AG:AG,"&lt;="&amp;日期!$B$5,allorders!AG:AG,"&gt;="&amp;日期!$B$6,allorders!Q:Q,"&lt;&gt;"&amp;"",allorders!N:N,"Shipped")</f>
        <v>0</v>
      </c>
      <c r="D247">
        <f>SUMIFS(allorders!$O:$O,allorders!$L:$L,$A247,allorders!$AG:$AG,"&lt;="&amp;日期!$B$7,allorders!$AG:$AG,"&gt;="&amp;日期!$B$8,allorders!Q:Q,"&lt;&gt;"&amp;"",allorders!N:N,"Shipped")</f>
        <v>0</v>
      </c>
      <c r="E247">
        <f>SUMIFS(allorders!$O:$O,allorders!$L:$L,$A247,allorders!$AG:$AG,"&lt;="&amp;日期!$B$9,allorders!$AG:$AG,"&gt;="&amp;日期!$B$10,allorders!Q:Q,"&lt;&gt;"&amp;"",allorders!N:N,"Shipped")</f>
        <v>0</v>
      </c>
      <c r="F247">
        <f>SUMIFS(allorders!$O:$O,allorders!$L:$L,$A247,allorders!$AG:$AG,"&lt;="&amp;日期!$B$11,allorders!$AG:$AG,"&gt;="&amp;日期!$B$12,allorders!Q:Q,"&lt;&gt;"&amp;"",allorders!N:N,"Shipped")</f>
        <v>0</v>
      </c>
      <c r="G247" t="e">
        <f>SUMIFS(allorders!Q:Q,allorders!L:L,A247,allorders!AG:AG,"&lt;="&amp;日期!$B$5,allorders!AG:AG,"&gt;="&amp;日期!$B$12,allorders!N:N,"Shipped")/SUM(C247:F247)</f>
        <v>#DIV/0!</v>
      </c>
      <c r="H247">
        <f>SUMIFS(allorders!Q:Q,allorders!L:L,A247,allorders!AG:AG,"&gt;="&amp;日期!$B$12,allorders!AG:AG,"&lt;="&amp;日期!$B$5,allorders!N:N,"Shipped")</f>
        <v>0</v>
      </c>
      <c r="I247">
        <f t="shared" si="3"/>
        <v>0</v>
      </c>
    </row>
    <row r="248" spans="1:9">
      <c r="A248" s="7" t="s">
        <v>3416</v>
      </c>
      <c r="B248" t="str">
        <f>VLOOKUP(A248,'[1]子sku-父sku'!$A$1:$B$65536,2,0)</f>
        <v>LYQ-ZQ1117</v>
      </c>
      <c r="C248">
        <f>SUMIFS(allorders!O:O,allorders!L:L,$A248,allorders!AG:AG,"&lt;="&amp;日期!$B$5,allorders!AG:AG,"&gt;="&amp;日期!$B$6,allorders!Q:Q,"&lt;&gt;"&amp;"",allorders!N:N,"Shipped")</f>
        <v>0</v>
      </c>
      <c r="D248">
        <f>SUMIFS(allorders!$O:$O,allorders!$L:$L,$A248,allorders!$AG:$AG,"&lt;="&amp;日期!$B$7,allorders!$AG:$AG,"&gt;="&amp;日期!$B$8,allorders!Q:Q,"&lt;&gt;"&amp;"",allorders!N:N,"Shipped")</f>
        <v>0</v>
      </c>
      <c r="E248">
        <f>SUMIFS(allorders!$O:$O,allorders!$L:$L,$A248,allorders!$AG:$AG,"&lt;="&amp;日期!$B$9,allorders!$AG:$AG,"&gt;="&amp;日期!$B$10,allorders!Q:Q,"&lt;&gt;"&amp;"",allorders!N:N,"Shipped")</f>
        <v>0</v>
      </c>
      <c r="F248">
        <f>SUMIFS(allorders!$O:$O,allorders!$L:$L,$A248,allorders!$AG:$AG,"&lt;="&amp;日期!$B$11,allorders!$AG:$AG,"&gt;="&amp;日期!$B$12,allorders!Q:Q,"&lt;&gt;"&amp;"",allorders!N:N,"Shipped")</f>
        <v>0</v>
      </c>
      <c r="G248" t="e">
        <f>SUMIFS(allorders!Q:Q,allorders!L:L,A248,allorders!AG:AG,"&lt;="&amp;日期!$B$5,allorders!AG:AG,"&gt;="&amp;日期!$B$12,allorders!N:N,"Shipped")/SUM(C248:F248)</f>
        <v>#DIV/0!</v>
      </c>
      <c r="H248">
        <f>SUMIFS(allorders!Q:Q,allorders!L:L,A248,allorders!AG:AG,"&gt;="&amp;日期!$B$12,allorders!AG:AG,"&lt;="&amp;日期!$B$5,allorders!N:N,"Shipped")</f>
        <v>0</v>
      </c>
      <c r="I248">
        <f t="shared" si="3"/>
        <v>0</v>
      </c>
    </row>
    <row r="249" spans="1:9">
      <c r="A249" s="7" t="s">
        <v>3422</v>
      </c>
      <c r="B249" t="str">
        <f>VLOOKUP(A249,'[1]子sku-父sku'!$A$1:$B$65536,2,0)</f>
        <v>LYQ-ZQ1117</v>
      </c>
      <c r="C249">
        <f>SUMIFS(allorders!O:O,allorders!L:L,$A249,allorders!AG:AG,"&lt;="&amp;日期!$B$5,allorders!AG:AG,"&gt;="&amp;日期!$B$6,allorders!Q:Q,"&lt;&gt;"&amp;"",allorders!N:N,"Shipped")</f>
        <v>0</v>
      </c>
      <c r="D249">
        <f>SUMIFS(allorders!$O:$O,allorders!$L:$L,$A249,allorders!$AG:$AG,"&lt;="&amp;日期!$B$7,allorders!$AG:$AG,"&gt;="&amp;日期!$B$8,allorders!Q:Q,"&lt;&gt;"&amp;"",allorders!N:N,"Shipped")</f>
        <v>0</v>
      </c>
      <c r="E249">
        <f>SUMIFS(allorders!$O:$O,allorders!$L:$L,$A249,allorders!$AG:$AG,"&lt;="&amp;日期!$B$9,allorders!$AG:$AG,"&gt;="&amp;日期!$B$10,allorders!Q:Q,"&lt;&gt;"&amp;"",allorders!N:N,"Shipped")</f>
        <v>0</v>
      </c>
      <c r="F249">
        <f>SUMIFS(allorders!$O:$O,allorders!$L:$L,$A249,allorders!$AG:$AG,"&lt;="&amp;日期!$B$11,allorders!$AG:$AG,"&gt;="&amp;日期!$B$12,allorders!Q:Q,"&lt;&gt;"&amp;"",allorders!N:N,"Shipped")</f>
        <v>0</v>
      </c>
      <c r="G249" t="e">
        <f>SUMIFS(allorders!Q:Q,allorders!L:L,A249,allorders!AG:AG,"&lt;="&amp;日期!$B$5,allorders!AG:AG,"&gt;="&amp;日期!$B$12,allorders!N:N,"Shipped")/SUM(C249:F249)</f>
        <v>#DIV/0!</v>
      </c>
      <c r="H249">
        <f>SUMIFS(allorders!Q:Q,allorders!L:L,A249,allorders!AG:AG,"&gt;="&amp;日期!$B$12,allorders!AG:AG,"&lt;="&amp;日期!$B$5,allorders!N:N,"Shipped")</f>
        <v>0</v>
      </c>
      <c r="I249">
        <f t="shared" si="3"/>
        <v>0</v>
      </c>
    </row>
    <row r="250" spans="1:9">
      <c r="A250" s="7" t="s">
        <v>3428</v>
      </c>
      <c r="B250" t="str">
        <f>VLOOKUP(A250,'[1]子sku-父sku'!$A$1:$B$65536,2,0)</f>
        <v>LYQ-ZQ1117</v>
      </c>
      <c r="C250">
        <f>SUMIFS(allorders!O:O,allorders!L:L,$A250,allorders!AG:AG,"&lt;="&amp;日期!$B$5,allorders!AG:AG,"&gt;="&amp;日期!$B$6,allorders!Q:Q,"&lt;&gt;"&amp;"",allorders!N:N,"Shipped")</f>
        <v>0</v>
      </c>
      <c r="D250">
        <f>SUMIFS(allorders!$O:$O,allorders!$L:$L,$A250,allorders!$AG:$AG,"&lt;="&amp;日期!$B$7,allorders!$AG:$AG,"&gt;="&amp;日期!$B$8,allorders!Q:Q,"&lt;&gt;"&amp;"",allorders!N:N,"Shipped")</f>
        <v>0</v>
      </c>
      <c r="E250">
        <f>SUMIFS(allorders!$O:$O,allorders!$L:$L,$A250,allorders!$AG:$AG,"&lt;="&amp;日期!$B$9,allorders!$AG:$AG,"&gt;="&amp;日期!$B$10,allorders!Q:Q,"&lt;&gt;"&amp;"",allorders!N:N,"Shipped")</f>
        <v>0</v>
      </c>
      <c r="F250">
        <f>SUMIFS(allorders!$O:$O,allorders!$L:$L,$A250,allorders!$AG:$AG,"&lt;="&amp;日期!$B$11,allorders!$AG:$AG,"&gt;="&amp;日期!$B$12,allorders!Q:Q,"&lt;&gt;"&amp;"",allorders!N:N,"Shipped")</f>
        <v>0</v>
      </c>
      <c r="G250" t="e">
        <f>SUMIFS(allorders!Q:Q,allorders!L:L,A250,allorders!AG:AG,"&lt;="&amp;日期!$B$5,allorders!AG:AG,"&gt;="&amp;日期!$B$12,allorders!N:N,"Shipped")/SUM(C250:F250)</f>
        <v>#DIV/0!</v>
      </c>
      <c r="H250">
        <f>SUMIFS(allorders!Q:Q,allorders!L:L,A250,allorders!AG:AG,"&gt;="&amp;日期!$B$12,allorders!AG:AG,"&lt;="&amp;日期!$B$5,allorders!N:N,"Shipped")</f>
        <v>0</v>
      </c>
      <c r="I250">
        <f t="shared" si="3"/>
        <v>0</v>
      </c>
    </row>
    <row r="251" spans="1:9">
      <c r="A251" s="7" t="s">
        <v>3434</v>
      </c>
      <c r="B251" t="str">
        <f>VLOOKUP(A251,'[1]子sku-父sku'!$A$1:$B$65536,2,0)</f>
        <v>LYQ-ZQ1117</v>
      </c>
      <c r="C251">
        <f>SUMIFS(allorders!O:O,allorders!L:L,$A251,allorders!AG:AG,"&lt;="&amp;日期!$B$5,allorders!AG:AG,"&gt;="&amp;日期!$B$6,allorders!Q:Q,"&lt;&gt;"&amp;"",allorders!N:N,"Shipped")</f>
        <v>0</v>
      </c>
      <c r="D251">
        <f>SUMIFS(allorders!$O:$O,allorders!$L:$L,$A251,allorders!$AG:$AG,"&lt;="&amp;日期!$B$7,allorders!$AG:$AG,"&gt;="&amp;日期!$B$8,allorders!Q:Q,"&lt;&gt;"&amp;"",allorders!N:N,"Shipped")</f>
        <v>0</v>
      </c>
      <c r="E251">
        <f>SUMIFS(allorders!$O:$O,allorders!$L:$L,$A251,allorders!$AG:$AG,"&lt;="&amp;日期!$B$9,allorders!$AG:$AG,"&gt;="&amp;日期!$B$10,allorders!Q:Q,"&lt;&gt;"&amp;"",allorders!N:N,"Shipped")</f>
        <v>0</v>
      </c>
      <c r="F251">
        <f>SUMIFS(allorders!$O:$O,allorders!$L:$L,$A251,allorders!$AG:$AG,"&lt;="&amp;日期!$B$11,allorders!$AG:$AG,"&gt;="&amp;日期!$B$12,allorders!Q:Q,"&lt;&gt;"&amp;"",allorders!N:N,"Shipped")</f>
        <v>0</v>
      </c>
      <c r="G251" t="e">
        <f>SUMIFS(allorders!Q:Q,allorders!L:L,A251,allorders!AG:AG,"&lt;="&amp;日期!$B$5,allorders!AG:AG,"&gt;="&amp;日期!$B$12,allorders!N:N,"Shipped")/SUM(C251:F251)</f>
        <v>#DIV/0!</v>
      </c>
      <c r="H251">
        <f>SUMIFS(allorders!Q:Q,allorders!L:L,A251,allorders!AG:AG,"&gt;="&amp;日期!$B$12,allorders!AG:AG,"&lt;="&amp;日期!$B$5,allorders!N:N,"Shipped")</f>
        <v>0</v>
      </c>
      <c r="I251">
        <f t="shared" si="3"/>
        <v>0</v>
      </c>
    </row>
    <row r="252" spans="1:9">
      <c r="A252" s="7" t="s">
        <v>3440</v>
      </c>
      <c r="B252" t="str">
        <f>VLOOKUP(A252,'[1]子sku-父sku'!$A$1:$B$65536,2,0)</f>
        <v>LYQ-ZQ1117</v>
      </c>
      <c r="C252">
        <f>SUMIFS(allorders!O:O,allorders!L:L,$A252,allorders!AG:AG,"&lt;="&amp;日期!$B$5,allorders!AG:AG,"&gt;="&amp;日期!$B$6,allorders!Q:Q,"&lt;&gt;"&amp;"",allorders!N:N,"Shipped")</f>
        <v>0</v>
      </c>
      <c r="D252">
        <f>SUMIFS(allorders!$O:$O,allorders!$L:$L,$A252,allorders!$AG:$AG,"&lt;="&amp;日期!$B$7,allorders!$AG:$AG,"&gt;="&amp;日期!$B$8,allorders!Q:Q,"&lt;&gt;"&amp;"",allorders!N:N,"Shipped")</f>
        <v>0</v>
      </c>
      <c r="E252">
        <f>SUMIFS(allorders!$O:$O,allorders!$L:$L,$A252,allorders!$AG:$AG,"&lt;="&amp;日期!$B$9,allorders!$AG:$AG,"&gt;="&amp;日期!$B$10,allorders!Q:Q,"&lt;&gt;"&amp;"",allorders!N:N,"Shipped")</f>
        <v>0</v>
      </c>
      <c r="F252">
        <f>SUMIFS(allorders!$O:$O,allorders!$L:$L,$A252,allorders!$AG:$AG,"&lt;="&amp;日期!$B$11,allorders!$AG:$AG,"&gt;="&amp;日期!$B$12,allorders!Q:Q,"&lt;&gt;"&amp;"",allorders!N:N,"Shipped")</f>
        <v>0</v>
      </c>
      <c r="G252" t="e">
        <f>SUMIFS(allorders!Q:Q,allorders!L:L,A252,allorders!AG:AG,"&lt;="&amp;日期!$B$5,allorders!AG:AG,"&gt;="&amp;日期!$B$12,allorders!N:N,"Shipped")/SUM(C252:F252)</f>
        <v>#DIV/0!</v>
      </c>
      <c r="H252">
        <f>SUMIFS(allorders!Q:Q,allorders!L:L,A252,allorders!AG:AG,"&gt;="&amp;日期!$B$12,allorders!AG:AG,"&lt;="&amp;日期!$B$5,allorders!N:N,"Shipped")</f>
        <v>0</v>
      </c>
      <c r="I252">
        <f t="shared" si="3"/>
        <v>0</v>
      </c>
    </row>
    <row r="253" spans="1:9">
      <c r="A253" s="7" t="s">
        <v>3446</v>
      </c>
      <c r="B253" t="str">
        <f>VLOOKUP(A253,'[1]子sku-父sku'!$A$1:$B$65536,2,0)</f>
        <v>LYQ-ZQ1117</v>
      </c>
      <c r="C253">
        <f>SUMIFS(allorders!O:O,allorders!L:L,$A253,allorders!AG:AG,"&lt;="&amp;日期!$B$5,allorders!AG:AG,"&gt;="&amp;日期!$B$6,allorders!Q:Q,"&lt;&gt;"&amp;"",allorders!N:N,"Shipped")</f>
        <v>0</v>
      </c>
      <c r="D253">
        <f>SUMIFS(allorders!$O:$O,allorders!$L:$L,$A253,allorders!$AG:$AG,"&lt;="&amp;日期!$B$7,allorders!$AG:$AG,"&gt;="&amp;日期!$B$8,allorders!Q:Q,"&lt;&gt;"&amp;"",allorders!N:N,"Shipped")</f>
        <v>0</v>
      </c>
      <c r="E253">
        <f>SUMIFS(allorders!$O:$O,allorders!$L:$L,$A253,allorders!$AG:$AG,"&lt;="&amp;日期!$B$9,allorders!$AG:$AG,"&gt;="&amp;日期!$B$10,allorders!Q:Q,"&lt;&gt;"&amp;"",allorders!N:N,"Shipped")</f>
        <v>0</v>
      </c>
      <c r="F253">
        <f>SUMIFS(allorders!$O:$O,allorders!$L:$L,$A253,allorders!$AG:$AG,"&lt;="&amp;日期!$B$11,allorders!$AG:$AG,"&gt;="&amp;日期!$B$12,allorders!Q:Q,"&lt;&gt;"&amp;"",allorders!N:N,"Shipped")</f>
        <v>0</v>
      </c>
      <c r="G253" t="e">
        <f>SUMIFS(allorders!Q:Q,allorders!L:L,A253,allorders!AG:AG,"&lt;="&amp;日期!$B$5,allorders!AG:AG,"&gt;="&amp;日期!$B$12,allorders!N:N,"Shipped")/SUM(C253:F253)</f>
        <v>#DIV/0!</v>
      </c>
      <c r="H253">
        <f>SUMIFS(allorders!Q:Q,allorders!L:L,A253,allorders!AG:AG,"&gt;="&amp;日期!$B$12,allorders!AG:AG,"&lt;="&amp;日期!$B$5,allorders!N:N,"Shipped")</f>
        <v>0</v>
      </c>
      <c r="I253">
        <f t="shared" si="3"/>
        <v>0</v>
      </c>
    </row>
    <row r="254" spans="1:9">
      <c r="A254" s="7" t="s">
        <v>3457</v>
      </c>
      <c r="B254" t="str">
        <f>VLOOKUP(A254,'[1]子sku-父sku'!$A$1:$B$65536,2,0)</f>
        <v>LYQ-ZQ2973</v>
      </c>
      <c r="C254">
        <f>SUMIFS(allorders!O:O,allorders!L:L,$A254,allorders!AG:AG,"&lt;="&amp;日期!$B$5,allorders!AG:AG,"&gt;="&amp;日期!$B$6,allorders!Q:Q,"&lt;&gt;"&amp;"",allorders!N:N,"Shipped")</f>
        <v>0</v>
      </c>
      <c r="D254">
        <f>SUMIFS(allorders!$O:$O,allorders!$L:$L,$A254,allorders!$AG:$AG,"&lt;="&amp;日期!$B$7,allorders!$AG:$AG,"&gt;="&amp;日期!$B$8,allorders!Q:Q,"&lt;&gt;"&amp;"",allorders!N:N,"Shipped")</f>
        <v>0</v>
      </c>
      <c r="E254">
        <f>SUMIFS(allorders!$O:$O,allorders!$L:$L,$A254,allorders!$AG:$AG,"&lt;="&amp;日期!$B$9,allorders!$AG:$AG,"&gt;="&amp;日期!$B$10,allorders!Q:Q,"&lt;&gt;"&amp;"",allorders!N:N,"Shipped")</f>
        <v>0</v>
      </c>
      <c r="F254">
        <f>SUMIFS(allorders!$O:$O,allorders!$L:$L,$A254,allorders!$AG:$AG,"&lt;="&amp;日期!$B$11,allorders!$AG:$AG,"&gt;="&amp;日期!$B$12,allorders!Q:Q,"&lt;&gt;"&amp;"",allorders!N:N,"Shipped")</f>
        <v>0</v>
      </c>
      <c r="G254" t="e">
        <f>SUMIFS(allorders!Q:Q,allorders!L:L,A254,allorders!AG:AG,"&lt;="&amp;日期!$B$5,allorders!AG:AG,"&gt;="&amp;日期!$B$12,allorders!N:N,"Shipped")/SUM(C254:F254)</f>
        <v>#DIV/0!</v>
      </c>
      <c r="H254">
        <f>SUMIFS(allorders!Q:Q,allorders!L:L,A254,allorders!AG:AG,"&gt;="&amp;日期!$B$12,allorders!AG:AG,"&lt;="&amp;日期!$B$5,allorders!N:N,"Shipped")</f>
        <v>0</v>
      </c>
      <c r="I254">
        <f t="shared" si="3"/>
        <v>0</v>
      </c>
    </row>
    <row r="255" spans="1:9">
      <c r="A255" s="7" t="s">
        <v>3468</v>
      </c>
      <c r="B255" t="str">
        <f>VLOOKUP(A255,'[1]子sku-父sku'!$A$1:$B$65536,2,0)</f>
        <v>LYQ-ZQ2973</v>
      </c>
      <c r="C255">
        <f>SUMIFS(allorders!O:O,allorders!L:L,$A255,allorders!AG:AG,"&lt;="&amp;日期!$B$5,allorders!AG:AG,"&gt;="&amp;日期!$B$6,allorders!Q:Q,"&lt;&gt;"&amp;"",allorders!N:N,"Shipped")</f>
        <v>0</v>
      </c>
      <c r="D255">
        <f>SUMIFS(allorders!$O:$O,allorders!$L:$L,$A255,allorders!$AG:$AG,"&lt;="&amp;日期!$B$7,allorders!$AG:$AG,"&gt;="&amp;日期!$B$8,allorders!Q:Q,"&lt;&gt;"&amp;"",allorders!N:N,"Shipped")</f>
        <v>0</v>
      </c>
      <c r="E255">
        <f>SUMIFS(allorders!$O:$O,allorders!$L:$L,$A255,allorders!$AG:$AG,"&lt;="&amp;日期!$B$9,allorders!$AG:$AG,"&gt;="&amp;日期!$B$10,allorders!Q:Q,"&lt;&gt;"&amp;"",allorders!N:N,"Shipped")</f>
        <v>0</v>
      </c>
      <c r="F255">
        <f>SUMIFS(allorders!$O:$O,allorders!$L:$L,$A255,allorders!$AG:$AG,"&lt;="&amp;日期!$B$11,allorders!$AG:$AG,"&gt;="&amp;日期!$B$12,allorders!Q:Q,"&lt;&gt;"&amp;"",allorders!N:N,"Shipped")</f>
        <v>0</v>
      </c>
      <c r="G255" t="e">
        <f>SUMIFS(allorders!Q:Q,allorders!L:L,A255,allorders!AG:AG,"&lt;="&amp;日期!$B$5,allorders!AG:AG,"&gt;="&amp;日期!$B$12,allorders!N:N,"Shipped")/SUM(C255:F255)</f>
        <v>#DIV/0!</v>
      </c>
      <c r="H255">
        <f>SUMIFS(allorders!Q:Q,allorders!L:L,A255,allorders!AG:AG,"&gt;="&amp;日期!$B$12,allorders!AG:AG,"&lt;="&amp;日期!$B$5,allorders!N:N,"Shipped")</f>
        <v>0</v>
      </c>
      <c r="I255">
        <f t="shared" si="3"/>
        <v>0</v>
      </c>
    </row>
    <row r="256" spans="1:9">
      <c r="A256" s="7" t="s">
        <v>3479</v>
      </c>
      <c r="B256" t="str">
        <f>VLOOKUP(A256,'[1]子sku-父sku'!$A$1:$B$65536,2,0)</f>
        <v>LYQ-ZQ2973</v>
      </c>
      <c r="C256">
        <f>SUMIFS(allorders!O:O,allorders!L:L,$A256,allorders!AG:AG,"&lt;="&amp;日期!$B$5,allorders!AG:AG,"&gt;="&amp;日期!$B$6,allorders!Q:Q,"&lt;&gt;"&amp;"",allorders!N:N,"Shipped")</f>
        <v>0</v>
      </c>
      <c r="D256">
        <f>SUMIFS(allorders!$O:$O,allorders!$L:$L,$A256,allorders!$AG:$AG,"&lt;="&amp;日期!$B$7,allorders!$AG:$AG,"&gt;="&amp;日期!$B$8,allorders!Q:Q,"&lt;&gt;"&amp;"",allorders!N:N,"Shipped")</f>
        <v>0</v>
      </c>
      <c r="E256">
        <f>SUMIFS(allorders!$O:$O,allorders!$L:$L,$A256,allorders!$AG:$AG,"&lt;="&amp;日期!$B$9,allorders!$AG:$AG,"&gt;="&amp;日期!$B$10,allorders!Q:Q,"&lt;&gt;"&amp;"",allorders!N:N,"Shipped")</f>
        <v>0</v>
      </c>
      <c r="F256">
        <f>SUMIFS(allorders!$O:$O,allorders!$L:$L,$A256,allorders!$AG:$AG,"&lt;="&amp;日期!$B$11,allorders!$AG:$AG,"&gt;="&amp;日期!$B$12,allorders!Q:Q,"&lt;&gt;"&amp;"",allorders!N:N,"Shipped")</f>
        <v>0</v>
      </c>
      <c r="G256" t="e">
        <f>SUMIFS(allorders!Q:Q,allorders!L:L,A256,allorders!AG:AG,"&lt;="&amp;日期!$B$5,allorders!AG:AG,"&gt;="&amp;日期!$B$12,allorders!N:N,"Shipped")/SUM(C256:F256)</f>
        <v>#DIV/0!</v>
      </c>
      <c r="H256">
        <f>SUMIFS(allorders!Q:Q,allorders!L:L,A256,allorders!AG:AG,"&gt;="&amp;日期!$B$12,allorders!AG:AG,"&lt;="&amp;日期!$B$5,allorders!N:N,"Shipped")</f>
        <v>0</v>
      </c>
      <c r="I256">
        <f t="shared" si="3"/>
        <v>0</v>
      </c>
    </row>
    <row r="257" spans="1:9">
      <c r="A257" s="7" t="s">
        <v>3502</v>
      </c>
      <c r="B257" t="str">
        <f>VLOOKUP(A257,'[1]子sku-父sku'!$A$1:$B$65536,2,0)</f>
        <v>LYQ-ZQ2973</v>
      </c>
      <c r="C257">
        <f>SUMIFS(allorders!O:O,allorders!L:L,$A257,allorders!AG:AG,"&lt;="&amp;日期!$B$5,allorders!AG:AG,"&gt;="&amp;日期!$B$6,allorders!Q:Q,"&lt;&gt;"&amp;"",allorders!N:N,"Shipped")</f>
        <v>0</v>
      </c>
      <c r="D257">
        <f>SUMIFS(allorders!$O:$O,allorders!$L:$L,$A257,allorders!$AG:$AG,"&lt;="&amp;日期!$B$7,allorders!$AG:$AG,"&gt;="&amp;日期!$B$8,allorders!Q:Q,"&lt;&gt;"&amp;"",allorders!N:N,"Shipped")</f>
        <v>0</v>
      </c>
      <c r="E257">
        <f>SUMIFS(allorders!$O:$O,allorders!$L:$L,$A257,allorders!$AG:$AG,"&lt;="&amp;日期!$B$9,allorders!$AG:$AG,"&gt;="&amp;日期!$B$10,allorders!Q:Q,"&lt;&gt;"&amp;"",allorders!N:N,"Shipped")</f>
        <v>0</v>
      </c>
      <c r="F257">
        <f>SUMIFS(allorders!$O:$O,allorders!$L:$L,$A257,allorders!$AG:$AG,"&lt;="&amp;日期!$B$11,allorders!$AG:$AG,"&gt;="&amp;日期!$B$12,allorders!Q:Q,"&lt;&gt;"&amp;"",allorders!N:N,"Shipped")</f>
        <v>0</v>
      </c>
      <c r="G257" t="e">
        <f>SUMIFS(allorders!Q:Q,allorders!L:L,A257,allorders!AG:AG,"&lt;="&amp;日期!$B$5,allorders!AG:AG,"&gt;="&amp;日期!$B$12,allorders!N:N,"Shipped")/SUM(C257:F257)</f>
        <v>#DIV/0!</v>
      </c>
      <c r="H257">
        <f>SUMIFS(allorders!Q:Q,allorders!L:L,A257,allorders!AG:AG,"&gt;="&amp;日期!$B$12,allorders!AG:AG,"&lt;="&amp;日期!$B$5,allorders!N:N,"Shipped")</f>
        <v>0</v>
      </c>
      <c r="I257">
        <f t="shared" si="3"/>
        <v>0</v>
      </c>
    </row>
    <row r="258" spans="1:9">
      <c r="A258" s="7" t="s">
        <v>3517</v>
      </c>
      <c r="B258" t="str">
        <f>VLOOKUP(A258,'[1]子sku-父sku'!$A$1:$B$65536,2,0)</f>
        <v>LYQ-ZQ2973</v>
      </c>
      <c r="C258">
        <f>SUMIFS(allorders!O:O,allorders!L:L,$A258,allorders!AG:AG,"&lt;="&amp;日期!$B$5,allorders!AG:AG,"&gt;="&amp;日期!$B$6,allorders!Q:Q,"&lt;&gt;"&amp;"",allorders!N:N,"Shipped")</f>
        <v>0</v>
      </c>
      <c r="D258">
        <f>SUMIFS(allorders!$O:$O,allorders!$L:$L,$A258,allorders!$AG:$AG,"&lt;="&amp;日期!$B$7,allorders!$AG:$AG,"&gt;="&amp;日期!$B$8,allorders!Q:Q,"&lt;&gt;"&amp;"",allorders!N:N,"Shipped")</f>
        <v>0</v>
      </c>
      <c r="E258">
        <f>SUMIFS(allorders!$O:$O,allorders!$L:$L,$A258,allorders!$AG:$AG,"&lt;="&amp;日期!$B$9,allorders!$AG:$AG,"&gt;="&amp;日期!$B$10,allorders!Q:Q,"&lt;&gt;"&amp;"",allorders!N:N,"Shipped")</f>
        <v>0</v>
      </c>
      <c r="F258">
        <f>SUMIFS(allorders!$O:$O,allorders!$L:$L,$A258,allorders!$AG:$AG,"&lt;="&amp;日期!$B$11,allorders!$AG:$AG,"&gt;="&amp;日期!$B$12,allorders!Q:Q,"&lt;&gt;"&amp;"",allorders!N:N,"Shipped")</f>
        <v>0</v>
      </c>
      <c r="G258" t="e">
        <f>SUMIFS(allorders!Q:Q,allorders!L:L,A258,allorders!AG:AG,"&lt;="&amp;日期!$B$5,allorders!AG:AG,"&gt;="&amp;日期!$B$12,allorders!N:N,"Shipped")/SUM(C258:F258)</f>
        <v>#DIV/0!</v>
      </c>
      <c r="H258">
        <f>SUMIFS(allorders!Q:Q,allorders!L:L,A258,allorders!AG:AG,"&gt;="&amp;日期!$B$12,allorders!AG:AG,"&lt;="&amp;日期!$B$5,allorders!N:N,"Shipped")</f>
        <v>0</v>
      </c>
      <c r="I258">
        <f t="shared" si="3"/>
        <v>0</v>
      </c>
    </row>
    <row r="259" spans="1:9">
      <c r="A259" s="7" t="s">
        <v>3524</v>
      </c>
      <c r="B259" t="str">
        <f>VLOOKUP(A259,'[1]子sku-父sku'!$A$1:$B$65536,2,0)</f>
        <v>LYQ-ZQ2973</v>
      </c>
      <c r="C259">
        <f>SUMIFS(allorders!O:O,allorders!L:L,$A259,allorders!AG:AG,"&lt;="&amp;日期!$B$5,allorders!AG:AG,"&gt;="&amp;日期!$B$6,allorders!Q:Q,"&lt;&gt;"&amp;"",allorders!N:N,"Shipped")</f>
        <v>0</v>
      </c>
      <c r="D259">
        <f>SUMIFS(allorders!$O:$O,allorders!$L:$L,$A259,allorders!$AG:$AG,"&lt;="&amp;日期!$B$7,allorders!$AG:$AG,"&gt;="&amp;日期!$B$8,allorders!Q:Q,"&lt;&gt;"&amp;"",allorders!N:N,"Shipped")</f>
        <v>0</v>
      </c>
      <c r="E259">
        <f>SUMIFS(allorders!$O:$O,allorders!$L:$L,$A259,allorders!$AG:$AG,"&lt;="&amp;日期!$B$9,allorders!$AG:$AG,"&gt;="&amp;日期!$B$10,allorders!Q:Q,"&lt;&gt;"&amp;"",allorders!N:N,"Shipped")</f>
        <v>0</v>
      </c>
      <c r="F259">
        <f>SUMIFS(allorders!$O:$O,allorders!$L:$L,$A259,allorders!$AG:$AG,"&lt;="&amp;日期!$B$11,allorders!$AG:$AG,"&gt;="&amp;日期!$B$12,allorders!Q:Q,"&lt;&gt;"&amp;"",allorders!N:N,"Shipped")</f>
        <v>0</v>
      </c>
      <c r="G259" t="e">
        <f>SUMIFS(allorders!Q:Q,allorders!L:L,A259,allorders!AG:AG,"&lt;="&amp;日期!$B$5,allorders!AG:AG,"&gt;="&amp;日期!$B$12,allorders!N:N,"Shipped")/SUM(C259:F259)</f>
        <v>#DIV/0!</v>
      </c>
      <c r="H259">
        <f>SUMIFS(allorders!Q:Q,allorders!L:L,A259,allorders!AG:AG,"&gt;="&amp;日期!$B$12,allorders!AG:AG,"&lt;="&amp;日期!$B$5,allorders!N:N,"Shipped")</f>
        <v>0</v>
      </c>
      <c r="I259">
        <f t="shared" ref="I259:I322" si="4">SUM(C259:F259)</f>
        <v>0</v>
      </c>
    </row>
    <row r="260" spans="1:9">
      <c r="A260" s="7" t="s">
        <v>3531</v>
      </c>
      <c r="B260" t="str">
        <f>VLOOKUP(A260,'[1]子sku-父sku'!$A$1:$B$65536,2,0)</f>
        <v>LYQ-ZQ2973</v>
      </c>
      <c r="C260">
        <f>SUMIFS(allorders!O:O,allorders!L:L,$A260,allorders!AG:AG,"&lt;="&amp;日期!$B$5,allorders!AG:AG,"&gt;="&amp;日期!$B$6,allorders!Q:Q,"&lt;&gt;"&amp;"",allorders!N:N,"Shipped")</f>
        <v>0</v>
      </c>
      <c r="D260">
        <f>SUMIFS(allorders!$O:$O,allorders!$L:$L,$A260,allorders!$AG:$AG,"&lt;="&amp;日期!$B$7,allorders!$AG:$AG,"&gt;="&amp;日期!$B$8,allorders!Q:Q,"&lt;&gt;"&amp;"",allorders!N:N,"Shipped")</f>
        <v>0</v>
      </c>
      <c r="E260">
        <f>SUMIFS(allorders!$O:$O,allorders!$L:$L,$A260,allorders!$AG:$AG,"&lt;="&amp;日期!$B$9,allorders!$AG:$AG,"&gt;="&amp;日期!$B$10,allorders!Q:Q,"&lt;&gt;"&amp;"",allorders!N:N,"Shipped")</f>
        <v>0</v>
      </c>
      <c r="F260">
        <f>SUMIFS(allorders!$O:$O,allorders!$L:$L,$A260,allorders!$AG:$AG,"&lt;="&amp;日期!$B$11,allorders!$AG:$AG,"&gt;="&amp;日期!$B$12,allorders!Q:Q,"&lt;&gt;"&amp;"",allorders!N:N,"Shipped")</f>
        <v>0</v>
      </c>
      <c r="G260" t="e">
        <f>SUMIFS(allorders!Q:Q,allorders!L:L,A260,allorders!AG:AG,"&lt;="&amp;日期!$B$5,allorders!AG:AG,"&gt;="&amp;日期!$B$12,allorders!N:N,"Shipped")/SUM(C260:F260)</f>
        <v>#DIV/0!</v>
      </c>
      <c r="H260">
        <f>SUMIFS(allorders!Q:Q,allorders!L:L,A260,allorders!AG:AG,"&gt;="&amp;日期!$B$12,allorders!AG:AG,"&lt;="&amp;日期!$B$5,allorders!N:N,"Shipped")</f>
        <v>0</v>
      </c>
      <c r="I260">
        <f t="shared" si="4"/>
        <v>0</v>
      </c>
    </row>
    <row r="261" spans="1:9">
      <c r="A261" s="7" t="s">
        <v>3538</v>
      </c>
      <c r="B261" t="str">
        <f>VLOOKUP(A261,'[1]子sku-父sku'!$A$1:$B$65536,2,0)</f>
        <v>LYQ-ZQ2973</v>
      </c>
      <c r="C261">
        <f>SUMIFS(allorders!O:O,allorders!L:L,$A261,allorders!AG:AG,"&lt;="&amp;日期!$B$5,allorders!AG:AG,"&gt;="&amp;日期!$B$6,allorders!Q:Q,"&lt;&gt;"&amp;"",allorders!N:N,"Shipped")</f>
        <v>0</v>
      </c>
      <c r="D261">
        <f>SUMIFS(allorders!$O:$O,allorders!$L:$L,$A261,allorders!$AG:$AG,"&lt;="&amp;日期!$B$7,allorders!$AG:$AG,"&gt;="&amp;日期!$B$8,allorders!Q:Q,"&lt;&gt;"&amp;"",allorders!N:N,"Shipped")</f>
        <v>0</v>
      </c>
      <c r="E261">
        <f>SUMIFS(allorders!$O:$O,allorders!$L:$L,$A261,allorders!$AG:$AG,"&lt;="&amp;日期!$B$9,allorders!$AG:$AG,"&gt;="&amp;日期!$B$10,allorders!Q:Q,"&lt;&gt;"&amp;"",allorders!N:N,"Shipped")</f>
        <v>0</v>
      </c>
      <c r="F261">
        <f>SUMIFS(allorders!$O:$O,allorders!$L:$L,$A261,allorders!$AG:$AG,"&lt;="&amp;日期!$B$11,allorders!$AG:$AG,"&gt;="&amp;日期!$B$12,allorders!Q:Q,"&lt;&gt;"&amp;"",allorders!N:N,"Shipped")</f>
        <v>0</v>
      </c>
      <c r="G261" t="e">
        <f>SUMIFS(allorders!Q:Q,allorders!L:L,A261,allorders!AG:AG,"&lt;="&amp;日期!$B$5,allorders!AG:AG,"&gt;="&amp;日期!$B$12,allorders!N:N,"Shipped")/SUM(C261:F261)</f>
        <v>#DIV/0!</v>
      </c>
      <c r="H261">
        <f>SUMIFS(allorders!Q:Q,allorders!L:L,A261,allorders!AG:AG,"&gt;="&amp;日期!$B$12,allorders!AG:AG,"&lt;="&amp;日期!$B$5,allorders!N:N,"Shipped")</f>
        <v>0</v>
      </c>
      <c r="I261">
        <f t="shared" si="4"/>
        <v>0</v>
      </c>
    </row>
    <row r="262" spans="1:9">
      <c r="A262" s="7" t="s">
        <v>3557</v>
      </c>
      <c r="B262" t="str">
        <f>VLOOKUP(A262,'[1]子sku-父sku'!$A$1:$B$65536,2,0)</f>
        <v>LYQ-ZQ2973</v>
      </c>
      <c r="C262">
        <f>SUMIFS(allorders!O:O,allorders!L:L,$A262,allorders!AG:AG,"&lt;="&amp;日期!$B$5,allorders!AG:AG,"&gt;="&amp;日期!$B$6,allorders!Q:Q,"&lt;&gt;"&amp;"",allorders!N:N,"Shipped")</f>
        <v>0</v>
      </c>
      <c r="D262">
        <f>SUMIFS(allorders!$O:$O,allorders!$L:$L,$A262,allorders!$AG:$AG,"&lt;="&amp;日期!$B$7,allorders!$AG:$AG,"&gt;="&amp;日期!$B$8,allorders!Q:Q,"&lt;&gt;"&amp;"",allorders!N:N,"Shipped")</f>
        <v>0</v>
      </c>
      <c r="E262">
        <f>SUMIFS(allorders!$O:$O,allorders!$L:$L,$A262,allorders!$AG:$AG,"&lt;="&amp;日期!$B$9,allorders!$AG:$AG,"&gt;="&amp;日期!$B$10,allorders!Q:Q,"&lt;&gt;"&amp;"",allorders!N:N,"Shipped")</f>
        <v>0</v>
      </c>
      <c r="F262">
        <f>SUMIFS(allorders!$O:$O,allorders!$L:$L,$A262,allorders!$AG:$AG,"&lt;="&amp;日期!$B$11,allorders!$AG:$AG,"&gt;="&amp;日期!$B$12,allorders!Q:Q,"&lt;&gt;"&amp;"",allorders!N:N,"Shipped")</f>
        <v>0</v>
      </c>
      <c r="G262" t="e">
        <f>SUMIFS(allorders!Q:Q,allorders!L:L,A262,allorders!AG:AG,"&lt;="&amp;日期!$B$5,allorders!AG:AG,"&gt;="&amp;日期!$B$12,allorders!N:N,"Shipped")/SUM(C262:F262)</f>
        <v>#DIV/0!</v>
      </c>
      <c r="H262">
        <f>SUMIFS(allorders!Q:Q,allorders!L:L,A262,allorders!AG:AG,"&gt;="&amp;日期!$B$12,allorders!AG:AG,"&lt;="&amp;日期!$B$5,allorders!N:N,"Shipped")</f>
        <v>0</v>
      </c>
      <c r="I262">
        <f t="shared" si="4"/>
        <v>0</v>
      </c>
    </row>
    <row r="263" spans="1:9">
      <c r="A263" s="7" t="s">
        <v>3649</v>
      </c>
      <c r="B263" t="str">
        <f>VLOOKUP(A263,'[1]子sku-父sku'!$A$1:$B$65536,2,0)</f>
        <v>SHJ-ZQLS01</v>
      </c>
      <c r="C263">
        <f>SUMIFS(allorders!O:O,allorders!L:L,$A263,allorders!AG:AG,"&lt;="&amp;日期!$B$5,allorders!AG:AG,"&gt;="&amp;日期!$B$6,allorders!Q:Q,"&lt;&gt;"&amp;"",allorders!N:N,"Shipped")</f>
        <v>0</v>
      </c>
      <c r="D263">
        <f>SUMIFS(allorders!$O:$O,allorders!$L:$L,$A263,allorders!$AG:$AG,"&lt;="&amp;日期!$B$7,allorders!$AG:$AG,"&gt;="&amp;日期!$B$8,allorders!Q:Q,"&lt;&gt;"&amp;"",allorders!N:N,"Shipped")</f>
        <v>1</v>
      </c>
      <c r="E263">
        <f>SUMIFS(allorders!$O:$O,allorders!$L:$L,$A263,allorders!$AG:$AG,"&lt;="&amp;日期!$B$9,allorders!$AG:$AG,"&gt;="&amp;日期!$B$10,allorders!Q:Q,"&lt;&gt;"&amp;"",allorders!N:N,"Shipped")</f>
        <v>0</v>
      </c>
      <c r="F263">
        <f>SUMIFS(allorders!$O:$O,allorders!$L:$L,$A263,allorders!$AG:$AG,"&lt;="&amp;日期!$B$11,allorders!$AG:$AG,"&gt;="&amp;日期!$B$12,allorders!Q:Q,"&lt;&gt;"&amp;"",allorders!N:N,"Shipped")</f>
        <v>0</v>
      </c>
      <c r="G263">
        <f>SUMIFS(allorders!Q:Q,allorders!L:L,A263,allorders!AG:AG,"&lt;="&amp;日期!$B$5,allorders!AG:AG,"&gt;="&amp;日期!$B$12,allorders!N:N,"Shipped")/SUM(C263:F263)</f>
        <v>16.99</v>
      </c>
      <c r="H263">
        <f>SUMIFS(allorders!Q:Q,allorders!L:L,A263,allorders!AG:AG,"&gt;="&amp;日期!$B$12,allorders!AG:AG,"&lt;="&amp;日期!$B$5,allorders!N:N,"Shipped")</f>
        <v>16.99</v>
      </c>
      <c r="I263">
        <f t="shared" si="4"/>
        <v>1</v>
      </c>
    </row>
    <row r="264" spans="1:9">
      <c r="A264" s="7" t="s">
        <v>3659</v>
      </c>
      <c r="B264" t="str">
        <f>VLOOKUP(A264,'[1]子sku-父sku'!$A$1:$B$65536,2,0)</f>
        <v>YZ-ZQBL03</v>
      </c>
      <c r="C264">
        <f>SUMIFS(allorders!O:O,allorders!L:L,$A264,allorders!AG:AG,"&lt;="&amp;日期!$B$5,allorders!AG:AG,"&gt;="&amp;日期!$B$6,allorders!Q:Q,"&lt;&gt;"&amp;"",allorders!N:N,"Shipped")</f>
        <v>0</v>
      </c>
      <c r="D264">
        <f>SUMIFS(allorders!$O:$O,allorders!$L:$L,$A264,allorders!$AG:$AG,"&lt;="&amp;日期!$B$7,allorders!$AG:$AG,"&gt;="&amp;日期!$B$8,allorders!Q:Q,"&lt;&gt;"&amp;"",allorders!N:N,"Shipped")</f>
        <v>1</v>
      </c>
      <c r="E264">
        <f>SUMIFS(allorders!$O:$O,allorders!$L:$L,$A264,allorders!$AG:$AG,"&lt;="&amp;日期!$B$9,allorders!$AG:$AG,"&gt;="&amp;日期!$B$10,allorders!Q:Q,"&lt;&gt;"&amp;"",allorders!N:N,"Shipped")</f>
        <v>0</v>
      </c>
      <c r="F264">
        <f>SUMIFS(allorders!$O:$O,allorders!$L:$L,$A264,allorders!$AG:$AG,"&lt;="&amp;日期!$B$11,allorders!$AG:$AG,"&gt;="&amp;日期!$B$12,allorders!Q:Q,"&lt;&gt;"&amp;"",allorders!N:N,"Shipped")</f>
        <v>0</v>
      </c>
      <c r="G264">
        <f>SUMIFS(allorders!Q:Q,allorders!L:L,A264,allorders!AG:AG,"&lt;="&amp;日期!$B$5,allorders!AG:AG,"&gt;="&amp;日期!$B$12,allorders!N:N,"Shipped")/SUM(C264:F264)</f>
        <v>19.99</v>
      </c>
      <c r="H264">
        <f>SUMIFS(allorders!Q:Q,allorders!L:L,A264,allorders!AG:AG,"&gt;="&amp;日期!$B$12,allorders!AG:AG,"&lt;="&amp;日期!$B$5,allorders!N:N,"Shipped")</f>
        <v>19.99</v>
      </c>
      <c r="I264">
        <f t="shared" si="4"/>
        <v>1</v>
      </c>
    </row>
    <row r="265" spans="1:9">
      <c r="A265" s="7" t="s">
        <v>3685</v>
      </c>
      <c r="B265" t="str">
        <f>VLOOKUP(A265,'[1]子sku-父sku'!$A$1:$B$65536,2,0)</f>
        <v>YZ-SUZQ598</v>
      </c>
      <c r="C265">
        <f>SUMIFS(allorders!O:O,allorders!L:L,$A265,allorders!AG:AG,"&lt;="&amp;日期!$B$5,allorders!AG:AG,"&gt;="&amp;日期!$B$6,allorders!Q:Q,"&lt;&gt;"&amp;"",allorders!N:N,"Shipped")</f>
        <v>0</v>
      </c>
      <c r="D265">
        <f>SUMIFS(allorders!$O:$O,allorders!$L:$L,$A265,allorders!$AG:$AG,"&lt;="&amp;日期!$B$7,allorders!$AG:$AG,"&gt;="&amp;日期!$B$8,allorders!Q:Q,"&lt;&gt;"&amp;"",allorders!N:N,"Shipped")</f>
        <v>1</v>
      </c>
      <c r="E265">
        <f>SUMIFS(allorders!$O:$O,allorders!$L:$L,$A265,allorders!$AG:$AG,"&lt;="&amp;日期!$B$9,allorders!$AG:$AG,"&gt;="&amp;日期!$B$10,allorders!Q:Q,"&lt;&gt;"&amp;"",allorders!N:N,"Shipped")</f>
        <v>0</v>
      </c>
      <c r="F265">
        <f>SUMIFS(allorders!$O:$O,allorders!$L:$L,$A265,allorders!$AG:$AG,"&lt;="&amp;日期!$B$11,allorders!$AG:$AG,"&gt;="&amp;日期!$B$12,allorders!Q:Q,"&lt;&gt;"&amp;"",allorders!N:N,"Shipped")</f>
        <v>0</v>
      </c>
      <c r="G265">
        <f>SUMIFS(allorders!Q:Q,allorders!L:L,A265,allorders!AG:AG,"&lt;="&amp;日期!$B$5,allorders!AG:AG,"&gt;="&amp;日期!$B$12,allorders!N:N,"Shipped")/SUM(C265:F265)</f>
        <v>19.99</v>
      </c>
      <c r="H265">
        <f>SUMIFS(allorders!Q:Q,allorders!L:L,A265,allorders!AG:AG,"&gt;="&amp;日期!$B$12,allorders!AG:AG,"&lt;="&amp;日期!$B$5,allorders!N:N,"Shipped")</f>
        <v>19.99</v>
      </c>
      <c r="I265">
        <f t="shared" si="4"/>
        <v>1</v>
      </c>
    </row>
    <row r="266" spans="1:9">
      <c r="A266" s="7" t="s">
        <v>3731</v>
      </c>
      <c r="B266" t="str">
        <f>VLOOKUP(A266,'[1]子sku-父sku'!$A$1:$B$65536,2,0)</f>
        <v>LYQ-CL6287</v>
      </c>
      <c r="C266">
        <f>SUMIFS(allorders!O:O,allorders!L:L,$A266,allorders!AG:AG,"&lt;="&amp;日期!$B$5,allorders!AG:AG,"&gt;="&amp;日期!$B$6,allorders!Q:Q,"&lt;&gt;"&amp;"",allorders!N:N,"Shipped")</f>
        <v>0</v>
      </c>
      <c r="D266">
        <f>SUMIFS(allorders!$O:$O,allorders!$L:$L,$A266,allorders!$AG:$AG,"&lt;="&amp;日期!$B$7,allorders!$AG:$AG,"&gt;="&amp;日期!$B$8,allorders!Q:Q,"&lt;&gt;"&amp;"",allorders!N:N,"Shipped")</f>
        <v>0</v>
      </c>
      <c r="E266">
        <f>SUMIFS(allorders!$O:$O,allorders!$L:$L,$A266,allorders!$AG:$AG,"&lt;="&amp;日期!$B$9,allorders!$AG:$AG,"&gt;="&amp;日期!$B$10,allorders!Q:Q,"&lt;&gt;"&amp;"",allorders!N:N,"Shipped")</f>
        <v>0</v>
      </c>
      <c r="F266">
        <f>SUMIFS(allorders!$O:$O,allorders!$L:$L,$A266,allorders!$AG:$AG,"&lt;="&amp;日期!$B$11,allorders!$AG:$AG,"&gt;="&amp;日期!$B$12,allorders!Q:Q,"&lt;&gt;"&amp;"",allorders!N:N,"Shipped")</f>
        <v>0</v>
      </c>
      <c r="G266" t="e">
        <f>SUMIFS(allorders!Q:Q,allorders!L:L,A266,allorders!AG:AG,"&lt;="&amp;日期!$B$5,allorders!AG:AG,"&gt;="&amp;日期!$B$12,allorders!N:N,"Shipped")/SUM(C266:F266)</f>
        <v>#DIV/0!</v>
      </c>
      <c r="H266">
        <f>SUMIFS(allorders!Q:Q,allorders!L:L,A266,allorders!AG:AG,"&gt;="&amp;日期!$B$12,allorders!AG:AG,"&lt;="&amp;日期!$B$5,allorders!N:N,"Shipped")</f>
        <v>0</v>
      </c>
      <c r="I266">
        <f t="shared" si="4"/>
        <v>0</v>
      </c>
    </row>
    <row r="267" spans="1:9">
      <c r="A267" s="7" t="s">
        <v>3738</v>
      </c>
      <c r="B267" t="str">
        <f>VLOOKUP(A267,'[1]子sku-父sku'!$A$1:$B$65536,2,0)</f>
        <v>LYQ-CL6287</v>
      </c>
      <c r="C267">
        <f>SUMIFS(allorders!O:O,allorders!L:L,$A267,allorders!AG:AG,"&lt;="&amp;日期!$B$5,allorders!AG:AG,"&gt;="&amp;日期!$B$6,allorders!Q:Q,"&lt;&gt;"&amp;"",allorders!N:N,"Shipped")</f>
        <v>0</v>
      </c>
      <c r="D267">
        <f>SUMIFS(allorders!$O:$O,allorders!$L:$L,$A267,allorders!$AG:$AG,"&lt;="&amp;日期!$B$7,allorders!$AG:$AG,"&gt;="&amp;日期!$B$8,allorders!Q:Q,"&lt;&gt;"&amp;"",allorders!N:N,"Shipped")</f>
        <v>0</v>
      </c>
      <c r="E267">
        <f>SUMIFS(allorders!$O:$O,allorders!$L:$L,$A267,allorders!$AG:$AG,"&lt;="&amp;日期!$B$9,allorders!$AG:$AG,"&gt;="&amp;日期!$B$10,allorders!Q:Q,"&lt;&gt;"&amp;"",allorders!N:N,"Shipped")</f>
        <v>0</v>
      </c>
      <c r="F267">
        <f>SUMIFS(allorders!$O:$O,allorders!$L:$L,$A267,allorders!$AG:$AG,"&lt;="&amp;日期!$B$11,allorders!$AG:$AG,"&gt;="&amp;日期!$B$12,allorders!Q:Q,"&lt;&gt;"&amp;"",allorders!N:N,"Shipped")</f>
        <v>0</v>
      </c>
      <c r="G267" t="e">
        <f>SUMIFS(allorders!Q:Q,allorders!L:L,A267,allorders!AG:AG,"&lt;="&amp;日期!$B$5,allorders!AG:AG,"&gt;="&amp;日期!$B$12,allorders!N:N,"Shipped")/SUM(C267:F267)</f>
        <v>#DIV/0!</v>
      </c>
      <c r="H267">
        <f>SUMIFS(allorders!Q:Q,allorders!L:L,A267,allorders!AG:AG,"&gt;="&amp;日期!$B$12,allorders!AG:AG,"&lt;="&amp;日期!$B$5,allorders!N:N,"Shipped")</f>
        <v>0</v>
      </c>
      <c r="I267">
        <f t="shared" si="4"/>
        <v>0</v>
      </c>
    </row>
    <row r="268" spans="1:9">
      <c r="A268" s="7" t="s">
        <v>3745</v>
      </c>
      <c r="B268" t="str">
        <f>VLOOKUP(A268,'[1]子sku-父sku'!$A$1:$B$65536,2,0)</f>
        <v>LYQ-CL6287</v>
      </c>
      <c r="C268">
        <f>SUMIFS(allorders!O:O,allorders!L:L,$A268,allorders!AG:AG,"&lt;="&amp;日期!$B$5,allorders!AG:AG,"&gt;="&amp;日期!$B$6,allorders!Q:Q,"&lt;&gt;"&amp;"",allorders!N:N,"Shipped")</f>
        <v>0</v>
      </c>
      <c r="D268">
        <f>SUMIFS(allorders!$O:$O,allorders!$L:$L,$A268,allorders!$AG:$AG,"&lt;="&amp;日期!$B$7,allorders!$AG:$AG,"&gt;="&amp;日期!$B$8,allorders!Q:Q,"&lt;&gt;"&amp;"",allorders!N:N,"Shipped")</f>
        <v>0</v>
      </c>
      <c r="E268">
        <f>SUMIFS(allorders!$O:$O,allorders!$L:$L,$A268,allorders!$AG:$AG,"&lt;="&amp;日期!$B$9,allorders!$AG:$AG,"&gt;="&amp;日期!$B$10,allorders!Q:Q,"&lt;&gt;"&amp;"",allorders!N:N,"Shipped")</f>
        <v>0</v>
      </c>
      <c r="F268">
        <f>SUMIFS(allorders!$O:$O,allorders!$L:$L,$A268,allorders!$AG:$AG,"&lt;="&amp;日期!$B$11,allorders!$AG:$AG,"&gt;="&amp;日期!$B$12,allorders!Q:Q,"&lt;&gt;"&amp;"",allorders!N:N,"Shipped")</f>
        <v>0</v>
      </c>
      <c r="G268" t="e">
        <f>SUMIFS(allorders!Q:Q,allorders!L:L,A268,allorders!AG:AG,"&lt;="&amp;日期!$B$5,allorders!AG:AG,"&gt;="&amp;日期!$B$12,allorders!N:N,"Shipped")/SUM(C268:F268)</f>
        <v>#DIV/0!</v>
      </c>
      <c r="H268">
        <f>SUMIFS(allorders!Q:Q,allorders!L:L,A268,allorders!AG:AG,"&gt;="&amp;日期!$B$12,allorders!AG:AG,"&lt;="&amp;日期!$B$5,allorders!N:N,"Shipped")</f>
        <v>0</v>
      </c>
      <c r="I268">
        <f t="shared" si="4"/>
        <v>0</v>
      </c>
    </row>
    <row r="269" spans="1:9">
      <c r="A269" s="7" t="s">
        <v>3752</v>
      </c>
      <c r="B269" t="str">
        <f>VLOOKUP(A269,'[1]子sku-父sku'!$A$1:$B$65536,2,0)</f>
        <v>LYQ-CL6287</v>
      </c>
      <c r="C269">
        <f>SUMIFS(allorders!O:O,allorders!L:L,$A269,allorders!AG:AG,"&lt;="&amp;日期!$B$5,allorders!AG:AG,"&gt;="&amp;日期!$B$6,allorders!Q:Q,"&lt;&gt;"&amp;"",allorders!N:N,"Shipped")</f>
        <v>0</v>
      </c>
      <c r="D269">
        <f>SUMIFS(allorders!$O:$O,allorders!$L:$L,$A269,allorders!$AG:$AG,"&lt;="&amp;日期!$B$7,allorders!$AG:$AG,"&gt;="&amp;日期!$B$8,allorders!Q:Q,"&lt;&gt;"&amp;"",allorders!N:N,"Shipped")</f>
        <v>0</v>
      </c>
      <c r="E269">
        <f>SUMIFS(allorders!$O:$O,allorders!$L:$L,$A269,allorders!$AG:$AG,"&lt;="&amp;日期!$B$9,allorders!$AG:$AG,"&gt;="&amp;日期!$B$10,allorders!Q:Q,"&lt;&gt;"&amp;"",allorders!N:N,"Shipped")</f>
        <v>0</v>
      </c>
      <c r="F269">
        <f>SUMIFS(allorders!$O:$O,allorders!$L:$L,$A269,allorders!$AG:$AG,"&lt;="&amp;日期!$B$11,allorders!$AG:$AG,"&gt;="&amp;日期!$B$12,allorders!Q:Q,"&lt;&gt;"&amp;"",allorders!N:N,"Shipped")</f>
        <v>0</v>
      </c>
      <c r="G269" t="e">
        <f>SUMIFS(allorders!Q:Q,allorders!L:L,A269,allorders!AG:AG,"&lt;="&amp;日期!$B$5,allorders!AG:AG,"&gt;="&amp;日期!$B$12,allorders!N:N,"Shipped")/SUM(C269:F269)</f>
        <v>#DIV/0!</v>
      </c>
      <c r="H269">
        <f>SUMIFS(allorders!Q:Q,allorders!L:L,A269,allorders!AG:AG,"&gt;="&amp;日期!$B$12,allorders!AG:AG,"&lt;="&amp;日期!$B$5,allorders!N:N,"Shipped")</f>
        <v>0</v>
      </c>
      <c r="I269">
        <f t="shared" si="4"/>
        <v>0</v>
      </c>
    </row>
    <row r="270" spans="1:9">
      <c r="A270" s="7" t="s">
        <v>3759</v>
      </c>
      <c r="B270" t="str">
        <f>VLOOKUP(A270,'[1]子sku-父sku'!$A$1:$B$65536,2,0)</f>
        <v>LYQ-ZQMB3811</v>
      </c>
      <c r="C270">
        <f>SUMIFS(allorders!O:O,allorders!L:L,$A270,allorders!AG:AG,"&lt;="&amp;日期!$B$5,allorders!AG:AG,"&gt;="&amp;日期!$B$6,allorders!Q:Q,"&lt;&gt;"&amp;"",allorders!N:N,"Shipped")</f>
        <v>0</v>
      </c>
      <c r="D270">
        <f>SUMIFS(allorders!$O:$O,allorders!$L:$L,$A270,allorders!$AG:$AG,"&lt;="&amp;日期!$B$7,allorders!$AG:$AG,"&gt;="&amp;日期!$B$8,allorders!Q:Q,"&lt;&gt;"&amp;"",allorders!N:N,"Shipped")</f>
        <v>0</v>
      </c>
      <c r="E270">
        <f>SUMIFS(allorders!$O:$O,allorders!$L:$L,$A270,allorders!$AG:$AG,"&lt;="&amp;日期!$B$9,allorders!$AG:$AG,"&gt;="&amp;日期!$B$10,allorders!Q:Q,"&lt;&gt;"&amp;"",allorders!N:N,"Shipped")</f>
        <v>0</v>
      </c>
      <c r="F270">
        <f>SUMIFS(allorders!$O:$O,allorders!$L:$L,$A270,allorders!$AG:$AG,"&lt;="&amp;日期!$B$11,allorders!$AG:$AG,"&gt;="&amp;日期!$B$12,allorders!Q:Q,"&lt;&gt;"&amp;"",allorders!N:N,"Shipped")</f>
        <v>0</v>
      </c>
      <c r="G270" t="e">
        <f>SUMIFS(allorders!Q:Q,allorders!L:L,A270,allorders!AG:AG,"&lt;="&amp;日期!$B$5,allorders!AG:AG,"&gt;="&amp;日期!$B$12,allorders!N:N,"Shipped")/SUM(C270:F270)</f>
        <v>#DIV/0!</v>
      </c>
      <c r="H270">
        <f>SUMIFS(allorders!Q:Q,allorders!L:L,A270,allorders!AG:AG,"&gt;="&amp;日期!$B$12,allorders!AG:AG,"&lt;="&amp;日期!$B$5,allorders!N:N,"Shipped")</f>
        <v>0</v>
      </c>
      <c r="I270">
        <f t="shared" si="4"/>
        <v>0</v>
      </c>
    </row>
    <row r="271" spans="1:9">
      <c r="A271" s="7" t="s">
        <v>3765</v>
      </c>
      <c r="B271" t="str">
        <f>VLOOKUP(A271,'[1]子sku-父sku'!$A$1:$B$65536,2,0)</f>
        <v>LYQ-ZQMB3811</v>
      </c>
      <c r="C271">
        <f>SUMIFS(allorders!O:O,allorders!L:L,$A271,allorders!AG:AG,"&lt;="&amp;日期!$B$5,allorders!AG:AG,"&gt;="&amp;日期!$B$6,allorders!Q:Q,"&lt;&gt;"&amp;"",allorders!N:N,"Shipped")</f>
        <v>0</v>
      </c>
      <c r="D271">
        <f>SUMIFS(allorders!$O:$O,allorders!$L:$L,$A271,allorders!$AG:$AG,"&lt;="&amp;日期!$B$7,allorders!$AG:$AG,"&gt;="&amp;日期!$B$8,allorders!Q:Q,"&lt;&gt;"&amp;"",allorders!N:N,"Shipped")</f>
        <v>0</v>
      </c>
      <c r="E271">
        <f>SUMIFS(allorders!$O:$O,allorders!$L:$L,$A271,allorders!$AG:$AG,"&lt;="&amp;日期!$B$9,allorders!$AG:$AG,"&gt;="&amp;日期!$B$10,allorders!Q:Q,"&lt;&gt;"&amp;"",allorders!N:N,"Shipped")</f>
        <v>0</v>
      </c>
      <c r="F271">
        <f>SUMIFS(allorders!$O:$O,allorders!$L:$L,$A271,allorders!$AG:$AG,"&lt;="&amp;日期!$B$11,allorders!$AG:$AG,"&gt;="&amp;日期!$B$12,allorders!Q:Q,"&lt;&gt;"&amp;"",allorders!N:N,"Shipped")</f>
        <v>0</v>
      </c>
      <c r="G271" t="e">
        <f>SUMIFS(allorders!Q:Q,allorders!L:L,A271,allorders!AG:AG,"&lt;="&amp;日期!$B$5,allorders!AG:AG,"&gt;="&amp;日期!$B$12,allorders!N:N,"Shipped")/SUM(C271:F271)</f>
        <v>#DIV/0!</v>
      </c>
      <c r="H271">
        <f>SUMIFS(allorders!Q:Q,allorders!L:L,A271,allorders!AG:AG,"&gt;="&amp;日期!$B$12,allorders!AG:AG,"&lt;="&amp;日期!$B$5,allorders!N:N,"Shipped")</f>
        <v>0</v>
      </c>
      <c r="I271">
        <f t="shared" si="4"/>
        <v>0</v>
      </c>
    </row>
    <row r="272" spans="1:9">
      <c r="A272" s="7" t="s">
        <v>3771</v>
      </c>
      <c r="B272" t="str">
        <f>VLOOKUP(A272,'[1]子sku-父sku'!$A$1:$B$65536,2,0)</f>
        <v>LYQ-ZQMB3811</v>
      </c>
      <c r="C272">
        <f>SUMIFS(allorders!O:O,allorders!L:L,$A272,allorders!AG:AG,"&lt;="&amp;日期!$B$5,allorders!AG:AG,"&gt;="&amp;日期!$B$6,allorders!Q:Q,"&lt;&gt;"&amp;"",allorders!N:N,"Shipped")</f>
        <v>0</v>
      </c>
      <c r="D272">
        <f>SUMIFS(allorders!$O:$O,allorders!$L:$L,$A272,allorders!$AG:$AG,"&lt;="&amp;日期!$B$7,allorders!$AG:$AG,"&gt;="&amp;日期!$B$8,allorders!Q:Q,"&lt;&gt;"&amp;"",allorders!N:N,"Shipped")</f>
        <v>0</v>
      </c>
      <c r="E272">
        <f>SUMIFS(allorders!$O:$O,allorders!$L:$L,$A272,allorders!$AG:$AG,"&lt;="&amp;日期!$B$9,allorders!$AG:$AG,"&gt;="&amp;日期!$B$10,allorders!Q:Q,"&lt;&gt;"&amp;"",allorders!N:N,"Shipped")</f>
        <v>0</v>
      </c>
      <c r="F272">
        <f>SUMIFS(allorders!$O:$O,allorders!$L:$L,$A272,allorders!$AG:$AG,"&lt;="&amp;日期!$B$11,allorders!$AG:$AG,"&gt;="&amp;日期!$B$12,allorders!Q:Q,"&lt;&gt;"&amp;"",allorders!N:N,"Shipped")</f>
        <v>0</v>
      </c>
      <c r="G272" t="e">
        <f>SUMIFS(allorders!Q:Q,allorders!L:L,A272,allorders!AG:AG,"&lt;="&amp;日期!$B$5,allorders!AG:AG,"&gt;="&amp;日期!$B$12,allorders!N:N,"Shipped")/SUM(C272:F272)</f>
        <v>#DIV/0!</v>
      </c>
      <c r="H272">
        <f>SUMIFS(allorders!Q:Q,allorders!L:L,A272,allorders!AG:AG,"&gt;="&amp;日期!$B$12,allorders!AG:AG,"&lt;="&amp;日期!$B$5,allorders!N:N,"Shipped")</f>
        <v>0</v>
      </c>
      <c r="I272">
        <f t="shared" si="4"/>
        <v>0</v>
      </c>
    </row>
    <row r="273" spans="1:9">
      <c r="A273" s="7" t="s">
        <v>3778</v>
      </c>
      <c r="B273" t="str">
        <f>VLOOKUP(A273,'[1]子sku-父sku'!$A$1:$B$65536,2,0)</f>
        <v>MZ-JY1616</v>
      </c>
      <c r="C273">
        <f>SUMIFS(allorders!O:O,allorders!L:L,$A273,allorders!AG:AG,"&lt;="&amp;日期!$B$5,allorders!AG:AG,"&gt;="&amp;日期!$B$6,allorders!Q:Q,"&lt;&gt;"&amp;"",allorders!N:N,"Shipped")</f>
        <v>0</v>
      </c>
      <c r="D273">
        <f>SUMIFS(allorders!$O:$O,allorders!$L:$L,$A273,allorders!$AG:$AG,"&lt;="&amp;日期!$B$7,allorders!$AG:$AG,"&gt;="&amp;日期!$B$8,allorders!Q:Q,"&lt;&gt;"&amp;"",allorders!N:N,"Shipped")</f>
        <v>0</v>
      </c>
      <c r="E273">
        <f>SUMIFS(allorders!$O:$O,allorders!$L:$L,$A273,allorders!$AG:$AG,"&lt;="&amp;日期!$B$9,allorders!$AG:$AG,"&gt;="&amp;日期!$B$10,allorders!Q:Q,"&lt;&gt;"&amp;"",allorders!N:N,"Shipped")</f>
        <v>0</v>
      </c>
      <c r="F273">
        <f>SUMIFS(allorders!$O:$O,allorders!$L:$L,$A273,allorders!$AG:$AG,"&lt;="&amp;日期!$B$11,allorders!$AG:$AG,"&gt;="&amp;日期!$B$12,allorders!Q:Q,"&lt;&gt;"&amp;"",allorders!N:N,"Shipped")</f>
        <v>0</v>
      </c>
      <c r="G273" t="e">
        <f>SUMIFS(allorders!Q:Q,allorders!L:L,A273,allorders!AG:AG,"&lt;="&amp;日期!$B$5,allorders!AG:AG,"&gt;="&amp;日期!$B$12,allorders!N:N,"Shipped")/SUM(C273:F273)</f>
        <v>#DIV/0!</v>
      </c>
      <c r="H273">
        <f>SUMIFS(allorders!Q:Q,allorders!L:L,A273,allorders!AG:AG,"&gt;="&amp;日期!$B$12,allorders!AG:AG,"&lt;="&amp;日期!$B$5,allorders!N:N,"Shipped")</f>
        <v>0</v>
      </c>
      <c r="I273">
        <f t="shared" si="4"/>
        <v>0</v>
      </c>
    </row>
    <row r="274" spans="1:9">
      <c r="A274" s="7" t="s">
        <v>3784</v>
      </c>
      <c r="B274" t="str">
        <f>VLOOKUP(A274,'[1]子sku-父sku'!$A$1:$B$65536,2,0)</f>
        <v>MZ-JY1616</v>
      </c>
      <c r="C274">
        <f>SUMIFS(allorders!O:O,allorders!L:L,$A274,allorders!AG:AG,"&lt;="&amp;日期!$B$5,allorders!AG:AG,"&gt;="&amp;日期!$B$6,allorders!Q:Q,"&lt;&gt;"&amp;"",allorders!N:N,"Shipped")</f>
        <v>0</v>
      </c>
      <c r="D274">
        <f>SUMIFS(allorders!$O:$O,allorders!$L:$L,$A274,allorders!$AG:$AG,"&lt;="&amp;日期!$B$7,allorders!$AG:$AG,"&gt;="&amp;日期!$B$8,allorders!Q:Q,"&lt;&gt;"&amp;"",allorders!N:N,"Shipped")</f>
        <v>0</v>
      </c>
      <c r="E274">
        <f>SUMIFS(allorders!$O:$O,allorders!$L:$L,$A274,allorders!$AG:$AG,"&lt;="&amp;日期!$B$9,allorders!$AG:$AG,"&gt;="&amp;日期!$B$10,allorders!Q:Q,"&lt;&gt;"&amp;"",allorders!N:N,"Shipped")</f>
        <v>0</v>
      </c>
      <c r="F274">
        <f>SUMIFS(allorders!$O:$O,allorders!$L:$L,$A274,allorders!$AG:$AG,"&lt;="&amp;日期!$B$11,allorders!$AG:$AG,"&gt;="&amp;日期!$B$12,allorders!Q:Q,"&lt;&gt;"&amp;"",allorders!N:N,"Shipped")</f>
        <v>0</v>
      </c>
      <c r="G274" t="e">
        <f>SUMIFS(allorders!Q:Q,allorders!L:L,A274,allorders!AG:AG,"&lt;="&amp;日期!$B$5,allorders!AG:AG,"&gt;="&amp;日期!$B$12,allorders!N:N,"Shipped")/SUM(C274:F274)</f>
        <v>#DIV/0!</v>
      </c>
      <c r="H274">
        <f>SUMIFS(allorders!Q:Q,allorders!L:L,A274,allorders!AG:AG,"&gt;="&amp;日期!$B$12,allorders!AG:AG,"&lt;="&amp;日期!$B$5,allorders!N:N,"Shipped")</f>
        <v>0</v>
      </c>
      <c r="I274">
        <f t="shared" si="4"/>
        <v>0</v>
      </c>
    </row>
    <row r="275" spans="1:9">
      <c r="A275" s="7" t="s">
        <v>3790</v>
      </c>
      <c r="B275" t="str">
        <f>VLOOKUP(A275,'[1]子sku-父sku'!$A$1:$B$65536,2,0)</f>
        <v>MZ-JY1616</v>
      </c>
      <c r="C275">
        <f>SUMIFS(allorders!O:O,allorders!L:L,$A275,allorders!AG:AG,"&lt;="&amp;日期!$B$5,allorders!AG:AG,"&gt;="&amp;日期!$B$6,allorders!Q:Q,"&lt;&gt;"&amp;"",allorders!N:N,"Shipped")</f>
        <v>0</v>
      </c>
      <c r="D275">
        <f>SUMIFS(allorders!$O:$O,allorders!$L:$L,$A275,allorders!$AG:$AG,"&lt;="&amp;日期!$B$7,allorders!$AG:$AG,"&gt;="&amp;日期!$B$8,allorders!Q:Q,"&lt;&gt;"&amp;"",allorders!N:N,"Shipped")</f>
        <v>0</v>
      </c>
      <c r="E275">
        <f>SUMIFS(allorders!$O:$O,allorders!$L:$L,$A275,allorders!$AG:$AG,"&lt;="&amp;日期!$B$9,allorders!$AG:$AG,"&gt;="&amp;日期!$B$10,allorders!Q:Q,"&lt;&gt;"&amp;"",allorders!N:N,"Shipped")</f>
        <v>0</v>
      </c>
      <c r="F275">
        <f>SUMIFS(allorders!$O:$O,allorders!$L:$L,$A275,allorders!$AG:$AG,"&lt;="&amp;日期!$B$11,allorders!$AG:$AG,"&gt;="&amp;日期!$B$12,allorders!Q:Q,"&lt;&gt;"&amp;"",allorders!N:N,"Shipped")</f>
        <v>0</v>
      </c>
      <c r="G275" t="e">
        <f>SUMIFS(allorders!Q:Q,allorders!L:L,A275,allorders!AG:AG,"&lt;="&amp;日期!$B$5,allorders!AG:AG,"&gt;="&amp;日期!$B$12,allorders!N:N,"Shipped")/SUM(C275:F275)</f>
        <v>#DIV/0!</v>
      </c>
      <c r="H275">
        <f>SUMIFS(allorders!Q:Q,allorders!L:L,A275,allorders!AG:AG,"&gt;="&amp;日期!$B$12,allorders!AG:AG,"&lt;="&amp;日期!$B$5,allorders!N:N,"Shipped")</f>
        <v>0</v>
      </c>
      <c r="I275">
        <f t="shared" si="4"/>
        <v>0</v>
      </c>
    </row>
    <row r="276" spans="1:9">
      <c r="A276" s="7" t="s">
        <v>3796</v>
      </c>
      <c r="B276" t="str">
        <f>VLOOKUP(A276,'[1]子sku-父sku'!$A$1:$B$65536,2,0)</f>
        <v>MZ-JY1616</v>
      </c>
      <c r="C276">
        <f>SUMIFS(allorders!O:O,allorders!L:L,$A276,allorders!AG:AG,"&lt;="&amp;日期!$B$5,allorders!AG:AG,"&gt;="&amp;日期!$B$6,allorders!Q:Q,"&lt;&gt;"&amp;"",allorders!N:N,"Shipped")</f>
        <v>0</v>
      </c>
      <c r="D276">
        <f>SUMIFS(allorders!$O:$O,allorders!$L:$L,$A276,allorders!$AG:$AG,"&lt;="&amp;日期!$B$7,allorders!$AG:$AG,"&gt;="&amp;日期!$B$8,allorders!Q:Q,"&lt;&gt;"&amp;"",allorders!N:N,"Shipped")</f>
        <v>0</v>
      </c>
      <c r="E276">
        <f>SUMIFS(allorders!$O:$O,allorders!$L:$L,$A276,allorders!$AG:$AG,"&lt;="&amp;日期!$B$9,allorders!$AG:$AG,"&gt;="&amp;日期!$B$10,allorders!Q:Q,"&lt;&gt;"&amp;"",allorders!N:N,"Shipped")</f>
        <v>0</v>
      </c>
      <c r="F276">
        <f>SUMIFS(allorders!$O:$O,allorders!$L:$L,$A276,allorders!$AG:$AG,"&lt;="&amp;日期!$B$11,allorders!$AG:$AG,"&gt;="&amp;日期!$B$12,allorders!Q:Q,"&lt;&gt;"&amp;"",allorders!N:N,"Shipped")</f>
        <v>0</v>
      </c>
      <c r="G276" t="e">
        <f>SUMIFS(allorders!Q:Q,allorders!L:L,A276,allorders!AG:AG,"&lt;="&amp;日期!$B$5,allorders!AG:AG,"&gt;="&amp;日期!$B$12,allorders!N:N,"Shipped")/SUM(C276:F276)</f>
        <v>#DIV/0!</v>
      </c>
      <c r="H276">
        <f>SUMIFS(allorders!Q:Q,allorders!L:L,A276,allorders!AG:AG,"&gt;="&amp;日期!$B$12,allorders!AG:AG,"&lt;="&amp;日期!$B$5,allorders!N:N,"Shipped")</f>
        <v>0</v>
      </c>
      <c r="I276">
        <f t="shared" si="4"/>
        <v>0</v>
      </c>
    </row>
    <row r="277" spans="1:9">
      <c r="A277" s="7" t="s">
        <v>3803</v>
      </c>
      <c r="B277" t="str">
        <f>VLOOKUP(A277,'[1]子sku-父sku'!$A$1:$B$65536,2,0)</f>
        <v>YZ-HM174164</v>
      </c>
      <c r="C277">
        <f>SUMIFS(allorders!O:O,allorders!L:L,$A277,allorders!AG:AG,"&lt;="&amp;日期!$B$5,allorders!AG:AG,"&gt;="&amp;日期!$B$6,allorders!Q:Q,"&lt;&gt;"&amp;"",allorders!N:N,"Shipped")</f>
        <v>0</v>
      </c>
      <c r="D277">
        <f>SUMIFS(allorders!$O:$O,allorders!$L:$L,$A277,allorders!$AG:$AG,"&lt;="&amp;日期!$B$7,allorders!$AG:$AG,"&gt;="&amp;日期!$B$8,allorders!Q:Q,"&lt;&gt;"&amp;"",allorders!N:N,"Shipped")</f>
        <v>0</v>
      </c>
      <c r="E277">
        <f>SUMIFS(allorders!$O:$O,allorders!$L:$L,$A277,allorders!$AG:$AG,"&lt;="&amp;日期!$B$9,allorders!$AG:$AG,"&gt;="&amp;日期!$B$10,allorders!Q:Q,"&lt;&gt;"&amp;"",allorders!N:N,"Shipped")</f>
        <v>0</v>
      </c>
      <c r="F277">
        <f>SUMIFS(allorders!$O:$O,allorders!$L:$L,$A277,allorders!$AG:$AG,"&lt;="&amp;日期!$B$11,allorders!$AG:$AG,"&gt;="&amp;日期!$B$12,allorders!Q:Q,"&lt;&gt;"&amp;"",allorders!N:N,"Shipped")</f>
        <v>0</v>
      </c>
      <c r="G277" t="e">
        <f>SUMIFS(allorders!Q:Q,allorders!L:L,A277,allorders!AG:AG,"&lt;="&amp;日期!$B$5,allorders!AG:AG,"&gt;="&amp;日期!$B$12,allorders!N:N,"Shipped")/SUM(C277:F277)</f>
        <v>#DIV/0!</v>
      </c>
      <c r="H277">
        <f>SUMIFS(allorders!Q:Q,allorders!L:L,A277,allorders!AG:AG,"&gt;="&amp;日期!$B$12,allorders!AG:AG,"&lt;="&amp;日期!$B$5,allorders!N:N,"Shipped")</f>
        <v>0</v>
      </c>
      <c r="I277">
        <f t="shared" si="4"/>
        <v>0</v>
      </c>
    </row>
    <row r="278" spans="1:9">
      <c r="A278" s="7" t="s">
        <v>3810</v>
      </c>
      <c r="B278" t="str">
        <f>VLOOKUP(A278,'[1]子sku-父sku'!$A$1:$B$65536,2,0)</f>
        <v>YZ-HM174164</v>
      </c>
      <c r="C278">
        <f>SUMIFS(allorders!O:O,allorders!L:L,$A278,allorders!AG:AG,"&lt;="&amp;日期!$B$5,allorders!AG:AG,"&gt;="&amp;日期!$B$6,allorders!Q:Q,"&lt;&gt;"&amp;"",allorders!N:N,"Shipped")</f>
        <v>0</v>
      </c>
      <c r="D278">
        <f>SUMIFS(allorders!$O:$O,allorders!$L:$L,$A278,allorders!$AG:$AG,"&lt;="&amp;日期!$B$7,allorders!$AG:$AG,"&gt;="&amp;日期!$B$8,allorders!Q:Q,"&lt;&gt;"&amp;"",allorders!N:N,"Shipped")</f>
        <v>0</v>
      </c>
      <c r="E278">
        <f>SUMIFS(allorders!$O:$O,allorders!$L:$L,$A278,allorders!$AG:$AG,"&lt;="&amp;日期!$B$9,allorders!$AG:$AG,"&gt;="&amp;日期!$B$10,allorders!Q:Q,"&lt;&gt;"&amp;"",allorders!N:N,"Shipped")</f>
        <v>0</v>
      </c>
      <c r="F278">
        <f>SUMIFS(allorders!$O:$O,allorders!$L:$L,$A278,allorders!$AG:$AG,"&lt;="&amp;日期!$B$11,allorders!$AG:$AG,"&gt;="&amp;日期!$B$12,allorders!Q:Q,"&lt;&gt;"&amp;"",allorders!N:N,"Shipped")</f>
        <v>0</v>
      </c>
      <c r="G278" t="e">
        <f>SUMIFS(allorders!Q:Q,allorders!L:L,A278,allorders!AG:AG,"&lt;="&amp;日期!$B$5,allorders!AG:AG,"&gt;="&amp;日期!$B$12,allorders!N:N,"Shipped")/SUM(C278:F278)</f>
        <v>#DIV/0!</v>
      </c>
      <c r="H278">
        <f>SUMIFS(allorders!Q:Q,allorders!L:L,A278,allorders!AG:AG,"&gt;="&amp;日期!$B$12,allorders!AG:AG,"&lt;="&amp;日期!$B$5,allorders!N:N,"Shipped")</f>
        <v>0</v>
      </c>
      <c r="I278">
        <f t="shared" si="4"/>
        <v>0</v>
      </c>
    </row>
    <row r="279" spans="1:9">
      <c r="A279" s="7" t="s">
        <v>3817</v>
      </c>
      <c r="B279" t="str">
        <f>VLOOKUP(A279,'[1]子sku-父sku'!$A$1:$B$65536,2,0)</f>
        <v>YZ-HM174164</v>
      </c>
      <c r="C279">
        <f>SUMIFS(allorders!O:O,allorders!L:L,$A279,allorders!AG:AG,"&lt;="&amp;日期!$B$5,allorders!AG:AG,"&gt;="&amp;日期!$B$6,allorders!Q:Q,"&lt;&gt;"&amp;"",allorders!N:N,"Shipped")</f>
        <v>0</v>
      </c>
      <c r="D279">
        <f>SUMIFS(allorders!$O:$O,allorders!$L:$L,$A279,allorders!$AG:$AG,"&lt;="&amp;日期!$B$7,allorders!$AG:$AG,"&gt;="&amp;日期!$B$8,allorders!Q:Q,"&lt;&gt;"&amp;"",allorders!N:N,"Shipped")</f>
        <v>0</v>
      </c>
      <c r="E279">
        <f>SUMIFS(allorders!$O:$O,allorders!$L:$L,$A279,allorders!$AG:$AG,"&lt;="&amp;日期!$B$9,allorders!$AG:$AG,"&gt;="&amp;日期!$B$10,allorders!Q:Q,"&lt;&gt;"&amp;"",allorders!N:N,"Shipped")</f>
        <v>0</v>
      </c>
      <c r="F279">
        <f>SUMIFS(allorders!$O:$O,allorders!$L:$L,$A279,allorders!$AG:$AG,"&lt;="&amp;日期!$B$11,allorders!$AG:$AG,"&gt;="&amp;日期!$B$12,allorders!Q:Q,"&lt;&gt;"&amp;"",allorders!N:N,"Shipped")</f>
        <v>0</v>
      </c>
      <c r="G279" t="e">
        <f>SUMIFS(allorders!Q:Q,allorders!L:L,A279,allorders!AG:AG,"&lt;="&amp;日期!$B$5,allorders!AG:AG,"&gt;="&amp;日期!$B$12,allorders!N:N,"Shipped")/SUM(C279:F279)</f>
        <v>#DIV/0!</v>
      </c>
      <c r="H279">
        <f>SUMIFS(allorders!Q:Q,allorders!L:L,A279,allorders!AG:AG,"&gt;="&amp;日期!$B$12,allorders!AG:AG,"&lt;="&amp;日期!$B$5,allorders!N:N,"Shipped")</f>
        <v>0</v>
      </c>
      <c r="I279">
        <f t="shared" si="4"/>
        <v>0</v>
      </c>
    </row>
    <row r="280" spans="1:9">
      <c r="A280" s="7" t="s">
        <v>3824</v>
      </c>
      <c r="B280" t="str">
        <f>VLOOKUP(A280,'[1]子sku-父sku'!$A$1:$B$65536,2,0)</f>
        <v>YZ-HM174164</v>
      </c>
      <c r="C280">
        <f>SUMIFS(allorders!O:O,allorders!L:L,$A280,allorders!AG:AG,"&lt;="&amp;日期!$B$5,allorders!AG:AG,"&gt;="&amp;日期!$B$6,allorders!Q:Q,"&lt;&gt;"&amp;"",allorders!N:N,"Shipped")</f>
        <v>0</v>
      </c>
      <c r="D280">
        <f>SUMIFS(allorders!$O:$O,allorders!$L:$L,$A280,allorders!$AG:$AG,"&lt;="&amp;日期!$B$7,allorders!$AG:$AG,"&gt;="&amp;日期!$B$8,allorders!Q:Q,"&lt;&gt;"&amp;"",allorders!N:N,"Shipped")</f>
        <v>0</v>
      </c>
      <c r="E280">
        <f>SUMIFS(allorders!$O:$O,allorders!$L:$L,$A280,allorders!$AG:$AG,"&lt;="&amp;日期!$B$9,allorders!$AG:$AG,"&gt;="&amp;日期!$B$10,allorders!Q:Q,"&lt;&gt;"&amp;"",allorders!N:N,"Shipped")</f>
        <v>0</v>
      </c>
      <c r="F280">
        <f>SUMIFS(allorders!$O:$O,allorders!$L:$L,$A280,allorders!$AG:$AG,"&lt;="&amp;日期!$B$11,allorders!$AG:$AG,"&gt;="&amp;日期!$B$12,allorders!Q:Q,"&lt;&gt;"&amp;"",allorders!N:N,"Shipped")</f>
        <v>0</v>
      </c>
      <c r="G280" t="e">
        <f>SUMIFS(allorders!Q:Q,allorders!L:L,A280,allorders!AG:AG,"&lt;="&amp;日期!$B$5,allorders!AG:AG,"&gt;="&amp;日期!$B$12,allorders!N:N,"Shipped")/SUM(C280:F280)</f>
        <v>#DIV/0!</v>
      </c>
      <c r="H280">
        <f>SUMIFS(allorders!Q:Q,allorders!L:L,A280,allorders!AG:AG,"&gt;="&amp;日期!$B$12,allorders!AG:AG,"&lt;="&amp;日期!$B$5,allorders!N:N,"Shipped")</f>
        <v>0</v>
      </c>
      <c r="I280">
        <f t="shared" si="4"/>
        <v>0</v>
      </c>
    </row>
    <row r="281" spans="1:9">
      <c r="A281" s="7" t="s">
        <v>3831</v>
      </c>
      <c r="B281" t="str">
        <f>VLOOKUP(A281,'[1]子sku-父sku'!$A$1:$B$65536,2,0)</f>
        <v>YZ-ZQ19758</v>
      </c>
      <c r="C281">
        <f>SUMIFS(allorders!O:O,allorders!L:L,$A281,allorders!AG:AG,"&lt;="&amp;日期!$B$5,allorders!AG:AG,"&gt;="&amp;日期!$B$6,allorders!Q:Q,"&lt;&gt;"&amp;"",allorders!N:N,"Shipped")</f>
        <v>0</v>
      </c>
      <c r="D281">
        <f>SUMIFS(allorders!$O:$O,allorders!$L:$L,$A281,allorders!$AG:$AG,"&lt;="&amp;日期!$B$7,allorders!$AG:$AG,"&gt;="&amp;日期!$B$8,allorders!Q:Q,"&lt;&gt;"&amp;"",allorders!N:N,"Shipped")</f>
        <v>0</v>
      </c>
      <c r="E281">
        <f>SUMIFS(allorders!$O:$O,allorders!$L:$L,$A281,allorders!$AG:$AG,"&lt;="&amp;日期!$B$9,allorders!$AG:$AG,"&gt;="&amp;日期!$B$10,allorders!Q:Q,"&lt;&gt;"&amp;"",allorders!N:N,"Shipped")</f>
        <v>0</v>
      </c>
      <c r="F281">
        <f>SUMIFS(allorders!$O:$O,allorders!$L:$L,$A281,allorders!$AG:$AG,"&lt;="&amp;日期!$B$11,allorders!$AG:$AG,"&gt;="&amp;日期!$B$12,allorders!Q:Q,"&lt;&gt;"&amp;"",allorders!N:N,"Shipped")</f>
        <v>0</v>
      </c>
      <c r="G281" t="e">
        <f>SUMIFS(allorders!Q:Q,allorders!L:L,A281,allorders!AG:AG,"&lt;="&amp;日期!$B$5,allorders!AG:AG,"&gt;="&amp;日期!$B$12,allorders!N:N,"Shipped")/SUM(C281:F281)</f>
        <v>#DIV/0!</v>
      </c>
      <c r="H281">
        <f>SUMIFS(allorders!Q:Q,allorders!L:L,A281,allorders!AG:AG,"&gt;="&amp;日期!$B$12,allorders!AG:AG,"&lt;="&amp;日期!$B$5,allorders!N:N,"Shipped")</f>
        <v>0</v>
      </c>
      <c r="I281">
        <f t="shared" si="4"/>
        <v>0</v>
      </c>
    </row>
    <row r="282" spans="1:9">
      <c r="A282" s="7" t="s">
        <v>3837</v>
      </c>
      <c r="B282" t="str">
        <f>VLOOKUP(A282,'[1]子sku-父sku'!$A$1:$B$65536,2,0)</f>
        <v>YZ-ZQ19758</v>
      </c>
      <c r="C282">
        <f>SUMIFS(allorders!O:O,allorders!L:L,$A282,allorders!AG:AG,"&lt;="&amp;日期!$B$5,allorders!AG:AG,"&gt;="&amp;日期!$B$6,allorders!Q:Q,"&lt;&gt;"&amp;"",allorders!N:N,"Shipped")</f>
        <v>0</v>
      </c>
      <c r="D282">
        <f>SUMIFS(allorders!$O:$O,allorders!$L:$L,$A282,allorders!$AG:$AG,"&lt;="&amp;日期!$B$7,allorders!$AG:$AG,"&gt;="&amp;日期!$B$8,allorders!Q:Q,"&lt;&gt;"&amp;"",allorders!N:N,"Shipped")</f>
        <v>0</v>
      </c>
      <c r="E282">
        <f>SUMIFS(allorders!$O:$O,allorders!$L:$L,$A282,allorders!$AG:$AG,"&lt;="&amp;日期!$B$9,allorders!$AG:$AG,"&gt;="&amp;日期!$B$10,allorders!Q:Q,"&lt;&gt;"&amp;"",allorders!N:N,"Shipped")</f>
        <v>0</v>
      </c>
      <c r="F282">
        <f>SUMIFS(allorders!$O:$O,allorders!$L:$L,$A282,allorders!$AG:$AG,"&lt;="&amp;日期!$B$11,allorders!$AG:$AG,"&gt;="&amp;日期!$B$12,allorders!Q:Q,"&lt;&gt;"&amp;"",allorders!N:N,"Shipped")</f>
        <v>0</v>
      </c>
      <c r="G282" t="e">
        <f>SUMIFS(allorders!Q:Q,allorders!L:L,A282,allorders!AG:AG,"&lt;="&amp;日期!$B$5,allorders!AG:AG,"&gt;="&amp;日期!$B$12,allorders!N:N,"Shipped")/SUM(C282:F282)</f>
        <v>#DIV/0!</v>
      </c>
      <c r="H282">
        <f>SUMIFS(allorders!Q:Q,allorders!L:L,A282,allorders!AG:AG,"&gt;="&amp;日期!$B$12,allorders!AG:AG,"&lt;="&amp;日期!$B$5,allorders!N:N,"Shipped")</f>
        <v>0</v>
      </c>
      <c r="I282">
        <f t="shared" si="4"/>
        <v>0</v>
      </c>
    </row>
    <row r="283" spans="1:9">
      <c r="A283" s="7" t="s">
        <v>3843</v>
      </c>
      <c r="B283" t="str">
        <f>VLOOKUP(A283,'[1]子sku-父sku'!$A$1:$B$65536,2,0)</f>
        <v>YZ-ZQ19758</v>
      </c>
      <c r="C283">
        <f>SUMIFS(allorders!O:O,allorders!L:L,$A283,allorders!AG:AG,"&lt;="&amp;日期!$B$5,allorders!AG:AG,"&gt;="&amp;日期!$B$6,allorders!Q:Q,"&lt;&gt;"&amp;"",allorders!N:N,"Shipped")</f>
        <v>0</v>
      </c>
      <c r="D283">
        <f>SUMIFS(allorders!$O:$O,allorders!$L:$L,$A283,allorders!$AG:$AG,"&lt;="&amp;日期!$B$7,allorders!$AG:$AG,"&gt;="&amp;日期!$B$8,allorders!Q:Q,"&lt;&gt;"&amp;"",allorders!N:N,"Shipped")</f>
        <v>0</v>
      </c>
      <c r="E283">
        <f>SUMIFS(allorders!$O:$O,allorders!$L:$L,$A283,allorders!$AG:$AG,"&lt;="&amp;日期!$B$9,allorders!$AG:$AG,"&gt;="&amp;日期!$B$10,allorders!Q:Q,"&lt;&gt;"&amp;"",allorders!N:N,"Shipped")</f>
        <v>0</v>
      </c>
      <c r="F283">
        <f>SUMIFS(allorders!$O:$O,allorders!$L:$L,$A283,allorders!$AG:$AG,"&lt;="&amp;日期!$B$11,allorders!$AG:$AG,"&gt;="&amp;日期!$B$12,allorders!Q:Q,"&lt;&gt;"&amp;"",allorders!N:N,"Shipped")</f>
        <v>0</v>
      </c>
      <c r="G283" t="e">
        <f>SUMIFS(allorders!Q:Q,allorders!L:L,A283,allorders!AG:AG,"&lt;="&amp;日期!$B$5,allorders!AG:AG,"&gt;="&amp;日期!$B$12,allorders!N:N,"Shipped")/SUM(C283:F283)</f>
        <v>#DIV/0!</v>
      </c>
      <c r="H283">
        <f>SUMIFS(allorders!Q:Q,allorders!L:L,A283,allorders!AG:AG,"&gt;="&amp;日期!$B$12,allorders!AG:AG,"&lt;="&amp;日期!$B$5,allorders!N:N,"Shipped")</f>
        <v>0</v>
      </c>
      <c r="I283">
        <f t="shared" si="4"/>
        <v>0</v>
      </c>
    </row>
    <row r="284" spans="1:9">
      <c r="A284" s="7" t="s">
        <v>3849</v>
      </c>
      <c r="B284" t="str">
        <f>VLOOKUP(A284,'[1]子sku-父sku'!$A$1:$B$65536,2,0)</f>
        <v>YZ-ZQ19758</v>
      </c>
      <c r="C284">
        <f>SUMIFS(allorders!O:O,allorders!L:L,$A284,allorders!AG:AG,"&lt;="&amp;日期!$B$5,allorders!AG:AG,"&gt;="&amp;日期!$B$6,allorders!Q:Q,"&lt;&gt;"&amp;"",allorders!N:N,"Shipped")</f>
        <v>0</v>
      </c>
      <c r="D284">
        <f>SUMIFS(allorders!$O:$O,allorders!$L:$L,$A284,allorders!$AG:$AG,"&lt;="&amp;日期!$B$7,allorders!$AG:$AG,"&gt;="&amp;日期!$B$8,allorders!Q:Q,"&lt;&gt;"&amp;"",allorders!N:N,"Shipped")</f>
        <v>0</v>
      </c>
      <c r="E284">
        <f>SUMIFS(allorders!$O:$O,allorders!$L:$L,$A284,allorders!$AG:$AG,"&lt;="&amp;日期!$B$9,allorders!$AG:$AG,"&gt;="&amp;日期!$B$10,allorders!Q:Q,"&lt;&gt;"&amp;"",allorders!N:N,"Shipped")</f>
        <v>0</v>
      </c>
      <c r="F284">
        <f>SUMIFS(allorders!$O:$O,allorders!$L:$L,$A284,allorders!$AG:$AG,"&lt;="&amp;日期!$B$11,allorders!$AG:$AG,"&gt;="&amp;日期!$B$12,allorders!Q:Q,"&lt;&gt;"&amp;"",allorders!N:N,"Shipped")</f>
        <v>0</v>
      </c>
      <c r="G284" t="e">
        <f>SUMIFS(allorders!Q:Q,allorders!L:L,A284,allorders!AG:AG,"&lt;="&amp;日期!$B$5,allorders!AG:AG,"&gt;="&amp;日期!$B$12,allorders!N:N,"Shipped")/SUM(C284:F284)</f>
        <v>#DIV/0!</v>
      </c>
      <c r="H284">
        <f>SUMIFS(allorders!Q:Q,allorders!L:L,A284,allorders!AG:AG,"&gt;="&amp;日期!$B$12,allorders!AG:AG,"&lt;="&amp;日期!$B$5,allorders!N:N,"Shipped")</f>
        <v>0</v>
      </c>
      <c r="I284">
        <f t="shared" si="4"/>
        <v>0</v>
      </c>
    </row>
    <row r="285" spans="1:9">
      <c r="A285" s="7" t="s">
        <v>3855</v>
      </c>
      <c r="B285" t="str">
        <f>VLOOKUP(A285,'[1]子sku-父sku'!$A$1:$B$65536,2,0)</f>
        <v>YZ-ZQ19758</v>
      </c>
      <c r="C285">
        <f>SUMIFS(allorders!O:O,allorders!L:L,$A285,allorders!AG:AG,"&lt;="&amp;日期!$B$5,allorders!AG:AG,"&gt;="&amp;日期!$B$6,allorders!Q:Q,"&lt;&gt;"&amp;"",allorders!N:N,"Shipped")</f>
        <v>0</v>
      </c>
      <c r="D285">
        <f>SUMIFS(allorders!$O:$O,allorders!$L:$L,$A285,allorders!$AG:$AG,"&lt;="&amp;日期!$B$7,allorders!$AG:$AG,"&gt;="&amp;日期!$B$8,allorders!Q:Q,"&lt;&gt;"&amp;"",allorders!N:N,"Shipped")</f>
        <v>0</v>
      </c>
      <c r="E285">
        <f>SUMIFS(allorders!$O:$O,allorders!$L:$L,$A285,allorders!$AG:$AG,"&lt;="&amp;日期!$B$9,allorders!$AG:$AG,"&gt;="&amp;日期!$B$10,allorders!Q:Q,"&lt;&gt;"&amp;"",allorders!N:N,"Shipped")</f>
        <v>0</v>
      </c>
      <c r="F285">
        <f>SUMIFS(allorders!$O:$O,allorders!$L:$L,$A285,allorders!$AG:$AG,"&lt;="&amp;日期!$B$11,allorders!$AG:$AG,"&gt;="&amp;日期!$B$12,allorders!Q:Q,"&lt;&gt;"&amp;"",allorders!N:N,"Shipped")</f>
        <v>0</v>
      </c>
      <c r="G285" t="e">
        <f>SUMIFS(allorders!Q:Q,allorders!L:L,A285,allorders!AG:AG,"&lt;="&amp;日期!$B$5,allorders!AG:AG,"&gt;="&amp;日期!$B$12,allorders!N:N,"Shipped")/SUM(C285:F285)</f>
        <v>#DIV/0!</v>
      </c>
      <c r="H285">
        <f>SUMIFS(allorders!Q:Q,allorders!L:L,A285,allorders!AG:AG,"&gt;="&amp;日期!$B$12,allorders!AG:AG,"&lt;="&amp;日期!$B$5,allorders!N:N,"Shipped")</f>
        <v>0</v>
      </c>
      <c r="I285">
        <f t="shared" si="4"/>
        <v>0</v>
      </c>
    </row>
    <row r="286" spans="1:9">
      <c r="A286" s="7" t="s">
        <v>3861</v>
      </c>
      <c r="B286" t="str">
        <f>VLOOKUP(A286,'[1]子sku-父sku'!$A$1:$B$65536,2,0)</f>
        <v>YZ-ZQ19758</v>
      </c>
      <c r="C286">
        <f>SUMIFS(allorders!O:O,allorders!L:L,$A286,allorders!AG:AG,"&lt;="&amp;日期!$B$5,allorders!AG:AG,"&gt;="&amp;日期!$B$6,allorders!Q:Q,"&lt;&gt;"&amp;"",allorders!N:N,"Shipped")</f>
        <v>0</v>
      </c>
      <c r="D286">
        <f>SUMIFS(allorders!$O:$O,allorders!$L:$L,$A286,allorders!$AG:$AG,"&lt;="&amp;日期!$B$7,allorders!$AG:$AG,"&gt;="&amp;日期!$B$8,allorders!Q:Q,"&lt;&gt;"&amp;"",allorders!N:N,"Shipped")</f>
        <v>0</v>
      </c>
      <c r="E286">
        <f>SUMIFS(allorders!$O:$O,allorders!$L:$L,$A286,allorders!$AG:$AG,"&lt;="&amp;日期!$B$9,allorders!$AG:$AG,"&gt;="&amp;日期!$B$10,allorders!Q:Q,"&lt;&gt;"&amp;"",allorders!N:N,"Shipped")</f>
        <v>0</v>
      </c>
      <c r="F286">
        <f>SUMIFS(allorders!$O:$O,allorders!$L:$L,$A286,allorders!$AG:$AG,"&lt;="&amp;日期!$B$11,allorders!$AG:$AG,"&gt;="&amp;日期!$B$12,allorders!Q:Q,"&lt;&gt;"&amp;"",allorders!N:N,"Shipped")</f>
        <v>0</v>
      </c>
      <c r="G286" t="e">
        <f>SUMIFS(allorders!Q:Q,allorders!L:L,A286,allorders!AG:AG,"&lt;="&amp;日期!$B$5,allorders!AG:AG,"&gt;="&amp;日期!$B$12,allorders!N:N,"Shipped")/SUM(C286:F286)</f>
        <v>#DIV/0!</v>
      </c>
      <c r="H286">
        <f>SUMIFS(allorders!Q:Q,allorders!L:L,A286,allorders!AG:AG,"&gt;="&amp;日期!$B$12,allorders!AG:AG,"&lt;="&amp;日期!$B$5,allorders!N:N,"Shipped")</f>
        <v>0</v>
      </c>
      <c r="I286">
        <f t="shared" si="4"/>
        <v>0</v>
      </c>
    </row>
    <row r="287" spans="1:9">
      <c r="A287" s="7" t="s">
        <v>3868</v>
      </c>
      <c r="B287" t="str">
        <f>VLOOKUP(A287,'[1]子sku-父sku'!$A$1:$B$65536,2,0)</f>
        <v>YZ-ZQ7777</v>
      </c>
      <c r="C287">
        <f>SUMIFS(allorders!O:O,allorders!L:L,$A287,allorders!AG:AG,"&lt;="&amp;日期!$B$5,allorders!AG:AG,"&gt;="&amp;日期!$B$6,allorders!Q:Q,"&lt;&gt;"&amp;"",allorders!N:N,"Shipped")</f>
        <v>0</v>
      </c>
      <c r="D287">
        <f>SUMIFS(allorders!$O:$O,allorders!$L:$L,$A287,allorders!$AG:$AG,"&lt;="&amp;日期!$B$7,allorders!$AG:$AG,"&gt;="&amp;日期!$B$8,allorders!Q:Q,"&lt;&gt;"&amp;"",allorders!N:N,"Shipped")</f>
        <v>0</v>
      </c>
      <c r="E287">
        <f>SUMIFS(allorders!$O:$O,allorders!$L:$L,$A287,allorders!$AG:$AG,"&lt;="&amp;日期!$B$9,allorders!$AG:$AG,"&gt;="&amp;日期!$B$10,allorders!Q:Q,"&lt;&gt;"&amp;"",allorders!N:N,"Shipped")</f>
        <v>0</v>
      </c>
      <c r="F287">
        <f>SUMIFS(allorders!$O:$O,allorders!$L:$L,$A287,allorders!$AG:$AG,"&lt;="&amp;日期!$B$11,allorders!$AG:$AG,"&gt;="&amp;日期!$B$12,allorders!Q:Q,"&lt;&gt;"&amp;"",allorders!N:N,"Shipped")</f>
        <v>0</v>
      </c>
      <c r="G287" t="e">
        <f>SUMIFS(allorders!Q:Q,allorders!L:L,A287,allorders!AG:AG,"&lt;="&amp;日期!$B$5,allorders!AG:AG,"&gt;="&amp;日期!$B$12,allorders!N:N,"Shipped")/SUM(C287:F287)</f>
        <v>#DIV/0!</v>
      </c>
      <c r="H287">
        <f>SUMIFS(allorders!Q:Q,allorders!L:L,A287,allorders!AG:AG,"&gt;="&amp;日期!$B$12,allorders!AG:AG,"&lt;="&amp;日期!$B$5,allorders!N:N,"Shipped")</f>
        <v>0</v>
      </c>
      <c r="I287">
        <f t="shared" si="4"/>
        <v>0</v>
      </c>
    </row>
    <row r="288" spans="1:9">
      <c r="A288" s="7" t="s">
        <v>3874</v>
      </c>
      <c r="B288" t="str">
        <f>VLOOKUP(A288,'[1]子sku-父sku'!$A$1:$B$65536,2,0)</f>
        <v>YZ-ZQ7777</v>
      </c>
      <c r="C288">
        <f>SUMIFS(allorders!O:O,allorders!L:L,$A288,allorders!AG:AG,"&lt;="&amp;日期!$B$5,allorders!AG:AG,"&gt;="&amp;日期!$B$6,allorders!Q:Q,"&lt;&gt;"&amp;"",allorders!N:N,"Shipped")</f>
        <v>0</v>
      </c>
      <c r="D288">
        <f>SUMIFS(allorders!$O:$O,allorders!$L:$L,$A288,allorders!$AG:$AG,"&lt;="&amp;日期!$B$7,allorders!$AG:$AG,"&gt;="&amp;日期!$B$8,allorders!Q:Q,"&lt;&gt;"&amp;"",allorders!N:N,"Shipped")</f>
        <v>0</v>
      </c>
      <c r="E288">
        <f>SUMIFS(allorders!$O:$O,allorders!$L:$L,$A288,allorders!$AG:$AG,"&lt;="&amp;日期!$B$9,allorders!$AG:$AG,"&gt;="&amp;日期!$B$10,allorders!Q:Q,"&lt;&gt;"&amp;"",allorders!N:N,"Shipped")</f>
        <v>0</v>
      </c>
      <c r="F288">
        <f>SUMIFS(allorders!$O:$O,allorders!$L:$L,$A288,allorders!$AG:$AG,"&lt;="&amp;日期!$B$11,allorders!$AG:$AG,"&gt;="&amp;日期!$B$12,allorders!Q:Q,"&lt;&gt;"&amp;"",allorders!N:N,"Shipped")</f>
        <v>0</v>
      </c>
      <c r="G288" t="e">
        <f>SUMIFS(allorders!Q:Q,allorders!L:L,A288,allorders!AG:AG,"&lt;="&amp;日期!$B$5,allorders!AG:AG,"&gt;="&amp;日期!$B$12,allorders!N:N,"Shipped")/SUM(C288:F288)</f>
        <v>#DIV/0!</v>
      </c>
      <c r="H288">
        <f>SUMIFS(allorders!Q:Q,allorders!L:L,A288,allorders!AG:AG,"&gt;="&amp;日期!$B$12,allorders!AG:AG,"&lt;="&amp;日期!$B$5,allorders!N:N,"Shipped")</f>
        <v>0</v>
      </c>
      <c r="I288">
        <f t="shared" si="4"/>
        <v>0</v>
      </c>
    </row>
    <row r="289" spans="1:9">
      <c r="A289" s="7" t="s">
        <v>3880</v>
      </c>
      <c r="B289" t="str">
        <f>VLOOKUP(A289,'[1]子sku-父sku'!$A$1:$B$65536,2,0)</f>
        <v>YZ-ZQ7777</v>
      </c>
      <c r="C289">
        <f>SUMIFS(allorders!O:O,allorders!L:L,$A289,allorders!AG:AG,"&lt;="&amp;日期!$B$5,allorders!AG:AG,"&gt;="&amp;日期!$B$6,allorders!Q:Q,"&lt;&gt;"&amp;"",allorders!N:N,"Shipped")</f>
        <v>0</v>
      </c>
      <c r="D289">
        <f>SUMIFS(allorders!$O:$O,allorders!$L:$L,$A289,allorders!$AG:$AG,"&lt;="&amp;日期!$B$7,allorders!$AG:$AG,"&gt;="&amp;日期!$B$8,allorders!Q:Q,"&lt;&gt;"&amp;"",allorders!N:N,"Shipped")</f>
        <v>0</v>
      </c>
      <c r="E289">
        <f>SUMIFS(allorders!$O:$O,allorders!$L:$L,$A289,allorders!$AG:$AG,"&lt;="&amp;日期!$B$9,allorders!$AG:$AG,"&gt;="&amp;日期!$B$10,allorders!Q:Q,"&lt;&gt;"&amp;"",allorders!N:N,"Shipped")</f>
        <v>0</v>
      </c>
      <c r="F289">
        <f>SUMIFS(allorders!$O:$O,allorders!$L:$L,$A289,allorders!$AG:$AG,"&lt;="&amp;日期!$B$11,allorders!$AG:$AG,"&gt;="&amp;日期!$B$12,allorders!Q:Q,"&lt;&gt;"&amp;"",allorders!N:N,"Shipped")</f>
        <v>0</v>
      </c>
      <c r="G289" t="e">
        <f>SUMIFS(allorders!Q:Q,allorders!L:L,A289,allorders!AG:AG,"&lt;="&amp;日期!$B$5,allorders!AG:AG,"&gt;="&amp;日期!$B$12,allorders!N:N,"Shipped")/SUM(C289:F289)</f>
        <v>#DIV/0!</v>
      </c>
      <c r="H289">
        <f>SUMIFS(allorders!Q:Q,allorders!L:L,A289,allorders!AG:AG,"&gt;="&amp;日期!$B$12,allorders!AG:AG,"&lt;="&amp;日期!$B$5,allorders!N:N,"Shipped")</f>
        <v>0</v>
      </c>
      <c r="I289">
        <f t="shared" si="4"/>
        <v>0</v>
      </c>
    </row>
    <row r="290" spans="1:9">
      <c r="A290" s="7" t="s">
        <v>3887</v>
      </c>
      <c r="B290" t="str">
        <f>VLOOKUP(A290,'[1]子sku-父sku'!$A$1:$B$65536,2,0)</f>
        <v>YZ-ZQ6667</v>
      </c>
      <c r="C290">
        <f>SUMIFS(allorders!O:O,allorders!L:L,$A290,allorders!AG:AG,"&lt;="&amp;日期!$B$5,allorders!AG:AG,"&gt;="&amp;日期!$B$6,allorders!Q:Q,"&lt;&gt;"&amp;"",allorders!N:N,"Shipped")</f>
        <v>0</v>
      </c>
      <c r="D290">
        <f>SUMIFS(allorders!$O:$O,allorders!$L:$L,$A290,allorders!$AG:$AG,"&lt;="&amp;日期!$B$7,allorders!$AG:$AG,"&gt;="&amp;日期!$B$8,allorders!Q:Q,"&lt;&gt;"&amp;"",allorders!N:N,"Shipped")</f>
        <v>0</v>
      </c>
      <c r="E290">
        <f>SUMIFS(allorders!$O:$O,allorders!$L:$L,$A290,allorders!$AG:$AG,"&lt;="&amp;日期!$B$9,allorders!$AG:$AG,"&gt;="&amp;日期!$B$10,allorders!Q:Q,"&lt;&gt;"&amp;"",allorders!N:N,"Shipped")</f>
        <v>0</v>
      </c>
      <c r="F290">
        <f>SUMIFS(allorders!$O:$O,allorders!$L:$L,$A290,allorders!$AG:$AG,"&lt;="&amp;日期!$B$11,allorders!$AG:$AG,"&gt;="&amp;日期!$B$12,allorders!Q:Q,"&lt;&gt;"&amp;"",allorders!N:N,"Shipped")</f>
        <v>0</v>
      </c>
      <c r="G290" t="e">
        <f>SUMIFS(allorders!Q:Q,allorders!L:L,A290,allorders!AG:AG,"&lt;="&amp;日期!$B$5,allorders!AG:AG,"&gt;="&amp;日期!$B$12,allorders!N:N,"Shipped")/SUM(C290:F290)</f>
        <v>#DIV/0!</v>
      </c>
      <c r="H290">
        <f>SUMIFS(allorders!Q:Q,allorders!L:L,A290,allorders!AG:AG,"&gt;="&amp;日期!$B$12,allorders!AG:AG,"&lt;="&amp;日期!$B$5,allorders!N:N,"Shipped")</f>
        <v>0</v>
      </c>
      <c r="I290">
        <f t="shared" si="4"/>
        <v>0</v>
      </c>
    </row>
    <row r="291" spans="1:9">
      <c r="A291" s="7" t="s">
        <v>3894</v>
      </c>
      <c r="B291" t="str">
        <f>VLOOKUP(A291,'[1]子sku-父sku'!$A$1:$B$65536,2,0)</f>
        <v>YZ-ZQTWA1</v>
      </c>
      <c r="C291">
        <f>SUMIFS(allorders!O:O,allorders!L:L,$A291,allorders!AG:AG,"&lt;="&amp;日期!$B$5,allorders!AG:AG,"&gt;="&amp;日期!$B$6,allorders!Q:Q,"&lt;&gt;"&amp;"",allorders!N:N,"Shipped")</f>
        <v>0</v>
      </c>
      <c r="D291">
        <f>SUMIFS(allorders!$O:$O,allorders!$L:$L,$A291,allorders!$AG:$AG,"&lt;="&amp;日期!$B$7,allorders!$AG:$AG,"&gt;="&amp;日期!$B$8,allorders!Q:Q,"&lt;&gt;"&amp;"",allorders!N:N,"Shipped")</f>
        <v>0</v>
      </c>
      <c r="E291">
        <f>SUMIFS(allorders!$O:$O,allorders!$L:$L,$A291,allorders!$AG:$AG,"&lt;="&amp;日期!$B$9,allorders!$AG:$AG,"&gt;="&amp;日期!$B$10,allorders!Q:Q,"&lt;&gt;"&amp;"",allorders!N:N,"Shipped")</f>
        <v>0</v>
      </c>
      <c r="F291">
        <f>SUMIFS(allorders!$O:$O,allorders!$L:$L,$A291,allorders!$AG:$AG,"&lt;="&amp;日期!$B$11,allorders!$AG:$AG,"&gt;="&amp;日期!$B$12,allorders!Q:Q,"&lt;&gt;"&amp;"",allorders!N:N,"Shipped")</f>
        <v>0</v>
      </c>
      <c r="G291" t="e">
        <f>SUMIFS(allorders!Q:Q,allorders!L:L,A291,allorders!AG:AG,"&lt;="&amp;日期!$B$5,allorders!AG:AG,"&gt;="&amp;日期!$B$12,allorders!N:N,"Shipped")/SUM(C291:F291)</f>
        <v>#DIV/0!</v>
      </c>
      <c r="H291">
        <f>SUMIFS(allorders!Q:Q,allorders!L:L,A291,allorders!AG:AG,"&gt;="&amp;日期!$B$12,allorders!AG:AG,"&lt;="&amp;日期!$B$5,allorders!N:N,"Shipped")</f>
        <v>0</v>
      </c>
      <c r="I291">
        <f t="shared" si="4"/>
        <v>0</v>
      </c>
    </row>
    <row r="292" spans="1:9">
      <c r="A292" s="7" t="s">
        <v>3900</v>
      </c>
      <c r="B292" t="str">
        <f>VLOOKUP(A292,'[1]子sku-父sku'!$A$1:$B$65536,2,0)</f>
        <v>YZ-ZQTWA1</v>
      </c>
      <c r="C292">
        <f>SUMIFS(allorders!O:O,allorders!L:L,$A292,allorders!AG:AG,"&lt;="&amp;日期!$B$5,allorders!AG:AG,"&gt;="&amp;日期!$B$6,allorders!Q:Q,"&lt;&gt;"&amp;"",allorders!N:N,"Shipped")</f>
        <v>0</v>
      </c>
      <c r="D292">
        <f>SUMIFS(allorders!$O:$O,allorders!$L:$L,$A292,allorders!$AG:$AG,"&lt;="&amp;日期!$B$7,allorders!$AG:$AG,"&gt;="&amp;日期!$B$8,allorders!Q:Q,"&lt;&gt;"&amp;"",allorders!N:N,"Shipped")</f>
        <v>0</v>
      </c>
      <c r="E292">
        <f>SUMIFS(allorders!$O:$O,allorders!$L:$L,$A292,allorders!$AG:$AG,"&lt;="&amp;日期!$B$9,allorders!$AG:$AG,"&gt;="&amp;日期!$B$10,allorders!Q:Q,"&lt;&gt;"&amp;"",allorders!N:N,"Shipped")</f>
        <v>0</v>
      </c>
      <c r="F292">
        <f>SUMIFS(allorders!$O:$O,allorders!$L:$L,$A292,allorders!$AG:$AG,"&lt;="&amp;日期!$B$11,allorders!$AG:$AG,"&gt;="&amp;日期!$B$12,allorders!Q:Q,"&lt;&gt;"&amp;"",allorders!N:N,"Shipped")</f>
        <v>0</v>
      </c>
      <c r="G292" t="e">
        <f>SUMIFS(allorders!Q:Q,allorders!L:L,A292,allorders!AG:AG,"&lt;="&amp;日期!$B$5,allorders!AG:AG,"&gt;="&amp;日期!$B$12,allorders!N:N,"Shipped")/SUM(C292:F292)</f>
        <v>#DIV/0!</v>
      </c>
      <c r="H292">
        <f>SUMIFS(allorders!Q:Q,allorders!L:L,A292,allorders!AG:AG,"&gt;="&amp;日期!$B$12,allorders!AG:AG,"&lt;="&amp;日期!$B$5,allorders!N:N,"Shipped")</f>
        <v>0</v>
      </c>
      <c r="I292">
        <f t="shared" si="4"/>
        <v>0</v>
      </c>
    </row>
    <row r="293" spans="1:9">
      <c r="A293" s="7" t="s">
        <v>3906</v>
      </c>
      <c r="B293" t="str">
        <f>VLOOKUP(A293,'[1]子sku-父sku'!$A$1:$B$65536,2,0)</f>
        <v>YZ-ZQTWA1</v>
      </c>
      <c r="C293">
        <f>SUMIFS(allorders!O:O,allorders!L:L,$A293,allorders!AG:AG,"&lt;="&amp;日期!$B$5,allorders!AG:AG,"&gt;="&amp;日期!$B$6,allorders!Q:Q,"&lt;&gt;"&amp;"",allorders!N:N,"Shipped")</f>
        <v>0</v>
      </c>
      <c r="D293">
        <f>SUMIFS(allorders!$O:$O,allorders!$L:$L,$A293,allorders!$AG:$AG,"&lt;="&amp;日期!$B$7,allorders!$AG:$AG,"&gt;="&amp;日期!$B$8,allorders!Q:Q,"&lt;&gt;"&amp;"",allorders!N:N,"Shipped")</f>
        <v>0</v>
      </c>
      <c r="E293">
        <f>SUMIFS(allorders!$O:$O,allorders!$L:$L,$A293,allorders!$AG:$AG,"&lt;="&amp;日期!$B$9,allorders!$AG:$AG,"&gt;="&amp;日期!$B$10,allorders!Q:Q,"&lt;&gt;"&amp;"",allorders!N:N,"Shipped")</f>
        <v>0</v>
      </c>
      <c r="F293">
        <f>SUMIFS(allorders!$O:$O,allorders!$L:$L,$A293,allorders!$AG:$AG,"&lt;="&amp;日期!$B$11,allorders!$AG:$AG,"&gt;="&amp;日期!$B$12,allorders!Q:Q,"&lt;&gt;"&amp;"",allorders!N:N,"Shipped")</f>
        <v>0</v>
      </c>
      <c r="G293" t="e">
        <f>SUMIFS(allorders!Q:Q,allorders!L:L,A293,allorders!AG:AG,"&lt;="&amp;日期!$B$5,allorders!AG:AG,"&gt;="&amp;日期!$B$12,allorders!N:N,"Shipped")/SUM(C293:F293)</f>
        <v>#DIV/0!</v>
      </c>
      <c r="H293">
        <f>SUMIFS(allorders!Q:Q,allorders!L:L,A293,allorders!AG:AG,"&gt;="&amp;日期!$B$12,allorders!AG:AG,"&lt;="&amp;日期!$B$5,allorders!N:N,"Shipped")</f>
        <v>0</v>
      </c>
      <c r="I293">
        <f t="shared" si="4"/>
        <v>0</v>
      </c>
    </row>
    <row r="294" spans="1:9">
      <c r="A294" s="7" t="s">
        <v>3913</v>
      </c>
      <c r="B294" t="str">
        <f>VLOOKUP(A294,'[1]子sku-父sku'!$A$1:$B$65536,2,0)</f>
        <v>YZ-ZQ8867</v>
      </c>
      <c r="C294">
        <f>SUMIFS(allorders!O:O,allorders!L:L,$A294,allorders!AG:AG,"&lt;="&amp;日期!$B$5,allorders!AG:AG,"&gt;="&amp;日期!$B$6,allorders!Q:Q,"&lt;&gt;"&amp;"",allorders!N:N,"Shipped")</f>
        <v>0</v>
      </c>
      <c r="D294">
        <f>SUMIFS(allorders!$O:$O,allorders!$L:$L,$A294,allorders!$AG:$AG,"&lt;="&amp;日期!$B$7,allorders!$AG:$AG,"&gt;="&amp;日期!$B$8,allorders!Q:Q,"&lt;&gt;"&amp;"",allorders!N:N,"Shipped")</f>
        <v>0</v>
      </c>
      <c r="E294">
        <f>SUMIFS(allorders!$O:$O,allorders!$L:$L,$A294,allorders!$AG:$AG,"&lt;="&amp;日期!$B$9,allorders!$AG:$AG,"&gt;="&amp;日期!$B$10,allorders!Q:Q,"&lt;&gt;"&amp;"",allorders!N:N,"Shipped")</f>
        <v>0</v>
      </c>
      <c r="F294">
        <f>SUMIFS(allorders!$O:$O,allorders!$L:$L,$A294,allorders!$AG:$AG,"&lt;="&amp;日期!$B$11,allorders!$AG:$AG,"&gt;="&amp;日期!$B$12,allorders!Q:Q,"&lt;&gt;"&amp;"",allorders!N:N,"Shipped")</f>
        <v>0</v>
      </c>
      <c r="G294" t="e">
        <f>SUMIFS(allorders!Q:Q,allorders!L:L,A294,allorders!AG:AG,"&lt;="&amp;日期!$B$5,allorders!AG:AG,"&gt;="&amp;日期!$B$12,allorders!N:N,"Shipped")/SUM(C294:F294)</f>
        <v>#DIV/0!</v>
      </c>
      <c r="H294">
        <f>SUMIFS(allorders!Q:Q,allorders!L:L,A294,allorders!AG:AG,"&gt;="&amp;日期!$B$12,allorders!AG:AG,"&lt;="&amp;日期!$B$5,allorders!N:N,"Shipped")</f>
        <v>0</v>
      </c>
      <c r="I294">
        <f t="shared" si="4"/>
        <v>0</v>
      </c>
    </row>
    <row r="295" spans="1:9">
      <c r="A295" s="7" t="s">
        <v>3919</v>
      </c>
      <c r="B295" t="str">
        <f>VLOOKUP(A295,'[1]子sku-父sku'!$A$1:$B$65536,2,0)</f>
        <v>YZ-ZQ8867</v>
      </c>
      <c r="C295">
        <f>SUMIFS(allorders!O:O,allorders!L:L,$A295,allorders!AG:AG,"&lt;="&amp;日期!$B$5,allorders!AG:AG,"&gt;="&amp;日期!$B$6,allorders!Q:Q,"&lt;&gt;"&amp;"",allorders!N:N,"Shipped")</f>
        <v>0</v>
      </c>
      <c r="D295">
        <f>SUMIFS(allorders!$O:$O,allorders!$L:$L,$A295,allorders!$AG:$AG,"&lt;="&amp;日期!$B$7,allorders!$AG:$AG,"&gt;="&amp;日期!$B$8,allorders!Q:Q,"&lt;&gt;"&amp;"",allorders!N:N,"Shipped")</f>
        <v>0</v>
      </c>
      <c r="E295">
        <f>SUMIFS(allorders!$O:$O,allorders!$L:$L,$A295,allorders!$AG:$AG,"&lt;="&amp;日期!$B$9,allorders!$AG:$AG,"&gt;="&amp;日期!$B$10,allorders!Q:Q,"&lt;&gt;"&amp;"",allorders!N:N,"Shipped")</f>
        <v>0</v>
      </c>
      <c r="F295">
        <f>SUMIFS(allorders!$O:$O,allorders!$L:$L,$A295,allorders!$AG:$AG,"&lt;="&amp;日期!$B$11,allorders!$AG:$AG,"&gt;="&amp;日期!$B$12,allorders!Q:Q,"&lt;&gt;"&amp;"",allorders!N:N,"Shipped")</f>
        <v>0</v>
      </c>
      <c r="G295" t="e">
        <f>SUMIFS(allorders!Q:Q,allorders!L:L,A295,allorders!AG:AG,"&lt;="&amp;日期!$B$5,allorders!AG:AG,"&gt;="&amp;日期!$B$12,allorders!N:N,"Shipped")/SUM(C295:F295)</f>
        <v>#DIV/0!</v>
      </c>
      <c r="H295">
        <f>SUMIFS(allorders!Q:Q,allorders!L:L,A295,allorders!AG:AG,"&gt;="&amp;日期!$B$12,allorders!AG:AG,"&lt;="&amp;日期!$B$5,allorders!N:N,"Shipped")</f>
        <v>0</v>
      </c>
      <c r="I295">
        <f t="shared" si="4"/>
        <v>0</v>
      </c>
    </row>
    <row r="296" spans="1:9">
      <c r="A296" s="7" t="s">
        <v>3926</v>
      </c>
      <c r="B296" t="str">
        <f>VLOOKUP(A296,'[1]子sku-父sku'!$A$1:$B$65536,2,0)</f>
        <v>YZ-CL912</v>
      </c>
      <c r="C296">
        <f>SUMIFS(allorders!O:O,allorders!L:L,$A296,allorders!AG:AG,"&lt;="&amp;日期!$B$5,allorders!AG:AG,"&gt;="&amp;日期!$B$6,allorders!Q:Q,"&lt;&gt;"&amp;"",allorders!N:N,"Shipped")</f>
        <v>0</v>
      </c>
      <c r="D296">
        <f>SUMIFS(allorders!$O:$O,allorders!$L:$L,$A296,allorders!$AG:$AG,"&lt;="&amp;日期!$B$7,allorders!$AG:$AG,"&gt;="&amp;日期!$B$8,allorders!Q:Q,"&lt;&gt;"&amp;"",allorders!N:N,"Shipped")</f>
        <v>0</v>
      </c>
      <c r="E296">
        <f>SUMIFS(allorders!$O:$O,allorders!$L:$L,$A296,allorders!$AG:$AG,"&lt;="&amp;日期!$B$9,allorders!$AG:$AG,"&gt;="&amp;日期!$B$10,allorders!Q:Q,"&lt;&gt;"&amp;"",allorders!N:N,"Shipped")</f>
        <v>0</v>
      </c>
      <c r="F296">
        <f>SUMIFS(allorders!$O:$O,allorders!$L:$L,$A296,allorders!$AG:$AG,"&lt;="&amp;日期!$B$11,allorders!$AG:$AG,"&gt;="&amp;日期!$B$12,allorders!Q:Q,"&lt;&gt;"&amp;"",allorders!N:N,"Shipped")</f>
        <v>0</v>
      </c>
      <c r="G296" t="e">
        <f>SUMIFS(allorders!Q:Q,allorders!L:L,A296,allorders!AG:AG,"&lt;="&amp;日期!$B$5,allorders!AG:AG,"&gt;="&amp;日期!$B$12,allorders!N:N,"Shipped")/SUM(C296:F296)</f>
        <v>#DIV/0!</v>
      </c>
      <c r="H296">
        <f>SUMIFS(allorders!Q:Q,allorders!L:L,A296,allorders!AG:AG,"&gt;="&amp;日期!$B$12,allorders!AG:AG,"&lt;="&amp;日期!$B$5,allorders!N:N,"Shipped")</f>
        <v>0</v>
      </c>
      <c r="I296">
        <f t="shared" si="4"/>
        <v>0</v>
      </c>
    </row>
    <row r="297" spans="1:9">
      <c r="A297" s="7" t="s">
        <v>3932</v>
      </c>
      <c r="B297" t="str">
        <f>VLOOKUP(A297,'[1]子sku-父sku'!$A$1:$B$65536,2,0)</f>
        <v>YZ-CL912</v>
      </c>
      <c r="C297">
        <f>SUMIFS(allorders!O:O,allorders!L:L,$A297,allorders!AG:AG,"&lt;="&amp;日期!$B$5,allorders!AG:AG,"&gt;="&amp;日期!$B$6,allorders!Q:Q,"&lt;&gt;"&amp;"",allorders!N:N,"Shipped")</f>
        <v>0</v>
      </c>
      <c r="D297">
        <f>SUMIFS(allorders!$O:$O,allorders!$L:$L,$A297,allorders!$AG:$AG,"&lt;="&amp;日期!$B$7,allorders!$AG:$AG,"&gt;="&amp;日期!$B$8,allorders!Q:Q,"&lt;&gt;"&amp;"",allorders!N:N,"Shipped")</f>
        <v>0</v>
      </c>
      <c r="E297">
        <f>SUMIFS(allorders!$O:$O,allorders!$L:$L,$A297,allorders!$AG:$AG,"&lt;="&amp;日期!$B$9,allorders!$AG:$AG,"&gt;="&amp;日期!$B$10,allorders!Q:Q,"&lt;&gt;"&amp;"",allorders!N:N,"Shipped")</f>
        <v>0</v>
      </c>
      <c r="F297">
        <f>SUMIFS(allorders!$O:$O,allorders!$L:$L,$A297,allorders!$AG:$AG,"&lt;="&amp;日期!$B$11,allorders!$AG:$AG,"&gt;="&amp;日期!$B$12,allorders!Q:Q,"&lt;&gt;"&amp;"",allorders!N:N,"Shipped")</f>
        <v>0</v>
      </c>
      <c r="G297" t="e">
        <f>SUMIFS(allorders!Q:Q,allorders!L:L,A297,allorders!AG:AG,"&lt;="&amp;日期!$B$5,allorders!AG:AG,"&gt;="&amp;日期!$B$12,allorders!N:N,"Shipped")/SUM(C297:F297)</f>
        <v>#DIV/0!</v>
      </c>
      <c r="H297">
        <f>SUMIFS(allorders!Q:Q,allorders!L:L,A297,allorders!AG:AG,"&gt;="&amp;日期!$B$12,allorders!AG:AG,"&lt;="&amp;日期!$B$5,allorders!N:N,"Shipped")</f>
        <v>0</v>
      </c>
      <c r="I297">
        <f t="shared" si="4"/>
        <v>0</v>
      </c>
    </row>
    <row r="298" spans="1:9">
      <c r="A298" s="7" t="s">
        <v>3938</v>
      </c>
      <c r="B298" t="str">
        <f>VLOOKUP(A298,'[1]子sku-父sku'!$A$1:$B$65536,2,0)</f>
        <v>YZ-CL912</v>
      </c>
      <c r="C298">
        <f>SUMIFS(allorders!O:O,allorders!L:L,$A298,allorders!AG:AG,"&lt;="&amp;日期!$B$5,allorders!AG:AG,"&gt;="&amp;日期!$B$6,allorders!Q:Q,"&lt;&gt;"&amp;"",allorders!N:N,"Shipped")</f>
        <v>0</v>
      </c>
      <c r="D298">
        <f>SUMIFS(allorders!$O:$O,allorders!$L:$L,$A298,allorders!$AG:$AG,"&lt;="&amp;日期!$B$7,allorders!$AG:$AG,"&gt;="&amp;日期!$B$8,allorders!Q:Q,"&lt;&gt;"&amp;"",allorders!N:N,"Shipped")</f>
        <v>0</v>
      </c>
      <c r="E298">
        <f>SUMIFS(allorders!$O:$O,allorders!$L:$L,$A298,allorders!$AG:$AG,"&lt;="&amp;日期!$B$9,allorders!$AG:$AG,"&gt;="&amp;日期!$B$10,allorders!Q:Q,"&lt;&gt;"&amp;"",allorders!N:N,"Shipped")</f>
        <v>0</v>
      </c>
      <c r="F298">
        <f>SUMIFS(allorders!$O:$O,allorders!$L:$L,$A298,allorders!$AG:$AG,"&lt;="&amp;日期!$B$11,allorders!$AG:$AG,"&gt;="&amp;日期!$B$12,allorders!Q:Q,"&lt;&gt;"&amp;"",allorders!N:N,"Shipped")</f>
        <v>0</v>
      </c>
      <c r="G298" t="e">
        <f>SUMIFS(allorders!Q:Q,allorders!L:L,A298,allorders!AG:AG,"&lt;="&amp;日期!$B$5,allorders!AG:AG,"&gt;="&amp;日期!$B$12,allorders!N:N,"Shipped")/SUM(C298:F298)</f>
        <v>#DIV/0!</v>
      </c>
      <c r="H298">
        <f>SUMIFS(allorders!Q:Q,allorders!L:L,A298,allorders!AG:AG,"&gt;="&amp;日期!$B$12,allorders!AG:AG,"&lt;="&amp;日期!$B$5,allorders!N:N,"Shipped")</f>
        <v>0</v>
      </c>
      <c r="I298">
        <f t="shared" si="4"/>
        <v>0</v>
      </c>
    </row>
    <row r="299" spans="1:9">
      <c r="A299" s="7" t="s">
        <v>3945</v>
      </c>
      <c r="B299" t="str">
        <f>VLOOKUP(A299,'[1]子sku-父sku'!$A$1:$B$65536,2,0)</f>
        <v>YZ-CL912</v>
      </c>
      <c r="C299">
        <f>SUMIFS(allorders!O:O,allorders!L:L,$A299,allorders!AG:AG,"&lt;="&amp;日期!$B$5,allorders!AG:AG,"&gt;="&amp;日期!$B$6,allorders!Q:Q,"&lt;&gt;"&amp;"",allorders!N:N,"Shipped")</f>
        <v>0</v>
      </c>
      <c r="D299">
        <f>SUMIFS(allorders!$O:$O,allorders!$L:$L,$A299,allorders!$AG:$AG,"&lt;="&amp;日期!$B$7,allorders!$AG:$AG,"&gt;="&amp;日期!$B$8,allorders!Q:Q,"&lt;&gt;"&amp;"",allorders!N:N,"Shipped")</f>
        <v>0</v>
      </c>
      <c r="E299">
        <f>SUMIFS(allorders!$O:$O,allorders!$L:$L,$A299,allorders!$AG:$AG,"&lt;="&amp;日期!$B$9,allorders!$AG:$AG,"&gt;="&amp;日期!$B$10,allorders!Q:Q,"&lt;&gt;"&amp;"",allorders!N:N,"Shipped")</f>
        <v>0</v>
      </c>
      <c r="F299">
        <f>SUMIFS(allorders!$O:$O,allorders!$L:$L,$A299,allorders!$AG:$AG,"&lt;="&amp;日期!$B$11,allorders!$AG:$AG,"&gt;="&amp;日期!$B$12,allorders!Q:Q,"&lt;&gt;"&amp;"",allorders!N:N,"Shipped")</f>
        <v>0</v>
      </c>
      <c r="G299" t="e">
        <f>SUMIFS(allorders!Q:Q,allorders!L:L,A299,allorders!AG:AG,"&lt;="&amp;日期!$B$5,allorders!AG:AG,"&gt;="&amp;日期!$B$12,allorders!N:N,"Shipped")/SUM(C299:F299)</f>
        <v>#DIV/0!</v>
      </c>
      <c r="H299">
        <f>SUMIFS(allorders!Q:Q,allorders!L:L,A299,allorders!AG:AG,"&gt;="&amp;日期!$B$12,allorders!AG:AG,"&lt;="&amp;日期!$B$5,allorders!N:N,"Shipped")</f>
        <v>0</v>
      </c>
      <c r="I299">
        <f t="shared" si="4"/>
        <v>0</v>
      </c>
    </row>
    <row r="300" spans="1:9">
      <c r="A300" s="7" t="s">
        <v>3951</v>
      </c>
      <c r="B300" t="str">
        <f>VLOOKUP(A300,'[1]子sku-父sku'!$A$1:$B$65536,2,0)</f>
        <v>YZ-CL912</v>
      </c>
      <c r="C300">
        <f>SUMIFS(allorders!O:O,allorders!L:L,$A300,allorders!AG:AG,"&lt;="&amp;日期!$B$5,allorders!AG:AG,"&gt;="&amp;日期!$B$6,allorders!Q:Q,"&lt;&gt;"&amp;"",allorders!N:N,"Shipped")</f>
        <v>0</v>
      </c>
      <c r="D300">
        <f>SUMIFS(allorders!$O:$O,allorders!$L:$L,$A300,allorders!$AG:$AG,"&lt;="&amp;日期!$B$7,allorders!$AG:$AG,"&gt;="&amp;日期!$B$8,allorders!Q:Q,"&lt;&gt;"&amp;"",allorders!N:N,"Shipped")</f>
        <v>0</v>
      </c>
      <c r="E300">
        <f>SUMIFS(allorders!$O:$O,allorders!$L:$L,$A300,allorders!$AG:$AG,"&lt;="&amp;日期!$B$9,allorders!$AG:$AG,"&gt;="&amp;日期!$B$10,allorders!Q:Q,"&lt;&gt;"&amp;"",allorders!N:N,"Shipped")</f>
        <v>0</v>
      </c>
      <c r="F300">
        <f>SUMIFS(allorders!$O:$O,allorders!$L:$L,$A300,allorders!$AG:$AG,"&lt;="&amp;日期!$B$11,allorders!$AG:$AG,"&gt;="&amp;日期!$B$12,allorders!Q:Q,"&lt;&gt;"&amp;"",allorders!N:N,"Shipped")</f>
        <v>0</v>
      </c>
      <c r="G300" t="e">
        <f>SUMIFS(allorders!Q:Q,allorders!L:L,A300,allorders!AG:AG,"&lt;="&amp;日期!$B$5,allorders!AG:AG,"&gt;="&amp;日期!$B$12,allorders!N:N,"Shipped")/SUM(C300:F300)</f>
        <v>#DIV/0!</v>
      </c>
      <c r="H300">
        <f>SUMIFS(allorders!Q:Q,allorders!L:L,A300,allorders!AG:AG,"&gt;="&amp;日期!$B$12,allorders!AG:AG,"&lt;="&amp;日期!$B$5,allorders!N:N,"Shipped")</f>
        <v>0</v>
      </c>
      <c r="I300">
        <f t="shared" si="4"/>
        <v>0</v>
      </c>
    </row>
    <row r="301" spans="1:9">
      <c r="A301" s="7" t="s">
        <v>3958</v>
      </c>
      <c r="B301" t="str">
        <f>VLOOKUP(A301,'[1]子sku-父sku'!$A$1:$B$65536,2,0)</f>
        <v>YZ-ZQ1519</v>
      </c>
      <c r="C301">
        <f>SUMIFS(allorders!O:O,allorders!L:L,$A301,allorders!AG:AG,"&lt;="&amp;日期!$B$5,allorders!AG:AG,"&gt;="&amp;日期!$B$6,allorders!Q:Q,"&lt;&gt;"&amp;"",allorders!N:N,"Shipped")</f>
        <v>0</v>
      </c>
      <c r="D301">
        <f>SUMIFS(allorders!$O:$O,allorders!$L:$L,$A301,allorders!$AG:$AG,"&lt;="&amp;日期!$B$7,allorders!$AG:$AG,"&gt;="&amp;日期!$B$8,allorders!Q:Q,"&lt;&gt;"&amp;"",allorders!N:N,"Shipped")</f>
        <v>0</v>
      </c>
      <c r="E301">
        <f>SUMIFS(allorders!$O:$O,allorders!$L:$L,$A301,allorders!$AG:$AG,"&lt;="&amp;日期!$B$9,allorders!$AG:$AG,"&gt;="&amp;日期!$B$10,allorders!Q:Q,"&lt;&gt;"&amp;"",allorders!N:N,"Shipped")</f>
        <v>0</v>
      </c>
      <c r="F301">
        <f>SUMIFS(allorders!$O:$O,allorders!$L:$L,$A301,allorders!$AG:$AG,"&lt;="&amp;日期!$B$11,allorders!$AG:$AG,"&gt;="&amp;日期!$B$12,allorders!Q:Q,"&lt;&gt;"&amp;"",allorders!N:N,"Shipped")</f>
        <v>0</v>
      </c>
      <c r="G301" t="e">
        <f>SUMIFS(allorders!Q:Q,allorders!L:L,A301,allorders!AG:AG,"&lt;="&amp;日期!$B$5,allorders!AG:AG,"&gt;="&amp;日期!$B$12,allorders!N:N,"Shipped")/SUM(C301:F301)</f>
        <v>#DIV/0!</v>
      </c>
      <c r="H301">
        <f>SUMIFS(allorders!Q:Q,allorders!L:L,A301,allorders!AG:AG,"&gt;="&amp;日期!$B$12,allorders!AG:AG,"&lt;="&amp;日期!$B$5,allorders!N:N,"Shipped")</f>
        <v>0</v>
      </c>
      <c r="I301">
        <f t="shared" si="4"/>
        <v>0</v>
      </c>
    </row>
    <row r="302" spans="1:9">
      <c r="A302" s="7" t="s">
        <v>3964</v>
      </c>
      <c r="B302" t="str">
        <f>VLOOKUP(A302,'[1]子sku-父sku'!$A$1:$B$65536,2,0)</f>
        <v>YZ-ZQ1519</v>
      </c>
      <c r="C302">
        <f>SUMIFS(allorders!O:O,allorders!L:L,$A302,allorders!AG:AG,"&lt;="&amp;日期!$B$5,allorders!AG:AG,"&gt;="&amp;日期!$B$6,allorders!Q:Q,"&lt;&gt;"&amp;"",allorders!N:N,"Shipped")</f>
        <v>0</v>
      </c>
      <c r="D302">
        <f>SUMIFS(allorders!$O:$O,allorders!$L:$L,$A302,allorders!$AG:$AG,"&lt;="&amp;日期!$B$7,allorders!$AG:$AG,"&gt;="&amp;日期!$B$8,allorders!Q:Q,"&lt;&gt;"&amp;"",allorders!N:N,"Shipped")</f>
        <v>0</v>
      </c>
      <c r="E302">
        <f>SUMIFS(allorders!$O:$O,allorders!$L:$L,$A302,allorders!$AG:$AG,"&lt;="&amp;日期!$B$9,allorders!$AG:$AG,"&gt;="&amp;日期!$B$10,allorders!Q:Q,"&lt;&gt;"&amp;"",allorders!N:N,"Shipped")</f>
        <v>0</v>
      </c>
      <c r="F302">
        <f>SUMIFS(allorders!$O:$O,allorders!$L:$L,$A302,allorders!$AG:$AG,"&lt;="&amp;日期!$B$11,allorders!$AG:$AG,"&gt;="&amp;日期!$B$12,allorders!Q:Q,"&lt;&gt;"&amp;"",allorders!N:N,"Shipped")</f>
        <v>0</v>
      </c>
      <c r="G302" t="e">
        <f>SUMIFS(allorders!Q:Q,allorders!L:L,A302,allorders!AG:AG,"&lt;="&amp;日期!$B$5,allorders!AG:AG,"&gt;="&amp;日期!$B$12,allorders!N:N,"Shipped")/SUM(C302:F302)</f>
        <v>#DIV/0!</v>
      </c>
      <c r="H302">
        <f>SUMIFS(allorders!Q:Q,allorders!L:L,A302,allorders!AG:AG,"&gt;="&amp;日期!$B$12,allorders!AG:AG,"&lt;="&amp;日期!$B$5,allorders!N:N,"Shipped")</f>
        <v>0</v>
      </c>
      <c r="I302">
        <f t="shared" si="4"/>
        <v>0</v>
      </c>
    </row>
    <row r="303" spans="1:9">
      <c r="A303" s="7" t="s">
        <v>3970</v>
      </c>
      <c r="B303" t="str">
        <f>VLOOKUP(A303,'[1]子sku-父sku'!$A$1:$B$65536,2,0)</f>
        <v>YZ-ZQ1519</v>
      </c>
      <c r="C303">
        <f>SUMIFS(allorders!O:O,allorders!L:L,$A303,allorders!AG:AG,"&lt;="&amp;日期!$B$5,allorders!AG:AG,"&gt;="&amp;日期!$B$6,allorders!Q:Q,"&lt;&gt;"&amp;"",allorders!N:N,"Shipped")</f>
        <v>0</v>
      </c>
      <c r="D303">
        <f>SUMIFS(allorders!$O:$O,allorders!$L:$L,$A303,allorders!$AG:$AG,"&lt;="&amp;日期!$B$7,allorders!$AG:$AG,"&gt;="&amp;日期!$B$8,allorders!Q:Q,"&lt;&gt;"&amp;"",allorders!N:N,"Shipped")</f>
        <v>0</v>
      </c>
      <c r="E303">
        <f>SUMIFS(allorders!$O:$O,allorders!$L:$L,$A303,allorders!$AG:$AG,"&lt;="&amp;日期!$B$9,allorders!$AG:$AG,"&gt;="&amp;日期!$B$10,allorders!Q:Q,"&lt;&gt;"&amp;"",allorders!N:N,"Shipped")</f>
        <v>0</v>
      </c>
      <c r="F303">
        <f>SUMIFS(allorders!$O:$O,allorders!$L:$L,$A303,allorders!$AG:$AG,"&lt;="&amp;日期!$B$11,allorders!$AG:$AG,"&gt;="&amp;日期!$B$12,allorders!Q:Q,"&lt;&gt;"&amp;"",allorders!N:N,"Shipped")</f>
        <v>0</v>
      </c>
      <c r="G303" t="e">
        <f>SUMIFS(allorders!Q:Q,allorders!L:L,A303,allorders!AG:AG,"&lt;="&amp;日期!$B$5,allorders!AG:AG,"&gt;="&amp;日期!$B$12,allorders!N:N,"Shipped")/SUM(C303:F303)</f>
        <v>#DIV/0!</v>
      </c>
      <c r="H303">
        <f>SUMIFS(allorders!Q:Q,allorders!L:L,A303,allorders!AG:AG,"&gt;="&amp;日期!$B$12,allorders!AG:AG,"&lt;="&amp;日期!$B$5,allorders!N:N,"Shipped")</f>
        <v>0</v>
      </c>
      <c r="I303">
        <f t="shared" si="4"/>
        <v>0</v>
      </c>
    </row>
    <row r="304" spans="1:9">
      <c r="A304" s="7" t="s">
        <v>3976</v>
      </c>
      <c r="B304" t="str">
        <f>VLOOKUP(A304,'[1]子sku-父sku'!$A$1:$B$65536,2,0)</f>
        <v>YZ-ZQ1519</v>
      </c>
      <c r="C304">
        <f>SUMIFS(allorders!O:O,allorders!L:L,$A304,allorders!AG:AG,"&lt;="&amp;日期!$B$5,allorders!AG:AG,"&gt;="&amp;日期!$B$6,allorders!Q:Q,"&lt;&gt;"&amp;"",allorders!N:N,"Shipped")</f>
        <v>0</v>
      </c>
      <c r="D304">
        <f>SUMIFS(allorders!$O:$O,allorders!$L:$L,$A304,allorders!$AG:$AG,"&lt;="&amp;日期!$B$7,allorders!$AG:$AG,"&gt;="&amp;日期!$B$8,allorders!Q:Q,"&lt;&gt;"&amp;"",allorders!N:N,"Shipped")</f>
        <v>0</v>
      </c>
      <c r="E304">
        <f>SUMIFS(allorders!$O:$O,allorders!$L:$L,$A304,allorders!$AG:$AG,"&lt;="&amp;日期!$B$9,allorders!$AG:$AG,"&gt;="&amp;日期!$B$10,allorders!Q:Q,"&lt;&gt;"&amp;"",allorders!N:N,"Shipped")</f>
        <v>0</v>
      </c>
      <c r="F304">
        <f>SUMIFS(allorders!$O:$O,allorders!$L:$L,$A304,allorders!$AG:$AG,"&lt;="&amp;日期!$B$11,allorders!$AG:$AG,"&gt;="&amp;日期!$B$12,allorders!Q:Q,"&lt;&gt;"&amp;"",allorders!N:N,"Shipped")</f>
        <v>0</v>
      </c>
      <c r="G304" t="e">
        <f>SUMIFS(allorders!Q:Q,allorders!L:L,A304,allorders!AG:AG,"&lt;="&amp;日期!$B$5,allorders!AG:AG,"&gt;="&amp;日期!$B$12,allorders!N:N,"Shipped")/SUM(C304:F304)</f>
        <v>#DIV/0!</v>
      </c>
      <c r="H304">
        <f>SUMIFS(allorders!Q:Q,allorders!L:L,A304,allorders!AG:AG,"&gt;="&amp;日期!$B$12,allorders!AG:AG,"&lt;="&amp;日期!$B$5,allorders!N:N,"Shipped")</f>
        <v>0</v>
      </c>
      <c r="I304">
        <f t="shared" si="4"/>
        <v>0</v>
      </c>
    </row>
    <row r="305" spans="1:9">
      <c r="A305" s="7" t="s">
        <v>3982</v>
      </c>
      <c r="B305" t="str">
        <f>VLOOKUP(A305,'[1]子sku-父sku'!$A$1:$B$65536,2,0)</f>
        <v>YZ-JY2526</v>
      </c>
      <c r="C305">
        <f>SUMIFS(allorders!O:O,allorders!L:L,$A305,allorders!AG:AG,"&lt;="&amp;日期!$B$5,allorders!AG:AG,"&gt;="&amp;日期!$B$6,allorders!Q:Q,"&lt;&gt;"&amp;"",allorders!N:N,"Shipped")</f>
        <v>0</v>
      </c>
      <c r="D305">
        <f>SUMIFS(allorders!$O:$O,allorders!$L:$L,$A305,allorders!$AG:$AG,"&lt;="&amp;日期!$B$7,allorders!$AG:$AG,"&gt;="&amp;日期!$B$8,allorders!Q:Q,"&lt;&gt;"&amp;"",allorders!N:N,"Shipped")</f>
        <v>0</v>
      </c>
      <c r="E305">
        <f>SUMIFS(allorders!$O:$O,allorders!$L:$L,$A305,allorders!$AG:$AG,"&lt;="&amp;日期!$B$9,allorders!$AG:$AG,"&gt;="&amp;日期!$B$10,allorders!Q:Q,"&lt;&gt;"&amp;"",allorders!N:N,"Shipped")</f>
        <v>0</v>
      </c>
      <c r="F305">
        <f>SUMIFS(allorders!$O:$O,allorders!$L:$L,$A305,allorders!$AG:$AG,"&lt;="&amp;日期!$B$11,allorders!$AG:$AG,"&gt;="&amp;日期!$B$12,allorders!Q:Q,"&lt;&gt;"&amp;"",allorders!N:N,"Shipped")</f>
        <v>0</v>
      </c>
      <c r="G305" t="e">
        <f>SUMIFS(allorders!Q:Q,allorders!L:L,A305,allorders!AG:AG,"&lt;="&amp;日期!$B$5,allorders!AG:AG,"&gt;="&amp;日期!$B$12,allorders!N:N,"Shipped")/SUM(C305:F305)</f>
        <v>#DIV/0!</v>
      </c>
      <c r="H305">
        <f>SUMIFS(allorders!Q:Q,allorders!L:L,A305,allorders!AG:AG,"&gt;="&amp;日期!$B$12,allorders!AG:AG,"&lt;="&amp;日期!$B$5,allorders!N:N,"Shipped")</f>
        <v>0</v>
      </c>
      <c r="I305">
        <f t="shared" si="4"/>
        <v>0</v>
      </c>
    </row>
    <row r="306" spans="1:9">
      <c r="A306" s="7" t="s">
        <v>3992</v>
      </c>
      <c r="B306" t="str">
        <f>VLOOKUP(A306,'[1]子sku-父sku'!$A$1:$B$65536,2,0)</f>
        <v>YZ-JY2526</v>
      </c>
      <c r="C306">
        <f>SUMIFS(allorders!O:O,allorders!L:L,$A306,allorders!AG:AG,"&lt;="&amp;日期!$B$5,allorders!AG:AG,"&gt;="&amp;日期!$B$6,allorders!Q:Q,"&lt;&gt;"&amp;"",allorders!N:N,"Shipped")</f>
        <v>0</v>
      </c>
      <c r="D306">
        <f>SUMIFS(allorders!$O:$O,allorders!$L:$L,$A306,allorders!$AG:$AG,"&lt;="&amp;日期!$B$7,allorders!$AG:$AG,"&gt;="&amp;日期!$B$8,allorders!Q:Q,"&lt;&gt;"&amp;"",allorders!N:N,"Shipped")</f>
        <v>0</v>
      </c>
      <c r="E306">
        <f>SUMIFS(allorders!$O:$O,allorders!$L:$L,$A306,allorders!$AG:$AG,"&lt;="&amp;日期!$B$9,allorders!$AG:$AG,"&gt;="&amp;日期!$B$10,allorders!Q:Q,"&lt;&gt;"&amp;"",allorders!N:N,"Shipped")</f>
        <v>0</v>
      </c>
      <c r="F306">
        <f>SUMIFS(allorders!$O:$O,allorders!$L:$L,$A306,allorders!$AG:$AG,"&lt;="&amp;日期!$B$11,allorders!$AG:$AG,"&gt;="&amp;日期!$B$12,allorders!Q:Q,"&lt;&gt;"&amp;"",allorders!N:N,"Shipped")</f>
        <v>0</v>
      </c>
      <c r="G306" t="e">
        <f>SUMIFS(allorders!Q:Q,allorders!L:L,A306,allorders!AG:AG,"&lt;="&amp;日期!$B$5,allorders!AG:AG,"&gt;="&amp;日期!$B$12,allorders!N:N,"Shipped")/SUM(C306:F306)</f>
        <v>#DIV/0!</v>
      </c>
      <c r="H306">
        <f>SUMIFS(allorders!Q:Q,allorders!L:L,A306,allorders!AG:AG,"&gt;="&amp;日期!$B$12,allorders!AG:AG,"&lt;="&amp;日期!$B$5,allorders!N:N,"Shipped")</f>
        <v>0</v>
      </c>
      <c r="I306">
        <f t="shared" si="4"/>
        <v>0</v>
      </c>
    </row>
    <row r="307" spans="1:9">
      <c r="A307" s="7" t="s">
        <v>3999</v>
      </c>
      <c r="B307" t="str">
        <f>VLOOKUP(A307,'[1]子sku-父sku'!$A$1:$B$65536,2,0)</f>
        <v>YZ-HM7889</v>
      </c>
      <c r="C307">
        <f>SUMIFS(allorders!O:O,allorders!L:L,$A307,allorders!AG:AG,"&lt;="&amp;日期!$B$5,allorders!AG:AG,"&gt;="&amp;日期!$B$6,allorders!Q:Q,"&lt;&gt;"&amp;"",allorders!N:N,"Shipped")</f>
        <v>0</v>
      </c>
      <c r="D307">
        <f>SUMIFS(allorders!$O:$O,allorders!$L:$L,$A307,allorders!$AG:$AG,"&lt;="&amp;日期!$B$7,allorders!$AG:$AG,"&gt;="&amp;日期!$B$8,allorders!Q:Q,"&lt;&gt;"&amp;"",allorders!N:N,"Shipped")</f>
        <v>0</v>
      </c>
      <c r="E307">
        <f>SUMIFS(allorders!$O:$O,allorders!$L:$L,$A307,allorders!$AG:$AG,"&lt;="&amp;日期!$B$9,allorders!$AG:$AG,"&gt;="&amp;日期!$B$10,allorders!Q:Q,"&lt;&gt;"&amp;"",allorders!N:N,"Shipped")</f>
        <v>0</v>
      </c>
      <c r="F307">
        <f>SUMIFS(allorders!$O:$O,allorders!$L:$L,$A307,allorders!$AG:$AG,"&lt;="&amp;日期!$B$11,allorders!$AG:$AG,"&gt;="&amp;日期!$B$12,allorders!Q:Q,"&lt;&gt;"&amp;"",allorders!N:N,"Shipped")</f>
        <v>0</v>
      </c>
      <c r="G307" t="e">
        <f>SUMIFS(allorders!Q:Q,allorders!L:L,A307,allorders!AG:AG,"&lt;="&amp;日期!$B$5,allorders!AG:AG,"&gt;="&amp;日期!$B$12,allorders!N:N,"Shipped")/SUM(C307:F307)</f>
        <v>#DIV/0!</v>
      </c>
      <c r="H307">
        <f>SUMIFS(allorders!Q:Q,allorders!L:L,A307,allorders!AG:AG,"&gt;="&amp;日期!$B$12,allorders!AG:AG,"&lt;="&amp;日期!$B$5,allorders!N:N,"Shipped")</f>
        <v>0</v>
      </c>
      <c r="I307">
        <f t="shared" si="4"/>
        <v>0</v>
      </c>
    </row>
    <row r="308" spans="1:9">
      <c r="A308" s="7" t="s">
        <v>4005</v>
      </c>
      <c r="B308" t="str">
        <f>VLOOKUP(A308,'[1]子sku-父sku'!$A$1:$B$65536,2,0)</f>
        <v>YZ-HM7889</v>
      </c>
      <c r="C308">
        <f>SUMIFS(allorders!O:O,allorders!L:L,$A308,allorders!AG:AG,"&lt;="&amp;日期!$B$5,allorders!AG:AG,"&gt;="&amp;日期!$B$6,allorders!Q:Q,"&lt;&gt;"&amp;"",allorders!N:N,"Shipped")</f>
        <v>0</v>
      </c>
      <c r="D308">
        <f>SUMIFS(allorders!$O:$O,allorders!$L:$L,$A308,allorders!$AG:$AG,"&lt;="&amp;日期!$B$7,allorders!$AG:$AG,"&gt;="&amp;日期!$B$8,allorders!Q:Q,"&lt;&gt;"&amp;"",allorders!N:N,"Shipped")</f>
        <v>0</v>
      </c>
      <c r="E308">
        <f>SUMIFS(allorders!$O:$O,allorders!$L:$L,$A308,allorders!$AG:$AG,"&lt;="&amp;日期!$B$9,allorders!$AG:$AG,"&gt;="&amp;日期!$B$10,allorders!Q:Q,"&lt;&gt;"&amp;"",allorders!N:N,"Shipped")</f>
        <v>0</v>
      </c>
      <c r="F308">
        <f>SUMIFS(allorders!$O:$O,allorders!$L:$L,$A308,allorders!$AG:$AG,"&lt;="&amp;日期!$B$11,allorders!$AG:$AG,"&gt;="&amp;日期!$B$12,allorders!Q:Q,"&lt;&gt;"&amp;"",allorders!N:N,"Shipped")</f>
        <v>0</v>
      </c>
      <c r="G308" t="e">
        <f>SUMIFS(allorders!Q:Q,allorders!L:L,A308,allorders!AG:AG,"&lt;="&amp;日期!$B$5,allorders!AG:AG,"&gt;="&amp;日期!$B$12,allorders!N:N,"Shipped")/SUM(C308:F308)</f>
        <v>#DIV/0!</v>
      </c>
      <c r="H308">
        <f>SUMIFS(allorders!Q:Q,allorders!L:L,A308,allorders!AG:AG,"&gt;="&amp;日期!$B$12,allorders!AG:AG,"&lt;="&amp;日期!$B$5,allorders!N:N,"Shipped")</f>
        <v>0</v>
      </c>
      <c r="I308">
        <f t="shared" si="4"/>
        <v>0</v>
      </c>
    </row>
    <row r="309" spans="1:9">
      <c r="A309" s="7" t="s">
        <v>4011</v>
      </c>
      <c r="B309" t="str">
        <f>VLOOKUP(A309,'[1]子sku-父sku'!$A$1:$B$65536,2,0)</f>
        <v>YZ-HM7889</v>
      </c>
      <c r="C309">
        <f>SUMIFS(allorders!O:O,allorders!L:L,$A309,allorders!AG:AG,"&lt;="&amp;日期!$B$5,allorders!AG:AG,"&gt;="&amp;日期!$B$6,allorders!Q:Q,"&lt;&gt;"&amp;"",allorders!N:N,"Shipped")</f>
        <v>0</v>
      </c>
      <c r="D309">
        <f>SUMIFS(allorders!$O:$O,allorders!$L:$L,$A309,allorders!$AG:$AG,"&lt;="&amp;日期!$B$7,allorders!$AG:$AG,"&gt;="&amp;日期!$B$8,allorders!Q:Q,"&lt;&gt;"&amp;"",allorders!N:N,"Shipped")</f>
        <v>0</v>
      </c>
      <c r="E309">
        <f>SUMIFS(allorders!$O:$O,allorders!$L:$L,$A309,allorders!$AG:$AG,"&lt;="&amp;日期!$B$9,allorders!$AG:$AG,"&gt;="&amp;日期!$B$10,allorders!Q:Q,"&lt;&gt;"&amp;"",allorders!N:N,"Shipped")</f>
        <v>0</v>
      </c>
      <c r="F309">
        <f>SUMIFS(allorders!$O:$O,allorders!$L:$L,$A309,allorders!$AG:$AG,"&lt;="&amp;日期!$B$11,allorders!$AG:$AG,"&gt;="&amp;日期!$B$12,allorders!Q:Q,"&lt;&gt;"&amp;"",allorders!N:N,"Shipped")</f>
        <v>0</v>
      </c>
      <c r="G309" t="e">
        <f>SUMIFS(allorders!Q:Q,allorders!L:L,A309,allorders!AG:AG,"&lt;="&amp;日期!$B$5,allorders!AG:AG,"&gt;="&amp;日期!$B$12,allorders!N:N,"Shipped")/SUM(C309:F309)</f>
        <v>#DIV/0!</v>
      </c>
      <c r="H309">
        <f>SUMIFS(allorders!Q:Q,allorders!L:L,A309,allorders!AG:AG,"&gt;="&amp;日期!$B$12,allorders!AG:AG,"&lt;="&amp;日期!$B$5,allorders!N:N,"Shipped")</f>
        <v>0</v>
      </c>
      <c r="I309">
        <f t="shared" si="4"/>
        <v>0</v>
      </c>
    </row>
    <row r="310" spans="1:9">
      <c r="A310" s="7" t="s">
        <v>4017</v>
      </c>
      <c r="B310" t="str">
        <f>VLOOKUP(A310,'[1]子sku-父sku'!$A$1:$B$65536,2,0)</f>
        <v>YZ-HM7889</v>
      </c>
      <c r="C310">
        <f>SUMIFS(allorders!O:O,allorders!L:L,$A310,allorders!AG:AG,"&lt;="&amp;日期!$B$5,allorders!AG:AG,"&gt;="&amp;日期!$B$6,allorders!Q:Q,"&lt;&gt;"&amp;"",allorders!N:N,"Shipped")</f>
        <v>0</v>
      </c>
      <c r="D310">
        <f>SUMIFS(allorders!$O:$O,allorders!$L:$L,$A310,allorders!$AG:$AG,"&lt;="&amp;日期!$B$7,allorders!$AG:$AG,"&gt;="&amp;日期!$B$8,allorders!Q:Q,"&lt;&gt;"&amp;"",allorders!N:N,"Shipped")</f>
        <v>0</v>
      </c>
      <c r="E310">
        <f>SUMIFS(allorders!$O:$O,allorders!$L:$L,$A310,allorders!$AG:$AG,"&lt;="&amp;日期!$B$9,allorders!$AG:$AG,"&gt;="&amp;日期!$B$10,allorders!Q:Q,"&lt;&gt;"&amp;"",allorders!N:N,"Shipped")</f>
        <v>0</v>
      </c>
      <c r="F310">
        <f>SUMIFS(allorders!$O:$O,allorders!$L:$L,$A310,allorders!$AG:$AG,"&lt;="&amp;日期!$B$11,allorders!$AG:$AG,"&gt;="&amp;日期!$B$12,allorders!Q:Q,"&lt;&gt;"&amp;"",allorders!N:N,"Shipped")</f>
        <v>0</v>
      </c>
      <c r="G310" t="e">
        <f>SUMIFS(allorders!Q:Q,allorders!L:L,A310,allorders!AG:AG,"&lt;="&amp;日期!$B$5,allorders!AG:AG,"&gt;="&amp;日期!$B$12,allorders!N:N,"Shipped")/SUM(C310:F310)</f>
        <v>#DIV/0!</v>
      </c>
      <c r="H310">
        <f>SUMIFS(allorders!Q:Q,allorders!L:L,A310,allorders!AG:AG,"&gt;="&amp;日期!$B$12,allorders!AG:AG,"&lt;="&amp;日期!$B$5,allorders!N:N,"Shipped")</f>
        <v>0</v>
      </c>
      <c r="I310">
        <f t="shared" si="4"/>
        <v>0</v>
      </c>
    </row>
    <row r="311" spans="1:9">
      <c r="A311" s="7" t="s">
        <v>4024</v>
      </c>
      <c r="B311" t="str">
        <f>VLOOKUP(A311,'[1]子sku-父sku'!$A$1:$B$65536,2,0)</f>
        <v>YZ-HM241</v>
      </c>
      <c r="C311">
        <f>SUMIFS(allorders!O:O,allorders!L:L,$A311,allorders!AG:AG,"&lt;="&amp;日期!$B$5,allorders!AG:AG,"&gt;="&amp;日期!$B$6,allorders!Q:Q,"&lt;&gt;"&amp;"",allorders!N:N,"Shipped")</f>
        <v>0</v>
      </c>
      <c r="D311">
        <f>SUMIFS(allorders!$O:$O,allorders!$L:$L,$A311,allorders!$AG:$AG,"&lt;="&amp;日期!$B$7,allorders!$AG:$AG,"&gt;="&amp;日期!$B$8,allorders!Q:Q,"&lt;&gt;"&amp;"",allorders!N:N,"Shipped")</f>
        <v>0</v>
      </c>
      <c r="E311">
        <f>SUMIFS(allorders!$O:$O,allorders!$L:$L,$A311,allorders!$AG:$AG,"&lt;="&amp;日期!$B$9,allorders!$AG:$AG,"&gt;="&amp;日期!$B$10,allorders!Q:Q,"&lt;&gt;"&amp;"",allorders!N:N,"Shipped")</f>
        <v>0</v>
      </c>
      <c r="F311">
        <f>SUMIFS(allorders!$O:$O,allorders!$L:$L,$A311,allorders!$AG:$AG,"&lt;="&amp;日期!$B$11,allorders!$AG:$AG,"&gt;="&amp;日期!$B$12,allorders!Q:Q,"&lt;&gt;"&amp;"",allorders!N:N,"Shipped")</f>
        <v>0</v>
      </c>
      <c r="G311" t="e">
        <f>SUMIFS(allorders!Q:Q,allorders!L:L,A311,allorders!AG:AG,"&lt;="&amp;日期!$B$5,allorders!AG:AG,"&gt;="&amp;日期!$B$12,allorders!N:N,"Shipped")/SUM(C311:F311)</f>
        <v>#DIV/0!</v>
      </c>
      <c r="H311">
        <f>SUMIFS(allorders!Q:Q,allorders!L:L,A311,allorders!AG:AG,"&gt;="&amp;日期!$B$12,allorders!AG:AG,"&lt;="&amp;日期!$B$5,allorders!N:N,"Shipped")</f>
        <v>0</v>
      </c>
      <c r="I311">
        <f t="shared" si="4"/>
        <v>0</v>
      </c>
    </row>
    <row r="312" spans="1:9">
      <c r="A312" s="7" t="s">
        <v>4031</v>
      </c>
      <c r="B312" t="str">
        <f>VLOOKUP(A312,'[1]子sku-父sku'!$A$1:$B$65536,2,0)</f>
        <v>YZ-HM241</v>
      </c>
      <c r="C312">
        <f>SUMIFS(allorders!O:O,allorders!L:L,$A312,allorders!AG:AG,"&lt;="&amp;日期!$B$5,allorders!AG:AG,"&gt;="&amp;日期!$B$6,allorders!Q:Q,"&lt;&gt;"&amp;"",allorders!N:N,"Shipped")</f>
        <v>0</v>
      </c>
      <c r="D312">
        <f>SUMIFS(allorders!$O:$O,allorders!$L:$L,$A312,allorders!$AG:$AG,"&lt;="&amp;日期!$B$7,allorders!$AG:$AG,"&gt;="&amp;日期!$B$8,allorders!Q:Q,"&lt;&gt;"&amp;"",allorders!N:N,"Shipped")</f>
        <v>0</v>
      </c>
      <c r="E312">
        <f>SUMIFS(allorders!$O:$O,allorders!$L:$L,$A312,allorders!$AG:$AG,"&lt;="&amp;日期!$B$9,allorders!$AG:$AG,"&gt;="&amp;日期!$B$10,allorders!Q:Q,"&lt;&gt;"&amp;"",allorders!N:N,"Shipped")</f>
        <v>0</v>
      </c>
      <c r="F312">
        <f>SUMIFS(allorders!$O:$O,allorders!$L:$L,$A312,allorders!$AG:$AG,"&lt;="&amp;日期!$B$11,allorders!$AG:$AG,"&gt;="&amp;日期!$B$12,allorders!Q:Q,"&lt;&gt;"&amp;"",allorders!N:N,"Shipped")</f>
        <v>0</v>
      </c>
      <c r="G312" t="e">
        <f>SUMIFS(allorders!Q:Q,allorders!L:L,A312,allorders!AG:AG,"&lt;="&amp;日期!$B$5,allorders!AG:AG,"&gt;="&amp;日期!$B$12,allorders!N:N,"Shipped")/SUM(C312:F312)</f>
        <v>#DIV/0!</v>
      </c>
      <c r="H312">
        <f>SUMIFS(allorders!Q:Q,allorders!L:L,A312,allorders!AG:AG,"&gt;="&amp;日期!$B$12,allorders!AG:AG,"&lt;="&amp;日期!$B$5,allorders!N:N,"Shipped")</f>
        <v>0</v>
      </c>
      <c r="I312">
        <f t="shared" si="4"/>
        <v>0</v>
      </c>
    </row>
    <row r="313" spans="1:9">
      <c r="A313" s="7" t="s">
        <v>4038</v>
      </c>
      <c r="B313" t="str">
        <f>VLOOKUP(A313,'[1]子sku-父sku'!$A$1:$B$65536,2,0)</f>
        <v>YZ-HM241</v>
      </c>
      <c r="C313">
        <f>SUMIFS(allorders!O:O,allorders!L:L,$A313,allorders!AG:AG,"&lt;="&amp;日期!$B$5,allorders!AG:AG,"&gt;="&amp;日期!$B$6,allorders!Q:Q,"&lt;&gt;"&amp;"",allorders!N:N,"Shipped")</f>
        <v>0</v>
      </c>
      <c r="D313">
        <f>SUMIFS(allorders!$O:$O,allorders!$L:$L,$A313,allorders!$AG:$AG,"&lt;="&amp;日期!$B$7,allorders!$AG:$AG,"&gt;="&amp;日期!$B$8,allorders!Q:Q,"&lt;&gt;"&amp;"",allorders!N:N,"Shipped")</f>
        <v>0</v>
      </c>
      <c r="E313">
        <f>SUMIFS(allorders!$O:$O,allorders!$L:$L,$A313,allorders!$AG:$AG,"&lt;="&amp;日期!$B$9,allorders!$AG:$AG,"&gt;="&amp;日期!$B$10,allorders!Q:Q,"&lt;&gt;"&amp;"",allorders!N:N,"Shipped")</f>
        <v>0</v>
      </c>
      <c r="F313">
        <f>SUMIFS(allorders!$O:$O,allorders!$L:$L,$A313,allorders!$AG:$AG,"&lt;="&amp;日期!$B$11,allorders!$AG:$AG,"&gt;="&amp;日期!$B$12,allorders!Q:Q,"&lt;&gt;"&amp;"",allorders!N:N,"Shipped")</f>
        <v>0</v>
      </c>
      <c r="G313" t="e">
        <f>SUMIFS(allorders!Q:Q,allorders!L:L,A313,allorders!AG:AG,"&lt;="&amp;日期!$B$5,allorders!AG:AG,"&gt;="&amp;日期!$B$12,allorders!N:N,"Shipped")/SUM(C313:F313)</f>
        <v>#DIV/0!</v>
      </c>
      <c r="H313">
        <f>SUMIFS(allorders!Q:Q,allorders!L:L,A313,allorders!AG:AG,"&gt;="&amp;日期!$B$12,allorders!AG:AG,"&lt;="&amp;日期!$B$5,allorders!N:N,"Shipped")</f>
        <v>0</v>
      </c>
      <c r="I313">
        <f t="shared" si="4"/>
        <v>0</v>
      </c>
    </row>
    <row r="314" spans="1:9">
      <c r="A314" s="7" t="s">
        <v>4044</v>
      </c>
      <c r="B314" t="str">
        <f>VLOOKUP(A314,'[1]子sku-父sku'!$A$1:$B$65536,2,0)</f>
        <v>YZ-HM241</v>
      </c>
      <c r="C314">
        <f>SUMIFS(allorders!O:O,allorders!L:L,$A314,allorders!AG:AG,"&lt;="&amp;日期!$B$5,allorders!AG:AG,"&gt;="&amp;日期!$B$6,allorders!Q:Q,"&lt;&gt;"&amp;"",allorders!N:N,"Shipped")</f>
        <v>0</v>
      </c>
      <c r="D314">
        <f>SUMIFS(allorders!$O:$O,allorders!$L:$L,$A314,allorders!$AG:$AG,"&lt;="&amp;日期!$B$7,allorders!$AG:$AG,"&gt;="&amp;日期!$B$8,allorders!Q:Q,"&lt;&gt;"&amp;"",allorders!N:N,"Shipped")</f>
        <v>0</v>
      </c>
      <c r="E314">
        <f>SUMIFS(allorders!$O:$O,allorders!$L:$L,$A314,allorders!$AG:$AG,"&lt;="&amp;日期!$B$9,allorders!$AG:$AG,"&gt;="&amp;日期!$B$10,allorders!Q:Q,"&lt;&gt;"&amp;"",allorders!N:N,"Shipped")</f>
        <v>0</v>
      </c>
      <c r="F314">
        <f>SUMIFS(allorders!$O:$O,allorders!$L:$L,$A314,allorders!$AG:$AG,"&lt;="&amp;日期!$B$11,allorders!$AG:$AG,"&gt;="&amp;日期!$B$12,allorders!Q:Q,"&lt;&gt;"&amp;"",allorders!N:N,"Shipped")</f>
        <v>0</v>
      </c>
      <c r="G314" t="e">
        <f>SUMIFS(allorders!Q:Q,allorders!L:L,A314,allorders!AG:AG,"&lt;="&amp;日期!$B$5,allorders!AG:AG,"&gt;="&amp;日期!$B$12,allorders!N:N,"Shipped")/SUM(C314:F314)</f>
        <v>#DIV/0!</v>
      </c>
      <c r="H314">
        <f>SUMIFS(allorders!Q:Q,allorders!L:L,A314,allorders!AG:AG,"&gt;="&amp;日期!$B$12,allorders!AG:AG,"&lt;="&amp;日期!$B$5,allorders!N:N,"Shipped")</f>
        <v>0</v>
      </c>
      <c r="I314">
        <f t="shared" si="4"/>
        <v>0</v>
      </c>
    </row>
    <row r="315" spans="1:9">
      <c r="A315" s="7" t="s">
        <v>4050</v>
      </c>
      <c r="B315" t="str">
        <f>VLOOKUP(A315,'[1]子sku-父sku'!$A$1:$B$65536,2,0)</f>
        <v>YZ-HM241</v>
      </c>
      <c r="C315">
        <f>SUMIFS(allorders!O:O,allorders!L:L,$A315,allorders!AG:AG,"&lt;="&amp;日期!$B$5,allorders!AG:AG,"&gt;="&amp;日期!$B$6,allorders!Q:Q,"&lt;&gt;"&amp;"",allorders!N:N,"Shipped")</f>
        <v>0</v>
      </c>
      <c r="D315">
        <f>SUMIFS(allorders!$O:$O,allorders!$L:$L,$A315,allorders!$AG:$AG,"&lt;="&amp;日期!$B$7,allorders!$AG:$AG,"&gt;="&amp;日期!$B$8,allorders!Q:Q,"&lt;&gt;"&amp;"",allorders!N:N,"Shipped")</f>
        <v>0</v>
      </c>
      <c r="E315">
        <f>SUMIFS(allorders!$O:$O,allorders!$L:$L,$A315,allorders!$AG:$AG,"&lt;="&amp;日期!$B$9,allorders!$AG:$AG,"&gt;="&amp;日期!$B$10,allorders!Q:Q,"&lt;&gt;"&amp;"",allorders!N:N,"Shipped")</f>
        <v>0</v>
      </c>
      <c r="F315">
        <f>SUMIFS(allorders!$O:$O,allorders!$L:$L,$A315,allorders!$AG:$AG,"&lt;="&amp;日期!$B$11,allorders!$AG:$AG,"&gt;="&amp;日期!$B$12,allorders!Q:Q,"&lt;&gt;"&amp;"",allorders!N:N,"Shipped")</f>
        <v>0</v>
      </c>
      <c r="G315" t="e">
        <f>SUMIFS(allorders!Q:Q,allorders!L:L,A315,allorders!AG:AG,"&lt;="&amp;日期!$B$5,allorders!AG:AG,"&gt;="&amp;日期!$B$12,allorders!N:N,"Shipped")/SUM(C315:F315)</f>
        <v>#DIV/0!</v>
      </c>
      <c r="H315">
        <f>SUMIFS(allorders!Q:Q,allorders!L:L,A315,allorders!AG:AG,"&gt;="&amp;日期!$B$12,allorders!AG:AG,"&lt;="&amp;日期!$B$5,allorders!N:N,"Shipped")</f>
        <v>0</v>
      </c>
      <c r="I315">
        <f t="shared" si="4"/>
        <v>0</v>
      </c>
    </row>
    <row r="316" spans="1:9">
      <c r="A316" s="7" t="s">
        <v>4056</v>
      </c>
      <c r="B316" t="str">
        <f>VLOOKUP(A316,'[1]子sku-父sku'!$A$1:$B$65536,2,0)</f>
        <v>YZ-HM241</v>
      </c>
      <c r="C316">
        <f>SUMIFS(allorders!O:O,allorders!L:L,$A316,allorders!AG:AG,"&lt;="&amp;日期!$B$5,allorders!AG:AG,"&gt;="&amp;日期!$B$6,allorders!Q:Q,"&lt;&gt;"&amp;"",allorders!N:N,"Shipped")</f>
        <v>0</v>
      </c>
      <c r="D316">
        <f>SUMIFS(allorders!$O:$O,allorders!$L:$L,$A316,allorders!$AG:$AG,"&lt;="&amp;日期!$B$7,allorders!$AG:$AG,"&gt;="&amp;日期!$B$8,allorders!Q:Q,"&lt;&gt;"&amp;"",allorders!N:N,"Shipped")</f>
        <v>0</v>
      </c>
      <c r="E316">
        <f>SUMIFS(allorders!$O:$O,allorders!$L:$L,$A316,allorders!$AG:$AG,"&lt;="&amp;日期!$B$9,allorders!$AG:$AG,"&gt;="&amp;日期!$B$10,allorders!Q:Q,"&lt;&gt;"&amp;"",allorders!N:N,"Shipped")</f>
        <v>0</v>
      </c>
      <c r="F316">
        <f>SUMIFS(allorders!$O:$O,allorders!$L:$L,$A316,allorders!$AG:$AG,"&lt;="&amp;日期!$B$11,allorders!$AG:$AG,"&gt;="&amp;日期!$B$12,allorders!Q:Q,"&lt;&gt;"&amp;"",allorders!N:N,"Shipped")</f>
        <v>0</v>
      </c>
      <c r="G316" t="e">
        <f>SUMIFS(allorders!Q:Q,allorders!L:L,A316,allorders!AG:AG,"&lt;="&amp;日期!$B$5,allorders!AG:AG,"&gt;="&amp;日期!$B$12,allorders!N:N,"Shipped")/SUM(C316:F316)</f>
        <v>#DIV/0!</v>
      </c>
      <c r="H316">
        <f>SUMIFS(allorders!Q:Q,allorders!L:L,A316,allorders!AG:AG,"&gt;="&amp;日期!$B$12,allorders!AG:AG,"&lt;="&amp;日期!$B$5,allorders!N:N,"Shipped")</f>
        <v>0</v>
      </c>
      <c r="I316">
        <f t="shared" si="4"/>
        <v>0</v>
      </c>
    </row>
    <row r="317" spans="1:9">
      <c r="A317" s="7" t="s">
        <v>4062</v>
      </c>
      <c r="B317" t="str">
        <f>VLOOKUP(A317,'[1]子sku-父sku'!$A$1:$B$65536,2,0)</f>
        <v>YZ-HM241</v>
      </c>
      <c r="C317">
        <f>SUMIFS(allorders!O:O,allorders!L:L,$A317,allorders!AG:AG,"&lt;="&amp;日期!$B$5,allorders!AG:AG,"&gt;="&amp;日期!$B$6,allorders!Q:Q,"&lt;&gt;"&amp;"",allorders!N:N,"Shipped")</f>
        <v>0</v>
      </c>
      <c r="D317">
        <f>SUMIFS(allorders!$O:$O,allorders!$L:$L,$A317,allorders!$AG:$AG,"&lt;="&amp;日期!$B$7,allorders!$AG:$AG,"&gt;="&amp;日期!$B$8,allorders!Q:Q,"&lt;&gt;"&amp;"",allorders!N:N,"Shipped")</f>
        <v>0</v>
      </c>
      <c r="E317">
        <f>SUMIFS(allorders!$O:$O,allorders!$L:$L,$A317,allorders!$AG:$AG,"&lt;="&amp;日期!$B$9,allorders!$AG:$AG,"&gt;="&amp;日期!$B$10,allorders!Q:Q,"&lt;&gt;"&amp;"",allorders!N:N,"Shipped")</f>
        <v>0</v>
      </c>
      <c r="F317">
        <f>SUMIFS(allorders!$O:$O,allorders!$L:$L,$A317,allorders!$AG:$AG,"&lt;="&amp;日期!$B$11,allorders!$AG:$AG,"&gt;="&amp;日期!$B$12,allorders!Q:Q,"&lt;&gt;"&amp;"",allorders!N:N,"Shipped")</f>
        <v>0</v>
      </c>
      <c r="G317" t="e">
        <f>SUMIFS(allorders!Q:Q,allorders!L:L,A317,allorders!AG:AG,"&lt;="&amp;日期!$B$5,allorders!AG:AG,"&gt;="&amp;日期!$B$12,allorders!N:N,"Shipped")/SUM(C317:F317)</f>
        <v>#DIV/0!</v>
      </c>
      <c r="H317">
        <f>SUMIFS(allorders!Q:Q,allorders!L:L,A317,allorders!AG:AG,"&gt;="&amp;日期!$B$12,allorders!AG:AG,"&lt;="&amp;日期!$B$5,allorders!N:N,"Shipped")</f>
        <v>0</v>
      </c>
      <c r="I317">
        <f t="shared" si="4"/>
        <v>0</v>
      </c>
    </row>
    <row r="318" spans="1:9">
      <c r="A318" s="7" t="s">
        <v>4068</v>
      </c>
      <c r="B318" t="str">
        <f>VLOOKUP(A318,'[1]子sku-父sku'!$A$1:$B$65536,2,0)</f>
        <v>YZ-HM241</v>
      </c>
      <c r="C318">
        <f>SUMIFS(allorders!O:O,allorders!L:L,$A318,allorders!AG:AG,"&lt;="&amp;日期!$B$5,allorders!AG:AG,"&gt;="&amp;日期!$B$6,allorders!Q:Q,"&lt;&gt;"&amp;"",allorders!N:N,"Shipped")</f>
        <v>0</v>
      </c>
      <c r="D318">
        <f>SUMIFS(allorders!$O:$O,allorders!$L:$L,$A318,allorders!$AG:$AG,"&lt;="&amp;日期!$B$7,allorders!$AG:$AG,"&gt;="&amp;日期!$B$8,allorders!Q:Q,"&lt;&gt;"&amp;"",allorders!N:N,"Shipped")</f>
        <v>0</v>
      </c>
      <c r="E318">
        <f>SUMIFS(allorders!$O:$O,allorders!$L:$L,$A318,allorders!$AG:$AG,"&lt;="&amp;日期!$B$9,allorders!$AG:$AG,"&gt;="&amp;日期!$B$10,allorders!Q:Q,"&lt;&gt;"&amp;"",allorders!N:N,"Shipped")</f>
        <v>0</v>
      </c>
      <c r="F318">
        <f>SUMIFS(allorders!$O:$O,allorders!$L:$L,$A318,allorders!$AG:$AG,"&lt;="&amp;日期!$B$11,allorders!$AG:$AG,"&gt;="&amp;日期!$B$12,allorders!Q:Q,"&lt;&gt;"&amp;"",allorders!N:N,"Shipped")</f>
        <v>0</v>
      </c>
      <c r="G318" t="e">
        <f>SUMIFS(allorders!Q:Q,allorders!L:L,A318,allorders!AG:AG,"&lt;="&amp;日期!$B$5,allorders!AG:AG,"&gt;="&amp;日期!$B$12,allorders!N:N,"Shipped")/SUM(C318:F318)</f>
        <v>#DIV/0!</v>
      </c>
      <c r="H318">
        <f>SUMIFS(allorders!Q:Q,allorders!L:L,A318,allorders!AG:AG,"&gt;="&amp;日期!$B$12,allorders!AG:AG,"&lt;="&amp;日期!$B$5,allorders!N:N,"Shipped")</f>
        <v>0</v>
      </c>
      <c r="I318">
        <f t="shared" si="4"/>
        <v>0</v>
      </c>
    </row>
    <row r="319" spans="1:9">
      <c r="A319" s="7" t="s">
        <v>4075</v>
      </c>
      <c r="B319" t="str">
        <f>VLOOKUP(A319,'[1]子sku-父sku'!$A$1:$B$65536,2,0)</f>
        <v>YZ-ZQ6189</v>
      </c>
      <c r="C319">
        <f>SUMIFS(allorders!O:O,allorders!L:L,$A319,allorders!AG:AG,"&lt;="&amp;日期!$B$5,allorders!AG:AG,"&gt;="&amp;日期!$B$6,allorders!Q:Q,"&lt;&gt;"&amp;"",allorders!N:N,"Shipped")</f>
        <v>0</v>
      </c>
      <c r="D319">
        <f>SUMIFS(allorders!$O:$O,allorders!$L:$L,$A319,allorders!$AG:$AG,"&lt;="&amp;日期!$B$7,allorders!$AG:$AG,"&gt;="&amp;日期!$B$8,allorders!Q:Q,"&lt;&gt;"&amp;"",allorders!N:N,"Shipped")</f>
        <v>0</v>
      </c>
      <c r="E319">
        <f>SUMIFS(allorders!$O:$O,allorders!$L:$L,$A319,allorders!$AG:$AG,"&lt;="&amp;日期!$B$9,allorders!$AG:$AG,"&gt;="&amp;日期!$B$10,allorders!Q:Q,"&lt;&gt;"&amp;"",allorders!N:N,"Shipped")</f>
        <v>0</v>
      </c>
      <c r="F319">
        <f>SUMIFS(allorders!$O:$O,allorders!$L:$L,$A319,allorders!$AG:$AG,"&lt;="&amp;日期!$B$11,allorders!$AG:$AG,"&gt;="&amp;日期!$B$12,allorders!Q:Q,"&lt;&gt;"&amp;"",allorders!N:N,"Shipped")</f>
        <v>0</v>
      </c>
      <c r="G319" t="e">
        <f>SUMIFS(allorders!Q:Q,allorders!L:L,A319,allorders!AG:AG,"&lt;="&amp;日期!$B$5,allorders!AG:AG,"&gt;="&amp;日期!$B$12,allorders!N:N,"Shipped")/SUM(C319:F319)</f>
        <v>#DIV/0!</v>
      </c>
      <c r="H319">
        <f>SUMIFS(allorders!Q:Q,allorders!L:L,A319,allorders!AG:AG,"&gt;="&amp;日期!$B$12,allorders!AG:AG,"&lt;="&amp;日期!$B$5,allorders!N:N,"Shipped")</f>
        <v>0</v>
      </c>
      <c r="I319">
        <f t="shared" si="4"/>
        <v>0</v>
      </c>
    </row>
    <row r="320" spans="1:9">
      <c r="A320" s="7" t="s">
        <v>4082</v>
      </c>
      <c r="B320" t="str">
        <f>VLOOKUP(A320,'[1]子sku-父sku'!$A$1:$B$65536,2,0)</f>
        <v>YZ-ZQ6189</v>
      </c>
      <c r="C320">
        <f>SUMIFS(allorders!O:O,allorders!L:L,$A320,allorders!AG:AG,"&lt;="&amp;日期!$B$5,allorders!AG:AG,"&gt;="&amp;日期!$B$6,allorders!Q:Q,"&lt;&gt;"&amp;"",allorders!N:N,"Shipped")</f>
        <v>0</v>
      </c>
      <c r="D320">
        <f>SUMIFS(allorders!$O:$O,allorders!$L:$L,$A320,allorders!$AG:$AG,"&lt;="&amp;日期!$B$7,allorders!$AG:$AG,"&gt;="&amp;日期!$B$8,allorders!Q:Q,"&lt;&gt;"&amp;"",allorders!N:N,"Shipped")</f>
        <v>0</v>
      </c>
      <c r="E320">
        <f>SUMIFS(allorders!$O:$O,allorders!$L:$L,$A320,allorders!$AG:$AG,"&lt;="&amp;日期!$B$9,allorders!$AG:$AG,"&gt;="&amp;日期!$B$10,allorders!Q:Q,"&lt;&gt;"&amp;"",allorders!N:N,"Shipped")</f>
        <v>0</v>
      </c>
      <c r="F320">
        <f>SUMIFS(allorders!$O:$O,allorders!$L:$L,$A320,allorders!$AG:$AG,"&lt;="&amp;日期!$B$11,allorders!$AG:$AG,"&gt;="&amp;日期!$B$12,allorders!Q:Q,"&lt;&gt;"&amp;"",allorders!N:N,"Shipped")</f>
        <v>0</v>
      </c>
      <c r="G320" t="e">
        <f>SUMIFS(allorders!Q:Q,allorders!L:L,A320,allorders!AG:AG,"&lt;="&amp;日期!$B$5,allorders!AG:AG,"&gt;="&amp;日期!$B$12,allorders!N:N,"Shipped")/SUM(C320:F320)</f>
        <v>#DIV/0!</v>
      </c>
      <c r="H320">
        <f>SUMIFS(allorders!Q:Q,allorders!L:L,A320,allorders!AG:AG,"&gt;="&amp;日期!$B$12,allorders!AG:AG,"&lt;="&amp;日期!$B$5,allorders!N:N,"Shipped")</f>
        <v>0</v>
      </c>
      <c r="I320">
        <f t="shared" si="4"/>
        <v>0</v>
      </c>
    </row>
    <row r="321" spans="1:9">
      <c r="A321" s="7" t="s">
        <v>4089</v>
      </c>
      <c r="B321" t="str">
        <f>VLOOKUP(A321,'[1]子sku-父sku'!$A$1:$B$65536,2,0)</f>
        <v>YZ-ZQ6189</v>
      </c>
      <c r="C321">
        <f>SUMIFS(allorders!O:O,allorders!L:L,$A321,allorders!AG:AG,"&lt;="&amp;日期!$B$5,allorders!AG:AG,"&gt;="&amp;日期!$B$6,allorders!Q:Q,"&lt;&gt;"&amp;"",allorders!N:N,"Shipped")</f>
        <v>0</v>
      </c>
      <c r="D321">
        <f>SUMIFS(allorders!$O:$O,allorders!$L:$L,$A321,allorders!$AG:$AG,"&lt;="&amp;日期!$B$7,allorders!$AG:$AG,"&gt;="&amp;日期!$B$8,allorders!Q:Q,"&lt;&gt;"&amp;"",allorders!N:N,"Shipped")</f>
        <v>0</v>
      </c>
      <c r="E321">
        <f>SUMIFS(allorders!$O:$O,allorders!$L:$L,$A321,allorders!$AG:$AG,"&lt;="&amp;日期!$B$9,allorders!$AG:$AG,"&gt;="&amp;日期!$B$10,allorders!Q:Q,"&lt;&gt;"&amp;"",allorders!N:N,"Shipped")</f>
        <v>0</v>
      </c>
      <c r="F321">
        <f>SUMIFS(allorders!$O:$O,allorders!$L:$L,$A321,allorders!$AG:$AG,"&lt;="&amp;日期!$B$11,allorders!$AG:$AG,"&gt;="&amp;日期!$B$12,allorders!Q:Q,"&lt;&gt;"&amp;"",allorders!N:N,"Shipped")</f>
        <v>0</v>
      </c>
      <c r="G321" t="e">
        <f>SUMIFS(allorders!Q:Q,allorders!L:L,A321,allorders!AG:AG,"&lt;="&amp;日期!$B$5,allorders!AG:AG,"&gt;="&amp;日期!$B$12,allorders!N:N,"Shipped")/SUM(C321:F321)</f>
        <v>#DIV/0!</v>
      </c>
      <c r="H321">
        <f>SUMIFS(allorders!Q:Q,allorders!L:L,A321,allorders!AG:AG,"&gt;="&amp;日期!$B$12,allorders!AG:AG,"&lt;="&amp;日期!$B$5,allorders!N:N,"Shipped")</f>
        <v>0</v>
      </c>
      <c r="I321">
        <f t="shared" si="4"/>
        <v>0</v>
      </c>
    </row>
    <row r="322" spans="1:9">
      <c r="A322" s="7" t="s">
        <v>4095</v>
      </c>
      <c r="B322" t="str">
        <f>VLOOKUP(A322,'[1]子sku-父sku'!$A$1:$B$65536,2,0)</f>
        <v>YZ-HMBKN17015</v>
      </c>
      <c r="C322">
        <f>SUMIFS(allorders!O:O,allorders!L:L,$A322,allorders!AG:AG,"&lt;="&amp;日期!$B$5,allorders!AG:AG,"&gt;="&amp;日期!$B$6,allorders!Q:Q,"&lt;&gt;"&amp;"",allorders!N:N,"Shipped")</f>
        <v>0</v>
      </c>
      <c r="D322">
        <f>SUMIFS(allorders!$O:$O,allorders!$L:$L,$A322,allorders!$AG:$AG,"&lt;="&amp;日期!$B$7,allorders!$AG:$AG,"&gt;="&amp;日期!$B$8,allorders!Q:Q,"&lt;&gt;"&amp;"",allorders!N:N,"Shipped")</f>
        <v>0</v>
      </c>
      <c r="E322">
        <f>SUMIFS(allorders!$O:$O,allorders!$L:$L,$A322,allorders!$AG:$AG,"&lt;="&amp;日期!$B$9,allorders!$AG:$AG,"&gt;="&amp;日期!$B$10,allorders!Q:Q,"&lt;&gt;"&amp;"",allorders!N:N,"Shipped")</f>
        <v>0</v>
      </c>
      <c r="F322">
        <f>SUMIFS(allorders!$O:$O,allorders!$L:$L,$A322,allorders!$AG:$AG,"&lt;="&amp;日期!$B$11,allorders!$AG:$AG,"&gt;="&amp;日期!$B$12,allorders!Q:Q,"&lt;&gt;"&amp;"",allorders!N:N,"Shipped")</f>
        <v>0</v>
      </c>
      <c r="G322" t="e">
        <f>SUMIFS(allorders!Q:Q,allorders!L:L,A322,allorders!AG:AG,"&lt;="&amp;日期!$B$5,allorders!AG:AG,"&gt;="&amp;日期!$B$12,allorders!N:N,"Shipped")/SUM(C322:F322)</f>
        <v>#DIV/0!</v>
      </c>
      <c r="H322">
        <f>SUMIFS(allorders!Q:Q,allorders!L:L,A322,allorders!AG:AG,"&gt;="&amp;日期!$B$12,allorders!AG:AG,"&lt;="&amp;日期!$B$5,allorders!N:N,"Shipped")</f>
        <v>0</v>
      </c>
      <c r="I322">
        <f t="shared" si="4"/>
        <v>0</v>
      </c>
    </row>
    <row r="323" spans="1:9">
      <c r="A323" s="7" t="s">
        <v>4102</v>
      </c>
      <c r="B323" t="str">
        <f>VLOOKUP(A323,'[1]子sku-父sku'!$A$1:$B$65536,2,0)</f>
        <v>YZ-ZQ6189</v>
      </c>
      <c r="C323">
        <f>SUMIFS(allorders!O:O,allorders!L:L,$A323,allorders!AG:AG,"&lt;="&amp;日期!$B$5,allorders!AG:AG,"&gt;="&amp;日期!$B$6,allorders!Q:Q,"&lt;&gt;"&amp;"",allorders!N:N,"Shipped")</f>
        <v>0</v>
      </c>
      <c r="D323">
        <f>SUMIFS(allorders!$O:$O,allorders!$L:$L,$A323,allorders!$AG:$AG,"&lt;="&amp;日期!$B$7,allorders!$AG:$AG,"&gt;="&amp;日期!$B$8,allorders!Q:Q,"&lt;&gt;"&amp;"",allorders!N:N,"Shipped")</f>
        <v>0</v>
      </c>
      <c r="E323">
        <f>SUMIFS(allorders!$O:$O,allorders!$L:$L,$A323,allorders!$AG:$AG,"&lt;="&amp;日期!$B$9,allorders!$AG:$AG,"&gt;="&amp;日期!$B$10,allorders!Q:Q,"&lt;&gt;"&amp;"",allorders!N:N,"Shipped")</f>
        <v>0</v>
      </c>
      <c r="F323">
        <f>SUMIFS(allorders!$O:$O,allorders!$L:$L,$A323,allorders!$AG:$AG,"&lt;="&amp;日期!$B$11,allorders!$AG:$AG,"&gt;="&amp;日期!$B$12,allorders!Q:Q,"&lt;&gt;"&amp;"",allorders!N:N,"Shipped")</f>
        <v>0</v>
      </c>
      <c r="G323" t="e">
        <f>SUMIFS(allorders!Q:Q,allorders!L:L,A323,allorders!AG:AG,"&lt;="&amp;日期!$B$5,allorders!AG:AG,"&gt;="&amp;日期!$B$12,allorders!N:N,"Shipped")/SUM(C323:F323)</f>
        <v>#DIV/0!</v>
      </c>
      <c r="H323">
        <f>SUMIFS(allorders!Q:Q,allorders!L:L,A323,allorders!AG:AG,"&gt;="&amp;日期!$B$12,allorders!AG:AG,"&lt;="&amp;日期!$B$5,allorders!N:N,"Shipped")</f>
        <v>0</v>
      </c>
      <c r="I323">
        <f t="shared" ref="I323:I386" si="5">SUM(C323:F323)</f>
        <v>0</v>
      </c>
    </row>
    <row r="324" spans="1:9">
      <c r="A324" s="7" t="s">
        <v>4109</v>
      </c>
      <c r="B324" t="str">
        <f>VLOOKUP(A324,'[1]子sku-父sku'!$A$1:$B$65536,2,0)</f>
        <v>YZ-ZQ6189</v>
      </c>
      <c r="C324">
        <f>SUMIFS(allorders!O:O,allorders!L:L,$A324,allorders!AG:AG,"&lt;="&amp;日期!$B$5,allorders!AG:AG,"&gt;="&amp;日期!$B$6,allorders!Q:Q,"&lt;&gt;"&amp;"",allorders!N:N,"Shipped")</f>
        <v>0</v>
      </c>
      <c r="D324">
        <f>SUMIFS(allorders!$O:$O,allorders!$L:$L,$A324,allorders!$AG:$AG,"&lt;="&amp;日期!$B$7,allorders!$AG:$AG,"&gt;="&amp;日期!$B$8,allorders!Q:Q,"&lt;&gt;"&amp;"",allorders!N:N,"Shipped")</f>
        <v>0</v>
      </c>
      <c r="E324">
        <f>SUMIFS(allorders!$O:$O,allorders!$L:$L,$A324,allorders!$AG:$AG,"&lt;="&amp;日期!$B$9,allorders!$AG:$AG,"&gt;="&amp;日期!$B$10,allorders!Q:Q,"&lt;&gt;"&amp;"",allorders!N:N,"Shipped")</f>
        <v>0</v>
      </c>
      <c r="F324">
        <f>SUMIFS(allorders!$O:$O,allorders!$L:$L,$A324,allorders!$AG:$AG,"&lt;="&amp;日期!$B$11,allorders!$AG:$AG,"&gt;="&amp;日期!$B$12,allorders!Q:Q,"&lt;&gt;"&amp;"",allorders!N:N,"Shipped")</f>
        <v>0</v>
      </c>
      <c r="G324" t="e">
        <f>SUMIFS(allorders!Q:Q,allorders!L:L,A324,allorders!AG:AG,"&lt;="&amp;日期!$B$5,allorders!AG:AG,"&gt;="&amp;日期!$B$12,allorders!N:N,"Shipped")/SUM(C324:F324)</f>
        <v>#DIV/0!</v>
      </c>
      <c r="H324">
        <f>SUMIFS(allorders!Q:Q,allorders!L:L,A324,allorders!AG:AG,"&gt;="&amp;日期!$B$12,allorders!AG:AG,"&lt;="&amp;日期!$B$5,allorders!N:N,"Shipped")</f>
        <v>0</v>
      </c>
      <c r="I324">
        <f t="shared" si="5"/>
        <v>0</v>
      </c>
    </row>
    <row r="325" spans="1:9">
      <c r="A325" s="7" t="s">
        <v>4116</v>
      </c>
      <c r="B325" t="str">
        <f>VLOOKUP(A325,'[1]子sku-父sku'!$A$1:$B$65536,2,0)</f>
        <v>YZ-ZQ6189</v>
      </c>
      <c r="C325">
        <f>SUMIFS(allorders!O:O,allorders!L:L,$A325,allorders!AG:AG,"&lt;="&amp;日期!$B$5,allorders!AG:AG,"&gt;="&amp;日期!$B$6,allorders!Q:Q,"&lt;&gt;"&amp;"",allorders!N:N,"Shipped")</f>
        <v>0</v>
      </c>
      <c r="D325">
        <f>SUMIFS(allorders!$O:$O,allorders!$L:$L,$A325,allorders!$AG:$AG,"&lt;="&amp;日期!$B$7,allorders!$AG:$AG,"&gt;="&amp;日期!$B$8,allorders!Q:Q,"&lt;&gt;"&amp;"",allorders!N:N,"Shipped")</f>
        <v>0</v>
      </c>
      <c r="E325">
        <f>SUMIFS(allorders!$O:$O,allorders!$L:$L,$A325,allorders!$AG:$AG,"&lt;="&amp;日期!$B$9,allorders!$AG:$AG,"&gt;="&amp;日期!$B$10,allorders!Q:Q,"&lt;&gt;"&amp;"",allorders!N:N,"Shipped")</f>
        <v>0</v>
      </c>
      <c r="F325">
        <f>SUMIFS(allorders!$O:$O,allorders!$L:$L,$A325,allorders!$AG:$AG,"&lt;="&amp;日期!$B$11,allorders!$AG:$AG,"&gt;="&amp;日期!$B$12,allorders!Q:Q,"&lt;&gt;"&amp;"",allorders!N:N,"Shipped")</f>
        <v>0</v>
      </c>
      <c r="G325" t="e">
        <f>SUMIFS(allorders!Q:Q,allorders!L:L,A325,allorders!AG:AG,"&lt;="&amp;日期!$B$5,allorders!AG:AG,"&gt;="&amp;日期!$B$12,allorders!N:N,"Shipped")/SUM(C325:F325)</f>
        <v>#DIV/0!</v>
      </c>
      <c r="H325">
        <f>SUMIFS(allorders!Q:Q,allorders!L:L,A325,allorders!AG:AG,"&gt;="&amp;日期!$B$12,allorders!AG:AG,"&lt;="&amp;日期!$B$5,allorders!N:N,"Shipped")</f>
        <v>0</v>
      </c>
      <c r="I325">
        <f t="shared" si="5"/>
        <v>0</v>
      </c>
    </row>
    <row r="326" spans="1:9">
      <c r="A326" s="7" t="s">
        <v>4123</v>
      </c>
      <c r="B326" t="str">
        <f>VLOOKUP(A326,'[1]子sku-父sku'!$A$1:$B$65536,2,0)</f>
        <v>YZ-ZQ6189</v>
      </c>
      <c r="C326">
        <f>SUMIFS(allorders!O:O,allorders!L:L,$A326,allorders!AG:AG,"&lt;="&amp;日期!$B$5,allorders!AG:AG,"&gt;="&amp;日期!$B$6,allorders!Q:Q,"&lt;&gt;"&amp;"",allorders!N:N,"Shipped")</f>
        <v>0</v>
      </c>
      <c r="D326">
        <f>SUMIFS(allorders!$O:$O,allorders!$L:$L,$A326,allorders!$AG:$AG,"&lt;="&amp;日期!$B$7,allorders!$AG:$AG,"&gt;="&amp;日期!$B$8,allorders!Q:Q,"&lt;&gt;"&amp;"",allorders!N:N,"Shipped")</f>
        <v>0</v>
      </c>
      <c r="E326">
        <f>SUMIFS(allorders!$O:$O,allorders!$L:$L,$A326,allorders!$AG:$AG,"&lt;="&amp;日期!$B$9,allorders!$AG:$AG,"&gt;="&amp;日期!$B$10,allorders!Q:Q,"&lt;&gt;"&amp;"",allorders!N:N,"Shipped")</f>
        <v>0</v>
      </c>
      <c r="F326">
        <f>SUMIFS(allorders!$O:$O,allorders!$L:$L,$A326,allorders!$AG:$AG,"&lt;="&amp;日期!$B$11,allorders!$AG:$AG,"&gt;="&amp;日期!$B$12,allorders!Q:Q,"&lt;&gt;"&amp;"",allorders!N:N,"Shipped")</f>
        <v>0</v>
      </c>
      <c r="G326" t="e">
        <f>SUMIFS(allorders!Q:Q,allorders!L:L,A326,allorders!AG:AG,"&lt;="&amp;日期!$B$5,allorders!AG:AG,"&gt;="&amp;日期!$B$12,allorders!N:N,"Shipped")/SUM(C326:F326)</f>
        <v>#DIV/0!</v>
      </c>
      <c r="H326">
        <f>SUMIFS(allorders!Q:Q,allorders!L:L,A326,allorders!AG:AG,"&gt;="&amp;日期!$B$12,allorders!AG:AG,"&lt;="&amp;日期!$B$5,allorders!N:N,"Shipped")</f>
        <v>0</v>
      </c>
      <c r="I326">
        <f t="shared" si="5"/>
        <v>0</v>
      </c>
    </row>
    <row r="327" spans="1:9">
      <c r="A327" s="7" t="s">
        <v>4130</v>
      </c>
      <c r="B327" t="str">
        <f>VLOOKUP(A327,'[1]子sku-父sku'!$A$1:$B$65536,2,0)</f>
        <v>YZ-ZQ6189</v>
      </c>
      <c r="C327">
        <f>SUMIFS(allorders!O:O,allorders!L:L,$A327,allorders!AG:AG,"&lt;="&amp;日期!$B$5,allorders!AG:AG,"&gt;="&amp;日期!$B$6,allorders!Q:Q,"&lt;&gt;"&amp;"",allorders!N:N,"Shipped")</f>
        <v>0</v>
      </c>
      <c r="D327">
        <f>SUMIFS(allorders!$O:$O,allorders!$L:$L,$A327,allorders!$AG:$AG,"&lt;="&amp;日期!$B$7,allorders!$AG:$AG,"&gt;="&amp;日期!$B$8,allorders!Q:Q,"&lt;&gt;"&amp;"",allorders!N:N,"Shipped")</f>
        <v>0</v>
      </c>
      <c r="E327">
        <f>SUMIFS(allorders!$O:$O,allorders!$L:$L,$A327,allorders!$AG:$AG,"&lt;="&amp;日期!$B$9,allorders!$AG:$AG,"&gt;="&amp;日期!$B$10,allorders!Q:Q,"&lt;&gt;"&amp;"",allorders!N:N,"Shipped")</f>
        <v>0</v>
      </c>
      <c r="F327">
        <f>SUMIFS(allorders!$O:$O,allorders!$L:$L,$A327,allorders!$AG:$AG,"&lt;="&amp;日期!$B$11,allorders!$AG:$AG,"&gt;="&amp;日期!$B$12,allorders!Q:Q,"&lt;&gt;"&amp;"",allorders!N:N,"Shipped")</f>
        <v>0</v>
      </c>
      <c r="G327" t="e">
        <f>SUMIFS(allorders!Q:Q,allorders!L:L,A327,allorders!AG:AG,"&lt;="&amp;日期!$B$5,allorders!AG:AG,"&gt;="&amp;日期!$B$12,allorders!N:N,"Shipped")/SUM(C327:F327)</f>
        <v>#DIV/0!</v>
      </c>
      <c r="H327">
        <f>SUMIFS(allorders!Q:Q,allorders!L:L,A327,allorders!AG:AG,"&gt;="&amp;日期!$B$12,allorders!AG:AG,"&lt;="&amp;日期!$B$5,allorders!N:N,"Shipped")</f>
        <v>0</v>
      </c>
      <c r="I327">
        <f t="shared" si="5"/>
        <v>0</v>
      </c>
    </row>
    <row r="328" spans="1:9">
      <c r="A328" s="7" t="s">
        <v>4137</v>
      </c>
      <c r="B328" t="str">
        <f>VLOOKUP(A328,'[1]子sku-父sku'!$A$1:$B$65536,2,0)</f>
        <v>YZ-ZQ6189</v>
      </c>
      <c r="C328">
        <f>SUMIFS(allorders!O:O,allorders!L:L,$A328,allorders!AG:AG,"&lt;="&amp;日期!$B$5,allorders!AG:AG,"&gt;="&amp;日期!$B$6,allorders!Q:Q,"&lt;&gt;"&amp;"",allorders!N:N,"Shipped")</f>
        <v>0</v>
      </c>
      <c r="D328">
        <f>SUMIFS(allorders!$O:$O,allorders!$L:$L,$A328,allorders!$AG:$AG,"&lt;="&amp;日期!$B$7,allorders!$AG:$AG,"&gt;="&amp;日期!$B$8,allorders!Q:Q,"&lt;&gt;"&amp;"",allorders!N:N,"Shipped")</f>
        <v>0</v>
      </c>
      <c r="E328">
        <f>SUMIFS(allorders!$O:$O,allorders!$L:$L,$A328,allorders!$AG:$AG,"&lt;="&amp;日期!$B$9,allorders!$AG:$AG,"&gt;="&amp;日期!$B$10,allorders!Q:Q,"&lt;&gt;"&amp;"",allorders!N:N,"Shipped")</f>
        <v>0</v>
      </c>
      <c r="F328">
        <f>SUMIFS(allorders!$O:$O,allorders!$L:$L,$A328,allorders!$AG:$AG,"&lt;="&amp;日期!$B$11,allorders!$AG:$AG,"&gt;="&amp;日期!$B$12,allorders!Q:Q,"&lt;&gt;"&amp;"",allorders!N:N,"Shipped")</f>
        <v>0</v>
      </c>
      <c r="G328" t="e">
        <f>SUMIFS(allorders!Q:Q,allorders!L:L,A328,allorders!AG:AG,"&lt;="&amp;日期!$B$5,allorders!AG:AG,"&gt;="&amp;日期!$B$12,allorders!N:N,"Shipped")/SUM(C328:F328)</f>
        <v>#DIV/0!</v>
      </c>
      <c r="H328">
        <f>SUMIFS(allorders!Q:Q,allorders!L:L,A328,allorders!AG:AG,"&gt;="&amp;日期!$B$12,allorders!AG:AG,"&lt;="&amp;日期!$B$5,allorders!N:N,"Shipped")</f>
        <v>0</v>
      </c>
      <c r="I328">
        <f t="shared" si="5"/>
        <v>0</v>
      </c>
    </row>
    <row r="329" spans="1:9">
      <c r="A329" s="7" t="s">
        <v>4144</v>
      </c>
      <c r="B329" t="str">
        <f>VLOOKUP(A329,'[1]子sku-父sku'!$A$1:$B$65536,2,0)</f>
        <v>YZ-ZQ6189</v>
      </c>
      <c r="C329">
        <f>SUMIFS(allorders!O:O,allorders!L:L,$A329,allorders!AG:AG,"&lt;="&amp;日期!$B$5,allorders!AG:AG,"&gt;="&amp;日期!$B$6,allorders!Q:Q,"&lt;&gt;"&amp;"",allorders!N:N,"Shipped")</f>
        <v>0</v>
      </c>
      <c r="D329">
        <f>SUMIFS(allorders!$O:$O,allorders!$L:$L,$A329,allorders!$AG:$AG,"&lt;="&amp;日期!$B$7,allorders!$AG:$AG,"&gt;="&amp;日期!$B$8,allorders!Q:Q,"&lt;&gt;"&amp;"",allorders!N:N,"Shipped")</f>
        <v>0</v>
      </c>
      <c r="E329">
        <f>SUMIFS(allorders!$O:$O,allorders!$L:$L,$A329,allorders!$AG:$AG,"&lt;="&amp;日期!$B$9,allorders!$AG:$AG,"&gt;="&amp;日期!$B$10,allorders!Q:Q,"&lt;&gt;"&amp;"",allorders!N:N,"Shipped")</f>
        <v>0</v>
      </c>
      <c r="F329">
        <f>SUMIFS(allorders!$O:$O,allorders!$L:$L,$A329,allorders!$AG:$AG,"&lt;="&amp;日期!$B$11,allorders!$AG:$AG,"&gt;="&amp;日期!$B$12,allorders!Q:Q,"&lt;&gt;"&amp;"",allorders!N:N,"Shipped")</f>
        <v>0</v>
      </c>
      <c r="G329" t="e">
        <f>SUMIFS(allorders!Q:Q,allorders!L:L,A329,allorders!AG:AG,"&lt;="&amp;日期!$B$5,allorders!AG:AG,"&gt;="&amp;日期!$B$12,allorders!N:N,"Shipped")/SUM(C329:F329)</f>
        <v>#DIV/0!</v>
      </c>
      <c r="H329">
        <f>SUMIFS(allorders!Q:Q,allorders!L:L,A329,allorders!AG:AG,"&gt;="&amp;日期!$B$12,allorders!AG:AG,"&lt;="&amp;日期!$B$5,allorders!N:N,"Shipped")</f>
        <v>0</v>
      </c>
      <c r="I329">
        <f t="shared" si="5"/>
        <v>0</v>
      </c>
    </row>
    <row r="330" spans="1:9">
      <c r="A330" s="7" t="s">
        <v>4163</v>
      </c>
      <c r="B330" t="str">
        <f>VLOOKUP(A330,'[1]子sku-父sku'!$A$1:$B$65536,2,0)</f>
        <v>YZ-HMBKN30</v>
      </c>
      <c r="C330">
        <f>SUMIFS(allorders!O:O,allorders!L:L,$A330,allorders!AG:AG,"&lt;="&amp;日期!$B$5,allorders!AG:AG,"&gt;="&amp;日期!$B$6,allorders!Q:Q,"&lt;&gt;"&amp;"",allorders!N:N,"Shipped")</f>
        <v>0</v>
      </c>
      <c r="D330">
        <f>SUMIFS(allorders!$O:$O,allorders!$L:$L,$A330,allorders!$AG:$AG,"&lt;="&amp;日期!$B$7,allorders!$AG:$AG,"&gt;="&amp;日期!$B$8,allorders!Q:Q,"&lt;&gt;"&amp;"",allorders!N:N,"Shipped")</f>
        <v>0</v>
      </c>
      <c r="E330">
        <f>SUMIFS(allorders!$O:$O,allorders!$L:$L,$A330,allorders!$AG:$AG,"&lt;="&amp;日期!$B$9,allorders!$AG:$AG,"&gt;="&amp;日期!$B$10,allorders!Q:Q,"&lt;&gt;"&amp;"",allorders!N:N,"Shipped")</f>
        <v>0</v>
      </c>
      <c r="F330">
        <f>SUMIFS(allorders!$O:$O,allorders!$L:$L,$A330,allorders!$AG:$AG,"&lt;="&amp;日期!$B$11,allorders!$AG:$AG,"&gt;="&amp;日期!$B$12,allorders!Q:Q,"&lt;&gt;"&amp;"",allorders!N:N,"Shipped")</f>
        <v>0</v>
      </c>
      <c r="G330" t="e">
        <f>SUMIFS(allorders!Q:Q,allorders!L:L,A330,allorders!AG:AG,"&lt;="&amp;日期!$B$5,allorders!AG:AG,"&gt;="&amp;日期!$B$12,allorders!N:N,"Shipped")/SUM(C330:F330)</f>
        <v>#DIV/0!</v>
      </c>
      <c r="H330">
        <f>SUMIFS(allorders!Q:Q,allorders!L:L,A330,allorders!AG:AG,"&gt;="&amp;日期!$B$12,allorders!AG:AG,"&lt;="&amp;日期!$B$5,allorders!N:N,"Shipped")</f>
        <v>0</v>
      </c>
      <c r="I330">
        <f t="shared" si="5"/>
        <v>0</v>
      </c>
    </row>
    <row r="331" spans="1:9">
      <c r="A331" s="7" t="s">
        <v>4169</v>
      </c>
      <c r="B331" t="str">
        <f>VLOOKUP(A331,'[1]子sku-父sku'!$A$1:$B$65536,2,0)</f>
        <v>YZ-HMBKN30</v>
      </c>
      <c r="C331">
        <f>SUMIFS(allorders!O:O,allorders!L:L,$A331,allorders!AG:AG,"&lt;="&amp;日期!$B$5,allorders!AG:AG,"&gt;="&amp;日期!$B$6,allorders!Q:Q,"&lt;&gt;"&amp;"",allorders!N:N,"Shipped")</f>
        <v>0</v>
      </c>
      <c r="D331">
        <f>SUMIFS(allorders!$O:$O,allorders!$L:$L,$A331,allorders!$AG:$AG,"&lt;="&amp;日期!$B$7,allorders!$AG:$AG,"&gt;="&amp;日期!$B$8,allorders!Q:Q,"&lt;&gt;"&amp;"",allorders!N:N,"Shipped")</f>
        <v>0</v>
      </c>
      <c r="E331">
        <f>SUMIFS(allorders!$O:$O,allorders!$L:$L,$A331,allorders!$AG:$AG,"&lt;="&amp;日期!$B$9,allorders!$AG:$AG,"&gt;="&amp;日期!$B$10,allorders!Q:Q,"&lt;&gt;"&amp;"",allorders!N:N,"Shipped")</f>
        <v>0</v>
      </c>
      <c r="F331">
        <f>SUMIFS(allorders!$O:$O,allorders!$L:$L,$A331,allorders!$AG:$AG,"&lt;="&amp;日期!$B$11,allorders!$AG:$AG,"&gt;="&amp;日期!$B$12,allorders!Q:Q,"&lt;&gt;"&amp;"",allorders!N:N,"Shipped")</f>
        <v>0</v>
      </c>
      <c r="G331" t="e">
        <f>SUMIFS(allorders!Q:Q,allorders!L:L,A331,allorders!AG:AG,"&lt;="&amp;日期!$B$5,allorders!AG:AG,"&gt;="&amp;日期!$B$12,allorders!N:N,"Shipped")/SUM(C331:F331)</f>
        <v>#DIV/0!</v>
      </c>
      <c r="H331">
        <f>SUMIFS(allorders!Q:Q,allorders!L:L,A331,allorders!AG:AG,"&gt;="&amp;日期!$B$12,allorders!AG:AG,"&lt;="&amp;日期!$B$5,allorders!N:N,"Shipped")</f>
        <v>0</v>
      </c>
      <c r="I331">
        <f t="shared" si="5"/>
        <v>0</v>
      </c>
    </row>
    <row r="332" spans="1:9">
      <c r="A332" s="7" t="s">
        <v>4176</v>
      </c>
      <c r="B332" t="str">
        <f>VLOOKUP(A332,'[1]子sku-父sku'!$A$1:$B$65536,2,0)</f>
        <v>YZ-HMBKN30</v>
      </c>
      <c r="C332">
        <f>SUMIFS(allorders!O:O,allorders!L:L,$A332,allorders!AG:AG,"&lt;="&amp;日期!$B$5,allorders!AG:AG,"&gt;="&amp;日期!$B$6,allorders!Q:Q,"&lt;&gt;"&amp;"",allorders!N:N,"Shipped")</f>
        <v>0</v>
      </c>
      <c r="D332">
        <f>SUMIFS(allorders!$O:$O,allorders!$L:$L,$A332,allorders!$AG:$AG,"&lt;="&amp;日期!$B$7,allorders!$AG:$AG,"&gt;="&amp;日期!$B$8,allorders!Q:Q,"&lt;&gt;"&amp;"",allorders!N:N,"Shipped")</f>
        <v>0</v>
      </c>
      <c r="E332">
        <f>SUMIFS(allorders!$O:$O,allorders!$L:$L,$A332,allorders!$AG:$AG,"&lt;="&amp;日期!$B$9,allorders!$AG:$AG,"&gt;="&amp;日期!$B$10,allorders!Q:Q,"&lt;&gt;"&amp;"",allorders!N:N,"Shipped")</f>
        <v>0</v>
      </c>
      <c r="F332">
        <f>SUMIFS(allorders!$O:$O,allorders!$L:$L,$A332,allorders!$AG:$AG,"&lt;="&amp;日期!$B$11,allorders!$AG:$AG,"&gt;="&amp;日期!$B$12,allorders!Q:Q,"&lt;&gt;"&amp;"",allorders!N:N,"Shipped")</f>
        <v>0</v>
      </c>
      <c r="G332" t="e">
        <f>SUMIFS(allorders!Q:Q,allorders!L:L,A332,allorders!AG:AG,"&lt;="&amp;日期!$B$5,allorders!AG:AG,"&gt;="&amp;日期!$B$12,allorders!N:N,"Shipped")/SUM(C332:F332)</f>
        <v>#DIV/0!</v>
      </c>
      <c r="H332">
        <f>SUMIFS(allorders!Q:Q,allorders!L:L,A332,allorders!AG:AG,"&gt;="&amp;日期!$B$12,allorders!AG:AG,"&lt;="&amp;日期!$B$5,allorders!N:N,"Shipped")</f>
        <v>0</v>
      </c>
      <c r="I332">
        <f t="shared" si="5"/>
        <v>0</v>
      </c>
    </row>
    <row r="333" spans="1:9">
      <c r="A333" s="7" t="s">
        <v>4182</v>
      </c>
      <c r="B333" t="str">
        <f>VLOOKUP(A333,'[1]子sku-父sku'!$A$1:$B$65536,2,0)</f>
        <v>YZ-HMBKN30</v>
      </c>
      <c r="C333">
        <f>SUMIFS(allorders!O:O,allorders!L:L,$A333,allorders!AG:AG,"&lt;="&amp;日期!$B$5,allorders!AG:AG,"&gt;="&amp;日期!$B$6,allorders!Q:Q,"&lt;&gt;"&amp;"",allorders!N:N,"Shipped")</f>
        <v>0</v>
      </c>
      <c r="D333">
        <f>SUMIFS(allorders!$O:$O,allorders!$L:$L,$A333,allorders!$AG:$AG,"&lt;="&amp;日期!$B$7,allorders!$AG:$AG,"&gt;="&amp;日期!$B$8,allorders!Q:Q,"&lt;&gt;"&amp;"",allorders!N:N,"Shipped")</f>
        <v>0</v>
      </c>
      <c r="E333">
        <f>SUMIFS(allorders!$O:$O,allorders!$L:$L,$A333,allorders!$AG:$AG,"&lt;="&amp;日期!$B$9,allorders!$AG:$AG,"&gt;="&amp;日期!$B$10,allorders!Q:Q,"&lt;&gt;"&amp;"",allorders!N:N,"Shipped")</f>
        <v>0</v>
      </c>
      <c r="F333">
        <f>SUMIFS(allorders!$O:$O,allorders!$L:$L,$A333,allorders!$AG:$AG,"&lt;="&amp;日期!$B$11,allorders!$AG:$AG,"&gt;="&amp;日期!$B$12,allorders!Q:Q,"&lt;&gt;"&amp;"",allorders!N:N,"Shipped")</f>
        <v>0</v>
      </c>
      <c r="G333" t="e">
        <f>SUMIFS(allorders!Q:Q,allorders!L:L,A333,allorders!AG:AG,"&lt;="&amp;日期!$B$5,allorders!AG:AG,"&gt;="&amp;日期!$B$12,allorders!N:N,"Shipped")/SUM(C333:F333)</f>
        <v>#DIV/0!</v>
      </c>
      <c r="H333">
        <f>SUMIFS(allorders!Q:Q,allorders!L:L,A333,allorders!AG:AG,"&gt;="&amp;日期!$B$12,allorders!AG:AG,"&lt;="&amp;日期!$B$5,allorders!N:N,"Shipped")</f>
        <v>0</v>
      </c>
      <c r="I333">
        <f t="shared" si="5"/>
        <v>0</v>
      </c>
    </row>
    <row r="334" spans="1:9">
      <c r="A334" s="7" t="s">
        <v>4188</v>
      </c>
      <c r="B334" t="str">
        <f>VLOOKUP(A334,'[1]子sku-父sku'!$A$1:$B$65536,2,0)</f>
        <v>YZ-HMBKN30</v>
      </c>
      <c r="C334">
        <f>SUMIFS(allorders!O:O,allorders!L:L,$A334,allorders!AG:AG,"&lt;="&amp;日期!$B$5,allorders!AG:AG,"&gt;="&amp;日期!$B$6,allorders!Q:Q,"&lt;&gt;"&amp;"",allorders!N:N,"Shipped")</f>
        <v>0</v>
      </c>
      <c r="D334">
        <f>SUMIFS(allorders!$O:$O,allorders!$L:$L,$A334,allorders!$AG:$AG,"&lt;="&amp;日期!$B$7,allorders!$AG:$AG,"&gt;="&amp;日期!$B$8,allorders!Q:Q,"&lt;&gt;"&amp;"",allorders!N:N,"Shipped")</f>
        <v>0</v>
      </c>
      <c r="E334">
        <f>SUMIFS(allorders!$O:$O,allorders!$L:$L,$A334,allorders!$AG:$AG,"&lt;="&amp;日期!$B$9,allorders!$AG:$AG,"&gt;="&amp;日期!$B$10,allorders!Q:Q,"&lt;&gt;"&amp;"",allorders!N:N,"Shipped")</f>
        <v>0</v>
      </c>
      <c r="F334">
        <f>SUMIFS(allorders!$O:$O,allorders!$L:$L,$A334,allorders!$AG:$AG,"&lt;="&amp;日期!$B$11,allorders!$AG:$AG,"&gt;="&amp;日期!$B$12,allorders!Q:Q,"&lt;&gt;"&amp;"",allorders!N:N,"Shipped")</f>
        <v>0</v>
      </c>
      <c r="G334" t="e">
        <f>SUMIFS(allorders!Q:Q,allorders!L:L,A334,allorders!AG:AG,"&lt;="&amp;日期!$B$5,allorders!AG:AG,"&gt;="&amp;日期!$B$12,allorders!N:N,"Shipped")/SUM(C334:F334)</f>
        <v>#DIV/0!</v>
      </c>
      <c r="H334">
        <f>SUMIFS(allorders!Q:Q,allorders!L:L,A334,allorders!AG:AG,"&gt;="&amp;日期!$B$12,allorders!AG:AG,"&lt;="&amp;日期!$B$5,allorders!N:N,"Shipped")</f>
        <v>0</v>
      </c>
      <c r="I334">
        <f t="shared" si="5"/>
        <v>0</v>
      </c>
    </row>
    <row r="335" spans="1:9">
      <c r="A335" s="7" t="s">
        <v>4194</v>
      </c>
      <c r="B335" t="str">
        <f>VLOOKUP(A335,'[1]子sku-父sku'!$A$1:$B$65536,2,0)</f>
        <v>YZ-HMBKN30</v>
      </c>
      <c r="C335">
        <f>SUMIFS(allorders!O:O,allorders!L:L,$A335,allorders!AG:AG,"&lt;="&amp;日期!$B$5,allorders!AG:AG,"&gt;="&amp;日期!$B$6,allorders!Q:Q,"&lt;&gt;"&amp;"",allorders!N:N,"Shipped")</f>
        <v>0</v>
      </c>
      <c r="D335">
        <f>SUMIFS(allorders!$O:$O,allorders!$L:$L,$A335,allorders!$AG:$AG,"&lt;="&amp;日期!$B$7,allorders!$AG:$AG,"&gt;="&amp;日期!$B$8,allorders!Q:Q,"&lt;&gt;"&amp;"",allorders!N:N,"Shipped")</f>
        <v>0</v>
      </c>
      <c r="E335">
        <f>SUMIFS(allorders!$O:$O,allorders!$L:$L,$A335,allorders!$AG:$AG,"&lt;="&amp;日期!$B$9,allorders!$AG:$AG,"&gt;="&amp;日期!$B$10,allorders!Q:Q,"&lt;&gt;"&amp;"",allorders!N:N,"Shipped")</f>
        <v>0</v>
      </c>
      <c r="F335">
        <f>SUMIFS(allorders!$O:$O,allorders!$L:$L,$A335,allorders!$AG:$AG,"&lt;="&amp;日期!$B$11,allorders!$AG:$AG,"&gt;="&amp;日期!$B$12,allorders!Q:Q,"&lt;&gt;"&amp;"",allorders!N:N,"Shipped")</f>
        <v>0</v>
      </c>
      <c r="G335" t="e">
        <f>SUMIFS(allorders!Q:Q,allorders!L:L,A335,allorders!AG:AG,"&lt;="&amp;日期!$B$5,allorders!AG:AG,"&gt;="&amp;日期!$B$12,allorders!N:N,"Shipped")/SUM(C335:F335)</f>
        <v>#DIV/0!</v>
      </c>
      <c r="H335">
        <f>SUMIFS(allorders!Q:Q,allorders!L:L,A335,allorders!AG:AG,"&gt;="&amp;日期!$B$12,allorders!AG:AG,"&lt;="&amp;日期!$B$5,allorders!N:N,"Shipped")</f>
        <v>0</v>
      </c>
      <c r="I335">
        <f t="shared" si="5"/>
        <v>0</v>
      </c>
    </row>
    <row r="336" spans="1:9">
      <c r="A336" s="7" t="s">
        <v>4200</v>
      </c>
      <c r="B336" t="str">
        <f>VLOOKUP(A336,'[1]子sku-父sku'!$A$1:$B$65536,2,0)</f>
        <v>YZ-HMBKN30</v>
      </c>
      <c r="C336">
        <f>SUMIFS(allorders!O:O,allorders!L:L,$A336,allorders!AG:AG,"&lt;="&amp;日期!$B$5,allorders!AG:AG,"&gt;="&amp;日期!$B$6,allorders!Q:Q,"&lt;&gt;"&amp;"",allorders!N:N,"Shipped")</f>
        <v>0</v>
      </c>
      <c r="D336">
        <f>SUMIFS(allorders!$O:$O,allorders!$L:$L,$A336,allorders!$AG:$AG,"&lt;="&amp;日期!$B$7,allorders!$AG:$AG,"&gt;="&amp;日期!$B$8,allorders!Q:Q,"&lt;&gt;"&amp;"",allorders!N:N,"Shipped")</f>
        <v>0</v>
      </c>
      <c r="E336">
        <f>SUMIFS(allorders!$O:$O,allorders!$L:$L,$A336,allorders!$AG:$AG,"&lt;="&amp;日期!$B$9,allorders!$AG:$AG,"&gt;="&amp;日期!$B$10,allorders!Q:Q,"&lt;&gt;"&amp;"",allorders!N:N,"Shipped")</f>
        <v>0</v>
      </c>
      <c r="F336">
        <f>SUMIFS(allorders!$O:$O,allorders!$L:$L,$A336,allorders!$AG:$AG,"&lt;="&amp;日期!$B$11,allorders!$AG:$AG,"&gt;="&amp;日期!$B$12,allorders!Q:Q,"&lt;&gt;"&amp;"",allorders!N:N,"Shipped")</f>
        <v>0</v>
      </c>
      <c r="G336" t="e">
        <f>SUMIFS(allorders!Q:Q,allorders!L:L,A336,allorders!AG:AG,"&lt;="&amp;日期!$B$5,allorders!AG:AG,"&gt;="&amp;日期!$B$12,allorders!N:N,"Shipped")/SUM(C336:F336)</f>
        <v>#DIV/0!</v>
      </c>
      <c r="H336">
        <f>SUMIFS(allorders!Q:Q,allorders!L:L,A336,allorders!AG:AG,"&gt;="&amp;日期!$B$12,allorders!AG:AG,"&lt;="&amp;日期!$B$5,allorders!N:N,"Shipped")</f>
        <v>0</v>
      </c>
      <c r="I336">
        <f t="shared" si="5"/>
        <v>0</v>
      </c>
    </row>
    <row r="337" spans="1:9">
      <c r="A337" s="7" t="s">
        <v>4206</v>
      </c>
      <c r="B337" t="str">
        <f>VLOOKUP(A337,'[1]子sku-父sku'!$A$1:$B$65536,2,0)</f>
        <v>YZ-HMBKN30</v>
      </c>
      <c r="C337">
        <f>SUMIFS(allorders!O:O,allorders!L:L,$A337,allorders!AG:AG,"&lt;="&amp;日期!$B$5,allorders!AG:AG,"&gt;="&amp;日期!$B$6,allorders!Q:Q,"&lt;&gt;"&amp;"",allorders!N:N,"Shipped")</f>
        <v>0</v>
      </c>
      <c r="D337">
        <f>SUMIFS(allorders!$O:$O,allorders!$L:$L,$A337,allorders!$AG:$AG,"&lt;="&amp;日期!$B$7,allorders!$AG:$AG,"&gt;="&amp;日期!$B$8,allorders!Q:Q,"&lt;&gt;"&amp;"",allorders!N:N,"Shipped")</f>
        <v>0</v>
      </c>
      <c r="E337">
        <f>SUMIFS(allorders!$O:$O,allorders!$L:$L,$A337,allorders!$AG:$AG,"&lt;="&amp;日期!$B$9,allorders!$AG:$AG,"&gt;="&amp;日期!$B$10,allorders!Q:Q,"&lt;&gt;"&amp;"",allorders!N:N,"Shipped")</f>
        <v>0</v>
      </c>
      <c r="F337">
        <f>SUMIFS(allorders!$O:$O,allorders!$L:$L,$A337,allorders!$AG:$AG,"&lt;="&amp;日期!$B$11,allorders!$AG:$AG,"&gt;="&amp;日期!$B$12,allorders!Q:Q,"&lt;&gt;"&amp;"",allorders!N:N,"Shipped")</f>
        <v>0</v>
      </c>
      <c r="G337" t="e">
        <f>SUMIFS(allorders!Q:Q,allorders!L:L,A337,allorders!AG:AG,"&lt;="&amp;日期!$B$5,allorders!AG:AG,"&gt;="&amp;日期!$B$12,allorders!N:N,"Shipped")/SUM(C337:F337)</f>
        <v>#DIV/0!</v>
      </c>
      <c r="H337">
        <f>SUMIFS(allorders!Q:Q,allorders!L:L,A337,allorders!AG:AG,"&gt;="&amp;日期!$B$12,allorders!AG:AG,"&lt;="&amp;日期!$B$5,allorders!N:N,"Shipped")</f>
        <v>0</v>
      </c>
      <c r="I337">
        <f t="shared" si="5"/>
        <v>0</v>
      </c>
    </row>
    <row r="338" spans="1:9">
      <c r="A338" s="7" t="s">
        <v>4212</v>
      </c>
      <c r="B338" t="str">
        <f>VLOOKUP(A338,'[1]子sku-父sku'!$A$1:$B$65536,2,0)</f>
        <v>YZ-HMBKN30</v>
      </c>
      <c r="C338">
        <f>SUMIFS(allorders!O:O,allorders!L:L,$A338,allorders!AG:AG,"&lt;="&amp;日期!$B$5,allorders!AG:AG,"&gt;="&amp;日期!$B$6,allorders!Q:Q,"&lt;&gt;"&amp;"",allorders!N:N,"Shipped")</f>
        <v>0</v>
      </c>
      <c r="D338">
        <f>SUMIFS(allorders!$O:$O,allorders!$L:$L,$A338,allorders!$AG:$AG,"&lt;="&amp;日期!$B$7,allorders!$AG:$AG,"&gt;="&amp;日期!$B$8,allorders!Q:Q,"&lt;&gt;"&amp;"",allorders!N:N,"Shipped")</f>
        <v>0</v>
      </c>
      <c r="E338">
        <f>SUMIFS(allorders!$O:$O,allorders!$L:$L,$A338,allorders!$AG:$AG,"&lt;="&amp;日期!$B$9,allorders!$AG:$AG,"&gt;="&amp;日期!$B$10,allorders!Q:Q,"&lt;&gt;"&amp;"",allorders!N:N,"Shipped")</f>
        <v>0</v>
      </c>
      <c r="F338">
        <f>SUMIFS(allorders!$O:$O,allorders!$L:$L,$A338,allorders!$AG:$AG,"&lt;="&amp;日期!$B$11,allorders!$AG:$AG,"&gt;="&amp;日期!$B$12,allorders!Q:Q,"&lt;&gt;"&amp;"",allorders!N:N,"Shipped")</f>
        <v>0</v>
      </c>
      <c r="G338" t="e">
        <f>SUMIFS(allorders!Q:Q,allorders!L:L,A338,allorders!AG:AG,"&lt;="&amp;日期!$B$5,allorders!AG:AG,"&gt;="&amp;日期!$B$12,allorders!N:N,"Shipped")/SUM(C338:F338)</f>
        <v>#DIV/0!</v>
      </c>
      <c r="H338">
        <f>SUMIFS(allorders!Q:Q,allorders!L:L,A338,allorders!AG:AG,"&gt;="&amp;日期!$B$12,allorders!AG:AG,"&lt;="&amp;日期!$B$5,allorders!N:N,"Shipped")</f>
        <v>0</v>
      </c>
      <c r="I338">
        <f t="shared" si="5"/>
        <v>0</v>
      </c>
    </row>
    <row r="339" spans="1:9">
      <c r="A339" s="7" t="s">
        <v>4218</v>
      </c>
      <c r="B339" t="str">
        <f>VLOOKUP(A339,'[1]子sku-父sku'!$A$1:$B$65536,2,0)</f>
        <v>YZ-HMBKN30</v>
      </c>
      <c r="C339">
        <f>SUMIFS(allorders!O:O,allorders!L:L,$A339,allorders!AG:AG,"&lt;="&amp;日期!$B$5,allorders!AG:AG,"&gt;="&amp;日期!$B$6,allorders!Q:Q,"&lt;&gt;"&amp;"",allorders!N:N,"Shipped")</f>
        <v>0</v>
      </c>
      <c r="D339">
        <f>SUMIFS(allorders!$O:$O,allorders!$L:$L,$A339,allorders!$AG:$AG,"&lt;="&amp;日期!$B$7,allorders!$AG:$AG,"&gt;="&amp;日期!$B$8,allorders!Q:Q,"&lt;&gt;"&amp;"",allorders!N:N,"Shipped")</f>
        <v>0</v>
      </c>
      <c r="E339">
        <f>SUMIFS(allorders!$O:$O,allorders!$L:$L,$A339,allorders!$AG:$AG,"&lt;="&amp;日期!$B$9,allorders!$AG:$AG,"&gt;="&amp;日期!$B$10,allorders!Q:Q,"&lt;&gt;"&amp;"",allorders!N:N,"Shipped")</f>
        <v>0</v>
      </c>
      <c r="F339">
        <f>SUMIFS(allorders!$O:$O,allorders!$L:$L,$A339,allorders!$AG:$AG,"&lt;="&amp;日期!$B$11,allorders!$AG:$AG,"&gt;="&amp;日期!$B$12,allorders!Q:Q,"&lt;&gt;"&amp;"",allorders!N:N,"Shipped")</f>
        <v>0</v>
      </c>
      <c r="G339" t="e">
        <f>SUMIFS(allorders!Q:Q,allorders!L:L,A339,allorders!AG:AG,"&lt;="&amp;日期!$B$5,allorders!AG:AG,"&gt;="&amp;日期!$B$12,allorders!N:N,"Shipped")/SUM(C339:F339)</f>
        <v>#DIV/0!</v>
      </c>
      <c r="H339">
        <f>SUMIFS(allorders!Q:Q,allorders!L:L,A339,allorders!AG:AG,"&gt;="&amp;日期!$B$12,allorders!AG:AG,"&lt;="&amp;日期!$B$5,allorders!N:N,"Shipped")</f>
        <v>0</v>
      </c>
      <c r="I339">
        <f t="shared" si="5"/>
        <v>0</v>
      </c>
    </row>
    <row r="340" spans="1:9">
      <c r="A340" s="7" t="s">
        <v>4224</v>
      </c>
      <c r="B340" t="str">
        <f>VLOOKUP(A340,'[1]子sku-父sku'!$A$1:$B$65536,2,0)</f>
        <v>YZ-HMBKN30</v>
      </c>
      <c r="C340">
        <f>SUMIFS(allorders!O:O,allorders!L:L,$A340,allorders!AG:AG,"&lt;="&amp;日期!$B$5,allorders!AG:AG,"&gt;="&amp;日期!$B$6,allorders!Q:Q,"&lt;&gt;"&amp;"",allorders!N:N,"Shipped")</f>
        <v>0</v>
      </c>
      <c r="D340">
        <f>SUMIFS(allorders!$O:$O,allorders!$L:$L,$A340,allorders!$AG:$AG,"&lt;="&amp;日期!$B$7,allorders!$AG:$AG,"&gt;="&amp;日期!$B$8,allorders!Q:Q,"&lt;&gt;"&amp;"",allorders!N:N,"Shipped")</f>
        <v>0</v>
      </c>
      <c r="E340">
        <f>SUMIFS(allorders!$O:$O,allorders!$L:$L,$A340,allorders!$AG:$AG,"&lt;="&amp;日期!$B$9,allorders!$AG:$AG,"&gt;="&amp;日期!$B$10,allorders!Q:Q,"&lt;&gt;"&amp;"",allorders!N:N,"Shipped")</f>
        <v>0</v>
      </c>
      <c r="F340">
        <f>SUMIFS(allorders!$O:$O,allorders!$L:$L,$A340,allorders!$AG:$AG,"&lt;="&amp;日期!$B$11,allorders!$AG:$AG,"&gt;="&amp;日期!$B$12,allorders!Q:Q,"&lt;&gt;"&amp;"",allorders!N:N,"Shipped")</f>
        <v>0</v>
      </c>
      <c r="G340" t="e">
        <f>SUMIFS(allorders!Q:Q,allorders!L:L,A340,allorders!AG:AG,"&lt;="&amp;日期!$B$5,allorders!AG:AG,"&gt;="&amp;日期!$B$12,allorders!N:N,"Shipped")/SUM(C340:F340)</f>
        <v>#DIV/0!</v>
      </c>
      <c r="H340">
        <f>SUMIFS(allorders!Q:Q,allorders!L:L,A340,allorders!AG:AG,"&gt;="&amp;日期!$B$12,allorders!AG:AG,"&lt;="&amp;日期!$B$5,allorders!N:N,"Shipped")</f>
        <v>0</v>
      </c>
      <c r="I340">
        <f t="shared" si="5"/>
        <v>0</v>
      </c>
    </row>
    <row r="341" spans="1:9">
      <c r="A341" s="7" t="s">
        <v>4230</v>
      </c>
      <c r="B341" t="str">
        <f>VLOOKUP(A341,'[1]子sku-父sku'!$A$1:$B$65536,2,0)</f>
        <v>YZ-HMBKN30</v>
      </c>
      <c r="C341">
        <f>SUMIFS(allorders!O:O,allorders!L:L,$A341,allorders!AG:AG,"&lt;="&amp;日期!$B$5,allorders!AG:AG,"&gt;="&amp;日期!$B$6,allorders!Q:Q,"&lt;&gt;"&amp;"",allorders!N:N,"Shipped")</f>
        <v>0</v>
      </c>
      <c r="D341">
        <f>SUMIFS(allorders!$O:$O,allorders!$L:$L,$A341,allorders!$AG:$AG,"&lt;="&amp;日期!$B$7,allorders!$AG:$AG,"&gt;="&amp;日期!$B$8,allorders!Q:Q,"&lt;&gt;"&amp;"",allorders!N:N,"Shipped")</f>
        <v>0</v>
      </c>
      <c r="E341">
        <f>SUMIFS(allorders!$O:$O,allorders!$L:$L,$A341,allorders!$AG:$AG,"&lt;="&amp;日期!$B$9,allorders!$AG:$AG,"&gt;="&amp;日期!$B$10,allorders!Q:Q,"&lt;&gt;"&amp;"",allorders!N:N,"Shipped")</f>
        <v>0</v>
      </c>
      <c r="F341">
        <f>SUMIFS(allorders!$O:$O,allorders!$L:$L,$A341,allorders!$AG:$AG,"&lt;="&amp;日期!$B$11,allorders!$AG:$AG,"&gt;="&amp;日期!$B$12,allorders!Q:Q,"&lt;&gt;"&amp;"",allorders!N:N,"Shipped")</f>
        <v>0</v>
      </c>
      <c r="G341" t="e">
        <f>SUMIFS(allorders!Q:Q,allorders!L:L,A341,allorders!AG:AG,"&lt;="&amp;日期!$B$5,allorders!AG:AG,"&gt;="&amp;日期!$B$12,allorders!N:N,"Shipped")/SUM(C341:F341)</f>
        <v>#DIV/0!</v>
      </c>
      <c r="H341">
        <f>SUMIFS(allorders!Q:Q,allorders!L:L,A341,allorders!AG:AG,"&gt;="&amp;日期!$B$12,allorders!AG:AG,"&lt;="&amp;日期!$B$5,allorders!N:N,"Shipped")</f>
        <v>0</v>
      </c>
      <c r="I341">
        <f t="shared" si="5"/>
        <v>0</v>
      </c>
    </row>
    <row r="342" spans="1:9">
      <c r="A342" s="7" t="s">
        <v>4236</v>
      </c>
      <c r="B342" t="str">
        <f>VLOOKUP(A342,'[1]子sku-父sku'!$A$1:$B$65536,2,0)</f>
        <v>YZ-HMBKN30</v>
      </c>
      <c r="C342">
        <f>SUMIFS(allorders!O:O,allorders!L:L,$A342,allorders!AG:AG,"&lt;="&amp;日期!$B$5,allorders!AG:AG,"&gt;="&amp;日期!$B$6,allorders!Q:Q,"&lt;&gt;"&amp;"",allorders!N:N,"Shipped")</f>
        <v>0</v>
      </c>
      <c r="D342">
        <f>SUMIFS(allorders!$O:$O,allorders!$L:$L,$A342,allorders!$AG:$AG,"&lt;="&amp;日期!$B$7,allorders!$AG:$AG,"&gt;="&amp;日期!$B$8,allorders!Q:Q,"&lt;&gt;"&amp;"",allorders!N:N,"Shipped")</f>
        <v>0</v>
      </c>
      <c r="E342">
        <f>SUMIFS(allorders!$O:$O,allorders!$L:$L,$A342,allorders!$AG:$AG,"&lt;="&amp;日期!$B$9,allorders!$AG:$AG,"&gt;="&amp;日期!$B$10,allorders!Q:Q,"&lt;&gt;"&amp;"",allorders!N:N,"Shipped")</f>
        <v>0</v>
      </c>
      <c r="F342">
        <f>SUMIFS(allorders!$O:$O,allorders!$L:$L,$A342,allorders!$AG:$AG,"&lt;="&amp;日期!$B$11,allorders!$AG:$AG,"&gt;="&amp;日期!$B$12,allorders!Q:Q,"&lt;&gt;"&amp;"",allorders!N:N,"Shipped")</f>
        <v>0</v>
      </c>
      <c r="G342" t="e">
        <f>SUMIFS(allorders!Q:Q,allorders!L:L,A342,allorders!AG:AG,"&lt;="&amp;日期!$B$5,allorders!AG:AG,"&gt;="&amp;日期!$B$12,allorders!N:N,"Shipped")/SUM(C342:F342)</f>
        <v>#DIV/0!</v>
      </c>
      <c r="H342">
        <f>SUMIFS(allorders!Q:Q,allorders!L:L,A342,allorders!AG:AG,"&gt;="&amp;日期!$B$12,allorders!AG:AG,"&lt;="&amp;日期!$B$5,allorders!N:N,"Shipped")</f>
        <v>0</v>
      </c>
      <c r="I342">
        <f t="shared" si="5"/>
        <v>0</v>
      </c>
    </row>
    <row r="343" spans="1:9">
      <c r="A343" s="7" t="s">
        <v>4242</v>
      </c>
      <c r="B343" t="str">
        <f>VLOOKUP(A343,'[1]子sku-父sku'!$A$1:$B$65536,2,0)</f>
        <v>YZ-HMBKN30</v>
      </c>
      <c r="C343">
        <f>SUMIFS(allorders!O:O,allorders!L:L,$A343,allorders!AG:AG,"&lt;="&amp;日期!$B$5,allorders!AG:AG,"&gt;="&amp;日期!$B$6,allorders!Q:Q,"&lt;&gt;"&amp;"",allorders!N:N,"Shipped")</f>
        <v>0</v>
      </c>
      <c r="D343">
        <f>SUMIFS(allorders!$O:$O,allorders!$L:$L,$A343,allorders!$AG:$AG,"&lt;="&amp;日期!$B$7,allorders!$AG:$AG,"&gt;="&amp;日期!$B$8,allorders!Q:Q,"&lt;&gt;"&amp;"",allorders!N:N,"Shipped")</f>
        <v>0</v>
      </c>
      <c r="E343">
        <f>SUMIFS(allorders!$O:$O,allorders!$L:$L,$A343,allorders!$AG:$AG,"&lt;="&amp;日期!$B$9,allorders!$AG:$AG,"&gt;="&amp;日期!$B$10,allorders!Q:Q,"&lt;&gt;"&amp;"",allorders!N:N,"Shipped")</f>
        <v>0</v>
      </c>
      <c r="F343">
        <f>SUMIFS(allorders!$O:$O,allorders!$L:$L,$A343,allorders!$AG:$AG,"&lt;="&amp;日期!$B$11,allorders!$AG:$AG,"&gt;="&amp;日期!$B$12,allorders!Q:Q,"&lt;&gt;"&amp;"",allorders!N:N,"Shipped")</f>
        <v>0</v>
      </c>
      <c r="G343" t="e">
        <f>SUMIFS(allorders!Q:Q,allorders!L:L,A343,allorders!AG:AG,"&lt;="&amp;日期!$B$5,allorders!AG:AG,"&gt;="&amp;日期!$B$12,allorders!N:N,"Shipped")/SUM(C343:F343)</f>
        <v>#DIV/0!</v>
      </c>
      <c r="H343">
        <f>SUMIFS(allorders!Q:Q,allorders!L:L,A343,allorders!AG:AG,"&gt;="&amp;日期!$B$12,allorders!AG:AG,"&lt;="&amp;日期!$B$5,allorders!N:N,"Shipped")</f>
        <v>0</v>
      </c>
      <c r="I343">
        <f t="shared" si="5"/>
        <v>0</v>
      </c>
    </row>
    <row r="344" spans="1:9">
      <c r="A344" s="7" t="s">
        <v>4248</v>
      </c>
      <c r="B344" t="str">
        <f>VLOOKUP(A344,'[1]子sku-父sku'!$A$1:$B$65536,2,0)</f>
        <v>YZ-HMBKN30</v>
      </c>
      <c r="C344">
        <f>SUMIFS(allorders!O:O,allorders!L:L,$A344,allorders!AG:AG,"&lt;="&amp;日期!$B$5,allorders!AG:AG,"&gt;="&amp;日期!$B$6,allorders!Q:Q,"&lt;&gt;"&amp;"",allorders!N:N,"Shipped")</f>
        <v>0</v>
      </c>
      <c r="D344">
        <f>SUMIFS(allorders!$O:$O,allorders!$L:$L,$A344,allorders!$AG:$AG,"&lt;="&amp;日期!$B$7,allorders!$AG:$AG,"&gt;="&amp;日期!$B$8,allorders!Q:Q,"&lt;&gt;"&amp;"",allorders!N:N,"Shipped")</f>
        <v>0</v>
      </c>
      <c r="E344">
        <f>SUMIFS(allorders!$O:$O,allorders!$L:$L,$A344,allorders!$AG:$AG,"&lt;="&amp;日期!$B$9,allorders!$AG:$AG,"&gt;="&amp;日期!$B$10,allorders!Q:Q,"&lt;&gt;"&amp;"",allorders!N:N,"Shipped")</f>
        <v>0</v>
      </c>
      <c r="F344">
        <f>SUMIFS(allorders!$O:$O,allorders!$L:$L,$A344,allorders!$AG:$AG,"&lt;="&amp;日期!$B$11,allorders!$AG:$AG,"&gt;="&amp;日期!$B$12,allorders!Q:Q,"&lt;&gt;"&amp;"",allorders!N:N,"Shipped")</f>
        <v>0</v>
      </c>
      <c r="G344" t="e">
        <f>SUMIFS(allorders!Q:Q,allorders!L:L,A344,allorders!AG:AG,"&lt;="&amp;日期!$B$5,allorders!AG:AG,"&gt;="&amp;日期!$B$12,allorders!N:N,"Shipped")/SUM(C344:F344)</f>
        <v>#DIV/0!</v>
      </c>
      <c r="H344">
        <f>SUMIFS(allorders!Q:Q,allorders!L:L,A344,allorders!AG:AG,"&gt;="&amp;日期!$B$12,allorders!AG:AG,"&lt;="&amp;日期!$B$5,allorders!N:N,"Shipped")</f>
        <v>0</v>
      </c>
      <c r="I344">
        <f t="shared" si="5"/>
        <v>0</v>
      </c>
    </row>
    <row r="345" spans="1:9">
      <c r="A345" s="7" t="s">
        <v>4254</v>
      </c>
      <c r="B345" t="str">
        <f>VLOOKUP(A345,'[1]子sku-父sku'!$A$1:$B$65536,2,0)</f>
        <v>YZ-HMBKN30</v>
      </c>
      <c r="C345">
        <f>SUMIFS(allorders!O:O,allorders!L:L,$A345,allorders!AG:AG,"&lt;="&amp;日期!$B$5,allorders!AG:AG,"&gt;="&amp;日期!$B$6,allorders!Q:Q,"&lt;&gt;"&amp;"",allorders!N:N,"Shipped")</f>
        <v>0</v>
      </c>
      <c r="D345">
        <f>SUMIFS(allorders!$O:$O,allorders!$L:$L,$A345,allorders!$AG:$AG,"&lt;="&amp;日期!$B$7,allorders!$AG:$AG,"&gt;="&amp;日期!$B$8,allorders!Q:Q,"&lt;&gt;"&amp;"",allorders!N:N,"Shipped")</f>
        <v>0</v>
      </c>
      <c r="E345">
        <f>SUMIFS(allorders!$O:$O,allorders!$L:$L,$A345,allorders!$AG:$AG,"&lt;="&amp;日期!$B$9,allorders!$AG:$AG,"&gt;="&amp;日期!$B$10,allorders!Q:Q,"&lt;&gt;"&amp;"",allorders!N:N,"Shipped")</f>
        <v>0</v>
      </c>
      <c r="F345">
        <f>SUMIFS(allorders!$O:$O,allorders!$L:$L,$A345,allorders!$AG:$AG,"&lt;="&amp;日期!$B$11,allorders!$AG:$AG,"&gt;="&amp;日期!$B$12,allorders!Q:Q,"&lt;&gt;"&amp;"",allorders!N:N,"Shipped")</f>
        <v>0</v>
      </c>
      <c r="G345" t="e">
        <f>SUMIFS(allorders!Q:Q,allorders!L:L,A345,allorders!AG:AG,"&lt;="&amp;日期!$B$5,allorders!AG:AG,"&gt;="&amp;日期!$B$12,allorders!N:N,"Shipped")/SUM(C345:F345)</f>
        <v>#DIV/0!</v>
      </c>
      <c r="H345">
        <f>SUMIFS(allorders!Q:Q,allorders!L:L,A345,allorders!AG:AG,"&gt;="&amp;日期!$B$12,allorders!AG:AG,"&lt;="&amp;日期!$B$5,allorders!N:N,"Shipped")</f>
        <v>0</v>
      </c>
      <c r="I345">
        <f t="shared" si="5"/>
        <v>0</v>
      </c>
    </row>
    <row r="346" spans="1:9">
      <c r="A346" s="7" t="s">
        <v>4260</v>
      </c>
      <c r="B346" t="str">
        <f>VLOOKUP(A346,'[1]子sku-父sku'!$A$1:$B$65536,2,0)</f>
        <v>YZ-HMBKN30</v>
      </c>
      <c r="C346">
        <f>SUMIFS(allorders!O:O,allorders!L:L,$A346,allorders!AG:AG,"&lt;="&amp;日期!$B$5,allorders!AG:AG,"&gt;="&amp;日期!$B$6,allorders!Q:Q,"&lt;&gt;"&amp;"",allorders!N:N,"Shipped")</f>
        <v>0</v>
      </c>
      <c r="D346">
        <f>SUMIFS(allorders!$O:$O,allorders!$L:$L,$A346,allorders!$AG:$AG,"&lt;="&amp;日期!$B$7,allorders!$AG:$AG,"&gt;="&amp;日期!$B$8,allorders!Q:Q,"&lt;&gt;"&amp;"",allorders!N:N,"Shipped")</f>
        <v>0</v>
      </c>
      <c r="E346">
        <f>SUMIFS(allorders!$O:$O,allorders!$L:$L,$A346,allorders!$AG:$AG,"&lt;="&amp;日期!$B$9,allorders!$AG:$AG,"&gt;="&amp;日期!$B$10,allorders!Q:Q,"&lt;&gt;"&amp;"",allorders!N:N,"Shipped")</f>
        <v>0</v>
      </c>
      <c r="F346">
        <f>SUMIFS(allorders!$O:$O,allorders!$L:$L,$A346,allorders!$AG:$AG,"&lt;="&amp;日期!$B$11,allorders!$AG:$AG,"&gt;="&amp;日期!$B$12,allorders!Q:Q,"&lt;&gt;"&amp;"",allorders!N:N,"Shipped")</f>
        <v>0</v>
      </c>
      <c r="G346" t="e">
        <f>SUMIFS(allorders!Q:Q,allorders!L:L,A346,allorders!AG:AG,"&lt;="&amp;日期!$B$5,allorders!AG:AG,"&gt;="&amp;日期!$B$12,allorders!N:N,"Shipped")/SUM(C346:F346)</f>
        <v>#DIV/0!</v>
      </c>
      <c r="H346">
        <f>SUMIFS(allorders!Q:Q,allorders!L:L,A346,allorders!AG:AG,"&gt;="&amp;日期!$B$12,allorders!AG:AG,"&lt;="&amp;日期!$B$5,allorders!N:N,"Shipped")</f>
        <v>0</v>
      </c>
      <c r="I346">
        <f t="shared" si="5"/>
        <v>0</v>
      </c>
    </row>
    <row r="347" spans="1:9">
      <c r="A347" s="7" t="s">
        <v>4268</v>
      </c>
      <c r="B347" t="str">
        <f>VLOOKUP(A347,'[1]子sku-父sku'!$A$1:$B$65536,2,0)</f>
        <v>YZ-HMVS</v>
      </c>
      <c r="C347">
        <f>SUMIFS(allorders!O:O,allorders!L:L,$A347,allorders!AG:AG,"&lt;="&amp;日期!$B$5,allorders!AG:AG,"&gt;="&amp;日期!$B$6,allorders!Q:Q,"&lt;&gt;"&amp;"",allorders!N:N,"Shipped")</f>
        <v>0</v>
      </c>
      <c r="D347">
        <f>SUMIFS(allorders!$O:$O,allorders!$L:$L,$A347,allorders!$AG:$AG,"&lt;="&amp;日期!$B$7,allorders!$AG:$AG,"&gt;="&amp;日期!$B$8,allorders!Q:Q,"&lt;&gt;"&amp;"",allorders!N:N,"Shipped")</f>
        <v>0</v>
      </c>
      <c r="E347">
        <f>SUMIFS(allorders!$O:$O,allorders!$L:$L,$A347,allorders!$AG:$AG,"&lt;="&amp;日期!$B$9,allorders!$AG:$AG,"&gt;="&amp;日期!$B$10,allorders!Q:Q,"&lt;&gt;"&amp;"",allorders!N:N,"Shipped")</f>
        <v>0</v>
      </c>
      <c r="F347">
        <f>SUMIFS(allorders!$O:$O,allorders!$L:$L,$A347,allorders!$AG:$AG,"&lt;="&amp;日期!$B$11,allorders!$AG:$AG,"&gt;="&amp;日期!$B$12,allorders!Q:Q,"&lt;&gt;"&amp;"",allorders!N:N,"Shipped")</f>
        <v>0</v>
      </c>
      <c r="G347" t="e">
        <f>SUMIFS(allorders!Q:Q,allorders!L:L,A347,allorders!AG:AG,"&lt;="&amp;日期!$B$5,allorders!AG:AG,"&gt;="&amp;日期!$B$12,allorders!N:N,"Shipped")/SUM(C347:F347)</f>
        <v>#DIV/0!</v>
      </c>
      <c r="H347">
        <f>SUMIFS(allorders!Q:Q,allorders!L:L,A347,allorders!AG:AG,"&gt;="&amp;日期!$B$12,allorders!AG:AG,"&lt;="&amp;日期!$B$5,allorders!N:N,"Shipped")</f>
        <v>0</v>
      </c>
      <c r="I347">
        <f t="shared" si="5"/>
        <v>0</v>
      </c>
    </row>
    <row r="348" spans="1:9">
      <c r="A348" s="7" t="s">
        <v>4275</v>
      </c>
      <c r="B348" t="str">
        <f>VLOOKUP(A348,'[1]子sku-父sku'!$A$1:$B$65536,2,0)</f>
        <v>YZ-HM1683</v>
      </c>
      <c r="C348">
        <f>SUMIFS(allorders!O:O,allorders!L:L,$A348,allorders!AG:AG,"&lt;="&amp;日期!$B$5,allorders!AG:AG,"&gt;="&amp;日期!$B$6,allorders!Q:Q,"&lt;&gt;"&amp;"",allorders!N:N,"Shipped")</f>
        <v>0</v>
      </c>
      <c r="D348">
        <f>SUMIFS(allorders!$O:$O,allorders!$L:$L,$A348,allorders!$AG:$AG,"&lt;="&amp;日期!$B$7,allorders!$AG:$AG,"&gt;="&amp;日期!$B$8,allorders!Q:Q,"&lt;&gt;"&amp;"",allorders!N:N,"Shipped")</f>
        <v>0</v>
      </c>
      <c r="E348">
        <f>SUMIFS(allorders!$O:$O,allorders!$L:$L,$A348,allorders!$AG:$AG,"&lt;="&amp;日期!$B$9,allorders!$AG:$AG,"&gt;="&amp;日期!$B$10,allorders!Q:Q,"&lt;&gt;"&amp;"",allorders!N:N,"Shipped")</f>
        <v>0</v>
      </c>
      <c r="F348">
        <f>SUMIFS(allorders!$O:$O,allorders!$L:$L,$A348,allorders!$AG:$AG,"&lt;="&amp;日期!$B$11,allorders!$AG:$AG,"&gt;="&amp;日期!$B$12,allorders!Q:Q,"&lt;&gt;"&amp;"",allorders!N:N,"Shipped")</f>
        <v>0</v>
      </c>
      <c r="G348" t="e">
        <f>SUMIFS(allorders!Q:Q,allorders!L:L,A348,allorders!AG:AG,"&lt;="&amp;日期!$B$5,allorders!AG:AG,"&gt;="&amp;日期!$B$12,allorders!N:N,"Shipped")/SUM(C348:F348)</f>
        <v>#DIV/0!</v>
      </c>
      <c r="H348">
        <f>SUMIFS(allorders!Q:Q,allorders!L:L,A348,allorders!AG:AG,"&gt;="&amp;日期!$B$12,allorders!AG:AG,"&lt;="&amp;日期!$B$5,allorders!N:N,"Shipped")</f>
        <v>0</v>
      </c>
      <c r="I348">
        <f t="shared" si="5"/>
        <v>0</v>
      </c>
    </row>
    <row r="349" spans="1:9">
      <c r="A349" s="7" t="s">
        <v>4282</v>
      </c>
      <c r="B349" t="str">
        <f>VLOOKUP(A349,'[1]子sku-父sku'!$A$1:$B$65536,2,0)</f>
        <v>YZ-HM1683</v>
      </c>
      <c r="C349">
        <f>SUMIFS(allorders!O:O,allorders!L:L,$A349,allorders!AG:AG,"&lt;="&amp;日期!$B$5,allorders!AG:AG,"&gt;="&amp;日期!$B$6,allorders!Q:Q,"&lt;&gt;"&amp;"",allorders!N:N,"Shipped")</f>
        <v>0</v>
      </c>
      <c r="D349">
        <f>SUMIFS(allorders!$O:$O,allorders!$L:$L,$A349,allorders!$AG:$AG,"&lt;="&amp;日期!$B$7,allorders!$AG:$AG,"&gt;="&amp;日期!$B$8,allorders!Q:Q,"&lt;&gt;"&amp;"",allorders!N:N,"Shipped")</f>
        <v>0</v>
      </c>
      <c r="E349">
        <f>SUMIFS(allorders!$O:$O,allorders!$L:$L,$A349,allorders!$AG:$AG,"&lt;="&amp;日期!$B$9,allorders!$AG:$AG,"&gt;="&amp;日期!$B$10,allorders!Q:Q,"&lt;&gt;"&amp;"",allorders!N:N,"Shipped")</f>
        <v>0</v>
      </c>
      <c r="F349">
        <f>SUMIFS(allorders!$O:$O,allorders!$L:$L,$A349,allorders!$AG:$AG,"&lt;="&amp;日期!$B$11,allorders!$AG:$AG,"&gt;="&amp;日期!$B$12,allorders!Q:Q,"&lt;&gt;"&amp;"",allorders!N:N,"Shipped")</f>
        <v>0</v>
      </c>
      <c r="G349" t="e">
        <f>SUMIFS(allorders!Q:Q,allorders!L:L,A349,allorders!AG:AG,"&lt;="&amp;日期!$B$5,allorders!AG:AG,"&gt;="&amp;日期!$B$12,allorders!N:N,"Shipped")/SUM(C349:F349)</f>
        <v>#DIV/0!</v>
      </c>
      <c r="H349">
        <f>SUMIFS(allorders!Q:Q,allorders!L:L,A349,allorders!AG:AG,"&gt;="&amp;日期!$B$12,allorders!AG:AG,"&lt;="&amp;日期!$B$5,allorders!N:N,"Shipped")</f>
        <v>0</v>
      </c>
      <c r="I349">
        <f t="shared" si="5"/>
        <v>0</v>
      </c>
    </row>
    <row r="350" spans="1:9">
      <c r="A350" s="7" t="s">
        <v>4289</v>
      </c>
      <c r="B350" t="str">
        <f>VLOOKUP(A350,'[1]子sku-父sku'!$A$1:$B$65536,2,0)</f>
        <v>YZ-HM1683</v>
      </c>
      <c r="C350">
        <f>SUMIFS(allorders!O:O,allorders!L:L,$A350,allorders!AG:AG,"&lt;="&amp;日期!$B$5,allorders!AG:AG,"&gt;="&amp;日期!$B$6,allorders!Q:Q,"&lt;&gt;"&amp;"",allorders!N:N,"Shipped")</f>
        <v>0</v>
      </c>
      <c r="D350">
        <f>SUMIFS(allorders!$O:$O,allorders!$L:$L,$A350,allorders!$AG:$AG,"&lt;="&amp;日期!$B$7,allorders!$AG:$AG,"&gt;="&amp;日期!$B$8,allorders!Q:Q,"&lt;&gt;"&amp;"",allorders!N:N,"Shipped")</f>
        <v>0</v>
      </c>
      <c r="E350">
        <f>SUMIFS(allorders!$O:$O,allorders!$L:$L,$A350,allorders!$AG:$AG,"&lt;="&amp;日期!$B$9,allorders!$AG:$AG,"&gt;="&amp;日期!$B$10,allorders!Q:Q,"&lt;&gt;"&amp;"",allorders!N:N,"Shipped")</f>
        <v>0</v>
      </c>
      <c r="F350">
        <f>SUMIFS(allorders!$O:$O,allorders!$L:$L,$A350,allorders!$AG:$AG,"&lt;="&amp;日期!$B$11,allorders!$AG:$AG,"&gt;="&amp;日期!$B$12,allorders!Q:Q,"&lt;&gt;"&amp;"",allorders!N:N,"Shipped")</f>
        <v>0</v>
      </c>
      <c r="G350" t="e">
        <f>SUMIFS(allorders!Q:Q,allorders!L:L,A350,allorders!AG:AG,"&lt;="&amp;日期!$B$5,allorders!AG:AG,"&gt;="&amp;日期!$B$12,allorders!N:N,"Shipped")/SUM(C350:F350)</f>
        <v>#DIV/0!</v>
      </c>
      <c r="H350">
        <f>SUMIFS(allorders!Q:Q,allorders!L:L,A350,allorders!AG:AG,"&gt;="&amp;日期!$B$12,allorders!AG:AG,"&lt;="&amp;日期!$B$5,allorders!N:N,"Shipped")</f>
        <v>0</v>
      </c>
      <c r="I350">
        <f t="shared" si="5"/>
        <v>0</v>
      </c>
    </row>
    <row r="351" spans="1:9">
      <c r="A351" s="7" t="s">
        <v>4296</v>
      </c>
      <c r="B351" t="str">
        <f>VLOOKUP(A351,'[1]子sku-父sku'!$A$1:$B$65536,2,0)</f>
        <v>YZ-HM1683</v>
      </c>
      <c r="C351">
        <f>SUMIFS(allorders!O:O,allorders!L:L,$A351,allorders!AG:AG,"&lt;="&amp;日期!$B$5,allorders!AG:AG,"&gt;="&amp;日期!$B$6,allorders!Q:Q,"&lt;&gt;"&amp;"",allorders!N:N,"Shipped")</f>
        <v>0</v>
      </c>
      <c r="D351">
        <f>SUMIFS(allorders!$O:$O,allorders!$L:$L,$A351,allorders!$AG:$AG,"&lt;="&amp;日期!$B$7,allorders!$AG:$AG,"&gt;="&amp;日期!$B$8,allorders!Q:Q,"&lt;&gt;"&amp;"",allorders!N:N,"Shipped")</f>
        <v>0</v>
      </c>
      <c r="E351">
        <f>SUMIFS(allorders!$O:$O,allorders!$L:$L,$A351,allorders!$AG:$AG,"&lt;="&amp;日期!$B$9,allorders!$AG:$AG,"&gt;="&amp;日期!$B$10,allorders!Q:Q,"&lt;&gt;"&amp;"",allorders!N:N,"Shipped")</f>
        <v>0</v>
      </c>
      <c r="F351">
        <f>SUMIFS(allorders!$O:$O,allorders!$L:$L,$A351,allorders!$AG:$AG,"&lt;="&amp;日期!$B$11,allorders!$AG:$AG,"&gt;="&amp;日期!$B$12,allorders!Q:Q,"&lt;&gt;"&amp;"",allorders!N:N,"Shipped")</f>
        <v>0</v>
      </c>
      <c r="G351" t="e">
        <f>SUMIFS(allorders!Q:Q,allorders!L:L,A351,allorders!AG:AG,"&lt;="&amp;日期!$B$5,allorders!AG:AG,"&gt;="&amp;日期!$B$12,allorders!N:N,"Shipped")/SUM(C351:F351)</f>
        <v>#DIV/0!</v>
      </c>
      <c r="H351">
        <f>SUMIFS(allorders!Q:Q,allorders!L:L,A351,allorders!AG:AG,"&gt;="&amp;日期!$B$12,allorders!AG:AG,"&lt;="&amp;日期!$B$5,allorders!N:N,"Shipped")</f>
        <v>0</v>
      </c>
      <c r="I351">
        <f t="shared" si="5"/>
        <v>0</v>
      </c>
    </row>
    <row r="352" spans="1:9">
      <c r="A352" s="7" t="s">
        <v>4303</v>
      </c>
      <c r="B352" t="str">
        <f>VLOOKUP(A352,'[1]子sku-父sku'!$A$1:$B$65536,2,0)</f>
        <v>YZ-HM1683</v>
      </c>
      <c r="C352">
        <f>SUMIFS(allorders!O:O,allorders!L:L,$A352,allorders!AG:AG,"&lt;="&amp;日期!$B$5,allorders!AG:AG,"&gt;="&amp;日期!$B$6,allorders!Q:Q,"&lt;&gt;"&amp;"",allorders!N:N,"Shipped")</f>
        <v>0</v>
      </c>
      <c r="D352">
        <f>SUMIFS(allorders!$O:$O,allorders!$L:$L,$A352,allorders!$AG:$AG,"&lt;="&amp;日期!$B$7,allorders!$AG:$AG,"&gt;="&amp;日期!$B$8,allorders!Q:Q,"&lt;&gt;"&amp;"",allorders!N:N,"Shipped")</f>
        <v>0</v>
      </c>
      <c r="E352">
        <f>SUMIFS(allorders!$O:$O,allorders!$L:$L,$A352,allorders!$AG:$AG,"&lt;="&amp;日期!$B$9,allorders!$AG:$AG,"&gt;="&amp;日期!$B$10,allorders!Q:Q,"&lt;&gt;"&amp;"",allorders!N:N,"Shipped")</f>
        <v>0</v>
      </c>
      <c r="F352">
        <f>SUMIFS(allorders!$O:$O,allorders!$L:$L,$A352,allorders!$AG:$AG,"&lt;="&amp;日期!$B$11,allorders!$AG:$AG,"&gt;="&amp;日期!$B$12,allorders!Q:Q,"&lt;&gt;"&amp;"",allorders!N:N,"Shipped")</f>
        <v>0</v>
      </c>
      <c r="G352" t="e">
        <f>SUMIFS(allorders!Q:Q,allorders!L:L,A352,allorders!AG:AG,"&lt;="&amp;日期!$B$5,allorders!AG:AG,"&gt;="&amp;日期!$B$12,allorders!N:N,"Shipped")/SUM(C352:F352)</f>
        <v>#DIV/0!</v>
      </c>
      <c r="H352">
        <f>SUMIFS(allorders!Q:Q,allorders!L:L,A352,allorders!AG:AG,"&gt;="&amp;日期!$B$12,allorders!AG:AG,"&lt;="&amp;日期!$B$5,allorders!N:N,"Shipped")</f>
        <v>0</v>
      </c>
      <c r="I352">
        <f t="shared" si="5"/>
        <v>0</v>
      </c>
    </row>
    <row r="353" spans="1:9">
      <c r="A353" s="7" t="s">
        <v>4310</v>
      </c>
      <c r="B353" t="str">
        <f>VLOOKUP(A353,'[1]子sku-父sku'!$A$1:$B$65536,2,0)</f>
        <v>YZ-HM1683</v>
      </c>
      <c r="C353">
        <f>SUMIFS(allorders!O:O,allorders!L:L,$A353,allorders!AG:AG,"&lt;="&amp;日期!$B$5,allorders!AG:AG,"&gt;="&amp;日期!$B$6,allorders!Q:Q,"&lt;&gt;"&amp;"",allorders!N:N,"Shipped")</f>
        <v>0</v>
      </c>
      <c r="D353">
        <f>SUMIFS(allorders!$O:$O,allorders!$L:$L,$A353,allorders!$AG:$AG,"&lt;="&amp;日期!$B$7,allorders!$AG:$AG,"&gt;="&amp;日期!$B$8,allorders!Q:Q,"&lt;&gt;"&amp;"",allorders!N:N,"Shipped")</f>
        <v>0</v>
      </c>
      <c r="E353">
        <f>SUMIFS(allorders!$O:$O,allorders!$L:$L,$A353,allorders!$AG:$AG,"&lt;="&amp;日期!$B$9,allorders!$AG:$AG,"&gt;="&amp;日期!$B$10,allorders!Q:Q,"&lt;&gt;"&amp;"",allorders!N:N,"Shipped")</f>
        <v>0</v>
      </c>
      <c r="F353">
        <f>SUMIFS(allorders!$O:$O,allorders!$L:$L,$A353,allorders!$AG:$AG,"&lt;="&amp;日期!$B$11,allorders!$AG:$AG,"&gt;="&amp;日期!$B$12,allorders!Q:Q,"&lt;&gt;"&amp;"",allorders!N:N,"Shipped")</f>
        <v>0</v>
      </c>
      <c r="G353" t="e">
        <f>SUMIFS(allorders!Q:Q,allorders!L:L,A353,allorders!AG:AG,"&lt;="&amp;日期!$B$5,allorders!AG:AG,"&gt;="&amp;日期!$B$12,allorders!N:N,"Shipped")/SUM(C353:F353)</f>
        <v>#DIV/0!</v>
      </c>
      <c r="H353">
        <f>SUMIFS(allorders!Q:Q,allorders!L:L,A353,allorders!AG:AG,"&gt;="&amp;日期!$B$12,allorders!AG:AG,"&lt;="&amp;日期!$B$5,allorders!N:N,"Shipped")</f>
        <v>0</v>
      </c>
      <c r="I353">
        <f t="shared" si="5"/>
        <v>0</v>
      </c>
    </row>
    <row r="354" spans="1:9">
      <c r="A354" s="7" t="s">
        <v>4317</v>
      </c>
      <c r="B354" t="str">
        <f>VLOOKUP(A354,'[1]子sku-父sku'!$A$1:$B$65536,2,0)</f>
        <v>YZ-HM1683</v>
      </c>
      <c r="C354">
        <f>SUMIFS(allorders!O:O,allorders!L:L,$A354,allorders!AG:AG,"&lt;="&amp;日期!$B$5,allorders!AG:AG,"&gt;="&amp;日期!$B$6,allorders!Q:Q,"&lt;&gt;"&amp;"",allorders!N:N,"Shipped")</f>
        <v>0</v>
      </c>
      <c r="D354">
        <f>SUMIFS(allorders!$O:$O,allorders!$L:$L,$A354,allorders!$AG:$AG,"&lt;="&amp;日期!$B$7,allorders!$AG:$AG,"&gt;="&amp;日期!$B$8,allorders!Q:Q,"&lt;&gt;"&amp;"",allorders!N:N,"Shipped")</f>
        <v>0</v>
      </c>
      <c r="E354">
        <f>SUMIFS(allorders!$O:$O,allorders!$L:$L,$A354,allorders!$AG:$AG,"&lt;="&amp;日期!$B$9,allorders!$AG:$AG,"&gt;="&amp;日期!$B$10,allorders!Q:Q,"&lt;&gt;"&amp;"",allorders!N:N,"Shipped")</f>
        <v>0</v>
      </c>
      <c r="F354">
        <f>SUMIFS(allorders!$O:$O,allorders!$L:$L,$A354,allorders!$AG:$AG,"&lt;="&amp;日期!$B$11,allorders!$AG:$AG,"&gt;="&amp;日期!$B$12,allorders!Q:Q,"&lt;&gt;"&amp;"",allorders!N:N,"Shipped")</f>
        <v>0</v>
      </c>
      <c r="G354" t="e">
        <f>SUMIFS(allorders!Q:Q,allorders!L:L,A354,allorders!AG:AG,"&lt;="&amp;日期!$B$5,allorders!AG:AG,"&gt;="&amp;日期!$B$12,allorders!N:N,"Shipped")/SUM(C354:F354)</f>
        <v>#DIV/0!</v>
      </c>
      <c r="H354">
        <f>SUMIFS(allorders!Q:Q,allorders!L:L,A354,allorders!AG:AG,"&gt;="&amp;日期!$B$12,allorders!AG:AG,"&lt;="&amp;日期!$B$5,allorders!N:N,"Shipped")</f>
        <v>0</v>
      </c>
      <c r="I354">
        <f t="shared" si="5"/>
        <v>0</v>
      </c>
    </row>
    <row r="355" spans="1:9">
      <c r="A355" s="7" t="s">
        <v>4324</v>
      </c>
      <c r="B355" t="str">
        <f>VLOOKUP(A355,'[1]子sku-父sku'!$A$1:$B$65536,2,0)</f>
        <v>YZ-HM1683</v>
      </c>
      <c r="C355">
        <f>SUMIFS(allorders!O:O,allorders!L:L,$A355,allorders!AG:AG,"&lt;="&amp;日期!$B$5,allorders!AG:AG,"&gt;="&amp;日期!$B$6,allorders!Q:Q,"&lt;&gt;"&amp;"",allorders!N:N,"Shipped")</f>
        <v>0</v>
      </c>
      <c r="D355">
        <f>SUMIFS(allorders!$O:$O,allorders!$L:$L,$A355,allorders!$AG:$AG,"&lt;="&amp;日期!$B$7,allorders!$AG:$AG,"&gt;="&amp;日期!$B$8,allorders!Q:Q,"&lt;&gt;"&amp;"",allorders!N:N,"Shipped")</f>
        <v>0</v>
      </c>
      <c r="E355">
        <f>SUMIFS(allorders!$O:$O,allorders!$L:$L,$A355,allorders!$AG:$AG,"&lt;="&amp;日期!$B$9,allorders!$AG:$AG,"&gt;="&amp;日期!$B$10,allorders!Q:Q,"&lt;&gt;"&amp;"",allorders!N:N,"Shipped")</f>
        <v>0</v>
      </c>
      <c r="F355">
        <f>SUMIFS(allorders!$O:$O,allorders!$L:$L,$A355,allorders!$AG:$AG,"&lt;="&amp;日期!$B$11,allorders!$AG:$AG,"&gt;="&amp;日期!$B$12,allorders!Q:Q,"&lt;&gt;"&amp;"",allorders!N:N,"Shipped")</f>
        <v>0</v>
      </c>
      <c r="G355" t="e">
        <f>SUMIFS(allorders!Q:Q,allorders!L:L,A355,allorders!AG:AG,"&lt;="&amp;日期!$B$5,allorders!AG:AG,"&gt;="&amp;日期!$B$12,allorders!N:N,"Shipped")/SUM(C355:F355)</f>
        <v>#DIV/0!</v>
      </c>
      <c r="H355">
        <f>SUMIFS(allorders!Q:Q,allorders!L:L,A355,allorders!AG:AG,"&gt;="&amp;日期!$B$12,allorders!AG:AG,"&lt;="&amp;日期!$B$5,allorders!N:N,"Shipped")</f>
        <v>0</v>
      </c>
      <c r="I355">
        <f t="shared" si="5"/>
        <v>0</v>
      </c>
    </row>
    <row r="356" spans="1:9">
      <c r="A356" s="7" t="s">
        <v>4353</v>
      </c>
      <c r="B356" t="str">
        <f>VLOOKUP(A356,'[1]子sku-父sku'!$A$1:$B$65536,2,0)</f>
        <v>YZ-HMBKN17015</v>
      </c>
      <c r="C356">
        <f>SUMIFS(allorders!O:O,allorders!L:L,$A356,allorders!AG:AG,"&lt;="&amp;日期!$B$5,allorders!AG:AG,"&gt;="&amp;日期!$B$6,allorders!Q:Q,"&lt;&gt;"&amp;"",allorders!N:N,"Shipped")</f>
        <v>0</v>
      </c>
      <c r="D356">
        <f>SUMIFS(allorders!$O:$O,allorders!$L:$L,$A356,allorders!$AG:$AG,"&lt;="&amp;日期!$B$7,allorders!$AG:$AG,"&gt;="&amp;日期!$B$8,allorders!Q:Q,"&lt;&gt;"&amp;"",allorders!N:N,"Shipped")</f>
        <v>1</v>
      </c>
      <c r="E356">
        <f>SUMIFS(allorders!$O:$O,allorders!$L:$L,$A356,allorders!$AG:$AG,"&lt;="&amp;日期!$B$9,allorders!$AG:$AG,"&gt;="&amp;日期!$B$10,allorders!Q:Q,"&lt;&gt;"&amp;"",allorders!N:N,"Shipped")</f>
        <v>0</v>
      </c>
      <c r="F356">
        <f>SUMIFS(allorders!$O:$O,allorders!$L:$L,$A356,allorders!$AG:$AG,"&lt;="&amp;日期!$B$11,allorders!$AG:$AG,"&gt;="&amp;日期!$B$12,allorders!Q:Q,"&lt;&gt;"&amp;"",allorders!N:N,"Shipped")</f>
        <v>0</v>
      </c>
      <c r="G356">
        <f>SUMIFS(allorders!Q:Q,allorders!L:L,A356,allorders!AG:AG,"&lt;="&amp;日期!$B$5,allorders!AG:AG,"&gt;="&amp;日期!$B$12,allorders!N:N,"Shipped")/SUM(C356:F356)</f>
        <v>16.99</v>
      </c>
      <c r="H356">
        <f>SUMIFS(allorders!Q:Q,allorders!L:L,A356,allorders!AG:AG,"&gt;="&amp;日期!$B$12,allorders!AG:AG,"&lt;="&amp;日期!$B$5,allorders!N:N,"Shipped")</f>
        <v>16.99</v>
      </c>
      <c r="I356">
        <f t="shared" si="5"/>
        <v>1</v>
      </c>
    </row>
    <row r="357" spans="1:9">
      <c r="A357" s="7" t="s">
        <v>4422</v>
      </c>
      <c r="B357" t="str">
        <f>VLOOKUP(A357,'[1]子sku-父sku'!$A$1:$B$65536,2,0)</f>
        <v>YZ-ZQ1521</v>
      </c>
      <c r="C357">
        <f>SUMIFS(allorders!O:O,allorders!L:L,$A357,allorders!AG:AG,"&lt;="&amp;日期!$B$5,allorders!AG:AG,"&gt;="&amp;日期!$B$6,allorders!Q:Q,"&lt;&gt;"&amp;"",allorders!N:N,"Shipped")</f>
        <v>0</v>
      </c>
      <c r="D357">
        <f>SUMIFS(allorders!$O:$O,allorders!$L:$L,$A357,allorders!$AG:$AG,"&lt;="&amp;日期!$B$7,allorders!$AG:$AG,"&gt;="&amp;日期!$B$8,allorders!Q:Q,"&lt;&gt;"&amp;"",allorders!N:N,"Shipped")</f>
        <v>1</v>
      </c>
      <c r="E357">
        <f>SUMIFS(allorders!$O:$O,allorders!$L:$L,$A357,allorders!$AG:$AG,"&lt;="&amp;日期!$B$9,allorders!$AG:$AG,"&gt;="&amp;日期!$B$10,allorders!Q:Q,"&lt;&gt;"&amp;"",allorders!N:N,"Shipped")</f>
        <v>0</v>
      </c>
      <c r="F357">
        <f>SUMIFS(allorders!$O:$O,allorders!$L:$L,$A357,allorders!$AG:$AG,"&lt;="&amp;日期!$B$11,allorders!$AG:$AG,"&gt;="&amp;日期!$B$12,allorders!Q:Q,"&lt;&gt;"&amp;"",allorders!N:N,"Shipped")</f>
        <v>0</v>
      </c>
      <c r="G357">
        <f>SUMIFS(allorders!Q:Q,allorders!L:L,A357,allorders!AG:AG,"&lt;="&amp;日期!$B$5,allorders!AG:AG,"&gt;="&amp;日期!$B$12,allorders!N:N,"Shipped")/SUM(C357:F357)</f>
        <v>19.38</v>
      </c>
      <c r="H357">
        <f>SUMIFS(allorders!Q:Q,allorders!L:L,A357,allorders!AG:AG,"&gt;="&amp;日期!$B$12,allorders!AG:AG,"&lt;="&amp;日期!$B$5,allorders!N:N,"Shipped")</f>
        <v>19.38</v>
      </c>
      <c r="I357">
        <f t="shared" si="5"/>
        <v>1</v>
      </c>
    </row>
    <row r="358" spans="1:9">
      <c r="A358" s="7" t="s">
        <v>4451</v>
      </c>
      <c r="B358" t="str">
        <f>VLOOKUP(A358,'[1]子sku-父sku'!$A$1:$B$65536,2,0)</f>
        <v>YZ-ZQSG16121</v>
      </c>
      <c r="C358">
        <f>SUMIFS(allorders!O:O,allorders!L:L,$A358,allorders!AG:AG,"&lt;="&amp;日期!$B$5,allorders!AG:AG,"&gt;="&amp;日期!$B$6,allorders!Q:Q,"&lt;&gt;"&amp;"",allorders!N:N,"Shipped")</f>
        <v>0</v>
      </c>
      <c r="D358">
        <f>SUMIFS(allorders!$O:$O,allorders!$L:$L,$A358,allorders!$AG:$AG,"&lt;="&amp;日期!$B$7,allorders!$AG:$AG,"&gt;="&amp;日期!$B$8,allorders!Q:Q,"&lt;&gt;"&amp;"",allorders!N:N,"Shipped")</f>
        <v>1</v>
      </c>
      <c r="E358">
        <f>SUMIFS(allorders!$O:$O,allorders!$L:$L,$A358,allorders!$AG:$AG,"&lt;="&amp;日期!$B$9,allorders!$AG:$AG,"&gt;="&amp;日期!$B$10,allorders!Q:Q,"&lt;&gt;"&amp;"",allorders!N:N,"Shipped")</f>
        <v>0</v>
      </c>
      <c r="F358">
        <f>SUMIFS(allorders!$O:$O,allorders!$L:$L,$A358,allorders!$AG:$AG,"&lt;="&amp;日期!$B$11,allorders!$AG:$AG,"&gt;="&amp;日期!$B$12,allorders!Q:Q,"&lt;&gt;"&amp;"",allorders!N:N,"Shipped")</f>
        <v>0</v>
      </c>
      <c r="G358">
        <f>SUMIFS(allorders!Q:Q,allorders!L:L,A358,allorders!AG:AG,"&lt;="&amp;日期!$B$5,allorders!AG:AG,"&gt;="&amp;日期!$B$12,allorders!N:N,"Shipped")/SUM(C358:F358)</f>
        <v>19.99</v>
      </c>
      <c r="H358">
        <f>SUMIFS(allorders!Q:Q,allorders!L:L,A358,allorders!AG:AG,"&gt;="&amp;日期!$B$12,allorders!AG:AG,"&lt;="&amp;日期!$B$5,allorders!N:N,"Shipped")</f>
        <v>19.99</v>
      </c>
      <c r="I358">
        <f t="shared" si="5"/>
        <v>1</v>
      </c>
    </row>
    <row r="359" spans="1:9">
      <c r="A359" s="7" t="s">
        <v>4573</v>
      </c>
      <c r="B359" t="str">
        <f>VLOOKUP(A359,'[1]子sku-父sku'!$A$1:$B$65536,2,0)</f>
        <v>LYQ-ZQ3550</v>
      </c>
      <c r="C359">
        <f>SUMIFS(allorders!O:O,allorders!L:L,$A359,allorders!AG:AG,"&lt;="&amp;日期!$B$5,allorders!AG:AG,"&gt;="&amp;日期!$B$6,allorders!Q:Q,"&lt;&gt;"&amp;"",allorders!N:N,"Shipped")</f>
        <v>0</v>
      </c>
      <c r="D359">
        <f>SUMIFS(allorders!$O:$O,allorders!$L:$L,$A359,allorders!$AG:$AG,"&lt;="&amp;日期!$B$7,allorders!$AG:$AG,"&gt;="&amp;日期!$B$8,allorders!Q:Q,"&lt;&gt;"&amp;"",allorders!N:N,"Shipped")</f>
        <v>1</v>
      </c>
      <c r="E359">
        <f>SUMIFS(allorders!$O:$O,allorders!$L:$L,$A359,allorders!$AG:$AG,"&lt;="&amp;日期!$B$9,allorders!$AG:$AG,"&gt;="&amp;日期!$B$10,allorders!Q:Q,"&lt;&gt;"&amp;"",allorders!N:N,"Shipped")</f>
        <v>0</v>
      </c>
      <c r="F359">
        <f>SUMIFS(allorders!$O:$O,allorders!$L:$L,$A359,allorders!$AG:$AG,"&lt;="&amp;日期!$B$11,allorders!$AG:$AG,"&gt;="&amp;日期!$B$12,allorders!Q:Q,"&lt;&gt;"&amp;"",allorders!N:N,"Shipped")</f>
        <v>0</v>
      </c>
      <c r="G359">
        <f>SUMIFS(allorders!Q:Q,allorders!L:L,A359,allorders!AG:AG,"&lt;="&amp;日期!$B$5,allorders!AG:AG,"&gt;="&amp;日期!$B$12,allorders!N:N,"Shipped")/SUM(C359:F359)</f>
        <v>16.99</v>
      </c>
      <c r="H359">
        <f>SUMIFS(allorders!Q:Q,allorders!L:L,A359,allorders!AG:AG,"&gt;="&amp;日期!$B$12,allorders!AG:AG,"&lt;="&amp;日期!$B$5,allorders!N:N,"Shipped")</f>
        <v>16.99</v>
      </c>
      <c r="I359">
        <f t="shared" si="5"/>
        <v>1</v>
      </c>
    </row>
    <row r="360" spans="1:9">
      <c r="A360" s="7" t="s">
        <v>4586</v>
      </c>
      <c r="B360" t="str">
        <f>VLOOKUP(A360,'[1]子sku-父sku'!$A$1:$B$65536,2,0)</f>
        <v>LYQ-ZQ3550</v>
      </c>
      <c r="C360">
        <f>SUMIFS(allorders!O:O,allorders!L:L,$A360,allorders!AG:AG,"&lt;="&amp;日期!$B$5,allorders!AG:AG,"&gt;="&amp;日期!$B$6,allorders!Q:Q,"&lt;&gt;"&amp;"",allorders!N:N,"Shipped")</f>
        <v>1</v>
      </c>
      <c r="D360">
        <f>SUMIFS(allorders!$O:$O,allorders!$L:$L,$A360,allorders!$AG:$AG,"&lt;="&amp;日期!$B$7,allorders!$AG:$AG,"&gt;="&amp;日期!$B$8,allorders!Q:Q,"&lt;&gt;"&amp;"",allorders!N:N,"Shipped")</f>
        <v>1</v>
      </c>
      <c r="E360">
        <f>SUMIFS(allorders!$O:$O,allorders!$L:$L,$A360,allorders!$AG:$AG,"&lt;="&amp;日期!$B$9,allorders!$AG:$AG,"&gt;="&amp;日期!$B$10,allorders!Q:Q,"&lt;&gt;"&amp;"",allorders!N:N,"Shipped")</f>
        <v>0</v>
      </c>
      <c r="F360">
        <f>SUMIFS(allorders!$O:$O,allorders!$L:$L,$A360,allorders!$AG:$AG,"&lt;="&amp;日期!$B$11,allorders!$AG:$AG,"&gt;="&amp;日期!$B$12,allorders!Q:Q,"&lt;&gt;"&amp;"",allorders!N:N,"Shipped")</f>
        <v>0</v>
      </c>
      <c r="G360">
        <f>SUMIFS(allorders!Q:Q,allorders!L:L,A360,allorders!AG:AG,"&lt;="&amp;日期!$B$5,allorders!AG:AG,"&gt;="&amp;日期!$B$12,allorders!N:N,"Shipped")/SUM(C360:F360)</f>
        <v>16.99</v>
      </c>
      <c r="H360">
        <f>SUMIFS(allorders!Q:Q,allorders!L:L,A360,allorders!AG:AG,"&gt;="&amp;日期!$B$12,allorders!AG:AG,"&lt;="&amp;日期!$B$5,allorders!N:N,"Shipped")</f>
        <v>33.98</v>
      </c>
      <c r="I360">
        <f t="shared" si="5"/>
        <v>2</v>
      </c>
    </row>
    <row r="361" spans="1:9">
      <c r="A361" s="7" t="s">
        <v>4631</v>
      </c>
      <c r="B361" t="str">
        <f>VLOOKUP(A361,'[1]子sku-父sku'!$A$1:$B$65536,2,0)</f>
        <v>YZ-ZQMICAI</v>
      </c>
      <c r="C361">
        <f>SUMIFS(allorders!O:O,allorders!L:L,$A361,allorders!AG:AG,"&lt;="&amp;日期!$B$5,allorders!AG:AG,"&gt;="&amp;日期!$B$6,allorders!Q:Q,"&lt;&gt;"&amp;"",allorders!N:N,"Shipped")</f>
        <v>0</v>
      </c>
      <c r="D361">
        <f>SUMIFS(allorders!$O:$O,allorders!$L:$L,$A361,allorders!$AG:$AG,"&lt;="&amp;日期!$B$7,allorders!$AG:$AG,"&gt;="&amp;日期!$B$8,allorders!Q:Q,"&lt;&gt;"&amp;"",allorders!N:N,"Shipped")</f>
        <v>1</v>
      </c>
      <c r="E361">
        <f>SUMIFS(allorders!$O:$O,allorders!$L:$L,$A361,allorders!$AG:$AG,"&lt;="&amp;日期!$B$9,allorders!$AG:$AG,"&gt;="&amp;日期!$B$10,allorders!Q:Q,"&lt;&gt;"&amp;"",allorders!N:N,"Shipped")</f>
        <v>0</v>
      </c>
      <c r="F361">
        <f>SUMIFS(allorders!$O:$O,allorders!$L:$L,$A361,allorders!$AG:$AG,"&lt;="&amp;日期!$B$11,allorders!$AG:$AG,"&gt;="&amp;日期!$B$12,allorders!Q:Q,"&lt;&gt;"&amp;"",allorders!N:N,"Shipped")</f>
        <v>0</v>
      </c>
      <c r="G361">
        <f>SUMIFS(allorders!Q:Q,allorders!L:L,A361,allorders!AG:AG,"&lt;="&amp;日期!$B$5,allorders!AG:AG,"&gt;="&amp;日期!$B$12,allorders!N:N,"Shipped")/SUM(C361:F361)</f>
        <v>16.99</v>
      </c>
      <c r="H361">
        <f>SUMIFS(allorders!Q:Q,allorders!L:L,A361,allorders!AG:AG,"&gt;="&amp;日期!$B$12,allorders!AG:AG,"&lt;="&amp;日期!$B$5,allorders!N:N,"Shipped")</f>
        <v>16.99</v>
      </c>
      <c r="I361">
        <f t="shared" si="5"/>
        <v>1</v>
      </c>
    </row>
    <row r="362" spans="1:9">
      <c r="A362" s="7" t="s">
        <v>4652</v>
      </c>
      <c r="B362" t="str">
        <f>VLOOKUP(A362,'[1]子sku-父sku'!$A$1:$B$65536,2,0)</f>
        <v>YZ-ZQ15827</v>
      </c>
      <c r="C362">
        <f>SUMIFS(allorders!O:O,allorders!L:L,$A362,allorders!AG:AG,"&lt;="&amp;日期!$B$5,allorders!AG:AG,"&gt;="&amp;日期!$B$6,allorders!Q:Q,"&lt;&gt;"&amp;"",allorders!N:N,"Shipped")</f>
        <v>0</v>
      </c>
      <c r="D362">
        <f>SUMIFS(allorders!$O:$O,allorders!$L:$L,$A362,allorders!$AG:$AG,"&lt;="&amp;日期!$B$7,allorders!$AG:$AG,"&gt;="&amp;日期!$B$8,allorders!Q:Q,"&lt;&gt;"&amp;"",allorders!N:N,"Shipped")</f>
        <v>1</v>
      </c>
      <c r="E362">
        <f>SUMIFS(allorders!$O:$O,allorders!$L:$L,$A362,allorders!$AG:$AG,"&lt;="&amp;日期!$B$9,allorders!$AG:$AG,"&gt;="&amp;日期!$B$10,allorders!Q:Q,"&lt;&gt;"&amp;"",allorders!N:N,"Shipped")</f>
        <v>0</v>
      </c>
      <c r="F362">
        <f>SUMIFS(allorders!$O:$O,allorders!$L:$L,$A362,allorders!$AG:$AG,"&lt;="&amp;日期!$B$11,allorders!$AG:$AG,"&gt;="&amp;日期!$B$12,allorders!Q:Q,"&lt;&gt;"&amp;"",allorders!N:N,"Shipped")</f>
        <v>0</v>
      </c>
      <c r="G362">
        <f>SUMIFS(allorders!Q:Q,allorders!L:L,A362,allorders!AG:AG,"&lt;="&amp;日期!$B$5,allorders!AG:AG,"&gt;="&amp;日期!$B$12,allorders!N:N,"Shipped")/SUM(C362:F362)</f>
        <v>19.99</v>
      </c>
      <c r="H362">
        <f>SUMIFS(allorders!Q:Q,allorders!L:L,A362,allorders!AG:AG,"&gt;="&amp;日期!$B$12,allorders!AG:AG,"&lt;="&amp;日期!$B$5,allorders!N:N,"Shipped")</f>
        <v>19.99</v>
      </c>
      <c r="I362">
        <f t="shared" si="5"/>
        <v>1</v>
      </c>
    </row>
    <row r="363" spans="1:9">
      <c r="A363" s="7" t="s">
        <v>4665</v>
      </c>
      <c r="B363" t="str">
        <f>VLOOKUP(A363,'[1]子sku-父sku'!$A$1:$B$65536,2,0)</f>
        <v>YZ-SUZQ187</v>
      </c>
      <c r="C363">
        <f>SUMIFS(allorders!O:O,allorders!L:L,$A363,allorders!AG:AG,"&lt;="&amp;日期!$B$5,allorders!AG:AG,"&gt;="&amp;日期!$B$6,allorders!Q:Q,"&lt;&gt;"&amp;"",allorders!N:N,"Shipped")</f>
        <v>0</v>
      </c>
      <c r="D363">
        <f>SUMIFS(allorders!$O:$O,allorders!$L:$L,$A363,allorders!$AG:$AG,"&lt;="&amp;日期!$B$7,allorders!$AG:$AG,"&gt;="&amp;日期!$B$8,allorders!Q:Q,"&lt;&gt;"&amp;"",allorders!N:N,"Shipped")</f>
        <v>1</v>
      </c>
      <c r="E363">
        <f>SUMIFS(allorders!$O:$O,allorders!$L:$L,$A363,allorders!$AG:$AG,"&lt;="&amp;日期!$B$9,allorders!$AG:$AG,"&gt;="&amp;日期!$B$10,allorders!Q:Q,"&lt;&gt;"&amp;"",allorders!N:N,"Shipped")</f>
        <v>0</v>
      </c>
      <c r="F363">
        <f>SUMIFS(allorders!$O:$O,allorders!$L:$L,$A363,allorders!$AG:$AG,"&lt;="&amp;日期!$B$11,allorders!$AG:$AG,"&gt;="&amp;日期!$B$12,allorders!Q:Q,"&lt;&gt;"&amp;"",allorders!N:N,"Shipped")</f>
        <v>0</v>
      </c>
      <c r="G363">
        <f>SUMIFS(allorders!Q:Q,allorders!L:L,A363,allorders!AG:AG,"&lt;="&amp;日期!$B$5,allorders!AG:AG,"&gt;="&amp;日期!$B$12,allorders!N:N,"Shipped")/SUM(C363:F363)</f>
        <v>19.99</v>
      </c>
      <c r="H363">
        <f>SUMIFS(allorders!Q:Q,allorders!L:L,A363,allorders!AG:AG,"&gt;="&amp;日期!$B$12,allorders!AG:AG,"&lt;="&amp;日期!$B$5,allorders!N:N,"Shipped")</f>
        <v>19.99</v>
      </c>
      <c r="I363">
        <f t="shared" si="5"/>
        <v>1</v>
      </c>
    </row>
    <row r="364" spans="1:9">
      <c r="A364" s="7" t="s">
        <v>4691</v>
      </c>
      <c r="B364" t="str">
        <f>VLOOKUP(A364,'[1]子sku-父sku'!$A$1:$B$65536,2,0)</f>
        <v>YZ-HM1757</v>
      </c>
      <c r="C364">
        <f>SUMIFS(allorders!O:O,allorders!L:L,$A364,allorders!AG:AG,"&lt;="&amp;日期!$B$5,allorders!AG:AG,"&gt;="&amp;日期!$B$6,allorders!Q:Q,"&lt;&gt;"&amp;"",allorders!N:N,"Shipped")</f>
        <v>0</v>
      </c>
      <c r="D364">
        <f>SUMIFS(allorders!$O:$O,allorders!$L:$L,$A364,allorders!$AG:$AG,"&lt;="&amp;日期!$B$7,allorders!$AG:$AG,"&gt;="&amp;日期!$B$8,allorders!Q:Q,"&lt;&gt;"&amp;"",allorders!N:N,"Shipped")</f>
        <v>1</v>
      </c>
      <c r="E364">
        <f>SUMIFS(allorders!$O:$O,allorders!$L:$L,$A364,allorders!$AG:$AG,"&lt;="&amp;日期!$B$9,allorders!$AG:$AG,"&gt;="&amp;日期!$B$10,allorders!Q:Q,"&lt;&gt;"&amp;"",allorders!N:N,"Shipped")</f>
        <v>0</v>
      </c>
      <c r="F364">
        <f>SUMIFS(allorders!$O:$O,allorders!$L:$L,$A364,allorders!$AG:$AG,"&lt;="&amp;日期!$B$11,allorders!$AG:$AG,"&gt;="&amp;日期!$B$12,allorders!Q:Q,"&lt;&gt;"&amp;"",allorders!N:N,"Shipped")</f>
        <v>0</v>
      </c>
      <c r="G364">
        <f>SUMIFS(allorders!Q:Q,allorders!L:L,A364,allorders!AG:AG,"&lt;="&amp;日期!$B$5,allorders!AG:AG,"&gt;="&amp;日期!$B$12,allorders!N:N,"Shipped")/SUM(C364:F364)</f>
        <v>16.99</v>
      </c>
      <c r="H364">
        <f>SUMIFS(allorders!Q:Q,allorders!L:L,A364,allorders!AG:AG,"&gt;="&amp;日期!$B$12,allorders!AG:AG,"&lt;="&amp;日期!$B$5,allorders!N:N,"Shipped")</f>
        <v>16.99</v>
      </c>
      <c r="I364">
        <f t="shared" si="5"/>
        <v>1</v>
      </c>
    </row>
    <row r="365" spans="1:9">
      <c r="A365" s="7" t="s">
        <v>4730</v>
      </c>
      <c r="B365" t="str">
        <f>VLOOKUP(A365,'[1]子sku-父sku'!$A$1:$B$65536,2,0)</f>
        <v>LYQ-ZQ2973</v>
      </c>
      <c r="C365">
        <f>SUMIFS(allorders!O:O,allorders!L:L,$A365,allorders!AG:AG,"&lt;="&amp;日期!$B$5,allorders!AG:AG,"&gt;="&amp;日期!$B$6,allorders!Q:Q,"&lt;&gt;"&amp;"",allorders!N:N,"Shipped")</f>
        <v>0</v>
      </c>
      <c r="D365">
        <f>SUMIFS(allorders!$O:$O,allorders!$L:$L,$A365,allorders!$AG:$AG,"&lt;="&amp;日期!$B$7,allorders!$AG:$AG,"&gt;="&amp;日期!$B$8,allorders!Q:Q,"&lt;&gt;"&amp;"",allorders!N:N,"Shipped")</f>
        <v>1</v>
      </c>
      <c r="E365">
        <f>SUMIFS(allorders!$O:$O,allorders!$L:$L,$A365,allorders!$AG:$AG,"&lt;="&amp;日期!$B$9,allorders!$AG:$AG,"&gt;="&amp;日期!$B$10,allorders!Q:Q,"&lt;&gt;"&amp;"",allorders!N:N,"Shipped")</f>
        <v>0</v>
      </c>
      <c r="F365">
        <f>SUMIFS(allorders!$O:$O,allorders!$L:$L,$A365,allorders!$AG:$AG,"&lt;="&amp;日期!$B$11,allorders!$AG:$AG,"&gt;="&amp;日期!$B$12,allorders!Q:Q,"&lt;&gt;"&amp;"",allorders!N:N,"Shipped")</f>
        <v>0</v>
      </c>
      <c r="G365">
        <f>SUMIFS(allorders!Q:Q,allorders!L:L,A365,allorders!AG:AG,"&lt;="&amp;日期!$B$5,allorders!AG:AG,"&gt;="&amp;日期!$B$12,allorders!N:N,"Shipped")/SUM(C365:F365)</f>
        <v>19.99</v>
      </c>
      <c r="H365">
        <f>SUMIFS(allorders!Q:Q,allorders!L:L,A365,allorders!AG:AG,"&gt;="&amp;日期!$B$12,allorders!AG:AG,"&lt;="&amp;日期!$B$5,allorders!N:N,"Shipped")</f>
        <v>19.99</v>
      </c>
      <c r="I365">
        <f t="shared" si="5"/>
        <v>1</v>
      </c>
    </row>
    <row r="366" spans="1:9">
      <c r="A366" s="7" t="s">
        <v>4735</v>
      </c>
      <c r="B366" t="str">
        <f>VLOOKUP(A366,'[1]子sku-父sku'!$A$1:$B$65536,2,0)</f>
        <v>YZ-ZQ1521</v>
      </c>
      <c r="C366">
        <f>SUMIFS(allorders!O:O,allorders!L:L,$A366,allorders!AG:AG,"&lt;="&amp;日期!$B$5,allorders!AG:AG,"&gt;="&amp;日期!$B$6,allorders!Q:Q,"&lt;&gt;"&amp;"",allorders!N:N,"Shipped")</f>
        <v>0</v>
      </c>
      <c r="D366">
        <f>SUMIFS(allorders!$O:$O,allorders!$L:$L,$A366,allorders!$AG:$AG,"&lt;="&amp;日期!$B$7,allorders!$AG:$AG,"&gt;="&amp;日期!$B$8,allorders!Q:Q,"&lt;&gt;"&amp;"",allorders!N:N,"Shipped")</f>
        <v>1</v>
      </c>
      <c r="E366">
        <f>SUMIFS(allorders!$O:$O,allorders!$L:$L,$A366,allorders!$AG:$AG,"&lt;="&amp;日期!$B$9,allorders!$AG:$AG,"&gt;="&amp;日期!$B$10,allorders!Q:Q,"&lt;&gt;"&amp;"",allorders!N:N,"Shipped")</f>
        <v>0</v>
      </c>
      <c r="F366">
        <f>SUMIFS(allorders!$O:$O,allorders!$L:$L,$A366,allorders!$AG:$AG,"&lt;="&amp;日期!$B$11,allorders!$AG:$AG,"&gt;="&amp;日期!$B$12,allorders!Q:Q,"&lt;&gt;"&amp;"",allorders!N:N,"Shipped")</f>
        <v>0</v>
      </c>
      <c r="G366">
        <f>SUMIFS(allorders!Q:Q,allorders!L:L,A366,allorders!AG:AG,"&lt;="&amp;日期!$B$5,allorders!AG:AG,"&gt;="&amp;日期!$B$12,allorders!N:N,"Shipped")/SUM(C366:F366)</f>
        <v>19.38</v>
      </c>
      <c r="H366">
        <f>SUMIFS(allorders!Q:Q,allorders!L:L,A366,allorders!AG:AG,"&gt;="&amp;日期!$B$12,allorders!AG:AG,"&lt;="&amp;日期!$B$5,allorders!N:N,"Shipped")</f>
        <v>19.38</v>
      </c>
      <c r="I366">
        <f t="shared" si="5"/>
        <v>1</v>
      </c>
    </row>
    <row r="367" spans="1:9">
      <c r="A367" s="7" t="s">
        <v>4777</v>
      </c>
      <c r="B367" t="str">
        <f>VLOOKUP(A367,'[1]子sku-父sku'!$A$1:$B$65536,2,0)</f>
        <v>LYQ-ZQ7900</v>
      </c>
      <c r="C367">
        <f>SUMIFS(allorders!O:O,allorders!L:L,$A367,allorders!AG:AG,"&lt;="&amp;日期!$B$5,allorders!AG:AG,"&gt;="&amp;日期!$B$6,allorders!Q:Q,"&lt;&gt;"&amp;"",allorders!N:N,"Shipped")</f>
        <v>0</v>
      </c>
      <c r="D367">
        <f>SUMIFS(allorders!$O:$O,allorders!$L:$L,$A367,allorders!$AG:$AG,"&lt;="&amp;日期!$B$7,allorders!$AG:$AG,"&gt;="&amp;日期!$B$8,allorders!Q:Q,"&lt;&gt;"&amp;"",allorders!N:N,"Shipped")</f>
        <v>1</v>
      </c>
      <c r="E367">
        <f>SUMIFS(allorders!$O:$O,allorders!$L:$L,$A367,allorders!$AG:$AG,"&lt;="&amp;日期!$B$9,allorders!$AG:$AG,"&gt;="&amp;日期!$B$10,allorders!Q:Q,"&lt;&gt;"&amp;"",allorders!N:N,"Shipped")</f>
        <v>0</v>
      </c>
      <c r="F367">
        <f>SUMIFS(allorders!$O:$O,allorders!$L:$L,$A367,allorders!$AG:$AG,"&lt;="&amp;日期!$B$11,allorders!$AG:$AG,"&gt;="&amp;日期!$B$12,allorders!Q:Q,"&lt;&gt;"&amp;"",allorders!N:N,"Shipped")</f>
        <v>0</v>
      </c>
      <c r="G367">
        <f>SUMIFS(allorders!Q:Q,allorders!L:L,A367,allorders!AG:AG,"&lt;="&amp;日期!$B$5,allorders!AG:AG,"&gt;="&amp;日期!$B$12,allorders!N:N,"Shipped")/SUM(C367:F367)</f>
        <v>16.99</v>
      </c>
      <c r="H367">
        <f>SUMIFS(allorders!Q:Q,allorders!L:L,A367,allorders!AG:AG,"&gt;="&amp;日期!$B$12,allorders!AG:AG,"&lt;="&amp;日期!$B$5,allorders!N:N,"Shipped")</f>
        <v>16.99</v>
      </c>
      <c r="I367">
        <f t="shared" si="5"/>
        <v>1</v>
      </c>
    </row>
    <row r="368" spans="1:9">
      <c r="A368" s="7" t="s">
        <v>4860</v>
      </c>
      <c r="B368" t="str">
        <f>VLOOKUP(A368,'[1]子sku-父sku'!$A$1:$B$65536,2,0)</f>
        <v>LYQ-CLBAH002</v>
      </c>
      <c r="C368">
        <f>SUMIFS(allorders!O:O,allorders!L:L,$A368,allorders!AG:AG,"&lt;="&amp;日期!$B$5,allorders!AG:AG,"&gt;="&amp;日期!$B$6,allorders!Q:Q,"&lt;&gt;"&amp;"",allorders!N:N,"Shipped")</f>
        <v>0</v>
      </c>
      <c r="D368">
        <f>SUMIFS(allorders!$O:$O,allorders!$L:$L,$A368,allorders!$AG:$AG,"&lt;="&amp;日期!$B$7,allorders!$AG:$AG,"&gt;="&amp;日期!$B$8,allorders!Q:Q,"&lt;&gt;"&amp;"",allorders!N:N,"Shipped")</f>
        <v>1</v>
      </c>
      <c r="E368">
        <f>SUMIFS(allorders!$O:$O,allorders!$L:$L,$A368,allorders!$AG:$AG,"&lt;="&amp;日期!$B$9,allorders!$AG:$AG,"&gt;="&amp;日期!$B$10,allorders!Q:Q,"&lt;&gt;"&amp;"",allorders!N:N,"Shipped")</f>
        <v>0</v>
      </c>
      <c r="F368">
        <f>SUMIFS(allorders!$O:$O,allorders!$L:$L,$A368,allorders!$AG:$AG,"&lt;="&amp;日期!$B$11,allorders!$AG:$AG,"&gt;="&amp;日期!$B$12,allorders!Q:Q,"&lt;&gt;"&amp;"",allorders!N:N,"Shipped")</f>
        <v>0</v>
      </c>
      <c r="G368">
        <f>SUMIFS(allorders!Q:Q,allorders!L:L,A368,allorders!AG:AG,"&lt;="&amp;日期!$B$5,allorders!AG:AG,"&gt;="&amp;日期!$B$12,allorders!N:N,"Shipped")/SUM(C368:F368)</f>
        <v>29.99</v>
      </c>
      <c r="H368">
        <f>SUMIFS(allorders!Q:Q,allorders!L:L,A368,allorders!AG:AG,"&gt;="&amp;日期!$B$12,allorders!AG:AG,"&lt;="&amp;日期!$B$5,allorders!N:N,"Shipped")</f>
        <v>29.99</v>
      </c>
      <c r="I368">
        <f t="shared" si="5"/>
        <v>1</v>
      </c>
    </row>
    <row r="369" spans="1:9">
      <c r="A369" s="7" t="s">
        <v>4914</v>
      </c>
      <c r="B369" t="str">
        <f>VLOOKUP(A369,'[1]子sku-父sku'!$A$1:$B$65536,2,0)</f>
        <v>LYQ-ZQ2973</v>
      </c>
      <c r="C369">
        <f>SUMIFS(allorders!O:O,allorders!L:L,$A369,allorders!AG:AG,"&lt;="&amp;日期!$B$5,allorders!AG:AG,"&gt;="&amp;日期!$B$6,allorders!Q:Q,"&lt;&gt;"&amp;"",allorders!N:N,"Shipped")</f>
        <v>1</v>
      </c>
      <c r="D369">
        <f>SUMIFS(allorders!$O:$O,allorders!$L:$L,$A369,allorders!$AG:$AG,"&lt;="&amp;日期!$B$7,allorders!$AG:$AG,"&gt;="&amp;日期!$B$8,allorders!Q:Q,"&lt;&gt;"&amp;"",allorders!N:N,"Shipped")</f>
        <v>0</v>
      </c>
      <c r="E369">
        <f>SUMIFS(allorders!$O:$O,allorders!$L:$L,$A369,allorders!$AG:$AG,"&lt;="&amp;日期!$B$9,allorders!$AG:$AG,"&gt;="&amp;日期!$B$10,allorders!Q:Q,"&lt;&gt;"&amp;"",allorders!N:N,"Shipped")</f>
        <v>0</v>
      </c>
      <c r="F369">
        <f>SUMIFS(allorders!$O:$O,allorders!$L:$L,$A369,allorders!$AG:$AG,"&lt;="&amp;日期!$B$11,allorders!$AG:$AG,"&gt;="&amp;日期!$B$12,allorders!Q:Q,"&lt;&gt;"&amp;"",allorders!N:N,"Shipped")</f>
        <v>0</v>
      </c>
      <c r="G369">
        <f>SUMIFS(allorders!Q:Q,allorders!L:L,A369,allorders!AG:AG,"&lt;="&amp;日期!$B$5,allorders!AG:AG,"&gt;="&amp;日期!$B$12,allorders!N:N,"Shipped")/SUM(C369:F369)</f>
        <v>18.99</v>
      </c>
      <c r="H369">
        <f>SUMIFS(allorders!Q:Q,allorders!L:L,A369,allorders!AG:AG,"&gt;="&amp;日期!$B$12,allorders!AG:AG,"&lt;="&amp;日期!$B$5,allorders!N:N,"Shipped")</f>
        <v>18.99</v>
      </c>
      <c r="I369">
        <f t="shared" si="5"/>
        <v>1</v>
      </c>
    </row>
    <row r="370" spans="1:9">
      <c r="A370" s="7" t="s">
        <v>4945</v>
      </c>
      <c r="B370" t="str">
        <f>VLOOKUP(A370,'[1]子sku-父sku'!$A$1:$B$65536,2,0)</f>
        <v>LYQ-ZQPC01</v>
      </c>
      <c r="C370">
        <f>SUMIFS(allorders!O:O,allorders!L:L,$A370,allorders!AG:AG,"&lt;="&amp;日期!$B$5,allorders!AG:AG,"&gt;="&amp;日期!$B$6,allorders!Q:Q,"&lt;&gt;"&amp;"",allorders!N:N,"Shipped")</f>
        <v>1</v>
      </c>
      <c r="D370">
        <f>SUMIFS(allorders!$O:$O,allorders!$L:$L,$A370,allorders!$AG:$AG,"&lt;="&amp;日期!$B$7,allorders!$AG:$AG,"&gt;="&amp;日期!$B$8,allorders!Q:Q,"&lt;&gt;"&amp;"",allorders!N:N,"Shipped")</f>
        <v>0</v>
      </c>
      <c r="E370">
        <f>SUMIFS(allorders!$O:$O,allorders!$L:$L,$A370,allorders!$AG:$AG,"&lt;="&amp;日期!$B$9,allorders!$AG:$AG,"&gt;="&amp;日期!$B$10,allorders!Q:Q,"&lt;&gt;"&amp;"",allorders!N:N,"Shipped")</f>
        <v>0</v>
      </c>
      <c r="F370">
        <f>SUMIFS(allorders!$O:$O,allorders!$L:$L,$A370,allorders!$AG:$AG,"&lt;="&amp;日期!$B$11,allorders!$AG:$AG,"&gt;="&amp;日期!$B$12,allorders!Q:Q,"&lt;&gt;"&amp;"",allorders!N:N,"Shipped")</f>
        <v>0</v>
      </c>
      <c r="G370">
        <f>SUMIFS(allorders!Q:Q,allorders!L:L,A370,allorders!AG:AG,"&lt;="&amp;日期!$B$5,allorders!AG:AG,"&gt;="&amp;日期!$B$12,allorders!N:N,"Shipped")/SUM(C370:F370)</f>
        <v>17.99</v>
      </c>
      <c r="H370">
        <f>SUMIFS(allorders!Q:Q,allorders!L:L,A370,allorders!AG:AG,"&gt;="&amp;日期!$B$12,allorders!AG:AG,"&lt;="&amp;日期!$B$5,allorders!N:N,"Shipped")</f>
        <v>17.99</v>
      </c>
      <c r="I370">
        <f t="shared" si="5"/>
        <v>1</v>
      </c>
    </row>
    <row r="371" spans="1:9">
      <c r="A371" s="7" t="s">
        <v>4997</v>
      </c>
      <c r="B371" t="str">
        <f>VLOOKUP(A371,'[1]子sku-父sku'!$A$1:$B$65536,2,0)</f>
        <v>LYQ-LY064</v>
      </c>
      <c r="C371">
        <f>SUMIFS(allorders!O:O,allorders!L:L,$A371,allorders!AG:AG,"&lt;="&amp;日期!$B$5,allorders!AG:AG,"&gt;="&amp;日期!$B$6,allorders!Q:Q,"&lt;&gt;"&amp;"",allorders!N:N,"Shipped")</f>
        <v>1</v>
      </c>
      <c r="D371">
        <f>SUMIFS(allorders!$O:$O,allorders!$L:$L,$A371,allorders!$AG:$AG,"&lt;="&amp;日期!$B$7,allorders!$AG:$AG,"&gt;="&amp;日期!$B$8,allorders!Q:Q,"&lt;&gt;"&amp;"",allorders!N:N,"Shipped")</f>
        <v>0</v>
      </c>
      <c r="E371">
        <f>SUMIFS(allorders!$O:$O,allorders!$L:$L,$A371,allorders!$AG:$AG,"&lt;="&amp;日期!$B$9,allorders!$AG:$AG,"&gt;="&amp;日期!$B$10,allorders!Q:Q,"&lt;&gt;"&amp;"",allorders!N:N,"Shipped")</f>
        <v>0</v>
      </c>
      <c r="F371">
        <f>SUMIFS(allorders!$O:$O,allorders!$L:$L,$A371,allorders!$AG:$AG,"&lt;="&amp;日期!$B$11,allorders!$AG:$AG,"&gt;="&amp;日期!$B$12,allorders!Q:Q,"&lt;&gt;"&amp;"",allorders!N:N,"Shipped")</f>
        <v>0</v>
      </c>
      <c r="G371">
        <f>SUMIFS(allorders!Q:Q,allorders!L:L,A371,allorders!AG:AG,"&lt;="&amp;日期!$B$5,allorders!AG:AG,"&gt;="&amp;日期!$B$12,allorders!N:N,"Shipped")/SUM(C371:F371)</f>
        <v>18.96</v>
      </c>
      <c r="H371">
        <f>SUMIFS(allorders!Q:Q,allorders!L:L,A371,allorders!AG:AG,"&gt;="&amp;日期!$B$12,allorders!AG:AG,"&lt;="&amp;日期!$B$5,allorders!N:N,"Shipped")</f>
        <v>18.96</v>
      </c>
      <c r="I371">
        <f t="shared" si="5"/>
        <v>1</v>
      </c>
    </row>
    <row r="372" spans="1:9">
      <c r="A372" s="7" t="s">
        <v>5021</v>
      </c>
      <c r="B372" t="str">
        <f>VLOOKUP(A372,'[1]子sku-父sku'!$A$1:$B$65536,2,0)</f>
        <v>YZ-ZQ15827</v>
      </c>
      <c r="C372">
        <f>SUMIFS(allorders!O:O,allorders!L:L,$A372,allorders!AG:AG,"&lt;="&amp;日期!$B$5,allorders!AG:AG,"&gt;="&amp;日期!$B$6,allorders!Q:Q,"&lt;&gt;"&amp;"",allorders!N:N,"Shipped")</f>
        <v>1</v>
      </c>
      <c r="D372">
        <f>SUMIFS(allorders!$O:$O,allorders!$L:$L,$A372,allorders!$AG:$AG,"&lt;="&amp;日期!$B$7,allorders!$AG:$AG,"&gt;="&amp;日期!$B$8,allorders!Q:Q,"&lt;&gt;"&amp;"",allorders!N:N,"Shipped")</f>
        <v>0</v>
      </c>
      <c r="E372">
        <f>SUMIFS(allorders!$O:$O,allorders!$L:$L,$A372,allorders!$AG:$AG,"&lt;="&amp;日期!$B$9,allorders!$AG:$AG,"&gt;="&amp;日期!$B$10,allorders!Q:Q,"&lt;&gt;"&amp;"",allorders!N:N,"Shipped")</f>
        <v>0</v>
      </c>
      <c r="F372">
        <f>SUMIFS(allorders!$O:$O,allorders!$L:$L,$A372,allorders!$AG:$AG,"&lt;="&amp;日期!$B$11,allorders!$AG:$AG,"&gt;="&amp;日期!$B$12,allorders!Q:Q,"&lt;&gt;"&amp;"",allorders!N:N,"Shipped")</f>
        <v>0</v>
      </c>
      <c r="G372">
        <f>SUMIFS(allorders!Q:Q,allorders!L:L,A372,allorders!AG:AG,"&lt;="&amp;日期!$B$5,allorders!AG:AG,"&gt;="&amp;日期!$B$12,allorders!N:N,"Shipped")/SUM(C372:F372)</f>
        <v>20.99</v>
      </c>
      <c r="H372">
        <f>SUMIFS(allorders!Q:Q,allorders!L:L,A372,allorders!AG:AG,"&gt;="&amp;日期!$B$12,allorders!AG:AG,"&lt;="&amp;日期!$B$5,allorders!N:N,"Shipped")</f>
        <v>20.99</v>
      </c>
      <c r="I372">
        <f t="shared" si="5"/>
        <v>1</v>
      </c>
    </row>
    <row r="373" spans="1:9">
      <c r="A373" s="7" t="s">
        <v>5037</v>
      </c>
      <c r="B373" t="str">
        <f>VLOOKUP(A373,'[1]子sku-父sku'!$A$1:$B$65536,2,0)</f>
        <v>YZ-HM17845</v>
      </c>
      <c r="C373">
        <f>SUMIFS(allorders!O:O,allorders!L:L,$A373,allorders!AG:AG,"&lt;="&amp;日期!$B$5,allorders!AG:AG,"&gt;="&amp;日期!$B$6,allorders!Q:Q,"&lt;&gt;"&amp;"",allorders!N:N,"Shipped")</f>
        <v>1</v>
      </c>
      <c r="D373">
        <f>SUMIFS(allorders!$O:$O,allorders!$L:$L,$A373,allorders!$AG:$AG,"&lt;="&amp;日期!$B$7,allorders!$AG:$AG,"&gt;="&amp;日期!$B$8,allorders!Q:Q,"&lt;&gt;"&amp;"",allorders!N:N,"Shipped")</f>
        <v>0</v>
      </c>
      <c r="E373">
        <f>SUMIFS(allorders!$O:$O,allorders!$L:$L,$A373,allorders!$AG:$AG,"&lt;="&amp;日期!$B$9,allorders!$AG:$AG,"&gt;="&amp;日期!$B$10,allorders!Q:Q,"&lt;&gt;"&amp;"",allorders!N:N,"Shipped")</f>
        <v>0</v>
      </c>
      <c r="F373">
        <f>SUMIFS(allorders!$O:$O,allorders!$L:$L,$A373,allorders!$AG:$AG,"&lt;="&amp;日期!$B$11,allorders!$AG:$AG,"&gt;="&amp;日期!$B$12,allorders!Q:Q,"&lt;&gt;"&amp;"",allorders!N:N,"Shipped")</f>
        <v>0</v>
      </c>
      <c r="G373">
        <f>SUMIFS(allorders!Q:Q,allorders!L:L,A373,allorders!AG:AG,"&lt;="&amp;日期!$B$5,allorders!AG:AG,"&gt;="&amp;日期!$B$12,allorders!N:N,"Shipped")/SUM(C373:F373)</f>
        <v>15.86</v>
      </c>
      <c r="H373">
        <f>SUMIFS(allorders!Q:Q,allorders!L:L,A373,allorders!AG:AG,"&gt;="&amp;日期!$B$12,allorders!AG:AG,"&lt;="&amp;日期!$B$5,allorders!N:N,"Shipped")</f>
        <v>15.86</v>
      </c>
      <c r="I373">
        <f t="shared" si="5"/>
        <v>1</v>
      </c>
    </row>
    <row r="374" spans="1:9">
      <c r="A374" s="7" t="s">
        <v>5051</v>
      </c>
      <c r="B374" t="str">
        <f>VLOOKUP(A374,'[1]子sku-父sku'!$A$1:$B$65536,2,0)</f>
        <v>LYQ-ZQPC01</v>
      </c>
      <c r="C374">
        <f>SUMIFS(allorders!O:O,allorders!L:L,$A374,allorders!AG:AG,"&lt;="&amp;日期!$B$5,allorders!AG:AG,"&gt;="&amp;日期!$B$6,allorders!Q:Q,"&lt;&gt;"&amp;"",allorders!N:N,"Shipped")</f>
        <v>1</v>
      </c>
      <c r="D374">
        <f>SUMIFS(allorders!$O:$O,allorders!$L:$L,$A374,allorders!$AG:$AG,"&lt;="&amp;日期!$B$7,allorders!$AG:$AG,"&gt;="&amp;日期!$B$8,allorders!Q:Q,"&lt;&gt;"&amp;"",allorders!N:N,"Shipped")</f>
        <v>0</v>
      </c>
      <c r="E374">
        <f>SUMIFS(allorders!$O:$O,allorders!$L:$L,$A374,allorders!$AG:$AG,"&lt;="&amp;日期!$B$9,allorders!$AG:$AG,"&gt;="&amp;日期!$B$10,allorders!Q:Q,"&lt;&gt;"&amp;"",allorders!N:N,"Shipped")</f>
        <v>0</v>
      </c>
      <c r="F374">
        <f>SUMIFS(allorders!$O:$O,allorders!$L:$L,$A374,allorders!$AG:$AG,"&lt;="&amp;日期!$B$11,allorders!$AG:$AG,"&gt;="&amp;日期!$B$12,allorders!Q:Q,"&lt;&gt;"&amp;"",allorders!N:N,"Shipped")</f>
        <v>0</v>
      </c>
      <c r="G374">
        <f>SUMIFS(allorders!Q:Q,allorders!L:L,A374,allorders!AG:AG,"&lt;="&amp;日期!$B$5,allorders!AG:AG,"&gt;="&amp;日期!$B$12,allorders!N:N,"Shipped")/SUM(C374:F374)</f>
        <v>17.99</v>
      </c>
      <c r="H374">
        <f>SUMIFS(allorders!Q:Q,allorders!L:L,A374,allorders!AG:AG,"&gt;="&amp;日期!$B$12,allorders!AG:AG,"&lt;="&amp;日期!$B$5,allorders!N:N,"Shipped")</f>
        <v>17.99</v>
      </c>
      <c r="I374">
        <f t="shared" si="5"/>
        <v>1</v>
      </c>
    </row>
    <row r="375" spans="1:9">
      <c r="A375" s="7" t="s">
        <v>5096</v>
      </c>
      <c r="B375" t="str">
        <f>VLOOKUP(A375,'[1]子sku-父sku'!$A$1:$B$65536,2,0)</f>
        <v>YZ-ZQ1521</v>
      </c>
      <c r="C375">
        <f>SUMIFS(allorders!O:O,allorders!L:L,$A375,allorders!AG:AG,"&lt;="&amp;日期!$B$5,allorders!AG:AG,"&gt;="&amp;日期!$B$6,allorders!Q:Q,"&lt;&gt;"&amp;"",allorders!N:N,"Shipped")</f>
        <v>1</v>
      </c>
      <c r="D375">
        <f>SUMIFS(allorders!$O:$O,allorders!$L:$L,$A375,allorders!$AG:$AG,"&lt;="&amp;日期!$B$7,allorders!$AG:$AG,"&gt;="&amp;日期!$B$8,allorders!Q:Q,"&lt;&gt;"&amp;"",allorders!N:N,"Shipped")</f>
        <v>0</v>
      </c>
      <c r="E375">
        <f>SUMIFS(allorders!$O:$O,allorders!$L:$L,$A375,allorders!$AG:$AG,"&lt;="&amp;日期!$B$9,allorders!$AG:$AG,"&gt;="&amp;日期!$B$10,allorders!Q:Q,"&lt;&gt;"&amp;"",allorders!N:N,"Shipped")</f>
        <v>0</v>
      </c>
      <c r="F375">
        <f>SUMIFS(allorders!$O:$O,allorders!$L:$L,$A375,allorders!$AG:$AG,"&lt;="&amp;日期!$B$11,allorders!$AG:$AG,"&gt;="&amp;日期!$B$12,allorders!Q:Q,"&lt;&gt;"&amp;"",allorders!N:N,"Shipped")</f>
        <v>0</v>
      </c>
      <c r="G375">
        <f>SUMIFS(allorders!Q:Q,allorders!L:L,A375,allorders!AG:AG,"&lt;="&amp;日期!$B$5,allorders!AG:AG,"&gt;="&amp;日期!$B$12,allorders!N:N,"Shipped")/SUM(C375:F375)</f>
        <v>19.38</v>
      </c>
      <c r="H375">
        <f>SUMIFS(allorders!Q:Q,allorders!L:L,A375,allorders!AG:AG,"&gt;="&amp;日期!$B$12,allorders!AG:AG,"&lt;="&amp;日期!$B$5,allorders!N:N,"Shipped")</f>
        <v>19.38</v>
      </c>
      <c r="I375">
        <f t="shared" si="5"/>
        <v>1</v>
      </c>
    </row>
    <row r="376" spans="1:9">
      <c r="A376" s="7" t="s">
        <v>5104</v>
      </c>
      <c r="B376" t="str">
        <f>VLOOKUP(A376,'[1]子sku-父sku'!$A$1:$B$65536,2,0)</f>
        <v>LYQ-ZQ3550</v>
      </c>
      <c r="C376">
        <f>SUMIFS(allorders!O:O,allorders!L:L,$A376,allorders!AG:AG,"&lt;="&amp;日期!$B$5,allorders!AG:AG,"&gt;="&amp;日期!$B$6,allorders!Q:Q,"&lt;&gt;"&amp;"",allorders!N:N,"Shipped")</f>
        <v>1</v>
      </c>
      <c r="D376">
        <f>SUMIFS(allorders!$O:$O,allorders!$L:$L,$A376,allorders!$AG:$AG,"&lt;="&amp;日期!$B$7,allorders!$AG:$AG,"&gt;="&amp;日期!$B$8,allorders!Q:Q,"&lt;&gt;"&amp;"",allorders!N:N,"Shipped")</f>
        <v>0</v>
      </c>
      <c r="E376">
        <f>SUMIFS(allorders!$O:$O,allorders!$L:$L,$A376,allorders!$AG:$AG,"&lt;="&amp;日期!$B$9,allorders!$AG:$AG,"&gt;="&amp;日期!$B$10,allorders!Q:Q,"&lt;&gt;"&amp;"",allorders!N:N,"Shipped")</f>
        <v>0</v>
      </c>
      <c r="F376">
        <f>SUMIFS(allorders!$O:$O,allorders!$L:$L,$A376,allorders!$AG:$AG,"&lt;="&amp;日期!$B$11,allorders!$AG:$AG,"&gt;="&amp;日期!$B$12,allorders!Q:Q,"&lt;&gt;"&amp;"",allorders!N:N,"Shipped")</f>
        <v>0</v>
      </c>
      <c r="G376">
        <f>SUMIFS(allorders!Q:Q,allorders!L:L,A376,allorders!AG:AG,"&lt;="&amp;日期!$B$5,allorders!AG:AG,"&gt;="&amp;日期!$B$12,allorders!N:N,"Shipped")/SUM(C376:F376)</f>
        <v>14.99</v>
      </c>
      <c r="H376">
        <f>SUMIFS(allorders!Q:Q,allorders!L:L,A376,allorders!AG:AG,"&gt;="&amp;日期!$B$12,allorders!AG:AG,"&lt;="&amp;日期!$B$5,allorders!N:N,"Shipped")</f>
        <v>14.99</v>
      </c>
      <c r="I376">
        <f t="shared" si="5"/>
        <v>1</v>
      </c>
    </row>
    <row r="377" spans="1:9">
      <c r="A377" s="7" t="s">
        <v>5168</v>
      </c>
      <c r="B377" t="str">
        <f>VLOOKUP(A377,'[1]子sku-父sku'!$A$1:$B$65536,2,0)</f>
        <v>LYQ-ZQ7900</v>
      </c>
      <c r="C377">
        <f>SUMIFS(allorders!O:O,allorders!L:L,$A377,allorders!AG:AG,"&lt;="&amp;日期!$B$5,allorders!AG:AG,"&gt;="&amp;日期!$B$6,allorders!Q:Q,"&lt;&gt;"&amp;"",allorders!N:N,"Shipped")</f>
        <v>1</v>
      </c>
      <c r="D377">
        <f>SUMIFS(allorders!$O:$O,allorders!$L:$L,$A377,allorders!$AG:$AG,"&lt;="&amp;日期!$B$7,allorders!$AG:$AG,"&gt;="&amp;日期!$B$8,allorders!Q:Q,"&lt;&gt;"&amp;"",allorders!N:N,"Shipped")</f>
        <v>0</v>
      </c>
      <c r="E377">
        <f>SUMIFS(allorders!$O:$O,allorders!$L:$L,$A377,allorders!$AG:$AG,"&lt;="&amp;日期!$B$9,allorders!$AG:$AG,"&gt;="&amp;日期!$B$10,allorders!Q:Q,"&lt;&gt;"&amp;"",allorders!N:N,"Shipped")</f>
        <v>0</v>
      </c>
      <c r="F377">
        <f>SUMIFS(allorders!$O:$O,allorders!$L:$L,$A377,allorders!$AG:$AG,"&lt;="&amp;日期!$B$11,allorders!$AG:$AG,"&gt;="&amp;日期!$B$12,allorders!Q:Q,"&lt;&gt;"&amp;"",allorders!N:N,"Shipped")</f>
        <v>0</v>
      </c>
      <c r="G377">
        <f>SUMIFS(allorders!Q:Q,allorders!L:L,A377,allorders!AG:AG,"&lt;="&amp;日期!$B$5,allorders!AG:AG,"&gt;="&amp;日期!$B$12,allorders!N:N,"Shipped")/SUM(C377:F377)</f>
        <v>17.99</v>
      </c>
      <c r="H377">
        <f>SUMIFS(allorders!Q:Q,allorders!L:L,A377,allorders!AG:AG,"&gt;="&amp;日期!$B$12,allorders!AG:AG,"&lt;="&amp;日期!$B$5,allorders!N:N,"Shipped")</f>
        <v>17.99</v>
      </c>
      <c r="I377">
        <f t="shared" si="5"/>
        <v>1</v>
      </c>
    </row>
    <row r="378" spans="1:9">
      <c r="A378" s="7" t="s">
        <v>5173</v>
      </c>
      <c r="B378" t="str">
        <f>VLOOKUP(A378,'[1]子sku-父sku'!$A$1:$B$65536,2,0)</f>
        <v>YZ-ZQadn1601</v>
      </c>
      <c r="C378">
        <f>SUMIFS(allorders!O:O,allorders!L:L,$A378,allorders!AG:AG,"&lt;="&amp;日期!$B$5,allorders!AG:AG,"&gt;="&amp;日期!$B$6,allorders!Q:Q,"&lt;&gt;"&amp;"",allorders!N:N,"Shipped")</f>
        <v>2</v>
      </c>
      <c r="D378">
        <f>SUMIFS(allorders!$O:$O,allorders!$L:$L,$A378,allorders!$AG:$AG,"&lt;="&amp;日期!$B$7,allorders!$AG:$AG,"&gt;="&amp;日期!$B$8,allorders!Q:Q,"&lt;&gt;"&amp;"",allorders!N:N,"Shipped")</f>
        <v>0</v>
      </c>
      <c r="E378">
        <f>SUMIFS(allorders!$O:$O,allorders!$L:$L,$A378,allorders!$AG:$AG,"&lt;="&amp;日期!$B$9,allorders!$AG:$AG,"&gt;="&amp;日期!$B$10,allorders!Q:Q,"&lt;&gt;"&amp;"",allorders!N:N,"Shipped")</f>
        <v>0</v>
      </c>
      <c r="F378">
        <f>SUMIFS(allorders!$O:$O,allorders!$L:$L,$A378,allorders!$AG:$AG,"&lt;="&amp;日期!$B$11,allorders!$AG:$AG,"&gt;="&amp;日期!$B$12,allorders!Q:Q,"&lt;&gt;"&amp;"",allorders!N:N,"Shipped")</f>
        <v>0</v>
      </c>
      <c r="G378">
        <f>SUMIFS(allorders!Q:Q,allorders!L:L,A378,allorders!AG:AG,"&lt;="&amp;日期!$B$5,allorders!AG:AG,"&gt;="&amp;日期!$B$12,allorders!N:N,"Shipped")/SUM(C378:F378)</f>
        <v>18.99</v>
      </c>
      <c r="H378">
        <f>SUMIFS(allorders!Q:Q,allorders!L:L,A378,allorders!AG:AG,"&gt;="&amp;日期!$B$12,allorders!AG:AG,"&lt;="&amp;日期!$B$5,allorders!N:N,"Shipped")</f>
        <v>37.98</v>
      </c>
      <c r="I378">
        <f t="shared" si="5"/>
        <v>2</v>
      </c>
    </row>
    <row r="379" spans="1:9">
      <c r="A379" s="7" t="s">
        <v>5287</v>
      </c>
      <c r="B379" t="str">
        <f>VLOOKUP(A379,'[1]子sku-父sku'!$A$1:$B$65536,2,0)</f>
        <v>YZ-ZQ16597</v>
      </c>
      <c r="C379">
        <f>SUMIFS(allorders!O:O,allorders!L:L,$A379,allorders!AG:AG,"&lt;="&amp;日期!$B$5,allorders!AG:AG,"&gt;="&amp;日期!$B$6,allorders!Q:Q,"&lt;&gt;"&amp;"",allorders!N:N,"Shipped")</f>
        <v>1</v>
      </c>
      <c r="D379">
        <f>SUMIFS(allorders!$O:$O,allorders!$L:$L,$A379,allorders!$AG:$AG,"&lt;="&amp;日期!$B$7,allorders!$AG:$AG,"&gt;="&amp;日期!$B$8,allorders!Q:Q,"&lt;&gt;"&amp;"",allorders!N:N,"Shipped")</f>
        <v>0</v>
      </c>
      <c r="E379">
        <f>SUMIFS(allorders!$O:$O,allorders!$L:$L,$A379,allorders!$AG:$AG,"&lt;="&amp;日期!$B$9,allorders!$AG:$AG,"&gt;="&amp;日期!$B$10,allorders!Q:Q,"&lt;&gt;"&amp;"",allorders!N:N,"Shipped")</f>
        <v>0</v>
      </c>
      <c r="F379">
        <f>SUMIFS(allorders!$O:$O,allorders!$L:$L,$A379,allorders!$AG:$AG,"&lt;="&amp;日期!$B$11,allorders!$AG:$AG,"&gt;="&amp;日期!$B$12,allorders!Q:Q,"&lt;&gt;"&amp;"",allorders!N:N,"Shipped")</f>
        <v>0</v>
      </c>
      <c r="G379">
        <f>SUMIFS(allorders!Q:Q,allorders!L:L,A379,allorders!AG:AG,"&lt;="&amp;日期!$B$5,allorders!AG:AG,"&gt;="&amp;日期!$B$12,allorders!N:N,"Shipped")/SUM(C379:F379)</f>
        <v>17.99</v>
      </c>
      <c r="H379">
        <f>SUMIFS(allorders!Q:Q,allorders!L:L,A379,allorders!AG:AG,"&gt;="&amp;日期!$B$12,allorders!AG:AG,"&lt;="&amp;日期!$B$5,allorders!N:N,"Shipped")</f>
        <v>17.99</v>
      </c>
      <c r="I379">
        <f t="shared" si="5"/>
        <v>1</v>
      </c>
    </row>
    <row r="380" spans="1:9">
      <c r="A380" s="7" t="s">
        <v>5403</v>
      </c>
      <c r="B380" t="str">
        <f>VLOOKUP(A380,'[1]子sku-父sku'!$A$1:$B$65536,2,0)</f>
        <v>SHJ-ZQLS12</v>
      </c>
      <c r="C380">
        <f>SUMIFS(allorders!O:O,allorders!L:L,$A380,allorders!AG:AG,"&lt;="&amp;日期!$B$5,allorders!AG:AG,"&gt;="&amp;日期!$B$6,allorders!Q:Q,"&lt;&gt;"&amp;"",allorders!N:N,"Shipped")</f>
        <v>1</v>
      </c>
      <c r="D380">
        <f>SUMIFS(allorders!$O:$O,allorders!$L:$L,$A380,allorders!$AG:$AG,"&lt;="&amp;日期!$B$7,allorders!$AG:$AG,"&gt;="&amp;日期!$B$8,allorders!Q:Q,"&lt;&gt;"&amp;"",allorders!N:N,"Shipped")</f>
        <v>0</v>
      </c>
      <c r="E380">
        <f>SUMIFS(allorders!$O:$O,allorders!$L:$L,$A380,allorders!$AG:$AG,"&lt;="&amp;日期!$B$9,allorders!$AG:$AG,"&gt;="&amp;日期!$B$10,allorders!Q:Q,"&lt;&gt;"&amp;"",allorders!N:N,"Shipped")</f>
        <v>0</v>
      </c>
      <c r="F380">
        <f>SUMIFS(allorders!$O:$O,allorders!$L:$L,$A380,allorders!$AG:$AG,"&lt;="&amp;日期!$B$11,allorders!$AG:$AG,"&gt;="&amp;日期!$B$12,allorders!Q:Q,"&lt;&gt;"&amp;"",allorders!N:N,"Shipped")</f>
        <v>0</v>
      </c>
      <c r="G380">
        <f>SUMIFS(allorders!Q:Q,allorders!L:L,A380,allorders!AG:AG,"&lt;="&amp;日期!$B$5,allorders!AG:AG,"&gt;="&amp;日期!$B$12,allorders!N:N,"Shipped")/SUM(C380:F380)</f>
        <v>19.99</v>
      </c>
      <c r="H380">
        <f>SUMIFS(allorders!Q:Q,allorders!L:L,A380,allorders!AG:AG,"&gt;="&amp;日期!$B$12,allorders!AG:AG,"&lt;="&amp;日期!$B$5,allorders!N:N,"Shipped")</f>
        <v>19.99</v>
      </c>
      <c r="I380">
        <f t="shared" si="5"/>
        <v>1</v>
      </c>
    </row>
    <row r="381" spans="1:9">
      <c r="A381" s="7" t="s">
        <v>5410</v>
      </c>
      <c r="B381" t="str">
        <f>VLOOKUP(A381,'[1]子sku-父sku'!$A$1:$B$65536,2,0)</f>
        <v>YZ-ZQ16597</v>
      </c>
      <c r="C381">
        <f>SUMIFS(allorders!O:O,allorders!L:L,$A381,allorders!AG:AG,"&lt;="&amp;日期!$B$5,allorders!AG:AG,"&gt;="&amp;日期!$B$6,allorders!Q:Q,"&lt;&gt;"&amp;"",allorders!N:N,"Shipped")</f>
        <v>1</v>
      </c>
      <c r="D381">
        <f>SUMIFS(allorders!$O:$O,allorders!$L:$L,$A381,allorders!$AG:$AG,"&lt;="&amp;日期!$B$7,allorders!$AG:$AG,"&gt;="&amp;日期!$B$8,allorders!Q:Q,"&lt;&gt;"&amp;"",allorders!N:N,"Shipped")</f>
        <v>0</v>
      </c>
      <c r="E381">
        <f>SUMIFS(allorders!$O:$O,allorders!$L:$L,$A381,allorders!$AG:$AG,"&lt;="&amp;日期!$B$9,allorders!$AG:$AG,"&gt;="&amp;日期!$B$10,allorders!Q:Q,"&lt;&gt;"&amp;"",allorders!N:N,"Shipped")</f>
        <v>0</v>
      </c>
      <c r="F381">
        <f>SUMIFS(allorders!$O:$O,allorders!$L:$L,$A381,allorders!$AG:$AG,"&lt;="&amp;日期!$B$11,allorders!$AG:$AG,"&gt;="&amp;日期!$B$12,allorders!Q:Q,"&lt;&gt;"&amp;"",allorders!N:N,"Shipped")</f>
        <v>0</v>
      </c>
      <c r="G381">
        <f>SUMIFS(allorders!Q:Q,allorders!L:L,A381,allorders!AG:AG,"&lt;="&amp;日期!$B$5,allorders!AG:AG,"&gt;="&amp;日期!$B$12,allorders!N:N,"Shipped")/SUM(C381:F381)</f>
        <v>17.99</v>
      </c>
      <c r="H381">
        <f>SUMIFS(allorders!Q:Q,allorders!L:L,A381,allorders!AG:AG,"&gt;="&amp;日期!$B$12,allorders!AG:AG,"&lt;="&amp;日期!$B$5,allorders!N:N,"Shipped")</f>
        <v>17.99</v>
      </c>
      <c r="I381">
        <f t="shared" si="5"/>
        <v>1</v>
      </c>
    </row>
    <row r="382" spans="1:9">
      <c r="A382" s="7" t="s">
        <v>5425</v>
      </c>
      <c r="B382" t="str">
        <f>VLOOKUP(A382,'[1]子sku-父sku'!$A$1:$B$65536,2,0)</f>
        <v>LYQ-ZQPC01</v>
      </c>
      <c r="C382">
        <f>SUMIFS(allorders!O:O,allorders!L:L,$A382,allorders!AG:AG,"&lt;="&amp;日期!$B$5,allorders!AG:AG,"&gt;="&amp;日期!$B$6,allorders!Q:Q,"&lt;&gt;"&amp;"",allorders!N:N,"Shipped")</f>
        <v>1</v>
      </c>
      <c r="D382">
        <f>SUMIFS(allorders!$O:$O,allorders!$L:$L,$A382,allorders!$AG:$AG,"&lt;="&amp;日期!$B$7,allorders!$AG:$AG,"&gt;="&amp;日期!$B$8,allorders!Q:Q,"&lt;&gt;"&amp;"",allorders!N:N,"Shipped")</f>
        <v>0</v>
      </c>
      <c r="E382">
        <f>SUMIFS(allorders!$O:$O,allorders!$L:$L,$A382,allorders!$AG:$AG,"&lt;="&amp;日期!$B$9,allorders!$AG:$AG,"&gt;="&amp;日期!$B$10,allorders!Q:Q,"&lt;&gt;"&amp;"",allorders!N:N,"Shipped")</f>
        <v>0</v>
      </c>
      <c r="F382">
        <f>SUMIFS(allorders!$O:$O,allorders!$L:$L,$A382,allorders!$AG:$AG,"&lt;="&amp;日期!$B$11,allorders!$AG:$AG,"&gt;="&amp;日期!$B$12,allorders!Q:Q,"&lt;&gt;"&amp;"",allorders!N:N,"Shipped")</f>
        <v>0</v>
      </c>
      <c r="G382">
        <f>SUMIFS(allorders!Q:Q,allorders!L:L,A382,allorders!AG:AG,"&lt;="&amp;日期!$B$5,allorders!AG:AG,"&gt;="&amp;日期!$B$12,allorders!N:N,"Shipped")/SUM(C382:F382)</f>
        <v>17.99</v>
      </c>
      <c r="H382">
        <f>SUMIFS(allorders!Q:Q,allorders!L:L,A382,allorders!AG:AG,"&gt;="&amp;日期!$B$12,allorders!AG:AG,"&lt;="&amp;日期!$B$5,allorders!N:N,"Shipped")</f>
        <v>17.99</v>
      </c>
      <c r="I382">
        <f t="shared" si="5"/>
        <v>1</v>
      </c>
    </row>
    <row r="383" spans="1:9">
      <c r="A383" s="7" t="s">
        <v>5452</v>
      </c>
      <c r="B383" t="str">
        <f>VLOOKUP(A383,'[1]子sku-父sku'!$A$1:$B$65536,2,0)</f>
        <v>LYQ-CLBAH002</v>
      </c>
      <c r="C383">
        <f>SUMIFS(allorders!O:O,allorders!L:L,$A383,allorders!AG:AG,"&lt;="&amp;日期!$B$5,allorders!AG:AG,"&gt;="&amp;日期!$B$6,allorders!Q:Q,"&lt;&gt;"&amp;"",allorders!N:N,"Shipped")</f>
        <v>1</v>
      </c>
      <c r="D383">
        <f>SUMIFS(allorders!$O:$O,allorders!$L:$L,$A383,allorders!$AG:$AG,"&lt;="&amp;日期!$B$7,allorders!$AG:$AG,"&gt;="&amp;日期!$B$8,allorders!Q:Q,"&lt;&gt;"&amp;"",allorders!N:N,"Shipped")</f>
        <v>0</v>
      </c>
      <c r="E383">
        <f>SUMIFS(allorders!$O:$O,allorders!$L:$L,$A383,allorders!$AG:$AG,"&lt;="&amp;日期!$B$9,allorders!$AG:$AG,"&gt;="&amp;日期!$B$10,allorders!Q:Q,"&lt;&gt;"&amp;"",allorders!N:N,"Shipped")</f>
        <v>0</v>
      </c>
      <c r="F383">
        <f>SUMIFS(allorders!$O:$O,allorders!$L:$L,$A383,allorders!$AG:$AG,"&lt;="&amp;日期!$B$11,allorders!$AG:$AG,"&gt;="&amp;日期!$B$12,allorders!Q:Q,"&lt;&gt;"&amp;"",allorders!N:N,"Shipped")</f>
        <v>0</v>
      </c>
      <c r="G383">
        <f>SUMIFS(allorders!Q:Q,allorders!L:L,A383,allorders!AG:AG,"&lt;="&amp;日期!$B$5,allorders!AG:AG,"&gt;="&amp;日期!$B$12,allorders!N:N,"Shipped")/SUM(C383:F383)</f>
        <v>29.99</v>
      </c>
      <c r="H383">
        <f>SUMIFS(allorders!Q:Q,allorders!L:L,A383,allorders!AG:AG,"&gt;="&amp;日期!$B$12,allorders!AG:AG,"&lt;="&amp;日期!$B$5,allorders!N:N,"Shipped")</f>
        <v>29.99</v>
      </c>
      <c r="I383">
        <f t="shared" si="5"/>
        <v>1</v>
      </c>
    </row>
    <row r="384" spans="1:9">
      <c r="A384" s="7" t="s">
        <v>5496</v>
      </c>
      <c r="B384" t="str">
        <f>VLOOKUP(A384,'[1]子sku-父sku'!$A$1:$B$65536,2,0)</f>
        <v>YZ-ZQ15905</v>
      </c>
      <c r="C384">
        <f>SUMIFS(allorders!O:O,allorders!L:L,$A384,allorders!AG:AG,"&lt;="&amp;日期!$B$5,allorders!AG:AG,"&gt;="&amp;日期!$B$6,allorders!Q:Q,"&lt;&gt;"&amp;"",allorders!N:N,"Shipped")</f>
        <v>1</v>
      </c>
      <c r="D384">
        <f>SUMIFS(allorders!$O:$O,allorders!$L:$L,$A384,allorders!$AG:$AG,"&lt;="&amp;日期!$B$7,allorders!$AG:$AG,"&gt;="&amp;日期!$B$8,allorders!Q:Q,"&lt;&gt;"&amp;"",allorders!N:N,"Shipped")</f>
        <v>0</v>
      </c>
      <c r="E384">
        <f>SUMIFS(allorders!$O:$O,allorders!$L:$L,$A384,allorders!$AG:$AG,"&lt;="&amp;日期!$B$9,allorders!$AG:$AG,"&gt;="&amp;日期!$B$10,allorders!Q:Q,"&lt;&gt;"&amp;"",allorders!N:N,"Shipped")</f>
        <v>0</v>
      </c>
      <c r="F384">
        <f>SUMIFS(allorders!$O:$O,allorders!$L:$L,$A384,allorders!$AG:$AG,"&lt;="&amp;日期!$B$11,allorders!$AG:$AG,"&gt;="&amp;日期!$B$12,allorders!Q:Q,"&lt;&gt;"&amp;"",allorders!N:N,"Shipped")</f>
        <v>0</v>
      </c>
      <c r="G384">
        <f>SUMIFS(allorders!Q:Q,allorders!L:L,A384,allorders!AG:AG,"&lt;="&amp;日期!$B$5,allorders!AG:AG,"&gt;="&amp;日期!$B$12,allorders!N:N,"Shipped")/SUM(C384:F384)</f>
        <v>19.99</v>
      </c>
      <c r="H384">
        <f>SUMIFS(allorders!Q:Q,allorders!L:L,A384,allorders!AG:AG,"&gt;="&amp;日期!$B$12,allorders!AG:AG,"&lt;="&amp;日期!$B$5,allorders!N:N,"Shipped")</f>
        <v>19.99</v>
      </c>
      <c r="I384">
        <f t="shared" si="5"/>
        <v>1</v>
      </c>
    </row>
    <row r="385" spans="1:9">
      <c r="A385" s="7" t="s">
        <v>5641</v>
      </c>
      <c r="B385" t="str">
        <f>VLOOKUP(A385,'[1]子sku-父sku'!$A$1:$B$65536,2,0)</f>
        <v>YZ-ZQ1521</v>
      </c>
      <c r="C385">
        <f>SUMIFS(allorders!O:O,allorders!L:L,$A385,allorders!AG:AG,"&lt;="&amp;日期!$B$5,allorders!AG:AG,"&gt;="&amp;日期!$B$6,allorders!Q:Q,"&lt;&gt;"&amp;"",allorders!N:N,"Shipped")</f>
        <v>1</v>
      </c>
      <c r="D385">
        <f>SUMIFS(allorders!$O:$O,allorders!$L:$L,$A385,allorders!$AG:$AG,"&lt;="&amp;日期!$B$7,allorders!$AG:$AG,"&gt;="&amp;日期!$B$8,allorders!Q:Q,"&lt;&gt;"&amp;"",allorders!N:N,"Shipped")</f>
        <v>0</v>
      </c>
      <c r="E385">
        <f>SUMIFS(allorders!$O:$O,allorders!$L:$L,$A385,allorders!$AG:$AG,"&lt;="&amp;日期!$B$9,allorders!$AG:$AG,"&gt;="&amp;日期!$B$10,allorders!Q:Q,"&lt;&gt;"&amp;"",allorders!N:N,"Shipped")</f>
        <v>0</v>
      </c>
      <c r="F385">
        <f>SUMIFS(allorders!$O:$O,allorders!$L:$L,$A385,allorders!$AG:$AG,"&lt;="&amp;日期!$B$11,allorders!$AG:$AG,"&gt;="&amp;日期!$B$12,allorders!Q:Q,"&lt;&gt;"&amp;"",allorders!N:N,"Shipped")</f>
        <v>0</v>
      </c>
      <c r="G385">
        <f>SUMIFS(allorders!Q:Q,allorders!L:L,A385,allorders!AG:AG,"&lt;="&amp;日期!$B$5,allorders!AG:AG,"&gt;="&amp;日期!$B$12,allorders!N:N,"Shipped")/SUM(C385:F385)</f>
        <v>19.38</v>
      </c>
      <c r="H385">
        <f>SUMIFS(allorders!Q:Q,allorders!L:L,A385,allorders!AG:AG,"&gt;="&amp;日期!$B$12,allorders!AG:AG,"&lt;="&amp;日期!$B$5,allorders!N:N,"Shipped")</f>
        <v>19.38</v>
      </c>
      <c r="I385">
        <f t="shared" si="5"/>
        <v>1</v>
      </c>
    </row>
    <row r="386" spans="1:9">
      <c r="A386" s="7" t="s">
        <v>5672</v>
      </c>
      <c r="B386" t="str">
        <f>VLOOKUP(A386,'[1]子sku-父sku'!$A$1:$B$65536,2,0)</f>
        <v>LYQ-ZQ2973</v>
      </c>
      <c r="C386">
        <f>SUMIFS(allorders!O:O,allorders!L:L,$A386,allorders!AG:AG,"&lt;="&amp;日期!$B$5,allorders!AG:AG,"&gt;="&amp;日期!$B$6,allorders!Q:Q,"&lt;&gt;"&amp;"",allorders!N:N,"Shipped")</f>
        <v>1</v>
      </c>
      <c r="D386">
        <f>SUMIFS(allorders!$O:$O,allorders!$L:$L,$A386,allorders!$AG:$AG,"&lt;="&amp;日期!$B$7,allorders!$AG:$AG,"&gt;="&amp;日期!$B$8,allorders!Q:Q,"&lt;&gt;"&amp;"",allorders!N:N,"Shipped")</f>
        <v>0</v>
      </c>
      <c r="E386">
        <f>SUMIFS(allorders!$O:$O,allorders!$L:$L,$A386,allorders!$AG:$AG,"&lt;="&amp;日期!$B$9,allorders!$AG:$AG,"&gt;="&amp;日期!$B$10,allorders!Q:Q,"&lt;&gt;"&amp;"",allorders!N:N,"Shipped")</f>
        <v>0</v>
      </c>
      <c r="F386">
        <f>SUMIFS(allorders!$O:$O,allorders!$L:$L,$A386,allorders!$AG:$AG,"&lt;="&amp;日期!$B$11,allorders!$AG:$AG,"&gt;="&amp;日期!$B$12,allorders!Q:Q,"&lt;&gt;"&amp;"",allorders!N:N,"Shipped")</f>
        <v>0</v>
      </c>
      <c r="G386">
        <f>SUMIFS(allorders!Q:Q,allorders!L:L,A386,allorders!AG:AG,"&lt;="&amp;日期!$B$5,allorders!AG:AG,"&gt;="&amp;日期!$B$12,allorders!N:N,"Shipped")/SUM(C386:F386)</f>
        <v>18.99</v>
      </c>
      <c r="H386">
        <f>SUMIFS(allorders!Q:Q,allorders!L:L,A386,allorders!AG:AG,"&gt;="&amp;日期!$B$12,allorders!AG:AG,"&lt;="&amp;日期!$B$5,allorders!N:N,"Shipped")</f>
        <v>18.99</v>
      </c>
      <c r="I386">
        <f t="shared" si="5"/>
        <v>1</v>
      </c>
    </row>
    <row r="387" spans="1:9">
      <c r="A387" s="7" t="s">
        <v>5710</v>
      </c>
      <c r="B387" t="str">
        <f>VLOOKUP(A387,'[1]子sku-父sku'!$A$1:$B$65536,2,0)</f>
        <v>YZ-ZQ15827</v>
      </c>
      <c r="C387">
        <f>SUMIFS(allorders!O:O,allorders!L:L,$A387,allorders!AG:AG,"&lt;="&amp;日期!$B$5,allorders!AG:AG,"&gt;="&amp;日期!$B$6,allorders!Q:Q,"&lt;&gt;"&amp;"",allorders!N:N,"Shipped")</f>
        <v>1</v>
      </c>
      <c r="D387">
        <f>SUMIFS(allorders!$O:$O,allorders!$L:$L,$A387,allorders!$AG:$AG,"&lt;="&amp;日期!$B$7,allorders!$AG:$AG,"&gt;="&amp;日期!$B$8,allorders!Q:Q,"&lt;&gt;"&amp;"",allorders!N:N,"Shipped")</f>
        <v>0</v>
      </c>
      <c r="E387">
        <f>SUMIFS(allorders!$O:$O,allorders!$L:$L,$A387,allorders!$AG:$AG,"&lt;="&amp;日期!$B$9,allorders!$AG:$AG,"&gt;="&amp;日期!$B$10,allorders!Q:Q,"&lt;&gt;"&amp;"",allorders!N:N,"Shipped")</f>
        <v>0</v>
      </c>
      <c r="F387">
        <f>SUMIFS(allorders!$O:$O,allorders!$L:$L,$A387,allorders!$AG:$AG,"&lt;="&amp;日期!$B$11,allorders!$AG:$AG,"&gt;="&amp;日期!$B$12,allorders!Q:Q,"&lt;&gt;"&amp;"",allorders!N:N,"Shipped")</f>
        <v>0</v>
      </c>
      <c r="G387">
        <f>SUMIFS(allorders!Q:Q,allorders!L:L,A387,allorders!AG:AG,"&lt;="&amp;日期!$B$5,allorders!AG:AG,"&gt;="&amp;日期!$B$12,allorders!N:N,"Shipped")/SUM(C387:F387)</f>
        <v>20.99</v>
      </c>
      <c r="H387">
        <f>SUMIFS(allorders!Q:Q,allorders!L:L,A387,allorders!AG:AG,"&gt;="&amp;日期!$B$12,allorders!AG:AG,"&lt;="&amp;日期!$B$5,allorders!N:N,"Shipped")</f>
        <v>20.99</v>
      </c>
      <c r="I387">
        <f>SUM(C387:F387)</f>
        <v>1</v>
      </c>
    </row>
    <row r="1102" spans="1:1">
      <c r="A1102" s="7" t="s">
        <v>1170</v>
      </c>
    </row>
    <row r="1199" spans="1:1">
      <c r="A1199" s="7" t="s">
        <v>1236</v>
      </c>
    </row>
    <row r="7459" spans="1:1">
      <c r="A7459" s="7" t="s">
        <v>5771</v>
      </c>
    </row>
  </sheetData>
  <autoFilter ref="B3:B409">
    <extLst/>
  </autoFilter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5772</v>
      </c>
      <c r="B1" s="2">
        <f>B12</f>
        <v>43311</v>
      </c>
      <c r="C1" s="3"/>
    </row>
    <row r="2" spans="1:3">
      <c r="A2" s="1" t="s">
        <v>5773</v>
      </c>
      <c r="B2" s="2">
        <v>43338</v>
      </c>
      <c r="C2" s="3"/>
    </row>
    <row r="3" spans="1:2">
      <c r="A3" s="1"/>
      <c r="B3" s="1"/>
    </row>
    <row r="4" spans="1:2">
      <c r="A4" s="1" t="s">
        <v>5774</v>
      </c>
      <c r="B4" s="1"/>
    </row>
    <row r="5" spans="1:2">
      <c r="A5" s="1" t="s">
        <v>5775</v>
      </c>
      <c r="B5" s="4">
        <f>B2</f>
        <v>43338</v>
      </c>
    </row>
    <row r="6" spans="1:2">
      <c r="A6" s="1" t="s">
        <v>5776</v>
      </c>
      <c r="B6" s="5">
        <f>B5-6</f>
        <v>43332</v>
      </c>
    </row>
    <row r="7" spans="1:2">
      <c r="A7" s="1" t="s">
        <v>5777</v>
      </c>
      <c r="B7" s="5">
        <f>B5-7</f>
        <v>43331</v>
      </c>
    </row>
    <row r="8" spans="1:2">
      <c r="A8" s="1" t="s">
        <v>5778</v>
      </c>
      <c r="B8" s="5">
        <f>B5-13</f>
        <v>43325</v>
      </c>
    </row>
    <row r="9" spans="1:2">
      <c r="A9" s="1" t="s">
        <v>5779</v>
      </c>
      <c r="B9" s="5">
        <f>B5-14</f>
        <v>43324</v>
      </c>
    </row>
    <row r="10" spans="1:2">
      <c r="A10" s="1" t="s">
        <v>5780</v>
      </c>
      <c r="B10" s="5">
        <f>B5-20</f>
        <v>43318</v>
      </c>
    </row>
    <row r="11" spans="1:2">
      <c r="A11" s="1" t="s">
        <v>5781</v>
      </c>
      <c r="B11" s="5">
        <f>B5-21</f>
        <v>43317</v>
      </c>
    </row>
    <row r="12" spans="1:2">
      <c r="A12" s="1" t="s">
        <v>5782</v>
      </c>
      <c r="B12" s="5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0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8"/>
  <sheetViews>
    <sheetView workbookViewId="0">
      <selection activeCell="B2" sqref="B2:B386"/>
    </sheetView>
  </sheetViews>
  <sheetFormatPr defaultColWidth="9" defaultRowHeight="14.25" outlineLevelCol="1"/>
  <cols>
    <col min="1" max="1" width="17.125" customWidth="1"/>
    <col min="2" max="2" width="12.625"/>
  </cols>
  <sheetData>
    <row r="1" spans="1:2">
      <c r="A1" t="s">
        <v>5763</v>
      </c>
      <c r="B1" t="s">
        <v>5783</v>
      </c>
    </row>
    <row r="2" spans="1:2">
      <c r="A2" t="s">
        <v>5784</v>
      </c>
      <c r="B2">
        <f>SUMIF(库存报告使用数据处理!B:B,A2,库存报告使用数据处理!H:H)/SUMIF(库存报告使用数据处理!B:B,A2,库存报告使用数据处理!I:I)</f>
        <v>19.99</v>
      </c>
    </row>
    <row r="3" spans="1:2">
      <c r="A3" t="s">
        <v>5785</v>
      </c>
      <c r="B3">
        <f>SUMIF(库存报告使用数据处理!B:B,A3,库存报告使用数据处理!H:H)/SUMIF(库存报告使用数据处理!B:B,A3,库存报告使用数据处理!I:I)</f>
        <v>16.2592307692308</v>
      </c>
    </row>
    <row r="4" spans="1:2">
      <c r="A4" t="s">
        <v>5786</v>
      </c>
      <c r="B4">
        <f>SUMIF(库存报告使用数据处理!B:B,A4,库存报告使用数据处理!H:H)/SUMIF(库存报告使用数据处理!B:B,A4,库存报告使用数据处理!I:I)</f>
        <v>16.99</v>
      </c>
    </row>
    <row r="5" spans="1:2">
      <c r="A5" t="s">
        <v>5787</v>
      </c>
      <c r="B5">
        <f>SUMIF(库存报告使用数据处理!B:B,A5,库存报告使用数据处理!H:H)/SUMIF(库存报告使用数据处理!B:B,A5,库存报告使用数据处理!I:I)</f>
        <v>20.962972972973</v>
      </c>
    </row>
    <row r="6" spans="1:2">
      <c r="A6" t="s">
        <v>5788</v>
      </c>
      <c r="B6">
        <f>SUMIF(库存报告使用数据处理!B:B,A6,库存报告使用数据处理!H:H)/SUMIF(库存报告使用数据处理!B:B,A6,库存报告使用数据处理!I:I)</f>
        <v>15.5410204081633</v>
      </c>
    </row>
    <row r="7" spans="1:2">
      <c r="A7" t="s">
        <v>5789</v>
      </c>
      <c r="B7">
        <f>SUMIF(库存报告使用数据处理!B:B,A7,库存报告使用数据处理!H:H)/SUMIF(库存报告使用数据处理!B:B,A7,库存报告使用数据处理!I:I)</f>
        <v>18.1968965517241</v>
      </c>
    </row>
    <row r="8" spans="1:2">
      <c r="A8" t="s">
        <v>5790</v>
      </c>
      <c r="B8" t="e">
        <f>SUMIF(库存报告使用数据处理!B:B,A8,库存报告使用数据处理!H:H)/SUMIF(库存报告使用数据处理!B:B,A8,库存报告使用数据处理!I:I)</f>
        <v>#DIV/0!</v>
      </c>
    </row>
    <row r="9" spans="1:2">
      <c r="A9" t="s">
        <v>5791</v>
      </c>
      <c r="B9">
        <f>SUMIF(库存报告使用数据处理!B:B,A9,库存报告使用数据处理!H:H)/SUMIF(库存报告使用数据处理!B:B,A9,库存报告使用数据处理!I:I)</f>
        <v>18.24</v>
      </c>
    </row>
    <row r="10" spans="1:2">
      <c r="A10" t="s">
        <v>5792</v>
      </c>
      <c r="B10">
        <f>SUMIF(库存报告使用数据处理!B:B,A10,库存报告使用数据处理!H:H)/SUMIF(库存报告使用数据处理!B:B,A10,库存报告使用数据处理!I:I)</f>
        <v>18.99</v>
      </c>
    </row>
    <row r="11" spans="1:2">
      <c r="A11" t="s">
        <v>5793</v>
      </c>
      <c r="B11">
        <f>SUMIF(库存报告使用数据处理!B:B,A11,库存报告使用数据处理!H:H)/SUMIF(库存报告使用数据处理!B:B,A11,库存报告使用数据处理!I:I)</f>
        <v>19.4706756756757</v>
      </c>
    </row>
    <row r="12" spans="1:2">
      <c r="A12" t="s">
        <v>5794</v>
      </c>
      <c r="B12">
        <f>SUMIF(库存报告使用数据处理!B:B,A12,库存报告使用数据处理!H:H)/SUMIF(库存报告使用数据处理!B:B,A12,库存报告使用数据处理!I:I)</f>
        <v>19.99</v>
      </c>
    </row>
    <row r="13" spans="1:2">
      <c r="A13" t="s">
        <v>5795</v>
      </c>
      <c r="B13">
        <f>SUMIF(库存报告使用数据处理!B:B,A13,库存报告使用数据处理!H:H)/SUMIF(库存报告使用数据处理!B:B,A13,库存报告使用数据处理!I:I)</f>
        <v>17.74</v>
      </c>
    </row>
    <row r="14" spans="1:2">
      <c r="A14" t="s">
        <v>5796</v>
      </c>
      <c r="B14">
        <f>SUMIF(库存报告使用数据处理!B:B,A14,库存报告使用数据处理!H:H)/SUMIF(库存报告使用数据处理!B:B,A14,库存报告使用数据处理!I:I)</f>
        <v>19.99</v>
      </c>
    </row>
    <row r="15" spans="1:2">
      <c r="A15" t="s">
        <v>5797</v>
      </c>
      <c r="B15">
        <f>SUMIF(库存报告使用数据处理!B:B,A15,库存报告使用数据处理!H:H)/SUMIF(库存报告使用数据处理!B:B,A15,库存报告使用数据处理!I:I)</f>
        <v>19.99</v>
      </c>
    </row>
    <row r="16" spans="1:2">
      <c r="A16" t="s">
        <v>5798</v>
      </c>
      <c r="B16">
        <f>SUMIF(库存报告使用数据处理!B:B,A16,库存报告使用数据处理!H:H)/SUMIF(库存报告使用数据处理!B:B,A16,库存报告使用数据处理!I:I)</f>
        <v>17.48</v>
      </c>
    </row>
    <row r="17" spans="1:2">
      <c r="A17" t="s">
        <v>5799</v>
      </c>
      <c r="B17">
        <f>SUMIF(库存报告使用数据处理!B:B,A17,库存报告使用数据处理!H:H)/SUMIF(库存报告使用数据处理!B:B,A17,库存报告使用数据处理!I:I)</f>
        <v>16.99</v>
      </c>
    </row>
    <row r="18" spans="1:2">
      <c r="A18" t="s">
        <v>5800</v>
      </c>
      <c r="B18">
        <f>SUMIF(库存报告使用数据处理!B:B,A18,库存报告使用数据处理!H:H)/SUMIF(库存报告使用数据处理!B:B,A18,库存报告使用数据处理!I:I)</f>
        <v>19.99</v>
      </c>
    </row>
    <row r="19" spans="1:2">
      <c r="A19" t="s">
        <v>5801</v>
      </c>
      <c r="B19">
        <f>SUMIF(库存报告使用数据处理!B:B,A19,库存报告使用数据处理!H:H)/SUMIF(库存报告使用数据处理!B:B,A19,库存报告使用数据处理!I:I)</f>
        <v>15.09</v>
      </c>
    </row>
    <row r="20" spans="1:2">
      <c r="A20" t="s">
        <v>5802</v>
      </c>
      <c r="B20" t="e">
        <f>SUMIF(库存报告使用数据处理!B:B,A20,库存报告使用数据处理!H:H)/SUMIF(库存报告使用数据处理!B:B,A20,库存报告使用数据处理!I:I)</f>
        <v>#DIV/0!</v>
      </c>
    </row>
    <row r="21" spans="1:2">
      <c r="A21" t="s">
        <v>5803</v>
      </c>
      <c r="B21">
        <f>SUMIF(库存报告使用数据处理!B:B,A21,库存报告使用数据处理!H:H)/SUMIF(库存报告使用数据处理!B:B,A21,库存报告使用数据处理!I:I)</f>
        <v>17.99</v>
      </c>
    </row>
    <row r="22" spans="1:2">
      <c r="A22" t="s">
        <v>5804</v>
      </c>
      <c r="B22">
        <f>SUMIF(库存报告使用数据处理!B:B,A22,库存报告使用数据处理!H:H)/SUMIF(库存报告使用数据处理!B:B,A22,库存报告使用数据处理!I:I)</f>
        <v>19.49</v>
      </c>
    </row>
    <row r="23" spans="1:2">
      <c r="A23" t="s">
        <v>5805</v>
      </c>
      <c r="B23">
        <f>SUMIF(库存报告使用数据处理!B:B,A23,库存报告使用数据处理!H:H)/SUMIF(库存报告使用数据处理!B:B,A23,库存报告使用数据处理!I:I)</f>
        <v>25.99</v>
      </c>
    </row>
    <row r="24" spans="1:2">
      <c r="A24" t="s">
        <v>5806</v>
      </c>
      <c r="B24">
        <f>SUMIF(库存报告使用数据处理!B:B,A24,库存报告使用数据处理!H:H)/SUMIF(库存报告使用数据处理!B:B,A24,库存报告使用数据处理!I:I)</f>
        <v>12.99</v>
      </c>
    </row>
    <row r="25" spans="1:2">
      <c r="A25" t="s">
        <v>5807</v>
      </c>
      <c r="B25">
        <f>SUMIF(库存报告使用数据处理!B:B,A25,库存报告使用数据处理!H:H)/SUMIF(库存报告使用数据处理!B:B,A25,库存报告使用数据处理!I:I)</f>
        <v>16.99</v>
      </c>
    </row>
    <row r="26" spans="1:2">
      <c r="A26" t="s">
        <v>5808</v>
      </c>
      <c r="B26">
        <f>SUMIF(库存报告使用数据处理!B:B,A26,库存报告使用数据处理!H:H)/SUMIF(库存报告使用数据处理!B:B,A26,库存报告使用数据处理!I:I)</f>
        <v>20.74</v>
      </c>
    </row>
    <row r="27" spans="1:2">
      <c r="A27" t="s">
        <v>5809</v>
      </c>
      <c r="B27">
        <f>SUMIF(库存报告使用数据处理!B:B,A27,库存报告使用数据处理!H:H)/SUMIF(库存报告使用数据处理!B:B,A27,库存报告使用数据处理!I:I)</f>
        <v>18.99</v>
      </c>
    </row>
    <row r="28" spans="1:2">
      <c r="A28" t="s">
        <v>5810</v>
      </c>
      <c r="B28">
        <f>SUMIF(库存报告使用数据处理!B:B,A28,库存报告使用数据处理!H:H)/SUMIF(库存报告使用数据处理!B:B,A28,库存报告使用数据处理!I:I)</f>
        <v>13.88</v>
      </c>
    </row>
    <row r="29" spans="1:2">
      <c r="A29" t="s">
        <v>5811</v>
      </c>
      <c r="B29">
        <f>SUMIF(库存报告使用数据处理!B:B,A29,库存报告使用数据处理!H:H)/SUMIF(库存报告使用数据处理!B:B,A29,库存报告使用数据处理!I:I)</f>
        <v>11.99</v>
      </c>
    </row>
    <row r="30" spans="1:2">
      <c r="A30" t="s">
        <v>5812</v>
      </c>
      <c r="B30">
        <f>SUMIF(库存报告使用数据处理!B:B,A30,库存报告使用数据处理!H:H)/SUMIF(库存报告使用数据处理!B:B,A30,库存报告使用数据处理!I:I)</f>
        <v>19.99</v>
      </c>
    </row>
    <row r="31" spans="1:2">
      <c r="A31" t="s">
        <v>5813</v>
      </c>
      <c r="B31">
        <f>SUMIF(库存报告使用数据处理!B:B,A31,库存报告使用数据处理!H:H)/SUMIF(库存报告使用数据处理!B:B,A31,库存报告使用数据处理!I:I)</f>
        <v>18.96</v>
      </c>
    </row>
    <row r="32" spans="1:2">
      <c r="A32" t="s">
        <v>5814</v>
      </c>
      <c r="B32">
        <f>SUMIF(库存报告使用数据处理!B:B,A32,库存报告使用数据处理!H:H)/SUMIF(库存报告使用数据处理!B:B,A32,库存报告使用数据处理!I:I)</f>
        <v>18.98</v>
      </c>
    </row>
    <row r="33" spans="1:2">
      <c r="A33" t="s">
        <v>5815</v>
      </c>
      <c r="B33">
        <f>SUMIF(库存报告使用数据处理!B:B,A33,库存报告使用数据处理!H:H)/SUMIF(库存报告使用数据处理!B:B,A33,库存报告使用数据处理!I:I)</f>
        <v>16.99</v>
      </c>
    </row>
    <row r="34" spans="1:2">
      <c r="A34" t="s">
        <v>5816</v>
      </c>
      <c r="B34">
        <f>SUMIF(库存报告使用数据处理!B:B,A34,库存报告使用数据处理!H:H)/SUMIF(库存报告使用数据处理!B:B,A34,库存报告使用数据处理!I:I)</f>
        <v>16.99</v>
      </c>
    </row>
    <row r="35" spans="1:2">
      <c r="A35" t="s">
        <v>5817</v>
      </c>
      <c r="B35">
        <f>SUMIF(库存报告使用数据处理!B:B,A35,库存报告使用数据处理!H:H)/SUMIF(库存报告使用数据处理!B:B,A35,库存报告使用数据处理!I:I)</f>
        <v>18.98</v>
      </c>
    </row>
    <row r="36" spans="1:2">
      <c r="A36" t="s">
        <v>5818</v>
      </c>
      <c r="B36">
        <f>SUMIF(库存报告使用数据处理!B:B,A36,库存报告使用数据处理!H:H)/SUMIF(库存报告使用数据处理!B:B,A36,库存报告使用数据处理!I:I)</f>
        <v>16.99</v>
      </c>
    </row>
    <row r="37" spans="1:2">
      <c r="A37" t="s">
        <v>5819</v>
      </c>
      <c r="B37">
        <f>SUMIF(库存报告使用数据处理!B:B,A37,库存报告使用数据处理!H:H)/SUMIF(库存报告使用数据处理!B:B,A37,库存报告使用数据处理!I:I)</f>
        <v>16.99</v>
      </c>
    </row>
    <row r="38" spans="1:2">
      <c r="A38" t="s">
        <v>5820</v>
      </c>
      <c r="B38">
        <f>SUMIF(库存报告使用数据处理!B:B,A38,库存报告使用数据处理!H:H)/SUMIF(库存报告使用数据处理!B:B,A38,库存报告使用数据处理!I:I)</f>
        <v>17.99</v>
      </c>
    </row>
    <row r="39" spans="1:2">
      <c r="A39" t="s">
        <v>5821</v>
      </c>
      <c r="B39" t="e">
        <f>SUMIF(库存报告使用数据处理!B:B,A39,库存报告使用数据处理!H:H)/SUMIF(库存报告使用数据处理!B:B,A39,库存报告使用数据处理!I:I)</f>
        <v>#DIV/0!</v>
      </c>
    </row>
    <row r="40" spans="1:2">
      <c r="A40" t="s">
        <v>5822</v>
      </c>
      <c r="B40" t="e">
        <f>SUMIF(库存报告使用数据处理!B:B,A40,库存报告使用数据处理!H:H)/SUMIF(库存报告使用数据处理!B:B,A40,库存报告使用数据处理!I:I)</f>
        <v>#DIV/0!</v>
      </c>
    </row>
    <row r="41" spans="1:2">
      <c r="A41" t="s">
        <v>5823</v>
      </c>
      <c r="B41" t="e">
        <f>SUMIF(库存报告使用数据处理!B:B,A41,库存报告使用数据处理!H:H)/SUMIF(库存报告使用数据处理!B:B,A41,库存报告使用数据处理!I:I)</f>
        <v>#DIV/0!</v>
      </c>
    </row>
    <row r="42" spans="1:2">
      <c r="A42" t="s">
        <v>5824</v>
      </c>
      <c r="B42" t="e">
        <f>SUMIF(库存报告使用数据处理!B:B,A42,库存报告使用数据处理!H:H)/SUMIF(库存报告使用数据处理!B:B,A42,库存报告使用数据处理!I:I)</f>
        <v>#DIV/0!</v>
      </c>
    </row>
    <row r="43" spans="1:2">
      <c r="A43" t="s">
        <v>5825</v>
      </c>
      <c r="B43">
        <f>SUMIF(库存报告使用数据处理!B:B,A43,库存报告使用数据处理!H:H)/SUMIF(库存报告使用数据处理!B:B,A43,库存报告使用数据处理!I:I)</f>
        <v>16.99</v>
      </c>
    </row>
    <row r="44" spans="1:2">
      <c r="A44" t="s">
        <v>5826</v>
      </c>
      <c r="B44">
        <f>SUMIF(库存报告使用数据处理!B:B,A44,库存报告使用数据处理!H:H)/SUMIF(库存报告使用数据处理!B:B,A44,库存报告使用数据处理!I:I)</f>
        <v>19.99</v>
      </c>
    </row>
    <row r="45" spans="1:2">
      <c r="A45" t="s">
        <v>5827</v>
      </c>
      <c r="B45" t="e">
        <f>SUMIF(库存报告使用数据处理!B:B,A45,库存报告使用数据处理!H:H)/SUMIF(库存报告使用数据处理!B:B,A45,库存报告使用数据处理!I:I)</f>
        <v>#DIV/0!</v>
      </c>
    </row>
    <row r="46" spans="1:2">
      <c r="A46" t="s">
        <v>5828</v>
      </c>
      <c r="B46" t="e">
        <f>SUMIF(库存报告使用数据处理!B:B,A46,库存报告使用数据处理!H:H)/SUMIF(库存报告使用数据处理!B:B,A46,库存报告使用数据处理!I:I)</f>
        <v>#DIV/0!</v>
      </c>
    </row>
    <row r="47" spans="1:2">
      <c r="A47" t="s">
        <v>5829</v>
      </c>
      <c r="B47" t="e">
        <f>SUMIF(库存报告使用数据处理!B:B,A47,库存报告使用数据处理!H:H)/SUMIF(库存报告使用数据处理!B:B,A47,库存报告使用数据处理!I:I)</f>
        <v>#DIV/0!</v>
      </c>
    </row>
    <row r="48" spans="1:2">
      <c r="A48" t="s">
        <v>5830</v>
      </c>
      <c r="B48" t="e">
        <f>SUMIF(库存报告使用数据处理!B:B,A48,库存报告使用数据处理!H:H)/SUMIF(库存报告使用数据处理!B:B,A48,库存报告使用数据处理!I:I)</f>
        <v>#DIV/0!</v>
      </c>
    </row>
    <row r="49" spans="1:2">
      <c r="A49" t="s">
        <v>5831</v>
      </c>
      <c r="B49" t="e">
        <f>SUMIF(库存报告使用数据处理!B:B,A49,库存报告使用数据处理!H:H)/SUMIF(库存报告使用数据处理!B:B,A49,库存报告使用数据处理!I:I)</f>
        <v>#DIV/0!</v>
      </c>
    </row>
    <row r="50" spans="1:2">
      <c r="A50" t="s">
        <v>5832</v>
      </c>
      <c r="B50" t="e">
        <f>SUMIF(库存报告使用数据处理!B:B,A50,库存报告使用数据处理!H:H)/SUMIF(库存报告使用数据处理!B:B,A50,库存报告使用数据处理!I:I)</f>
        <v>#DIV/0!</v>
      </c>
    </row>
    <row r="51" spans="1:2">
      <c r="A51" t="s">
        <v>5833</v>
      </c>
      <c r="B51" t="e">
        <f>SUMIF(库存报告使用数据处理!B:B,A51,库存报告使用数据处理!H:H)/SUMIF(库存报告使用数据处理!B:B,A51,库存报告使用数据处理!I:I)</f>
        <v>#DIV/0!</v>
      </c>
    </row>
    <row r="52" spans="1:2">
      <c r="A52" t="s">
        <v>5834</v>
      </c>
      <c r="B52" t="e">
        <f>SUMIF(库存报告使用数据处理!B:B,A52,库存报告使用数据处理!H:H)/SUMIF(库存报告使用数据处理!B:B,A52,库存报告使用数据处理!I:I)</f>
        <v>#DIV/0!</v>
      </c>
    </row>
    <row r="53" spans="1:2">
      <c r="A53" t="s">
        <v>5835</v>
      </c>
      <c r="B53" t="e">
        <f>SUMIF(库存报告使用数据处理!B:B,A53,库存报告使用数据处理!H:H)/SUMIF(库存报告使用数据处理!B:B,A53,库存报告使用数据处理!I:I)</f>
        <v>#DIV/0!</v>
      </c>
    </row>
    <row r="54" spans="1:2">
      <c r="A54" t="s">
        <v>5836</v>
      </c>
      <c r="B54" t="e">
        <f>SUMIF(库存报告使用数据处理!B:B,A54,库存报告使用数据处理!H:H)/SUMIF(库存报告使用数据处理!B:B,A54,库存报告使用数据处理!I:I)</f>
        <v>#DIV/0!</v>
      </c>
    </row>
    <row r="55" spans="1:2">
      <c r="A55" t="s">
        <v>5837</v>
      </c>
      <c r="B55" t="e">
        <f>SUMIF(库存报告使用数据处理!B:B,A55,库存报告使用数据处理!H:H)/SUMIF(库存报告使用数据处理!B:B,A55,库存报告使用数据处理!I:I)</f>
        <v>#DIV/0!</v>
      </c>
    </row>
    <row r="56" spans="1:2">
      <c r="A56" t="s">
        <v>5838</v>
      </c>
      <c r="B56" t="e">
        <f>SUMIF(库存报告使用数据处理!B:B,A56,库存报告使用数据处理!H:H)/SUMIF(库存报告使用数据处理!B:B,A56,库存报告使用数据处理!I:I)</f>
        <v>#DIV/0!</v>
      </c>
    </row>
    <row r="57" spans="1:2">
      <c r="A57" t="s">
        <v>5839</v>
      </c>
      <c r="B57" t="e">
        <f>SUMIF(库存报告使用数据处理!B:B,A57,库存报告使用数据处理!H:H)/SUMIF(库存报告使用数据处理!B:B,A57,库存报告使用数据处理!I:I)</f>
        <v>#DIV/0!</v>
      </c>
    </row>
    <row r="58" spans="1:2">
      <c r="A58" t="s">
        <v>5840</v>
      </c>
      <c r="B58" t="e">
        <f>SUMIF(库存报告使用数据处理!B:B,A58,库存报告使用数据处理!H:H)/SUMIF(库存报告使用数据处理!B:B,A58,库存报告使用数据处理!I:I)</f>
        <v>#DIV/0!</v>
      </c>
    </row>
    <row r="59" spans="1:2">
      <c r="A59" t="s">
        <v>5841</v>
      </c>
      <c r="B59" t="e">
        <f>SUMIF(库存报告使用数据处理!B:B,A59,库存报告使用数据处理!H:H)/SUMIF(库存报告使用数据处理!B:B,A59,库存报告使用数据处理!I:I)</f>
        <v>#DIV/0!</v>
      </c>
    </row>
    <row r="60" spans="1:2">
      <c r="A60" t="s">
        <v>5842</v>
      </c>
      <c r="B60" t="e">
        <f>SUMIF(库存报告使用数据处理!B:B,A60,库存报告使用数据处理!H:H)/SUMIF(库存报告使用数据处理!B:B,A60,库存报告使用数据处理!I:I)</f>
        <v>#DIV/0!</v>
      </c>
    </row>
    <row r="61" spans="1:2">
      <c r="A61" t="s">
        <v>5843</v>
      </c>
      <c r="B61" t="e">
        <f>SUMIF(库存报告使用数据处理!B:B,A61,库存报告使用数据处理!H:H)/SUMIF(库存报告使用数据处理!B:B,A61,库存报告使用数据处理!I:I)</f>
        <v>#DIV/0!</v>
      </c>
    </row>
    <row r="62" spans="1:2">
      <c r="A62" t="s">
        <v>5844</v>
      </c>
      <c r="B62">
        <f>SUMIF(库存报告使用数据处理!B:B,A62,库存报告使用数据处理!H:H)/SUMIF(库存报告使用数据处理!B:B,A62,库存报告使用数据处理!I:I)</f>
        <v>16.99</v>
      </c>
    </row>
    <row r="63" spans="1:2">
      <c r="A63" t="s">
        <v>5845</v>
      </c>
      <c r="B63">
        <f>SUMIF(库存报告使用数据处理!B:B,A63,库存报告使用数据处理!H:H)/SUMIF(库存报告使用数据处理!B:B,A63,库存报告使用数据处理!I:I)</f>
        <v>19.99</v>
      </c>
    </row>
    <row r="64" spans="1:2">
      <c r="A64" t="s">
        <v>5846</v>
      </c>
      <c r="B64">
        <f>SUMIF(库存报告使用数据处理!B:B,A64,库存报告使用数据处理!H:H)/SUMIF(库存报告使用数据处理!B:B,A64,库存报告使用数据处理!I:I)</f>
        <v>17.49</v>
      </c>
    </row>
    <row r="65" spans="1:2">
      <c r="A65" t="s">
        <v>5847</v>
      </c>
      <c r="B65">
        <f>SUMIF(库存报告使用数据处理!B:B,A65,库存报告使用数据处理!H:H)/SUMIF(库存报告使用数据处理!B:B,A65,库存报告使用数据处理!I:I)</f>
        <v>29.99</v>
      </c>
    </row>
    <row r="66" spans="1:2">
      <c r="A66" t="s">
        <v>5848</v>
      </c>
      <c r="B66">
        <f>SUMIF(库存报告使用数据处理!B:B,A66,库存报告使用数据处理!H:H)/SUMIF(库存报告使用数据处理!B:B,A66,库存报告使用数据处理!I:I)</f>
        <v>15.86</v>
      </c>
    </row>
    <row r="67" spans="1:2">
      <c r="A67" t="s">
        <v>5849</v>
      </c>
      <c r="B67">
        <f>SUMIF(库存报告使用数据处理!B:B,A67,库存报告使用数据处理!H:H)/SUMIF(库存报告使用数据处理!B:B,A67,库存报告使用数据处理!I:I)</f>
        <v>17.99</v>
      </c>
    </row>
    <row r="68" spans="1:2">
      <c r="A68" t="s">
        <v>5850</v>
      </c>
      <c r="B68">
        <f>SUMIF(库存报告使用数据处理!B:B,A68,库存报告使用数据处理!H:H)/SUMIF(库存报告使用数据处理!B:B,A68,库存报告使用数据处理!I:I)</f>
        <v>19.99</v>
      </c>
    </row>
  </sheetData>
  <autoFilter ref="A1:B272">
    <extLst/>
  </autoFilter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2018-08-28T09:47:04Z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